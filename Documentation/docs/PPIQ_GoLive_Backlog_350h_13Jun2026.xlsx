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-Live Backlog" sheetId="1" state="visible" r:id="rId3"/>
    <sheet name="Phas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<sst xmlns="http://schemas.openxmlformats.org/spreadsheetml/2006/main" count="324" uniqueCount="194">
  <si>
    <t xml:space="preserve">Task ID</t>
  </si>
  <si>
    <t xml:space="preserve">Task Name</t>
  </si>
  <si>
    <t xml:space="preserve">Phase</t>
  </si>
  <si>
    <t xml:space="preserve">Track</t>
  </si>
  <si>
    <t xml:space="preserve">Module</t>
  </si>
  <si>
    <t xml:space="preserve">Submodule</t>
  </si>
  <si>
    <t xml:space="preserve">Severity</t>
  </si>
  <si>
    <t xml:space="preserve">Description</t>
  </si>
  <si>
    <t xml:space="preserve">Acceptance Criteria</t>
  </si>
  <si>
    <t xml:space="preserve">Task Type</t>
  </si>
  <si>
    <t xml:space="preserve">Effort (h)</t>
  </si>
  <si>
    <t xml:space="preserve">Phase 1 · Deploy stability &amp; safe test profiles</t>
  </si>
  <si>
    <t xml:space="preserve">T-01</t>
  </si>
  <si>
    <t xml:space="preserve">Converge to ONE canonical deploy stack</t>
  </si>
  <si>
    <t xml:space="preserve">Deploy</t>
  </si>
  <si>
    <t xml:space="preserve">Infrastructure</t>
  </si>
  <si>
    <t xml:space="preserve">Docker/Compose/Caddy</t>
  </si>
  <si>
    <t xml:space="preserve">Critical</t>
  </si>
  <si>
    <t xml:space="preserve">The server runs (or has run) parallel Docker stacks; only one (compose project 'plantprocessiq', containers ppiq-app-*) is what Caddy actually serves. Eliminate every orphan. (1) Make Infrastructure/deploy/docker-compose.demo.yml the single canonical file: connection key MUST be ConnectionStrings__PlantProcessDb (NOT __DefaultConnection); add a 64-char PlantProcess__Auth__SigningKey wired from deploy/compose/.env; add the admin user from env (IsBootstrapAdmin=false); add PLANTPROCESS_ALLOWED_ORIGINS; restore the caddy service block lost in the T208 overwrite; pin ASPNETCORE_URLS and the Caddy upstream to the SAME port; bind Postgres to 127.0.0.1. (2) Write deploy/server/converge-canonical-stack.sh that backs up, deletes the ppiq-demo project and every plantprocess-* orphan container/network (volumes NEVER touched), keeps plantprocessiq. (3) Write deploy/server/probe-canonical.sh hitting /health, /auth/login, and /analytics/dashboard/definitions. Run on the server over SSH.</t>
  </si>
  <si>
    <t xml:space="preserve">On a clean server checkout: `bash converge-canonical-stack.sh` leaves exactly one compose project (plantprocessiq) and zero plantprocess-* containers (assert via `docker compose ls` and `docker ps`). `bash probe-canonical.sh` returns 200 on all three probes and every ppiq-* container shows RestartCount=0. A git push triggers a deploy that serves the new build at the public URL with NO manual intervention.</t>
  </si>
  <si>
    <t xml:space="preserve">hardening</t>
  </si>
  <si>
    <t xml:space="preserve">T-02</t>
  </si>
  <si>
    <t xml:space="preserve">Rebuild Jenkins pipeline to the exact agreed sequence</t>
  </si>
  <si>
    <t xml:space="preserve">CI/CD</t>
  </si>
  <si>
    <t xml:space="preserve">Replace the legacy Jenkinsfile so the pipeline does ONLY: checkout (preserving server .env/Caddyfile) -&gt; sweep stale processes -&gt; `dotnet test Backend` (BLOCKING) -&gt; `npm run test` (BLOCKING) -&gt; `npm run e2e` against an ephemeral CI stack (BLOCKING) -&gt; migrate the main Postgres app DB + the 8 demo/source DBs -&gt; seed demo data -&gt; build -&gt; recreate the canonical live stack in place with a health gate + automatic rollback to :previous. NOTHING else (no extra lint-only stages, no enumeration). Provide the four helper scripts (sweep-stale.sh, ci-e2e-stack.sh, migrate-and-seed.sh, deploy-canonical.sh). Set the demo-source service names in the two CONFIG blocks via `docker compose config --services`. Configure the Jenkins job as 'Pipeline script from SCM', branch main.</t>
  </si>
  <si>
    <t xml:space="preserve">Break one backend test, push: pipeline goes RED and stages migrate/seed/deploy DO NOT run (verify in Jenkins stage view). Revert, push: pipeline goes GREEN and the new build is live, health-gated. Confirm no `--list` and no `catchError(buildResult:'SUCCESS')` anywhere in the Jenkinsfile. The CiPipelineTruthGateTests architecture test passes against the new file.</t>
  </si>
  <si>
    <t xml:space="preserve">T-03</t>
  </si>
  <si>
    <t xml:space="preserve">Switchable run/test profiles (local + server)</t>
  </si>
  <si>
    <t xml:space="preserve">Hardening</t>
  </si>
  <si>
    <t xml:space="preserve">Backend</t>
  </si>
  <si>
    <t xml:space="preserve">TestMode/Auth/License</t>
  </si>
  <si>
    <t xml:space="preserve">Make it possible to exercise EVERY auth/license combination locally and on the server with NO code edit and NO hand-editing the DB. Bind a PPIQ_TESTMODE options section: SeedUsers (seeds one user per role: Admin/Executive/ProcessEngineer/Operator with fixed documented passwords via the existing PlantProcess:Auth:Users path), ForceTier (upserts demo_runtime_settings['license.defaultTier'] = Light|Pro|ProPlus|Enterprise via the SAME resolution the demo seed uses), and a /admin/testmode-status echo. A pure guard class REFUSES any active switch in Production unless PPIQ_TESTMODE__IExplicitlyAcceptRisk=true, logging loudly. Provide a docker-compose.testmode.yml overlay and docs/TESTMODE.md. NOTE the canonical tier member is 'Light' not 'Lite' — normalize 'Lite'-&gt;'Light' so legacy env values keep working.</t>
  </si>
  <si>
    <t xml:space="preserve">With SeedUsers=true the reviewer logs in as each of the 4 roles and confirms a different page/edit scope. With ForceTier=Light the gated features disappear and with ForceTier=Enterprise they return — WITH NO reseed and NO code edit, just an app-api restart. A unit test proves the guard throws in Production with an active switch and no accept-risk flag, and allows it in Development. /admin/testmode-status returns the active toggles.</t>
  </si>
  <si>
    <t xml:space="preserve">new feature</t>
  </si>
  <si>
    <t xml:space="preserve">T-04</t>
  </si>
  <si>
    <t xml:space="preserve">CI cannot be skipped — truth-gate test + skip register</t>
  </si>
  <si>
    <t xml:space="preserve">Testing</t>
  </si>
  <si>
    <t xml:space="preserve">Architecture tests</t>
  </si>
  <si>
    <t xml:space="preserve">Very Important</t>
  </si>
  <si>
    <t xml:space="preserve">Add CiPipelineTruthGateTests to PlantProcess.Architecture.Tests: it statically parses the Jenkinsfile and FAILS if `dotnet test`/`npm run test`/`npm run e2e` is missing, wrapped in catchError(SUCCESS), invoked with --list, or ordered AFTER migrate/seed/deploy. Because it runs inside `dotnet test`, the pipeline polices its own definition. Add Backend/tests/TESTS.md documenting every registered SkippableFact skip (audit-immutability tests etc.) with justification.</t>
  </si>
  <si>
    <t xml:space="preserve">The test is GREEN against the new Jenkinsfile and goes RED if any gate line is removed (prove by temporarily deleting `dotnet test` and asserting failure, then restoring). TESTS.md lists each skip with its env-condition and reason; a reviewer can confirm no skip hides a regression.</t>
  </si>
  <si>
    <t xml:space="preserve">test</t>
  </si>
  <si>
    <t xml:space="preserve">Phase 2 · Security &amp; per-endpoint authorization</t>
  </si>
  <si>
    <t xml:space="preserve">T-05</t>
  </si>
  <si>
    <t xml:space="preserve">Gate the proof/certification endpoint surface out of Production</t>
  </si>
  <si>
    <t xml:space="preserve">Security</t>
  </si>
  <si>
    <t xml:space="preserve">Endpoint authorization</t>
  </si>
  <si>
    <t xml:space="preserve">Program.cs registers ~7 internal diagnostic endpoint groups UNGATED: MapAdminProofEndpoints, MapP03P04CompletionProofEndpoints, MapPhase2LifecycleProofEndpoints, MapV5LicenseResolverProofEndpoints, MapV5IdentityRuntimeCertificationEndpoints, MapV5ConnectorRuntimeCertificationEndpoints, MapV5PrivateModelGatewayCertificationEndpoints. Move ALL of them into ONE block gated by `if (app.Environment.IsDevelopment() || Configuration['PPIQ_DIAGNOSTIC_ENDPOINTS']=='true')`. WHITELIST MapP15HonestyCertificationEndpoints (it is a customer-facing trust surface — keep it in Production). Write an architecture guard test that fails if any Proof/Certification registration sits outside the gate (except the whitelist).</t>
  </si>
  <si>
    <t xml:space="preserve">In a Production build (ASPNETCORE_ENVIRONMENT=Production, no diagnostic flag) every gated route returns 404 — assert via integration test enumerating EndpointDataSource. The honesty-certification route still returns 200. The guard test goes RED if a proof endpoint is moved back outside the gate. Swagger in Production shows no proof/certification machinery.</t>
  </si>
  <si>
    <t xml:space="preserve">T-06</t>
  </si>
  <si>
    <t xml:space="preserve">Per-endpoint authorization matrix proof (RBAC + tenant)</t>
  </si>
  <si>
    <t xml:space="preserve">RBAC/Tenant</t>
  </si>
  <si>
    <t xml:space="preserve">Prove every endpoint/page/job/tool checks role + entitlement and is tenant-safe. Enumerate all endpoints from EndpointDataSource; assert each non-anonymous route carries an authorization requirement; build a matrix test that, for each role (Admin/Executive/Engineer/Operator/Viewer), asserts allowed routes return 2xx and forbidden routes return 403. Add a cross-tenant test: a user from tenant A requesting tenant B's data gets 403/empty. Fix any unguarded admin surface found.</t>
  </si>
  <si>
    <t xml:space="preserve">An integration test enumerates EVERY route and fails if any non-anonymous endpoint lacks an auth requirement. The role matrix test is green by identity. A cross-tenant request returns 403 or an empty set (never another tenant's rows) — proven by a dedicated test that seeds two tenants.</t>
  </si>
  <si>
    <t xml:space="preserve">T-07</t>
  </si>
  <si>
    <t xml:space="preserve">Audit log immutability + sensitive-action coverage</t>
  </si>
  <si>
    <t xml:space="preserve">Audit</t>
  </si>
  <si>
    <t xml:space="preserve">Ensure every sensitive action (login, role change, license change, mapping publish, connector credential change, data export) writes an append-only audit event. Enable the audit-immutability tests by provisioning PPIQ_AUDIT_TRIGGER_TEST_CONNECTION in CI so the currently-skipped SkippableFacts actually run. Verify the DB trigger blocks UPDATE/DELETE on audit rows. Add coverage for export and connector-credential-change events.</t>
  </si>
  <si>
    <t xml:space="preserve">The audit-immutability tests run (not skipped) in CI and pass: an attempt to UPDATE or DELETE an audit row raises the DB-level block. A test performs each sensitive action and asserts a corresponding immutable audit row exists with actor, timestamp, and target.</t>
  </si>
  <si>
    <t xml:space="preserve">T-08</t>
  </si>
  <si>
    <t xml:space="preserve">Connector credential masking + secrets-at-rest audit</t>
  </si>
  <si>
    <t xml:space="preserve">Secrets</t>
  </si>
  <si>
    <t xml:space="preserve">Important</t>
  </si>
  <si>
    <t xml:space="preserve">Confirm and lock down: source credentials are stored encrypted, masked on read-back in every connector admin response, and never serialized to the browser or logs. Add a test that creates a connector with a secret, reads it back via the API, and asserts the secret is masked. Grep-guard test that fails if a credential field is returned unmasked from any connector DTO.</t>
  </si>
  <si>
    <t xml:space="preserve">A test creates a DB-link with a password, GETs it back, and asserts the password field is masked (e.g. '****'). A second test asserts no connector response DTO contains a plaintext secret. Logs from a sync contain no credential.</t>
  </si>
  <si>
    <t xml:space="preserve">Phase 3 · No silent failure, provider truth &amp; standardization</t>
  </si>
  <si>
    <t xml:space="preserve">T-09</t>
  </si>
  <si>
    <t xml:space="preserve">No silent failure — migrate raw error strings to retryable boundaries</t>
  </si>
  <si>
    <t xml:space="preserve">FrontEnd</t>
  </si>
  <si>
    <t xml:space="preserve">Error boundaries</t>
  </si>
  <si>
    <t xml:space="preserve">23 raw 'could not load'/'failed to load' strings remain in the frontend. Replace each with the standard DataFetchBoundary error state (branded, retryable). Wrap every data-fetching page/widget that currently lacks a boundary. Ensure one failing widget cannot blank a page. Eliminate all unhandled promise rejections on the demo path. Use the existing ErrorBoundary.tsx + DataFetchBoundary primitives — do not invent new ones.</t>
  </si>
  <si>
    <t xml:space="preserve">An e2e spec forces ONE widget's data endpoint to 500 and asserts: a contained branded error with a working Retry renders in that widget, the rest of the page stays interactive, and the console shows ZERO unhandled rejections; clicking Retry recovers without a full reload. A grep test asserts no raw 'could not load' string remains outside the boundary component.</t>
  </si>
  <si>
    <t xml:space="preserve">bug fix</t>
  </si>
  <si>
    <t xml:space="preserve">T-10</t>
  </si>
  <si>
    <t xml:space="preserve">Provider availability single-source + duplicate-route gate</t>
  </si>
  <si>
    <t xml:space="preserve">Connectors/Routing</t>
  </si>
  <si>
    <t xml:space="preserve">IsAvailableNow is decided by literals in multiple provider arrays (truth dashboard, configuration service, catalog). Create ONE ProviderAvailability.IsAvailableNow(providerType): Csv/Excel-&gt;true, all others-&gt;ConnectorCertification.IsCertified (env-gated). Replace every literal with a call to it. Add an architecture test forbidding IsAvailableNow literals outside ProviderAvailability. Separately add a duplicate-route contract test that enumerates EndpointDataSource and fails if any route pattern+method is registered twice (silent shadowing).</t>
  </si>
  <si>
    <t xml:space="preserve">The literal-forbidding test passes (lists any offender on failure). Flipping PPIQ_CONNECTOR_CERTIFIED_&lt;PROVIDER&gt; changes availability in ALL three surfaces together (proven by a test). The duplicate-route test is green and would fail if two endpoints shared a pattern+method.</t>
  </si>
  <si>
    <t xml:space="preserve">refactor</t>
  </si>
  <si>
    <t xml:space="preserve">T-11</t>
  </si>
  <si>
    <t xml:space="preserve">Standardize every button/table/tab across all pages</t>
  </si>
  <si>
    <t xml:space="preserve">Design system</t>
  </si>
  <si>
    <t xml:space="preserve">Enforce the StandardButton/StandardTable/StandardTabs primitives EVERYWHERE. Sweep every page (especially Material Investigation: search code, search, load investigation, calculate risk, PDF report buttons) and replace any bespoke button/table/tab with the standard component. Pin with snapshot tests so a regression to bespoke markup fails CI. Confirm icon-only buttons carry a full aria-label.</t>
  </si>
  <si>
    <t xml:space="preserve">A vitest/architecture test scans page components and fails if a raw &lt;button&gt;/&lt;table&gt; is used where a Standard* primitive exists. Visual snapshots for every variant/size/state are committed and green. Manual: every button on Material Investigation matches the standard and performs its action.</t>
  </si>
  <si>
    <t xml:space="preserve">T-12</t>
  </si>
  <si>
    <t xml:space="preserve">No dead button — full action-matrix enumeration</t>
  </si>
  <si>
    <t xml:space="preserve">E2E action coverage</t>
  </si>
  <si>
    <t xml:space="preserve">Enumerate every actionable control on every page and sub-page (buttons, calculate, load, min/max, filter, sort, export, navigation) into an action matrix, and write e2e coverage that clicks each and asserts it performs its function (a state change, a request, a navigation) — never a no-op. This is the literal 'no dead button on the demo path' gate.</t>
  </si>
  <si>
    <t xml:space="preserve">An e2e action-matrix spec covers every page on the demo path; each control asserts an observable effect. The suite fails if any covered control no-ops. A coverage report lists every page and its action count. Zero dead buttons on the demo path.</t>
  </si>
  <si>
    <t xml:space="preserve">Phase 4 · Demo dataset &amp; build-through-HMI</t>
  </si>
  <si>
    <t xml:space="preserve">T-13</t>
  </si>
  <si>
    <t xml:space="preserve">Complete the 8-source demo dataset at realistic scale</t>
  </si>
  <si>
    <t xml:space="preserve">Demo</t>
  </si>
  <si>
    <t xml:space="preserve">Database</t>
  </si>
  <si>
    <t xml:space="preserve">Demo sources</t>
  </si>
  <si>
    <t xml:space="preserve">Finish the deterministic demo generator (Backend/tools/generate_demo_dataset.py, seeded) so it produces the full 1-month flat-steel dataset: ~630 heats, ~5,600 coils, QA on every 3rd coil (up to 2/coil for difficult grades), across all 8 sources — melt-shop PostgreSQL (EAF/LF: equipment+counters, heats summary/sample/result/component, additives, steps, oxygen/argon/electricity params), caster Oracle (Heat/Slab/Sequence/Sample tables with HeatID/Ladle/Tundish/Mould/Sequence/Slab/Strand linkage), HSM Oracle (rolling params, slab-&gt;coil), PKL MSSQL, Yard Excel, downtime MySQL (equipment-stop vs production-impact, the 5 reason classes), Parsytec MySQL (surface defects at HSM exit), QA Excel. Include deliberate imperfection so it looks real. Tag all seeded rows origin='seed'.</t>
  </si>
  <si>
    <t xml:space="preserve">Running the generator yields the exact counts (assert 630 heats, ~5,600 coils within tolerance, QA cadence). The genealogy chain is internally consistent (every coil traces to a slab to a heat). A test asserts every seeded row carries origin='seed'. The downtime data contains both an absorbed equipment stop (no production impact) and a short stop causing long production impact (the water-pump case).</t>
  </si>
  <si>
    <t xml:space="preserve">T-14</t>
  </si>
  <si>
    <t xml:space="preserve">Build the entire demo from empty through the HMI (no hardcoding)</t>
  </si>
  <si>
    <t xml:space="preserve">Workflow proof</t>
  </si>
  <si>
    <t xml:space="preserve">Prove Principle 1: starting from an empty app, perform EVERY step through the HMI only — create the 8 DB links, select tables, set cadence, author the mapping views/joins (including the cross-source key reconciliation), define KPIs as SQL views, create pages, drag-drop widgets, bind them to data, add a script-layer transform, configure and run the jobs. NO hardcoded page or widget. Record the run. Fix every bug encountered (this is where real-user bugs surface).</t>
  </si>
  <si>
    <t xml:space="preserve">A recorded clean dry-run exists showing the full demo built from empty via HMI only. A one-click readiness check passes. No hardcoded page/widget is used (grep/architecture check). Every step that a customer would perform works without a source-code edit.</t>
  </si>
  <si>
    <t xml:space="preserve">T-15</t>
  </si>
  <si>
    <t xml:space="preserve">Genealogy golden thread — both directions on customer keys</t>
  </si>
  <si>
    <t xml:space="preserve">Workflow</t>
  </si>
  <si>
    <t xml:space="preserve">Genealogy</t>
  </si>
  <si>
    <t xml:space="preserve">Make the single most convincing demo moment work end-to-end: from a surface defect on a finished coil, walk back to the melt chemistry, AND forward from a heat to its coils/defects — on the CUSTOMER's own key names, reconciling C-0044170 (HSM Oracle) ≡ 44170 (Parsytec MySQL) via the business-key dictionary. Ensure the recursive area/equipment model and the genealogy edge table with cycle/orphan detection back it.</t>
  </si>
  <si>
    <t xml:space="preserve">A test/e2e walks coil C-0044170 to its heat chemistry AND a heat forward to its coils+defects, using the customer key names, across all relevant sources. A bad/missing key produces a typed error, not a silent gap. Cycle and orphan detection are tested.</t>
  </si>
  <si>
    <t xml:space="preserve">Phase 5 · Intelligence correctness (values/analysis/suggestions)</t>
  </si>
  <si>
    <t xml:space="preserve">T-16</t>
  </si>
  <si>
    <t xml:space="preserve">Correlation engine golden-set validation (recover true, reject spurious)</t>
  </si>
  <si>
    <t xml:space="preserve">AI+ML</t>
  </si>
  <si>
    <t xml:space="preserve">Correlation/L4 stats</t>
  </si>
  <si>
    <t xml:space="preserve">The L4 methods exist (Spearman, mutual information, Lasso, VIF, bootstrap) under FDR. Build a golden synthetic dataset with KNOWN true signals and KNOWN spurious correlations; assert the engine recovers the true signals and REJECTS the spurious ones under Benjamini-Hochberg FDR + stratification by visible confounders. Every finding must state its population. This is the guard that the analysis is correct, not just present.</t>
  </si>
  <si>
    <t xml:space="preserve">On the golden set the engine reports the planted true drivers and does NOT report the planted spurious ones (assert precisely). Every reported finding includes its population/exclusions. Removing FDR control makes the test fail (proving FDR is actually applied).</t>
  </si>
  <si>
    <t xml:space="preserve">T-17</t>
  </si>
  <si>
    <t xml:space="preserve">Value engine correctness + abstain path</t>
  </si>
  <si>
    <t xml:space="preserve">Value engine</t>
  </si>
  <si>
    <t xml:space="preserve">The value engine reproduces the doctrine fixture (200 t/month x EUR 140/210/280 = EUR 28k/42k/56k bounded range, 'not a guaranteed saving'). Harden it: every input is drill-throughable to its source finding/job/dataset; downtime uses production-impact minutes (not raw equipment-stopped minutes) where appropriate; when inputs are insufficient the engine ABSTAINS rather than inventing a number. Add the per-tenant cost table.</t>
  </si>
  <si>
    <t xml:space="preserve">A test reproduces the EUR 28k/42k/56k bounded range on demo data and asserts each input resolves to an evidence handle. A second test feeds insufficient inputs and asserts the engine returns Abstained=true with no fabricated number. A downtime-costing test asserts production-impact minutes are used for the water-pump case.</t>
  </si>
  <si>
    <t xml:space="preserve">T-18</t>
  </si>
  <si>
    <t xml:space="preserve">Assistant no-fabrication guard — zero uncited numbers</t>
  </si>
  <si>
    <t xml:space="preserve">Grounding</t>
  </si>
  <si>
    <t xml:space="preserve">The grounding contract must reject, before display, any assistant sentence containing a number without a resolvable evidence handle, and any causal phrasing ('caused by', 'root cause'). Harden and test it: feed the assistant prompts designed to elicit an uncited number or a causal claim and assert they are blocked or rewritten to 'suspected contributor' with a citation. On a transition coil the assistant must answer with weighted shared attribution, never a single fabricated heat.</t>
  </si>
  <si>
    <t xml:space="preserve">An adversarial test suite feeds 10+ prompts trying to make the assistant emit an uncited number or a causal claim; ALL are blocked or safely rewritten. A transition-coil question returns weighted attribution (e.g. H-3361 ~70% / H-3362 ~30%). No assistant response on the demo path contains a number without a handle.</t>
  </si>
  <si>
    <t xml:space="preserve">Phase 6 · WOW UX, interactivity &amp; performance</t>
  </si>
  <si>
    <t xml:space="preserve">T-19</t>
  </si>
  <si>
    <t xml:space="preserve">Widget interactivity — filters, sorting, heatmap, drag/min/max</t>
  </si>
  <si>
    <t xml:space="preserve">Widgets/Charts</t>
  </si>
  <si>
    <t xml:space="preserve">Make every widget/chart dynamic and interactive: filters and sorting actually re-query/re-render; the heatmap renders and interacts correctly (hover, select, drill); drag/move/min/max behave on the page builder. Restore/confirm virtualization for large tables (threshold ~1000). Fix any widget that is visually present but functionally disconnected.</t>
  </si>
  <si>
    <t xml:space="preserve">An e2e spec applies a filter and a sort to each chart type and asserts the data changes; interacts with the heatmap and asserts a drill/selection effect; drags and min/max a widget and asserts the layout persists. A large table (&gt;1000 rows) renders virtualized with a summary, not every row.</t>
  </si>
  <si>
    <t xml:space="preserve">T-20</t>
  </si>
  <si>
    <t xml:space="preserve">Performance budgets + progress states (no hang/lag)</t>
  </si>
  <si>
    <t xml:space="preserve">Performance</t>
  </si>
  <si>
    <t xml:space="preserve">Enforce performance budgets at demo scale: no hang/lag; any load &gt;~400ms shows a loading state with progress; large datasets stream/paginate. Profile the heaviest dashboard and the correlation result page; fix the slowest queries (add indexes where the analysis flags missing ones). Ensure long jobs show progress in the Jobs Monitor.</t>
  </si>
  <si>
    <t xml:space="preserve">A perf test asserts the heaviest dashboard interactive-loads within the budget at demo scale; any longer load shows a progress indicator (asserted in e2e). No UI freeze during a correlation run. The Jobs Monitor shows live progress for a long job.</t>
  </si>
  <si>
    <t xml:space="preserve">T-21</t>
  </si>
  <si>
    <t xml:space="preserve">Cross-browser + responsive + visual-regression pass</t>
  </si>
  <si>
    <t xml:space="preserve">Visual/Responsive</t>
  </si>
  <si>
    <t xml:space="preserve">Confirm the app and website render correctly at multiple screen sizes, on the major browsers, over http and https, and re-flow properly. Add/repair the visual-regression spec (visual.spec.ts) and run it on at least two browser engines and two viewport sizes. Fix any layout break.</t>
  </si>
  <si>
    <t xml:space="preserve">visual.spec.ts passes on two engines (Chromium + one other) at desktop and tablet widths with no unexpected diffs. A manual matrix confirms the login, dashboard, and one investigation page render correctly on the major browsers with no overflow/clipping.</t>
  </si>
  <si>
    <t xml:space="preserve">T-22</t>
  </si>
  <si>
    <t xml:space="preserve">WOW polish pass — first-impression surfaces</t>
  </si>
  <si>
    <t xml:space="preserve">Web</t>
  </si>
  <si>
    <t xml:space="preserve">UI/UX polish</t>
  </si>
  <si>
    <t xml:space="preserve">Make the first 3 surfaces a customer sees unforgettable: the login, the executive dashboard, and the genealogy/investigation page. Apply the Dark Industrial system precisely (full-bleed #050B18, panel #0B1730, cyan glow accents, status colors), add tasteful motion (loading shimmer, chart enter animations), perfect spacing/alignment, and a confident empty/readiness state. No off-palette colors. This is the WOW/WaW effect.</t>
  </si>
  <si>
    <t xml:space="preserve">A design review against the brand token reference passes for the 3 surfaces (exact hex, Inter+JetBrains Mono, heading scale). The readiness/empty states look intentional, not broken. A first-time viewer reaches 'request a demo' impression — validated by the brand-identity e2e (dimension7-brand-identity.spec.ts) passing.</t>
  </si>
  <si>
    <t xml:space="preserve">modification</t>
  </si>
  <si>
    <t xml:space="preserve">Phase 7 · Feature honesty, license scoping &amp; website</t>
  </si>
  <si>
    <t xml:space="preserve">T-23</t>
  </si>
  <si>
    <t xml:space="preserve">Hide or honestly-state every not-ready feature</t>
  </si>
  <si>
    <t xml:space="preserve">Feature flags</t>
  </si>
  <si>
    <t xml:space="preserve">Inventory every feature/page/widget that is not demo-ready (incomplete, unstable, or unbuilt — e.g. unfinished connectors, the historian GA path, any half-built analysis). For each: either hide it behind a flag, or show an honest 'coming soon / collecting data / not certified for this source' state. A customer must NEVER click into a broken or empty feature. Pair with the connector Truth Contract (a not-certified connector says so). Include disabling/guarding any unstable connector path, any half-built analysis page, and any experimental widget so the demo surface is 100% trustworthy.</t>
  </si>
  <si>
    <t xml:space="preserve">A walkthrough of every nav item and feature finds NO broken/empty/dead destination — each is either fully working or honestly labelled. A test asserts not-certified connectors render the honest state, not a 'ready' claim. The forbidden-claim honesty-lint passes (no 'live Oracle ready today').</t>
  </si>
  <si>
    <t xml:space="preserve">T-24</t>
  </si>
  <si>
    <t xml:space="preserve">License tier toggle — features appear/disappear live</t>
  </si>
  <si>
    <t xml:space="preserve">Licensing</t>
  </si>
  <si>
    <t xml:space="preserve">Wire RequireLicenseFeature onto the headline gated surfaces so toggling tier visibly changes available features (Enterprise-&gt;Pro removes some; Light shows the locked overlay). Entitlements come ONLY from the signed token / runtime tier resolution, never an editable row. The FE shows a LockedFeatureOverlay for a gated feature, not a raw 403. Use the T-03 ForceTier to demonstrate.</t>
  </si>
  <si>
    <t xml:space="preserve">With ForceTier=Light, the reviewer hits a gated surface and sees a LockedFeatureOverlay (not a raw error); with ForceTier=Enterprise the same surface works — no reseed, just a restart. An integration test enumerates the gated routes and asserts the license filter + feature are wired. A guard test pins the wiring so a removed paywall fails CI.</t>
  </si>
  <si>
    <t xml:space="preserve">Phase 8 · Role scoping, brand &amp; go-live rehearsal</t>
  </si>
  <si>
    <t xml:space="preserve">T-25</t>
  </si>
  <si>
    <t xml:space="preserve">Role-scoped views — executive vs engineer vs operator vs admin</t>
  </si>
  <si>
    <t xml:space="preserve">RBAC UX</t>
  </si>
  <si>
    <t xml:space="preserve">Ensure each role sees a meaningfully different scope: executive = KPIs/ROI/value trends; process engineer = investigation/correlation/dashboards; operator = read dashboards + acknowledge; admin = configuration. Hide nav items and edit affordances outside a role's scope. Back it with the FE LicenseContext/role context so the menu reflects the logged-in role.</t>
  </si>
  <si>
    <t xml:space="preserve">Logging in as each of the 4 seeded roles (T-03) shows a different, correct nav and a different edit capability — asserted by an e2e per role. An engineer cannot see admin configuration pages; an operator cannot edit a dashboard. No role sees a control it may not use.</t>
  </si>
  <si>
    <t xml:space="preserve">T-26</t>
  </si>
  <si>
    <t xml:space="preserve">Website honesty-lint + 5-product completeness + CTA</t>
  </si>
  <si>
    <t xml:space="preserve">Website</t>
  </si>
  <si>
    <t xml:space="preserve">Finish the website as the first salesperson. Confirm all 5 products (PlantProcess IQ, MES, QES, Yard &amp; Warehouse, Energy Management) each have description, benefit, visuals, licensing, and a Golden-Rule CTA. Run an automated honesty-lint that fails the build on any forbidden claim ('guaranteed root cause','AI-powered prediction','production-ready AI','live Oracle/MSSQL ready today','we replace MES/L2/SCADA/BI'). Wire a working inquiry/lead-capture CTA. Confirm exact brand tokens.</t>
  </si>
  <si>
    <t xml:space="preserve">The honesty-lint passes with zero forbidden phrases (and fails if one is injected). All 5 product pages render with their required sections. The CTA captures a lead (asserted by an e2e that submits the form and confirms capture). A brand audit matches the token reference exactly.</t>
  </si>
  <si>
    <t xml:space="preserve">T-27</t>
  </si>
  <si>
    <t xml:space="preserve">Logo variant set + report/PDF light-mode brand</t>
  </si>
  <si>
    <t xml:space="preserve">Brand assets</t>
  </si>
  <si>
    <t xml:space="preserve">Normal</t>
  </si>
  <si>
    <t xml:space="preserve">Produce the full logo variant set (full horizontal, icon/favicon, stacked) in color/dark/light/mono, industry-neutral connected-node mark. Switch all PDF/report deliverables to the light-mode surface (#F4F6F8) with the brand header/footer maintained. Replace any steel-only or boxed logo usage.</t>
  </si>
  <si>
    <t xml:space="preserve">All logo variants exist and are used in the correct contexts (favicon present, mono on light surfaces). A generated PDF report renders in light mode with the brand header/footer. No prohibited logo treatment (rotated/recolored/stretched/boxed) remains.</t>
  </si>
  <si>
    <t xml:space="preserve">T-28</t>
  </si>
  <si>
    <t xml:space="preserve">Go-live rehearsal — full demo dry run + regression freeze</t>
  </si>
  <si>
    <t xml:space="preserve">Go-live</t>
  </si>
  <si>
    <t xml:space="preserve">Run the complete customer demo end-to-end on the server build exactly as it will be presented: build-through-HMI, the golden thread, a correlation run, the value euro range, the license toggle, role views, and the surprise-question playbook (general/license/user-role/AI-ML). Capture and fix every defect. Freeze: full backend suite + vitest + e2e all green; tag the release.</t>
  </si>
  <si>
    <t xml:space="preserve">A recorded full dry-run on the SERVER build completes with zero errors/crashes/dead buttons and answers every surprise question honestly on the live build. `dotnet test Backend`, `npm run test`, and `npm run e2e` are all green at the tagged release commit. A rollback to the previous tag is verified.</t>
  </si>
  <si>
    <t xml:space="preserve">Tasks</t>
  </si>
  <si>
    <t xml:space="preserve">In 45–65h band?</t>
  </si>
  <si>
    <t xml:space="preserve">Deployable milestone</t>
  </si>
  <si>
    <t xml:space="preserve">Every git push deploys the one canonical stack, health-gated; reviewer can log in as any role/tier with no code edit.</t>
  </si>
  <si>
    <t xml:space="preserve">Procurement-safe: no diagnostic endpoints in prod, every route authz-checked, cross-tenant proven 403, audit immutable.</t>
  </si>
  <si>
    <t xml:space="preserve">No 'could not load' anywhere; one failing widget never blanks a page; every button/table standardized.</t>
  </si>
  <si>
    <t xml:space="preserve">The full 8-source demo builds from empty through the HMI; the golden thread walks both directions on customer keys.</t>
  </si>
  <si>
    <t xml:space="preserve">Correlation recovers true/rejects spurious under FDR; value euro range reproduces &amp; abstains; assistant emits zero uncited numbers.</t>
  </si>
  <si>
    <t xml:space="preserve">Filters/sort/heatmap/drag all live; no hang at demo scale; cross-browser clean; the 3 first-impression surfaces WOW.</t>
  </si>
  <si>
    <t xml:space="preserve">No broken/empty feature reachable; tier toggle changes features live; the website sells with a working CTA and clean honesty-lint.</t>
  </si>
  <si>
    <t xml:space="preserve">Each role sees its correct scope; full logo+PDF brand set; full server dry-run green; release tagged with verified rollback.</t>
  </si>
  <si>
    <t xml:space="preserve">TOTAL</t>
  </si>
  <si>
    <t xml:space="preserve">8 phases · priority-ordered · each ends deployable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</si>
</sst>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50B18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9"/>
      <color rgb="FF00D4FF"/>
      <name val="Arial"/>
      <family val="0"/>
      <charset val="1"/>
    </font>
    <font>
      <b val="true"/>
      <sz val="10"/>
      <color rgb="FFEAF6FF"/>
      <name val="Arial"/>
      <family val="0"/>
      <charset val="1"/>
    </font>
    <font>
      <sz val="9"/>
      <color rgb="FF8EA7C1"/>
      <name val="Arial"/>
      <family val="0"/>
      <charset val="1"/>
    </font>
    <font>
      <b val="true"/>
      <sz val="9"/>
      <color rgb="FFFF4D6D"/>
      <name val="Arial"/>
      <family val="0"/>
      <charset val="1"/>
    </font>
    <font>
      <sz val="9"/>
      <color rgb="FFEAF6FF"/>
      <name val="Arial"/>
      <family val="0"/>
      <charset val="1"/>
    </font>
    <font>
      <b val="true"/>
      <sz val="9"/>
      <color rgb="FFFFB020"/>
      <name val="Arial"/>
      <family val="0"/>
      <charset val="1"/>
    </font>
    <font>
      <sz val="10"/>
      <color rgb="FF8EA7C1"/>
      <name val="Arial"/>
      <family val="0"/>
      <charset val="1"/>
    </font>
    <font>
      <b val="true"/>
      <sz val="10"/>
      <color rgb="FF2CE6A2"/>
      <name val="Arial"/>
      <family val="0"/>
      <charset val="1"/>
    </font>
    <font>
      <sz val="10"/>
      <color rgb="FFEAF6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D4FF"/>
        <bgColor rgb="FF00FFFF"/>
      </patternFill>
    </fill>
    <fill>
      <patternFill patternType="solid">
        <fgColor rgb="FF102A43"/>
        <bgColor rgb="FF0A2436"/>
      </patternFill>
    </fill>
    <fill>
      <patternFill patternType="solid">
        <fgColor rgb="FF0B1730"/>
        <bgColor rgb="FF0A2436"/>
      </patternFill>
    </fill>
    <fill>
      <patternFill patternType="solid">
        <fgColor rgb="FF2A0E16"/>
        <bgColor rgb="FF2A1E0A"/>
      </patternFill>
    </fill>
    <fill>
      <patternFill patternType="solid">
        <fgColor rgb="FF2A1E0A"/>
        <bgColor rgb="FF2A0E16"/>
      </patternFill>
    </fill>
    <fill>
      <patternFill patternType="solid">
        <fgColor rgb="FF0A2436"/>
        <bgColor rgb="FF102A4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C3A5E"/>
      </left>
      <right style="thin">
        <color rgb="FF1C3A5E"/>
      </right>
      <top style="thin">
        <color rgb="FF1C3A5E"/>
      </top>
      <bottom style="thin">
        <color rgb="FF1C3A5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73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2A0E16"/>
      <rgbColor rgb="FFFF4D6D"/>
      <rgbColor rgb="FF0066CC"/>
      <rgbColor rgb="FFCCCCFF"/>
      <rgbColor rgb="FF050B18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666699"/>
      <rgbColor rgb="FF8EA7C1"/>
      <rgbColor rgb="FF102A43"/>
      <rgbColor rgb="FF339966"/>
      <rgbColor rgb="FF0A2436"/>
      <rgbColor rgb="FF2A1E0A"/>
      <rgbColor rgb="FF993300"/>
      <rgbColor rgb="FF993366"/>
      <rgbColor rgb="FF333399"/>
      <rgbColor rgb="FF1C3A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75"/>
    <col collapsed="false" customWidth="true" hidden="false" outlineLevel="0" max="9" min="9" style="1" width="70"/>
    <col collapsed="false" customWidth="true" hidden="false" outlineLevel="0" max="10" min="10" style="1" width="13"/>
    <col collapsed="false" customWidth="true" hidden="false" outlineLevel="0" max="11" min="11" style="1" width="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1.75" hidden="false" customHeight="true" outlineLevel="0" collapsed="false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0" hidden="false" customHeight="true" outlineLevel="0" collapsed="false">
      <c r="A3" s="4" t="s">
        <v>12</v>
      </c>
      <c r="B3" s="5" t="s">
        <v>13</v>
      </c>
      <c r="C3" s="6" t="s">
        <v>11</v>
      </c>
      <c r="D3" s="6" t="s">
        <v>14</v>
      </c>
      <c r="E3" s="6" t="s">
        <v>15</v>
      </c>
      <c r="F3" s="6" t="s">
        <v>16</v>
      </c>
      <c r="G3" s="7" t="s">
        <v>17</v>
      </c>
      <c r="H3" s="8" t="s">
        <v>18</v>
      </c>
      <c r="I3" s="8" t="s">
        <v>19</v>
      </c>
      <c r="J3" s="6" t="s">
        <v>20</v>
      </c>
      <c r="K3" s="9" t="n">
        <v>16</v>
      </c>
    </row>
    <row r="4" customFormat="false" ht="150" hidden="false" customHeight="true" outlineLevel="0" collapsed="false">
      <c r="A4" s="4" t="s">
        <v>21</v>
      </c>
      <c r="B4" s="5" t="s">
        <v>22</v>
      </c>
      <c r="C4" s="6" t="s">
        <v>11</v>
      </c>
      <c r="D4" s="6" t="s">
        <v>14</v>
      </c>
      <c r="E4" s="6" t="s">
        <v>14</v>
      </c>
      <c r="F4" s="6" t="s">
        <v>23</v>
      </c>
      <c r="G4" s="7" t="s">
        <v>17</v>
      </c>
      <c r="H4" s="8" t="s">
        <v>24</v>
      </c>
      <c r="I4" s="8" t="s">
        <v>25</v>
      </c>
      <c r="J4" s="6" t="s">
        <v>20</v>
      </c>
      <c r="K4" s="9" t="n">
        <v>14</v>
      </c>
    </row>
    <row r="5" customFormat="false" ht="150" hidden="false" customHeight="true" outlineLevel="0" collapsed="false">
      <c r="A5" s="4" t="s">
        <v>26</v>
      </c>
      <c r="B5" s="5" t="s">
        <v>27</v>
      </c>
      <c r="C5" s="6" t="s">
        <v>11</v>
      </c>
      <c r="D5" s="6" t="s">
        <v>28</v>
      </c>
      <c r="E5" s="6" t="s">
        <v>29</v>
      </c>
      <c r="F5" s="6" t="s">
        <v>30</v>
      </c>
      <c r="G5" s="7" t="s">
        <v>17</v>
      </c>
      <c r="H5" s="8" t="s">
        <v>31</v>
      </c>
      <c r="I5" s="8" t="s">
        <v>32</v>
      </c>
      <c r="J5" s="6" t="s">
        <v>33</v>
      </c>
      <c r="K5" s="9" t="n">
        <v>12</v>
      </c>
    </row>
    <row r="6" customFormat="false" ht="150" hidden="false" customHeight="true" outlineLevel="0" collapsed="false">
      <c r="A6" s="4" t="s">
        <v>34</v>
      </c>
      <c r="B6" s="5" t="s">
        <v>35</v>
      </c>
      <c r="C6" s="6" t="s">
        <v>11</v>
      </c>
      <c r="D6" s="6" t="s">
        <v>36</v>
      </c>
      <c r="E6" s="6" t="s">
        <v>36</v>
      </c>
      <c r="F6" s="6" t="s">
        <v>37</v>
      </c>
      <c r="G6" s="10" t="s">
        <v>38</v>
      </c>
      <c r="H6" s="8" t="s">
        <v>39</v>
      </c>
      <c r="I6" s="8" t="s">
        <v>40</v>
      </c>
      <c r="J6" s="6" t="s">
        <v>41</v>
      </c>
      <c r="K6" s="9" t="n">
        <v>8</v>
      </c>
    </row>
    <row r="7" customFormat="false" ht="21.75" hidden="false" customHeight="true" outlineLevel="0" collapsed="false">
      <c r="A7" s="3" t="s">
        <v>42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0" hidden="false" customHeight="true" outlineLevel="0" collapsed="false">
      <c r="A8" s="4" t="s">
        <v>43</v>
      </c>
      <c r="B8" s="5" t="s">
        <v>44</v>
      </c>
      <c r="C8" s="6" t="s">
        <v>42</v>
      </c>
      <c r="D8" s="6" t="s">
        <v>28</v>
      </c>
      <c r="E8" s="6" t="s">
        <v>45</v>
      </c>
      <c r="F8" s="6" t="s">
        <v>46</v>
      </c>
      <c r="G8" s="7" t="s">
        <v>17</v>
      </c>
      <c r="H8" s="8" t="s">
        <v>47</v>
      </c>
      <c r="I8" s="8" t="s">
        <v>48</v>
      </c>
      <c r="J8" s="6" t="s">
        <v>20</v>
      </c>
      <c r="K8" s="9" t="n">
        <v>12</v>
      </c>
    </row>
    <row r="9" customFormat="false" ht="150" hidden="false" customHeight="true" outlineLevel="0" collapsed="false">
      <c r="A9" s="4" t="s">
        <v>49</v>
      </c>
      <c r="B9" s="5" t="s">
        <v>50</v>
      </c>
      <c r="C9" s="6" t="s">
        <v>42</v>
      </c>
      <c r="D9" s="6" t="s">
        <v>28</v>
      </c>
      <c r="E9" s="6" t="s">
        <v>45</v>
      </c>
      <c r="F9" s="6" t="s">
        <v>51</v>
      </c>
      <c r="G9" s="7" t="s">
        <v>17</v>
      </c>
      <c r="H9" s="8" t="s">
        <v>52</v>
      </c>
      <c r="I9" s="8" t="s">
        <v>53</v>
      </c>
      <c r="J9" s="6" t="s">
        <v>20</v>
      </c>
      <c r="K9" s="9" t="n">
        <v>14</v>
      </c>
    </row>
    <row r="10" customFormat="false" ht="150" hidden="false" customHeight="true" outlineLevel="0" collapsed="false">
      <c r="A10" s="4" t="s">
        <v>54</v>
      </c>
      <c r="B10" s="5" t="s">
        <v>55</v>
      </c>
      <c r="C10" s="6" t="s">
        <v>42</v>
      </c>
      <c r="D10" s="6" t="s">
        <v>28</v>
      </c>
      <c r="E10" s="6" t="s">
        <v>45</v>
      </c>
      <c r="F10" s="6" t="s">
        <v>56</v>
      </c>
      <c r="G10" s="10" t="s">
        <v>38</v>
      </c>
      <c r="H10" s="8" t="s">
        <v>57</v>
      </c>
      <c r="I10" s="8" t="s">
        <v>58</v>
      </c>
      <c r="J10" s="6" t="s">
        <v>20</v>
      </c>
      <c r="K10" s="9" t="n">
        <v>12</v>
      </c>
    </row>
    <row r="11" customFormat="false" ht="150" hidden="false" customHeight="true" outlineLevel="0" collapsed="false">
      <c r="A11" s="4" t="s">
        <v>59</v>
      </c>
      <c r="B11" s="5" t="s">
        <v>60</v>
      </c>
      <c r="C11" s="6" t="s">
        <v>42</v>
      </c>
      <c r="D11" s="6" t="s">
        <v>28</v>
      </c>
      <c r="E11" s="6" t="s">
        <v>45</v>
      </c>
      <c r="F11" s="6" t="s">
        <v>61</v>
      </c>
      <c r="G11" s="11" t="s">
        <v>62</v>
      </c>
      <c r="H11" s="8" t="s">
        <v>63</v>
      </c>
      <c r="I11" s="8" t="s">
        <v>64</v>
      </c>
      <c r="J11" s="6" t="s">
        <v>20</v>
      </c>
      <c r="K11" s="9" t="n">
        <v>8</v>
      </c>
    </row>
    <row r="12" customFormat="false" ht="21.75" hidden="false" customHeight="true" outlineLevel="0" collapsed="false">
      <c r="A12" s="3" t="s">
        <v>65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0" hidden="false" customHeight="true" outlineLevel="0" collapsed="false">
      <c r="A13" s="4" t="s">
        <v>66</v>
      </c>
      <c r="B13" s="5" t="s">
        <v>67</v>
      </c>
      <c r="C13" s="6" t="s">
        <v>65</v>
      </c>
      <c r="D13" s="6" t="s">
        <v>28</v>
      </c>
      <c r="E13" s="6" t="s">
        <v>68</v>
      </c>
      <c r="F13" s="6" t="s">
        <v>69</v>
      </c>
      <c r="G13" s="7" t="s">
        <v>17</v>
      </c>
      <c r="H13" s="8" t="s">
        <v>70</v>
      </c>
      <c r="I13" s="8" t="s">
        <v>71</v>
      </c>
      <c r="J13" s="6" t="s">
        <v>72</v>
      </c>
      <c r="K13" s="9" t="n">
        <v>12</v>
      </c>
    </row>
    <row r="14" customFormat="false" ht="150" hidden="false" customHeight="true" outlineLevel="0" collapsed="false">
      <c r="A14" s="4" t="s">
        <v>73</v>
      </c>
      <c r="B14" s="5" t="s">
        <v>74</v>
      </c>
      <c r="C14" s="6" t="s">
        <v>65</v>
      </c>
      <c r="D14" s="6" t="s">
        <v>28</v>
      </c>
      <c r="E14" s="6" t="s">
        <v>29</v>
      </c>
      <c r="F14" s="6" t="s">
        <v>75</v>
      </c>
      <c r="G14" s="10" t="s">
        <v>38</v>
      </c>
      <c r="H14" s="8" t="s">
        <v>76</v>
      </c>
      <c r="I14" s="8" t="s">
        <v>77</v>
      </c>
      <c r="J14" s="6" t="s">
        <v>78</v>
      </c>
      <c r="K14" s="9" t="n">
        <v>10</v>
      </c>
    </row>
    <row r="15" customFormat="false" ht="150" hidden="false" customHeight="true" outlineLevel="0" collapsed="false">
      <c r="A15" s="4" t="s">
        <v>79</v>
      </c>
      <c r="B15" s="5" t="s">
        <v>80</v>
      </c>
      <c r="C15" s="6" t="s">
        <v>65</v>
      </c>
      <c r="D15" s="6" t="s">
        <v>28</v>
      </c>
      <c r="E15" s="6" t="s">
        <v>68</v>
      </c>
      <c r="F15" s="6" t="s">
        <v>81</v>
      </c>
      <c r="G15" s="10" t="s">
        <v>38</v>
      </c>
      <c r="H15" s="8" t="s">
        <v>82</v>
      </c>
      <c r="I15" s="8" t="s">
        <v>83</v>
      </c>
      <c r="J15" s="6" t="s">
        <v>78</v>
      </c>
      <c r="K15" s="9" t="n">
        <v>14</v>
      </c>
    </row>
    <row r="16" customFormat="false" ht="150" hidden="false" customHeight="true" outlineLevel="0" collapsed="false">
      <c r="A16" s="4" t="s">
        <v>84</v>
      </c>
      <c r="B16" s="5" t="s">
        <v>85</v>
      </c>
      <c r="C16" s="6" t="s">
        <v>65</v>
      </c>
      <c r="D16" s="6" t="s">
        <v>28</v>
      </c>
      <c r="E16" s="6" t="s">
        <v>36</v>
      </c>
      <c r="F16" s="6" t="s">
        <v>86</v>
      </c>
      <c r="G16" s="7" t="s">
        <v>17</v>
      </c>
      <c r="H16" s="8" t="s">
        <v>87</v>
      </c>
      <c r="I16" s="8" t="s">
        <v>88</v>
      </c>
      <c r="J16" s="6" t="s">
        <v>41</v>
      </c>
      <c r="K16" s="9" t="n">
        <v>16</v>
      </c>
    </row>
    <row r="17" customFormat="false" ht="21.75" hidden="false" customHeight="true" outlineLevel="0" collapsed="false">
      <c r="A17" s="3" t="s">
        <v>89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0" hidden="false" customHeight="true" outlineLevel="0" collapsed="false">
      <c r="A18" s="4" t="s">
        <v>90</v>
      </c>
      <c r="B18" s="5" t="s">
        <v>91</v>
      </c>
      <c r="C18" s="6" t="s">
        <v>89</v>
      </c>
      <c r="D18" s="6" t="s">
        <v>92</v>
      </c>
      <c r="E18" s="6" t="s">
        <v>93</v>
      </c>
      <c r="F18" s="6" t="s">
        <v>94</v>
      </c>
      <c r="G18" s="7" t="s">
        <v>17</v>
      </c>
      <c r="H18" s="8" t="s">
        <v>95</v>
      </c>
      <c r="I18" s="8" t="s">
        <v>96</v>
      </c>
      <c r="J18" s="6" t="s">
        <v>33</v>
      </c>
      <c r="K18" s="9" t="n">
        <v>18</v>
      </c>
    </row>
    <row r="19" customFormat="false" ht="150" hidden="false" customHeight="true" outlineLevel="0" collapsed="false">
      <c r="A19" s="4" t="s">
        <v>97</v>
      </c>
      <c r="B19" s="5" t="s">
        <v>98</v>
      </c>
      <c r="C19" s="6" t="s">
        <v>89</v>
      </c>
      <c r="D19" s="6" t="s">
        <v>92</v>
      </c>
      <c r="E19" s="6" t="s">
        <v>68</v>
      </c>
      <c r="F19" s="6" t="s">
        <v>99</v>
      </c>
      <c r="G19" s="7" t="s">
        <v>17</v>
      </c>
      <c r="H19" s="8" t="s">
        <v>100</v>
      </c>
      <c r="I19" s="8" t="s">
        <v>101</v>
      </c>
      <c r="J19" s="6" t="s">
        <v>20</v>
      </c>
      <c r="K19" s="9" t="n">
        <v>20</v>
      </c>
    </row>
    <row r="20" customFormat="false" ht="150" hidden="false" customHeight="true" outlineLevel="0" collapsed="false">
      <c r="A20" s="4" t="s">
        <v>102</v>
      </c>
      <c r="B20" s="5" t="s">
        <v>103</v>
      </c>
      <c r="C20" s="6" t="s">
        <v>89</v>
      </c>
      <c r="D20" s="6" t="s">
        <v>104</v>
      </c>
      <c r="E20" s="6" t="s">
        <v>29</v>
      </c>
      <c r="F20" s="6" t="s">
        <v>105</v>
      </c>
      <c r="G20" s="10" t="s">
        <v>38</v>
      </c>
      <c r="H20" s="8" t="s">
        <v>106</v>
      </c>
      <c r="I20" s="8" t="s">
        <v>107</v>
      </c>
      <c r="J20" s="6" t="s">
        <v>33</v>
      </c>
      <c r="K20" s="9" t="n">
        <v>16</v>
      </c>
    </row>
    <row r="21" customFormat="false" ht="21.75" hidden="false" customHeight="true" outlineLevel="0" collapsed="false">
      <c r="A21" s="3" t="s">
        <v>108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0" hidden="false" customHeight="true" outlineLevel="0" collapsed="false">
      <c r="A22" s="4" t="s">
        <v>109</v>
      </c>
      <c r="B22" s="5" t="s">
        <v>110</v>
      </c>
      <c r="C22" s="6" t="s">
        <v>108</v>
      </c>
      <c r="D22" s="6" t="s">
        <v>111</v>
      </c>
      <c r="E22" s="6" t="s">
        <v>111</v>
      </c>
      <c r="F22" s="6" t="s">
        <v>112</v>
      </c>
      <c r="G22" s="7" t="s">
        <v>17</v>
      </c>
      <c r="H22" s="8" t="s">
        <v>113</v>
      </c>
      <c r="I22" s="8" t="s">
        <v>114</v>
      </c>
      <c r="J22" s="6" t="s">
        <v>41</v>
      </c>
      <c r="K22" s="9" t="n">
        <v>18</v>
      </c>
    </row>
    <row r="23" customFormat="false" ht="150" hidden="false" customHeight="true" outlineLevel="0" collapsed="false">
      <c r="A23" s="4" t="s">
        <v>115</v>
      </c>
      <c r="B23" s="5" t="s">
        <v>116</v>
      </c>
      <c r="C23" s="6" t="s">
        <v>108</v>
      </c>
      <c r="D23" s="6" t="s">
        <v>111</v>
      </c>
      <c r="E23" s="6" t="s">
        <v>111</v>
      </c>
      <c r="F23" s="6" t="s">
        <v>117</v>
      </c>
      <c r="G23" s="10" t="s">
        <v>38</v>
      </c>
      <c r="H23" s="8" t="s">
        <v>118</v>
      </c>
      <c r="I23" s="8" t="s">
        <v>119</v>
      </c>
      <c r="J23" s="6" t="s">
        <v>20</v>
      </c>
      <c r="K23" s="9" t="n">
        <v>14</v>
      </c>
    </row>
    <row r="24" customFormat="false" ht="150" hidden="false" customHeight="true" outlineLevel="0" collapsed="false">
      <c r="A24" s="4" t="s">
        <v>120</v>
      </c>
      <c r="B24" s="5" t="s">
        <v>121</v>
      </c>
      <c r="C24" s="6" t="s">
        <v>108</v>
      </c>
      <c r="D24" s="6" t="s">
        <v>111</v>
      </c>
      <c r="E24" s="6" t="s">
        <v>111</v>
      </c>
      <c r="F24" s="6" t="s">
        <v>122</v>
      </c>
      <c r="G24" s="7" t="s">
        <v>17</v>
      </c>
      <c r="H24" s="8" t="s">
        <v>123</v>
      </c>
      <c r="I24" s="8" t="s">
        <v>124</v>
      </c>
      <c r="J24" s="6" t="s">
        <v>20</v>
      </c>
      <c r="K24" s="9" t="n">
        <v>14</v>
      </c>
    </row>
    <row r="25" customFormat="false" ht="21.75" hidden="false" customHeight="true" outlineLevel="0" collapsed="false">
      <c r="A25" s="3" t="s">
        <v>125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0" hidden="false" customHeight="true" outlineLevel="0" collapsed="false">
      <c r="A26" s="4" t="s">
        <v>126</v>
      </c>
      <c r="B26" s="5" t="s">
        <v>127</v>
      </c>
      <c r="C26" s="6" t="s">
        <v>125</v>
      </c>
      <c r="D26" s="6" t="s">
        <v>28</v>
      </c>
      <c r="E26" s="6" t="s">
        <v>68</v>
      </c>
      <c r="F26" s="6" t="s">
        <v>128</v>
      </c>
      <c r="G26" s="10" t="s">
        <v>38</v>
      </c>
      <c r="H26" s="8" t="s">
        <v>129</v>
      </c>
      <c r="I26" s="8" t="s">
        <v>130</v>
      </c>
      <c r="J26" s="6" t="s">
        <v>20</v>
      </c>
      <c r="K26" s="9" t="n">
        <v>16</v>
      </c>
    </row>
    <row r="27" customFormat="false" ht="150" hidden="false" customHeight="true" outlineLevel="0" collapsed="false">
      <c r="A27" s="4" t="s">
        <v>131</v>
      </c>
      <c r="B27" s="5" t="s">
        <v>132</v>
      </c>
      <c r="C27" s="6" t="s">
        <v>125</v>
      </c>
      <c r="D27" s="6" t="s">
        <v>28</v>
      </c>
      <c r="E27" s="6" t="s">
        <v>68</v>
      </c>
      <c r="F27" s="6" t="s">
        <v>133</v>
      </c>
      <c r="G27" s="11" t="s">
        <v>62</v>
      </c>
      <c r="H27" s="8" t="s">
        <v>134</v>
      </c>
      <c r="I27" s="8" t="s">
        <v>135</v>
      </c>
      <c r="J27" s="6" t="s">
        <v>20</v>
      </c>
      <c r="K27" s="9" t="n">
        <v>12</v>
      </c>
    </row>
    <row r="28" customFormat="false" ht="150" hidden="false" customHeight="true" outlineLevel="0" collapsed="false">
      <c r="A28" s="4" t="s">
        <v>136</v>
      </c>
      <c r="B28" s="5" t="s">
        <v>137</v>
      </c>
      <c r="C28" s="6" t="s">
        <v>125</v>
      </c>
      <c r="D28" s="6" t="s">
        <v>28</v>
      </c>
      <c r="E28" s="6" t="s">
        <v>36</v>
      </c>
      <c r="F28" s="6" t="s">
        <v>138</v>
      </c>
      <c r="G28" s="11" t="s">
        <v>62</v>
      </c>
      <c r="H28" s="8" t="s">
        <v>139</v>
      </c>
      <c r="I28" s="8" t="s">
        <v>140</v>
      </c>
      <c r="J28" s="6" t="s">
        <v>41</v>
      </c>
      <c r="K28" s="9" t="n">
        <v>12</v>
      </c>
    </row>
    <row r="29" customFormat="false" ht="150" hidden="false" customHeight="true" outlineLevel="0" collapsed="false">
      <c r="A29" s="4" t="s">
        <v>141</v>
      </c>
      <c r="B29" s="5" t="s">
        <v>142</v>
      </c>
      <c r="C29" s="6" t="s">
        <v>125</v>
      </c>
      <c r="D29" s="6" t="s">
        <v>143</v>
      </c>
      <c r="E29" s="6" t="s">
        <v>68</v>
      </c>
      <c r="F29" s="6" t="s">
        <v>144</v>
      </c>
      <c r="G29" s="11" t="s">
        <v>62</v>
      </c>
      <c r="H29" s="8" t="s">
        <v>145</v>
      </c>
      <c r="I29" s="8" t="s">
        <v>146</v>
      </c>
      <c r="J29" s="6" t="s">
        <v>147</v>
      </c>
      <c r="K29" s="9" t="n">
        <v>14</v>
      </c>
    </row>
    <row r="30" customFormat="false" ht="21.75" hidden="false" customHeight="true" outlineLevel="0" collapsed="false">
      <c r="A30" s="3" t="s">
        <v>148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0" hidden="false" customHeight="true" outlineLevel="0" collapsed="false">
      <c r="A31" s="4" t="s">
        <v>149</v>
      </c>
      <c r="B31" s="5" t="s">
        <v>150</v>
      </c>
      <c r="C31" s="6" t="s">
        <v>148</v>
      </c>
      <c r="D31" s="6" t="s">
        <v>28</v>
      </c>
      <c r="E31" s="6" t="s">
        <v>68</v>
      </c>
      <c r="F31" s="6" t="s">
        <v>151</v>
      </c>
      <c r="G31" s="7" t="s">
        <v>17</v>
      </c>
      <c r="H31" s="8" t="s">
        <v>152</v>
      </c>
      <c r="I31" s="8" t="s">
        <v>153</v>
      </c>
      <c r="J31" s="6" t="s">
        <v>20</v>
      </c>
      <c r="K31" s="9" t="n">
        <v>16</v>
      </c>
    </row>
    <row r="32" customFormat="false" ht="150" hidden="false" customHeight="true" outlineLevel="0" collapsed="false">
      <c r="A32" s="4" t="s">
        <v>154</v>
      </c>
      <c r="B32" s="5" t="s">
        <v>155</v>
      </c>
      <c r="C32" s="6" t="s">
        <v>148</v>
      </c>
      <c r="D32" s="6" t="s">
        <v>111</v>
      </c>
      <c r="E32" s="6" t="s">
        <v>29</v>
      </c>
      <c r="F32" s="6" t="s">
        <v>156</v>
      </c>
      <c r="G32" s="10" t="s">
        <v>38</v>
      </c>
      <c r="H32" s="8" t="s">
        <v>157</v>
      </c>
      <c r="I32" s="8" t="s">
        <v>158</v>
      </c>
      <c r="J32" s="6" t="s">
        <v>33</v>
      </c>
      <c r="K32" s="9" t="n">
        <v>14</v>
      </c>
    </row>
    <row r="33" customFormat="false" ht="21.75" hidden="false" customHeight="true" outlineLevel="0" collapsed="false">
      <c r="A33" s="3" t="s">
        <v>159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0" hidden="false" customHeight="true" outlineLevel="0" collapsed="false">
      <c r="A34" s="4" t="s">
        <v>160</v>
      </c>
      <c r="B34" s="5" t="s">
        <v>161</v>
      </c>
      <c r="C34" s="6" t="s">
        <v>159</v>
      </c>
      <c r="D34" s="6" t="s">
        <v>104</v>
      </c>
      <c r="E34" s="6" t="s">
        <v>68</v>
      </c>
      <c r="F34" s="6" t="s">
        <v>162</v>
      </c>
      <c r="G34" s="11" t="s">
        <v>62</v>
      </c>
      <c r="H34" s="8" t="s">
        <v>163</v>
      </c>
      <c r="I34" s="8" t="s">
        <v>164</v>
      </c>
      <c r="J34" s="6" t="s">
        <v>147</v>
      </c>
      <c r="K34" s="9" t="n">
        <v>16</v>
      </c>
    </row>
    <row r="35" customFormat="false" ht="21.75" hidden="false" customHeight="true" outlineLevel="0" collapsed="false">
      <c r="A35" s="3" t="s">
        <v>148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0" hidden="false" customHeight="true" outlineLevel="0" collapsed="false">
      <c r="A36" s="4" t="s">
        <v>165</v>
      </c>
      <c r="B36" s="5" t="s">
        <v>166</v>
      </c>
      <c r="C36" s="6" t="s">
        <v>148</v>
      </c>
      <c r="D36" s="6" t="s">
        <v>143</v>
      </c>
      <c r="E36" s="6" t="s">
        <v>143</v>
      </c>
      <c r="F36" s="6" t="s">
        <v>167</v>
      </c>
      <c r="G36" s="10" t="s">
        <v>38</v>
      </c>
      <c r="H36" s="8" t="s">
        <v>168</v>
      </c>
      <c r="I36" s="8" t="s">
        <v>169</v>
      </c>
      <c r="J36" s="6" t="s">
        <v>33</v>
      </c>
      <c r="K36" s="9" t="n">
        <v>16</v>
      </c>
    </row>
    <row r="37" customFormat="false" ht="21.75" hidden="false" customHeight="true" outlineLevel="0" collapsed="false">
      <c r="A37" s="3" t="s">
        <v>159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0" hidden="false" customHeight="true" outlineLevel="0" collapsed="false">
      <c r="A38" s="4" t="s">
        <v>170</v>
      </c>
      <c r="B38" s="5" t="s">
        <v>171</v>
      </c>
      <c r="C38" s="6" t="s">
        <v>159</v>
      </c>
      <c r="D38" s="6" t="s">
        <v>143</v>
      </c>
      <c r="E38" s="6" t="s">
        <v>143</v>
      </c>
      <c r="F38" s="6" t="s">
        <v>172</v>
      </c>
      <c r="G38" s="12" t="s">
        <v>173</v>
      </c>
      <c r="H38" s="8" t="s">
        <v>174</v>
      </c>
      <c r="I38" s="8" t="s">
        <v>175</v>
      </c>
      <c r="J38" s="6" t="s">
        <v>33</v>
      </c>
      <c r="K38" s="9" t="n">
        <v>12</v>
      </c>
    </row>
    <row r="39" customFormat="false" ht="150" hidden="false" customHeight="true" outlineLevel="0" collapsed="false">
      <c r="A39" s="4" t="s">
        <v>176</v>
      </c>
      <c r="B39" s="5" t="s">
        <v>177</v>
      </c>
      <c r="C39" s="6" t="s">
        <v>159</v>
      </c>
      <c r="D39" s="6" t="s">
        <v>92</v>
      </c>
      <c r="E39" s="6" t="s">
        <v>36</v>
      </c>
      <c r="F39" s="6" t="s">
        <v>178</v>
      </c>
      <c r="G39" s="7" t="s">
        <v>17</v>
      </c>
      <c r="H39" s="8" t="s">
        <v>179</v>
      </c>
      <c r="I39" s="8" t="s">
        <v>180</v>
      </c>
      <c r="J39" s="6" t="s">
        <v>41</v>
      </c>
      <c r="K39" s="9" t="n">
        <v>18</v>
      </c>
    </row>
  </sheetData>
  <mergeCells count="10">
    <mergeCell ref="A2:K2"/>
    <mergeCell ref="A7:K7"/>
    <mergeCell ref="A12:K12"/>
    <mergeCell ref="A17:K17"/>
    <mergeCell ref="A21:K21"/>
    <mergeCell ref="A25:K25"/>
    <mergeCell ref="A30:K30"/>
    <mergeCell ref="A33:K33"/>
    <mergeCell ref="A35:K35"/>
    <mergeCell ref="A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2" t="s">
        <v>2</v>
      </c>
      <c r="B1" s="2" t="s">
        <v>181</v>
      </c>
      <c r="C1" s="2" t="s">
        <v>10</v>
      </c>
      <c r="D1" s="2" t="s">
        <v>182</v>
      </c>
      <c r="E1" s="2" t="s">
        <v>183</v>
      </c>
    </row>
    <row r="2" customFormat="false" ht="57.75" hidden="false" customHeight="true" outlineLevel="0" collapsed="false">
      <c r="A2" s="5" t="s">
        <v>11</v>
      </c>
      <c r="B2" s="13" t="n">
        <v>4</v>
      </c>
      <c r="C2" s="9" t="n">
        <f aca="false">SUMIF('Go-Live Backlog'!C:C,A2,'Go-Live Backlog'!K:K)</f>
        <v>50</v>
      </c>
      <c r="D2" s="14" t="str">
        <f aca="false">IF(AND(C2&gt;=45,C2&lt;=65),"YES","CHECK")</f>
        <v>YES</v>
      </c>
      <c r="E2" s="6" t="s">
        <v>184</v>
      </c>
    </row>
    <row r="3" customFormat="false" ht="57.75" hidden="false" customHeight="true" outlineLevel="0" collapsed="false">
      <c r="A3" s="5" t="s">
        <v>42</v>
      </c>
      <c r="B3" s="13" t="n">
        <v>4</v>
      </c>
      <c r="C3" s="9" t="n">
        <f aca="false">SUMIF('Go-Live Backlog'!C:C,A3,'Go-Live Backlog'!K:K)</f>
        <v>46</v>
      </c>
      <c r="D3" s="14" t="str">
        <f aca="false">IF(AND(C3&gt;=45,C3&lt;=65),"YES","CHECK")</f>
        <v>YES</v>
      </c>
      <c r="E3" s="6" t="s">
        <v>185</v>
      </c>
    </row>
    <row r="4" customFormat="false" ht="57.75" hidden="false" customHeight="true" outlineLevel="0" collapsed="false">
      <c r="A4" s="5" t="s">
        <v>65</v>
      </c>
      <c r="B4" s="13" t="n">
        <v>4</v>
      </c>
      <c r="C4" s="9" t="n">
        <f aca="false">SUMIF('Go-Live Backlog'!C:C,A4,'Go-Live Backlog'!K:K)</f>
        <v>52</v>
      </c>
      <c r="D4" s="14" t="str">
        <f aca="false">IF(AND(C4&gt;=45,C4&lt;=65),"YES","CHECK")</f>
        <v>YES</v>
      </c>
      <c r="E4" s="6" t="s">
        <v>186</v>
      </c>
    </row>
    <row r="5" customFormat="false" ht="57.75" hidden="false" customHeight="true" outlineLevel="0" collapsed="false">
      <c r="A5" s="5" t="s">
        <v>89</v>
      </c>
      <c r="B5" s="13" t="n">
        <v>3</v>
      </c>
      <c r="C5" s="9" t="n">
        <f aca="false">SUMIF('Go-Live Backlog'!C:C,A5,'Go-Live Backlog'!K:K)</f>
        <v>54</v>
      </c>
      <c r="D5" s="14" t="str">
        <f aca="false">IF(AND(C5&gt;=45,C5&lt;=65),"YES","CHECK")</f>
        <v>YES</v>
      </c>
      <c r="E5" s="6" t="s">
        <v>187</v>
      </c>
    </row>
    <row r="6" customFormat="false" ht="57.75" hidden="false" customHeight="true" outlineLevel="0" collapsed="false">
      <c r="A6" s="5" t="s">
        <v>108</v>
      </c>
      <c r="B6" s="13" t="n">
        <v>3</v>
      </c>
      <c r="C6" s="9" t="n">
        <f aca="false">SUMIF('Go-Live Backlog'!C:C,A6,'Go-Live Backlog'!K:K)</f>
        <v>46</v>
      </c>
      <c r="D6" s="14" t="str">
        <f aca="false">IF(AND(C6&gt;=45,C6&lt;=65),"YES","CHECK")</f>
        <v>YES</v>
      </c>
      <c r="E6" s="6" t="s">
        <v>188</v>
      </c>
    </row>
    <row r="7" customFormat="false" ht="57.75" hidden="false" customHeight="true" outlineLevel="0" collapsed="false">
      <c r="A7" s="5" t="s">
        <v>125</v>
      </c>
      <c r="B7" s="13" t="n">
        <v>4</v>
      </c>
      <c r="C7" s="9" t="n">
        <f aca="false">SUMIF('Go-Live Backlog'!C:C,A7,'Go-Live Backlog'!K:K)</f>
        <v>54</v>
      </c>
      <c r="D7" s="14" t="str">
        <f aca="false">IF(AND(C7&gt;=45,C7&lt;=65),"YES","CHECK")</f>
        <v>YES</v>
      </c>
      <c r="E7" s="6" t="s">
        <v>189</v>
      </c>
    </row>
    <row r="8" customFormat="false" ht="57.75" hidden="false" customHeight="true" outlineLevel="0" collapsed="false">
      <c r="A8" s="5" t="s">
        <v>148</v>
      </c>
      <c r="B8" s="13" t="n">
        <v>3</v>
      </c>
      <c r="C8" s="9" t="n">
        <f aca="false">SUMIF('Go-Live Backlog'!C:C,A8,'Go-Live Backlog'!K:K)</f>
        <v>46</v>
      </c>
      <c r="D8" s="14" t="str">
        <f aca="false">IF(AND(C8&gt;=45,C8&lt;=65),"YES","CHECK")</f>
        <v>YES</v>
      </c>
      <c r="E8" s="6" t="s">
        <v>190</v>
      </c>
    </row>
    <row r="9" customFormat="false" ht="57.75" hidden="false" customHeight="true" outlineLevel="0" collapsed="false">
      <c r="A9" s="5" t="s">
        <v>159</v>
      </c>
      <c r="B9" s="13" t="n">
        <v>3</v>
      </c>
      <c r="C9" s="9" t="n">
        <f aca="false">SUMIF('Go-Live Backlog'!C:C,A9,'Go-Live Backlog'!K:K)</f>
        <v>46</v>
      </c>
      <c r="D9" s="14" t="str">
        <f aca="false">IF(AND(C9&gt;=45,C9&lt;=65),"YES","CHECK")</f>
        <v>YES</v>
      </c>
      <c r="E9" s="6" t="s">
        <v>191</v>
      </c>
    </row>
    <row r="10" customFormat="false" ht="24" hidden="false" customHeight="true" outlineLevel="0" collapsed="false">
      <c r="A10" s="15" t="s">
        <v>192</v>
      </c>
      <c r="B10" s="16" t="n">
        <f aca="false">SUM(B2:B9)</f>
        <v>28</v>
      </c>
      <c r="C10" s="16" t="n">
        <f aca="false">SUM(C2:C9)</f>
        <v>394</v>
      </c>
      <c r="D10" s="17"/>
      <c r="E10" s="18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2026-06-13T06:55:44Z</dcterms:created>
  <dc:creator>openpyxl</dc:creator>
  <dc:description/>
  <dc:language>en-US</dc:language>
  <cp:lastModifiedBy/>
  <dcterms:modified xsi:type="dcterms:W3CDTF">2026-06-13T06:56:05Z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