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ask List" sheetId="2" state="visible" r:id="rId4"/>
    <sheet name="Phas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<sst xmlns="http://schemas.openxmlformats.org/spreadsheetml/2006/main" count="518" uniqueCount="313">
  <si>
    <t xml:space="preserve">PlantProcess IQ - 2-Week Launch Backlog  (Iteration 2)</t>
  </si>
  <si>
    <t xml:space="preserve">Tightened to guarantee the 6 launch goals: presentable scorecard, a more-than-acceptable app, working mainstream workflow, a no-surprise demo, a shiny UI, and a server deploy that actually updates on push.</t>
  </si>
  <si>
    <t xml:space="preserve">WHAT CHANGED IN THIS ITERATION</t>
  </si>
  <si>
    <t xml:space="preserve">-  +5 NEW tasks (purple flag): P1-T01 stabilize live deploy + rollback (day 1); P2-T12 app flagship 'wow' visual pass; P3-T18 demo performance / no-hang; P5-T29 guided golden-path demo + presenter script; P6-T36 presentation-day go/no-go + offline fallback.</t>
  </si>
  <si>
    <t xml:space="preserve">-  Existing tasks enriched: version/build stamps, zero-console-errors, keyboard/focus, prefers-reduced-motion, push-&gt;live verification, harder acceptance everywhere.</t>
  </si>
  <si>
    <t xml:space="preserve">-  Sequencing gap fixed: the live stack is stabilized on DAY 1 (P1-T01) so the team lead sees it on the server in Week 1 and every phase can deploy; the permanent convergence + Jenkins rebuild stay in Week 2 (P4-T20/T21).</t>
  </si>
  <si>
    <t xml:space="preserve">-  36 tasks / 6 phases; each phase 56-65h (within 45-65).</t>
  </si>
  <si>
    <t xml:space="preserve">SCORE TRAJECTORY</t>
  </si>
  <si>
    <t xml:space="preserve">Milestone</t>
  </si>
  <si>
    <t xml:space="preserve">Overall /84</t>
  </si>
  <si>
    <t xml:space="preserve">Band</t>
  </si>
  <si>
    <t xml:space="preserve">Doctrine published (stale s21)</t>
  </si>
  <si>
    <t xml:space="preserve">46</t>
  </si>
  <si>
    <t xml:space="preserve">CRITICAL</t>
  </si>
  <si>
    <t xml:space="preserve">Verified now (Scorecard v2)</t>
  </si>
  <si>
    <t xml:space="preserve">66</t>
  </si>
  <si>
    <t xml:space="preserve">NEEDS WORK</t>
  </si>
  <si>
    <t xml:space="preserve">After Phase 1-3 (team lead)</t>
  </si>
  <si>
    <t xml:space="preserve">~72</t>
  </si>
  <si>
    <t xml:space="preserve">SOLID</t>
  </si>
  <si>
    <t xml:space="preserve">After Phase 4-6 (customer)</t>
  </si>
  <si>
    <t xml:space="preserve">~77</t>
  </si>
  <si>
    <t xml:space="preserve">Doctrine ceiling</t>
  </si>
  <si>
    <t xml:space="preserve">84</t>
  </si>
  <si>
    <t xml:space="preserve">HOW THE 6 PHASES HIT THE 6 GOALS</t>
  </si>
  <si>
    <t xml:space="preserve">Phase</t>
  </si>
  <si>
    <t xml:space="preserve">Focus</t>
  </si>
  <si>
    <t xml:space="preserve">When</t>
  </si>
  <si>
    <t xml:space="preserve">Deploy milestone (something new, nothing broken)</t>
  </si>
  <si>
    <t xml:space="preserve">Primary score lift</t>
  </si>
  <si>
    <t xml:space="preserve">Phase 1</t>
  </si>
  <si>
    <t xml:space="preserve">Stabilize live + structural honesty + test reality</t>
  </si>
  <si>
    <t xml:space="preserve">Week 1 - team-lead</t>
  </si>
  <si>
    <t xml:space="preserve">Server shows latest build (stamped) + rollback ready; repo no longer shamming; tests run &amp; gate locally</t>
  </si>
  <si>
    <t xml:space="preserve">Developer 62-&gt;~71; unblocks deploy-each-phase (NEW P1-T01)</t>
  </si>
  <si>
    <t xml:space="preserve">Phase 2</t>
  </si>
  <si>
    <t xml:space="preserve">UI standardization + flagship visual uplift</t>
  </si>
  <si>
    <t xml:space="preserve">Every page same standard look, no dead buttons, no failed loads, 3 flagship screens look impressive</t>
  </si>
  <si>
    <t xml:space="preserve">Eng Customer UI/UX 64-&gt;~78; app starts looking shiny (NEW P2-T12)</t>
  </si>
  <si>
    <t xml:space="preserve">Phase 3</t>
  </si>
  <si>
    <t xml:space="preserve">Intelligence, value &amp; demo performance</t>
  </si>
  <si>
    <t xml:space="preserve">Bounded EUR value, honest correlations + citations, snappy no-hang endpoints</t>
  </si>
  <si>
    <t xml:space="preserve">CEO value 56-&gt;~70 + trust 80-&gt;85; AI/ML -&gt;~80 (NEW P3-T18)</t>
  </si>
  <si>
    <t xml:space="preserve">Phase 4</t>
  </si>
  <si>
    <t xml:space="preserve">Deploy convergence &amp; pipeline rebuild</t>
  </si>
  <si>
    <t xml:space="preserve">Week 2 - customer</t>
  </si>
  <si>
    <t xml:space="preserve">A git push genuinely updates the live demo (stamp match); tests gate the deploy</t>
  </si>
  <si>
    <t xml:space="preserve">Gate G9/G10; root cause of FE/BE-not-updating SOLVED  [MANDATED]</t>
  </si>
  <si>
    <t xml:space="preserve">Phase 5</t>
  </si>
  <si>
    <t xml:space="preserve">Demo-through-HMI &amp; guided narrative</t>
  </si>
  <si>
    <t xml:space="preserve">Demo built from empty through the product; nothing hardcoded; on-rails guided tour</t>
  </si>
  <si>
    <t xml:space="preserve">Gate G3/G7; Wave C 55-&gt;~85; no-surprise demo (NEW P5-T29)</t>
  </si>
  <si>
    <t xml:space="preserve">Phase 6</t>
  </si>
  <si>
    <t xml:space="preserve">Website, evaluation surface, a11y &amp; presentation readiness</t>
  </si>
  <si>
    <t xml:space="preserve">Shiny site + honest customer evaluation; AA light/RTL; rehearsed go/no-go + rollback</t>
  </si>
  <si>
    <t xml:space="preserve">Brand 72-&gt;~80; CEO cross-device 56-&gt;~70; Gate G8/G14 (NEW P6-T36)</t>
  </si>
  <si>
    <t xml:space="preserve">Task ID</t>
  </si>
  <si>
    <t xml:space="preserve">Task Name</t>
  </si>
  <si>
    <t xml:space="preserve">Track</t>
  </si>
  <si>
    <t xml:space="preserve">Module</t>
  </si>
  <si>
    <t xml:space="preserve">Submodule</t>
  </si>
  <si>
    <t xml:space="preserve">Severity</t>
  </si>
  <si>
    <t xml:space="preserve">Description (what to build)</t>
  </si>
  <si>
    <t xml:space="preserve">Acceptance Criteria (hard tests)</t>
  </si>
  <si>
    <t xml:space="preserve">Task Type</t>
  </si>
  <si>
    <t xml:space="preserve">Effort (h)</t>
  </si>
  <si>
    <t xml:space="preserve">Score Impact / Boosts</t>
  </si>
  <si>
    <t xml:space="preserve">PHASE 1  -  Stabilize live + structural honesty + test reality   |   Week 1 - team-lead   |   ends deployable: Server shows latest build (stamped) + rollback ready; repo no longer shamming; tests run &amp; gate locally</t>
  </si>
  <si>
    <t xml:space="preserve">P1-T01</t>
  </si>
  <si>
    <t xml:space="preserve">[NEW] Stabilize the live server deploy NOW + rollback safety net</t>
  </si>
  <si>
    <t xml:space="preserve">Deploy</t>
  </si>
  <si>
    <t xml:space="preserve">Infrastructure</t>
  </si>
  <si>
    <t xml:space="preserve">Live-stack stabilization</t>
  </si>
  <si>
    <t xml:space="preserve">Critical</t>
  </si>
  <si>
    <t xml:space="preserve">Before any score work, make the SERVER show the latest build and make every deploy reversible - WITHOUT yet rebuilding the pipeline. Manually rebuild the four app images from freshly pulled code and recreate the LIVE ppiq-app-* containers IN PLACE (compose project plantprocessiq, Infrastructure/deploy/docker-compose.demo.yml, `--no-deps` so ppiq-postgres + its volume are untouched), reusing the working config baked into the running containers (valid 64-char SigningKey, ConnectionStrings__PlantProcessDb, Caddy wiring). Tag the current known-good images (plantprocess-api:known-good-YYYYMMDD etc.) and write ONE rollback script deploy/rollback.sh that re-points the live containers to the last known-good tag in &lt;2 min. Delete the crash-looping orphan plantprocess-* containers. Add a visible build/version stamp (commit short-sha) to the app footer + an /version endpoint. THIS is the deliberate minimal deploy task pulled into Week 1 to cover the sequencing gap and to make 'deploy at the end of every phase' actually possible; the FULL compose convergence (P4-T20) and Jenkins rebuild (P4-T21) stay in Week 2.</t>
  </si>
  <si>
    <t xml:space="preserve">Live app/api/website hosts serve the latest commit, verified by a build/version stamp == `git rev-parse --short HEAD`; RestartCount on every ppiq-app-* is 0 and stays 0 for 10 min; ZERO orphan plantprocess-* containers remain; deploy/rollback.sh restores the previous known-good build in &lt;2 min (rehearsed once and timed); ppiq-postgres volume id + row counts unchanged.</t>
  </si>
  <si>
    <t xml:space="preserve">Bug fix</t>
  </si>
  <si>
    <t xml:space="preserve">Goal 4 &amp; 6; unblocks deploy-each-phase; Gate G9</t>
  </si>
  <si>
    <t xml:space="preserve">P1-T02</t>
  </si>
  <si>
    <t xml:space="preserve">Inline re-export shims &amp; rename runtime-suffix modules</t>
  </si>
  <si>
    <t xml:space="preserve">Hardening</t>
  </si>
  <si>
    <t xml:space="preserve">FrontEnd</t>
  </si>
  <si>
    <t xml:space="preserve">App shell / module structure</t>
  </si>
  <si>
    <t xml:space="preserve">The frontend closes refactors by renaming, not decomposing: App.tsx is a 2-line `export * from './App.implementation'` re-exporting AppRoutes.generated; StandardTable.tsx re-exports StandardTable.implementation; 48 of 280 src .ts/.tsx files are &lt;=6-line shims and 30 carry .implementation/.runtime/.generated/.view/.model suffixes (~15k lines). For EACH shim: delete it, rename the target to the honest name, update all imports. Where a &gt;1000-line file bundles many concerns (AdminDbConfigurationTab.runtime.generated.tsx 1132, MaterialAnalyticsPages.runtime.generated.tsx 1107), split it into real feature sub-modules by responsibility. Additionally: remove dead/duplicate exports flagged by the TS compiler and ensure each module has a single clear responsibility. No production module name may end in .implementation/.runtime/.generated and no file may be a pure passthrough.</t>
  </si>
  <si>
    <t xml:space="preserve">grep for `export * from .*(implementation|runtime|generated)` in src returns ZERO; no src file &lt;=6 lines except explicit index barrels; `npm run build` + `tsc -b --noEmit` clean with ZERO warnings; `npm run test` (vitest) green; a NEW guard scripts/validate-no-passthrough-shims.mjs fails CI if any &lt;=6-line re-export reappears; `npx ts-prune` reports no new unused exports.</t>
  </si>
  <si>
    <t xml:space="preserve">Refactor</t>
  </si>
  <si>
    <t xml:space="preserve">Developer (structure 50-&gt;~70); Gate G10</t>
  </si>
  <si>
    <t xml:space="preserve">P1-T03</t>
  </si>
  <si>
    <t xml:space="preserve">Prune dead weight &amp; relocate one-off tooling out of the product tree</t>
  </si>
  <si>
    <t xml:space="preserve">Documentation</t>
  </si>
  <si>
    <t xml:space="preserve">Repo hygiene</t>
  </si>
  <si>
    <t xml:space="preserve">very important</t>
  </si>
  <si>
    <t xml:space="preserve">16,088 lines across tools/_archive (31 files), deploy/_legacy_consolidated_20260604_115150 (8 files) and .archived files ship in the repo; 612 files / 156,827 lines (~30% of the tree) are one-off validators/closure docs under tools/+docs/+scripts/ dwarfing the product. Delete _archive/_legacy/.archived (recoverable from git history); consolidate genuinely-reused validators into one ci/validators/ folder; delete per-pack/per-phase one-shot scripts. Add the archive paths to .gitignore and document the clone-size before/after.</t>
  </si>
  <si>
    <t xml:space="preserve">_archive/_legacy*/.archived absent from the working tree; repo file+line count drops measurably (recorded in docs/cleanup-report.md with before/after); `git clean -nffdx` shows nothing unexpected; `git status` clean; build + ALL tests still green (nothing referenced the deletions).</t>
  </si>
  <si>
    <t xml:space="preserve">Developer (structure); Gate G10</t>
  </si>
  <si>
    <t xml:space="preserve">P1-T04</t>
  </si>
  <si>
    <t xml:space="preserve">Self-provisioning test database so `dotnet test` runs green</t>
  </si>
  <si>
    <t xml:space="preserve">Testing</t>
  </si>
  <si>
    <t xml:space="preserve">Integration test harness</t>
  </si>
  <si>
    <t xml:space="preserve">The 117 backend test projects include integration suites (Infrastructure.IntegrationTests, Api.IntegrationTests) needing live Postgres via PPIQ_TEST_CONNECTION_STRING; today they error when unset (the 62-failure symptom). Make the run self-provisioning: a fixture/collection that (a) reads PPIQ_TEST_CONNECTION_STRING or falls back to a throwaway plantprocess_test_db, (b) creates the DB if absent, (c) applies Backend/database/scripts/*.sql in order, (d) applies Backend/tests/_fixtures/seed_test_auth.sql + test-seeds/900_clean_test_auth_seed.sql, (e) tears down/resets between runs. Connect as a NON-superuser role so FORCE-RLS tests are valid. Make the run reproducible (a single `dotnet test` command + a documented one-time createdb).</t>
  </si>
  <si>
    <t xml:space="preserve">`dotnet test PlantProcessIQ.sln --nologo` on a clean machine with only Postgres up passes ALL projects (0 failed, 0 errored, 0 skipped beyond the documented 1); RlsTenantIsolationTests refuses to run under superuser and passes under the app role; a second consecutive run is also green (idempotent reset); documented in Backend/tests/README.md.</t>
  </si>
  <si>
    <t xml:space="preserve">Test</t>
  </si>
  <si>
    <t xml:space="preserve">Developer (test 52-&gt;~72); Gate G10, G4</t>
  </si>
  <si>
    <t xml:space="preserve">P1-T05</t>
  </si>
  <si>
    <t xml:space="preserve">Promote the golden-dataset FDR validation to an executable gated test</t>
  </si>
  <si>
    <t xml:space="preserve">AI+ML</t>
  </si>
  <si>
    <t xml:space="preserve">Statistical discipline</t>
  </si>
  <si>
    <t xml:space="preserve">The Benjamini-Hochberg FDR golden-dataset evidence lives only as SQL rows (phase5_golden_dataset_evidence, GOLD-003) - asserted, not EXECUTED. Add a real test that builds a synthetic dataset with k planted true signals + m planted noise pairs, runs the ACTUAL Spearman + normalized MI + Lasso + VIF pipeline (ManagedStatisticalComputeEngine / AdvancedCorrelationComputeService) under Benjamini-Hochberg q&lt;=0.10, and asserts: 100% of planted signals recovered (power), 100% of noise rejected (no false positives), and determinism (same seed -&gt; identical ranking + identical q-values).</t>
  </si>
  <si>
    <t xml:space="preserve">The test recovers all planted signals and rejects all planted noise at q&lt;=0.10, is byte-identical-deterministic across two runs, and runs inside `dotnet test`; a mutation that removes the FDR correction makes the test FAIL (proving the gate bites).</t>
  </si>
  <si>
    <t xml:space="preserve">Eng Customer (AI/ML); CEO (trust); Gate G4</t>
  </si>
  <si>
    <t xml:space="preserve">P1-T06</t>
  </si>
  <si>
    <t xml:space="preserve">Fix stale tenant-GUC reset (multi-tenant isolation hardening)</t>
  </si>
  <si>
    <t xml:space="preserve">Security</t>
  </si>
  <si>
    <t xml:space="preserve">RLS / tenancy</t>
  </si>
  <si>
    <t xml:space="preserve">TenantGucConnectionInterceptor.ApplyTenantGuc[Async] EARLY-RETURNS when TryGetTenantId is false, so a pooled connection that served tenant X keeps app.current_tenant=X when reused by a no-tenant context (e.g. a worker), risking cross-tenant reads under RLS. Change it to ALWAYS set the GUC on connection open: to the resolved tenant when present, and to an explicit empty value (`SELECT set_config('app.current_tenant','',false)`) when absent, so a missing tenant FAILS CLOSED (zero rows) on every connection and never inherits a prior tenant. Audit all worker/job/hosted-service paths that open pooled connections for the same assumption.</t>
  </si>
  <si>
    <t xml:space="preserve">A new integration test opens a connection as tenant A, returns it to the pool, then runs a no-tenant op on a reused connection and asserts current_setting('app.current_tenant',true) is empty AND a tenant-scoped query returns 0 rows; an audit note lists every pooled-connection entry point and confirms each is safe; all existing RLS tests stay green.</t>
  </si>
  <si>
    <t xml:space="preserve">CEO (access/trust); Developer (stability); Gate G5</t>
  </si>
  <si>
    <t xml:space="preserve">P1-T07</t>
  </si>
  <si>
    <t xml:space="preserve">Phase 1 acceptance: local full-validation gate + regression sweep</t>
  </si>
  <si>
    <t xml:space="preserve">Phase gate</t>
  </si>
  <si>
    <t xml:space="preserve">Author ONE repo-local validation entrypoint (consolidate tools/ci/run-local-full-validation) that runs FAIL-FAST in order: `npm run lint`, `npm run test` (vitest), `dotnet test PlantProcessIQ.sln`, the no-passthrough-shim guard, and a build of both FE apps. Wire it as a git pre-push hook (husky or core.hooksPath). This is the LOCAL stand-in for the blocking CI rebuilt in Phase 4, and it is what makes the Phase-1 server deploy (via P1-T01) safe.</t>
  </si>
  <si>
    <t xml:space="preserve">The single command exits non-zero if ANY of lint/vitest/dotnet test/shim-guard/build fail and zero when all pass, on a clean checkout; a deliberately broken test forces non-zero; documented in CONTRIBUTING.md; after this phase a deploy via P1-T01 shows the new build with the version stamp and nothing broken.</t>
  </si>
  <si>
    <t xml:space="preserve">Developer (test/G10); whole-repo</t>
  </si>
  <si>
    <t xml:space="preserve">PHASE 2  -  UI standardization + flagship visual uplift   |   Week 1 - team-lead   |   ends deployable: Every page same standard look, no dead buttons, no failed loads, 3 flagship screens look impressive</t>
  </si>
  <si>
    <t xml:space="preserve">P2-T08</t>
  </si>
  <si>
    <t xml:space="preserve">Complete the Standard-component rollout (eliminate native controls)</t>
  </si>
  <si>
    <t xml:space="preserve">Design system</t>
  </si>
  <si>
    <t xml:space="preserve">The Standard component system (StandardTable/StandardFields/StandardButton/StandardSelect) is only partially adopted; the CI gate validate:standard-imports is ADVISORY and several admin pages still use native &lt;input&gt;/&lt;select&gt;/&lt;button&gt; (PPIQ-T012 inventory: AdminDbConfigurationTab, AdminImportingDataTab, InteractiveCharts, etc.). Convert EVERY remaining native control across all pages/tabs to the Standard equivalents (brand spec: disabled=0.35 opacity, 8px radius, Inter 14px semibold, focus ring visible). Remove ALL inline `style=` in favour of design tokens. Make validate:standard-imports BLOCKING (remove `|| echo WARN`).</t>
  </si>
  <si>
    <t xml:space="preserve">`npm run validate:standard-imports` passes with ZERO exceptions and is a hard gate; tools/ui/audit-ui-instances reports 0 native form controls and 0 inline styles in src/pages and src/components outside Standard wrappers; every interactive control is reachable and operable by keyboard with a visible focus ring; visual-regression updated and green; zero console warnings.</t>
  </si>
  <si>
    <t xml:space="preserve">Eng Customer (UI/UX 64-&gt;~78); Gate G6; Track 2</t>
  </si>
  <si>
    <t xml:space="preserve">P2-T09</t>
  </si>
  <si>
    <t xml:space="preserve">Standardize all action buttons; fix Material Investigation styling</t>
  </si>
  <si>
    <t xml:space="preserve">Material Investigation / buttons</t>
  </si>
  <si>
    <t xml:space="preserve">On Material Investigation the search field, Search, Load Investigation, Calculate Risk and PDF Report buttons have mismatched styling (called out explicitly in the brief). Replace with StandardButton variants (primary/secondary/ghost), align spacing+orientation, standard loading/disabled state on submit, and sweep every page so button hierarchy, size, icon placement and wording are consistent. Ensure StandardButton uses isDisabled (not disabled) consistently and shows a spinner while its action is in flight.</t>
  </si>
  <si>
    <t xml:space="preserve">A visual-regression spec covering Material Investigation + 6 representative pages passes; a lint rule rejects raw &lt;button&gt; inside src/pages; every primary action shows an in-flight spinner and is disabled while running; review confirms identical primary/secondary treatment across all pages; zero console errors.</t>
  </si>
  <si>
    <t xml:space="preserve">Eng Customer (UI/UX); Gate G6; Track 2</t>
  </si>
  <si>
    <t xml:space="preserve">P2-T10</t>
  </si>
  <si>
    <t xml:space="preserve">No-dead-button action matrix (every control does its job)</t>
  </si>
  <si>
    <t xml:space="preserve">Action matrix</t>
  </si>
  <si>
    <t xml:space="preserve">Hardening rule: never press a button that does not do its proper function. Enumerate EVERY interactive control on every page/sub-page/nav (generate the matrix from the route table so new pages are auto-required) and for each assert the REAL effect (min/max, calculation, data load, navigation, save, export) - not just that it renders. Fix any control that no-ops, errors, or silently fails. Cover the nav, tabs, table row actions, and modal actions.</t>
  </si>
  <si>
    <t xml:space="preserve">`npm run test:auth-matrix` + a new e2e/action-matrix-full.spec.ts enumerate 100% of page actions and pass by ENUMERATION (every control triggers a verifiable effect); the matrix is route-table-driven; ZERO dead buttons; a deliberately broken handler makes the matrix fail.</t>
  </si>
  <si>
    <t xml:space="preserve">Eng Customer (UI/UX, workflow); Gate G6; Track 2</t>
  </si>
  <si>
    <t xml:space="preserve">P2-T11</t>
  </si>
  <si>
    <t xml:space="preserve">Edge states &amp; progress on slow calls (loading / empty / error)</t>
  </si>
  <si>
    <t xml:space="preserve">Edge states</t>
  </si>
  <si>
    <t xml:space="preserve">The brief forbids 'view could not load' surprises and requires a loading icon with progress on long calls. Enumerate loading/empty/error/partial states for every data-bound widget and page; each must show a Standard skeleton/spinner (with progress for calls &gt;300ms), a crafted empty state (not blank), and a TYPED, actionable error with retry (never a raw stack or silent fail). Confirm aria-busy + interaction-disable during load and that a failed widget never breaks the whole page (error boundary per widget).</t>
  </si>
  <si>
    <t xml:space="preserve">An e2e injects latency + a backend outage and asserts EVERY page shows a proper loading-then-error state with working retry and never a broken/blank panel; one widget failing does not blank the page (error boundary); a11y check passes aria-busy; zero unhandled promise rejections in console.</t>
  </si>
  <si>
    <t xml:space="preserve">Eng Customer (UI/UX); CEO (perf); Goal 4; Track 2</t>
  </si>
  <si>
    <t xml:space="preserve">P2-T12</t>
  </si>
  <si>
    <t xml:space="preserve">[NEW] App flagship visual 'wow' pass (command-center hero + data-viz)</t>
  </si>
  <si>
    <t xml:space="preserve">Visual design / flagship screens</t>
  </si>
  <si>
    <t xml:space="preserve">Standardization (P2-T08) makes the app consistent; THIS makes it impressive. Take the 2-3 screens the team-lead/customer will actually see - the main operations dashboard, the Material Investigation/genealogy view, and the Value/ROI dashboard (P3-T14) - and lift them to a true dark-industrial command-center standard: deliberate hierarchy + spacing, polished data-viz (one chart theme: axes, units, gridlines, tooltips, legends), KPI hero tiles with sparklines + trend deltas, crafted empty/zero states (illustration, not blank), and subtle purposeful motion (skeleton-&gt;content fade, value count-up, chart enter). Stay in the brand palette; no animation that slows interaction; respect prefers-reduced-motion.</t>
  </si>
  <si>
    <t xml:space="preserve">Before/after of the 3 flagship screens reviewed against the brand spec; all charts share one theme verified by a visual-regression spec; every panel has a crafted loading + empty state; motion &lt;=200ms and disabled under prefers-reduced-motion; dashboard interaction stays ~60fps with no jank; zero console errors.</t>
  </si>
  <si>
    <t xml:space="preserve">Goal 5 (app shiny); Eng Customer (UI/UX); Brand</t>
  </si>
  <si>
    <t xml:space="preserve">P2-T13</t>
  </si>
  <si>
    <t xml:space="preserve">Phase 2 acceptance: visual-regression + responsive multi-breakpoint baseline</t>
  </si>
  <si>
    <t xml:space="preserve">Refresh + expand the visual-regression baseline across the standardized + polished UI, and add a responsive spec at 3 breakpoints (mobile/tablet/desktop). Re-run the full vitest + e2e suite to catch regressions from the standardization and visual sweep.</t>
  </si>
  <si>
    <t xml:space="preserve">Visual snapshots stable across the flagship + standardized screens; responsive spec passes at 3 widths with no overflow/overlap; full vitest + chromium e2e green; no regression vs Phase 1; deploy via P1-T01 shows the polished UI on the server with the version stamp.</t>
  </si>
  <si>
    <t xml:space="preserve">Eng Customer (UI/UX); Gate G6</t>
  </si>
  <si>
    <t xml:space="preserve">PHASE 3  -  Intelligence, value &amp; demo performance   |   Week 1 - team-lead   |   ends deployable: Bounded EUR value, honest correlations + citations, snappy no-hang endpoints</t>
  </si>
  <si>
    <t xml:space="preserve">P3-T14</t>
  </si>
  <si>
    <t xml:space="preserve">Value/ROI executive surface (reproduce the bounded EUR range in-product)</t>
  </si>
  <si>
    <t xml:space="preserve">Value engine UX</t>
  </si>
  <si>
    <t xml:space="preserve">ValueImpactEngine computes Low/Mid/High with an abstain path (Doctrine 7.5) but it is not surfaced as an exec deliverable. Build a Value/ROI dashboard + a monthly value report (PDF, light theme) that: takes an approved finding, calls the value engine, shows the bounded euro range with drill-through on every input (defect/scrap, ATTRIBUTABLE production-stop minutes, yield loss) and the honest ABSTAIN message when assumptions are missing, plus a payback view vs license cost. Reproduce the 7.5 worked case so the EUR 28k-56k range renders from REAL computation, not a fixture. Surface the provenance handle for every number.</t>
  </si>
  <si>
    <t xml:space="preserve">The dashboard renders a bounded range with full input drill-through for a seeded finding; with a missing assumption it shows the ABSTAIN text and NO fabricated number; the PDF matches the brand light theme and prints cleanly; an e2e asserts the rendered Low/Mid/High EXACTLY equals the engine output; every displayed number has a provenance handle (no orphan numbers).</t>
  </si>
  <si>
    <t xml:space="preserve">New feature</t>
  </si>
  <si>
    <t xml:space="preserve">CEO (value=price 56-&gt;~70, exec UX); Gate G5; North Star</t>
  </si>
  <si>
    <t xml:space="preserve">P3-T15</t>
  </si>
  <si>
    <t xml:space="preserve">Widget/dashboard schema-drift root-cause fix; heatmap + interactive filter/sort</t>
  </si>
  <si>
    <t xml:space="preserve">Workflow</t>
  </si>
  <si>
    <t xml:space="preserve">Widgets / dashboards</t>
  </si>
  <si>
    <t xml:space="preserve">Two schema-drift hotfixes (scripts 206/207) indicate the dashboard-widget definition schema churned. Reconcile the widget-definition schema ONCE (single source of truth across DB, API DTO and FE types in dashboard-widget-types.ts) and remove the drift. Then verify every chart type is dynamic + interactive with working filter/sort/drill, and that the HEATMAP renders and interacts correctly (explicit brief requirement), including the phase11 heatmap interactions. Ensure filters compose (multiple filters AND correctly) and persist on refresh.</t>
  </si>
  <si>
    <t xml:space="preserve">Widget-definition schema validated end-to-end (a contract test fails on any FE/DTO/DB drift, so no future hotfix is needed); an e2e exercises filter + multi-filter + sort + drill on bar/line/heatmap and asserts the data changes correctly; heatmap interaction spec passes; filters survive a page refresh; zero console errors.</t>
  </si>
  <si>
    <t xml:space="preserve">Eng Customer (widgets 68-&gt;~78); Gate G3; Track 1</t>
  </si>
  <si>
    <t xml:space="preserve">P3-T16</t>
  </si>
  <si>
    <t xml:space="preserve">Strengthen the grounding guard + surface evidence/citations in the assistant UI</t>
  </si>
  <si>
    <t xml:space="preserve">Backend</t>
  </si>
  <si>
    <t xml:space="preserve">Grounding / assistant</t>
  </si>
  <si>
    <t xml:space="preserve">GroundingService blocks uncited numbers and a 5-phrase forbidden list via NAIVE substring matching - a determined phrasing evades it ('the underlying driver'). Replace substring checks with a tokenized + lemma/regex matcher covering causal/value claim FAMILIES, expand the forbidden set, and add unit cases for evasion phrasings. In AssistantChat render the resolved evidence handles/citations next to every claim so the 'cites every number' North Star is visible and clickable. Keep the provider/model-version drift gate. Ensure a refusal is graceful (explains why) not a crash.</t>
  </si>
  <si>
    <t xml:space="preserve">New grounding unit tests block paraphrased causal/value claims and pass the full evasion set; AssistantGroundingEvalGate still passes; the UI shows a clickable citation chip per claim resolving to a finding/job/source; an uncited number NEVER reaches the DOM (e2e); a blocked answer renders a graceful honest message, no console error.</t>
  </si>
  <si>
    <t xml:space="preserve">CEO (trust 80-&gt;85); Gate G4, G13</t>
  </si>
  <si>
    <t xml:space="preserve">P3-T17</t>
  </si>
  <si>
    <t xml:space="preserve">Correlation -&gt; generated-page workflow with honest statistics surfaced</t>
  </si>
  <si>
    <t xml:space="preserve">Correlation / suggestions</t>
  </si>
  <si>
    <t xml:space="preserve">important</t>
  </si>
  <si>
    <t xml:space="preserve">Per Track 1 3.2, an inspection job (defect/downtime/KPI over a window) should produce a page of widgets ranking suspected contributors. Wire the correlation UI so a run surfaces, PER contributor: method (Spearman/MI), q-value, confidence interval, effect size, sample size, and population/exclusions (5.4 coverage transparency) - labelled 'suspected contributor', never 'root cause'. Deterministic suggestion cards (MD5-stable) link to their evidence. Add a clear 'how to read this' affordance so a non-statistician trusts it.</t>
  </si>
  <si>
    <t xml:space="preserve">Running an inspection job renders a ranked contributor page with q-value/CI/effect-size/population shown; identical inputs produce identical card IDs + order; the forbidden-language lint passes on ALL surfaced copy; an e2e runs a job and asserts the ranked page renders with stats and no overclaiming words.</t>
  </si>
  <si>
    <t xml:space="preserve">Eng Customer (AI/ML); CEO (trust); Gate G4, G15; Track 1</t>
  </si>
  <si>
    <t xml:space="preserve">P3-T18</t>
  </si>
  <si>
    <t xml:space="preserve">[NEW] Demo performance / no-hang latency pass</t>
  </si>
  <si>
    <t xml:space="preserve">Performance / latency budget</t>
  </si>
  <si>
    <t xml:space="preserve">The 4-track rule: endpoints don't hang. Profile the hot paths the demo actually uses (dashboard load, widget queries, genealogy walk, correlation job, value computation, investigation search) and enforce a latency budget: per-endpoint SLOs (p95 &lt; 1.5s for reads; anything longer is async + progress), server-side timeouts + cancellation so nothing hangs indefinitely, verify EXPLAIN/index coverage on the demo dataset (scripts 050/511), and confirm materialized views refresh on a sane cadence. Add a load smoke over the demo paths at presentation-like concurrency.</t>
  </si>
  <si>
    <t xml:space="preserve">A latency report shows p95 &lt; 1.5s for demo read paths on the seeded dataset; any longer op returns within its timeout with a progress UI (never an indefinite spinner); a load smoke at 10 concurrent users shows no 5xx and no request &gt;5s; the slow-query log is clean for the demo paths.</t>
  </si>
  <si>
    <t xml:space="preserve">Goal 4 &amp; 5; Eng Customer; CEO (performance)</t>
  </si>
  <si>
    <t xml:space="preserve">P3-T19</t>
  </si>
  <si>
    <t xml:space="preserve">Phase 3 acceptance: golden signals + value abstain + grounding regression</t>
  </si>
  <si>
    <t xml:space="preserve">Phase-acceptance suite running the golden-dataset recovery (P1-T05), the value-engine abstain/monotonic cases, the grounding evasion set, and the perf budget smoke (P3-T18) together, plus a full regression of vitest + dotnet test.</t>
  </si>
  <si>
    <t xml:space="preserve">Golden signals recovered + noise rejected under FDR; value engine abstains on missing inputs and never emits a non-monotonic range; grounding blocks all evasion phrasings; perf smoke passes; full vitest + dotnet test green; deploy via P1-T01 shows the intelligence/value surfaces working on the server. END OF WEEK-1 BLOCK: reds eliminated, internal scorecard ~72.</t>
  </si>
  <si>
    <t xml:space="preserve">PHASE 4  -  Deploy convergence &amp; pipeline rebuild   |   Week 2 - customer   |   ends deployable: A git push genuinely updates the live demo (stamp match); tests gate the deploy</t>
  </si>
  <si>
    <t xml:space="preserve">P4-T20</t>
  </si>
  <si>
    <t xml:space="preserve">Fix the deploy root cause: converge to ONE canonical compose Caddy serves</t>
  </si>
  <si>
    <t xml:space="preserve">Compose / Caddy</t>
  </si>
  <si>
    <t xml:space="preserve">(Permanent fix of what P1-T01 stabilized manually.) Git pushes build a parallel plantprocess-* stack (project ppiq-demo, deploy/compose/docker-compose.demo.yml) Caddy never routes to, while the live demo is the ppiq-app-* stack (project plantprocessiq, Infrastructure/deploy/docker-compose.demo.yml). Converge to ONE canonical compose = the live plantprocessiq project: fix the connection key from ConnectionStrings__DefaultConnection to the app's ConnectionStrings__PlantProcessDb; add a 64-char SigningKey + the server-only deploy .env; align the Caddy upstream service+port (image listens :5063 not :8080; service plantprocess-app-web not plantprocess-web); restore the caddy service the on-disk file lost; delete the duplicate deploy/compose/docker-compose.demo.yml; keep ppiq-postgres + its volume untouched (--no-deps). [MANDATED #1]</t>
  </si>
  <si>
    <t xml:space="preserve">A single `docker compose -f &lt;canonical&gt; up -d --no-deps` rebuilds + recreates the four app services IN PLACE; Caddy serves the new build at app/api/website hosts (200/401); ZERO orphan plantprocess-* containers; backend RestartCount stable; only ONE docker-compose.demo.yml remains in the repo; Postgres volume id + row counts unchanged.</t>
  </si>
  <si>
    <t xml:space="preserve">CEO (perf); Brand (deploy); Gate G9; Goal 6  [MANDATED]</t>
  </si>
  <si>
    <t xml:space="preserve">P4-T21</t>
  </si>
  <si>
    <t xml:space="preserve">Rebuild the Jenkins pipeline (pull-&gt;migrate-&gt;seed-&gt;lint-&gt;npm test-&gt;dotnet test-&gt;build-&gt;recreate live)</t>
  </si>
  <si>
    <t xml:space="preserve">CI/CD</t>
  </si>
  <si>
    <t xml:space="preserve">Replace the gate-rich but test-poor Jenkinsfile with the EIGHT-step pipeline: (1) pull origin/main preserving server-only .env/Caddyfile; (2) migrate the app DB + demo-source DBs idempotently with ON_ERROR_STOP=1 (FAIL on SQL error - remove the 'continuing' swallow); (3) run all seeds; (4) lint; (5) `npm run test` (vitest) BLOCKING; (6) `dotnet test PlantProcessIQ.sln` against plantprocess_test_db BLOCKING; (7) build prerequisites; (8) build + recreate the LIVE plantprocessiq stack in place + stamp the build sha. Remove catchError-&gt;SUCCESS so e2e can fail the build. Enforces gate G10 'no 85% on a gate'. [MANDATED #2]</t>
  </si>
  <si>
    <t xml:space="preserve">A push that breaks a unit test FAILS the pipeline (proven by a deliberate break); a push with a broken migration FAILS at stage 2; a clean push updates the live demo within the pipeline run and the app version stamp == the pushed sha; the pipeline runs the FULL dotnet + vitest suites (not --list); no orphan stack created; pipeline log shows all 8 stages executed and gating.</t>
  </si>
  <si>
    <t xml:space="preserve">Developer (test/G10); CEO (trust); Gate G10, G9; Goal 6  [MANDATED]</t>
  </si>
  <si>
    <t xml:space="preserve">P4-T22</t>
  </si>
  <si>
    <t xml:space="preserve">Fix migration latent + make seed deterministic</t>
  </si>
  <si>
    <t xml:space="preserve">Database</t>
  </si>
  <si>
    <t xml:space="preserve">Migrations / seed</t>
  </si>
  <si>
    <t xml:space="preserve">Backend/database/scripts/700_*_role.sql (and siblings) targets a database named plantprocessiq that does not exist - the real DB is plantprocess_app_db; under ON_ERROR_STOP=1 this fails the build, so fix the target. Audit ALL numbered scripts for hardcoded DB names, ensure idempotency (re-run twice with no error), and make the seed deterministic + re-runnable (upserts, not blind inserts) so a redeploy never duplicates demo rows.</t>
  </si>
  <si>
    <t xml:space="preserve">Applying scripts/*.sql then seed/*.sql TWICE against a fresh DB yields identical row counts and zero errors under ON_ERROR_STOP=1; the 700 role script runs clean against plantprocess_app_db; a grep finds no hardcoded wrong DB names.</t>
  </si>
  <si>
    <t xml:space="preserve">Developer (stability); CEO (trust); Gate G2, G9</t>
  </si>
  <si>
    <t xml:space="preserve">P4-T23</t>
  </si>
  <si>
    <t xml:space="preserve">Health, readiness &amp; restore-drill runbook (clean-machine bring-up)</t>
  </si>
  <si>
    <t xml:space="preserve">Ops</t>
  </si>
  <si>
    <t xml:space="preserve">Per gate G9, prove a clean machine reaches a working login by runbook only and that a backup restores. Document the bring-up (compose + .env + migrate + seed) in deploy/RUNBOOK.md, ensure /health + a NEW /ready endpoint reflect DB + migration state, and verify ppiq-backup-runner produces a restorable dump (restore into a scratch DB and validate row counts).</t>
  </si>
  <si>
    <t xml:space="preserve">Following RUNBOOK.md on a fresh VM reaches a working login; /ready returns 200 ONLY when migrations are applied (returns 503 otherwise); a backup is taken and restored into a scratch DB with matching row counts (documented with the commands + output).</t>
  </si>
  <si>
    <t xml:space="preserve">CEO (trust posture); Gate G9; Wave D</t>
  </si>
  <si>
    <t xml:space="preserve">P4-T24</t>
  </si>
  <si>
    <t xml:space="preserve">Phase 4 acceptance: green pipeline + clean-machine deploy proof</t>
  </si>
  <si>
    <t xml:space="preserve">Execute the rebuilt pipeline end-to-end on the server and capture evidence: a successful push updates the live stack (version stamp matches); a broken unit test and a broken migration each fail the pipeline at the right stage; the clean-machine runbook reaches login. Confirm no app regression after recreate-in-place.</t>
  </si>
  <si>
    <t xml:space="preserve">Pipeline artifacts show migrate+seed+lint+npm test+dotnet test all executed AND gating; live demo reflects the new commit (stamp match); orphan check passes (0 plantprocess-*); smoke gate green; rollback (deploy/rollback.sh from P1-T01) still works against the converged stack.</t>
  </si>
  <si>
    <t xml:space="preserve">Developer (G10); CEO (trust); Gate G9, G10</t>
  </si>
  <si>
    <t xml:space="preserve">PHASE 5  -  Demo-through-HMI &amp; guided narrative   |   Week 2 - customer   |   ends deployable: Demo built from empty through the product; nothing hardcoded; on-rails guided tour</t>
  </si>
  <si>
    <t xml:space="preserve">P5-T25</t>
  </si>
  <si>
    <t xml:space="preserve">Remove hardcoded demo/analytics pages; serve demo via DynamicPage only</t>
  </si>
  <si>
    <t xml:space="preserve">Demo</t>
  </si>
  <si>
    <t xml:space="preserve">Golden Rule</t>
  </si>
  <si>
    <t xml:space="preserve">A no-hardcoded-demo guard exists (T-041, verify-no-hardcoded-demo-pages.mjs, DENY pages/DemoAnalytics + pages/DemoLifecycle), yet hardcoded modules still live in src/ (DemoAnalyticsPages.implementation.tsx 461, plantProcessDemoScenario.implementation.ts 899, MaterialAnalyticsPages.runtime.generated.tsx 1107). Migrate any demo content they provide into PageDefinitions authored THROUGH the page-builder and rendered by DynamicPage at /pages/:slug; delete the hardcoded modules + their routes; make the T-041 guard BLOCKING.</t>
  </si>
  <si>
    <t xml:space="preserve">`node scripts/verify-no-hardcoded-demo-pages.mjs` passes and is a hard gate; the demo analytics/lifecycle pages render from PageDefinition via the dynamic slug route; deleting the modules leaves the demo intact; build + tests green; zero console errors on the migrated pages.</t>
  </si>
  <si>
    <t xml:space="preserve">Eng Customer (workflow); Developer (structure); Gate G3, G7; Track 3</t>
  </si>
  <si>
    <t xml:space="preserve">P5-T26</t>
  </si>
  <si>
    <t xml:space="preserve">Build the full demo from empty ENTIRELY through the HMI (recorded dry run)</t>
  </si>
  <si>
    <t xml:space="preserve">Web</t>
  </si>
  <si>
    <t xml:space="preserve">Demo-through-HMI</t>
  </si>
  <si>
    <t xml:space="preserve">Per the Golden Rule the demo must be created from empty through the product: connect the 8 sources (DB-link config), define import jobs + rates, write the mapping/join SQL views into the canonical model, build pages in the page-builder, configure widgets/charts (incl. the widget script layer), schedule the ML/correlation jobs, and view dashboards - with NOTHING hardcoded. Produce a scripted, recorded dry-run plus a checklist others can follow.</t>
  </si>
  <si>
    <t xml:space="preserve">A recorded clean dry-run exists showing the full demo built through the HMI only; a fresh DB + the dry-run reproduces the demo; the T-041 guard is green during the run; ZERO console errors across the full build; every page that results is a PageDefinition (no code page).</t>
  </si>
  <si>
    <t xml:space="preserve">Eng Customer (feature depth); Gate G3, G7; Track 1/3; North Star</t>
  </si>
  <si>
    <t xml:space="preserve">P5-T27</t>
  </si>
  <si>
    <t xml:space="preserve">Scale &amp; realism of the eight-source demo dataset</t>
  </si>
  <si>
    <t xml:space="preserve">Demo data</t>
  </si>
  <si>
    <t xml:space="preserve">Per Track 3 the dataset should be ~1 month of realistic flat-steel production: ~630 heats, ~5,600 slabs/coils, with deliberate imperfection (gaps, late samples, mixed-heat/transition coils, downtime-vs-production-stop distinction). Extend the Infrastructure/demo-sources init data (MeltShop PG, Caster/HSM Oracle, PKL MSSQL, Downtime/Parsytec MySQL, Yard/QA Excel) to that scale with genealogy that resolves both directions, and verify cross-source joins on the customer's keys.</t>
  </si>
  <si>
    <t xml:space="preserve">The seeded demo contains &gt;=630 heats and &gt;=5,600 coils across the 8 sources; a coil resolves full genealogy BOTH directions; a known transition coil reports weighted/blended attribution (5.3); the data-coverage panel shows realistic gaps; a planted true driver is recoverable by the correlation job (ties P1-T05 to real data).</t>
  </si>
  <si>
    <t xml:space="preserve">Modification</t>
  </si>
  <si>
    <t xml:space="preserve">Eng Customer (feature depth); Gate G7, G15; Track 3</t>
  </si>
  <si>
    <t xml:space="preserve">P5-T28</t>
  </si>
  <si>
    <t xml:space="preserve">One-click demo reset/rebuild + readiness check</t>
  </si>
  <si>
    <t xml:space="preserve">Reset job</t>
  </si>
  <si>
    <t xml:space="preserve">Provide a governed reset job that returns the demo to a known clean state and a one-click readiness check verifying: sources connected, mappings valid, jobs scheduled, dashboards populated, no dead widgets, no console errors, version stamp current - so the demo can be re-armed before a customer session.</t>
  </si>
  <si>
    <t xml:space="preserve">The reset job restores the clean demo state idempotently; the readiness check passes GREEN on a correctly built demo and fails with a SPECIFIC reason (which step) when anything is missing; running it twice is stable.</t>
  </si>
  <si>
    <t xml:space="preserve">Eng Customer (workflow); Gate G7; Goal 4; Track 3</t>
  </si>
  <si>
    <t xml:space="preserve">P5-T29</t>
  </si>
  <si>
    <t xml:space="preserve">[NEW] Guided golden-path demo mode + presenter script</t>
  </si>
  <si>
    <t xml:space="preserve">Guided tour / demo narrative</t>
  </si>
  <si>
    <t xml:space="preserve">De-risk the live presentation with a known-good rail. Build a lightweight guided demo mode: a scripted golden-path tour (source connected -&gt; mapping -&gt; page built -&gt; widget -&gt; correlation finding -&gt; genealogy -&gt; bounded value -&gt; report) with optional step highlights/tooltips, plus a one-page presenter script (talking points + the exact clicks) that follows ONLY verified-working paths and avoids any half-finished corner. Keeps the demo impressive and on-rails so you never improvise into a broken view.</t>
  </si>
  <si>
    <t xml:space="preserve">The guided tour runs the full golden path end-to-end on the seeded demo with NO dead step; a presenter completes the scripted flow in &lt;10 min with zero console errors and no failed load; the script is checked in (docs/demo-script.md) and matches the live build; the tour is feature-flagged so it can be hidden in production.</t>
  </si>
  <si>
    <t xml:space="preserve">Goal 4 (no surprises) &amp; 5 (impressive); Eng Customer</t>
  </si>
  <si>
    <t xml:space="preserve">P5-T30</t>
  </si>
  <si>
    <t xml:space="preserve">Phase 5 acceptance: Golden-Rule dry-run + genealogy + coverage proof</t>
  </si>
  <si>
    <t xml:space="preserve">Acceptance suite proving the demo is HMI-built and honest: T-041 guard green, readiness check green, guided golden-path passes, a genealogy walk both directions on a real coil, blended attribution on a transition coil, coverage/exclusions surfaced. Full regression of e2e.</t>
  </si>
  <si>
    <t xml:space="preserve">All of the above pass; recorded dry-run archived; no hardcoded demo page; guided tour completes clean; e2e green; deploy via the rebuilt pipeline shows the demo working on the server.</t>
  </si>
  <si>
    <t xml:space="preserve">Eng Customer (feature depth); Gate G3, G7, G15</t>
  </si>
  <si>
    <t xml:space="preserve">PHASE 6  -  Website, evaluation surface, a11y &amp; presentation readiness   |   Week 2 - customer   |   ends deployable: Shiny site + honest customer evaluation; AA light/RTL; rehearsed go/no-go + rollback</t>
  </si>
  <si>
    <t xml:space="preserve">P6-T31</t>
  </si>
  <si>
    <t xml:space="preserve">Website polish to brand-true, honesty-linted sales surface</t>
  </si>
  <si>
    <t xml:space="preserve">Marketing site</t>
  </si>
  <si>
    <t xml:space="preserve">Bring the website (PlantProcess.Website) to a shiny, brand-true state per Track 4: complete the 5-product ecosystem cards (PPIQ + MES/QES/Yard/Energy as 'core + packs' per Doctrine 15.1), the pricing/license matrix (Light/Pro/Pro Plus/Enterprise), proof sections (ProductScreenshotShowcase, ConnectorHonesty, PositioningTruth), the dark-industrial visual system and interactive graphics, responsive down to mobile. Keep the honesty-lint (forbidden-copy) BLOCKING - no 'guaranteed root cause / AI prediction / live Oracle today'.</t>
  </si>
  <si>
    <t xml:space="preserve">Honesty-lint passes and is a hard gate; all 5 products render with description/benefit/license/proof; the brand audit matches the palette+typography spec; Lighthouse &gt;=90 performance + SEO + a11y on the landing page; renders cleanly on a phone; zero console errors.</t>
  </si>
  <si>
    <t xml:space="preserve">Brand (website 68-&gt;~80); Gate G8; Track 4</t>
  </si>
  <si>
    <t xml:space="preserve">P6-T32</t>
  </si>
  <si>
    <t xml:space="preserve">Customer-facing capability &amp; evaluation surface (honest self-assessment)</t>
  </si>
  <si>
    <t xml:space="preserve">Proof / evaluation</t>
  </si>
  <si>
    <t xml:space="preserve">The customer asked to see 'our evaluation of the software'. Build an honest, presentable capability-and-evidence surface (web page or in-app 'About this build' panel) showing doctrine-gate conformance as a CAPABILITY MATRIX (GA vs in-pilot), the honesty contract, connector availability per source, and proof artifacts (a genealogy walk, an FDR-controlled finding, the bounded value range) - framed in APPROVED language, NOT the brutal internal scorecard. This is the customer-safe analogue of the internal scorecard; it must never show red/critical wording.</t>
  </si>
  <si>
    <t xml:space="preserve">The surface renders a capability matrix with honest statuses, links to LIVE proof (genealogy, finding, value range), and passes the forbidden-copy lint; a review confirms no overclaim and no internal red/yellow language leaked; works on mobile; zero console errors.</t>
  </si>
  <si>
    <t xml:space="preserve">Brand (website); CEO (trust, value=price); Gate G8; Goal 1/5; Track 4</t>
  </si>
  <si>
    <t xml:space="preserve">P6-T33</t>
  </si>
  <si>
    <t xml:space="preserve">Lead capture -&gt; delivery integration + CTA proof</t>
  </si>
  <si>
    <t xml:space="preserve">Lead capture</t>
  </si>
  <si>
    <t xml:space="preserve">Make the RequestDemoForm actually deliver: wire submission to email/webhook (the doctrine's outbound message path - never a setpoint), validate + store the lead, send a confirmation, and prove the CTA captures end-to-end. Per gate G8 'CTA captures a lead'.</t>
  </si>
  <si>
    <t xml:space="preserve">An e2e submits the form and asserts a lead is stored + a notification/webhook fires; validation rejects bad input with clear inline errors; no PII leaks client-side; a confirmation is sent.</t>
  </si>
  <si>
    <t xml:space="preserve">Brand (website); Gate G8; Track 4</t>
  </si>
  <si>
    <t xml:space="preserve">P6-T34</t>
  </si>
  <si>
    <t xml:space="preserve">WCAG-AA light theme + Arabic RTL (close the G14 gate)</t>
  </si>
  <si>
    <t xml:space="preserve">Accessibility / i18n</t>
  </si>
  <si>
    <t xml:space="preserve">G14 is a RED gate. Deliver a contrast-audited WCAG-2.1-AA light theme (the doctrine's light-mode report/print surface extended to the app shell) and complete the Arabic RTL pass (the 610 i18n/RTL scaffolding + src/i18n) with locale/units/timezone switching per user. Both dark and light themes must pass contrast; no clipped/mirrored-wrong layout in RTL.</t>
  </si>
  <si>
    <t xml:space="preserve">axe/a11y audit passes AA on BOTH themes (0 serious/critical violations); Arabic renders RTL with correctly mirrored layout; units/timezone switch per user; a visual spec covers light + RTL; keyboard navigation works in both directions.</t>
  </si>
  <si>
    <t xml:space="preserve">CEO (cross-device/perf 56-&gt;~70); Gate G14; Wave D</t>
  </si>
  <si>
    <t xml:space="preserve">P6-T35</t>
  </si>
  <si>
    <t xml:space="preserve">Cross-browser + a11y wired blocking in the pipeline</t>
  </si>
  <si>
    <t xml:space="preserve">Cross-browser gate</t>
  </si>
  <si>
    <t xml:space="preserve">Widen Playwright beyond chromium to Firefox + WebKit and wire a11y + cross-browser + visual + auth-matrix as BLOCKING stages in the rebuilt pipeline (Phase 4 made it gating). Fix any browser-specific breakage found.</t>
  </si>
  <si>
    <t xml:space="preserve">e2e + a11y pass on chromium/firefox/webkit AND gate the pipeline (a deliberate break fails it); no browser-specific layout/console errors; visual snapshots stable across engines.</t>
  </si>
  <si>
    <t xml:space="preserve">CEO (cross-device); Brand; Gate G6, G8, G14</t>
  </si>
  <si>
    <t xml:space="preserve">P6-T36</t>
  </si>
  <si>
    <t xml:space="preserve">[NEW] Presentation-day go/no-go + rollback rehearsal + offline fallback</t>
  </si>
  <si>
    <t xml:space="preserve">Presentation readiness</t>
  </si>
  <si>
    <t xml:space="preserve">The final insurance before the customer session. Run a go/no-go checklist on the EXACT deployed stack (not localhost): readiness check green (P5-T28), guided golden-path passes (P5-T29), zero console errors across the demo, version stamp == intended commit, rollback rehearsed (P1-T01 script), known-good image pinned. Prepare an offline fallback: a recorded screen-capture of the full golden path + a short screenshot deck, so a network/server hiccup never becomes a dead demo. FREEZE the demo dataset snapshot so nothing changes between rehearsal and the live session.</t>
  </si>
  <si>
    <t xml:space="preserve">The go/no-go checklist passes on the deployed stack within 24h of the session; the recorded fallback walkthrough exists and is current; the dataset is snapshotted/frozen and the readiness check is green against it; a deliberate 'kill the API' drill recovers via rollback in &lt;2 min; sign-off recorded in docs/go-no-go.md.</t>
  </si>
  <si>
    <t xml:space="preserve">Goal 4 (no surprises, hard); CEO (trust); Gate G9</t>
  </si>
  <si>
    <t xml:space="preserve">TOTAL EFFORT (h)</t>
  </si>
  <si>
    <t xml:space="preserve">36 tasks (5 NEW) - solo-founder 2-week sprint envelope</t>
  </si>
  <si>
    <t xml:space="preserve">Tasks</t>
  </si>
  <si>
    <t xml:space="preserve">45-65h?</t>
  </si>
  <si>
    <t xml:space="preserve">Deploy milestone</t>
  </si>
  <si>
    <t xml:space="preserve">Window</t>
  </si>
  <si>
    <t xml:space="preserve">TOTAL</t>
  </si>
  <si>
    <t xml:space="preserve">Each phase ends independently deployable (P1-T01 makes Week-1 server deploys possible). Effort is a prioritized budget - flex within a phase as long as it still ends green.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</si>
</sst>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50B18"/>
      <name val="Calibri"/>
      <family val="0"/>
      <charset val="1"/>
    </font>
    <font>
      <sz val="11"/>
      <color rgb="FF44617F"/>
      <name val="Calibri"/>
      <family val="0"/>
      <charset val="1"/>
    </font>
    <font>
      <b val="true"/>
      <sz val="12"/>
      <color rgb="FF050B18"/>
      <name val="Calibri"/>
      <family val="0"/>
      <charset val="1"/>
    </font>
    <font>
      <sz val="10"/>
      <color rgb="FF33506E"/>
      <name val="Calibri"/>
      <family val="0"/>
      <charset val="1"/>
    </font>
    <font>
      <b val="true"/>
      <sz val="11"/>
      <color rgb="FFEAF6FF"/>
      <name val="Calibri"/>
      <family val="0"/>
      <charset val="1"/>
    </font>
    <font>
      <sz val="11"/>
      <color rgb="FF050B18"/>
      <name val="Calibri"/>
      <family val="0"/>
      <charset val="1"/>
    </font>
    <font>
      <b val="true"/>
      <sz val="11"/>
      <color rgb="FF111111"/>
      <name val="Calibri"/>
      <family val="0"/>
      <charset val="1"/>
    </font>
    <font>
      <b val="true"/>
      <sz val="10"/>
      <color rgb="FFEAF6FF"/>
      <name val="Calibri"/>
      <family val="0"/>
      <charset val="1"/>
    </font>
    <font>
      <b val="true"/>
      <sz val="10"/>
      <color rgb="FF00D4FF"/>
      <name val="Calibri"/>
      <family val="0"/>
      <charset val="1"/>
    </font>
    <font>
      <sz val="10"/>
      <color rgb="FF050B18"/>
      <name val="Calibri"/>
      <family val="0"/>
      <charset val="1"/>
    </font>
    <font>
      <b val="true"/>
      <sz val="11"/>
      <color rgb="FF00D4FF"/>
      <name val="Calibri"/>
      <family val="0"/>
      <charset val="1"/>
    </font>
    <font>
      <b val="true"/>
      <sz val="9"/>
      <color rgb="FF7C5CFF"/>
      <name val="Calibri"/>
      <family val="0"/>
      <charset val="1"/>
    </font>
    <font>
      <b val="true"/>
      <sz val="9"/>
      <color rgb="FF111111"/>
      <name val="Calibri"/>
      <family val="0"/>
      <charset val="1"/>
    </font>
    <font>
      <sz val="9"/>
      <color rgb="FF1111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50B18"/>
      <name val="Calibri"/>
      <family val="0"/>
      <charset val="1"/>
    </font>
    <font>
      <b val="true"/>
      <sz val="10"/>
      <color rgb="FF2F80ED"/>
      <name val="Calibri"/>
      <family val="0"/>
      <charset val="1"/>
    </font>
    <font>
      <sz val="8"/>
      <color rgb="FF33506E"/>
      <name val="Calibri"/>
      <family val="0"/>
      <charset val="1"/>
    </font>
    <font>
      <sz val="9"/>
      <color rgb="FF00D4FF"/>
      <name val="Calibri"/>
      <family val="0"/>
      <charset val="1"/>
    </font>
    <font>
      <sz val="10"/>
      <color rgb="FF111111"/>
      <name val="Calibri"/>
      <family val="0"/>
      <charset val="1"/>
    </font>
    <font>
      <b val="true"/>
      <sz val="11"/>
      <color rgb="FF2F80ED"/>
      <name val="Calibri"/>
      <family val="0"/>
      <charset val="1"/>
    </font>
    <font>
      <i val="true"/>
      <sz val="9"/>
      <color rgb="FF33506E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02A43"/>
        <bgColor rgb="FF333333"/>
      </patternFill>
    </fill>
    <fill>
      <patternFill patternType="solid">
        <fgColor rgb="FFFF4D6D"/>
        <bgColor rgb="FFFF6600"/>
      </patternFill>
    </fill>
    <fill>
      <patternFill patternType="solid">
        <fgColor rgb="FFFFB020"/>
        <bgColor rgb="FFFFCC00"/>
      </patternFill>
    </fill>
    <fill>
      <patternFill patternType="solid">
        <fgColor rgb="FF00D4FF"/>
        <bgColor rgb="FF00FFFF"/>
      </patternFill>
    </fill>
    <fill>
      <patternFill patternType="solid">
        <fgColor rgb="FF2CE6A2"/>
        <bgColor rgb="FF00D4FF"/>
      </patternFill>
    </fill>
    <fill>
      <patternFill patternType="solid">
        <fgColor rgb="FFDDE6F0"/>
        <bgColor rgb="FFECE8FF"/>
      </patternFill>
    </fill>
    <fill>
      <patternFill patternType="solid">
        <fgColor rgb="FF050B18"/>
        <bgColor rgb="FF111111"/>
      </patternFill>
    </fill>
    <fill>
      <patternFill patternType="solid">
        <fgColor rgb="FFECE8FF"/>
        <bgColor rgb="FFDDE6F0"/>
      </patternFill>
    </fill>
    <fill>
      <patternFill patternType="solid">
        <fgColor rgb="FF2F80ED"/>
        <bgColor rgb="FF0066CC"/>
      </patternFill>
    </fill>
    <fill>
      <patternFill patternType="solid">
        <fgColor rgb="FFB7C4D4"/>
        <bgColor rgb="FFC9D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0B18"/>
      <rgbColor rgb="FF808000"/>
      <rgbColor rgb="FF800080"/>
      <rgbColor rgb="FF008080"/>
      <rgbColor rgb="FFB7C4D4"/>
      <rgbColor rgb="FF808080"/>
      <rgbColor rgb="FF7C5CFF"/>
      <rgbColor rgb="FF993366"/>
      <rgbColor rgb="FFECE8FF"/>
      <rgbColor rgb="FFEAF6FF"/>
      <rgbColor rgb="FF660066"/>
      <rgbColor rgb="FFFF4D6D"/>
      <rgbColor rgb="FF0066CC"/>
      <rgbColor rgb="FFC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DDE6F0"/>
      <rgbColor rgb="FFCCFFCC"/>
      <rgbColor rgb="FFFFFF99"/>
      <rgbColor rgb="FF99CCFF"/>
      <rgbColor rgb="FFFF99CC"/>
      <rgbColor rgb="FFCC99FF"/>
      <rgbColor rgb="FFFFCC99"/>
      <rgbColor rgb="FF2F80ED"/>
      <rgbColor rgb="FF2CE6A2"/>
      <rgbColor rgb="FF99CC00"/>
      <rgbColor rgb="FFFFCC00"/>
      <rgbColor rgb="FFFFB020"/>
      <rgbColor rgb="FFFF6600"/>
      <rgbColor rgb="FF44617F"/>
      <rgbColor rgb="FF969696"/>
      <rgbColor rgb="FF102A43"/>
      <rgbColor rgb="FF339966"/>
      <rgbColor rgb="FF111111"/>
      <rgbColor rgb="FF333300"/>
      <rgbColor rgb="FF993300"/>
      <rgbColor rgb="FF993366"/>
      <rgbColor rgb="FF3350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44"/>
    <col collapsed="false" customWidth="true" hidden="false" outlineLevel="0" max="6" min="6" style="0" width="42"/>
    <col collapsed="false" customWidth="true" hidden="false" outlineLevel="0" max="7" min="7" style="0" width="16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  <c r="D6" s="4"/>
      <c r="E6" s="4"/>
      <c r="F6" s="4"/>
      <c r="G6" s="4"/>
    </row>
    <row r="7" customFormat="false" ht="30" hidden="false" customHeight="true" outlineLevel="0" collapsed="false">
      <c r="B7" s="4" t="s">
        <v>4</v>
      </c>
      <c r="C7" s="4"/>
      <c r="D7" s="4"/>
      <c r="E7" s="4"/>
      <c r="F7" s="4"/>
      <c r="G7" s="4"/>
    </row>
    <row r="8" customFormat="false" ht="30" hidden="false" customHeight="true" outlineLevel="0" collapsed="false">
      <c r="B8" s="4" t="s">
        <v>5</v>
      </c>
      <c r="C8" s="4"/>
      <c r="D8" s="4"/>
      <c r="E8" s="4"/>
      <c r="F8" s="4"/>
      <c r="G8" s="4"/>
    </row>
    <row r="9" customFormat="false" ht="30" hidden="false" customHeight="true" outlineLevel="0" collapsed="false">
      <c r="B9" s="4" t="s">
        <v>6</v>
      </c>
      <c r="C9" s="4"/>
      <c r="D9" s="4"/>
      <c r="E9" s="4"/>
      <c r="F9" s="4"/>
      <c r="G9" s="4"/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5" t="s">
        <v>8</v>
      </c>
      <c r="C12" s="5" t="s">
        <v>9</v>
      </c>
      <c r="D12" s="5" t="s">
        <v>10</v>
      </c>
    </row>
    <row r="13" customFormat="false" ht="15" hidden="false" customHeight="false" outlineLevel="0" collapsed="false">
      <c r="B13" s="6" t="s">
        <v>11</v>
      </c>
      <c r="C13" s="7" t="s">
        <v>12</v>
      </c>
      <c r="D13" s="8" t="s">
        <v>13</v>
      </c>
    </row>
    <row r="14" customFormat="false" ht="15" hidden="false" customHeight="false" outlineLevel="0" collapsed="false">
      <c r="B14" s="6" t="s">
        <v>14</v>
      </c>
      <c r="C14" s="9" t="s">
        <v>15</v>
      </c>
      <c r="D14" s="8" t="s">
        <v>16</v>
      </c>
    </row>
    <row r="15" customFormat="false" ht="15" hidden="false" customHeight="false" outlineLevel="0" collapsed="false">
      <c r="B15" s="6" t="s">
        <v>17</v>
      </c>
      <c r="C15" s="10" t="s">
        <v>18</v>
      </c>
      <c r="D15" s="8" t="s">
        <v>19</v>
      </c>
    </row>
    <row r="16" customFormat="false" ht="15" hidden="false" customHeight="false" outlineLevel="0" collapsed="false">
      <c r="B16" s="6" t="s">
        <v>20</v>
      </c>
      <c r="C16" s="11" t="s">
        <v>21</v>
      </c>
      <c r="D16" s="8" t="s">
        <v>19</v>
      </c>
    </row>
    <row r="17" customFormat="false" ht="15" hidden="false" customHeight="false" outlineLevel="0" collapsed="false">
      <c r="B17" s="6" t="s">
        <v>22</v>
      </c>
      <c r="C17" s="12" t="s">
        <v>23</v>
      </c>
      <c r="D17" s="8" t="s">
        <v>19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B20" s="13" t="s">
        <v>25</v>
      </c>
      <c r="C20" s="13" t="s">
        <v>26</v>
      </c>
      <c r="D20" s="13" t="s">
        <v>27</v>
      </c>
      <c r="E20" s="13" t="s">
        <v>28</v>
      </c>
      <c r="F20" s="13" t="s">
        <v>29</v>
      </c>
    </row>
    <row r="21" customFormat="false" ht="39.75" hidden="false" customHeight="true" outlineLevel="0" collapsed="false">
      <c r="B21" s="14" t="s">
        <v>30</v>
      </c>
      <c r="C21" s="15" t="s">
        <v>31</v>
      </c>
      <c r="D21" s="15" t="s">
        <v>32</v>
      </c>
      <c r="E21" s="15" t="s">
        <v>33</v>
      </c>
      <c r="F21" s="15" t="s">
        <v>34</v>
      </c>
    </row>
    <row r="22" customFormat="false" ht="39.75" hidden="false" customHeight="true" outlineLevel="0" collapsed="false">
      <c r="B22" s="14" t="s">
        <v>35</v>
      </c>
      <c r="C22" s="15" t="s">
        <v>36</v>
      </c>
      <c r="D22" s="15" t="s">
        <v>32</v>
      </c>
      <c r="E22" s="15" t="s">
        <v>37</v>
      </c>
      <c r="F22" s="15" t="s">
        <v>38</v>
      </c>
    </row>
    <row r="23" customFormat="false" ht="39.75" hidden="false" customHeight="true" outlineLevel="0" collapsed="false">
      <c r="B23" s="14" t="s">
        <v>39</v>
      </c>
      <c r="C23" s="15" t="s">
        <v>40</v>
      </c>
      <c r="D23" s="15" t="s">
        <v>32</v>
      </c>
      <c r="E23" s="15" t="s">
        <v>41</v>
      </c>
      <c r="F23" s="15" t="s">
        <v>42</v>
      </c>
    </row>
    <row r="24" customFormat="false" ht="39.75" hidden="false" customHeight="true" outlineLevel="0" collapsed="false">
      <c r="B24" s="14" t="s">
        <v>43</v>
      </c>
      <c r="C24" s="15" t="s">
        <v>44</v>
      </c>
      <c r="D24" s="15" t="s">
        <v>45</v>
      </c>
      <c r="E24" s="15" t="s">
        <v>46</v>
      </c>
      <c r="F24" s="15" t="s">
        <v>47</v>
      </c>
    </row>
    <row r="25" customFormat="false" ht="39.75" hidden="false" customHeight="true" outlineLevel="0" collapsed="false">
      <c r="B25" s="14" t="s">
        <v>48</v>
      </c>
      <c r="C25" s="15" t="s">
        <v>49</v>
      </c>
      <c r="D25" s="15" t="s">
        <v>45</v>
      </c>
      <c r="E25" s="15" t="s">
        <v>50</v>
      </c>
      <c r="F25" s="15" t="s">
        <v>51</v>
      </c>
    </row>
    <row r="26" customFormat="false" ht="39.75" hidden="false" customHeight="true" outlineLevel="0" collapsed="false">
      <c r="B26" s="14" t="s">
        <v>52</v>
      </c>
      <c r="C26" s="15" t="s">
        <v>53</v>
      </c>
      <c r="D26" s="15" t="s">
        <v>45</v>
      </c>
      <c r="E26" s="15" t="s">
        <v>54</v>
      </c>
      <c r="F26" s="15" t="s">
        <v>55</v>
      </c>
    </row>
  </sheetData>
  <mergeCells count="6">
    <mergeCell ref="B2:G2"/>
    <mergeCell ref="B3:G3"/>
    <mergeCell ref="B6:G6"/>
    <mergeCell ref="B7:G7"/>
    <mergeCell ref="B8:G8"/>
    <mergeCell ref="B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80"/>
    <col collapsed="false" customWidth="true" hidden="false" outlineLevel="0" max="9" min="9" style="0" width="62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6" t="s">
        <v>56</v>
      </c>
      <c r="B1" s="16" t="s">
        <v>57</v>
      </c>
      <c r="C1" s="16" t="s">
        <v>25</v>
      </c>
      <c r="D1" s="16" t="s">
        <v>58</v>
      </c>
      <c r="E1" s="16" t="s">
        <v>59</v>
      </c>
      <c r="F1" s="16" t="s">
        <v>60</v>
      </c>
      <c r="G1" s="16" t="s">
        <v>61</v>
      </c>
      <c r="H1" s="16" t="s">
        <v>62</v>
      </c>
      <c r="I1" s="16" t="s">
        <v>63</v>
      </c>
      <c r="J1" s="16" t="s">
        <v>64</v>
      </c>
      <c r="K1" s="16" t="s">
        <v>65</v>
      </c>
      <c r="L1" s="16" t="s">
        <v>66</v>
      </c>
    </row>
    <row r="2" customFormat="false" ht="24" hidden="false" customHeight="true" outlineLevel="0" collapsed="false">
      <c r="A2" s="17" t="s">
        <v>67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249.75" hidden="false" customHeight="true" outlineLevel="0" collapsed="false">
      <c r="A3" s="18" t="s">
        <v>68</v>
      </c>
      <c r="B3" s="19" t="s">
        <v>69</v>
      </c>
      <c r="C3" s="20" t="s">
        <v>30</v>
      </c>
      <c r="D3" s="20" t="s">
        <v>70</v>
      </c>
      <c r="E3" s="20" t="s">
        <v>71</v>
      </c>
      <c r="F3" s="21" t="s">
        <v>72</v>
      </c>
      <c r="G3" s="22" t="s">
        <v>73</v>
      </c>
      <c r="H3" s="21" t="s">
        <v>74</v>
      </c>
      <c r="I3" s="21" t="s">
        <v>75</v>
      </c>
      <c r="J3" s="23" t="s">
        <v>76</v>
      </c>
      <c r="K3" s="24" t="n">
        <v>8</v>
      </c>
      <c r="L3" s="25" t="s">
        <v>77</v>
      </c>
    </row>
    <row r="4" customFormat="false" ht="249.75" hidden="false" customHeight="true" outlineLevel="0" collapsed="false">
      <c r="A4" s="26" t="s">
        <v>78</v>
      </c>
      <c r="B4" s="19" t="s">
        <v>79</v>
      </c>
      <c r="C4" s="20" t="s">
        <v>30</v>
      </c>
      <c r="D4" s="20" t="s">
        <v>80</v>
      </c>
      <c r="E4" s="20" t="s">
        <v>81</v>
      </c>
      <c r="F4" s="21" t="s">
        <v>82</v>
      </c>
      <c r="G4" s="22" t="s">
        <v>73</v>
      </c>
      <c r="H4" s="21" t="s">
        <v>83</v>
      </c>
      <c r="I4" s="21" t="s">
        <v>84</v>
      </c>
      <c r="J4" s="27" t="s">
        <v>85</v>
      </c>
      <c r="K4" s="24" t="n">
        <v>13</v>
      </c>
      <c r="L4" s="25" t="s">
        <v>86</v>
      </c>
    </row>
    <row r="5" customFormat="false" ht="227.25" hidden="false" customHeight="true" outlineLevel="0" collapsed="false">
      <c r="A5" s="26" t="s">
        <v>87</v>
      </c>
      <c r="B5" s="19" t="s">
        <v>88</v>
      </c>
      <c r="C5" s="20" t="s">
        <v>30</v>
      </c>
      <c r="D5" s="20" t="s">
        <v>80</v>
      </c>
      <c r="E5" s="20" t="s">
        <v>89</v>
      </c>
      <c r="F5" s="21" t="s">
        <v>90</v>
      </c>
      <c r="G5" s="28" t="s">
        <v>91</v>
      </c>
      <c r="H5" s="21" t="s">
        <v>92</v>
      </c>
      <c r="I5" s="21" t="s">
        <v>93</v>
      </c>
      <c r="J5" s="27" t="s">
        <v>85</v>
      </c>
      <c r="K5" s="24" t="n">
        <v>6</v>
      </c>
      <c r="L5" s="25" t="s">
        <v>94</v>
      </c>
    </row>
    <row r="6" customFormat="false" ht="249.75" hidden="false" customHeight="true" outlineLevel="0" collapsed="false">
      <c r="A6" s="26" t="s">
        <v>95</v>
      </c>
      <c r="B6" s="19" t="s">
        <v>96</v>
      </c>
      <c r="C6" s="20" t="s">
        <v>30</v>
      </c>
      <c r="D6" s="20" t="s">
        <v>80</v>
      </c>
      <c r="E6" s="20" t="s">
        <v>97</v>
      </c>
      <c r="F6" s="21" t="s">
        <v>98</v>
      </c>
      <c r="G6" s="22" t="s">
        <v>73</v>
      </c>
      <c r="H6" s="21" t="s">
        <v>99</v>
      </c>
      <c r="I6" s="21" t="s">
        <v>100</v>
      </c>
      <c r="J6" s="29" t="s">
        <v>101</v>
      </c>
      <c r="K6" s="24" t="n">
        <v>11</v>
      </c>
      <c r="L6" s="25" t="s">
        <v>102</v>
      </c>
    </row>
    <row r="7" customFormat="false" ht="249" hidden="false" customHeight="true" outlineLevel="0" collapsed="false">
      <c r="A7" s="26" t="s">
        <v>103</v>
      </c>
      <c r="B7" s="19" t="s">
        <v>104</v>
      </c>
      <c r="C7" s="20" t="s">
        <v>30</v>
      </c>
      <c r="D7" s="20" t="s">
        <v>105</v>
      </c>
      <c r="E7" s="20" t="s">
        <v>97</v>
      </c>
      <c r="F7" s="21" t="s">
        <v>106</v>
      </c>
      <c r="G7" s="28" t="s">
        <v>91</v>
      </c>
      <c r="H7" s="21" t="s">
        <v>107</v>
      </c>
      <c r="I7" s="21" t="s">
        <v>108</v>
      </c>
      <c r="J7" s="29" t="s">
        <v>101</v>
      </c>
      <c r="K7" s="24" t="n">
        <v>8</v>
      </c>
      <c r="L7" s="25" t="s">
        <v>109</v>
      </c>
    </row>
    <row r="8" customFormat="false" ht="249.75" hidden="false" customHeight="true" outlineLevel="0" collapsed="false">
      <c r="A8" s="26" t="s">
        <v>110</v>
      </c>
      <c r="B8" s="19" t="s">
        <v>111</v>
      </c>
      <c r="C8" s="20" t="s">
        <v>30</v>
      </c>
      <c r="D8" s="20" t="s">
        <v>80</v>
      </c>
      <c r="E8" s="20" t="s">
        <v>112</v>
      </c>
      <c r="F8" s="21" t="s">
        <v>113</v>
      </c>
      <c r="G8" s="22" t="s">
        <v>73</v>
      </c>
      <c r="H8" s="21" t="s">
        <v>114</v>
      </c>
      <c r="I8" s="21" t="s">
        <v>115</v>
      </c>
      <c r="J8" s="23" t="s">
        <v>76</v>
      </c>
      <c r="K8" s="24" t="n">
        <v>8</v>
      </c>
      <c r="L8" s="25" t="s">
        <v>116</v>
      </c>
    </row>
    <row r="9" customFormat="false" ht="195" hidden="false" customHeight="true" outlineLevel="0" collapsed="false">
      <c r="A9" s="26" t="s">
        <v>117</v>
      </c>
      <c r="B9" s="19" t="s">
        <v>118</v>
      </c>
      <c r="C9" s="20" t="s">
        <v>30</v>
      </c>
      <c r="D9" s="20" t="s">
        <v>80</v>
      </c>
      <c r="E9" s="20" t="s">
        <v>97</v>
      </c>
      <c r="F9" s="21" t="s">
        <v>119</v>
      </c>
      <c r="G9" s="28" t="s">
        <v>91</v>
      </c>
      <c r="H9" s="21" t="s">
        <v>120</v>
      </c>
      <c r="I9" s="21" t="s">
        <v>121</v>
      </c>
      <c r="J9" s="29" t="s">
        <v>101</v>
      </c>
      <c r="K9" s="24" t="n">
        <v>9</v>
      </c>
      <c r="L9" s="25" t="s">
        <v>122</v>
      </c>
    </row>
    <row r="10" customFormat="false" ht="24" hidden="false" customHeight="true" outlineLevel="0" collapsed="false">
      <c r="A10" s="17" t="s">
        <v>123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249.75" hidden="false" customHeight="true" outlineLevel="0" collapsed="false">
      <c r="A11" s="26" t="s">
        <v>124</v>
      </c>
      <c r="B11" s="19" t="s">
        <v>125</v>
      </c>
      <c r="C11" s="20" t="s">
        <v>35</v>
      </c>
      <c r="D11" s="20" t="s">
        <v>80</v>
      </c>
      <c r="E11" s="20" t="s">
        <v>81</v>
      </c>
      <c r="F11" s="21" t="s">
        <v>126</v>
      </c>
      <c r="G11" s="22" t="s">
        <v>73</v>
      </c>
      <c r="H11" s="21" t="s">
        <v>127</v>
      </c>
      <c r="I11" s="21" t="s">
        <v>128</v>
      </c>
      <c r="J11" s="27" t="s">
        <v>85</v>
      </c>
      <c r="K11" s="24" t="n">
        <v>16</v>
      </c>
      <c r="L11" s="25" t="s">
        <v>129</v>
      </c>
    </row>
    <row r="12" customFormat="false" ht="220.5" hidden="false" customHeight="true" outlineLevel="0" collapsed="false">
      <c r="A12" s="26" t="s">
        <v>130</v>
      </c>
      <c r="B12" s="19" t="s">
        <v>131</v>
      </c>
      <c r="C12" s="20" t="s">
        <v>35</v>
      </c>
      <c r="D12" s="20" t="s">
        <v>80</v>
      </c>
      <c r="E12" s="20" t="s">
        <v>81</v>
      </c>
      <c r="F12" s="21" t="s">
        <v>132</v>
      </c>
      <c r="G12" s="28" t="s">
        <v>91</v>
      </c>
      <c r="H12" s="21" t="s">
        <v>133</v>
      </c>
      <c r="I12" s="21" t="s">
        <v>134</v>
      </c>
      <c r="J12" s="23" t="s">
        <v>76</v>
      </c>
      <c r="K12" s="24" t="n">
        <v>10</v>
      </c>
      <c r="L12" s="25" t="s">
        <v>135</v>
      </c>
    </row>
    <row r="13" customFormat="false" ht="195.75" hidden="false" customHeight="true" outlineLevel="0" collapsed="false">
      <c r="A13" s="26" t="s">
        <v>136</v>
      </c>
      <c r="B13" s="19" t="s">
        <v>137</v>
      </c>
      <c r="C13" s="20" t="s">
        <v>35</v>
      </c>
      <c r="D13" s="20" t="s">
        <v>80</v>
      </c>
      <c r="E13" s="20" t="s">
        <v>97</v>
      </c>
      <c r="F13" s="21" t="s">
        <v>138</v>
      </c>
      <c r="G13" s="22" t="s">
        <v>73</v>
      </c>
      <c r="H13" s="21" t="s">
        <v>139</v>
      </c>
      <c r="I13" s="21" t="s">
        <v>140</v>
      </c>
      <c r="J13" s="29" t="s">
        <v>101</v>
      </c>
      <c r="K13" s="24" t="n">
        <v>12</v>
      </c>
      <c r="L13" s="25" t="s">
        <v>141</v>
      </c>
    </row>
    <row r="14" customFormat="false" ht="220.5" hidden="false" customHeight="true" outlineLevel="0" collapsed="false">
      <c r="A14" s="26" t="s">
        <v>142</v>
      </c>
      <c r="B14" s="19" t="s">
        <v>143</v>
      </c>
      <c r="C14" s="20" t="s">
        <v>35</v>
      </c>
      <c r="D14" s="20" t="s">
        <v>80</v>
      </c>
      <c r="E14" s="20" t="s">
        <v>81</v>
      </c>
      <c r="F14" s="21" t="s">
        <v>144</v>
      </c>
      <c r="G14" s="28" t="s">
        <v>91</v>
      </c>
      <c r="H14" s="21" t="s">
        <v>145</v>
      </c>
      <c r="I14" s="21" t="s">
        <v>146</v>
      </c>
      <c r="J14" s="28" t="s">
        <v>80</v>
      </c>
      <c r="K14" s="24" t="n">
        <v>12</v>
      </c>
      <c r="L14" s="25" t="s">
        <v>147</v>
      </c>
    </row>
    <row r="15" customFormat="false" ht="249.75" hidden="false" customHeight="true" outlineLevel="0" collapsed="false">
      <c r="A15" s="18" t="s">
        <v>148</v>
      </c>
      <c r="B15" s="19" t="s">
        <v>149</v>
      </c>
      <c r="C15" s="20" t="s">
        <v>35</v>
      </c>
      <c r="D15" s="20" t="s">
        <v>80</v>
      </c>
      <c r="E15" s="20" t="s">
        <v>81</v>
      </c>
      <c r="F15" s="21" t="s">
        <v>150</v>
      </c>
      <c r="G15" s="28" t="s">
        <v>91</v>
      </c>
      <c r="H15" s="21" t="s">
        <v>151</v>
      </c>
      <c r="I15" s="21" t="s">
        <v>152</v>
      </c>
      <c r="J15" s="28" t="s">
        <v>80</v>
      </c>
      <c r="K15" s="24" t="n">
        <v>7</v>
      </c>
      <c r="L15" s="25" t="s">
        <v>153</v>
      </c>
    </row>
    <row r="16" customFormat="false" ht="122.25" hidden="false" customHeight="true" outlineLevel="0" collapsed="false">
      <c r="A16" s="26" t="s">
        <v>154</v>
      </c>
      <c r="B16" s="19" t="s">
        <v>155</v>
      </c>
      <c r="C16" s="20" t="s">
        <v>35</v>
      </c>
      <c r="D16" s="20" t="s">
        <v>80</v>
      </c>
      <c r="E16" s="20" t="s">
        <v>97</v>
      </c>
      <c r="F16" s="21" t="s">
        <v>119</v>
      </c>
      <c r="G16" s="28" t="s">
        <v>91</v>
      </c>
      <c r="H16" s="21" t="s">
        <v>156</v>
      </c>
      <c r="I16" s="21" t="s">
        <v>157</v>
      </c>
      <c r="J16" s="29" t="s">
        <v>101</v>
      </c>
      <c r="K16" s="24" t="n">
        <v>8</v>
      </c>
      <c r="L16" s="25" t="s">
        <v>158</v>
      </c>
    </row>
    <row r="17" customFormat="false" ht="24" hidden="false" customHeight="true" outlineLevel="0" collapsed="false">
      <c r="A17" s="17" t="s">
        <v>159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customFormat="false" ht="249.75" hidden="false" customHeight="true" outlineLevel="0" collapsed="false">
      <c r="A18" s="26" t="s">
        <v>160</v>
      </c>
      <c r="B18" s="19" t="s">
        <v>161</v>
      </c>
      <c r="C18" s="20" t="s">
        <v>39</v>
      </c>
      <c r="D18" s="20" t="s">
        <v>105</v>
      </c>
      <c r="E18" s="20" t="s">
        <v>81</v>
      </c>
      <c r="F18" s="21" t="s">
        <v>162</v>
      </c>
      <c r="G18" s="22" t="s">
        <v>73</v>
      </c>
      <c r="H18" s="21" t="s">
        <v>163</v>
      </c>
      <c r="I18" s="21" t="s">
        <v>164</v>
      </c>
      <c r="J18" s="30" t="s">
        <v>165</v>
      </c>
      <c r="K18" s="24" t="n">
        <v>14</v>
      </c>
      <c r="L18" s="25" t="s">
        <v>166</v>
      </c>
    </row>
    <row r="19" customFormat="false" ht="234" hidden="false" customHeight="true" outlineLevel="0" collapsed="false">
      <c r="A19" s="26" t="s">
        <v>167</v>
      </c>
      <c r="B19" s="19" t="s">
        <v>168</v>
      </c>
      <c r="C19" s="20" t="s">
        <v>39</v>
      </c>
      <c r="D19" s="20" t="s">
        <v>169</v>
      </c>
      <c r="E19" s="20" t="s">
        <v>81</v>
      </c>
      <c r="F19" s="21" t="s">
        <v>170</v>
      </c>
      <c r="G19" s="28" t="s">
        <v>91</v>
      </c>
      <c r="H19" s="21" t="s">
        <v>171</v>
      </c>
      <c r="I19" s="21" t="s">
        <v>172</v>
      </c>
      <c r="J19" s="23" t="s">
        <v>76</v>
      </c>
      <c r="K19" s="24" t="n">
        <v>12</v>
      </c>
      <c r="L19" s="25" t="s">
        <v>173</v>
      </c>
    </row>
    <row r="20" customFormat="false" ht="247.5" hidden="false" customHeight="true" outlineLevel="0" collapsed="false">
      <c r="A20" s="26" t="s">
        <v>174</v>
      </c>
      <c r="B20" s="19" t="s">
        <v>175</v>
      </c>
      <c r="C20" s="20" t="s">
        <v>39</v>
      </c>
      <c r="D20" s="20" t="s">
        <v>105</v>
      </c>
      <c r="E20" s="20" t="s">
        <v>176</v>
      </c>
      <c r="F20" s="21" t="s">
        <v>177</v>
      </c>
      <c r="G20" s="28" t="s">
        <v>91</v>
      </c>
      <c r="H20" s="21" t="s">
        <v>178</v>
      </c>
      <c r="I20" s="21" t="s">
        <v>179</v>
      </c>
      <c r="J20" s="28" t="s">
        <v>80</v>
      </c>
      <c r="K20" s="24" t="n">
        <v>12</v>
      </c>
      <c r="L20" s="25" t="s">
        <v>180</v>
      </c>
    </row>
    <row r="21" customFormat="false" ht="225.75" hidden="false" customHeight="true" outlineLevel="0" collapsed="false">
      <c r="A21" s="26" t="s">
        <v>181</v>
      </c>
      <c r="B21" s="19" t="s">
        <v>182</v>
      </c>
      <c r="C21" s="20" t="s">
        <v>39</v>
      </c>
      <c r="D21" s="20" t="s">
        <v>105</v>
      </c>
      <c r="E21" s="20" t="s">
        <v>81</v>
      </c>
      <c r="F21" s="21" t="s">
        <v>183</v>
      </c>
      <c r="G21" s="31" t="s">
        <v>184</v>
      </c>
      <c r="H21" s="21" t="s">
        <v>185</v>
      </c>
      <c r="I21" s="21" t="s">
        <v>186</v>
      </c>
      <c r="J21" s="30" t="s">
        <v>165</v>
      </c>
      <c r="K21" s="24" t="n">
        <v>10</v>
      </c>
      <c r="L21" s="25" t="s">
        <v>187</v>
      </c>
    </row>
    <row r="22" customFormat="false" ht="241.5" hidden="false" customHeight="true" outlineLevel="0" collapsed="false">
      <c r="A22" s="18" t="s">
        <v>188</v>
      </c>
      <c r="B22" s="19" t="s">
        <v>189</v>
      </c>
      <c r="C22" s="20" t="s">
        <v>39</v>
      </c>
      <c r="D22" s="20" t="s">
        <v>80</v>
      </c>
      <c r="E22" s="20" t="s">
        <v>176</v>
      </c>
      <c r="F22" s="21" t="s">
        <v>190</v>
      </c>
      <c r="G22" s="28" t="s">
        <v>91</v>
      </c>
      <c r="H22" s="21" t="s">
        <v>191</v>
      </c>
      <c r="I22" s="21" t="s">
        <v>192</v>
      </c>
      <c r="J22" s="28" t="s">
        <v>80</v>
      </c>
      <c r="K22" s="24" t="n">
        <v>7</v>
      </c>
      <c r="L22" s="25" t="s">
        <v>193</v>
      </c>
    </row>
    <row r="23" customFormat="false" ht="161.25" hidden="false" customHeight="true" outlineLevel="0" collapsed="false">
      <c r="A23" s="26" t="s">
        <v>194</v>
      </c>
      <c r="B23" s="19" t="s">
        <v>195</v>
      </c>
      <c r="C23" s="20" t="s">
        <v>39</v>
      </c>
      <c r="D23" s="20" t="s">
        <v>105</v>
      </c>
      <c r="E23" s="20" t="s">
        <v>97</v>
      </c>
      <c r="F23" s="21" t="s">
        <v>119</v>
      </c>
      <c r="G23" s="28" t="s">
        <v>91</v>
      </c>
      <c r="H23" s="21" t="s">
        <v>196</v>
      </c>
      <c r="I23" s="21" t="s">
        <v>197</v>
      </c>
      <c r="J23" s="29" t="s">
        <v>101</v>
      </c>
      <c r="K23" s="24" t="n">
        <v>10</v>
      </c>
      <c r="L23" s="25" t="s">
        <v>109</v>
      </c>
    </row>
    <row r="24" customFormat="false" ht="24" hidden="false" customHeight="true" outlineLevel="0" collapsed="false">
      <c r="A24" s="17" t="s">
        <v>198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customFormat="false" ht="249.75" hidden="false" customHeight="true" outlineLevel="0" collapsed="false">
      <c r="A25" s="26" t="s">
        <v>199</v>
      </c>
      <c r="B25" s="19" t="s">
        <v>200</v>
      </c>
      <c r="C25" s="20" t="s">
        <v>43</v>
      </c>
      <c r="D25" s="20" t="s">
        <v>70</v>
      </c>
      <c r="E25" s="20" t="s">
        <v>71</v>
      </c>
      <c r="F25" s="21" t="s">
        <v>201</v>
      </c>
      <c r="G25" s="22" t="s">
        <v>73</v>
      </c>
      <c r="H25" s="21" t="s">
        <v>202</v>
      </c>
      <c r="I25" s="21" t="s">
        <v>203</v>
      </c>
      <c r="J25" s="23" t="s">
        <v>76</v>
      </c>
      <c r="K25" s="24" t="n">
        <v>14</v>
      </c>
      <c r="L25" s="25" t="s">
        <v>204</v>
      </c>
    </row>
    <row r="26" customFormat="false" ht="249.75" hidden="false" customHeight="true" outlineLevel="0" collapsed="false">
      <c r="A26" s="26" t="s">
        <v>205</v>
      </c>
      <c r="B26" s="19" t="s">
        <v>206</v>
      </c>
      <c r="C26" s="20" t="s">
        <v>43</v>
      </c>
      <c r="D26" s="20" t="s">
        <v>70</v>
      </c>
      <c r="E26" s="20" t="s">
        <v>71</v>
      </c>
      <c r="F26" s="21" t="s">
        <v>207</v>
      </c>
      <c r="G26" s="22" t="s">
        <v>73</v>
      </c>
      <c r="H26" s="21" t="s">
        <v>208</v>
      </c>
      <c r="I26" s="21" t="s">
        <v>209</v>
      </c>
      <c r="J26" s="30" t="s">
        <v>165</v>
      </c>
      <c r="K26" s="24" t="n">
        <v>16</v>
      </c>
      <c r="L26" s="25" t="s">
        <v>210</v>
      </c>
    </row>
    <row r="27" customFormat="false" ht="188.25" hidden="false" customHeight="true" outlineLevel="0" collapsed="false">
      <c r="A27" s="26" t="s">
        <v>211</v>
      </c>
      <c r="B27" s="19" t="s">
        <v>212</v>
      </c>
      <c r="C27" s="20" t="s">
        <v>43</v>
      </c>
      <c r="D27" s="20" t="s">
        <v>80</v>
      </c>
      <c r="E27" s="20" t="s">
        <v>213</v>
      </c>
      <c r="F27" s="21" t="s">
        <v>214</v>
      </c>
      <c r="G27" s="28" t="s">
        <v>91</v>
      </c>
      <c r="H27" s="21" t="s">
        <v>215</v>
      </c>
      <c r="I27" s="21" t="s">
        <v>216</v>
      </c>
      <c r="J27" s="23" t="s">
        <v>76</v>
      </c>
      <c r="K27" s="24" t="n">
        <v>8</v>
      </c>
      <c r="L27" s="25" t="s">
        <v>217</v>
      </c>
    </row>
    <row r="28" customFormat="false" ht="159" hidden="false" customHeight="true" outlineLevel="0" collapsed="false">
      <c r="A28" s="26" t="s">
        <v>218</v>
      </c>
      <c r="B28" s="19" t="s">
        <v>219</v>
      </c>
      <c r="C28" s="20" t="s">
        <v>43</v>
      </c>
      <c r="D28" s="20" t="s">
        <v>80</v>
      </c>
      <c r="E28" s="20" t="s">
        <v>71</v>
      </c>
      <c r="F28" s="21" t="s">
        <v>220</v>
      </c>
      <c r="G28" s="31" t="s">
        <v>184</v>
      </c>
      <c r="H28" s="21" t="s">
        <v>221</v>
      </c>
      <c r="I28" s="21" t="s">
        <v>222</v>
      </c>
      <c r="J28" s="28" t="s">
        <v>80</v>
      </c>
      <c r="K28" s="24" t="n">
        <v>10</v>
      </c>
      <c r="L28" s="25" t="s">
        <v>223</v>
      </c>
    </row>
    <row r="29" customFormat="false" ht="142.5" hidden="false" customHeight="true" outlineLevel="0" collapsed="false">
      <c r="A29" s="26" t="s">
        <v>224</v>
      </c>
      <c r="B29" s="19" t="s">
        <v>225</v>
      </c>
      <c r="C29" s="20" t="s">
        <v>43</v>
      </c>
      <c r="D29" s="20" t="s">
        <v>70</v>
      </c>
      <c r="E29" s="20" t="s">
        <v>97</v>
      </c>
      <c r="F29" s="21" t="s">
        <v>119</v>
      </c>
      <c r="G29" s="28" t="s">
        <v>91</v>
      </c>
      <c r="H29" s="21" t="s">
        <v>226</v>
      </c>
      <c r="I29" s="21" t="s">
        <v>227</v>
      </c>
      <c r="J29" s="29" t="s">
        <v>101</v>
      </c>
      <c r="K29" s="24" t="n">
        <v>8</v>
      </c>
      <c r="L29" s="25" t="s">
        <v>228</v>
      </c>
    </row>
    <row r="30" customFormat="false" ht="24" hidden="false" customHeight="true" outlineLevel="0" collapsed="false">
      <c r="A30" s="17" t="s">
        <v>229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customFormat="false" ht="225" hidden="false" customHeight="true" outlineLevel="0" collapsed="false">
      <c r="A31" s="26" t="s">
        <v>230</v>
      </c>
      <c r="B31" s="19" t="s">
        <v>231</v>
      </c>
      <c r="C31" s="20" t="s">
        <v>48</v>
      </c>
      <c r="D31" s="20" t="s">
        <v>232</v>
      </c>
      <c r="E31" s="20" t="s">
        <v>81</v>
      </c>
      <c r="F31" s="21" t="s">
        <v>233</v>
      </c>
      <c r="G31" s="22" t="s">
        <v>73</v>
      </c>
      <c r="H31" s="21" t="s">
        <v>234</v>
      </c>
      <c r="I31" s="21" t="s">
        <v>235</v>
      </c>
      <c r="J31" s="27" t="s">
        <v>85</v>
      </c>
      <c r="K31" s="24" t="n">
        <v>10</v>
      </c>
      <c r="L31" s="25" t="s">
        <v>236</v>
      </c>
    </row>
    <row r="32" customFormat="false" ht="194.25" hidden="false" customHeight="true" outlineLevel="0" collapsed="false">
      <c r="A32" s="26" t="s">
        <v>237</v>
      </c>
      <c r="B32" s="19" t="s">
        <v>238</v>
      </c>
      <c r="C32" s="20" t="s">
        <v>48</v>
      </c>
      <c r="D32" s="20" t="s">
        <v>232</v>
      </c>
      <c r="E32" s="20" t="s">
        <v>239</v>
      </c>
      <c r="F32" s="21" t="s">
        <v>240</v>
      </c>
      <c r="G32" s="22" t="s">
        <v>73</v>
      </c>
      <c r="H32" s="21" t="s">
        <v>241</v>
      </c>
      <c r="I32" s="21" t="s">
        <v>242</v>
      </c>
      <c r="J32" s="30" t="s">
        <v>165</v>
      </c>
      <c r="K32" s="24" t="n">
        <v>16</v>
      </c>
      <c r="L32" s="25" t="s">
        <v>243</v>
      </c>
    </row>
    <row r="33" customFormat="false" ht="207" hidden="false" customHeight="true" outlineLevel="0" collapsed="false">
      <c r="A33" s="26" t="s">
        <v>244</v>
      </c>
      <c r="B33" s="19" t="s">
        <v>245</v>
      </c>
      <c r="C33" s="20" t="s">
        <v>48</v>
      </c>
      <c r="D33" s="20" t="s">
        <v>232</v>
      </c>
      <c r="E33" s="20" t="s">
        <v>213</v>
      </c>
      <c r="F33" s="21" t="s">
        <v>246</v>
      </c>
      <c r="G33" s="28" t="s">
        <v>91</v>
      </c>
      <c r="H33" s="21" t="s">
        <v>247</v>
      </c>
      <c r="I33" s="21" t="s">
        <v>248</v>
      </c>
      <c r="J33" s="32" t="s">
        <v>249</v>
      </c>
      <c r="K33" s="24" t="n">
        <v>12</v>
      </c>
      <c r="L33" s="25" t="s">
        <v>250</v>
      </c>
    </row>
    <row r="34" customFormat="false" ht="137.25" hidden="false" customHeight="true" outlineLevel="0" collapsed="false">
      <c r="A34" s="26" t="s">
        <v>251</v>
      </c>
      <c r="B34" s="19" t="s">
        <v>252</v>
      </c>
      <c r="C34" s="20" t="s">
        <v>48</v>
      </c>
      <c r="D34" s="20" t="s">
        <v>232</v>
      </c>
      <c r="E34" s="20" t="s">
        <v>176</v>
      </c>
      <c r="F34" s="21" t="s">
        <v>253</v>
      </c>
      <c r="G34" s="31" t="s">
        <v>184</v>
      </c>
      <c r="H34" s="21" t="s">
        <v>254</v>
      </c>
      <c r="I34" s="21" t="s">
        <v>255</v>
      </c>
      <c r="J34" s="30" t="s">
        <v>165</v>
      </c>
      <c r="K34" s="24" t="n">
        <v>8</v>
      </c>
      <c r="L34" s="25" t="s">
        <v>256</v>
      </c>
    </row>
    <row r="35" customFormat="false" ht="217.5" hidden="false" customHeight="true" outlineLevel="0" collapsed="false">
      <c r="A35" s="18" t="s">
        <v>257</v>
      </c>
      <c r="B35" s="19" t="s">
        <v>258</v>
      </c>
      <c r="C35" s="20" t="s">
        <v>48</v>
      </c>
      <c r="D35" s="20" t="s">
        <v>232</v>
      </c>
      <c r="E35" s="20" t="s">
        <v>81</v>
      </c>
      <c r="F35" s="21" t="s">
        <v>259</v>
      </c>
      <c r="G35" s="31" t="s">
        <v>184</v>
      </c>
      <c r="H35" s="21" t="s">
        <v>260</v>
      </c>
      <c r="I35" s="21" t="s">
        <v>261</v>
      </c>
      <c r="J35" s="30" t="s">
        <v>165</v>
      </c>
      <c r="K35" s="24" t="n">
        <v>6</v>
      </c>
      <c r="L35" s="25" t="s">
        <v>262</v>
      </c>
    </row>
    <row r="36" customFormat="false" ht="124.5" hidden="false" customHeight="true" outlineLevel="0" collapsed="false">
      <c r="A36" s="26" t="s">
        <v>263</v>
      </c>
      <c r="B36" s="19" t="s">
        <v>264</v>
      </c>
      <c r="C36" s="20" t="s">
        <v>48</v>
      </c>
      <c r="D36" s="20" t="s">
        <v>232</v>
      </c>
      <c r="E36" s="20" t="s">
        <v>97</v>
      </c>
      <c r="F36" s="21" t="s">
        <v>119</v>
      </c>
      <c r="G36" s="28" t="s">
        <v>91</v>
      </c>
      <c r="H36" s="21" t="s">
        <v>265</v>
      </c>
      <c r="I36" s="21" t="s">
        <v>266</v>
      </c>
      <c r="J36" s="29" t="s">
        <v>101</v>
      </c>
      <c r="K36" s="24" t="n">
        <v>8</v>
      </c>
      <c r="L36" s="25" t="s">
        <v>267</v>
      </c>
    </row>
    <row r="37" customFormat="false" ht="24" hidden="false" customHeight="true" outlineLevel="0" collapsed="false">
      <c r="A37" s="17" t="s">
        <v>268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customFormat="false" ht="226.5" hidden="false" customHeight="true" outlineLevel="0" collapsed="false">
      <c r="A38" s="26" t="s">
        <v>269</v>
      </c>
      <c r="B38" s="19" t="s">
        <v>270</v>
      </c>
      <c r="C38" s="20" t="s">
        <v>52</v>
      </c>
      <c r="D38" s="20" t="s">
        <v>239</v>
      </c>
      <c r="E38" s="20" t="s">
        <v>239</v>
      </c>
      <c r="F38" s="21" t="s">
        <v>271</v>
      </c>
      <c r="G38" s="28" t="s">
        <v>91</v>
      </c>
      <c r="H38" s="21" t="s">
        <v>272</v>
      </c>
      <c r="I38" s="21" t="s">
        <v>273</v>
      </c>
      <c r="J38" s="32" t="s">
        <v>249</v>
      </c>
      <c r="K38" s="24" t="n">
        <v>12</v>
      </c>
      <c r="L38" s="25" t="s">
        <v>274</v>
      </c>
    </row>
    <row r="39" customFormat="false" ht="238.5" hidden="false" customHeight="true" outlineLevel="0" collapsed="false">
      <c r="A39" s="26" t="s">
        <v>275</v>
      </c>
      <c r="B39" s="19" t="s">
        <v>276</v>
      </c>
      <c r="C39" s="20" t="s">
        <v>52</v>
      </c>
      <c r="D39" s="20" t="s">
        <v>239</v>
      </c>
      <c r="E39" s="20" t="s">
        <v>239</v>
      </c>
      <c r="F39" s="21" t="s">
        <v>277</v>
      </c>
      <c r="G39" s="28" t="s">
        <v>91</v>
      </c>
      <c r="H39" s="21" t="s">
        <v>278</v>
      </c>
      <c r="I39" s="21" t="s">
        <v>279</v>
      </c>
      <c r="J39" s="30" t="s">
        <v>165</v>
      </c>
      <c r="K39" s="24" t="n">
        <v>12</v>
      </c>
      <c r="L39" s="25" t="s">
        <v>280</v>
      </c>
    </row>
    <row r="40" customFormat="false" ht="117.75" hidden="false" customHeight="true" outlineLevel="0" collapsed="false">
      <c r="A40" s="26" t="s">
        <v>281</v>
      </c>
      <c r="B40" s="19" t="s">
        <v>282</v>
      </c>
      <c r="C40" s="20" t="s">
        <v>52</v>
      </c>
      <c r="D40" s="20" t="s">
        <v>239</v>
      </c>
      <c r="E40" s="20" t="s">
        <v>239</v>
      </c>
      <c r="F40" s="21" t="s">
        <v>283</v>
      </c>
      <c r="G40" s="31" t="s">
        <v>184</v>
      </c>
      <c r="H40" s="21" t="s">
        <v>284</v>
      </c>
      <c r="I40" s="21" t="s">
        <v>285</v>
      </c>
      <c r="J40" s="30" t="s">
        <v>165</v>
      </c>
      <c r="K40" s="24" t="n">
        <v>8</v>
      </c>
      <c r="L40" s="25" t="s">
        <v>286</v>
      </c>
    </row>
    <row r="41" customFormat="false" ht="157.5" hidden="false" customHeight="true" outlineLevel="0" collapsed="false">
      <c r="A41" s="26" t="s">
        <v>287</v>
      </c>
      <c r="B41" s="19" t="s">
        <v>288</v>
      </c>
      <c r="C41" s="20" t="s">
        <v>52</v>
      </c>
      <c r="D41" s="20" t="s">
        <v>80</v>
      </c>
      <c r="E41" s="20" t="s">
        <v>81</v>
      </c>
      <c r="F41" s="21" t="s">
        <v>289</v>
      </c>
      <c r="G41" s="28" t="s">
        <v>91</v>
      </c>
      <c r="H41" s="21" t="s">
        <v>290</v>
      </c>
      <c r="I41" s="21" t="s">
        <v>291</v>
      </c>
      <c r="J41" s="28" t="s">
        <v>80</v>
      </c>
      <c r="K41" s="24" t="n">
        <v>14</v>
      </c>
      <c r="L41" s="25" t="s">
        <v>292</v>
      </c>
    </row>
    <row r="42" customFormat="false" ht="102" hidden="false" customHeight="true" outlineLevel="0" collapsed="false">
      <c r="A42" s="26" t="s">
        <v>293</v>
      </c>
      <c r="B42" s="19" t="s">
        <v>294</v>
      </c>
      <c r="C42" s="20" t="s">
        <v>52</v>
      </c>
      <c r="D42" s="20" t="s">
        <v>97</v>
      </c>
      <c r="E42" s="20" t="s">
        <v>97</v>
      </c>
      <c r="F42" s="21" t="s">
        <v>295</v>
      </c>
      <c r="G42" s="28" t="s">
        <v>91</v>
      </c>
      <c r="H42" s="21" t="s">
        <v>296</v>
      </c>
      <c r="I42" s="21" t="s">
        <v>297</v>
      </c>
      <c r="J42" s="29" t="s">
        <v>101</v>
      </c>
      <c r="K42" s="24" t="n">
        <v>12</v>
      </c>
      <c r="L42" s="25" t="s">
        <v>298</v>
      </c>
    </row>
    <row r="43" customFormat="false" ht="243.75" hidden="false" customHeight="true" outlineLevel="0" collapsed="false">
      <c r="A43" s="18" t="s">
        <v>299</v>
      </c>
      <c r="B43" s="19" t="s">
        <v>300</v>
      </c>
      <c r="C43" s="20" t="s">
        <v>52</v>
      </c>
      <c r="D43" s="20" t="s">
        <v>80</v>
      </c>
      <c r="E43" s="20" t="s">
        <v>70</v>
      </c>
      <c r="F43" s="21" t="s">
        <v>301</v>
      </c>
      <c r="G43" s="22" t="s">
        <v>73</v>
      </c>
      <c r="H43" s="21" t="s">
        <v>302</v>
      </c>
      <c r="I43" s="21" t="s">
        <v>303</v>
      </c>
      <c r="J43" s="29" t="s">
        <v>101</v>
      </c>
      <c r="K43" s="24" t="n">
        <v>6</v>
      </c>
      <c r="L43" s="25" t="s">
        <v>304</v>
      </c>
    </row>
    <row r="44" customFormat="false" ht="15" hidden="false" customHeight="false" outlineLevel="0" collapsed="false">
      <c r="A44" s="33"/>
      <c r="B44" s="34" t="s">
        <v>305</v>
      </c>
      <c r="C44" s="33"/>
      <c r="D44" s="33"/>
      <c r="E44" s="33"/>
      <c r="F44" s="33"/>
      <c r="G44" s="33"/>
      <c r="H44" s="33"/>
      <c r="I44" s="33"/>
      <c r="J44" s="33"/>
      <c r="K44" s="35" t="n">
        <f aca="false">SUM(K2:K43)</f>
        <v>373</v>
      </c>
      <c r="L44" s="36" t="s">
        <v>306</v>
      </c>
    </row>
  </sheetData>
  <mergeCells count="6">
    <mergeCell ref="A2:L2"/>
    <mergeCell ref="A10:L10"/>
    <mergeCell ref="A17:L17"/>
    <mergeCell ref="A24:L24"/>
    <mergeCell ref="A30:L30"/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6" t="s">
        <v>25</v>
      </c>
      <c r="B1" s="16" t="s">
        <v>26</v>
      </c>
      <c r="C1" s="16" t="s">
        <v>307</v>
      </c>
      <c r="D1" s="16" t="s">
        <v>65</v>
      </c>
      <c r="E1" s="16" t="s">
        <v>308</v>
      </c>
      <c r="F1" s="16" t="s">
        <v>309</v>
      </c>
      <c r="G1" s="16" t="s">
        <v>29</v>
      </c>
      <c r="H1" s="16" t="s">
        <v>310</v>
      </c>
    </row>
    <row r="2" customFormat="false" ht="51.75" hidden="false" customHeight="true" outlineLevel="0" collapsed="false">
      <c r="A2" s="37" t="s">
        <v>30</v>
      </c>
      <c r="B2" s="38" t="s">
        <v>31</v>
      </c>
      <c r="C2" s="39" t="n">
        <v>7</v>
      </c>
      <c r="D2" s="40" t="n">
        <f aca="false">SUMIF('Task List'!C:C,A2,'Task List'!K:K)</f>
        <v>63</v>
      </c>
      <c r="E2" s="41" t="str">
        <f aca="false">IF(AND(D2&gt;=45,D2&lt;=65),"OK","CHECK")</f>
        <v>OK</v>
      </c>
      <c r="F2" s="38" t="s">
        <v>33</v>
      </c>
      <c r="G2" s="38" t="s">
        <v>34</v>
      </c>
      <c r="H2" s="39" t="s">
        <v>32</v>
      </c>
    </row>
    <row r="3" customFormat="false" ht="51.75" hidden="false" customHeight="true" outlineLevel="0" collapsed="false">
      <c r="A3" s="37" t="s">
        <v>35</v>
      </c>
      <c r="B3" s="38" t="s">
        <v>36</v>
      </c>
      <c r="C3" s="39" t="n">
        <v>6</v>
      </c>
      <c r="D3" s="40" t="n">
        <f aca="false">SUMIF('Task List'!C:C,A3,'Task List'!K:K)</f>
        <v>65</v>
      </c>
      <c r="E3" s="41" t="str">
        <f aca="false">IF(AND(D3&gt;=45,D3&lt;=65),"OK","CHECK")</f>
        <v>OK</v>
      </c>
      <c r="F3" s="38" t="s">
        <v>37</v>
      </c>
      <c r="G3" s="38" t="s">
        <v>38</v>
      </c>
      <c r="H3" s="39" t="s">
        <v>32</v>
      </c>
    </row>
    <row r="4" customFormat="false" ht="51.75" hidden="false" customHeight="true" outlineLevel="0" collapsed="false">
      <c r="A4" s="37" t="s">
        <v>39</v>
      </c>
      <c r="B4" s="38" t="s">
        <v>40</v>
      </c>
      <c r="C4" s="39" t="n">
        <v>6</v>
      </c>
      <c r="D4" s="40" t="n">
        <f aca="false">SUMIF('Task List'!C:C,A4,'Task List'!K:K)</f>
        <v>65</v>
      </c>
      <c r="E4" s="41" t="str">
        <f aca="false">IF(AND(D4&gt;=45,D4&lt;=65),"OK","CHECK")</f>
        <v>OK</v>
      </c>
      <c r="F4" s="38" t="s">
        <v>41</v>
      </c>
      <c r="G4" s="38" t="s">
        <v>42</v>
      </c>
      <c r="H4" s="39" t="s">
        <v>32</v>
      </c>
    </row>
    <row r="5" customFormat="false" ht="51.75" hidden="false" customHeight="true" outlineLevel="0" collapsed="false">
      <c r="A5" s="37" t="s">
        <v>43</v>
      </c>
      <c r="B5" s="38" t="s">
        <v>44</v>
      </c>
      <c r="C5" s="39" t="n">
        <v>5</v>
      </c>
      <c r="D5" s="40" t="n">
        <f aca="false">SUMIF('Task List'!C:C,A5,'Task List'!K:K)</f>
        <v>56</v>
      </c>
      <c r="E5" s="41" t="str">
        <f aca="false">IF(AND(D5&gt;=45,D5&lt;=65),"OK","CHECK")</f>
        <v>OK</v>
      </c>
      <c r="F5" s="38" t="s">
        <v>46</v>
      </c>
      <c r="G5" s="38" t="s">
        <v>47</v>
      </c>
      <c r="H5" s="39" t="s">
        <v>45</v>
      </c>
    </row>
    <row r="6" customFormat="false" ht="51.75" hidden="false" customHeight="true" outlineLevel="0" collapsed="false">
      <c r="A6" s="37" t="s">
        <v>48</v>
      </c>
      <c r="B6" s="38" t="s">
        <v>49</v>
      </c>
      <c r="C6" s="39" t="n">
        <v>6</v>
      </c>
      <c r="D6" s="40" t="n">
        <f aca="false">SUMIF('Task List'!C:C,A6,'Task List'!K:K)</f>
        <v>60</v>
      </c>
      <c r="E6" s="41" t="str">
        <f aca="false">IF(AND(D6&gt;=45,D6&lt;=65),"OK","CHECK")</f>
        <v>OK</v>
      </c>
      <c r="F6" s="38" t="s">
        <v>50</v>
      </c>
      <c r="G6" s="38" t="s">
        <v>51</v>
      </c>
      <c r="H6" s="39" t="s">
        <v>45</v>
      </c>
    </row>
    <row r="7" customFormat="false" ht="51.75" hidden="false" customHeight="true" outlineLevel="0" collapsed="false">
      <c r="A7" s="37" t="s">
        <v>52</v>
      </c>
      <c r="B7" s="38" t="s">
        <v>53</v>
      </c>
      <c r="C7" s="39" t="n">
        <v>6</v>
      </c>
      <c r="D7" s="40" t="n">
        <f aca="false">SUMIF('Task List'!C:C,A7,'Task List'!K:K)</f>
        <v>64</v>
      </c>
      <c r="E7" s="41" t="str">
        <f aca="false">IF(AND(D7&gt;=45,D7&lt;=65),"OK","CHECK")</f>
        <v>OK</v>
      </c>
      <c r="F7" s="38" t="s">
        <v>54</v>
      </c>
      <c r="G7" s="38" t="s">
        <v>55</v>
      </c>
      <c r="H7" s="39" t="s">
        <v>45</v>
      </c>
    </row>
    <row r="8" customFormat="false" ht="15" hidden="false" customHeight="false" outlineLevel="0" collapsed="false">
      <c r="A8" s="33"/>
      <c r="B8" s="34" t="s">
        <v>311</v>
      </c>
      <c r="C8" s="35" t="n">
        <f aca="false">SUM(C2:C7)</f>
        <v>36</v>
      </c>
      <c r="D8" s="35" t="n">
        <f aca="false">SUM(D2:D7)</f>
        <v>373</v>
      </c>
      <c r="E8" s="33"/>
      <c r="F8" s="33"/>
      <c r="G8" s="33"/>
      <c r="H8" s="33"/>
    </row>
    <row r="10" customFormat="false" ht="15" hidden="false" customHeight="false" outlineLevel="0" collapsed="false">
      <c r="B10" s="42" t="s">
        <v>312</v>
      </c>
      <c r="C10" s="42"/>
      <c r="D10" s="42"/>
      <c r="E10" s="42"/>
      <c r="F10" s="42"/>
      <c r="G10" s="42"/>
      <c r="H10" s="42"/>
    </row>
  </sheetData>
  <mergeCells count="1"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2026-06-10T07:59:59Z</dcterms:created>
  <dc:creator>openpyxl</dc:creator>
  <dc:description/>
  <dc:language>en-US</dc:language>
  <cp:lastModifiedBy/>
  <dcterms:modified xsi:type="dcterms:W3CDTF">2026-06-10T07:59:59Z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