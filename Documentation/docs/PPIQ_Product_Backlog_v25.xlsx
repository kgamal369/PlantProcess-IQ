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e Board" sheetId="1" state="visible" r:id="rId3"/>
    <sheet name="Closed &amp; Archived" sheetId="2" state="visible" r:id="rId4"/>
    <sheet name="Lineage v22-v23" sheetId="3" state="visible" r:id="rId5"/>
    <sheet name="Phase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<sst xmlns="http://schemas.openxmlformats.org/spreadsheetml/2006/main" count="923" uniqueCount="480">
  <si>
    <t xml:space="preserve">PPIQ PRODUCT BACKLOG v25 - 21-Jul-2026. M1 reframed to the 7 presentation targets (Parts A+B &gt;=75% FRONTEND-demonstrable, engine &gt;=75%, chatbot &gt;=75%, journey on faked data, 3 premade pages + 1 built live). Frozen-ID law upheld; canvas/associative/catalogue = M2 (M2-31/37/38). New M1 target-tracker rows M1-34..M1-40.</t>
  </si>
  <si>
    <t xml:space="preserve">ID</t>
  </si>
  <si>
    <t xml:space="preserve">Milestone</t>
  </si>
  <si>
    <t xml:space="preserve">Phase</t>
  </si>
  <si>
    <t xml:space="preserve">Group</t>
  </si>
  <si>
    <t xml:space="preserve">Task Name</t>
  </si>
  <si>
    <t xml:space="preserve">Severity</t>
  </si>
  <si>
    <t xml:space="preserve">Type</t>
  </si>
  <si>
    <t xml:space="preserve">Module</t>
  </si>
  <si>
    <t xml:space="preserve">Status</t>
  </si>
  <si>
    <t xml:space="preserve">Est (h)</t>
  </si>
  <si>
    <t xml:space="preserve">Origin</t>
  </si>
  <si>
    <t xml:space="preserve">Description (junior-complete)</t>
  </si>
  <si>
    <t xml:space="preserve">Validation / Acceptance</t>
  </si>
  <si>
    <t xml:space="preserve">M1-18</t>
  </si>
  <si>
    <t xml:space="preserve">M1</t>
  </si>
  <si>
    <t xml:space="preserve">M1-P1 Golden Chain</t>
  </si>
  <si>
    <t xml:space="preserve">G0 Runtime</t>
  </si>
  <si>
    <t xml:space="preserve">Finish the trunk: second merge of the 10 stranded 17-Jul commits, branch deletion, fresh bundle off-machine</t>
  </si>
  <si>
    <t xml:space="preserve">Critical</t>
  </si>
  <si>
    <t xml:space="preserve">governance</t>
  </si>
  <si>
    <t xml:space="preserve">Repo</t>
  </si>
  <si>
    <t xml:space="preserve">PARTIAL</t>
  </si>
  <si>
    <t xml:space="preserve">v23 + 18-Jul session</t>
  </si>
  <si>
    <t xml:space="preserve">STATUS: 90% done. Evidence so far: merge ab9771f9 on main; matrix fix rescued into commit 4f57b7e5 (PlantAccessControl.cs line 212 maps /api/ml/foundation - without this commit the engine 403s); root tools committed 0e2da1b7/913a8ba7; .gitignore evidence rules added. 18-Jul discovery: TEN commits sit on branch 'presentation' and NOT on main (578015f4 provider fix, 84dd6abd rebuild script, 36a317f2 test deletion, workspace page, website v2, Backlog v23 docs) - main's history is a day behind although the shared working tree hides it. The second merge conflicts on exactly ONE file (.gitignore, both sides appended different ignore blocks; correct resolution = line union). REMAINING: download Finish-PresentationMerge.ps1 from the 18-Jul chat outputs to repo root and run: powershell -NoProfile -ExecutionPolicy Bypass -File .\Finish-PresentationMerge.ps1  (it re-merges, resolves .gitignore by union from index stages :2/:3, refuses to auto-resolve any other file, commits, builds, deletes the branch with --delete, cuts a fresh --all bundle, copies to OneDrive\PPIQ-Archive with SHA256 verify).</t>
  </si>
  <si>
    <t xml:space="preserve">git log --oneline main..presentation prints ZERO lines; branch 'presentation' gone (git branch shows only main); dotnet build Backend\PlantProcessIQ.sln green after merge; a PPIQ_main_*.bundle newer than the merge exists in OneDrive\PPIQ-Archive and 'git bundle verify' passed on it; the M1-18_FinishMerge_*.txt log is kept as evidence.</t>
  </si>
  <si>
    <t xml:space="preserve">M1-19</t>
  </si>
  <si>
    <t xml:space="preserve">G1 Import</t>
  </si>
  <si>
    <t xml:space="preserve">Oracle discovery in the HMI: PPIQ_SRC schema on CP-04/CP-06 + dated screenshot</t>
  </si>
  <si>
    <t xml:space="preserve">defect fix</t>
  </si>
  <si>
    <t xml:space="preserve">Connectors</t>
  </si>
  <si>
    <t xml:space="preserve">v23</t>
  </si>
  <si>
    <t xml:space="preserve">STATUS: earned x2 via API on 17-Jul (HSM_COILS..., CC_HEATS... discovered through /api). The v23 acceptance explicitly requires the UI walk, so the task is NOT closed by the API proof. REMAINING (5 minutes, in the browser): open Connections; edit profile CP-04 (caster Oracle) -&gt; field 'Schema Name' -&gt; type PPIQ_SRC -&gt; Save -&gt; Test connection (expect green) -&gt; Discover (expect table list CC_HEATS, CC_SEQUENCES, CC_SLABS, V_PARAMETER_DEFINITIONS). Repeat on CP-06 (HSM Oracle; expect HSM_COILS, HSM_PASSES, V_PARAMETER_DEFINITIONS). Take ONE screenshot per profile showing the discovery list with today's date visible (taskbar clock suffices). If a red banner appears, STOP and file it - do not improvise credentials.</t>
  </si>
  <si>
    <t xml:space="preserve">Two dated screenshots committed under docs/evidence/ (or kept in the demo evidence folder) showing PPIQ_SRC table discovery for CP-04 and CP-06 in the HMI; zero red banners during the walk; the phrase 'live Oracle connector' is now permitted in customer-facing language.</t>
  </si>
  <si>
    <t xml:space="preserve">M1-21</t>
  </si>
  <si>
    <t xml:space="preserve">G3 Engine</t>
  </si>
  <si>
    <t xml:space="preserve">Governed engine run COMPLETES: wall-7 named and fixed, first fresh findings in results_v2</t>
  </si>
  <si>
    <t xml:space="preserve">Engine</t>
  </si>
  <si>
    <t xml:space="preserve">v23 rewritten 20-Jul (six walls fixed this session)</t>
  </si>
  <si>
    <t xml:space="preserve">STATUS: six successive blockers were found and FIXED on 20-Jul, each with evidence: (1) harness grain default 'material' (a grain that exists nowhere; use -Grain coil); (2) heat_id absent at coil grain -&gt; migration 740 added genealogy lineage view ppiq_ml_unit_heat_lineage + heat_id resolution (proof: 2,441 distinct heats at coil, log FeatureStoreFix_103157); (3) defect.class/defect.severity outcome VALUES never emitted -&gt; 740 emits them (51,691 rows); (4) window anchored to now() excluded the historical fleet -&gt; pass -WindowDays 3650; (5) THE API WAS CONNECTED TO ppiq_app NOT ppiq_presentation (fingerprint: refresh returned exactly 40 features/1 outcome = the post-purge ppiq_app state) -&gt; restart via scripts\run\start-api.ps1 -Profile presentation; (6) features and outcomes never met at the same grain (loader joins on effective_sample_key WHERE grain=@g on BOTH sides; superheat lived at heat grain, CRACK at coil) -&gt; migration 741 projects heat-grain parameter features onto descendant coils via the lineage (proof: coil-grain features 5 -&gt; 97,183, superheat-at-coil 12,147, and the API refresh now returns 111,611 = the projection survives refresh, log Apply741_161504 + GoldenAnalysis_163106 section [3]). REMAINING - wall 7: with a COMPLETE store the 16:31 run still returned 8x Blocked. The gate's reasons are computed but discarded (DTO gap, see M2-25), so name the blocker from outside: (a) run the message query: psql -c "SELECT target_outcome_key,status,left(message,200) FROM ml_correlation_compute_runs WHERE completed_at_utc &gt; now()-interval '2 hours' ORDER BY completed_at_utc DESC LIMIT 8;" - the message may embed the dimension; (b) run the PATCHED Diagnose-ReadinessBlock.ps1 (re-download - the disk copy crashes at [3]) with -OutcomeKey defect.rate_per_m2 -WindowDays 3650, which reconstructs all five dimensions in SQL. Then apply the named surgical fix. Most likely completer: defect.rate_per_m2 (continuous -&gt; minority auto-passes). defect.class may honestly block on minority-class (20 categories); if so the cure is M2-27 per-code binary outcomes, NOT a threshold change - the gate is NEVER weakened.</t>
  </si>
  <si>
    <t xml:space="preserve">ml_correlation_compute_runs contains at least one run with status Completed/Ok created today; results_v2 row count rises above 320 with a NEW distinct compute_run_id; at least one finding pairs a param.* feature with a defect.* outcome with a non-trivial effect size and a q_value; the wall-7 root cause is written in one paragraph in the run log; NO readiness threshold in ReadinessGate.cs was modified (git diff proves it).</t>
  </si>
  <si>
    <t xml:space="preserve">M1-27</t>
  </si>
  <si>
    <t xml:space="preserve">M1-P2 Verify &amp; Rehearse</t>
  </si>
  <si>
    <t xml:space="preserve">G12 UX</t>
  </si>
  <si>
    <t xml:space="preserve">Dashboard widgets verified rendering after the 20-template self-repair</t>
  </si>
  <si>
    <t xml:space="preserve">Frontend</t>
  </si>
  <si>
    <t xml:space="preserve">NEW</t>
  </si>
  <si>
    <t xml:space="preserve">20-Jul session (widget toast + repair endpoint discovery)</t>
  </si>
  <si>
    <t xml:space="preserve">CONTEXT: /dashboard rendered eight empty widget stubs with toast 'Dashboard widget query is invalid' (POST /analytics/dashboard/widgets/query 400). The validator can only complain about: unsupported widget/chart type, unsupported/missing measure code, unsupported/missing dimension code, measure-requires-parameter, chart-vs-measure incompatibility, bad time range (DashboardWidgetValidationService.cs). At 15:57 the product's OWN repair was invoked and reported ensure created=20, repair repaired=20 system dashboards (log WidgetQueries_155747). WHAT TO DO: (1) hard-reload localhost:5173/dashboard - if all eight widgets render data and clicking a chart slice filters the workspace, mark PASS and screenshot; ALSO open 3-4 other codes via /workspace/&lt;CODE&gt; (list codes: psql -c "SELECT dashboard_code FROM dashboard_definitions WHERE is_deleted=false ORDER BY 1;"). (2) If ANY widget still shows the toast: run the PATCHED Diagnose-WidgetQueries.ps1 (list-extraction fixed 20-Jul evening) which replays every widget query and prints the server's validation errors verbatim per widget; send the log - the fix will be one registry/definition alignment. (3) Root-cause note for the file: templates drifted from the safety registry with no gate; the guard test is M2-33.</t>
  </si>
  <si>
    <t xml:space="preserve">Browser screenshot of PRODUCTION_OVERVIEW with all eight widgets showing real data; one screenshot proving click-to-filter (select a slice, another widget visibly changes); zero 'query is invalid' toasts across the demo-path workspaces; if the replay script was needed, its log shows 8 OK.</t>
  </si>
  <si>
    <t xml:space="preserve">M1-28</t>
  </si>
  <si>
    <t xml:space="preserve">The in-room live-registration moment + prepared-instance disclosure line</t>
  </si>
  <si>
    <t xml:space="preserve">execution</t>
  </si>
  <si>
    <t xml:space="preserve">Pipeline</t>
  </si>
  <si>
    <t xml:space="preserve">20-Jul ruling: demo runs on the prepared instance (disclosed), imports become one live act</t>
  </si>
  <si>
    <t xml:space="preserve">RULING (20-Jul): the demo uses the prepared ppiq_presentation instance, DISCLOSED, per Rule 3. The full Runsheet A-E is deferred to M1-33 (post-demo, for the citable chain). What remains for the room is ONE live act that proves the front door: register a single small dataset live and watch rows arrive. SCRIPT: after showing Connections, say the disclosure sentence VERBATIM: 'I prepared and trained this instance on our emulated multi-source plant so we spend our time on the product - on your install this starts empty and fills through the DB-link, which I will show you right now.' Then: Prepare Import -&gt; pick meltshop v_parameter_definitions (26 rows, fast, visible) -&gt; map to ParameterDefinition (mapping already authored or author live if rehearsed) -&gt; execute -&gt; open the batch -&gt; show staging rows -&gt; show the canonical table gaining rows WITH source_system = the connector and the batch id. Rehearse this exact path twice tonight; it must take under 5 minutes and produce zero red banners.</t>
  </si>
  <si>
    <t xml:space="preserve">Rehearsal log: the act performed twice end-to-end under 5 minutes each; a written fallback line for source-down ('the connector reports the source unreachable - this is the same honesty you get in production'); the disclosure sentence is printed in the deck speaker notes on the architecture slide.</t>
  </si>
  <si>
    <t xml:space="preserve">M1-29</t>
  </si>
  <si>
    <t xml:space="preserve">Workspace switcher: the 12 dashboards reachable from the nav, not by typed URL</t>
  </si>
  <si>
    <t xml:space="preserve">enhancement</t>
  </si>
  <si>
    <t xml:space="preserve">20-Jul finding: workspaces exist but only /workspace/:code routes reach them</t>
  </si>
  <si>
    <t xml:space="preserve">CONTEXT: App.tsx:475 routes /workspace/:dashboardCode to RoutedInteractiveWorkspacePage and /dashboard hardcodes PRODUCTION_OVERVIEW - but NO nav entry lists the codes, so the 12 workspaces are invisible unless the URL is typed (this is why they were believed 'vanished'). TASK: add a 'Workspaces' section to the left nav (AppLayout.tsx / the nav component beside Command Dashboard): on mount, GET /analytics/dashboard/definitions (note: NO /api prefix - the group mounts at /analytics/dashboard), read the array (response may wrap it in a property - handle items/definitions/dashboards), render one NavLink per definition to /workspace/{dashboardCode} with the definition name, sorted by name, system templates first. Keep styling identical to existing nav entries (dark-industrial tokens, no new colors). Do NOT build a new page - this is nav only. If time is short before the demo, the fallback is a static list of the codes returned by the psql query in M1-27, hardcoded for the demo and replaced by the fetch in M2.</t>
  </si>
  <si>
    <t xml:space="preserve">All dashboard definitions appear as clickable nav entries; clicking each renders its workspace with widgets (spot-check 4 of them); browser refresh on a /workspace/&lt;CODE&gt; URL still renders (route param path works); vitest suite still green; screenshot of the expanded nav committed as evidence.</t>
  </si>
  <si>
    <t xml:space="preserve">M1-31</t>
  </si>
  <si>
    <t xml:space="preserve">Commit migrations 740+741 into the repo + fold into Rebuild-PresentationDb</t>
  </si>
  <si>
    <t xml:space="preserve">20-Jul session - the engine fixes exist ONLY as loose files at repo root right now</t>
  </si>
  <si>
    <t xml:space="preserve">DANGER: 740_feature_store_heat_lineage... and 741_feature_store_coil_grain_projection.sql live at C:\Workspace\PlantProcess-IQ\ root, UNCOMMITTED, applied by hand to ppiq_presentation. If anyone runs Rebuild-PresentationDb.ps1 (M2-18) tomorrow morning, the rebuilt DB will NOT contain the lineage view, the projection, or the defect outcomes - the engine goes blind again silently. DO: move 741 (which supersedes and contains 740) into Backend\database\scripts\741_feature_store_coil_grain_projection.sql; keep 740 beside it or archive it with a header note '741 supersedes'; add the script to whatever list Rebuild-PresentationDb executes (open scripts\demo\Rebuild-PresentationDb.ps1, find the migration loop, confirm it globs the scripts folder or add the file explicitly); commit with message 'engine: heat lineage + coil-grain projection + defect outcomes (migrations 740/741)'; re-cut the bundle (M1-18 step already does this if run after).</t>
  </si>
  <si>
    <t xml:space="preserve">git ls-files shows the migration(s) under Backend/database/scripts/; Rebuild-PresentationDb.ps1 demonstrably includes them (paste the relevant lines); after the next rebuild, psql 'SELECT count(*) FROM ppiq_ml_unit_heat_lineage' returns &gt; 0 and coil-grain features survive; committed SHA recorded here.</t>
  </si>
  <si>
    <t xml:space="preserve">M1-32</t>
  </si>
  <si>
    <t xml:space="preserve">G4 Quality</t>
  </si>
  <si>
    <t xml:space="preserve">Golden script hygiene: GROUP BY bug + the lying [PARTIAL] template</t>
  </si>
  <si>
    <t xml:space="preserve">Nice to have</t>
  </si>
  <si>
    <t xml:space="preserve">cleanup</t>
  </si>
  <si>
    <t xml:space="preserve">Tooling</t>
  </si>
  <si>
    <t xml:space="preserve">20-Jul: the closing text claimed signal recovery on a run with zero results</t>
  </si>
  <si>
    <t xml:space="preserve">Two defects in Run-GoldenAnalysis.ps1: (1) the [BEFORE] method-distribution query errors 'aggregate functions are not allowed in GROUP BY' (GROUP BY 1 references the concatenated aggregate expression; fix: GROUP BY effect_size_type, method and build the string in SELECT only); (2) the closing 'WHAT YOU HAVE EARNED [PARTIAL]... engine recovered a planted validation signal' prints even when results_v2 gained ZERO rows - gate that block on (resAfter - resBefore) &gt; 0, else print the honest 'no findings this run' line. The evidence file must never claim more than the run earned.</t>
  </si>
  <si>
    <t xml:space="preserve">Script runs with zero SQL errors; a run with no new results prints no recovery claim (test by re-running while blocked); diff committed.</t>
  </si>
  <si>
    <t xml:space="preserve">M1-01</t>
  </si>
  <si>
    <t xml:space="preserve">G2 Assistant</t>
  </si>
  <si>
    <t xml:space="preserve">Assistant grounded: reindex + one cited answer + one honest refusal</t>
  </si>
  <si>
    <t xml:space="preserve">validation</t>
  </si>
  <si>
    <t xml:space="preserve">Assistant</t>
  </si>
  <si>
    <t xml:space="preserve">OPEN</t>
  </si>
  <si>
    <t xml:space="preserve">v23 (build done; proof remains)</t>
  </si>
  <si>
    <t xml:space="preserve">Infrastructure exists (canon.assistant_chunk, reindex endpoint). Today kb_items=0 and the corpus is unindexed. DO: POST /api/assistant/reindex with the bearer token (login e2eadmin as in the scripts; the working login path on this build is /auth/login) -&gt; expect 200 with chunkCount &gt;= 20. Then in the UI ask: 'which source tables are registered?' -&gt; expect isRefusal=false with at least one citation that resolves when clicked. Then ask a predictive question ('which coils will fail tomorrow?') -&gt; expect an explicit refusal - THE REFUSAL IS A FEATURE, show it deliberately in the room. If a completed engine run exists by then (M1-21), also ask about the newest finding and check the answer cites the run.</t>
  </si>
  <si>
    <t xml:space="preserve">POST /api/assistant/reindex returns 200 with chunkCount &gt;= 20 (paste the response); screenshot of a cited answer whose citation opens; screenshot of the refusal on the predictive question; both moments written into the demo script.</t>
  </si>
  <si>
    <t xml:space="preserve">M1-11</t>
  </si>
  <si>
    <t xml:space="preserve">G16 Demo</t>
  </si>
  <si>
    <t xml:space="preserve">Browser certification NARROWED: the demo path graded with screenshots</t>
  </si>
  <si>
    <t xml:space="preserve">All</t>
  </si>
  <si>
    <t xml:space="preserve">v23 (narrowed per 17-Jul cut: demo path only, full 12-workspace pass moves post-demo)</t>
  </si>
  <si>
    <t xml:space="preserve">SCOPE (narrowed): only what the room will see. Walk in the browser, as a naive user, grading each surface [P] pass / [B] built-but-issue / [X] broken: (1) login; (2) Connections incl. the two Oracle profiles post M1-19; (3) Prepare Import + the M1-28 live-registration path; (4) Importing/Jobs Monitor; (5) genealogy search: pick one coil, walk coil-&gt;slab-&gt;heat, click into provenance; (6) Command Dashboard + PRODUCTION_OVERVIEW + 2 more workspaces: drag a widget, resize it, click a slice, watch cross-filter, save layout, reload, layout persists; (7) findings page (step 10); (8) Supervisor page (step 14); (9) assistant (step 15). EVERY [X] on this list either gets fixed tonight or its surface is REMOVED from the demo path - no red banners in the room, ever. Screenshots per step, one line per grade.</t>
  </si>
  <si>
    <t xml:space="preserve">A graded checklist (P/B/X per surface) with a dated screenshot per step, saved under docs/evidence/ or the demo folder; zero [X] remaining on the path (fixed or removed); each [B] has its one spoken sentence written down; the rehearsal (M1-14) uses exactly this certified path.</t>
  </si>
  <si>
    <t xml:space="preserve">M1-14</t>
  </si>
  <si>
    <t xml:space="preserve">Dress rehearsal x2: timed full walk on the certified path with contingency sheet</t>
  </si>
  <si>
    <t xml:space="preserve">The exact meeting script, twice, end-to-end, timed, on ppiq_presentation: opening frame -&gt; disclosure sentence -&gt; connections -&gt; LIVE registration act (M1-28) -&gt; genealogy walk -&gt; workspaces (drag/resize/cross-filter live) -&gt; findings + honest-gate sentence -&gt; supervisor sentence -&gt; assistant cited answer + deliberate refusal -&gt; close. Contingency sheet: one line per step for source-down / API-down / widget-dead ('this is the same honesty you get in production' family). Run 1 tonight after M1-11 certification; run 2 tomorrow morning. NO code changes after run 2 - the constitution's no-code-after-noon rule applies in spirit.</t>
  </si>
  <si>
    <t xml:space="preserve">Two timed runs logged (target under 40 minutes each); contingency sheet exists with a line per step; zero red banners in run 2; the deck order matches the walk order exactly.</t>
  </si>
  <si>
    <t xml:space="preserve">M1-15</t>
  </si>
  <si>
    <t xml:space="preserve">G6 Docs</t>
  </si>
  <si>
    <t xml:space="preserve">Deck + website to the PROVEN story: evidence-linked claims + 3 vision mockups + disclosure slide</t>
  </si>
  <si>
    <t xml:space="preserve">content</t>
  </si>
  <si>
    <t xml:space="preserve">Website</t>
  </si>
  <si>
    <t xml:space="preserve">v23 expanded 20-Jul (prepared-data disclosure + canvas vision as labeled design)</t>
  </si>
  <si>
    <t xml:space="preserve">Every commercial claim names its evidence (batch id, run id, screenshot, cert log) or is future-tense. CHANGES: (1) the money slide uses whatever M1-21 actually produced - a completed finding with its run id, OR the honesty framing ('the gate refuses to fabricate; that refusal is the moat') - never the 9.3x number without a run id behind it; (2) add the prepared-instance disclosure line to the architecture slide speaker notes (verbatim from M1-28); (3) add THREE vision slides badged 'Pilot Milestone - Design': ETL block canvas, AI/ML toolbox composer, statistics function palette (dark-industrial mockups - being produced; place as full-bleed images with the badge visible); (4) workspace screenshots come from the M1-11 certified pass only; (5) honesty-lint stays green.</t>
  </si>
  <si>
    <t xml:space="preserve">Deck walk matches rehearsal exactly; each claim has a named evidence artifact in the notes; the three vision slides carry the Design badge visibly; honesty-lint green; no slide contains the 9.3x number unless a completed run id is printed beside it.</t>
  </si>
  <si>
    <t xml:space="preserve">M1-22</t>
  </si>
  <si>
    <t xml:space="preserve">Step-13 Suggestion 401: map the route in the access matrix or fence the page</t>
  </si>
  <si>
    <t xml:space="preserve">v23; class confirmed by the 17-Jul /api/ml/foundation fix</t>
  </si>
  <si>
    <t xml:space="preserve">CONTEXT: red banner 'SUGGESTION RUNTIME NOT REACHABLE: 401 UNAUTHORIZED' on the step-13 page. This is almost certainly the SAME class as the fixed engine 403: the deny-by-default endpoint matrix in Backend/PlantProcess.Api/Security/PlantAccessControl.cs simply lacks the suggestion route. FIX (30 min, the pattern is proven): find the exact failing route in the browser Network tab (likely /api/suggestions or /analytics/suggestion...); add one tuple to the matrix next to line ~212 following the existing pattern: ("&lt;route-prefix&gt;", All(), "analysis.execute", false) - choose the permission that matches the page's role gating; rebuild; retest the page. COMMIT the change immediately (the 17-Jul fix lived uncommitted for a day and nearly died). FALLBACK if not green in 30 min: hide the page from the nav for the demo (no red banners in the room) and file the route for M2.</t>
  </si>
  <si>
    <t xml:space="preserve">The step-13 page loads with zero error banners AND a real recommendation path renders; OR the page is absent from the nav and the walk shows no reference to it; the matrix change is in a commit whose message names the route; the full 15-step walk shows zero 401/403 banners.</t>
  </si>
  <si>
    <t xml:space="preserve">M1-05</t>
  </si>
  <si>
    <t xml:space="preserve">Supervisor step-14: verify the existing page renders, decide render-or-script</t>
  </si>
  <si>
    <t xml:space="preserve">Very important</t>
  </si>
  <si>
    <t xml:space="preserve">v23 (build exists since 14-Jul; only the verification remains)</t>
  </si>
  <si>
    <t xml:space="preserve">SupervisorReportPage + SupervisorEndpoints exist with certification tests; ml_knowledge_base_items has 0 rows (kb_items=0 in today's readiness). VERIFY: open the page; if it renders an honest empty/framing state cleanly, grade [B] and use the scripted sentence: 'step-14 v0 frames the weekly supervisor - the closed tuning loop is the pilot keystone'. If one honest step produces a real report row (e.g. the kb upsert endpoint against an existing finding), take it and grade [P]. NO fabricated report content under any circumstance.</t>
  </si>
  <si>
    <t xml:space="preserve">Decision recorded in the walk notes: [P] with a real row visible, or [B] with the exact scripted sentence written; screenshot either way; zero errors on the page.</t>
  </si>
  <si>
    <t xml:space="preserve">M1-23</t>
  </si>
  <si>
    <t xml:space="preserve">Command Dashboard KPIs: Quality events + Risk show real values</t>
  </si>
  <si>
    <t xml:space="preserve">v23; RETEST FIRST - the 15:57 template repair may have fixed it</t>
  </si>
  <si>
    <t xml:space="preserve">CONTEXT: Materials KPI read 40,148 but Quality events and Risk showed '-' against 51,691 events - a read-model/key mismatch. NEW INFORMATION (20-Jul): the system-template repair rebuilt 20 dashboards at 15:57; this KPI wiring may already be fixed. STEP 1: reload the Command Dashboard and check the two KPIs BEFORE touching code. STEP 2 (only if still '-'): open browser Network tab, find the KPI fetch, compare the measure/dimension codes it sends against the widget validation registry codes (same investigation as M1-27 - they are probably the same root cause); align the definition, not the registry. STEP 3: verify each KPI against direct SQL: psql -c "SELECT count(*) FROM quality_events;" and the risk_scores count - the UI numbers must match the SQL numbers exactly.</t>
  </si>
  <si>
    <t xml:space="preserve">Both KPIs display numbers; each number equals the direct psql count on ppiq_presentation (paste both in the log); screenshot committed; if the repair fixed it, one line in the log says so with the timestamp.</t>
  </si>
  <si>
    <t xml:space="preserve">M1-06</t>
  </si>
  <si>
    <t xml:space="preserve">Alerting: two live rules + evaluation writes the log (demo-optional)</t>
  </si>
  <si>
    <t xml:space="preserve">OPTIONAL</t>
  </si>
  <si>
    <t xml:space="preserve">v23; include only if step 12 stays on the demo path</t>
  </si>
  <si>
    <t xml:space="preserve">AlertingPage is built and test-covered. If alerting stays in the walk: create two threshold rules in the UI (e.g. thermal superheat &gt; 36), run evaluation, confirm plant_data_log gains rows and the alert list renders them. If cut from the path, skip entirely - do not half-show it.</t>
  </si>
  <si>
    <t xml:space="preserve">Rules visible in UI; evaluation writes plant_data_log rows &gt; 0; alert list renders them; screenshot; OR the step is removed from the demo path in the M1-11 checklist.</t>
  </si>
  <si>
    <t xml:space="preserve">M1-09</t>
  </si>
  <si>
    <t xml:space="preserve">Finding read hygiene: latest-run dedup view for step 10</t>
  </si>
  <si>
    <t xml:space="preserve">v23 narrowed; do only if step-10 duplicates would be visible in the room</t>
  </si>
  <si>
    <t xml:space="preserve">results_v2 shows visible duplicates (e.g. product.gauge_band -&gt; defect_hold_binary twice, identical effect/n - see today's golden log [BEFORE]). If step 10 is on the demo path with the historical findings, an engineer will notice. NARROW FIX: create a read view public.ppiq_findings_latest AS SELECT DISTINCT ON (feature_key, outcome_key) * FROM ml_correlation_results_v2 ORDER BY feature_key, outcome_key, created_at_utc DESC; point the findings page query at the view (one-line change in the endpoint SQL). If not done, the spoken sentence is: 'historical runs accumulate; the read layer dedups in the pilot build'.</t>
  </si>
  <si>
    <t xml:space="preserve">Findings page shows one row per feature/outcome pair; OR the sentence is in the script; view committed if built.</t>
  </si>
  <si>
    <t xml:space="preserve">M1-33</t>
  </si>
  <si>
    <t xml:space="preserve">Full Runsheet A-E post-demo: the citable chain on watched data (absorbs old M1-20 + M1-03 scope)</t>
  </si>
  <si>
    <t xml:space="preserve">DEFERRED</t>
  </si>
  <si>
    <t xml:space="preserve">v23 M1-20/M1-03, deferred by the 20-Jul prepared-data ruling; run within 3 days after the meeting</t>
  </si>
  <si>
    <t xml:space="preserve">The original golden-chain execution: Phases A (4 taxonomy registrations: meltshop v_parameter_definitions 26, caster V_PARAMETER_DEFINITIONS 4, HSM 7, parsytec v_defect_definitions 20 -&gt; DefectCatalog), B (units + genealogy ~37,322 each), C (observations: C1 1,802 + C2 18,661; C3 overnight breadth), D (quality events ~34,312), E (governed run over the imported window). Instrumented end-to-end: run Verify-ImportPhases.ps1 -Baseline first (NOTE: re-capture - the baseline file was overwritten with plantprocessiq numbers on 20-Jul), then -Phase A/B/C/D after each phase (checks deltas AND connector-only provenance - the current taxonomy carries ADVANCED_DEMO_SEED 12+7, PPIQ_CONFIG 8+2, PHASE_F_SEED 1, all Rule-2 residue the import + sweep retires). After D: re-run the refresh + Run-GoldenAnalysis -Execute -Grain coil -WindowDays 3650; the finding then carries the fresh batch ids and the sentence 'computed on data you watched arrive' becomes true.</t>
  </si>
  <si>
    <t xml:space="preserve">Batch ids recorded per phase; Verify-ImportPhases green on A-D including provenance (no non-connector source_system growth); genealogy walk resolves from THIS batch's rows; a Completed run whose window covers the imported data; the M1-33 evidence file names every id.</t>
  </si>
  <si>
    <t xml:space="preserve">M2-25</t>
  </si>
  <si>
    <t xml:space="preserve">M2</t>
  </si>
  <si>
    <t xml:space="preserve">M2-P0 Keystone</t>
  </si>
  <si>
    <t xml:space="preserve">Readiness transparency: blocked runs explain themselves (apply the held pack)</t>
  </si>
  <si>
    <t xml:space="preserve">17-Jul session finding; the 20-Jul wall-7 hunt paid its full price</t>
  </si>
  <si>
    <t xml:space="preserve">THE DEFECT: AdvancedCorrelationComputeService builds the five gate reasons with exact numbers, then DotNetAdvancedCorrelationEngine drops them (CorrelationComputeResult has no ReadinessReasons member) and NpgsqlAdvancedResultWriter persists message+request_json only - so a blocked run is forensically mute; on 20-Jul this cost hours because eight Blocked runs could not name their dimension. THE FIX exists as a reviewed apply pack from 17-Jul (Apply-CorrelationReadinessTransparency.ps1): adds optional ReadinessReasons to the DTO (defaulted null so all four construction sites keep compiling), both engines populate it, writer serialises a readiness_json column (migration 735, additive, idempotent), plus view ppiq_correlation_run_readiness WITH (security_invoker=true) because the table carries FORCE RLS. ALSO fold migration 735 into Rebuild-PresentationDb (same trap as M1-31). Falsify once: run one deliberately blocked compute and SELECT the reasons from the view.</t>
  </si>
  <si>
    <t xml:space="preserve">A deliberately blocked run's readiness_json names its dimensions with numbers; the view returns one row per reason; build green; migration in scripts/ and in the rebuild command; the pack's log archived.</t>
  </si>
  <si>
    <t xml:space="preserve">M2-26</t>
  </si>
  <si>
    <t xml:space="preserve">Window anchoring: dataset-max instead of wall clock</t>
  </si>
  <si>
    <t xml:space="preserve">20-Jul finding: now()-anchored windows blind any historical/backfilled dataset</t>
  </si>
  <si>
    <t xml:space="preserve">The refresh and loader anchor windows to now(); a plant that pauses (or a demo on historical data) goes blind - on 20-Jul windowDays=120 rebuilt a 1-row store from a 40k dataset. FIX: anchor to max(observed_at_utc) of the relevant table/outcome (the loader already half-does this - lines 47-48 COALESCE to the max; the REFRESH function does not). Change ppiq_ml_refresh_feature_store's two window predicates to observed_at_utc &gt;= (SELECT max(...) same-table) - make_interval(days =&gt; p_window_days); add a config flag if wall-clock mode is ever wanted. Update the harness default -WindowDays back to a sane 120 once anchoring is fixed.</t>
  </si>
  <si>
    <t xml:space="preserve">Refresh with windowDays=120 on the historical fleet returns the full row counts; a unit/SQL test proves the anchor; committed + in rebuild.</t>
  </si>
  <si>
    <t xml:space="preserve">M2-28</t>
  </si>
  <si>
    <t xml:space="preserve">M2-P1 Hardening</t>
  </si>
  <si>
    <t xml:space="preserve">results_v2 tenant integrity: stamp the tenant, backfill the NULLs</t>
  </si>
  <si>
    <t xml:space="preserve">20-Jul diagnostic: FORCE RLS + tenant_id NULL on all 320 rows = findings invisible to the app through that table</t>
  </si>
  <si>
    <t xml:space="preserve">ml_correlation_results_v2 has FORCE row security with policy tenant_id = ppiq_current_tenant(), and every existing row carries tenant_id NULL - the application literally cannot read its own findings via this table (only owner-psql can). FIX: (1) writer stamps tenant_id (the writer already receives @tid - verify it is bound and non-null through the API path; the NULLs suggest the session GUC is empty when the engine writes); (2) audited backfill: UPDATE ... SET tenant_id = '00000000-0000-0000-0000-000000000001' WHERE tenant_id IS NULL - with a count logged before/after; (3) a probe test: as the app role with the GUC set, SELECT count(*) must equal the owner count. Coordinate with M2-32 (tenant rename).</t>
  </si>
  <si>
    <t xml:space="preserve">App-role query returns all findings; new runs insert non-null tenant_id; backfill count recorded; probe test committed.</t>
  </si>
  <si>
    <t xml:space="preserve">M2-29</t>
  </si>
  <si>
    <t xml:space="preserve">Amendment 6 execution: schema topology (ppiq_meta/ppiq_plant/ppiq_staging), empty public, eradicate Arch-B residue</t>
  </si>
  <si>
    <t xml:space="preserve">Database</t>
  </si>
  <si>
    <t xml:space="preserve">20-Jul ratified draft (concept_Amendment_6_Schema_Topology_DRAFT.md); extends M2-20</t>
  </si>
  <si>
    <t xml:space="preserve">Execute the drafted Amendment 6: (1) DbContext explicit schema per aggregate (meta/plant/staging - classification test: exists-because-of-this-customer =&gt; plant/staging, ships-identical =&gt; meta); (2) ALTER TABLE ... SET SCHEMA migration moving all application tables out of public, updating every schema-qualified function/view (incl. 740/741 objects) and the rebuild command; (3) dissolve canon + acquisition namespaces into ppiq_plant/ppiq_staging; (4) eradicate: every src_*_shape table and schema, dump_store, the legacy plantprocessiq DATABASE (after verifying against the M1-12 OneDrive archive), plus review MapDemoLifecycleEndpoints/MapDemoReadinessEndpoints which the current eradication list walks past; (5) generated inventory (information_schema) ruling every ppiq_* script table: enter-the-Domain-model / justified-infrastructure / delete; (6) gates falsified once: G1 schemaPlacementContract architecture test, G2 sqlSchemaLint over scripts/, G3 publicSchemaEmpty runtime probe. Full journey re-certification afterwards.</t>
  </si>
  <si>
    <t xml:space="preserve">G1/G2/G3 all green after a recorded red each; fresh install shows zero app tables in public and SELECT across ppiq_plant.* = 0 day one (the A2 one-liner); plantprocessiq gone; inventory committed as the amendment's appendix; concept.md bumped v1.2.</t>
  </si>
  <si>
    <t xml:space="preserve">M2-31</t>
  </si>
  <si>
    <t xml:space="preserve">M2-P2 Product</t>
  </si>
  <si>
    <t xml:space="preserve">Node-wiring canvas foundation (reactflow) powering UI-1 join canvas + UI-3 toolbox</t>
  </si>
  <si>
    <t xml:space="preserve">20-Jul finding: react-grid-layout is the ONLY DnD lib in the tree; the wiring paradigm has no foundation</t>
  </si>
  <si>
    <t xml:space="preserve">The low-code vision's missing half: adopt @xyflow/react (reactflow) as the shared canvas kit (nodes, edges, ports, minimap, dark-industrial theme from the token set); build two consumers: (1) UI-1 Visual Join Canvas over the EXISTING backend (ppiq_visual_mapper_joins/_columns/_business_keys/_dry_runs/_templates - the tables and dry-run endpoints already work; the canvas is a new front over them): drag staged datasets as nodes, draw join edges on keys, preview via dry-run; (2) UI-3 Analysis Toolbox: method/function blocks (from the statistics registry incl. M2-04 additions) wired to parameter/outcome pickers, compiling to the same AnalysisJobConfig payload the form produces today. M3-02/M3-03 are RESCOPED to consume this foundation (do not build canvases twice). The three M1-15 vision mockups are the design contract. [v25: implements Prep-builder spec SS3/4/5/7/8/16 (canvas) AND is the authoring upgrade for Part A/B; M1 demos the same capability via forms (M1-35). Prereq for M2-37/38 UX parity.]</t>
  </si>
  <si>
    <t xml:space="preserve">Both canvases demoed on the emulated plant: a cross-source join (oracle piece_id x mysql material_id) authored by drag+wire and executed via dry-run; an analysis job authored by blocks producing an identical payload to the form; interactiveWorkspaceContract-style gate extended to the canvas pages; mockup-to-product diff reviewed against the design badge slides.</t>
  </si>
  <si>
    <t xml:space="preserve">M2-27</t>
  </si>
  <si>
    <t xml:space="preserve">Per-defect-code binary outcomes (defect.&lt;code&gt;_binary) for the money framing</t>
  </si>
  <si>
    <t xml:space="preserve">20-Jul: defect.class (20 categories) may honestly block on minority-class; the planted R1 is binary by design</t>
  </si>
  <si>
    <t xml:space="preserve">IF M1-21's wall-7 (or the class-balance dimension) shows defect.class refusing on minority share: emit per-code binary outcomes exactly like the historical quality.defect_hold_binary pattern - migration 742: seed ml_outcome_definitions rows defect.&lt;lower(defect_code)&gt;_binary (binary) from defect_catalogs; refresh emits per coil: 1.0 if the coil has &gt;=1 quality_event of that code in-window else 0.0 (dense zeros REQUIRED - the engine needs both classes); heat_id via the lineage as in 741. Then superheat -&gt; defect.crack_long_binary is the clean odds-ratio the money slide was designed around, with SCRATCH's binary as the null control at ~1.0.</t>
  </si>
  <si>
    <t xml:space="preserve">A completed run on defect.crack_long_binary with an odds-ratio effect and q-value; scratch binary ~1.0; definitions visible in the catalog endpoint; migration committed + in rebuild.</t>
  </si>
  <si>
    <t xml:space="preserve">M2-30</t>
  </si>
  <si>
    <t xml:space="preserve">Constitution + docs execution: v1.1 applied, folder reorganized, Doctrine v8.1 adopted, personas filed</t>
  </si>
  <si>
    <t xml:space="preserve">Docs</t>
  </si>
  <si>
    <t xml:space="preserve">18-20 Jul deliverables held during the demo crunch</t>
  </si>
  <si>
    <t xml:space="preserve">Run the three held scripts in order AFTER Finish-PresentationMerge: Apply-ConceptV11.ps1 (five amendments, anchored, backs up v1.0, commits - Model A ratified 19-Jul), Reorganize-ProductDocs.ps1 (canonical folders 0_founding/1_constitution/2_doctrine/3_planning/4_instruments/5_commercial/9_archive + INDEX.md; nothing deleted, snapshots immutable; splits rules.txt at PART A), then drop PlantProcessIQ_Doctrine_v8.1.md (the executed 8-directive merge) into 2_doctrine and point INDEX at it (v8.0.docx archives unmodified); file Aspects_of_Review_Personas_A11-A13.md with the audit lineage. Also add Amendment 6 DRAFT into 1_constitution pending its M2-29 execution.</t>
  </si>
  <si>
    <t xml:space="preserve">concept.md header reads v1.1 with changelog; INDEX.md exists and every species has exactly one living document; v8.1 in 2_doctrine; personas filed; all commits pushed into the bundle.</t>
  </si>
  <si>
    <t xml:space="preserve">M2-32</t>
  </si>
  <si>
    <t xml:space="preserve">Tenant hygiene: rename default-demo, align ppiq_tenants vs tenants, session GUC audit</t>
  </si>
  <si>
    <t xml:space="preserve">Roadmap v9 P2 item, now load-bearing after the 20-Jul tenant findings</t>
  </si>
  <si>
    <t xml:space="preserve">Two tenant registries exist (ppiq_tenants key 'default', tenants key 'default-demo' - same GUID) and the name violates Rule 1 wording. Rename to a neutral key (e.g. 'default'), reconcile the two tables (or retire one with a view), audit every place the session tenant GUC (ppiq_current_tenant()) is set - API middleware, engine writer, jobs - so M2-28's stamping has one source of truth.</t>
  </si>
  <si>
    <t xml:space="preserve">One registry (or documented pair) with no 'demo' in customer-visible keys; a written list of every GUC set-point; app + engine both resolve the same tenant id; probe committed.</t>
  </si>
  <si>
    <t xml:space="preserve">M2-34</t>
  </si>
  <si>
    <t xml:space="preserve">M2-P3 Audit</t>
  </si>
  <si>
    <t xml:space="preserve">First A11 (UI/UX) + A12 (AI/Engine) + A13 (Infrastructure) audits</t>
  </si>
  <si>
    <t xml:space="preserve">review</t>
  </si>
  <si>
    <t xml:space="preserve">20-Jul personas mandate (renumbered from A7-A9 per frozen-ID law)</t>
  </si>
  <si>
    <t xml:space="preserve">Run the three new personas against the post-demo build using Aspects_of_Review_Personas_A11-A13.md - each arrives pre-loaded with this session's findings (A11: forms-vs-canvas truth, unmounted builder entry, S5 gaps; A12: window anchor, mute blocked runs, tenant-NULL findings, 375 blind runs; A13: Arch-B residue, pgvector absent, sizing table unverified). Findings enter the backlog as NEW ids, Origin = the audit report; the report itself is immutable.</t>
  </si>
  <si>
    <t xml:space="preserve">Three dated audit reports committed; every finding has a backlog id or a written won't-fix; no report edited after filing.</t>
  </si>
  <si>
    <t xml:space="preserve">M2-33</t>
  </si>
  <si>
    <t xml:space="preserve">Dashboard template/registry drift guard + definitions endpoint contract</t>
  </si>
  <si>
    <t xml:space="preserve">tooling</t>
  </si>
  <si>
    <t xml:space="preserve">20-Jul: templates drifted from the widget safety registry silently; the list endpoint shape broke tooling twice</t>
  </si>
  <si>
    <t xml:space="preserve">Two small guards: (1) a test that replays every SYSTEM dashboard widget query against the validation service at build time - drift between templates and the safety registry turns red before it turns into eight dead widgets; (2) document + contract-test the /analytics/dashboard/definitions response shape (it defeated two diagnostic clients on 20-Jul).</t>
  </si>
  <si>
    <t xml:space="preserve">CI red when a system template's query fails validation (falsified once by breaking one on purpose); a contract test pins the definitions response shape.</t>
  </si>
  <si>
    <t xml:space="preserve">M2-35</t>
  </si>
  <si>
    <t xml:space="preserve">Tooling: per-database baseline files for Verify-ImportPhases</t>
  </si>
  <si>
    <t xml:space="preserve">20-Jul: -Baseline against plantprocessiq silently overwrote the presentation baseline</t>
  </si>
  <si>
    <t xml:space="preserve">Verify-ImportPhases.ps1 writes .import-baseline.json regardless of -Database; running it against a second DB destroys the first baseline (happened 20-Jul 10:36). Fix: filename .import-baseline.&lt;database&gt;.json; loader matches on the same key; note in the header.</t>
  </si>
  <si>
    <t xml:space="preserve">Two baselines for two databases coexist; -Phase A against presentation uses the presentation baseline (proven by a deliberate cross-run).</t>
  </si>
  <si>
    <t xml:space="preserve">M2-01</t>
  </si>
  <si>
    <t xml:space="preserve">M2-P1</t>
  </si>
  <si>
    <t xml:space="preserve">Supervisor engine (step-14 keystone): jobs improve each other + weekly deep revision</t>
  </si>
  <si>
    <t xml:space="preserve">new feature</t>
  </si>
  <si>
    <t xml:space="preserve">CARRIED v22 M2-01</t>
  </si>
  <si>
    <t xml:space="preserve">Full implementation with guardrails: may tune job configs/feature windows/thresholds; must NEVER weaken readiness gates, refusal logic or evidence; every change logged with justification. Builds on the M1-05 verified v0 state.</t>
  </si>
  <si>
    <t xml:space="preserve">After two supervised cycles, at least one job config adjusted with logged justification and measurably improved metric; gates untouched.</t>
  </si>
  <si>
    <t xml:space="preserve">M2-02</t>
  </si>
  <si>
    <t xml:space="preserve">Real LLM binding behind IAssistantModel (on-prem Ollama + optional hosted)</t>
  </si>
  <si>
    <t xml:space="preserve">CARRIED v22 M2-02</t>
  </si>
  <si>
    <t xml:space="preserve">Swap-in implementations beside ExtractiveAssistantModel; config-selected per install; answers remain retrieval-grounded + cited; refusal-first preserved.</t>
  </si>
  <si>
    <t xml:space="preserve">Same eval set answered by both models; citations still resolve; predictive questions still refuse; latency budget documented.</t>
  </si>
  <si>
    <t xml:space="preserve">M2-03</t>
  </si>
  <si>
    <t xml:space="preserve">Bounded-parallelism job executor (100+ jobs)</t>
  </si>
  <si>
    <t xml:space="preserve">Backend</t>
  </si>
  <si>
    <t xml:space="preserve">CARRIED v22 M2-03</t>
  </si>
  <si>
    <t xml:space="preserve">Channel&lt;JobRequest&gt; + N consumers; per-class pools (import/analysis/ML); statement timeouts + per-class work_mem; NOTIFY wakeups; job telemetry.</t>
  </si>
  <si>
    <t xml:space="preserve">100 defined jobs across classes complete a full cycle with bounded drift; no pool exhaustion; telemetry populated.</t>
  </si>
  <si>
    <t xml:space="preserve">M2-04</t>
  </si>
  <si>
    <t xml:space="preserve">Statistics method registry: Spearman, chi-square, ANOVA/Mann-Whitney + Surface-3 picker</t>
  </si>
  <si>
    <t xml:space="preserve">CARRIED v22 M2-04</t>
  </si>
  <si>
    <t xml:space="preserve">Registry of methods with applicability rules; Surface-3 lets the user pick; all results keep the evidence contract.</t>
  </si>
  <si>
    <t xml:space="preserve">Each method produces a verified result on the rigged set (chi-square finds a planted categorical driver; Spearman survives monotone).</t>
  </si>
  <si>
    <t xml:space="preserve">M2-05</t>
  </si>
  <si>
    <t xml:space="preserve">G10 Surface-1</t>
  </si>
  <si>
    <t xml:space="preserve">Step-4 full no-code data preparation (per-view Loading jobs + prep/load unification)</t>
  </si>
  <si>
    <t xml:space="preserve">CARRIED v22 M2-05</t>
  </si>
  <si>
    <t xml:space="preserve">Productize the demo path: visual field-map editor, filters/linking/grouping, SchemaView-&gt;MappingDefinition relationship decided, per-view jobs. [v24 note: the canvas UX for this surface is delivered by M2-31; this task owns the job/loading semantics, not the wiring UI.]</t>
  </si>
  <si>
    <t xml:space="preserve">A non-developer maps a NEW source to canonical entirely in the HMI incl. schedule; steps 4-6 clickable start to finish.</t>
  </si>
  <si>
    <t xml:space="preserve">M2-06</t>
  </si>
  <si>
    <t xml:space="preserve">4th UI complete: routing-deviation + chemistry-range rules, email/webhook delivery</t>
  </si>
  <si>
    <t xml:space="preserve">CARRIED v22 M2-06</t>
  </si>
  <si>
    <t xml:space="preserve">Extend v0: rule types (threshold / routing deviation vs genealogy / chemistry range vs expected_min_max), delivery channels, ack workflow.</t>
  </si>
  <si>
    <t xml:space="preserve">Each rule type fires on a crafted case; email+webhook delivered; ack recorded.</t>
  </si>
  <si>
    <t xml:space="preserve">M2-08</t>
  </si>
  <si>
    <t xml:space="preserve">M2-P2</t>
  </si>
  <si>
    <t xml:space="preserve">Scale foundations: partitions (monthly+BRIN), incremental feature refresh, PgBouncer, restore drill</t>
  </si>
  <si>
    <t xml:space="preserve">infrastructure</t>
  </si>
  <si>
    <t xml:space="preserve">CARRIED v22 M2-08</t>
  </si>
  <si>
    <t xml:space="preserve">Pre-pilot infra musts from sizing model v1.</t>
  </si>
  <si>
    <t xml:space="preserve">Medium-profile synthetic load (7.5M obs) refreshes incrementally in bounded time; restore drill signed off.</t>
  </si>
  <si>
    <t xml:space="preserve">M2-09</t>
  </si>
  <si>
    <t xml:space="preserve">G14 Security</t>
  </si>
  <si>
    <t xml:space="preserve">Roles/users vs journey: role catalog, named policies, MFA verify, SCIM finish-or-fence</t>
  </si>
  <si>
    <t xml:space="preserve">security</t>
  </si>
  <si>
    <t xml:space="preserve">CARRIED v22 M2-09</t>
  </si>
  <si>
    <t xml:space="preserve">Replace '?? viewer' fallback + literals with a role catalog; verify MFA enrolment; finish or fence SSO/SCIM; user flows match journey.</t>
  </si>
  <si>
    <t xml:space="preserve">Role matrix documented+tested per surface; MFA walk recorded; SCIM passing or disabled behind a flag.</t>
  </si>
  <si>
    <t xml:space="preserve">M2-10</t>
  </si>
  <si>
    <t xml:space="preserve">Licensing production-grade: tier-&gt;feature matrix, production Ed25519 keypair, gated-endpoint tests</t>
  </si>
  <si>
    <t xml:space="preserve">CARRIED v22 M2-10</t>
  </si>
  <si>
    <t xml:space="preserve">Document tier -&gt; LicenseFeature codes; rotate off the dev keypair (Option 3); test one gated endpoint per tier incl. ML/assistant gates.</t>
  </si>
  <si>
    <t xml:space="preserve">Matrix published; dev token rejected in prod mode; per-tier tests green.</t>
  </si>
  <si>
    <t xml:space="preserve">M2-16</t>
  </si>
  <si>
    <t xml:space="preserve">Interactive Workspace Doctrine epic P1: S5 components + S6 builder entry + S4/S7 gap fixes</t>
  </si>
  <si>
    <t xml:space="preserve">NEW 16-Jul (doctrine gap matrix ~70h, P1 slice)</t>
  </si>
  <si>
    <t xml:space="preserve">Amendment-7 conformance slice: conditional-format tables, list component, date-time-range filter (S5); re-mount Add-widget builder on workspace pages (S6); close every S4 min/max and S7 drag/persistence gap the M1-11 grading found; real heatmap widget row (config proven by Widget Drift).</t>
  </si>
  <si>
    <t xml:space="preserve">All 12 workspaces graded [P] on every doctrine standard; a user adds a widget through the builder on a workspace page.</t>
  </si>
  <si>
    <t xml:space="preserve">M2-17</t>
  </si>
  <si>
    <t xml:space="preserve">Amendment 7 committed + interactiveWorkspaceContract architecture gate installed</t>
  </si>
  <si>
    <t xml:space="preserve">Tests</t>
  </si>
  <si>
    <t xml:space="preserve">NEW 16-Jul (Amendment 7)</t>
  </si>
  <si>
    <t xml:space="preserve">The doctrine document into docs/doctrine/ on main; the gate per its section 5: frozen legacy allowlist, ratchet semantics, widget-query-contract enforcement. A doctrine without a gate is a wish.</t>
  </si>
  <si>
    <t xml:space="preserve">Gate red on an injected non-conforming page, green on main; allowlist snapshot committed; doctrine in git log.</t>
  </si>
  <si>
    <t xml:space="preserve">M2-20</t>
  </si>
  <si>
    <t xml:space="preserve">M2-P3</t>
  </si>
  <si>
    <t xml:space="preserve">Eradication epic: every Rule-1-violating installer/endpoint/page out of the product</t>
  </si>
  <si>
    <t xml:space="preserve">REWRITE v22 M1-07 residue + eradication list</t>
  </si>
  <si>
    <t xml:space="preserve">Consolidates old M1-07 residue + the standing list: TwoStageImportEndpoints.cs, CustomerDemoReportEndpoints.cs, /demo* routes, installer scripts 110/111/140/142/665 + seed/ violations on fresh install, 4 unrouted pages, drifted duplicate scanners, MaskSecrets default. [v24 note: schema-object eradication (dump_store, src_* schemas, plantprocessiq DB, DemoLifecycle/DemoReadiness endpoints) now owned by M2-29 Amendment-6 epic - this task keeps the installer-script/page/endpoint deletions; +2h for the endpoint review.]</t>
  </si>
  <si>
    <t xml:space="preserve">Fresh install on ppiq_acceptance_empty is 100% generic; grep gates clean; endpoints absent from Swagger.</t>
  </si>
  <si>
    <t xml:space="preserve">M2-07</t>
  </si>
  <si>
    <t xml:space="preserve">Range validation on ingest (expected_min/max) + time-series observation support</t>
  </si>
  <si>
    <t xml:space="preserve">CARRIED v22 M2-07</t>
  </si>
  <si>
    <t xml:space="preserve">Validate observations against parameter_definitions ranges (typed warning, not silent); prove multi-reading-per-unit series through the pipeline.</t>
  </si>
  <si>
    <t xml:space="preserve">Out-of-range reading produces a visible data-quality issue; 10-readings/heat series imports+projects+correlates.</t>
  </si>
  <si>
    <t xml:space="preserve">M2-11</t>
  </si>
  <si>
    <t xml:space="preserve">G15 Governance</t>
  </si>
  <si>
    <t xml:space="preserve">Close out-of-band paths: staging-reset endpoint, purge audit, source_system allow-list, retention, deletion UX</t>
  </si>
  <si>
    <t xml:space="preserve">CARRIED v22 M2-11</t>
  </si>
  <si>
    <t xml:space="preserve">Everything an auditor flagged: admin endpoint replaces psql resets; projector accepts only registered connector source_systems; retention job visible.</t>
  </si>
  <si>
    <t xml:space="preserve">No documented workflow requires psql; allow-list test rejects a foreign source_system; retention job in monitor.</t>
  </si>
  <si>
    <t xml:space="preserve">M2-13</t>
  </si>
  <si>
    <t xml:space="preserve">CI truth gates + test debt: same-table CREATE gate, seed NOT-NULL gate, register/const/binding tests</t>
  </si>
  <si>
    <t xml:space="preserve">tests</t>
  </si>
  <si>
    <t xml:space="preserve">CARRIED v22 M2-13</t>
  </si>
  <si>
    <t xml:space="preserve">The two deferred gates plus uncovered seams (register upsert, const: branch, execute query-binding, AddAssistant guard + factory tests).</t>
  </si>
  <si>
    <t xml:space="preserve">All gates red on injected violations, green on main; new tests in CI.</t>
  </si>
  <si>
    <t xml:space="preserve">M2-14</t>
  </si>
  <si>
    <t xml:space="preserve">Journey UX hardening: mapping surfaces renamed by outcome, i18n/RTL verified, widget lite-SQL click-tools</t>
  </si>
  <si>
    <t xml:space="preserve">REWRITE v22 M2-14 (6h; M1-17 clause done)</t>
  </si>
  <si>
    <t xml:space="preserve">'Prepare views' vs 'Load to plant data' naming; real Arabic RTL pass; group-by/filter click-builders in the widget wizard. (Progress guide DONE as M1-17 - clause removed.)</t>
  </si>
  <si>
    <t xml:space="preserve">New-user walk without verbal guidance reaches step 10; RTL screenshots approved.</t>
  </si>
  <si>
    <t xml:space="preserve">M2-19</t>
  </si>
  <si>
    <t xml:space="preserve">ppiq_acceptance_empty: third database + profile + Rule-2 acceptance run</t>
  </si>
  <si>
    <t xml:space="preserve">Infra</t>
  </si>
  <si>
    <t xml:space="preserve">NEW 16-Jul (senior rec 3)</t>
  </si>
  <si>
    <t xml:space="preserve">Senior rec 3: 'starts empty' is untestable without a permanently-empty instance. Create DB + profile; the Rule-2 acceptance (fresh install shows zero content everywhere) runs against it in CI cadence.</t>
  </si>
  <si>
    <t xml:space="preserve">Profile works; acceptance walk on the empty DB shows zero demo content on every surface; documented in Identity &amp; Topology.</t>
  </si>
  <si>
    <t xml:space="preserve">M2-21</t>
  </si>
  <si>
    <t xml:space="preserve">Journey certification suite completion: backend contracts hardened, MSW fixture layer, Playwright specs green, skippables mandatory</t>
  </si>
  <si>
    <t xml:space="preserve">NEW 15-Jul (certification framework P1)</t>
  </si>
  <si>
    <t xml:space="preserve">The adopted framework's test expansion, P1 slice: the 3 backend contract suites to green against real contracts, a real MSW fixture layer, the 2 journey Playwright specs passing in CI, SkippableFacts converted (live-Postgres path in CI), test isolation via PPIQ_TEST_PG_CONNSTRING.</t>
  </si>
  <si>
    <t xml:space="preserve">test:journey:* all green in CI; skipped count = 0 for critical suites; Phase3GoldenThread isolated from dev DB.</t>
  </si>
  <si>
    <t xml:space="preserve">M2-22</t>
  </si>
  <si>
    <t xml:space="preserve">UI debt burn-down wave 1: ratchet 161/112 -&gt; demo-path zero</t>
  </si>
  <si>
    <t xml:space="preserve">NEW 15-Jul (conformance scan)</t>
  </si>
  <si>
    <t xml:space="preserve">Frozen debt under the monotonic ratchet: AdminDbConfigurationTab (18), AnalysisJobConfigPage (18+25), widget-builder (20), Alerting (10), ImportPrep (9+13) converted to Standard* primitives; baseline lowered accordingly.</t>
  </si>
  <si>
    <t xml:space="preserve">Ratchet baseline reduced by &gt;=100 D1; demo-path pages at 0 raw controls; suite green.</t>
  </si>
  <si>
    <t xml:space="preserve">M2-15</t>
  </si>
  <si>
    <t xml:space="preserve">Ops/security residue: secrets story, mail/Spamhaus remediation, backend mojibake, phase-dir renames</t>
  </si>
  <si>
    <t xml:space="preserve">Ops</t>
  </si>
  <si>
    <t xml:space="preserve">REWRITE v22 M2-15 (4h; src mojibake done)</t>
  </si>
  <si>
    <t xml:space="preserve">Src-tree mojibake DONE 16-Jul (gate green); remaining: 6 backend .cs files, Phase8/9 dir renames, SPF/DKIM/PTR + relay 587, secrets manager pattern.</t>
  </si>
  <si>
    <t xml:space="preserve">Deliverability test passes; noMojibake backend list empty; grep clean on phase tokens; no plaintext secrets.</t>
  </si>
  <si>
    <t xml:space="preserve">M2-23</t>
  </si>
  <si>
    <t xml:space="preserve">Purge the 5 provenance-NULL units in ppiq_app + root-cause note</t>
  </si>
  <si>
    <t xml:space="preserve">Data</t>
  </si>
  <si>
    <t xml:space="preserve">NEW 16-Jul (defect #5)</t>
  </si>
  <si>
    <t xml:space="preserve">The dev DB's only Rule-2 breach (certifier catch): five units with NULL source_system/source_record_id, created outside the import path. Identify origin, delete, note the seam.</t>
  </si>
  <si>
    <t xml:space="preserve">Certifier S06 nullProv=0 on ppiq_app; origin documented.</t>
  </si>
  <si>
    <t xml:space="preserve">M2-24</t>
  </si>
  <si>
    <t xml:space="preserve">Register page final step: explicit job binding (from-mapping + schedule-now)</t>
  </si>
  <si>
    <t xml:space="preserve">MOVED from v22 M1-16 (senior rec 17: not demo-critical)</t>
  </si>
  <si>
    <t xml:space="preserve">Small remainder: wire the page's final step to import-jobs/from-mapping + schedule-now (register already schedules implicitly).</t>
  </si>
  <si>
    <t xml:space="preserve">Clicking finish shows the scheduled job and next-run time.</t>
  </si>
  <si>
    <t xml:space="preserve">M3-01</t>
  </si>
  <si>
    <t xml:space="preserve">M3</t>
  </si>
  <si>
    <t xml:space="preserve">M3-P1</t>
  </si>
  <si>
    <t xml:space="preserve">G5 Feedback</t>
  </si>
  <si>
    <t xml:space="preserve">Customer-comment intake from the meeting: log, triage, re-prioritize M3</t>
  </si>
  <si>
    <t xml:space="preserve">CARRIED v22 M3-01</t>
  </si>
  <si>
    <t xml:space="preserve">Every comment becomes a numbered row with severity and owner; M3 scope finalized within 48h of the meeting.</t>
  </si>
  <si>
    <t xml:space="preserve">Comment log committed; M3 plan v1 published.</t>
  </si>
  <si>
    <t xml:space="preserve">M3-02</t>
  </si>
  <si>
    <t xml:space="preserve">Visual mapper polish + mapping templates library</t>
  </si>
  <si>
    <t xml:space="preserve">CARRIED v22 M3-02</t>
  </si>
  <si>
    <t xml:space="preserve">Drag-drop field mapping, per-industry starter templates shipped as emulation fixtures (never code branches). [v24 RESCOPED: consumes the M2-31 canvas foundation - templates library + polish only; est cut 8-&gt;6h.]</t>
  </si>
  <si>
    <t xml:space="preserve">A new industry source mapped from a template in &lt;10 min by a non-developer.</t>
  </si>
  <si>
    <t xml:space="preserve">M3-03</t>
  </si>
  <si>
    <t xml:space="preserve">3rd UI drag-and-drop analysis toolbox</t>
  </si>
  <si>
    <t xml:space="preserve">REWRITE v22 M3-03 (doctrine ref added)</t>
  </si>
  <si>
    <t xml:space="preserve">Draggable method/parameter components over the M2 method registry; saved analyses shareable; conforms to Amendment 7 workspace primitives. [v24 RESCOPED: consumes the M2-31 canvas foundation - toolbox content + payload compilation only; est cut 10-&gt;6h.]</t>
  </si>
  <si>
    <t xml:space="preserve">User composes a two-method analysis by drag-drop; result matches scripted equivalent; doctrine gate green.</t>
  </si>
  <si>
    <t xml:space="preserve">M3-04</t>
  </si>
  <si>
    <t xml:space="preserve">Large-profile scale: analytics read replica, partition automation, load test at 60M obs/yr</t>
  </si>
  <si>
    <t xml:space="preserve">CARRIED v22 M3-04</t>
  </si>
  <si>
    <t xml:space="preserve">Per sizing model v1 Large row; automated partition creation; correlation on replica.</t>
  </si>
  <si>
    <t xml:space="preserve">Synthetic Large load meets documented latency budgets.</t>
  </si>
  <si>
    <t xml:space="preserve">M3-05</t>
  </si>
  <si>
    <t xml:space="preserve">Connector expansion per customer landscape (files/API/historians as required)</t>
  </si>
  <si>
    <t xml:space="preserve">CARRIED v22 M3-05</t>
  </si>
  <si>
    <t xml:space="preserve">Scoped from customer comments: CSV/file drop, REST, OPC-UA historian - each as a new IDataSourceReader family, zero core changes.</t>
  </si>
  <si>
    <t xml:space="preserve">New connector imports through the unchanged pipeline.</t>
  </si>
  <si>
    <t xml:space="preserve">M3-06</t>
  </si>
  <si>
    <t xml:space="preserve">G13 Deploy</t>
  </si>
  <si>
    <t xml:space="preserve">HA + multi-plant deployment hardening</t>
  </si>
  <si>
    <t xml:space="preserve">Deploy</t>
  </si>
  <si>
    <t xml:space="preserve">CARRIED v22 M3-06</t>
  </si>
  <si>
    <t xml:space="preserve">Failover story, per-plant isolation review, installer runbook (sysadmin auto-provision, Customer Admin manual per Golden Rule).</t>
  </si>
  <si>
    <t xml:space="preserve">Documented install executes on a clean VM end-to-end.</t>
  </si>
  <si>
    <t xml:space="preserve">M1-34</t>
  </si>
  <si>
    <t xml:space="preserve">TARGET: Part B (Qlik workspace) &gt;=75% frontend-demonstrable</t>
  </si>
  <si>
    <t xml:space="preserve">target</t>
  </si>
  <si>
    <t xml:space="preserve">TARGET</t>
  </si>
  <si>
    <t xml:space="preserve">21-Jul targets + Rules662 matrix</t>
  </si>
  <si>
    <t xml:space="preserve">GOAL: the 3 premade page-types render + interact at &gt;=75% of the SS0-12 spec's DEMONSTRABLE surface (not full spec - that is M2). Matrix baseline: layout/style/evidence ~90%, interaction ~70% post the 08:41 fix. To cross 75% demonstrable, VERIFY (M1-11 pass) + land these small sure wins ONLY: (a) confirm switcher morph + global-filter requery + one bar-click cross-filter work (this morning's fix); (b) DEF-006 hide Clone/Remove menu items if not wired (hiding a dead button &gt; showing it); (c) DEF-007 either mount DrilldownDrawer or suppress the drilldown affordance; (d) ensure honest empty-states not error toasts on the demo path. NOT in M1: associative engine SS0 (M2-37), chart catalogue breadth SS2 (M2-38), bookmarks/sheets SS4. Those get the one-sentence roadmap.</t>
  </si>
  <si>
    <t xml:space="preserve">M1-11 pass shows: switcher OK, table view OK, global filter requeries all widgets, one chart-click cross-filters, drag/resize/save persists, CSV export works, fullscreen OK - &gt;=9 of 12 pass steps green with screenshots; every dead control on the demo path is hidden or fixed; the &gt;=75% figure is defended by the completed pass sheet, not asserted.</t>
  </si>
  <si>
    <t xml:space="preserve">M1-35</t>
  </si>
  <si>
    <t xml:space="preserve">TARGET: Part A (Prep builder) &gt;=75% frontend-demonstrable via the LIVE type-1 build</t>
  </si>
  <si>
    <t xml:space="preserve">21-Jul target #7 + Rules662 matrix</t>
  </si>
  <si>
    <t xml:space="preserve">GOAL: demonstrate Part A at &gt;=75% by BUILDING ONE type-1 page live (#7) through the EXISTING forms UI - not the canvas (canvas=M2-31). The matrix proved the spec's hard invariants are already built: versioned Transformation Definition (draft/validated/published/rolled_back, 540:35-147), dry-run preview (540:117), safe-sql read-only gate (rejected_by_safe_sql). So the live act = author a mapping/prep definition in UI-1, run its dry-run/preview, see the sample result, save it as a named versioned artifact, link it to the load job. That exercises SS2/SS5/SS6/SS10/SS15 LIVE. VERIFY the forms path end-to-end tonight; script the exact clicks; rehearse twice. The room sentence for the missing canvas: 'the builder's versioning, preview and read-only safety are live and you just watched them - the visual wiring canvas renders on top of this same engine in the pilot (M2-31).'</t>
  </si>
  <si>
    <t xml:space="preserve">A rehearsed &lt;5-min live walk: author -&gt; dry-run preview shows sample rows -&gt; save as named definition (visible new version row) -&gt; linked to a job. Screenshots of each step; the safe-sql rejection shown once as a feature (bad SQL -&gt; honest error). &gt;=75% defended by which SS sections are demonstrated live (list them in the pass).</t>
  </si>
  <si>
    <t xml:space="preserve">M1-36</t>
  </si>
  <si>
    <t xml:space="preserve">TARGET: Engine &gt;=75% - a Completed run OR the honest-abstain moat, either qualifies</t>
  </si>
  <si>
    <t xml:space="preserve">21-Jul target #3 (absorbs M1-21 wall-7)</t>
  </si>
  <si>
    <t xml:space="preserve">GOAL: engine demonstrable at &gt;=75%. TWO acceptable forms, both real: (A) a COMPLETED governed run on defect.class after wall-7 is named+fixed (store already proven: 2441 heats, 100% completeness, projection survives refresh) - needs the inside-engine log read (restart API in a visible console, run Invoke-EngineDirect, read the AdvancedCorrelationComputeService verdict line) then the surgical fix; OR (B) if wall-7 is structural, demo the HONEST-ABSTAIN as the moat: a live governed run returning Blocked 'analysis refused (honest abstain)' with a real run id - your own marketing names this the differentiator none of Primetals/PSI/SST can screenshot. 75% = the engine visibly runs, is governed, and either completes or honestly refuses - NOT a fabricated number. The citable 9.3x stays M1-33 (post-demo, watched data).</t>
  </si>
  <si>
    <t xml:space="preserve">Either: ml_correlation_compute_runs has a Completed run today with a finding pairing param.* to defect.* (effect+q); OR a live Blocked run with a real run id is rehearsed with the moat sentence. Wall-7 root cause written in one paragraph. No 9.3x quoted without a run id.</t>
  </si>
  <si>
    <t xml:space="preserve">M1-37</t>
  </si>
  <si>
    <t xml:space="preserve">TARGET: Chatbot/LLM &gt;=75% - a few Q&amp;A with SOME value + learning-curve framing</t>
  </si>
  <si>
    <t xml:space="preserve">21-Jul target #4 (absorbs M1-01)</t>
  </si>
  <si>
    <t xml:space="preserve">GOAL (your words): ask a couple of random questions, get a couple of answers WITH SOME VALUE - accuracy not mandatory; the honest frame is 'still on its learning curve, needs a bigger accurate dataset'. DO: POST /api/assistant/reindex (login e2eadmin, path /auth/login) -&gt; chunkCount&gt;=20; then in the chat ask 2-3 grounded questions ('which source tables are registered?', 'what defects are tracked?', 'summarise data quality') -&gt; answers should cite or at least draw on the corpus; ask ONE predictive question -&gt; the refusal is a FEATURE, show it. If answers are thin, that's acceptable at 75% WITH the learning-curve sentence - but they must not error or hallucinate wildly. Rehearse the exact 3 questions so the room demo is smooth.</t>
  </si>
  <si>
    <t xml:space="preserve">reindex returns chunkCount&gt;=20 (paste); 2-3 scripted questions return non-empty answers with some grounding; 1 predictive refusal shown; the learning-curve sentence is in the script; no server error in the chat during the rehearsed set.</t>
  </si>
  <si>
    <t xml:space="preserve">M1-38</t>
  </si>
  <si>
    <t xml:space="preserve">TARGET: whole 15-step journey green on the FAKED/prepared dataset</t>
  </si>
  <si>
    <t xml:space="preserve">21-Jul target #5</t>
  </si>
  <si>
    <t xml:space="preserve">GOAL: every one of the 15 journey steps shows healthy/green on the prepared ppiq_presentation instance (the faked dataset is disclosed per M1-28). This is the journey RAIL a customer sees. VERIFY each step's page loads without red banners and shows plausible data: 1 Connect, 2 Register, 3 Import, 4 Prepare, 5 Map, 6 Loaded, 7 Dashboards, 8 Analysis, 9 Run, 10 Findings, 11 ML ready, 12 ML jobs, 13 ML results/Suggestions (M1-22 401 fix), 14 Supervisor (M1-05), 15 Assistant (M1-37). Any step that cannot go green gets HIDDEN from the rail for the demo, not shown broken. Screenshot the full green rail.</t>
  </si>
  <si>
    <t xml:space="preserve">Screenshot of the 15-step rail with every demo-path step green; each red/broken step either fixed or removed from the walk; the disclosure sentence (M1-28) covers the prepared data; zero red banners in the rehearsed walk.</t>
  </si>
  <si>
    <t xml:space="preserve">M1-39</t>
  </si>
  <si>
    <t xml:space="preserve">TARGET: 3 premade pages (one per type) demo-ready</t>
  </si>
  <si>
    <t xml:space="preserve">21-Jul target #6</t>
  </si>
  <si>
    <t xml:space="preserve">GOAL: exactly 3 premade pages, ONE PER TYPE, polished and demo-ready: TYPE-1 a linked-raw-data dashboard (a Qlik workspace, e.g. PRODUCTION_OVERVIEW - already rendering post fixes + layout SQL); TYPE-2 a statistics/correlation results page (Correlations / findings); TYPE-3 an AI+ML results page (Model Insights / assistant-backed). Pick the single best-rendering workspace for each type, run the M1-11 pass on those 3 specifically, fix or hide any defect on THOSE pages only (don't chase all 12). These 3 are the spine of the room demo.</t>
  </si>
  <si>
    <t xml:space="preserve">3 named pages, one per type, each passing its M1-11 sub-pass with screenshots; each reachable via nav or a typed /workspace URL noted in the script; any defect on these 3 fixed or hidden.</t>
  </si>
  <si>
    <t xml:space="preserve">M1-40</t>
  </si>
  <si>
    <t xml:space="preserve">TARGET: protect the work - commit everything before any further edits</t>
  </si>
  <si>
    <t xml:space="preserve">21-Jul - 24h of fixes still uncommitted</t>
  </si>
  <si>
    <t xml:space="preserve">CRITICAL and FIRST: every fix from 20-21 Jul is uncommitted working tree - migrations 740/741/742, the observationCount C# fix (2 files), the layout SQL effects, the Qlik-interactions tsx fix, all session scripts. ONE bad edit or rebuild erases them. DO NOW: $env:Path += ';C:\Program Files\Git\cmd'; git add -A; git commit -m 'demo-eve: engine 740-742, observationCount measure, qlik interactions, layout, tools'. This is M1-31 widened to everything. Do it BEFORE the M1-11 pass, before any further script.</t>
  </si>
  <si>
    <t xml:space="preserve">git status clean (or only intended new files); git log shows the demo-eve commit; migrations + both C# files + the tsx fix are in git ls-files; bundle re-cut after (M1-18).</t>
  </si>
  <si>
    <t xml:space="preserve">M2-37</t>
  </si>
  <si>
    <t xml:space="preserve">Associative selection engine (Qlik spec SS0): possible/excluded states + coloring</t>
  </si>
  <si>
    <t xml:space="preserve">21-Jul Rules662 matrix</t>
  </si>
  <si>
    <t xml:space="preserve">The deepest distance from 'Qlik standard': today filters requery (M1 fix); the spec SS0 wants an ASSOCIATIVE model - selecting a value computes possible vs excluded values across ALL fields and renders green/white/grey. Build: selection state store, possible-set computation per field from the current selection, tri-state rendering in filter dropdowns and charts, alternate-states support. Prereq for a true Qlik claim.</t>
  </si>
  <si>
    <t xml:space="preserve">Selecting a value greys out impossible values elsewhere; possible set computed server- or client-side; green/white/grey rendering; alternate states; a spec-SS0 checklist passes.</t>
  </si>
  <si>
    <t xml:space="preserve">M2-38</t>
  </si>
  <si>
    <t xml:space="preserve">Chart &amp; widget catalogue completion (spec SS2/SS3/SS4)</t>
  </si>
  <si>
    <t xml:space="preserve">Today ~7 chart types; spec SS2 wants the full catalogue: scatter, heatmap, pareto, box-plot, gauge, waterfall, combo; SS3 non-chart widgets (text, container, tabs, KPI variants); SS4 dashboard constructs (bookmarks, sheets). Add incrementally, each honoring the safety registry + interaction contract.</t>
  </si>
  <si>
    <t xml:space="preserve">Each new chart type renders from a widget definition, passes validation, supports selection; bookmarks save/restore a filter+layout state; catalogue checklist vs SS2-4 tracked.</t>
  </si>
  <si>
    <t xml:space="preserve">M2-39</t>
  </si>
  <si>
    <t xml:space="preserve">Transformation-definition field alignment to spec SS2/SS11</t>
  </si>
  <si>
    <t xml:space="preserve">21-Jul matrix</t>
  </si>
  <si>
    <t xml:space="preserve">The versioned artifact exists (540) but the spec's SS2/SS11 want: definition_hash (reproducibility), output_schema (inferred cols/types/nullability), source_bindings by stable internal id (rename-safe), per-output-column lineage. Add these to ppiq_visual_mapper_versions + the save path.</t>
  </si>
  <si>
    <t xml:space="preserve">Saved definition carries hash, output_schema, id-based bindings, per-column lineage; a source rename does not break a saved definition; SS2/SS11 checklist green.</t>
  </si>
  <si>
    <t xml:space="preserve">CLOSED &amp; ARCHIVED - immutable; superseded scope always names its destination. Nothing here is deleted from history.</t>
  </si>
  <si>
    <t xml:space="preserve">Disposition</t>
  </si>
  <si>
    <t xml:space="preserve">Task</t>
  </si>
  <si>
    <t xml:space="preserve">Evidence / destination</t>
  </si>
  <si>
    <t xml:space="preserve">M1-25</t>
  </si>
  <si>
    <t xml:space="preserve">DONE</t>
  </si>
  <si>
    <t xml:space="preserve">Gate hygiene: stale JourneyRail.test.tsx deleted</t>
  </si>
  <si>
    <t xml:space="preserve">17-Jul: commit 36a317f2 (on presentation; lands on main via M1-18 finish); suite 253/253 green.</t>
  </si>
  <si>
    <t xml:space="preserve">M2-18</t>
  </si>
  <si>
    <t xml:space="preserve">One-command demo environment: Rebuild-PresentationDb.ps1</t>
  </si>
  <si>
    <t xml:space="preserve">17-Jul: committed (84dd6abd on presentation), proven 3x. WARNING: does not yet include migrations 735/740/741 - see M1-31/M2-25.</t>
  </si>
  <si>
    <t xml:space="preserve">M1-12</t>
  </si>
  <si>
    <t xml:space="preserve">Continuity: FLEET_RELATIONS + fixtures + fleet archived off-machine</t>
  </si>
  <si>
    <t xml:space="preserve">18-Jul: FLEET_RELATIONS committed 2b8a9a44; fixtures zip + fleet3months zip + verified bundle hash-copied to OneDrive\PPIQ-Archive (logs M1-12_Complete_v4_140352).</t>
  </si>
  <si>
    <t xml:space="preserve">M1-24</t>
  </si>
  <si>
    <t xml:space="preserve">SUPERSEDED</t>
  </si>
  <si>
    <t xml:space="preserve">Parallel-session code review</t>
  </si>
  <si>
    <t xml:space="preserve">Cut 17-Jul (post-demo); absorbed into M2-34 A11/A12 audits.</t>
  </si>
  <si>
    <t xml:space="preserve">M1-26</t>
  </si>
  <si>
    <t xml:space="preserve">Certifier v0.2 self-defects</t>
  </si>
  <si>
    <t xml:space="preserve">Cut 17-Jul; folded into M2-21 certification completion.</t>
  </si>
  <si>
    <t xml:space="preserve">M1-20</t>
  </si>
  <si>
    <t xml:space="preserve">Runsheet A-E as a DEMO prerequisite</t>
  </si>
  <si>
    <t xml:space="preserve">20-Jul prepared-data ruling: demo runs on the disclosed prepared instance; the in-room act is M1-28; the full citable chain is M1-33 (post-demo). Original scope preserved verbatim inside M1-33.</t>
  </si>
  <si>
    <t xml:space="preserve">M1-03</t>
  </si>
  <si>
    <t xml:space="preserve">Taxonomy-first proof as a demo prerequisite</t>
  </si>
  <si>
    <t xml:space="preserve">Merged into M1-33 Phase A acceptance (counts 26/4/7/20 + connector-only provenance).</t>
  </si>
  <si>
    <t xml:space="preserve">(unplanned)</t>
  </si>
  <si>
    <t xml:space="preserve">Access-matrix engine fix committed</t>
  </si>
  <si>
    <t xml:space="preserve">4f57b7e5 (18-Jul): /api/ml/foundation mapping rescued from the working tree into history.</t>
  </si>
  <si>
    <t xml:space="preserve">Doctrine v8.1 produced</t>
  </si>
  <si>
    <t xml:space="preserve">20-Jul: eight-directive merge executed against the real v8 text; adoption tracked in M2-30.</t>
  </si>
  <si>
    <t xml:space="preserve">System dashboard templates ensure+repair 20/20</t>
  </si>
  <si>
    <t xml:space="preserve">20-Jul 15:57 via /analytics/dashboard/definitions/system-templates; browser verification = M1-27.</t>
  </si>
  <si>
    <t xml:space="preserve">REMOVED FROM v22 - traceability (nothing silently deleted)</t>
  </si>
  <si>
    <t xml:space="preserve">v22 ID</t>
  </si>
  <si>
    <t xml:space="preserve">M1-04</t>
  </si>
  <si>
    <t xml:space="preserve">Step-4 mapping UI authors MappingDefinition through the HMI</t>
  </si>
  <si>
    <t xml:space="preserve">Proven in walk + certification tests (failedRows contract fixed 16-Jul). Evidence: walk doc [V] rows; suite green.</t>
  </si>
  <si>
    <t xml:space="preserve">M1-10</t>
  </si>
  <si>
    <t xml:space="preserve">Production error shape (no stack traces to clients)</t>
  </si>
  <si>
    <t xml:space="preserve">Walk P6/P10 verify the {title,errorCode,traceId} shape live [V].</t>
  </si>
  <si>
    <t xml:space="preserve">M1-13</t>
  </si>
  <si>
    <t xml:space="preserve">ppiq.ps1 API readiness poll</t>
  </si>
  <si>
    <t xml:space="preserve">Walk P2 cites the M1-13 line as live [V].</t>
  </si>
  <si>
    <t xml:space="preserve">M1-17</t>
  </si>
  <si>
    <t xml:space="preserve">Journey progress rail (step X of 15)</t>
  </si>
  <si>
    <t xml:space="preserve">Rail live in 16-Jul screenshots; certification test green; stale old test removal = new M1-25.</t>
  </si>
  <si>
    <t xml:space="preserve">M1-07</t>
  </si>
  <si>
    <t xml:space="preserve">DONE (frontend)</t>
  </si>
  <si>
    <t xml:space="preserve">Arch-B frontend removal</t>
  </si>
  <si>
    <t xml:space="preserve">Two-Stage ghost card excised 15-Jul (SHA-confirmed). Backend residue folded into M2-20 eradication epic.</t>
  </si>
  <si>
    <t xml:space="preserve">M1-02</t>
  </si>
  <si>
    <t xml:space="preserve">MERGED</t>
  </si>
  <si>
    <t xml:space="preserve">Jobs Monitor four job types honest</t>
  </si>
  <si>
    <t xml:space="preserve">Merged into M1-11 evidence-graded certification (one browser pass, one checklist).</t>
  </si>
  <si>
    <t xml:space="preserve">M1-08</t>
  </si>
  <si>
    <t xml:space="preserve">Purge + re-import into ppiq_app</t>
  </si>
  <si>
    <t xml:space="preserve">Purge done 14-Jul. Re-import superseded by M1-20 golden chain into ppiq_presentation (strategy: senior recs 2,3).</t>
  </si>
  <si>
    <t xml:space="preserve">M1-16</t>
  </si>
  <si>
    <t xml:space="preserve">MOVED</t>
  </si>
  <si>
    <t xml:space="preserve">Register page explicit job binding</t>
  </si>
  <si>
    <t xml:space="preserve">Not customer-critical (senior rec 17). Now M2-24.</t>
  </si>
  <si>
    <t xml:space="preserve">PHASE SUMMARY - live formulas over the Active Board</t>
  </si>
  <si>
    <t xml:space="preserve">Tasks</t>
  </si>
  <si>
    <t xml:space="preserve">Hours</t>
  </si>
  <si>
    <t xml:space="preserve">TONIGHT (M1 not deferred/optional)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</si>
</sst>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9C0006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DDEBF7"/>
        <bgColor rgb="FFEDEDED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EDEDED"/>
      </patternFill>
    </fill>
    <fill>
      <patternFill patternType="solid">
        <fgColor rgb="FFEDEDED"/>
        <bgColor rgb="FFF2F2F2"/>
      </patternFill>
    </fill>
    <fill>
      <patternFill patternType="solid">
        <fgColor rgb="FFE2EFDA"/>
        <bgColor rgb="FFEDEDED"/>
      </patternFill>
    </fill>
    <fill>
      <patternFill patternType="solid">
        <fgColor rgb="FF375623"/>
        <bgColor rgb="FF333300"/>
      </patternFill>
    </fill>
    <fill>
      <patternFill patternType="solid">
        <fgColor rgb="FFC6EFCE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DEDE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2F2F2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6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6"/>
    <col collapsed="false" customWidth="true" hidden="false" outlineLevel="0" max="3" min="3" style="1" width="16"/>
    <col collapsed="false" customWidth="true" hidden="false" outlineLevel="0" max="4" min="4" style="1" width="10"/>
    <col collapsed="false" customWidth="true" hidden="false" outlineLevel="0" max="5" min="5" style="1" width="34"/>
    <col collapsed="false" customWidth="true" hidden="false" outlineLevel="0" max="6" min="6" style="1" width="11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10"/>
    <col collapsed="false" customWidth="true" hidden="false" outlineLevel="0" max="10" min="10" style="1" width="7"/>
    <col collapsed="false" customWidth="true" hidden="false" outlineLevel="0" max="11" min="11" style="1" width="22"/>
    <col collapsed="false" customWidth="true" hidden="false" outlineLevel="0" max="12" min="12" style="1" width="95"/>
    <col collapsed="false" customWidth="true" hidden="false" outlineLevel="0" max="13" min="13" style="1" width="60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3.25" hidden="false" customHeight="true" outlineLevel="0" collapsed="false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customFormat="false" ht="105.75" hidden="false" customHeight="true" outlineLevel="0" collapsed="false">
      <c r="A3" s="4" t="s">
        <v>14</v>
      </c>
      <c r="B3" s="4" t="s">
        <v>15</v>
      </c>
      <c r="C3" s="4" t="s">
        <v>16</v>
      </c>
      <c r="D3" s="4" t="s">
        <v>17</v>
      </c>
      <c r="E3" s="4" t="s">
        <v>18</v>
      </c>
      <c r="F3" s="5" t="s">
        <v>19</v>
      </c>
      <c r="G3" s="4" t="s">
        <v>20</v>
      </c>
      <c r="H3" s="4" t="s">
        <v>21</v>
      </c>
      <c r="I3" s="6" t="s">
        <v>22</v>
      </c>
      <c r="J3" s="4" t="n">
        <v>0.25</v>
      </c>
      <c r="K3" s="4" t="s">
        <v>23</v>
      </c>
      <c r="L3" s="4" t="s">
        <v>24</v>
      </c>
      <c r="M3" s="4" t="s">
        <v>25</v>
      </c>
    </row>
    <row r="4" customFormat="false" ht="74.25" hidden="false" customHeight="true" outlineLevel="0" collapsed="false">
      <c r="A4" s="4" t="s">
        <v>26</v>
      </c>
      <c r="B4" s="4" t="s">
        <v>15</v>
      </c>
      <c r="C4" s="4" t="s">
        <v>16</v>
      </c>
      <c r="D4" s="4" t="s">
        <v>27</v>
      </c>
      <c r="E4" s="4" t="s">
        <v>28</v>
      </c>
      <c r="F4" s="5" t="s">
        <v>19</v>
      </c>
      <c r="G4" s="4" t="s">
        <v>29</v>
      </c>
      <c r="H4" s="4" t="s">
        <v>30</v>
      </c>
      <c r="I4" s="6" t="s">
        <v>22</v>
      </c>
      <c r="J4" s="4" t="n">
        <v>0.25</v>
      </c>
      <c r="K4" s="4" t="s">
        <v>31</v>
      </c>
      <c r="L4" s="4" t="s">
        <v>32</v>
      </c>
      <c r="M4" s="4" t="s">
        <v>33</v>
      </c>
    </row>
    <row r="5" customFormat="false" ht="189" hidden="false" customHeight="true" outlineLevel="0" collapsed="false">
      <c r="A5" s="4" t="s">
        <v>34</v>
      </c>
      <c r="B5" s="4" t="s">
        <v>15</v>
      </c>
      <c r="C5" s="4" t="s">
        <v>16</v>
      </c>
      <c r="D5" s="4" t="s">
        <v>35</v>
      </c>
      <c r="E5" s="4" t="s">
        <v>36</v>
      </c>
      <c r="F5" s="5" t="s">
        <v>19</v>
      </c>
      <c r="G5" s="4" t="s">
        <v>29</v>
      </c>
      <c r="H5" s="4" t="s">
        <v>37</v>
      </c>
      <c r="I5" s="6" t="s">
        <v>22</v>
      </c>
      <c r="J5" s="4" t="n">
        <v>2</v>
      </c>
      <c r="K5" s="4" t="s">
        <v>38</v>
      </c>
      <c r="L5" s="4" t="s">
        <v>39</v>
      </c>
      <c r="M5" s="4" t="s">
        <v>40</v>
      </c>
    </row>
    <row r="6" customFormat="false" ht="116.25" hidden="false" customHeight="true" outlineLevel="0" collapsed="false">
      <c r="A6" s="4" t="s">
        <v>41</v>
      </c>
      <c r="B6" s="4" t="s">
        <v>15</v>
      </c>
      <c r="C6" s="4" t="s">
        <v>42</v>
      </c>
      <c r="D6" s="4" t="s">
        <v>43</v>
      </c>
      <c r="E6" s="4" t="s">
        <v>44</v>
      </c>
      <c r="F6" s="5" t="s">
        <v>19</v>
      </c>
      <c r="G6" s="4" t="s">
        <v>29</v>
      </c>
      <c r="H6" s="4" t="s">
        <v>45</v>
      </c>
      <c r="I6" s="7" t="s">
        <v>46</v>
      </c>
      <c r="J6" s="4" t="n">
        <v>1</v>
      </c>
      <c r="K6" s="4" t="s">
        <v>47</v>
      </c>
      <c r="L6" s="4" t="s">
        <v>48</v>
      </c>
      <c r="M6" s="4" t="s">
        <v>49</v>
      </c>
    </row>
    <row r="7" customFormat="false" ht="95.25" hidden="false" customHeight="true" outlineLevel="0" collapsed="false">
      <c r="A7" s="4" t="s">
        <v>50</v>
      </c>
      <c r="B7" s="4" t="s">
        <v>15</v>
      </c>
      <c r="C7" s="4" t="s">
        <v>16</v>
      </c>
      <c r="D7" s="4" t="s">
        <v>27</v>
      </c>
      <c r="E7" s="4" t="s">
        <v>51</v>
      </c>
      <c r="F7" s="5" t="s">
        <v>19</v>
      </c>
      <c r="G7" s="4" t="s">
        <v>52</v>
      </c>
      <c r="H7" s="4" t="s">
        <v>53</v>
      </c>
      <c r="I7" s="7" t="s">
        <v>46</v>
      </c>
      <c r="J7" s="4" t="n">
        <v>1</v>
      </c>
      <c r="K7" s="4" t="s">
        <v>54</v>
      </c>
      <c r="L7" s="4" t="s">
        <v>55</v>
      </c>
      <c r="M7" s="4" t="s">
        <v>56</v>
      </c>
    </row>
    <row r="8" customFormat="false" ht="95.25" hidden="false" customHeight="true" outlineLevel="0" collapsed="false">
      <c r="A8" s="4" t="s">
        <v>57</v>
      </c>
      <c r="B8" s="4" t="s">
        <v>15</v>
      </c>
      <c r="C8" s="4" t="s">
        <v>42</v>
      </c>
      <c r="D8" s="4" t="s">
        <v>43</v>
      </c>
      <c r="E8" s="4" t="s">
        <v>58</v>
      </c>
      <c r="F8" s="5" t="s">
        <v>19</v>
      </c>
      <c r="G8" s="4" t="s">
        <v>59</v>
      </c>
      <c r="H8" s="4" t="s">
        <v>45</v>
      </c>
      <c r="I8" s="7" t="s">
        <v>46</v>
      </c>
      <c r="J8" s="4" t="n">
        <v>1.5</v>
      </c>
      <c r="K8" s="4" t="s">
        <v>60</v>
      </c>
      <c r="L8" s="4" t="s">
        <v>61</v>
      </c>
      <c r="M8" s="4" t="s">
        <v>62</v>
      </c>
    </row>
    <row r="9" customFormat="false" ht="84.75" hidden="false" customHeight="true" outlineLevel="0" collapsed="false">
      <c r="A9" s="4" t="s">
        <v>63</v>
      </c>
      <c r="B9" s="4" t="s">
        <v>15</v>
      </c>
      <c r="C9" s="4" t="s">
        <v>16</v>
      </c>
      <c r="D9" s="4" t="s">
        <v>17</v>
      </c>
      <c r="E9" s="4" t="s">
        <v>64</v>
      </c>
      <c r="F9" s="5" t="s">
        <v>19</v>
      </c>
      <c r="G9" s="4" t="s">
        <v>20</v>
      </c>
      <c r="H9" s="4" t="s">
        <v>21</v>
      </c>
      <c r="I9" s="7" t="s">
        <v>46</v>
      </c>
      <c r="J9" s="4" t="n">
        <v>1</v>
      </c>
      <c r="K9" s="4" t="s">
        <v>65</v>
      </c>
      <c r="L9" s="4" t="s">
        <v>66</v>
      </c>
      <c r="M9" s="4" t="s">
        <v>67</v>
      </c>
    </row>
    <row r="10" customFormat="false" ht="53.25" hidden="false" customHeight="true" outlineLevel="0" collapsed="false">
      <c r="A10" s="4" t="s">
        <v>68</v>
      </c>
      <c r="B10" s="4" t="s">
        <v>15</v>
      </c>
      <c r="C10" s="4" t="s">
        <v>42</v>
      </c>
      <c r="D10" s="4" t="s">
        <v>69</v>
      </c>
      <c r="E10" s="4" t="s">
        <v>70</v>
      </c>
      <c r="F10" s="4" t="s">
        <v>71</v>
      </c>
      <c r="G10" s="4" t="s">
        <v>72</v>
      </c>
      <c r="H10" s="4" t="s">
        <v>73</v>
      </c>
      <c r="I10" s="7" t="s">
        <v>46</v>
      </c>
      <c r="J10" s="4" t="n">
        <v>0.5</v>
      </c>
      <c r="K10" s="4" t="s">
        <v>74</v>
      </c>
      <c r="L10" s="4" t="s">
        <v>75</v>
      </c>
      <c r="M10" s="4" t="s">
        <v>76</v>
      </c>
    </row>
    <row r="11" customFormat="false" ht="63.75" hidden="false" customHeight="true" outlineLevel="0" collapsed="false">
      <c r="A11" s="4" t="s">
        <v>77</v>
      </c>
      <c r="B11" s="4" t="s">
        <v>15</v>
      </c>
      <c r="C11" s="4" t="s">
        <v>16</v>
      </c>
      <c r="D11" s="4" t="s">
        <v>78</v>
      </c>
      <c r="E11" s="4" t="s">
        <v>79</v>
      </c>
      <c r="F11" s="5" t="s">
        <v>19</v>
      </c>
      <c r="G11" s="4" t="s">
        <v>80</v>
      </c>
      <c r="H11" s="4" t="s">
        <v>81</v>
      </c>
      <c r="I11" s="8" t="s">
        <v>82</v>
      </c>
      <c r="J11" s="4" t="n">
        <v>1.5</v>
      </c>
      <c r="K11" s="4" t="s">
        <v>83</v>
      </c>
      <c r="L11" s="4" t="s">
        <v>84</v>
      </c>
      <c r="M11" s="4" t="s">
        <v>85</v>
      </c>
    </row>
    <row r="12" customFormat="false" ht="74.25" hidden="false" customHeight="true" outlineLevel="0" collapsed="false">
      <c r="A12" s="4" t="s">
        <v>86</v>
      </c>
      <c r="B12" s="4" t="s">
        <v>15</v>
      </c>
      <c r="C12" s="4" t="s">
        <v>42</v>
      </c>
      <c r="D12" s="4" t="s">
        <v>87</v>
      </c>
      <c r="E12" s="4" t="s">
        <v>88</v>
      </c>
      <c r="F12" s="5" t="s">
        <v>19</v>
      </c>
      <c r="G12" s="4" t="s">
        <v>80</v>
      </c>
      <c r="H12" s="4" t="s">
        <v>89</v>
      </c>
      <c r="I12" s="8" t="s">
        <v>82</v>
      </c>
      <c r="J12" s="4" t="n">
        <v>2</v>
      </c>
      <c r="K12" s="4" t="s">
        <v>90</v>
      </c>
      <c r="L12" s="4" t="s">
        <v>91</v>
      </c>
      <c r="M12" s="4" t="s">
        <v>92</v>
      </c>
    </row>
    <row r="13" customFormat="false" ht="53.25" hidden="false" customHeight="true" outlineLevel="0" collapsed="false">
      <c r="A13" s="4" t="s">
        <v>93</v>
      </c>
      <c r="B13" s="4" t="s">
        <v>15</v>
      </c>
      <c r="C13" s="4" t="s">
        <v>42</v>
      </c>
      <c r="D13" s="4" t="s">
        <v>87</v>
      </c>
      <c r="E13" s="4" t="s">
        <v>94</v>
      </c>
      <c r="F13" s="5" t="s">
        <v>19</v>
      </c>
      <c r="G13" s="4" t="s">
        <v>52</v>
      </c>
      <c r="H13" s="4" t="s">
        <v>89</v>
      </c>
      <c r="I13" s="8" t="s">
        <v>82</v>
      </c>
      <c r="J13" s="4" t="n">
        <v>3</v>
      </c>
      <c r="K13" s="4" t="s">
        <v>31</v>
      </c>
      <c r="L13" s="4" t="s">
        <v>95</v>
      </c>
      <c r="M13" s="4" t="s">
        <v>96</v>
      </c>
    </row>
    <row r="14" customFormat="false" ht="74.25" hidden="false" customHeight="true" outlineLevel="0" collapsed="false">
      <c r="A14" s="4" t="s">
        <v>97</v>
      </c>
      <c r="B14" s="4" t="s">
        <v>15</v>
      </c>
      <c r="C14" s="4" t="s">
        <v>42</v>
      </c>
      <c r="D14" s="4" t="s">
        <v>98</v>
      </c>
      <c r="E14" s="4" t="s">
        <v>99</v>
      </c>
      <c r="F14" s="5" t="s">
        <v>19</v>
      </c>
      <c r="G14" s="4" t="s">
        <v>100</v>
      </c>
      <c r="H14" s="4" t="s">
        <v>101</v>
      </c>
      <c r="I14" s="8" t="s">
        <v>82</v>
      </c>
      <c r="J14" s="4" t="n">
        <v>3</v>
      </c>
      <c r="K14" s="4" t="s">
        <v>102</v>
      </c>
      <c r="L14" s="4" t="s">
        <v>103</v>
      </c>
      <c r="M14" s="4" t="s">
        <v>104</v>
      </c>
    </row>
    <row r="15" customFormat="false" ht="84.75" hidden="false" customHeight="true" outlineLevel="0" collapsed="false">
      <c r="A15" s="4" t="s">
        <v>105</v>
      </c>
      <c r="B15" s="4" t="s">
        <v>15</v>
      </c>
      <c r="C15" s="4" t="s">
        <v>42</v>
      </c>
      <c r="D15" s="4" t="s">
        <v>43</v>
      </c>
      <c r="E15" s="4" t="s">
        <v>106</v>
      </c>
      <c r="F15" s="5" t="s">
        <v>19</v>
      </c>
      <c r="G15" s="4" t="s">
        <v>29</v>
      </c>
      <c r="H15" s="4" t="s">
        <v>45</v>
      </c>
      <c r="I15" s="8" t="s">
        <v>82</v>
      </c>
      <c r="J15" s="4" t="n">
        <v>0.5</v>
      </c>
      <c r="K15" s="4" t="s">
        <v>107</v>
      </c>
      <c r="L15" s="4" t="s">
        <v>108</v>
      </c>
      <c r="M15" s="4" t="s">
        <v>109</v>
      </c>
    </row>
    <row r="16" customFormat="false" ht="53.25" hidden="false" customHeight="true" outlineLevel="0" collapsed="false">
      <c r="A16" s="4" t="s">
        <v>110</v>
      </c>
      <c r="B16" s="4" t="s">
        <v>15</v>
      </c>
      <c r="C16" s="4" t="s">
        <v>42</v>
      </c>
      <c r="D16" s="4" t="s">
        <v>35</v>
      </c>
      <c r="E16" s="4" t="s">
        <v>111</v>
      </c>
      <c r="F16" s="4" t="s">
        <v>112</v>
      </c>
      <c r="G16" s="4" t="s">
        <v>80</v>
      </c>
      <c r="H16" s="4" t="s">
        <v>37</v>
      </c>
      <c r="I16" s="8" t="s">
        <v>82</v>
      </c>
      <c r="J16" s="4" t="n">
        <v>0.5</v>
      </c>
      <c r="K16" s="4" t="s">
        <v>113</v>
      </c>
      <c r="L16" s="4" t="s">
        <v>114</v>
      </c>
      <c r="M16" s="4" t="s">
        <v>115</v>
      </c>
    </row>
    <row r="17" customFormat="false" ht="74.25" hidden="false" customHeight="true" outlineLevel="0" collapsed="false">
      <c r="A17" s="4" t="s">
        <v>116</v>
      </c>
      <c r="B17" s="4" t="s">
        <v>15</v>
      </c>
      <c r="C17" s="4" t="s">
        <v>42</v>
      </c>
      <c r="D17" s="4" t="s">
        <v>43</v>
      </c>
      <c r="E17" s="4" t="s">
        <v>117</v>
      </c>
      <c r="F17" s="4" t="s">
        <v>112</v>
      </c>
      <c r="G17" s="4" t="s">
        <v>29</v>
      </c>
      <c r="H17" s="4" t="s">
        <v>45</v>
      </c>
      <c r="I17" s="8" t="s">
        <v>82</v>
      </c>
      <c r="J17" s="4" t="n">
        <v>1</v>
      </c>
      <c r="K17" s="4" t="s">
        <v>118</v>
      </c>
      <c r="L17" s="4" t="s">
        <v>119</v>
      </c>
      <c r="M17" s="4" t="s">
        <v>120</v>
      </c>
    </row>
    <row r="18" customFormat="false" ht="32.25" hidden="false" customHeight="true" outlineLevel="0" collapsed="false">
      <c r="A18" s="4" t="s">
        <v>121</v>
      </c>
      <c r="B18" s="4" t="s">
        <v>15</v>
      </c>
      <c r="C18" s="4" t="s">
        <v>42</v>
      </c>
      <c r="D18" s="4" t="s">
        <v>43</v>
      </c>
      <c r="E18" s="4" t="s">
        <v>122</v>
      </c>
      <c r="F18" s="4" t="s">
        <v>112</v>
      </c>
      <c r="G18" s="4" t="s">
        <v>80</v>
      </c>
      <c r="H18" s="4" t="s">
        <v>45</v>
      </c>
      <c r="I18" s="9" t="s">
        <v>123</v>
      </c>
      <c r="J18" s="4" t="n">
        <v>1</v>
      </c>
      <c r="K18" s="4" t="s">
        <v>124</v>
      </c>
      <c r="L18" s="4" t="s">
        <v>125</v>
      </c>
      <c r="M18" s="4" t="s">
        <v>126</v>
      </c>
    </row>
    <row r="19" customFormat="false" ht="63.75" hidden="false" customHeight="true" outlineLevel="0" collapsed="false">
      <c r="A19" s="4" t="s">
        <v>127</v>
      </c>
      <c r="B19" s="4" t="s">
        <v>15</v>
      </c>
      <c r="C19" s="4" t="s">
        <v>42</v>
      </c>
      <c r="D19" s="4" t="s">
        <v>35</v>
      </c>
      <c r="E19" s="4" t="s">
        <v>128</v>
      </c>
      <c r="F19" s="4" t="s">
        <v>71</v>
      </c>
      <c r="G19" s="4" t="s">
        <v>59</v>
      </c>
      <c r="H19" s="4" t="s">
        <v>37</v>
      </c>
      <c r="I19" s="9" t="s">
        <v>123</v>
      </c>
      <c r="J19" s="4" t="n">
        <v>1</v>
      </c>
      <c r="K19" s="4" t="s">
        <v>129</v>
      </c>
      <c r="L19" s="4" t="s">
        <v>130</v>
      </c>
      <c r="M19" s="4" t="s">
        <v>131</v>
      </c>
    </row>
    <row r="20" customFormat="false" ht="84.75" hidden="false" customHeight="true" outlineLevel="0" collapsed="false">
      <c r="A20" s="4" t="s">
        <v>132</v>
      </c>
      <c r="B20" s="4" t="s">
        <v>15</v>
      </c>
      <c r="C20" s="4" t="s">
        <v>16</v>
      </c>
      <c r="D20" s="4" t="s">
        <v>27</v>
      </c>
      <c r="E20" s="4" t="s">
        <v>133</v>
      </c>
      <c r="F20" s="5" t="s">
        <v>19</v>
      </c>
      <c r="G20" s="4" t="s">
        <v>52</v>
      </c>
      <c r="H20" s="4" t="s">
        <v>53</v>
      </c>
      <c r="I20" s="10" t="s">
        <v>134</v>
      </c>
      <c r="J20" s="4" t="n">
        <v>6</v>
      </c>
      <c r="K20" s="4" t="s">
        <v>135</v>
      </c>
      <c r="L20" s="4" t="s">
        <v>136</v>
      </c>
      <c r="M20" s="4" t="s">
        <v>137</v>
      </c>
    </row>
    <row r="21" customFormat="false" ht="95.25" hidden="false" customHeight="true" outlineLevel="0" collapsed="false">
      <c r="A21" s="4" t="s">
        <v>138</v>
      </c>
      <c r="B21" s="4" t="s">
        <v>139</v>
      </c>
      <c r="C21" s="4" t="s">
        <v>140</v>
      </c>
      <c r="D21" s="4" t="s">
        <v>35</v>
      </c>
      <c r="E21" s="4" t="s">
        <v>141</v>
      </c>
      <c r="F21" s="5" t="s">
        <v>19</v>
      </c>
      <c r="G21" s="4" t="s">
        <v>29</v>
      </c>
      <c r="H21" s="4" t="s">
        <v>37</v>
      </c>
      <c r="I21" s="7" t="s">
        <v>46</v>
      </c>
      <c r="J21" s="4" t="n">
        <v>3</v>
      </c>
      <c r="K21" s="4" t="s">
        <v>142</v>
      </c>
      <c r="L21" s="4" t="s">
        <v>143</v>
      </c>
      <c r="M21" s="4" t="s">
        <v>144</v>
      </c>
    </row>
    <row r="22" customFormat="false" ht="63.75" hidden="false" customHeight="true" outlineLevel="0" collapsed="false">
      <c r="A22" s="4" t="s">
        <v>145</v>
      </c>
      <c r="B22" s="4" t="s">
        <v>139</v>
      </c>
      <c r="C22" s="4" t="s">
        <v>140</v>
      </c>
      <c r="D22" s="4" t="s">
        <v>35</v>
      </c>
      <c r="E22" s="4" t="s">
        <v>146</v>
      </c>
      <c r="F22" s="5" t="s">
        <v>19</v>
      </c>
      <c r="G22" s="4" t="s">
        <v>29</v>
      </c>
      <c r="H22" s="4" t="s">
        <v>37</v>
      </c>
      <c r="I22" s="7" t="s">
        <v>46</v>
      </c>
      <c r="J22" s="4" t="n">
        <v>2</v>
      </c>
      <c r="K22" s="4" t="s">
        <v>147</v>
      </c>
      <c r="L22" s="4" t="s">
        <v>148</v>
      </c>
      <c r="M22" s="4" t="s">
        <v>149</v>
      </c>
    </row>
    <row r="23" customFormat="false" ht="63.75" hidden="false" customHeight="true" outlineLevel="0" collapsed="false">
      <c r="A23" s="4" t="s">
        <v>150</v>
      </c>
      <c r="B23" s="4" t="s">
        <v>139</v>
      </c>
      <c r="C23" s="4" t="s">
        <v>151</v>
      </c>
      <c r="D23" s="4" t="s">
        <v>35</v>
      </c>
      <c r="E23" s="4" t="s">
        <v>152</v>
      </c>
      <c r="F23" s="5" t="s">
        <v>19</v>
      </c>
      <c r="G23" s="4" t="s">
        <v>29</v>
      </c>
      <c r="H23" s="4" t="s">
        <v>37</v>
      </c>
      <c r="I23" s="7" t="s">
        <v>46</v>
      </c>
      <c r="J23" s="4" t="n">
        <v>1.5</v>
      </c>
      <c r="K23" s="4" t="s">
        <v>153</v>
      </c>
      <c r="L23" s="4" t="s">
        <v>154</v>
      </c>
      <c r="M23" s="4" t="s">
        <v>155</v>
      </c>
    </row>
    <row r="24" customFormat="false" ht="95.25" hidden="false" customHeight="true" outlineLevel="0" collapsed="false">
      <c r="A24" s="4" t="s">
        <v>156</v>
      </c>
      <c r="B24" s="4" t="s">
        <v>139</v>
      </c>
      <c r="C24" s="4" t="s">
        <v>151</v>
      </c>
      <c r="D24" s="4" t="s">
        <v>17</v>
      </c>
      <c r="E24" s="4" t="s">
        <v>157</v>
      </c>
      <c r="F24" s="5" t="s">
        <v>19</v>
      </c>
      <c r="G24" s="4" t="s">
        <v>20</v>
      </c>
      <c r="H24" s="4" t="s">
        <v>158</v>
      </c>
      <c r="I24" s="7" t="s">
        <v>46</v>
      </c>
      <c r="J24" s="4" t="n">
        <v>16</v>
      </c>
      <c r="K24" s="4" t="s">
        <v>159</v>
      </c>
      <c r="L24" s="4" t="s">
        <v>160</v>
      </c>
      <c r="M24" s="4" t="s">
        <v>161</v>
      </c>
    </row>
    <row r="25" customFormat="false" ht="74.25" hidden="false" customHeight="true" outlineLevel="0" collapsed="false">
      <c r="A25" s="4" t="s">
        <v>162</v>
      </c>
      <c r="B25" s="4" t="s">
        <v>139</v>
      </c>
      <c r="C25" s="4" t="s">
        <v>163</v>
      </c>
      <c r="D25" s="4" t="s">
        <v>43</v>
      </c>
      <c r="E25" s="4" t="s">
        <v>164</v>
      </c>
      <c r="F25" s="5" t="s">
        <v>19</v>
      </c>
      <c r="G25" s="4" t="s">
        <v>59</v>
      </c>
      <c r="H25" s="4" t="s">
        <v>45</v>
      </c>
      <c r="I25" s="7" t="s">
        <v>46</v>
      </c>
      <c r="J25" s="4" t="n">
        <v>20</v>
      </c>
      <c r="K25" s="4" t="s">
        <v>165</v>
      </c>
      <c r="L25" s="4" t="s">
        <v>166</v>
      </c>
      <c r="M25" s="4" t="s">
        <v>167</v>
      </c>
    </row>
    <row r="26" customFormat="false" ht="63.75" hidden="false" customHeight="true" outlineLevel="0" collapsed="false">
      <c r="A26" s="4" t="s">
        <v>168</v>
      </c>
      <c r="B26" s="4" t="s">
        <v>139</v>
      </c>
      <c r="C26" s="4" t="s">
        <v>140</v>
      </c>
      <c r="D26" s="4" t="s">
        <v>35</v>
      </c>
      <c r="E26" s="4" t="s">
        <v>169</v>
      </c>
      <c r="F26" s="4" t="s">
        <v>112</v>
      </c>
      <c r="G26" s="4" t="s">
        <v>59</v>
      </c>
      <c r="H26" s="4" t="s">
        <v>37</v>
      </c>
      <c r="I26" s="7" t="s">
        <v>46</v>
      </c>
      <c r="J26" s="4" t="n">
        <v>2</v>
      </c>
      <c r="K26" s="4" t="s">
        <v>170</v>
      </c>
      <c r="L26" s="4" t="s">
        <v>171</v>
      </c>
      <c r="M26" s="4" t="s">
        <v>172</v>
      </c>
    </row>
    <row r="27" customFormat="false" ht="63.75" hidden="false" customHeight="true" outlineLevel="0" collapsed="false">
      <c r="A27" s="4" t="s">
        <v>173</v>
      </c>
      <c r="B27" s="4" t="s">
        <v>139</v>
      </c>
      <c r="C27" s="4" t="s">
        <v>151</v>
      </c>
      <c r="D27" s="4" t="s">
        <v>98</v>
      </c>
      <c r="E27" s="4" t="s">
        <v>174</v>
      </c>
      <c r="F27" s="4" t="s">
        <v>112</v>
      </c>
      <c r="G27" s="4" t="s">
        <v>20</v>
      </c>
      <c r="H27" s="4" t="s">
        <v>175</v>
      </c>
      <c r="I27" s="7" t="s">
        <v>46</v>
      </c>
      <c r="J27" s="4" t="n">
        <v>1.5</v>
      </c>
      <c r="K27" s="4" t="s">
        <v>176</v>
      </c>
      <c r="L27" s="4" t="s">
        <v>177</v>
      </c>
      <c r="M27" s="4" t="s">
        <v>178</v>
      </c>
    </row>
    <row r="28" customFormat="false" ht="42.75" hidden="false" customHeight="true" outlineLevel="0" collapsed="false">
      <c r="A28" s="4" t="s">
        <v>179</v>
      </c>
      <c r="B28" s="4" t="s">
        <v>139</v>
      </c>
      <c r="C28" s="4" t="s">
        <v>151</v>
      </c>
      <c r="D28" s="4" t="s">
        <v>17</v>
      </c>
      <c r="E28" s="4" t="s">
        <v>180</v>
      </c>
      <c r="F28" s="4" t="s">
        <v>112</v>
      </c>
      <c r="G28" s="4" t="s">
        <v>29</v>
      </c>
      <c r="H28" s="4" t="s">
        <v>158</v>
      </c>
      <c r="I28" s="7" t="s">
        <v>46</v>
      </c>
      <c r="J28" s="4" t="n">
        <v>1</v>
      </c>
      <c r="K28" s="4" t="s">
        <v>181</v>
      </c>
      <c r="L28" s="4" t="s">
        <v>182</v>
      </c>
      <c r="M28" s="4" t="s">
        <v>183</v>
      </c>
    </row>
    <row r="29" customFormat="false" ht="42.75" hidden="false" customHeight="true" outlineLevel="0" collapsed="false">
      <c r="A29" s="4" t="s">
        <v>184</v>
      </c>
      <c r="B29" s="4" t="s">
        <v>139</v>
      </c>
      <c r="C29" s="4" t="s">
        <v>185</v>
      </c>
      <c r="D29" s="4" t="s">
        <v>69</v>
      </c>
      <c r="E29" s="4" t="s">
        <v>186</v>
      </c>
      <c r="F29" s="4" t="s">
        <v>112</v>
      </c>
      <c r="G29" s="4" t="s">
        <v>187</v>
      </c>
      <c r="H29" s="4" t="s">
        <v>89</v>
      </c>
      <c r="I29" s="7" t="s">
        <v>46</v>
      </c>
      <c r="J29" s="4" t="n">
        <v>6</v>
      </c>
      <c r="K29" s="4" t="s">
        <v>188</v>
      </c>
      <c r="L29" s="4" t="s">
        <v>189</v>
      </c>
      <c r="M29" s="4" t="s">
        <v>190</v>
      </c>
    </row>
    <row r="30" customFormat="false" ht="53.25" hidden="false" customHeight="true" outlineLevel="0" collapsed="false">
      <c r="A30" s="4" t="s">
        <v>191</v>
      </c>
      <c r="B30" s="4" t="s">
        <v>139</v>
      </c>
      <c r="C30" s="4" t="s">
        <v>151</v>
      </c>
      <c r="D30" s="4" t="s">
        <v>69</v>
      </c>
      <c r="E30" s="4" t="s">
        <v>192</v>
      </c>
      <c r="F30" s="4" t="s">
        <v>71</v>
      </c>
      <c r="G30" s="4" t="s">
        <v>193</v>
      </c>
      <c r="H30" s="4" t="s">
        <v>45</v>
      </c>
      <c r="I30" s="7" t="s">
        <v>46</v>
      </c>
      <c r="J30" s="4" t="n">
        <v>1</v>
      </c>
      <c r="K30" s="4" t="s">
        <v>194</v>
      </c>
      <c r="L30" s="4" t="s">
        <v>195</v>
      </c>
      <c r="M30" s="4" t="s">
        <v>196</v>
      </c>
    </row>
    <row r="31" customFormat="false" ht="42.75" hidden="false" customHeight="true" outlineLevel="0" collapsed="false">
      <c r="A31" s="4" t="s">
        <v>197</v>
      </c>
      <c r="B31" s="4" t="s">
        <v>139</v>
      </c>
      <c r="C31" s="4" t="s">
        <v>151</v>
      </c>
      <c r="D31" s="4" t="s">
        <v>69</v>
      </c>
      <c r="E31" s="4" t="s">
        <v>198</v>
      </c>
      <c r="F31" s="4" t="s">
        <v>71</v>
      </c>
      <c r="G31" s="4" t="s">
        <v>72</v>
      </c>
      <c r="H31" s="4" t="s">
        <v>73</v>
      </c>
      <c r="I31" s="7" t="s">
        <v>46</v>
      </c>
      <c r="J31" s="4" t="n">
        <v>0.25</v>
      </c>
      <c r="K31" s="4" t="s">
        <v>199</v>
      </c>
      <c r="L31" s="4" t="s">
        <v>200</v>
      </c>
      <c r="M31" s="4" t="s">
        <v>201</v>
      </c>
    </row>
    <row r="32" customFormat="false" ht="21.75" hidden="false" customHeight="true" outlineLevel="0" collapsed="false">
      <c r="A32" s="4" t="s">
        <v>202</v>
      </c>
      <c r="B32" s="4" t="s">
        <v>139</v>
      </c>
      <c r="C32" s="4" t="s">
        <v>203</v>
      </c>
      <c r="D32" s="4" t="s">
        <v>35</v>
      </c>
      <c r="E32" s="4" t="s">
        <v>204</v>
      </c>
      <c r="F32" s="5" t="s">
        <v>19</v>
      </c>
      <c r="G32" s="4" t="s">
        <v>205</v>
      </c>
      <c r="H32" s="4" t="s">
        <v>37</v>
      </c>
      <c r="I32" s="8" t="s">
        <v>82</v>
      </c>
      <c r="J32" s="4" t="n">
        <v>16</v>
      </c>
      <c r="K32" s="4" t="s">
        <v>206</v>
      </c>
      <c r="L32" s="4" t="s">
        <v>207</v>
      </c>
      <c r="M32" s="4" t="s">
        <v>208</v>
      </c>
    </row>
    <row r="33" customFormat="false" ht="21.75" hidden="false" customHeight="true" outlineLevel="0" collapsed="false">
      <c r="A33" s="4" t="s">
        <v>209</v>
      </c>
      <c r="B33" s="4" t="s">
        <v>139</v>
      </c>
      <c r="C33" s="4" t="s">
        <v>203</v>
      </c>
      <c r="D33" s="4" t="s">
        <v>78</v>
      </c>
      <c r="E33" s="4" t="s">
        <v>210</v>
      </c>
      <c r="F33" s="5" t="s">
        <v>19</v>
      </c>
      <c r="G33" s="4" t="s">
        <v>205</v>
      </c>
      <c r="H33" s="4" t="s">
        <v>81</v>
      </c>
      <c r="I33" s="8" t="s">
        <v>82</v>
      </c>
      <c r="J33" s="4" t="n">
        <v>10</v>
      </c>
      <c r="K33" s="4" t="s">
        <v>211</v>
      </c>
      <c r="L33" s="4" t="s">
        <v>212</v>
      </c>
      <c r="M33" s="4" t="s">
        <v>213</v>
      </c>
    </row>
    <row r="34" customFormat="false" ht="21.75" hidden="false" customHeight="true" outlineLevel="0" collapsed="false">
      <c r="A34" s="4" t="s">
        <v>214</v>
      </c>
      <c r="B34" s="4" t="s">
        <v>139</v>
      </c>
      <c r="C34" s="4" t="s">
        <v>203</v>
      </c>
      <c r="D34" s="4" t="s">
        <v>17</v>
      </c>
      <c r="E34" s="4" t="s">
        <v>215</v>
      </c>
      <c r="F34" s="5" t="s">
        <v>19</v>
      </c>
      <c r="G34" s="4" t="s">
        <v>205</v>
      </c>
      <c r="H34" s="4" t="s">
        <v>216</v>
      </c>
      <c r="I34" s="8" t="s">
        <v>82</v>
      </c>
      <c r="J34" s="4" t="n">
        <v>12</v>
      </c>
      <c r="K34" s="4" t="s">
        <v>217</v>
      </c>
      <c r="L34" s="4" t="s">
        <v>218</v>
      </c>
      <c r="M34" s="4" t="s">
        <v>219</v>
      </c>
    </row>
    <row r="35" customFormat="false" ht="32.25" hidden="false" customHeight="true" outlineLevel="0" collapsed="false">
      <c r="A35" s="4" t="s">
        <v>220</v>
      </c>
      <c r="B35" s="4" t="s">
        <v>139</v>
      </c>
      <c r="C35" s="4" t="s">
        <v>203</v>
      </c>
      <c r="D35" s="4" t="s">
        <v>35</v>
      </c>
      <c r="E35" s="4" t="s">
        <v>221</v>
      </c>
      <c r="F35" s="5" t="s">
        <v>19</v>
      </c>
      <c r="G35" s="4" t="s">
        <v>205</v>
      </c>
      <c r="H35" s="4" t="s">
        <v>37</v>
      </c>
      <c r="I35" s="8" t="s">
        <v>82</v>
      </c>
      <c r="J35" s="4" t="n">
        <v>10</v>
      </c>
      <c r="K35" s="4" t="s">
        <v>222</v>
      </c>
      <c r="L35" s="4" t="s">
        <v>223</v>
      </c>
      <c r="M35" s="4" t="s">
        <v>224</v>
      </c>
    </row>
    <row r="36" customFormat="false" ht="32.25" hidden="false" customHeight="true" outlineLevel="0" collapsed="false">
      <c r="A36" s="4" t="s">
        <v>225</v>
      </c>
      <c r="B36" s="4" t="s">
        <v>139</v>
      </c>
      <c r="C36" s="4" t="s">
        <v>203</v>
      </c>
      <c r="D36" s="4" t="s">
        <v>226</v>
      </c>
      <c r="E36" s="4" t="s">
        <v>227</v>
      </c>
      <c r="F36" s="5" t="s">
        <v>19</v>
      </c>
      <c r="G36" s="4" t="s">
        <v>205</v>
      </c>
      <c r="H36" s="4" t="s">
        <v>45</v>
      </c>
      <c r="I36" s="8" t="s">
        <v>82</v>
      </c>
      <c r="J36" s="4" t="n">
        <v>12</v>
      </c>
      <c r="K36" s="4" t="s">
        <v>228</v>
      </c>
      <c r="L36" s="4" t="s">
        <v>229</v>
      </c>
      <c r="M36" s="4" t="s">
        <v>230</v>
      </c>
    </row>
    <row r="37" customFormat="false" ht="32.25" hidden="false" customHeight="true" outlineLevel="0" collapsed="false">
      <c r="A37" s="4" t="s">
        <v>231</v>
      </c>
      <c r="B37" s="4" t="s">
        <v>139</v>
      </c>
      <c r="C37" s="4" t="s">
        <v>203</v>
      </c>
      <c r="D37" s="4" t="s">
        <v>43</v>
      </c>
      <c r="E37" s="4" t="s">
        <v>232</v>
      </c>
      <c r="F37" s="5" t="s">
        <v>19</v>
      </c>
      <c r="G37" s="4" t="s">
        <v>205</v>
      </c>
      <c r="H37" s="4" t="s">
        <v>45</v>
      </c>
      <c r="I37" s="8" t="s">
        <v>82</v>
      </c>
      <c r="J37" s="4" t="n">
        <v>12</v>
      </c>
      <c r="K37" s="4" t="s">
        <v>233</v>
      </c>
      <c r="L37" s="4" t="s">
        <v>234</v>
      </c>
      <c r="M37" s="4" t="s">
        <v>235</v>
      </c>
    </row>
    <row r="38" customFormat="false" ht="32.25" hidden="false" customHeight="true" outlineLevel="0" collapsed="false">
      <c r="A38" s="4" t="s">
        <v>236</v>
      </c>
      <c r="B38" s="4" t="s">
        <v>139</v>
      </c>
      <c r="C38" s="4" t="s">
        <v>237</v>
      </c>
      <c r="D38" s="4" t="s">
        <v>17</v>
      </c>
      <c r="E38" s="4" t="s">
        <v>238</v>
      </c>
      <c r="F38" s="5" t="s">
        <v>19</v>
      </c>
      <c r="G38" s="4" t="s">
        <v>239</v>
      </c>
      <c r="H38" s="4" t="s">
        <v>216</v>
      </c>
      <c r="I38" s="8" t="s">
        <v>82</v>
      </c>
      <c r="J38" s="4" t="n">
        <v>10</v>
      </c>
      <c r="K38" s="4" t="s">
        <v>240</v>
      </c>
      <c r="L38" s="4" t="s">
        <v>241</v>
      </c>
      <c r="M38" s="4" t="s">
        <v>242</v>
      </c>
    </row>
    <row r="39" customFormat="false" ht="21.75" hidden="false" customHeight="true" outlineLevel="0" collapsed="false">
      <c r="A39" s="4" t="s">
        <v>243</v>
      </c>
      <c r="B39" s="4" t="s">
        <v>139</v>
      </c>
      <c r="C39" s="4" t="s">
        <v>237</v>
      </c>
      <c r="D39" s="4" t="s">
        <v>244</v>
      </c>
      <c r="E39" s="4" t="s">
        <v>245</v>
      </c>
      <c r="F39" s="5" t="s">
        <v>19</v>
      </c>
      <c r="G39" s="4" t="s">
        <v>246</v>
      </c>
      <c r="H39" s="4" t="s">
        <v>216</v>
      </c>
      <c r="I39" s="8" t="s">
        <v>82</v>
      </c>
      <c r="J39" s="4" t="n">
        <v>8</v>
      </c>
      <c r="K39" s="4" t="s">
        <v>247</v>
      </c>
      <c r="L39" s="4" t="s">
        <v>248</v>
      </c>
      <c r="M39" s="4" t="s">
        <v>249</v>
      </c>
    </row>
    <row r="40" customFormat="false" ht="32.25" hidden="false" customHeight="true" outlineLevel="0" collapsed="false">
      <c r="A40" s="4" t="s">
        <v>250</v>
      </c>
      <c r="B40" s="4" t="s">
        <v>139</v>
      </c>
      <c r="C40" s="4" t="s">
        <v>237</v>
      </c>
      <c r="D40" s="4" t="s">
        <v>244</v>
      </c>
      <c r="E40" s="4" t="s">
        <v>251</v>
      </c>
      <c r="F40" s="5" t="s">
        <v>19</v>
      </c>
      <c r="G40" s="4" t="s">
        <v>246</v>
      </c>
      <c r="H40" s="4" t="s">
        <v>216</v>
      </c>
      <c r="I40" s="8" t="s">
        <v>82</v>
      </c>
      <c r="J40" s="4" t="n">
        <v>5</v>
      </c>
      <c r="K40" s="4" t="s">
        <v>252</v>
      </c>
      <c r="L40" s="4" t="s">
        <v>253</v>
      </c>
      <c r="M40" s="4" t="s">
        <v>254</v>
      </c>
    </row>
    <row r="41" customFormat="false" ht="32.25" hidden="false" customHeight="true" outlineLevel="0" collapsed="false">
      <c r="A41" s="4" t="s">
        <v>255</v>
      </c>
      <c r="B41" s="4" t="s">
        <v>139</v>
      </c>
      <c r="C41" s="4" t="s">
        <v>203</v>
      </c>
      <c r="D41" s="4" t="s">
        <v>43</v>
      </c>
      <c r="E41" s="4" t="s">
        <v>256</v>
      </c>
      <c r="F41" s="5" t="s">
        <v>19</v>
      </c>
      <c r="G41" s="4" t="s">
        <v>205</v>
      </c>
      <c r="H41" s="4" t="s">
        <v>45</v>
      </c>
      <c r="I41" s="8" t="s">
        <v>82</v>
      </c>
      <c r="J41" s="4" t="n">
        <v>24</v>
      </c>
      <c r="K41" s="4" t="s">
        <v>257</v>
      </c>
      <c r="L41" s="4" t="s">
        <v>258</v>
      </c>
      <c r="M41" s="4" t="s">
        <v>259</v>
      </c>
    </row>
    <row r="42" customFormat="false" ht="32.25" hidden="false" customHeight="true" outlineLevel="0" collapsed="false">
      <c r="A42" s="4" t="s">
        <v>260</v>
      </c>
      <c r="B42" s="4" t="s">
        <v>139</v>
      </c>
      <c r="C42" s="4" t="s">
        <v>203</v>
      </c>
      <c r="D42" s="4" t="s">
        <v>69</v>
      </c>
      <c r="E42" s="4" t="s">
        <v>261</v>
      </c>
      <c r="F42" s="5" t="s">
        <v>19</v>
      </c>
      <c r="G42" s="4" t="s">
        <v>20</v>
      </c>
      <c r="H42" s="4" t="s">
        <v>262</v>
      </c>
      <c r="I42" s="8" t="s">
        <v>82</v>
      </c>
      <c r="J42" s="4" t="n">
        <v>6</v>
      </c>
      <c r="K42" s="4" t="s">
        <v>263</v>
      </c>
      <c r="L42" s="4" t="s">
        <v>264</v>
      </c>
      <c r="M42" s="4" t="s">
        <v>265</v>
      </c>
    </row>
    <row r="43" customFormat="false" ht="53.25" hidden="false" customHeight="true" outlineLevel="0" collapsed="false">
      <c r="A43" s="4" t="s">
        <v>266</v>
      </c>
      <c r="B43" s="4" t="s">
        <v>139</v>
      </c>
      <c r="C43" s="4" t="s">
        <v>267</v>
      </c>
      <c r="D43" s="4" t="s">
        <v>87</v>
      </c>
      <c r="E43" s="4" t="s">
        <v>268</v>
      </c>
      <c r="F43" s="5" t="s">
        <v>19</v>
      </c>
      <c r="G43" s="4" t="s">
        <v>72</v>
      </c>
      <c r="H43" s="4" t="s">
        <v>89</v>
      </c>
      <c r="I43" s="8" t="s">
        <v>82</v>
      </c>
      <c r="J43" s="4" t="n">
        <v>10</v>
      </c>
      <c r="K43" s="4" t="s">
        <v>269</v>
      </c>
      <c r="L43" s="4" t="s">
        <v>270</v>
      </c>
      <c r="M43" s="4" t="s">
        <v>271</v>
      </c>
    </row>
    <row r="44" customFormat="false" ht="32.25" hidden="false" customHeight="true" outlineLevel="0" collapsed="false">
      <c r="A44" s="4" t="s">
        <v>272</v>
      </c>
      <c r="B44" s="4" t="s">
        <v>139</v>
      </c>
      <c r="C44" s="4" t="s">
        <v>237</v>
      </c>
      <c r="D44" s="4" t="s">
        <v>27</v>
      </c>
      <c r="E44" s="4" t="s">
        <v>273</v>
      </c>
      <c r="F44" s="4" t="s">
        <v>112</v>
      </c>
      <c r="G44" s="4" t="s">
        <v>59</v>
      </c>
      <c r="H44" s="4" t="s">
        <v>53</v>
      </c>
      <c r="I44" s="8" t="s">
        <v>82</v>
      </c>
      <c r="J44" s="4" t="n">
        <v>5</v>
      </c>
      <c r="K44" s="4" t="s">
        <v>274</v>
      </c>
      <c r="L44" s="4" t="s">
        <v>275</v>
      </c>
      <c r="M44" s="4" t="s">
        <v>276</v>
      </c>
    </row>
    <row r="45" customFormat="false" ht="32.25" hidden="false" customHeight="true" outlineLevel="0" collapsed="false">
      <c r="A45" s="4" t="s">
        <v>277</v>
      </c>
      <c r="B45" s="4" t="s">
        <v>139</v>
      </c>
      <c r="C45" s="4" t="s">
        <v>237</v>
      </c>
      <c r="D45" s="4" t="s">
        <v>278</v>
      </c>
      <c r="E45" s="4" t="s">
        <v>279</v>
      </c>
      <c r="F45" s="4" t="s">
        <v>112</v>
      </c>
      <c r="G45" s="4" t="s">
        <v>20</v>
      </c>
      <c r="H45" s="4" t="s">
        <v>216</v>
      </c>
      <c r="I45" s="8" t="s">
        <v>82</v>
      </c>
      <c r="J45" s="4" t="n">
        <v>5</v>
      </c>
      <c r="K45" s="4" t="s">
        <v>280</v>
      </c>
      <c r="L45" s="4" t="s">
        <v>281</v>
      </c>
      <c r="M45" s="4" t="s">
        <v>282</v>
      </c>
    </row>
    <row r="46" customFormat="false" ht="32.25" hidden="false" customHeight="true" outlineLevel="0" collapsed="false">
      <c r="A46" s="4" t="s">
        <v>283</v>
      </c>
      <c r="B46" s="4" t="s">
        <v>139</v>
      </c>
      <c r="C46" s="4" t="s">
        <v>267</v>
      </c>
      <c r="D46" s="4" t="s">
        <v>69</v>
      </c>
      <c r="E46" s="4" t="s">
        <v>284</v>
      </c>
      <c r="F46" s="4" t="s">
        <v>112</v>
      </c>
      <c r="G46" s="4" t="s">
        <v>285</v>
      </c>
      <c r="H46" s="4" t="s">
        <v>262</v>
      </c>
      <c r="I46" s="8" t="s">
        <v>82</v>
      </c>
      <c r="J46" s="4" t="n">
        <v>6</v>
      </c>
      <c r="K46" s="4" t="s">
        <v>286</v>
      </c>
      <c r="L46" s="4" t="s">
        <v>287</v>
      </c>
      <c r="M46" s="4" t="s">
        <v>288</v>
      </c>
    </row>
    <row r="47" customFormat="false" ht="32.25" hidden="false" customHeight="true" outlineLevel="0" collapsed="false">
      <c r="A47" s="4" t="s">
        <v>289</v>
      </c>
      <c r="B47" s="4" t="s">
        <v>139</v>
      </c>
      <c r="C47" s="4" t="s">
        <v>267</v>
      </c>
      <c r="D47" s="4" t="s">
        <v>43</v>
      </c>
      <c r="E47" s="4" t="s">
        <v>290</v>
      </c>
      <c r="F47" s="4" t="s">
        <v>112</v>
      </c>
      <c r="G47" s="4" t="s">
        <v>59</v>
      </c>
      <c r="H47" s="4" t="s">
        <v>45</v>
      </c>
      <c r="I47" s="8" t="s">
        <v>82</v>
      </c>
      <c r="J47" s="4" t="n">
        <v>5</v>
      </c>
      <c r="K47" s="4" t="s">
        <v>291</v>
      </c>
      <c r="L47" s="4" t="s">
        <v>292</v>
      </c>
      <c r="M47" s="4" t="s">
        <v>293</v>
      </c>
    </row>
    <row r="48" customFormat="false" ht="21.75" hidden="false" customHeight="true" outlineLevel="0" collapsed="false">
      <c r="A48" s="4" t="s">
        <v>294</v>
      </c>
      <c r="B48" s="4" t="s">
        <v>139</v>
      </c>
      <c r="C48" s="4" t="s">
        <v>237</v>
      </c>
      <c r="D48" s="4" t="s">
        <v>278</v>
      </c>
      <c r="E48" s="4" t="s">
        <v>295</v>
      </c>
      <c r="F48" s="4" t="s">
        <v>112</v>
      </c>
      <c r="G48" s="4" t="s">
        <v>20</v>
      </c>
      <c r="H48" s="4" t="s">
        <v>296</v>
      </c>
      <c r="I48" s="8" t="s">
        <v>82</v>
      </c>
      <c r="J48" s="4" t="n">
        <v>1</v>
      </c>
      <c r="K48" s="4" t="s">
        <v>297</v>
      </c>
      <c r="L48" s="4" t="s">
        <v>298</v>
      </c>
      <c r="M48" s="4" t="s">
        <v>299</v>
      </c>
    </row>
    <row r="49" customFormat="false" ht="42.75" hidden="false" customHeight="true" outlineLevel="0" collapsed="false">
      <c r="A49" s="4" t="s">
        <v>300</v>
      </c>
      <c r="B49" s="4" t="s">
        <v>139</v>
      </c>
      <c r="C49" s="4" t="s">
        <v>267</v>
      </c>
      <c r="D49" s="4" t="s">
        <v>69</v>
      </c>
      <c r="E49" s="4" t="s">
        <v>301</v>
      </c>
      <c r="F49" s="4" t="s">
        <v>112</v>
      </c>
      <c r="G49" s="4" t="s">
        <v>285</v>
      </c>
      <c r="H49" s="4" t="s">
        <v>262</v>
      </c>
      <c r="I49" s="8" t="s">
        <v>82</v>
      </c>
      <c r="J49" s="4" t="n">
        <v>12</v>
      </c>
      <c r="K49" s="4" t="s">
        <v>302</v>
      </c>
      <c r="L49" s="4" t="s">
        <v>303</v>
      </c>
      <c r="M49" s="4" t="s">
        <v>304</v>
      </c>
    </row>
    <row r="50" customFormat="false" ht="21.75" hidden="false" customHeight="true" outlineLevel="0" collapsed="false">
      <c r="A50" s="4" t="s">
        <v>305</v>
      </c>
      <c r="B50" s="4" t="s">
        <v>139</v>
      </c>
      <c r="C50" s="4" t="s">
        <v>267</v>
      </c>
      <c r="D50" s="4" t="s">
        <v>43</v>
      </c>
      <c r="E50" s="4" t="s">
        <v>306</v>
      </c>
      <c r="F50" s="4" t="s">
        <v>112</v>
      </c>
      <c r="G50" s="4" t="s">
        <v>72</v>
      </c>
      <c r="H50" s="4" t="s">
        <v>45</v>
      </c>
      <c r="I50" s="8" t="s">
        <v>82</v>
      </c>
      <c r="J50" s="4" t="n">
        <v>10</v>
      </c>
      <c r="K50" s="4" t="s">
        <v>307</v>
      </c>
      <c r="L50" s="4" t="s">
        <v>308</v>
      </c>
      <c r="M50" s="4" t="s">
        <v>309</v>
      </c>
    </row>
    <row r="51" customFormat="false" ht="32.25" hidden="false" customHeight="true" outlineLevel="0" collapsed="false">
      <c r="A51" s="4" t="s">
        <v>310</v>
      </c>
      <c r="B51" s="4" t="s">
        <v>139</v>
      </c>
      <c r="C51" s="4" t="s">
        <v>267</v>
      </c>
      <c r="D51" s="4" t="s">
        <v>244</v>
      </c>
      <c r="E51" s="4" t="s">
        <v>311</v>
      </c>
      <c r="F51" s="4" t="s">
        <v>71</v>
      </c>
      <c r="G51" s="4" t="s">
        <v>72</v>
      </c>
      <c r="H51" s="4" t="s">
        <v>312</v>
      </c>
      <c r="I51" s="8" t="s">
        <v>82</v>
      </c>
      <c r="J51" s="4" t="n">
        <v>3</v>
      </c>
      <c r="K51" s="4" t="s">
        <v>313</v>
      </c>
      <c r="L51" s="4" t="s">
        <v>314</v>
      </c>
      <c r="M51" s="4" t="s">
        <v>315</v>
      </c>
    </row>
    <row r="52" customFormat="false" ht="21.75" hidden="false" customHeight="true" outlineLevel="0" collapsed="false">
      <c r="A52" s="4" t="s">
        <v>316</v>
      </c>
      <c r="B52" s="4" t="s">
        <v>139</v>
      </c>
      <c r="C52" s="4" t="s">
        <v>267</v>
      </c>
      <c r="D52" s="4" t="s">
        <v>278</v>
      </c>
      <c r="E52" s="4" t="s">
        <v>317</v>
      </c>
      <c r="F52" s="4" t="s">
        <v>71</v>
      </c>
      <c r="G52" s="4" t="s">
        <v>72</v>
      </c>
      <c r="H52" s="4" t="s">
        <v>318</v>
      </c>
      <c r="I52" s="8" t="s">
        <v>82</v>
      </c>
      <c r="J52" s="4" t="n">
        <v>0.5</v>
      </c>
      <c r="K52" s="4" t="s">
        <v>319</v>
      </c>
      <c r="L52" s="4" t="s">
        <v>320</v>
      </c>
      <c r="M52" s="4" t="s">
        <v>321</v>
      </c>
    </row>
    <row r="53" customFormat="false" ht="32.25" hidden="false" customHeight="true" outlineLevel="0" collapsed="false">
      <c r="A53" s="4" t="s">
        <v>322</v>
      </c>
      <c r="B53" s="4" t="s">
        <v>139</v>
      </c>
      <c r="C53" s="4" t="s">
        <v>267</v>
      </c>
      <c r="D53" s="4" t="s">
        <v>226</v>
      </c>
      <c r="E53" s="4" t="s">
        <v>323</v>
      </c>
      <c r="F53" s="4" t="s">
        <v>71</v>
      </c>
      <c r="G53" s="4" t="s">
        <v>59</v>
      </c>
      <c r="H53" s="4" t="s">
        <v>45</v>
      </c>
      <c r="I53" s="8" t="s">
        <v>82</v>
      </c>
      <c r="J53" s="4" t="n">
        <v>1</v>
      </c>
      <c r="K53" s="4" t="s">
        <v>324</v>
      </c>
      <c r="L53" s="4" t="s">
        <v>325</v>
      </c>
      <c r="M53" s="4" t="s">
        <v>326</v>
      </c>
    </row>
    <row r="54" customFormat="false" ht="21.75" hidden="false" customHeight="true" outlineLevel="0" collapsed="false">
      <c r="A54" s="4" t="s">
        <v>327</v>
      </c>
      <c r="B54" s="4" t="s">
        <v>328</v>
      </c>
      <c r="C54" s="4" t="s">
        <v>329</v>
      </c>
      <c r="D54" s="4" t="s">
        <v>330</v>
      </c>
      <c r="E54" s="4" t="s">
        <v>331</v>
      </c>
      <c r="F54" s="5" t="s">
        <v>19</v>
      </c>
      <c r="G54" s="4" t="s">
        <v>20</v>
      </c>
      <c r="H54" s="4" t="s">
        <v>175</v>
      </c>
      <c r="I54" s="8" t="s">
        <v>82</v>
      </c>
      <c r="J54" s="4" t="n">
        <v>2</v>
      </c>
      <c r="K54" s="4" t="s">
        <v>332</v>
      </c>
      <c r="L54" s="4" t="s">
        <v>333</v>
      </c>
      <c r="M54" s="4" t="s">
        <v>334</v>
      </c>
    </row>
    <row r="55" customFormat="false" ht="21.75" hidden="false" customHeight="true" outlineLevel="0" collapsed="false">
      <c r="A55" s="4" t="s">
        <v>335</v>
      </c>
      <c r="B55" s="4" t="s">
        <v>328</v>
      </c>
      <c r="C55" s="4" t="s">
        <v>329</v>
      </c>
      <c r="D55" s="4" t="s">
        <v>226</v>
      </c>
      <c r="E55" s="4" t="s">
        <v>336</v>
      </c>
      <c r="F55" s="4" t="s">
        <v>112</v>
      </c>
      <c r="G55" s="4" t="s">
        <v>205</v>
      </c>
      <c r="H55" s="4" t="s">
        <v>45</v>
      </c>
      <c r="I55" s="8" t="s">
        <v>82</v>
      </c>
      <c r="J55" s="4" t="n">
        <v>6</v>
      </c>
      <c r="K55" s="4" t="s">
        <v>337</v>
      </c>
      <c r="L55" s="4" t="s">
        <v>338</v>
      </c>
      <c r="M55" s="4" t="s">
        <v>339</v>
      </c>
    </row>
    <row r="56" customFormat="false" ht="32.25" hidden="false" customHeight="true" outlineLevel="0" collapsed="false">
      <c r="A56" s="4" t="s">
        <v>340</v>
      </c>
      <c r="B56" s="4" t="s">
        <v>328</v>
      </c>
      <c r="C56" s="4" t="s">
        <v>329</v>
      </c>
      <c r="D56" s="4" t="s">
        <v>35</v>
      </c>
      <c r="E56" s="4" t="s">
        <v>341</v>
      </c>
      <c r="F56" s="4" t="s">
        <v>112</v>
      </c>
      <c r="G56" s="4" t="s">
        <v>205</v>
      </c>
      <c r="H56" s="4" t="s">
        <v>45</v>
      </c>
      <c r="I56" s="8" t="s">
        <v>82</v>
      </c>
      <c r="J56" s="4" t="n">
        <v>6</v>
      </c>
      <c r="K56" s="4" t="s">
        <v>342</v>
      </c>
      <c r="L56" s="4" t="s">
        <v>343</v>
      </c>
      <c r="M56" s="4" t="s">
        <v>344</v>
      </c>
    </row>
    <row r="57" customFormat="false" ht="21.75" hidden="false" customHeight="true" outlineLevel="0" collapsed="false">
      <c r="A57" s="4" t="s">
        <v>345</v>
      </c>
      <c r="B57" s="4" t="s">
        <v>328</v>
      </c>
      <c r="C57" s="4" t="s">
        <v>329</v>
      </c>
      <c r="D57" s="4" t="s">
        <v>17</v>
      </c>
      <c r="E57" s="4" t="s">
        <v>346</v>
      </c>
      <c r="F57" s="4" t="s">
        <v>112</v>
      </c>
      <c r="G57" s="4" t="s">
        <v>239</v>
      </c>
      <c r="H57" s="4" t="s">
        <v>216</v>
      </c>
      <c r="I57" s="8" t="s">
        <v>82</v>
      </c>
      <c r="J57" s="4" t="n">
        <v>10</v>
      </c>
      <c r="K57" s="4" t="s">
        <v>347</v>
      </c>
      <c r="L57" s="4" t="s">
        <v>348</v>
      </c>
      <c r="M57" s="4" t="s">
        <v>349</v>
      </c>
    </row>
    <row r="58" customFormat="false" ht="21.75" hidden="false" customHeight="true" outlineLevel="0" collapsed="false">
      <c r="A58" s="4" t="s">
        <v>350</v>
      </c>
      <c r="B58" s="4" t="s">
        <v>328</v>
      </c>
      <c r="C58" s="4" t="s">
        <v>329</v>
      </c>
      <c r="D58" s="4" t="s">
        <v>27</v>
      </c>
      <c r="E58" s="4" t="s">
        <v>351</v>
      </c>
      <c r="F58" s="4" t="s">
        <v>112</v>
      </c>
      <c r="G58" s="4" t="s">
        <v>205</v>
      </c>
      <c r="H58" s="4" t="s">
        <v>30</v>
      </c>
      <c r="I58" s="8" t="s">
        <v>82</v>
      </c>
      <c r="J58" s="4" t="n">
        <v>8</v>
      </c>
      <c r="K58" s="4" t="s">
        <v>352</v>
      </c>
      <c r="L58" s="4" t="s">
        <v>353</v>
      </c>
      <c r="M58" s="4" t="s">
        <v>354</v>
      </c>
    </row>
    <row r="59" customFormat="false" ht="21.75" hidden="false" customHeight="true" outlineLevel="0" collapsed="false">
      <c r="A59" s="4" t="s">
        <v>355</v>
      </c>
      <c r="B59" s="4" t="s">
        <v>328</v>
      </c>
      <c r="C59" s="4" t="s">
        <v>329</v>
      </c>
      <c r="D59" s="4" t="s">
        <v>356</v>
      </c>
      <c r="E59" s="4" t="s">
        <v>357</v>
      </c>
      <c r="F59" s="4" t="s">
        <v>71</v>
      </c>
      <c r="G59" s="4" t="s">
        <v>239</v>
      </c>
      <c r="H59" s="4" t="s">
        <v>358</v>
      </c>
      <c r="I59" s="8" t="s">
        <v>82</v>
      </c>
      <c r="J59" s="4" t="n">
        <v>8</v>
      </c>
      <c r="K59" s="4" t="s">
        <v>359</v>
      </c>
      <c r="L59" s="4" t="s">
        <v>360</v>
      </c>
      <c r="M59" s="4" t="s">
        <v>361</v>
      </c>
    </row>
    <row r="60" customFormat="false" ht="74.6" hidden="false" customHeight="false" outlineLevel="0" collapsed="false">
      <c r="A60" s="4" t="s">
        <v>362</v>
      </c>
      <c r="B60" s="4" t="s">
        <v>15</v>
      </c>
      <c r="C60" s="4" t="s">
        <v>42</v>
      </c>
      <c r="D60" s="4" t="s">
        <v>87</v>
      </c>
      <c r="E60" s="4" t="s">
        <v>363</v>
      </c>
      <c r="F60" s="5" t="s">
        <v>19</v>
      </c>
      <c r="G60" s="4" t="s">
        <v>364</v>
      </c>
      <c r="H60" s="4" t="s">
        <v>45</v>
      </c>
      <c r="I60" s="11" t="s">
        <v>365</v>
      </c>
      <c r="J60" s="4" t="n">
        <v>3</v>
      </c>
      <c r="K60" s="4" t="s">
        <v>366</v>
      </c>
      <c r="L60" s="4" t="s">
        <v>367</v>
      </c>
      <c r="M60" s="4" t="s">
        <v>368</v>
      </c>
    </row>
    <row r="61" customFormat="false" ht="85.05" hidden="false" customHeight="false" outlineLevel="0" collapsed="false">
      <c r="A61" s="4" t="s">
        <v>369</v>
      </c>
      <c r="B61" s="4" t="s">
        <v>15</v>
      </c>
      <c r="C61" s="4" t="s">
        <v>42</v>
      </c>
      <c r="D61" s="4" t="s">
        <v>87</v>
      </c>
      <c r="E61" s="4" t="s">
        <v>370</v>
      </c>
      <c r="F61" s="5" t="s">
        <v>19</v>
      </c>
      <c r="G61" s="4" t="s">
        <v>364</v>
      </c>
      <c r="H61" s="4" t="s">
        <v>45</v>
      </c>
      <c r="I61" s="11" t="s">
        <v>365</v>
      </c>
      <c r="J61" s="4" t="n">
        <v>3</v>
      </c>
      <c r="K61" s="4" t="s">
        <v>371</v>
      </c>
      <c r="L61" s="4" t="s">
        <v>372</v>
      </c>
      <c r="M61" s="4" t="s">
        <v>373</v>
      </c>
    </row>
    <row r="62" customFormat="false" ht="74.6" hidden="false" customHeight="false" outlineLevel="0" collapsed="false">
      <c r="A62" s="4" t="s">
        <v>374</v>
      </c>
      <c r="B62" s="4" t="s">
        <v>15</v>
      </c>
      <c r="C62" s="4" t="s">
        <v>16</v>
      </c>
      <c r="D62" s="4" t="s">
        <v>35</v>
      </c>
      <c r="E62" s="4" t="s">
        <v>375</v>
      </c>
      <c r="F62" s="5" t="s">
        <v>19</v>
      </c>
      <c r="G62" s="4" t="s">
        <v>364</v>
      </c>
      <c r="H62" s="4" t="s">
        <v>37</v>
      </c>
      <c r="I62" s="11" t="s">
        <v>365</v>
      </c>
      <c r="J62" s="4" t="n">
        <v>2</v>
      </c>
      <c r="K62" s="4" t="s">
        <v>376</v>
      </c>
      <c r="L62" s="4" t="s">
        <v>377</v>
      </c>
      <c r="M62" s="4" t="s">
        <v>378</v>
      </c>
    </row>
    <row r="63" customFormat="false" ht="64.15" hidden="false" customHeight="false" outlineLevel="0" collapsed="false">
      <c r="A63" s="4" t="s">
        <v>379</v>
      </c>
      <c r="B63" s="4" t="s">
        <v>15</v>
      </c>
      <c r="C63" s="4" t="s">
        <v>16</v>
      </c>
      <c r="D63" s="4" t="s">
        <v>78</v>
      </c>
      <c r="E63" s="4" t="s">
        <v>380</v>
      </c>
      <c r="F63" s="5" t="s">
        <v>19</v>
      </c>
      <c r="G63" s="4" t="s">
        <v>364</v>
      </c>
      <c r="H63" s="4" t="s">
        <v>81</v>
      </c>
      <c r="I63" s="11" t="s">
        <v>365</v>
      </c>
      <c r="J63" s="4" t="n">
        <v>1.5</v>
      </c>
      <c r="K63" s="4" t="s">
        <v>381</v>
      </c>
      <c r="L63" s="4" t="s">
        <v>382</v>
      </c>
      <c r="M63" s="4" t="s">
        <v>383</v>
      </c>
    </row>
    <row r="64" customFormat="false" ht="53.7" hidden="false" customHeight="false" outlineLevel="0" collapsed="false">
      <c r="A64" s="4" t="s">
        <v>384</v>
      </c>
      <c r="B64" s="4" t="s">
        <v>15</v>
      </c>
      <c r="C64" s="4" t="s">
        <v>16</v>
      </c>
      <c r="D64" s="4" t="s">
        <v>27</v>
      </c>
      <c r="E64" s="4" t="s">
        <v>385</v>
      </c>
      <c r="F64" s="5" t="s">
        <v>19</v>
      </c>
      <c r="G64" s="4" t="s">
        <v>364</v>
      </c>
      <c r="H64" s="4" t="s">
        <v>53</v>
      </c>
      <c r="I64" s="11" t="s">
        <v>365</v>
      </c>
      <c r="J64" s="4" t="n">
        <v>2</v>
      </c>
      <c r="K64" s="4" t="s">
        <v>386</v>
      </c>
      <c r="L64" s="4" t="s">
        <v>387</v>
      </c>
      <c r="M64" s="4" t="s">
        <v>388</v>
      </c>
    </row>
    <row r="65" customFormat="false" ht="53.7" hidden="false" customHeight="false" outlineLevel="0" collapsed="false">
      <c r="A65" s="4" t="s">
        <v>389</v>
      </c>
      <c r="B65" s="4" t="s">
        <v>15</v>
      </c>
      <c r="C65" s="4" t="s">
        <v>42</v>
      </c>
      <c r="D65" s="4" t="s">
        <v>87</v>
      </c>
      <c r="E65" s="4" t="s">
        <v>390</v>
      </c>
      <c r="F65" s="5" t="s">
        <v>19</v>
      </c>
      <c r="G65" s="4" t="s">
        <v>364</v>
      </c>
      <c r="H65" s="4" t="s">
        <v>45</v>
      </c>
      <c r="I65" s="11" t="s">
        <v>365</v>
      </c>
      <c r="J65" s="4" t="n">
        <v>1.5</v>
      </c>
      <c r="K65" s="4" t="s">
        <v>391</v>
      </c>
      <c r="L65" s="4" t="s">
        <v>392</v>
      </c>
      <c r="M65" s="4" t="s">
        <v>393</v>
      </c>
    </row>
    <row r="66" customFormat="false" ht="53.7" hidden="false" customHeight="false" outlineLevel="0" collapsed="false">
      <c r="A66" s="4" t="s">
        <v>394</v>
      </c>
      <c r="B66" s="4" t="s">
        <v>15</v>
      </c>
      <c r="C66" s="4" t="s">
        <v>42</v>
      </c>
      <c r="D66" s="4" t="s">
        <v>17</v>
      </c>
      <c r="E66" s="4" t="s">
        <v>395</v>
      </c>
      <c r="F66" s="5" t="s">
        <v>19</v>
      </c>
      <c r="G66" s="4" t="s">
        <v>20</v>
      </c>
      <c r="H66" s="4" t="s">
        <v>21</v>
      </c>
      <c r="I66" s="11" t="s">
        <v>365</v>
      </c>
      <c r="J66" s="4" t="n">
        <v>0.25</v>
      </c>
      <c r="K66" s="4" t="s">
        <v>396</v>
      </c>
      <c r="L66" s="4" t="s">
        <v>397</v>
      </c>
      <c r="M66" s="4" t="s">
        <v>398</v>
      </c>
    </row>
    <row r="67" customFormat="false" ht="43.25" hidden="false" customHeight="false" outlineLevel="0" collapsed="false">
      <c r="A67" s="4" t="s">
        <v>399</v>
      </c>
      <c r="B67" s="4" t="s">
        <v>139</v>
      </c>
      <c r="C67" s="4" t="s">
        <v>163</v>
      </c>
      <c r="D67" s="4" t="s">
        <v>43</v>
      </c>
      <c r="E67" s="4" t="s">
        <v>400</v>
      </c>
      <c r="F67" s="4" t="s">
        <v>112</v>
      </c>
      <c r="G67" s="4" t="s">
        <v>59</v>
      </c>
      <c r="H67" s="4" t="s">
        <v>45</v>
      </c>
      <c r="I67" s="7" t="s">
        <v>46</v>
      </c>
      <c r="J67" s="4" t="n">
        <v>16</v>
      </c>
      <c r="K67" s="4" t="s">
        <v>401</v>
      </c>
      <c r="L67" s="4" t="s">
        <v>402</v>
      </c>
      <c r="M67" s="4" t="s">
        <v>403</v>
      </c>
    </row>
    <row r="68" customFormat="false" ht="32.8" hidden="false" customHeight="false" outlineLevel="0" collapsed="false">
      <c r="A68" s="4" t="s">
        <v>404</v>
      </c>
      <c r="B68" s="4" t="s">
        <v>139</v>
      </c>
      <c r="C68" s="4" t="s">
        <v>163</v>
      </c>
      <c r="D68" s="4" t="s">
        <v>43</v>
      </c>
      <c r="E68" s="4" t="s">
        <v>405</v>
      </c>
      <c r="F68" s="4" t="s">
        <v>112</v>
      </c>
      <c r="G68" s="4" t="s">
        <v>59</v>
      </c>
      <c r="H68" s="4" t="s">
        <v>45</v>
      </c>
      <c r="I68" s="7" t="s">
        <v>46</v>
      </c>
      <c r="J68" s="4" t="n">
        <v>20</v>
      </c>
      <c r="K68" s="4" t="s">
        <v>401</v>
      </c>
      <c r="L68" s="4" t="s">
        <v>406</v>
      </c>
      <c r="M68" s="4" t="s">
        <v>407</v>
      </c>
    </row>
    <row r="69" customFormat="false" ht="32.8" hidden="false" customHeight="false" outlineLevel="0" collapsed="false">
      <c r="A69" s="4" t="s">
        <v>408</v>
      </c>
      <c r="B69" s="4" t="s">
        <v>139</v>
      </c>
      <c r="C69" s="4" t="s">
        <v>163</v>
      </c>
      <c r="D69" s="4" t="s">
        <v>35</v>
      </c>
      <c r="E69" s="4" t="s">
        <v>409</v>
      </c>
      <c r="F69" s="4" t="s">
        <v>71</v>
      </c>
      <c r="G69" s="4" t="s">
        <v>59</v>
      </c>
      <c r="H69" s="4" t="s">
        <v>216</v>
      </c>
      <c r="I69" s="7" t="s">
        <v>46</v>
      </c>
      <c r="J69" s="4" t="n">
        <v>8</v>
      </c>
      <c r="K69" s="4" t="s">
        <v>410</v>
      </c>
      <c r="L69" s="4" t="s">
        <v>411</v>
      </c>
      <c r="M69" s="4" t="s">
        <v>412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44"/>
    <col collapsed="false" customWidth="true" hidden="false" outlineLevel="0" max="4" min="4" style="1" width="80"/>
  </cols>
  <sheetData>
    <row r="1" customFormat="false" ht="15" hidden="false" customHeight="true" outlineLevel="0" collapsed="false">
      <c r="A1" s="12" t="s">
        <v>413</v>
      </c>
      <c r="B1" s="12"/>
      <c r="C1" s="12"/>
      <c r="D1" s="12"/>
    </row>
    <row r="2" customFormat="false" ht="15" hidden="false" customHeight="true" outlineLevel="0" collapsed="false">
      <c r="A2" s="13" t="s">
        <v>1</v>
      </c>
      <c r="B2" s="13" t="s">
        <v>414</v>
      </c>
      <c r="C2" s="13" t="s">
        <v>415</v>
      </c>
      <c r="D2" s="13" t="s">
        <v>416</v>
      </c>
    </row>
    <row r="3" customFormat="false" ht="15" hidden="false" customHeight="true" outlineLevel="0" collapsed="false">
      <c r="A3" s="4" t="s">
        <v>417</v>
      </c>
      <c r="B3" s="14" t="s">
        <v>418</v>
      </c>
      <c r="C3" s="4" t="s">
        <v>419</v>
      </c>
      <c r="D3" s="4" t="s">
        <v>420</v>
      </c>
    </row>
    <row r="4" customFormat="false" ht="21.75" hidden="false" customHeight="true" outlineLevel="0" collapsed="false">
      <c r="A4" s="4" t="s">
        <v>421</v>
      </c>
      <c r="B4" s="14" t="s">
        <v>418</v>
      </c>
      <c r="C4" s="4" t="s">
        <v>422</v>
      </c>
      <c r="D4" s="4" t="s">
        <v>423</v>
      </c>
    </row>
    <row r="5" customFormat="false" ht="21.75" hidden="false" customHeight="true" outlineLevel="0" collapsed="false">
      <c r="A5" s="4" t="s">
        <v>424</v>
      </c>
      <c r="B5" s="14" t="s">
        <v>418</v>
      </c>
      <c r="C5" s="4" t="s">
        <v>425</v>
      </c>
      <c r="D5" s="4" t="s">
        <v>426</v>
      </c>
    </row>
    <row r="6" customFormat="false" ht="15" hidden="false" customHeight="true" outlineLevel="0" collapsed="false">
      <c r="A6" s="4" t="s">
        <v>427</v>
      </c>
      <c r="B6" s="15" t="s">
        <v>428</v>
      </c>
      <c r="C6" s="4" t="s">
        <v>429</v>
      </c>
      <c r="D6" s="4" t="s">
        <v>430</v>
      </c>
    </row>
    <row r="7" customFormat="false" ht="15" hidden="false" customHeight="true" outlineLevel="0" collapsed="false">
      <c r="A7" s="4" t="s">
        <v>431</v>
      </c>
      <c r="B7" s="15" t="s">
        <v>428</v>
      </c>
      <c r="C7" s="4" t="s">
        <v>432</v>
      </c>
      <c r="D7" s="4" t="s">
        <v>433</v>
      </c>
    </row>
    <row r="8" customFormat="false" ht="21.75" hidden="false" customHeight="true" outlineLevel="0" collapsed="false">
      <c r="A8" s="4" t="s">
        <v>434</v>
      </c>
      <c r="B8" s="15" t="s">
        <v>428</v>
      </c>
      <c r="C8" s="4" t="s">
        <v>435</v>
      </c>
      <c r="D8" s="4" t="s">
        <v>436</v>
      </c>
    </row>
    <row r="9" customFormat="false" ht="15" hidden="false" customHeight="true" outlineLevel="0" collapsed="false">
      <c r="A9" s="4" t="s">
        <v>437</v>
      </c>
      <c r="B9" s="15" t="s">
        <v>428</v>
      </c>
      <c r="C9" s="4" t="s">
        <v>438</v>
      </c>
      <c r="D9" s="4" t="s">
        <v>439</v>
      </c>
    </row>
    <row r="10" customFormat="false" ht="15" hidden="false" customHeight="true" outlineLevel="0" collapsed="false">
      <c r="A10" s="4" t="s">
        <v>440</v>
      </c>
      <c r="B10" s="14" t="s">
        <v>418</v>
      </c>
      <c r="C10" s="4" t="s">
        <v>441</v>
      </c>
      <c r="D10" s="4" t="s">
        <v>442</v>
      </c>
    </row>
    <row r="11" customFormat="false" ht="15" hidden="false" customHeight="true" outlineLevel="0" collapsed="false">
      <c r="A11" s="4" t="s">
        <v>440</v>
      </c>
      <c r="B11" s="14" t="s">
        <v>418</v>
      </c>
      <c r="C11" s="4" t="s">
        <v>443</v>
      </c>
      <c r="D11" s="4" t="s">
        <v>444</v>
      </c>
    </row>
    <row r="12" customFormat="false" ht="15" hidden="false" customHeight="true" outlineLevel="0" collapsed="false">
      <c r="A12" s="4" t="s">
        <v>440</v>
      </c>
      <c r="B12" s="14" t="s">
        <v>418</v>
      </c>
      <c r="C12" s="4" t="s">
        <v>445</v>
      </c>
      <c r="D12" s="4" t="s">
        <v>446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3"/>
    <col collapsed="false" customWidth="true" hidden="false" outlineLevel="0" max="3" min="3" style="1" width="44"/>
    <col collapsed="false" customWidth="true" hidden="false" outlineLevel="0" max="4" min="4" style="1" width="70"/>
  </cols>
  <sheetData>
    <row r="1" customFormat="false" ht="63.75" hidden="false" customHeight="true" outlineLevel="0" collapsed="false">
      <c r="A1" s="16" t="s">
        <v>447</v>
      </c>
      <c r="B1" s="16"/>
      <c r="C1" s="16"/>
      <c r="D1" s="16"/>
    </row>
    <row r="2" customFormat="false" ht="15" hidden="false" customHeight="true" outlineLevel="0" collapsed="false">
      <c r="A2" s="16" t="s">
        <v>448</v>
      </c>
      <c r="B2" s="16" t="s">
        <v>414</v>
      </c>
      <c r="C2" s="16" t="s">
        <v>415</v>
      </c>
      <c r="D2" s="16" t="s">
        <v>416</v>
      </c>
    </row>
    <row r="3" customFormat="false" ht="21.75" hidden="false" customHeight="true" outlineLevel="0" collapsed="false">
      <c r="A3" s="16" t="s">
        <v>449</v>
      </c>
      <c r="B3" s="16" t="s">
        <v>418</v>
      </c>
      <c r="C3" s="16" t="s">
        <v>450</v>
      </c>
      <c r="D3" s="16" t="s">
        <v>451</v>
      </c>
    </row>
    <row r="4" customFormat="false" ht="15" hidden="false" customHeight="true" outlineLevel="0" collapsed="false">
      <c r="A4" s="16" t="s">
        <v>452</v>
      </c>
      <c r="B4" s="16" t="s">
        <v>418</v>
      </c>
      <c r="C4" s="16" t="s">
        <v>453</v>
      </c>
      <c r="D4" s="16" t="s">
        <v>454</v>
      </c>
    </row>
    <row r="5" customFormat="false" ht="15" hidden="false" customHeight="true" outlineLevel="0" collapsed="false">
      <c r="A5" s="16" t="s">
        <v>455</v>
      </c>
      <c r="B5" s="16" t="s">
        <v>418</v>
      </c>
      <c r="C5" s="16" t="s">
        <v>456</v>
      </c>
      <c r="D5" s="16" t="s">
        <v>457</v>
      </c>
    </row>
    <row r="6" customFormat="false" ht="15" hidden="false" customHeight="true" outlineLevel="0" collapsed="false">
      <c r="A6" s="16" t="s">
        <v>458</v>
      </c>
      <c r="B6" s="16" t="s">
        <v>418</v>
      </c>
      <c r="C6" s="16" t="s">
        <v>459</v>
      </c>
      <c r="D6" s="16" t="s">
        <v>460</v>
      </c>
    </row>
    <row r="7" customFormat="false" ht="21.75" hidden="false" customHeight="true" outlineLevel="0" collapsed="false">
      <c r="A7" s="16" t="s">
        <v>461</v>
      </c>
      <c r="B7" s="16" t="s">
        <v>462</v>
      </c>
      <c r="C7" s="16" t="s">
        <v>463</v>
      </c>
      <c r="D7" s="16" t="s">
        <v>464</v>
      </c>
    </row>
    <row r="8" customFormat="false" ht="15" hidden="false" customHeight="true" outlineLevel="0" collapsed="false">
      <c r="A8" s="16" t="s">
        <v>465</v>
      </c>
      <c r="B8" s="16" t="s">
        <v>466</v>
      </c>
      <c r="C8" s="16" t="s">
        <v>467</v>
      </c>
      <c r="D8" s="16" t="s">
        <v>468</v>
      </c>
    </row>
    <row r="9" customFormat="false" ht="21.75" hidden="false" customHeight="true" outlineLevel="0" collapsed="false">
      <c r="A9" s="16" t="s">
        <v>469</v>
      </c>
      <c r="B9" s="16" t="s">
        <v>428</v>
      </c>
      <c r="C9" s="16" t="s">
        <v>470</v>
      </c>
      <c r="D9" s="16" t="s">
        <v>471</v>
      </c>
    </row>
    <row r="10" customFormat="false" ht="15" hidden="false" customHeight="true" outlineLevel="0" collapsed="false">
      <c r="A10" s="16" t="s">
        <v>472</v>
      </c>
      <c r="B10" s="16" t="s">
        <v>473</v>
      </c>
      <c r="C10" s="16" t="s">
        <v>474</v>
      </c>
      <c r="D10" s="16" t="s">
        <v>475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2"/>
    <col collapsed="false" customWidth="true" hidden="false" outlineLevel="0" max="4" min="3" style="1" width="8"/>
    <col collapsed="false" customWidth="true" hidden="false" outlineLevel="0" max="5" min="5" style="1" width="9"/>
  </cols>
  <sheetData>
    <row r="1" customFormat="false" ht="15" hidden="false" customHeight="true" outlineLevel="0" collapsed="false">
      <c r="A1" s="12" t="s">
        <v>476</v>
      </c>
      <c r="B1" s="12"/>
      <c r="C1" s="12"/>
      <c r="D1" s="12"/>
      <c r="E1" s="12"/>
    </row>
    <row r="2" customFormat="false" ht="15" hidden="false" customHeight="true" outlineLevel="0" collapsed="false">
      <c r="A2" s="17" t="s">
        <v>2</v>
      </c>
      <c r="B2" s="17" t="s">
        <v>9</v>
      </c>
      <c r="C2" s="17" t="s">
        <v>477</v>
      </c>
      <c r="D2" s="17" t="s">
        <v>478</v>
      </c>
      <c r="E2" s="17" t="s">
        <v>19</v>
      </c>
    </row>
    <row r="3" customFormat="false" ht="15" hidden="false" customHeight="true" outlineLevel="0" collapsed="false">
      <c r="A3" s="18" t="s">
        <v>15</v>
      </c>
      <c r="B3" s="18" t="s">
        <v>22</v>
      </c>
      <c r="C3" s="18" t="n">
        <f aca="false">COUNTIFS('Active Board'!$B$3:$B$59,A3,'Active Board'!$I$3:$I$59,B3)</f>
        <v>3</v>
      </c>
      <c r="D3" s="18" t="n">
        <f aca="false">SUMIFS('Active Board'!$J$3:$J$59,'Active Board'!$B$3:$B$59,A3,'Active Board'!$I$3:$I$59,B3)</f>
        <v>2.5</v>
      </c>
      <c r="E3" s="18" t="n">
        <f aca="false">COUNTIFS('Active Board'!$B$3:$B$59,A3,'Active Board'!$I$3:$I$59,B3,'Active Board'!$F$3:$F$59,"Critical")</f>
        <v>3</v>
      </c>
    </row>
    <row r="4" customFormat="false" ht="15" hidden="false" customHeight="true" outlineLevel="0" collapsed="false">
      <c r="A4" s="18" t="s">
        <v>15</v>
      </c>
      <c r="B4" s="18" t="s">
        <v>46</v>
      </c>
      <c r="C4" s="18" t="n">
        <f aca="false">COUNTIFS('Active Board'!$B$3:$B$59,A4,'Active Board'!$I$3:$I$59,B4)</f>
        <v>5</v>
      </c>
      <c r="D4" s="18" t="n">
        <f aca="false">SUMIFS('Active Board'!$J$3:$J$59,'Active Board'!$B$3:$B$59,A4,'Active Board'!$I$3:$I$59,B4)</f>
        <v>5</v>
      </c>
      <c r="E4" s="18" t="n">
        <f aca="false">COUNTIFS('Active Board'!$B$3:$B$59,A4,'Active Board'!$I$3:$I$59,B4,'Active Board'!$F$3:$F$59,"Critical")</f>
        <v>4</v>
      </c>
    </row>
    <row r="5" customFormat="false" ht="15" hidden="false" customHeight="true" outlineLevel="0" collapsed="false">
      <c r="A5" s="18" t="s">
        <v>15</v>
      </c>
      <c r="B5" s="18" t="s">
        <v>82</v>
      </c>
      <c r="C5" s="18" t="n">
        <f aca="false">COUNTIFS('Active Board'!$B$3:$B$59,A5,'Active Board'!$I$3:$I$59,B5)</f>
        <v>7</v>
      </c>
      <c r="D5" s="18" t="n">
        <f aca="false">SUMIFS('Active Board'!$J$3:$J$59,'Active Board'!$B$3:$B$59,A5,'Active Board'!$I$3:$I$59,B5)</f>
        <v>11.5</v>
      </c>
      <c r="E5" s="18" t="n">
        <f aca="false">COUNTIFS('Active Board'!$B$3:$B$59,A5,'Active Board'!$I$3:$I$59,B5,'Active Board'!$F$3:$F$59,"Critical")</f>
        <v>5</v>
      </c>
    </row>
    <row r="6" customFormat="false" ht="15" hidden="false" customHeight="true" outlineLevel="0" collapsed="false">
      <c r="A6" s="18" t="s">
        <v>15</v>
      </c>
      <c r="B6" s="18" t="s">
        <v>123</v>
      </c>
      <c r="C6" s="18" t="n">
        <f aca="false">COUNTIFS('Active Board'!$B$3:$B$59,A6,'Active Board'!$I$3:$I$59,B6)</f>
        <v>2</v>
      </c>
      <c r="D6" s="18" t="n">
        <f aca="false">SUMIFS('Active Board'!$J$3:$J$59,'Active Board'!$B$3:$B$59,A6,'Active Board'!$I$3:$I$59,B6)</f>
        <v>2</v>
      </c>
      <c r="E6" s="18" t="n">
        <f aca="false">COUNTIFS('Active Board'!$B$3:$B$59,A6,'Active Board'!$I$3:$I$59,B6,'Active Board'!$F$3:$F$59,"Critical")</f>
        <v>0</v>
      </c>
    </row>
    <row r="7" customFormat="false" ht="15" hidden="false" customHeight="true" outlineLevel="0" collapsed="false">
      <c r="A7" s="18" t="s">
        <v>15</v>
      </c>
      <c r="B7" s="18" t="s">
        <v>134</v>
      </c>
      <c r="C7" s="18" t="n">
        <f aca="false">COUNTIFS('Active Board'!$B$3:$B$59,A7,'Active Board'!$I$3:$I$59,B7)</f>
        <v>1</v>
      </c>
      <c r="D7" s="18" t="n">
        <f aca="false">SUMIFS('Active Board'!$J$3:$J$59,'Active Board'!$B$3:$B$59,A7,'Active Board'!$I$3:$I$59,B7)</f>
        <v>6</v>
      </c>
      <c r="E7" s="18" t="n">
        <f aca="false">COUNTIFS('Active Board'!$B$3:$B$59,A7,'Active Board'!$I$3:$I$59,B7,'Active Board'!$F$3:$F$59,"Critical")</f>
        <v>1</v>
      </c>
    </row>
    <row r="8" customFormat="false" ht="15" hidden="false" customHeight="true" outlineLevel="0" collapsed="false">
      <c r="A8" s="18" t="s">
        <v>139</v>
      </c>
      <c r="B8" s="18" t="s">
        <v>46</v>
      </c>
      <c r="C8" s="18" t="n">
        <f aca="false">COUNTIFS('Active Board'!$B$3:$B$59,A8,'Active Board'!$I$3:$I$59,B8)</f>
        <v>11</v>
      </c>
      <c r="D8" s="18" t="n">
        <f aca="false">SUMIFS('Active Board'!$J$3:$J$59,'Active Board'!$B$3:$B$59,A8,'Active Board'!$I$3:$I$59,B8)</f>
        <v>54.25</v>
      </c>
      <c r="E8" s="18" t="n">
        <f aca="false">COUNTIFS('Active Board'!$B$3:$B$59,A8,'Active Board'!$I$3:$I$59,B8,'Active Board'!$F$3:$F$59,"Critical")</f>
        <v>5</v>
      </c>
    </row>
    <row r="9" customFormat="false" ht="15" hidden="false" customHeight="true" outlineLevel="0" collapsed="false">
      <c r="A9" s="18" t="s">
        <v>139</v>
      </c>
      <c r="B9" s="18" t="s">
        <v>82</v>
      </c>
      <c r="C9" s="18" t="n">
        <f aca="false">COUNTIFS('Active Board'!$B$3:$B$59,A9,'Active Board'!$I$3:$I$59,B9)</f>
        <v>22</v>
      </c>
      <c r="D9" s="18" t="n">
        <f aca="false">SUMIFS('Active Board'!$J$3:$J$59,'Active Board'!$B$3:$B$59,A9,'Active Board'!$I$3:$I$59,B9)</f>
        <v>183.5</v>
      </c>
      <c r="E9" s="18" t="n">
        <f aca="false">COUNTIFS('Active Board'!$B$3:$B$59,A9,'Active Board'!$I$3:$I$59,B9,'Active Board'!$F$3:$F$59,"Critical")</f>
        <v>12</v>
      </c>
    </row>
    <row r="10" customFormat="false" ht="15" hidden="false" customHeight="true" outlineLevel="0" collapsed="false">
      <c r="A10" s="18" t="s">
        <v>328</v>
      </c>
      <c r="B10" s="18" t="s">
        <v>82</v>
      </c>
      <c r="C10" s="18" t="n">
        <f aca="false">COUNTIFS('Active Board'!$B$3:$B$59,A10,'Active Board'!$I$3:$I$59,B10)</f>
        <v>6</v>
      </c>
      <c r="D10" s="18" t="n">
        <f aca="false">SUMIFS('Active Board'!$J$3:$J$59,'Active Board'!$B$3:$B$59,A10,'Active Board'!$I$3:$I$59,B10)</f>
        <v>40</v>
      </c>
      <c r="E10" s="18" t="n">
        <f aca="false">COUNTIFS('Active Board'!$B$3:$B$59,A10,'Active Board'!$I$3:$I$59,B10,'Active Board'!$F$3:$F$59,"Critical")</f>
        <v>1</v>
      </c>
    </row>
    <row r="11" customFormat="false" ht="15" hidden="false" customHeight="true" outlineLevel="0" collapsed="false">
      <c r="A11" s="19" t="s">
        <v>479</v>
      </c>
      <c r="D11" s="19" t="n">
        <f aca="false">SUMIFS('Active Board'!$J$3:$J$59,'Active Board'!$B$3:$B$59,"M1",'Active Board'!$I$3:$I$59,"PARTIAL")+SUMIFS('Active Board'!$J$3:$J$59,'Active Board'!$B$3:$B$59,"M1",'Active Board'!$I$3:$I$59,"NEW")+SUMIFS('Active Board'!$J$3:$J$59,'Active Board'!$B$3:$B$59,"M1",'Active Board'!$I$3:$I$59,"OPEN")</f>
        <v>19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2026-07-20T13:49:10Z</dcterms:created>
  <dc:creator>openpyxl</dc:creator>
  <dc:description/>
  <dc:language>en-US</dc:language>
  <cp:lastModifiedBy/>
  <dcterms:modified xsi:type="dcterms:W3CDTF">2026-07-21T08:01:03Z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