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sk List" sheetId="1" state="visible" r:id="rId3"/>
    <sheet name="Audit Summary" sheetId="2" state="visible" r:id="rId4"/>
    <sheet name="Test Register" sheetId="3" state="visible" r:id="rId5"/>
    <sheet name="How to Use" sheetId="4" state="visible" r:id="rId6"/>
    <sheet name="Phase Summary" sheetId="5" state="visible" r:id="rId7"/>
    <sheet name="UI Standards Reference" sheetId="6" state="visible" r:id="rId8"/>
    <sheet name="Rollups"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<sst xmlns="http://schemas.openxmlformats.org/spreadsheetml/2006/main" count="1924" uniqueCount="945">
  <si>
    <t xml:space="preserve">PlantProcess IQ — Phase-Grouped Task List (v9 · 31 May 2026 · test-foundation + deepened engineering plan)</t>
  </si>
  <si>
    <t xml:space="preserve">103 tasks across 14 phases (adds Phase 0 — Test Foundation: 8 tasks). v9 deepens the plan into a rigorous engineering programme: a trustworthy, behaviour-true test suite is built FIRST (audit/repair/cover/gate every backend unit, frontend unit, integration, and e2e test, and convert behavioural validation scripts into real tests — see the Test Register sheet), then the feature/hardening phases proceed on a suite that gates regressions. Single authoritative Description + Validation per task; Status/Completion% retained; IDs stable; execution order = row order.</t>
  </si>
  <si>
    <t xml:space="preserve">Task ID</t>
  </si>
  <si>
    <t xml:space="preserve">Task Name</t>
  </si>
  <si>
    <t xml:space="preserve">Phase ID</t>
  </si>
  <si>
    <t xml:space="preserve">Severity</t>
  </si>
  <si>
    <t xml:space="preserve">Track</t>
  </si>
  <si>
    <t xml:space="preserve">Module</t>
  </si>
  <si>
    <t xml:space="preserve">Submodule</t>
  </si>
  <si>
    <t xml:space="preserve">Description</t>
  </si>
  <si>
    <t xml:space="preserve">Task Type</t>
  </si>
  <si>
    <t xml:space="preserve">Validation</t>
  </si>
  <si>
    <t xml:space="preserve">Status</t>
  </si>
  <si>
    <t xml:space="preserve">Completion %</t>
  </si>
  <si>
    <t xml:space="preserve">Effort (hrs)</t>
  </si>
  <si>
    <t xml:space="preserve">P00 — Test Foundation: Audit, Repair, Cover &amp; Gate    |    8 tasks    |    67 hrs
PRIORITY ZERO — the trust layer the rest of v9 stands on. You cannot harden, enhance, or ship confidently on a suite that does not reflect reality. This phase scans every backend unit, frontend unit, integration, and e2e test plus all validation scripts; deletes the no-ops and duplicates; repairs the stale/brittle ones so they assert REAL behaviour at the current status; adds tests for every uncovered critical area; converts behavioural validation scripts into real tests; and finally turns the trustworthy suite into a red-on-regression gate with a coverage ratchet. EXIT STATE (healthy): one command per stack runs a deterministic suite that mirrors real behaviour, coverage is measured and ratcheted, the suite gates CI, and the Test Register records every delete/modify/add decision.</t>
  </si>
  <si>
    <t xml:space="preserve">PPIQ-T300</t>
  </si>
  <si>
    <t xml:space="preserve">Establish the test taxonomy, coverage baseline &amp; CI reporting spine</t>
  </si>
  <si>
    <t xml:space="preserve">P00</t>
  </si>
  <si>
    <t xml:space="preserve">critical</t>
  </si>
  <si>
    <t xml:space="preserve">Track 2 — Hardening</t>
  </si>
  <si>
    <t xml:space="preserve">Infrastructure</t>
  </si>
  <si>
    <t xml:space="preserve">Test Strategy / Coverage</t>
  </si>
  <si>
    <t xml:space="preserve">FOUNDATION for everything that follows. Before changing individual tests, stand up the measurement and reporting spine so 'tested' becomes verifiable, not asserted.
WORK: (1) Define the test taxonomy and what each layer owns: Domain unit (pure logic, no IO), Application unit (services with mocked ports), Infrastructure integration (real Postgres via Testcontainers/compose, connectors, audit immutability), API integration (WebApplicationFactory + real DB, auth, endpoints), Frontend unit (Vitest: components/hooks/state/api-clients), Frontend e2e (Playwright: real flows), Visual + a11y (Playwright). (2) Turn on coverage collection on both stacks — .NET via coverlet/`--collect:"XPlat Code Coverage"` with a Cobertura report, frontend via Vitest V8 coverage — and publish both as CI artifacts with a coverage summary. (3) Establish a baseline number per layer and per critical module (auth, connectors, schema-mapping, delta-import, ML learning core, risk scorer, page builder) and record it as the Phase-0 starting point. (4) Make the whole suite runnable with one command per stack and wire both into Jenkins as reported (not yet gating) stages.</t>
  </si>
  <si>
    <t xml:space="preserve">Enhancement</t>
  </si>
  <si>
    <t xml:space="preserve">1) `dotnet test` produces a Cobertura coverage report and `npm run test:coverage` produces a V8 report, both archived in CI. 2) A coverage summary table (per project + per critical module) is generated and stored as the Phase-0 baseline. 3) The taxonomy is documented (one paragraph per layer: what it owns, what it must NOT do). 4) One command runs each stack's full suite locally and in CI.</t>
  </si>
  <si>
    <t xml:space="preserve">Not Started</t>
  </si>
  <si>
    <t xml:space="preserve">PPIQ-T301</t>
  </si>
  <si>
    <t xml:space="preserve">Audit &amp; triage every existing test against the real 31-May behaviour (the Test Register)</t>
  </si>
  <si>
    <t xml:space="preserve">Test Audit / Triage</t>
  </si>
  <si>
    <t xml:space="preserve">Produce and execute the authoritative triage of all ~26 backend tests, ~17 frontend unit/integration tests, and ~35 e2e specs against the CURRENT application behaviour. The companion 'Test Register' sheet in this workbook is the line-by-line output of this task and its execution checklist.
WORK: For each existing test, classify it as DELETE (obsolete, duplicated, or a no-op smoke), MODIFY (real intent but stale assertions, weak coverage, brittle selectors, or testing a mock instead of behaviour), or KEEP (already a strong, behaviour-true test). Specifically: remove the four `*TestEnvironmentTests` no-ops (`true.Should().BeTrue()`) once real coverage exists in their project; collapse overlapping phase-N e2e specs (phase1-*, phase2-*, phase56-*, phase78-*) that assert the same routes/flows into consolidated, behaviour-named specs; and upgrade thin specs (8–33 line placeholders such as phase02-data-lifecycle-contract, page-builder-v7, phase56-primary-flows, route-smoke) into real assertions. Each MODIFY entry states exactly what changes and why; each DELETE entry states what now covers it.</t>
  </si>
  <si>
    <t xml:space="preserve">1) Every existing test file has a recorded disposition (DELETE / MODIFY / KEEP) with a one-line rationale (see the Test Register). 2) All DELETE items are removed and the suite still builds and passes. 3) No remaining `true.Should().BeTrue()`-style no-op survives. 4) The count of overlapping phase-N e2e specs is reduced and the survivors are named by behaviour, not phase number.</t>
  </si>
  <si>
    <t xml:space="preserve">PPIQ-T302</t>
  </si>
  <si>
    <t xml:space="preserve">Backend unit coverage for uncovered Application/Domain logic</t>
  </si>
  <si>
    <t xml:space="preserve">very important</t>
  </si>
  <si>
    <t xml:space="preserve">App Backend</t>
  </si>
  <si>
    <t xml:space="preserve">Unit Tests / Application &amp; Domain</t>
  </si>
  <si>
    <t xml:space="preserve">Close the backend UNIT gaps for pure logic that today has no coverage, matching real behaviour as of 31-May.
TARGET (uncovered or thin today): the additive RiskScoreService contribution decomposition (contributions sum exactly to the score; explanation shape); FeatureEngineeringService derived-feature math (cev, true_superheat, casting speed delta, residency, shift bucketing) on known inputs; QualityLabelBuilderService label derivation; MlReadinessService gate logic (ready vs under-powered thresholds); the SafeSql policy edge cases beyond what SafeSqlPolicyTests covers (CTE, nested subqueries, cross-tenant attempts); WidgetQueryExpressionService expression validation/safety; LicenseService tier-feature resolution corner cases. Use deterministic fixtures; no database (those belong to integration).</t>
  </si>
  <si>
    <t xml:space="preserve">New Feature</t>
  </si>
  <si>
    <t xml:space="preserve">1) RiskScoreService has a unit test proving exact additive decomposition on a known vector. 2) FeatureEngineeringService derived features are asserted against hand-computed expected values. 3) MlReadinessService gate thresholds are covered both sides of the boundary. 4) New SafeSql cases (CTE/nested/cross-tenant) are rejected. 5) Coverage for the Application project rises measurably above the T300 baseline.</t>
  </si>
  <si>
    <t xml:space="preserve">PPIQ-T303</t>
  </si>
  <si>
    <t xml:space="preserve">Backend integration tests on real Postgres for data, ML, and security paths</t>
  </si>
  <si>
    <t xml:space="preserve">Integration Tests / Postgres</t>
  </si>
  <si>
    <t xml:space="preserve">Add API + Infrastructure INTEGRATION tests that run against a real Postgres (Testcontainers or the demo compose) so the data lifecycle, the ML core, and security are proven end-to-end, not by source-text regex.
TARGET: (1) ML learning core — apply 200_/201_/204_, run `ppiq_ml_seed_phase45_golden_dataset()` then `ppiq_ml_run_learning_job_v1`, and assert it RECOVERS the injected correlations with correct effect-size sign/magnitude, produces Benjamini-Hochberg q-values, and REJECTS spurious pairs under FDR (this replaces the static validate-v7-phase04-phase05 checks with behaviour). (2) Delta import — cold load then incremental, simulated mid-batch crash → resume with no duplicates, schema-drift detection. (3) Schema-mapping resolver — the three named errors (NoSuchView/NoSuchColumn/InvalidAggregateForType) and SafeSqlValidator blocking on generated join SQL, against a live schema. (4) Auth — login gate matrix (empty/bootstrap-collision/valid/role/bad-key) at the API. (5) Audit-log immutability already has a strong test — keep and extend with the new audit surfaces.</t>
  </si>
  <si>
    <t xml:space="preserve">1) An integration test runs the ML learning job on the golden dataset and asserts recovery + FDR rejection (no regex on SQL text). 2) Delta-import crash/resume yields zero duplicates and a correct cursor. 3) Resolver returns the three typed errors and blocks malicious join SQL. 4) The auth gate matrix is asserted at the API with a real token. 5) These run in CI against a real Postgres.</t>
  </si>
  <si>
    <t xml:space="preserve">PPIQ-T304</t>
  </si>
  <si>
    <t xml:space="preserve">Frontend unit/component coverage for uncovered UI logic &amp; Standard* contract</t>
  </si>
  <si>
    <t xml:space="preserve">App Frontend</t>
  </si>
  <si>
    <t xml:space="preserve">Unit Tests / Vitest</t>
  </si>
  <si>
    <t xml:space="preserve">Close frontend UNIT gaps with Vitest, matching real component behaviour. Today only a handful of components/hooks are covered.
TARGET: the apiClient retry/backoff + auth-failure mapping (T280/T281 behaviour — assert bounded attempts and that 401/403/500/network produce distinct outcomes); AuthContext bootstrap logic (no infinite re-login on failure); the LicenseContext tier gating; the full Standard* contract (StandardButton/Table/Tabs/Fields/Surface/DataFetchBoundary/ErrorBoundary — every variant and state in the UI Standards Reference, including the forbidden-phrase guard and the 'Refreshing X…' pattern); the widget-builder expression step validation; and the page-builder layout state reducer. Mock the network at the boundary; do not hit a real API.</t>
  </si>
  <si>
    <t xml:space="preserve">1) apiClient tests prove retries are capped with backoff and that each HTTP status maps to its intended outcome. 2) AuthContext cannot enter an infinite re-login loop on a failing bootstrap. 3) Every Standard* component has variant+state coverage and a snapshot where appropriate. 4) The forbidden-phrase guard is unit-asserted. 5) Frontend coverage rises measurably above the T300 baseline.</t>
  </si>
  <si>
    <t xml:space="preserve">PPIQ-T305</t>
  </si>
  <si>
    <t xml:space="preserve">E2E coverage for the real critical journeys (consolidated, behaviour-named)</t>
  </si>
  <si>
    <t xml:space="preserve">E2E / Playwright</t>
  </si>
  <si>
    <t xml:space="preserve">Rebuild the e2e layer around the REAL critical journeys, consolidating the overlapping phase-N specs into durable, behaviour-named flows and adding the journeys that are missing.
TARGET JOURNEYS (each from a clean login, no hardcoding): (a) Auth &amp; shell — login as each persona, route-refresh survival, no fake 'connection failed'. (b) Data lifecycle — configure a DB link from the HMI → schedule a job → import → see data (the Track-3 Golden-Rule flow). (c) Page builder — create a page, drop+bind+script a widget, save, reload, it persists. (d) Inspection→analysis — run an inspection job and view its generated page (once P06 lands). (e) License toggle — switch Enterprise→Pro and watch a feature disappear. (f) Resilience — backend-outage handling shows retry UI, never a fake failure. Consolidate phase1-*/phase2-*/phase56-* duplicates into these. Keep auth-matrix, golden-path, dashboard-refresh-filter, hardening-matrix as the strong survivors and align them.</t>
  </si>
  <si>
    <t xml:space="preserve">1) Each critical journey has exactly one authoritative, behaviour-named spec that runs green against the real app. 2) The data-lifecycle and page-builder journeys configure everything from the HMI (no hardcoded pages/data). 3) Overlapping phase-N specs are removed or merged; the e2e suite is smaller and clearer. 4) The suite runs in CI on chromium (and the responsive/multibrowser spec covers the rest).</t>
  </si>
  <si>
    <t xml:space="preserve">PPIQ-T306</t>
  </si>
  <si>
    <t xml:space="preserve">Convert behavioural validation scripts into real tests; keep structural ones as gates</t>
  </si>
  <si>
    <t xml:space="preserve">important</t>
  </si>
  <si>
    <t xml:space="preserve">Validation → Test Migration</t>
  </si>
  <si>
    <t xml:space="preserve">Resolve the ~25 validation scripts (tools/validation/*, scripts/*.mjs, Frontend tools/*) into the test suite. The principle: a script that asserts BEHAVIOUR becomes a real test; a script that only checks file/structure stays a lightweight CI gate.
WORK (see the Test Register for the per-script decision): (1) TRANSFER-TO-TEST the behavioural validators — e.g. validate-v7-phase04-phase05-acceptance (→ the ML integration test in T303), validate-t208-exposure (→ a deploy/network test or scripted scan), validate-api-client-policy / validate-standard-imports / validate-forbidden-copy / validate-no-console-in-src (→ Vitest+ESLint rules already partly exist; make them assertions), validate-sql-script-hygiene (→ an integration test that applies all scripts under ON_ERROR_STOP=1 on a fresh DB and asserts BOM-free + clean apply). (2) KEEP-AS-GATE the pure structure/acceptance file-existence scripts, but point each at the real test it now corresponds to so they stop being the sole source of truth. (3) RETIRE superseded per-phase acceptance scripts whose intent is fully covered by a real test.</t>
  </si>
  <si>
    <t xml:space="preserve">1) Every behavioural validator has either become a real test or is explicitly retired with its replacement named (Test Register). 2) The ML, exposure, and SQL-hygiene checks now run as real tests, not source-text regex. 3) Remaining validators are pure structure gates and are documented as such. 4) CI references the tests, not the scripts, for behavioural truth.</t>
  </si>
  <si>
    <t xml:space="preserve">PPIQ-T307</t>
  </si>
  <si>
    <t xml:space="preserve">Make the suite the gate: deterministic, fast, and red-on-regression</t>
  </si>
  <si>
    <t xml:space="preserve">CI / Test Gating</t>
  </si>
  <si>
    <t xml:space="preserve">Turn the now-trustworthy suite into the enforcement mechanism for the rest of v9, so later phases cannot silently regress.
WORK: (1) Promote the reported stages from T300 to GATING — unit (both stacks) and the fast integration/e2e subset must pass for a green build; the heavy e2e/visual set runs nightly. (2) Stabilise flakiness: deterministic seeds, fixed Playwright waits (no arbitrary sleeps), Testcontainers lifecycle, and a quarantine lane for any genuinely flaky spec with an owner. (3) Set a coverage RATCHET (coverage may not drop below the T300 baseline; new critical modules require their own tests). (4) Document the contributor workflow: how to run, where tests live per layer, and the rule that a feature task is not Done until its tests are green.</t>
  </si>
  <si>
    <t xml:space="preserve">1) A failing unit/integration/fast-e2e test turns the build red and blocks merge. 2) The suite is deterministic across 3 consecutive CI runs (no flakes outside the quarantine lane). 3) Coverage cannot regress below the baseline (ratchet enforced). 4) The contributor testing workflow is documented and referenced from the UI-Standards onboarding.</t>
  </si>
  <si>
    <t xml:space="preserve">P01 — Stabilize: Build-Green, Auth &amp; Deploy Reliability    |    14 tasks    |    26 hrs
FOUNDATION — highest priority and demo-protection. The app must build in CI, migrate cleanly, start reliably, log in deterministically, and expose nothing it shouldn't. This phase bundles the build-green hotfixes with EVERY auth/deploy/network bug surfaced during the login &amp; deployment saga, so the whole reliability story lands together (not scattered across later phases). EXIT STATE (healthy): a green pipeline end-to-end; a fresh machine one-shots to a working admin login; the server has no public database port; and StartupConfigurationValidator blocks dev secrets under Production.</t>
  </si>
  <si>
    <t xml:space="preserve">PPIQ-T201</t>
  </si>
  <si>
    <t xml:space="preserve">Fix Jenkins npm build failure (Node unavailable, exit 127)</t>
  </si>
  <si>
    <t xml:space="preserve">P01</t>
  </si>
  <si>
    <t xml:space="preserve">CI / Build Agent</t>
  </si>
  <si>
    <t xml:space="preserve">ALREADY IN PLACE (30-May audit): Jenkinsfile runs UI gates inside node:20-alpine (npm ci + validate:phase5-phase6:strict); self-check check('PPIQ-T201',/node:20/).
This capability is implemented — the task here is to CONFIRM it, not rebuild it.
Reference scope / behaviour:
The pipeline still fails at stage '2b. Phase 5/6 UI quality gates' with 'npm: not found' (exit 127): npm ci runs directly on `agent any` with no Node runtime. Run the UI gates inside a Node container (docker run --rm -v "$PWD":/app -w /app node:20-alpine sh -c 'npm ci &amp;&amp; npm run validate:phase5-phase6:strict ...'), OR configure the Jenkins NodeJS tool ('node20') and wrap the stage in tools{ nodejs 'node20' }, OR install Node on the agent and ensure it is on the non-interactive PATH. Stages 3-5 must stop being skipped.</t>
  </si>
  <si>
    <t xml:space="preserve">Bug Fix</t>
  </si>
  <si>
    <t xml:space="preserve">Confirm (do NOT re-implement):
1) A full pipeline run reaches 'Build images' and 'Recreate containers' without the npm step failing. 2) `npm ci` and the validate/test:visual/test:a11y scripts run with a pinned Node 20. 3) A green build is produced end to end. 4) The fix is committed in the Jenkinsfile, not applied ad hoc on the agent.</t>
  </si>
  <si>
    <t xml:space="preserve">Done</t>
  </si>
  <si>
    <t xml:space="preserve">PPIQ-T202</t>
  </si>
  <si>
    <t xml:space="preserve">Reconcile migration 117 audit-table schema (still broken)</t>
  </si>
  <si>
    <t xml:space="preserve">Database</t>
  </si>
  <si>
    <t xml:space="preserve">Migration / Widget Audit</t>
  </si>
  <si>
    <t xml:space="preserve">ALREADY IN PLACE (30-May audit): Script 117 (mod 30-May 16:18) now DROP TABLE IF EXISTS dashboard_widget_expression_audit then CREATE with created_at_utc + canonical EF columns + 2 indexes + verification SELECT.
This capability is implemented — the task here is to CONFIRM it, not rebuild it.
Reference scope / behaviour:
Script 117 still uses CREATE TABLE IF NOT EXISTS for dashboard_widget_expression_audit with created_at_utc, but 113 already created that table with executed_at_utc — so IF NOT EXISTS is a no-op, created_at_utc never lands, and the index on it fails (silently, under ON_ERROR_STOP=0). The audit layer is on the stale schema. Replace 117's body with DROP TABLE IF EXISTS dashboard_widget_expression_audit; then CREATE TABLE with the EF-entity schema (id, dashboard_widget_definition_id, expression_version smallint, validation_status smallint, validation_message, query_expression, advanced_expression_json jsonb, created_at_utc) + the index. Make 113 and 117 not both CREATE the same table (113 becomes guard-only or canonical). Apply on the Hetzner staging clone.</t>
  </si>
  <si>
    <t xml:space="preserve">Confirm (do NOT re-implement):
1) Fresh Postgres 17 + ordered scripts apply with zero errors and the audit table has created_at_utc. 2) Re-apply on the staging clone is clean. 3) EF reads/writes against the audit table succeed (smallint enum + created_at_utc). 4) Exactly one migration CREATEs the table.</t>
  </si>
  <si>
    <t xml:space="preserve">PPIQ-T203</t>
  </si>
  <si>
    <t xml:space="preserve">Switch SQL migration runner to ON_ERROR_STOP=1</t>
  </si>
  <si>
    <t xml:space="preserve">CI / Migration Safety</t>
  </si>
  <si>
    <t xml:space="preserve">ALREADY IN PLACE (30-May audit): Jenkins 'Apply SQL scripts' stage uses psql -v ON_ERROR_STOP=1; self-check check('PPIQ-T203',/ON_ERROR_STOP=1/). PS verify scripts also use it.
This capability is implemented — the task here is to CONFIRM it, not rebuild it.
Reference scope / behaviour:
The Jenkins 'Apply SQL scripts' stage runs psql with ON_ERROR_STOP=0, so a rolled-back migration (e.g. 117) reports success and the deploy proceeds onto a half-migrated schema. After T202 is fixed, change the runner to ON_ERROR_STOP=1 so any failing migration fails the build loudly. Audit the existing scripts first to ensure none rely on the permissive mode.</t>
  </si>
  <si>
    <t xml:space="preserve">Confirm (do NOT re-implement):
1) Runner uses ON_ERROR_STOP=1. 2) A deliberately broken script in a scratch branch turns the build red at the migration stage. 3) The full ordered script set still applies clean on a fresh DB and on staging. 4) No script depends on error-swallowing.</t>
  </si>
  <si>
    <t xml:space="preserve">PPIQ-T288</t>
  </si>
  <si>
    <t xml:space="preserve">Investigate the SQL syntax error seen during script application</t>
  </si>
  <si>
    <t xml:space="preserve">normal</t>
  </si>
  <si>
    <t xml:space="preserve">Migration / Script Hygiene</t>
  </si>
  <si>
    <t xml:space="preserve">STARTING POINT (31-May audit — already built): 202_/203_ ML compute hotfix scripts added (the earlier compute stub/syntax issues addressed); BOM guard intent present.
WHAT REMAINS — the actual work of this task: Confirm the full ordered script set applies clean under ON_ERROR_STOP=1 on fresh + staging; add the CI BOM guard if not yet enforced.
FULL REFERENCE SPEC:
A SQL syntax error was observed during one script-application run (flagged in the prior deploy session, separate from the 117 audit-table fix). Locate the offending statement, fix it, and ensure the full ordered script set applies cleanly under ON_ERROR_STOP=1 on a fresh DB and on the staging clone. Add the BOM-guard so re-introduced BOMs (recurred 3x) can't silently break a script again.</t>
  </si>
  <si>
    <t xml:space="preserve">1) The specific syntax error is identified and fixed. 2) Full ordered scripts apply with zero errors on fresh + staging under ON_ERROR_STOP=1. 3) BOM guard in CI rejects any script with a UTF-8 BOM. 4) The previously BOM-stripped files (116 sql, vite.config.ts) are committed.</t>
  </si>
  <si>
    <t xml:space="preserve">Partial</t>
  </si>
  <si>
    <t xml:space="preserve">PPIQ-T205</t>
  </si>
  <si>
    <t xml:space="preserve">Verify standard-import ESLint block is an enforced Jenkins gate</t>
  </si>
  <si>
    <t xml:space="preserve">CI / Quality Gate</t>
  </si>
  <si>
    <t xml:space="preserve">ALREADY IN PLACE (30-May audit): validate-forbidden-copy + non-standard-import sweeps wired in Jenkins stage 2c; self-check asserts forbidden-phrase guard and Standard* enforcement; eslint config contains the rule.
This capability is implemented — the task here is to CONFIRM it, not rebuild it.
Reference scope / behaviour:
Closes the residual of v4 PPIQ-T106. The forbidden-phrase sweep and auth-matrix are referenced in Jenkins stage 2c, but confirm the non-standard-import rule (no native &lt;button&gt;/&lt;input&gt;/&lt;select&gt;/&lt;table&gt;/&lt;textarea&gt; in src/pages|features; no import from src/hardening/*) actually fails the build, not just warns. Wire pnpm/npm lint as a failing stage with a clear offender list and canonical-replacement hint; add the pre-commit hook.</t>
  </si>
  <si>
    <t xml:space="preserve">Confirm (do NOT re-implement):
1) A native &lt;button&gt; in src/pages/* fails the build naming the file + replacement. 2) An import from src/hardening/* fails lint. 3) Stage runs on every push. 4) Pre-commit blocks locally.</t>
  </si>
  <si>
    <t xml:space="preserve">PPIQ-T282</t>
  </si>
  <si>
    <t xml:space="preserve">Auth config-section prefix + bootstrap-collision: lock in &amp; guard</t>
  </si>
  <si>
    <t xml:space="preserve">Auth / Configuration</t>
  </si>
  <si>
    <t xml:space="preserve">ALREADY IN PLACE (31-May audit): StartupConfigurationValidator.cs (435L) validates PlantProcess:Auth binding, REJECTS legacy Auth:* keys with a fix hint, checks SigningKey&gt;=32, Issuer/Audience, and bootstrap config.
This capability is implemented — CONFIRM it, do not rebuild.
Reference scope / behaviour:
WORK: add a startup self-check (no secret leakage) that logs once: the section it bound from, the resolved Users count, whether SigningKey is present and &gt;=32 chars, and whether any Users[].Password equals BootstrapAdminPassword (WARN loudly if so). This converts the two silent failure modes into a loud, one-line startup signal.</t>
  </si>
  <si>
    <t xml:space="preserve">Confirm (do NOT re-implement): Confirm the startup self-check log line and the bootstrap-collision warning fire on a real boot.</t>
  </si>
  <si>
    <t xml:space="preserve">PPIQ-T280</t>
  </si>
  <si>
    <t xml:space="preserve">Frontend auth-failure retry storm: add backoff + attempt cap</t>
  </si>
  <si>
    <t xml:space="preserve">Auth / AuthContext</t>
  </si>
  <si>
    <t xml:space="preserve">ALREADY IN PLACE (31-May audit): apiClient: AUTH_RETRY_BACKOFF_MS=[0,500,1500], maxAttempts cap, retryable-only; comment '// PPIQ-T280: auth-failure retry storm capped with backoff'.
This capability is implemented — CONFIRM it, do not rebuild.
Reference scope / behaviour:
AuthContext.tsx auto-logs-in on mount with VITE_SMOKE_* and registers a window 'plantprocess:auth-failure' listener that calls bootstrap() again. apiClient.dispatchAuthFailure fires that event on EVERY non-2xx. When the auto-login itself returns 401/403, the listener re-triggers the failing login, producing an unbounded POST /auth/login storm (observed: thousands of identical requests flooding the API log) and a stuck 'Backend connection failed' screen. Add an attempt cap + exponential backoff, and do NOT let a failure of the bootstrap login itself re-dispatch auth-failure (guard against self-retrigger).</t>
  </si>
  <si>
    <t xml:space="preserve">Confirm (do NOT re-implement): Confirm a failing auto-login produces &lt;=3 attempts then stops (no /auth/login storm) via test.</t>
  </si>
  <si>
    <t xml:space="preserve">PPIQ-T281</t>
  </si>
  <si>
    <t xml:space="preserve">Frontend mislabels all non-2xx + network errors as 'Backend connection failed'</t>
  </si>
  <si>
    <t xml:space="preserve">Auth / Error Surfacing</t>
  </si>
  <si>
    <t xml:space="preserve">STARTING POINT (31-May audit — already built): apiClient maps 401/403 to a typed auth-failure event distinct from network; status carried through. Full per-status user-facing copy not fully confirmed.
WHAT REMAINS — the actual work of this task: Confirm 401 vs 403 vs 500 vs network each render a DISTINCT message in the login/bootstrap UI.
FULL REFERENCE SPEC:
The login/bootstrap path renders one generic 'Cannot reach the backend API' screen for 401 (wrong creds), 403 (bootstrap blocked), 500 (server/config) and true network failures alike. During the login saga this hid the real cause for hours: backend returned 401/403/500 in sequence and the UI showed the identical red screen each time. Surface the real status: 401 -&gt; invalid credentials, 403 -&gt; bootstrap admin disabled / use a real admin, 500 -&gt; show Problem detail, network/abort (status 0) -&gt; unreachable. This is the founder's Vision §2 'never show a fake failure' rule applied to auth.</t>
  </si>
  <si>
    <t xml:space="preserve">1) 401 shows an invalid-credentials message distinct from a network-unreachable message. 2) 403 shows the bootstrap-disabled explanation. 3) 500 surfaces the backend Problem detail. 4) Only a true fetch/abort error shows 'cannot reach backend'. 5) Covered by tests mapping status-&gt;message.</t>
  </si>
  <si>
    <t xml:space="preserve">PPIQ-T285</t>
  </si>
  <si>
    <t xml:space="preserve">Frontend VITE_SMOKE_PASSWORD must equal backend admin password (env contract)</t>
  </si>
  <si>
    <t xml:space="preserve">Auth / Env Contract</t>
  </si>
  <si>
    <t xml:space="preserve">ALREADY IN PLACE (31-May audit): Auth-matrix + smoke use PPIQ_SMOKE_PASSWORD/PPIQ_ADMIN_PASSWORD env contract; .env docs updated; CI passes creds through.
This capability is implemented — CONFIRM it, do not rebuild.
Reference scope / behaviour:
Because the app auto-logs-in as admin using VITE_SMOKE_PASSWORD (.env.local, highest Vite precedence), a mismatch between that value and the backend Users[0] admin password causes a permanent 401 + the connection-failed screen even when the backend is correct. Add a documented env contract and a dev-time guard: a tiny check (script or startup console.warn) that flags when the configured smoke password is the literal placeholder/empty, and document that .env.local VITE_SMOKE_PASSWORD must match the backend admin password. Longer term (post-demo) replace silent auto-login with an explicit login form fallback when bootstrap fails.</t>
  </si>
  <si>
    <t xml:space="preserve">Confirm (do NOT re-implement): Confirm the dev-time guard warns on empty/placeholder VITE_SMOKE_PASSWORD; optional manual-login fallback on bootstrap 401.</t>
  </si>
  <si>
    <t xml:space="preserve">PPIQ-T283</t>
  </si>
  <si>
    <t xml:space="preserve">SQL apply NOTICE-abort bug in dev-bootstrap.ps1 (idempotent re-run fails)</t>
  </si>
  <si>
    <t xml:space="preserve">Dev Bootstrap / Migration</t>
  </si>
  <si>
    <t xml:space="preserve">ALREADY IN PLACE (31-May audit): tools/phase23/fix-legacy-auth-config-files.cjs migrates stale Auth:* config; StartupConfigurationValidator blocks the legacy keys going forward.
This capability is implemented — CONFIRM it, do not rebuild.
Reference scope / behaviour:
dev-bootstrap.ps1 Invoke-PsqlFile runs psql with 2&gt;&amp;1 while $ErrorActionPreference='Stop', so a benign psql NOTICE (e.g. 'relation already exists, skipping' from idempotent script 050) is treated as a terminating error and aborts the whole bootstrap on a second run. Fix: set local client_min_messages=warning for the psql invocation and use a local $ErrorActionPreference='Continue' (or -StopOnSqlError opt-in) so NOTICEs don't abort. Also correct the script's user-secrets paths to the PlantProcess:Auth prefix (incl. SigningKey) so a fresh machine truly one-shots login.</t>
  </si>
  <si>
    <t xml:space="preserve">Confirm (do NOT re-implement): Confirm dev-bootstrap.ps1 idempotent re-run (no NOTICE-abort) end-to-end on a clean machine.</t>
  </si>
  <si>
    <t xml:space="preserve">PPIQ-T284</t>
  </si>
  <si>
    <t xml:space="preserve">Kill-by-PORT not by process name in dev/runbook scripts</t>
  </si>
  <si>
    <t xml:space="preserve">Dev Tooling / Runbook</t>
  </si>
  <si>
    <t xml:space="preserve">ALREADY IN PLACE (31-May audit): tools/dev/Stop-PPIQ-Port.ps1 + Show-PPIQ-PortOwner.ps1 free :5063/:5173 by OwningProcess (Get-NetTCPConnection) and report the new listener.
This capability is implemented — CONFIRM it, do not rebuild.
Reference scope / behaviour:
Stop/relaunch scripts filtered Get-CimInstance for Name='dotnet.exe' matching PlantProcess.Api. But 'dotnet run' builds an apphost and the process actually listening on :5063 is PlantProcess.Api.exe (a child), so the filter never killed the real listener — every config change 'didn't take' because a stale server kept answering on the port. Standardize all dev/runbook scripts to free the port by OwningProcess (Get-NetTCPConnection -LocalPort) and verify the new listener's StartTime, so a restart provably replaces the process.</t>
  </si>
  <si>
    <t xml:space="preserve">Confirm (do NOT re-implement): Confirm both scripts print the fresh PID+StartTime after a restart.</t>
  </si>
  <si>
    <t xml:space="preserve">PPIQ-T286</t>
  </si>
  <si>
    <t xml:space="preserve">Verify PostgreSQL public port is closed on the live server (deploy regression)</t>
  </si>
  <si>
    <t xml:space="preserve">Deployment / Network</t>
  </si>
  <si>
    <t xml:space="preserve">ALREADY IN PLACE (31-May audit): Infrastructure/deploy/verify-server-exposure.sh + rotate-postgres-password.sh exist; compose keeps Postgres off 0.0.0.0; README documents nmap proof.
This capability is implemented — CONFIRM it, do not rebuild.
Reference scope / behaviour:
During deployment the server's PostgreSQL port was publicly exposed (the DB container published 5432 to the host/internet). Confirm the live Hetzner stack binds Postgres to the internal Docker network only (no host port publish, or bound to 127.0.0.1), rotate the DB password if it was exposed, and capture an external scan proving 5432 is not reachable from the internet. Distinct from T208 (loopback audit of ALL services) — this is the specific, already-observed Postgres exposure.</t>
  </si>
  <si>
    <t xml:space="preserve">Confirm (do NOT re-implement): Run verify-server-exposure.sh against the live host and attach the scan output.</t>
  </si>
  <si>
    <t xml:space="preserve">PPIQ-T287</t>
  </si>
  <si>
    <t xml:space="preserve">Replace bootstrap admin with a real seeded admin before any pilot</t>
  </si>
  <si>
    <t xml:space="preserve">Auth / Bootstrap Lifecycle</t>
  </si>
  <si>
    <t xml:space="preserve">ALREADY IN PLACE (31-May audit): StartupConfigurationValidator requires a disabled bootstrap sentinel ('__DISABLED__' / 'DISABLED-*') under Production and fails fast otherwise; validation check asserts it.
This capability is implemented — CONFIRM it, do not rebuild.
Reference scope / behaviour:
The bootstrap admin is a dev/first-run convenience that is auto-disabled once a real admin exists. Before any pilot/prod cutover, ensure there is a real configured admin (non-bootstrap) with a strong unique password, the bootstrap password is set to a disabled sentinel, and StartupConfigurationValidator rejects dev/default keys+password in Production. Capture this as a one-time prod-readiness step in the runbook.</t>
  </si>
  <si>
    <t xml:space="preserve">Confirm (do NOT re-implement): Confirm a real non-bootstrap admin is seeded in the prod config before cutover.</t>
  </si>
  <si>
    <t xml:space="preserve">PPIQ-T208</t>
  </si>
  <si>
    <t xml:space="preserve">Finish loopback-binding audit for all infra services + external scan proof</t>
  </si>
  <si>
    <t xml:space="preserve">Docker Compose / Network Exposure</t>
  </si>
  <si>
    <t xml:space="preserve">ALREADY IN PLACE (31-May audit): tools/validation/validate-t208-exposure.cjs + Infrastructure/deploy/README.md documents 'nmap -Pn 178.105.152.180' loopback proof; demo compose internal-only.
This capability is implemented — CONFIRM it, do not rebuild.
Reference scope / behaviour:
Closes residual of v4 PPIQ-T105 (only Postgres proven on 127.0.0.1). Audit redis, seq, jaeger, grafana, prometheus, jenkins, workers in docker-compose.demo.yml; bind each published port to 127.0.0.1 unless intentionally public (Caddy 80/443; Jenkins :9090 behind basicauth). Prove with an external nmap and document each decision in Infrastructure/deploy/README.md.</t>
  </si>
  <si>
    <t xml:space="preserve">Confirm (do NOT re-implement): Attach the actual external scan result; confirm only 80/443 reachable.</t>
  </si>
  <si>
    <t xml:space="preserve">P02 — Data Lifecycle: Sources, Ingestion, Mapping &amp; Genealogy    |    8 tasks    |    41 hrs
The generic data-in backbone AND the substrate the whole demo runs on. Stand up the eight realistic source systems, split the coherent dataset across them, harden the mapping resolver/joins, build the heat-&gt;ladle-&gt;tundish-&gt;strand-&gt;slab-&gt;coil genealogy spine via the mapping engine (no hardcoding), then verify every connector against the live sources and make delta-import resumable. EXIT STATE (healthy): from the HMI you can connect to and import from all eight sources, map them into the generic schema, and resolve any coil back to its melt/cast conditions and forward to its defects/QA.</t>
  </si>
  <si>
    <t xml:space="preserve">PPIQ-T245</t>
  </si>
  <si>
    <t xml:space="preserve">docker-compose.demo-sources.yml — eight source systems (loopback-bound)</t>
  </si>
  <si>
    <t xml:space="preserve">P02</t>
  </si>
  <si>
    <t xml:space="preserve">Track 3 — Demo</t>
  </si>
  <si>
    <t xml:space="preserve">Demo Sources / Compose</t>
  </si>
  <si>
    <t xml:space="preserve">ALREADY IN PLACE (31-May audit): docker-compose.demo-sources.yml (151L): meltshop-postgres, caster-oracle, hsm-oracle, pkl-mssql, downtime-mysql, parsytec-mysql + per-source init SQL under Infrastructure/demo-sources/*.
This capability is implemented — CONFIRM it, do not rebuild.
Reference scope / behaviour:
Author docker-compose.demo-sources.yml standing up the eight source systems from the Vision: Postgres MeltShop (EAF/LF), Oracle Caster, Oracle HSM, MSSQL PKL, Excel Yard, MySQL Downtime, MySQL Parsytec surface-inspection, and Excel QA. Every service is bound to loopback / the internal Docker network only (consistent with the network-hardening in P01) and seeded with realistic schemas matching the Vision's table descriptions so the app must connect to genuinely heterogeneous sources.</t>
  </si>
  <si>
    <t xml:space="preserve">Confirm (do NOT re-implement): Confirm all services come up healthy and none publish to 0.0.0.0; add the remaining Excel (Yard/QA) sources or document them as file drops.</t>
  </si>
  <si>
    <t xml:space="preserve">PPIQ-T246</t>
  </si>
  <si>
    <t xml:space="preserve">Split the existing coherent dataset across the eight source systems</t>
  </si>
  <si>
    <t xml:space="preserve">Demo Sources / Seed Distribution</t>
  </si>
  <si>
    <t xml:space="preserve">STARTING POINT (31-May audit — already built): Per-source init/001_schema_seed.sql under Infrastructure/demo-sources/* + synthetic_inspection_source_insert.sql (6601L) splitting inspection data into the source shape.
WHAT REMAINS — the actual work of this task: Finish splitting ALL of the coherent dataset across the 8 sources so it must be re-joined via the mapping engine; verify row coherence across sources.
FULL REFERENCE SPEC:
The single-DB seed already produces vision-scale volumes (630 heats, 5,670 slabs/coils, ~40k HSM measurements, ~17k QA results, ~210 downtime events — 100k+ rows). The remaining work is distributing this SAME coherent, genealogy-linked data across the eight separate source containers (per their native structures) so the demo is configured LIVE from the HMI per the Track-3 golden rule. Preserve end-to-end genealogy across systems.</t>
  </si>
  <si>
    <t xml:space="preserve">1) Each source container is seeded with its slice in its native structure. 2) Material ADV_COIL4002 traces end-to-end across every system incl. a downtime and a QA sample. 3) Re-seeding is idempotent. 4) Total volume preserved (100k+ rows).</t>
  </si>
  <si>
    <t xml:space="preserve">PPIQ-T261</t>
  </si>
  <si>
    <t xml:space="preserve">Seed canonical demo plant layout (flat-steel)</t>
  </si>
  <si>
    <t xml:space="preserve">Demo Lifecycle / Canonical Layout</t>
  </si>
  <si>
    <t xml:space="preserve">STARTING POINT (30-May audit — already built): 112_golden_demo_data (23MB) + 110/111 demo shapes/views encode a flat-steel layout.
WHAT REMAINS — the actual work of this task: Seed/confirm the canonical flat-steel demo plant layout (EAF/LF/CC/TF/HSM/...) matches the dataset and is presentable.
FULL REFERENCE SPEC:
Seed the canonical layout (EAF/LF/CC/TF/HSM/SKP/LCT/HCT/STL/PKL/GVL/Yard/Roll Shop) with realistic genealogy and per-area equipment/counters, applied via the demo reset job. Document at docs/demo/canonical-layout.md.</t>
  </si>
  <si>
    <t xml:space="preserve">1) Layout after reset matches the documented canonical plant. 2) Genealogy intact across areas. 3) Process history/quality/risk realistic per material. 4) Re-applies cleanly via reset.</t>
  </si>
  <si>
    <t xml:space="preserve">PPIQ-T206</t>
  </si>
  <si>
    <t xml:space="preserve">Confirm SchemaViewResolver typed errors + join SafeSqlValidator</t>
  </si>
  <si>
    <t xml:space="preserve">Track 1 — Workflow</t>
  </si>
  <si>
    <t xml:space="preserve">Schema Mapping / Validation Hardening</t>
  </si>
  <si>
    <t xml:space="preserve">ALREADY IN PLACE (30-May audit): SchemaConfigurationEndpoints.cs (423L) + SchemaConfigurationService.cs (380L) + GenericSchemaMappingEndpoints; SchemaConfigurationSafetyEndpointTests.cs (78L) cover SafeSqlValidator on generated SQL.
This capability is implemented — the task here is to CONFIRM it, not rebuild it.
Reference scope / behaviour:
Closes residual rigor on v4 PPIQ-T108/T110 (capability shipped in GenericSchemaMappingEndpoints.cs but specific guarantees unconfirmed). Ensure /resolve returns distinct, testable errors — NoSuchView, NoSuchColumn, InvalidAggregateForType — not a generic failure, and that /joins/preview and /joins/materialize run SafeSqlValidator on the generated join SQL (blocking DDL/cross-tenant injection) and reject type-mismatched key pairs with a clear message. Add unit/integration tests for each path.</t>
  </si>
  <si>
    <t xml:space="preserve">Confirm (do NOT re-implement):
1) Resolver returns the three named error types on bad view/column/aggregate. 2) Malicious join SQL is blocked at preview and materialize. 3) Type-mismatched key pair rejected with a clear error. 4) Tests cover each case and run in CI.</t>
  </si>
  <si>
    <t xml:space="preserve">PPIQ-T294</t>
  </si>
  <si>
    <t xml:space="preserve">Material genealogy join spine (heat-&gt;ladle-&gt;tundish-&gt;strand-&gt;slab-&gt;coil) as a canonical view</t>
  </si>
  <si>
    <t xml:space="preserve">Schema Mapping / Genealogy</t>
  </si>
  <si>
    <t xml:space="preserve">STARTING POINT (31-May audit — already built): 201_ feature-store completion SQL includes genealogy_json; feature store keys to heat/material grain.
WHAT REMAINS — the actual work of this task: Build the explicit canonical genealogy VIEW (heat-&gt;ladle-&gt;tundish-&gt;strand-&gt;slab-&gt;coil-&gt;defect-&gt;QA) via the mapping engine over the 8 split sources; test known lineages.
FULL REFERENCE SPEC:
Using the schema-mapping engine (NOT hardcoded SQL), produce a canonical genealogy view that threads the plant's identity chain across sources: HeatID (MeltShop, Postgres) -&gt; Ladle/Tundish/Mould/Sequence/Strand/Slab (Caster, Oracle) -&gt; coil (HSM, Oracle) -&gt; surface defects (Parsytec, MySQL) -&gt; QA samples (Excel). This is the spine the feature store (T209), inspection jobs (T220-T222), the assistant's genealogy tool (T232), and 'investigate this coil' all consume to walk a coil backward to its casting + melt conditions and forward to its defects/QA.</t>
  </si>
  <si>
    <t xml:space="preserve">1) Given any coil, the view resolves its slab, strand, sequence, tundish, ladle, and heat, and forward to its defects and QA samples. 2) It is produced via the mapping engine over the eight SPLIT demo sources, not a single pre-joined table. 3) The feature store and at least one inspection job consume it successfully. 4) Known demo lineages (hand-verified) resolve correctly end-to-end; orphan/edge cases return cleanly, not as errors.</t>
  </si>
  <si>
    <t xml:space="preserve">PPIQ-T247</t>
  </si>
  <si>
    <t xml:space="preserve">Connector smoke tests vs all six live DB sources + CSV/Excel golden files</t>
  </si>
  <si>
    <t xml:space="preserve">Connectors / Smoke Tests</t>
  </si>
  <si>
    <t xml:space="preserve">STARTING POINT (31-May audit — already built): CsvConnectorSmokeTests + ExcelConnectorSmokeTests + ConnectorTruthContractTests; all 6 connectors built; demo-source containers now available to test against.
WHAT REMAINS — the actual work of this task: Add live smoke tests vs the new MySQL/Oracle/MSSQL demo-source containers + CSV/Excel golden files; make it a gate.
FULL REFERENCE SPEC:
Author/extend smoke tests for PostgreSqlConnector, OracleConnector (×2), MsSqlConnector, MySqlConnector (×2), plus CSV/Excel, against the live demo-sources containers: ListTables, DescribeTable, SamplePage(100), FullSync, vs checked-in golden snapshots. Opt-in via PPIQ_RUN_CONNECTOR_INTEGRATION=1; wired to the post-deploy gate. Oracle gets a 90s warm-up.</t>
  </si>
  <si>
    <t xml:space="preserve">1) Each connector passes against its seeded source. 2) Each detects drift if seed data is altered. 3) Oracle warm-up handled. 4) All wired to Jenkins post-deploy and logged.</t>
  </si>
  <si>
    <t xml:space="preserve">PPIQ-T207</t>
  </si>
  <si>
    <t xml:space="preserve">Add delta-import integration + resumability tests (T118 was unstarted)</t>
  </si>
  <si>
    <t xml:space="preserve">Import / Test Coverage</t>
  </si>
  <si>
    <t xml:space="preserve">STARTING POINT (31-May audit — already built): DeltaImportResumabilityTests expanded (MaxRowsSmallBatch, Stage1Stage2AndFullCycle, RejectsAnonymousAccess per the v6 completion check).
WHAT REMAINS — the actual work of this task: Confirm crash-mid-batch resume + duplicate suppression + schema-drift detection are all asserted and the suite is a CI gate &lt;60s.
FULL REFERENCE SPEC:
Closes v4 PPIQ-T118, which had no implementation. The two-stage pipeline (source_table_dump_registry, two_stage_import_runs, two_stage_processed_watermarks; stage1/stage2/run-full-cycle endpoints) ships without tests. Author integration tests against seeded sources: cold full-load, incremental delta (only new rows beyond last_index), mid-run crash + resume (no duplicates), schema drift detection, idempotency. Opt-in via PPIQ_RUN_CONNECTOR_INTEGRATION=1; wire to the post-deploy gate.</t>
  </si>
  <si>
    <t xml:space="preserve">1) Cold load then incremental delta imports only new rows. 2) Simulated crash resumes from last_index with no duplicates. 3) Source schema drift is detected and surfaced. 4) Suite &lt; 60s, wired to Jenkins.</t>
  </si>
  <si>
    <t xml:space="preserve">PPIQ-T290</t>
  </si>
  <si>
    <t xml:space="preserve">Demo-source connection presets so DB-link config is one-click in the demo</t>
  </si>
  <si>
    <t xml:space="preserve">Demo / DB Link UX</t>
  </si>
  <si>
    <t xml:space="preserve">[NEW — discovered during the v6 implementation/debugging audit; not present in the 30-May snapshot]
To run the live config demo smoothly (Vision Track 3), provide saved connection presets for the eight demo source systems (host=compose service name, port, db, read-only creds) that the presenter can select in the DB Link Configuration tab instead of typing under pressure. Presets are demo-data only, clearly labeled, and never auto-connect (the presenter still clicks through to prove the flow).</t>
  </si>
  <si>
    <t xml:space="preserve">1) The DB Link tab offers the 8 demo presets. 2) Selecting one fills the form; the presenter still clicks Test + Save (no hardcoded data path). 3) Presets use internal service-name hosts. 4) Presets are absent/disabled outside demo mode.</t>
  </si>
  <si>
    <t xml:space="preserve">P03 — Page Builder &amp; Widget Platform    |    7 tasks    |    41 hrs
Vision section 2.1-2.2 core workflow and a Track-3 Golden-Rule prerequisite (pages must be USER-CREATED, never coded). Introduce a generic PageDefinition model, page CRUD + dynamic /pages/{slug} render, page persistence/ownership/sharing, the drag-drop widget canvas + library, then confirm and document the widget data-link + script layer that already exists. EXIT STATE (healthy): a user creates, lays out, data-binds, saves, reloads, and shares a custom page entirely from the HMI; nothing is hardcoded.</t>
  </si>
  <si>
    <t xml:space="preserve">PPIQ-T289</t>
  </si>
  <si>
    <t xml:space="preserve">Generic Page-Definition model so pages are user-created from the HMI (not code)</t>
  </si>
  <si>
    <t xml:space="preserve">P03</t>
  </si>
  <si>
    <t xml:space="preserve">Page Builder / Persistence</t>
  </si>
  <si>
    <t xml:space="preserve">STARTING POINT (31-May audit — already built): pageBuilder.api.ts (32L) + PageBuilderPage.tsx (199L) + page-builder.css; a PageBuilder surface now exists frontend-side.
WHAT REMAINS — the actual work of this task: Confirm a backend PageDefinition aggregate (slug/title/owner/layout JSON/sharing) persists pages in PG and /pages/{slug} renders them generically — the durable model behind the UI.
FULL REFERENCE SPEC:
Introduce a PageDefinition aggregate persisted in Postgres: id, slug (unique, URL-safe), title, owner, a layout JSON describing widget placements (grid position/size + the DashboardWidgetDefinition each cell renders), visibility/sharing, and audit columns. Expose Page CRUD endpoints and render any page generically at /pages/{slug} by reading the stored layout and hydrating each widget through the existing widget pipeline (DashboardWidgetDefinition + the widget script layer, T242). This is the prerequisite for the page-builder UX (T240/T241/T243): the canvas edits a PageDefinition; it must never emit code.</t>
  </si>
  <si>
    <t xml:space="preserve">1) A page can be created, renamed, re-laid-out, and deleted entirely via the API/HMI and survives an app restart (persisted in PG). 2) GET /pages/{slug} renders the stored layout generically — no page content is hardcoded in React for user pages. 3) Widget cells in a stored layout hydrate through the existing DashboardWidgetDefinition + script-layer path. 4) Round-trips on the demo dataset: build a page of 3+ data-bound widgets, reload, and it is identical. 5) Slugs are unique and URL-safe; invalid layouts are rejected with a clear error.</t>
  </si>
  <si>
    <t xml:space="preserve">PPIQ-T240</t>
  </si>
  <si>
    <t xml:space="preserve">Page CRUD + /pages/{slug} dynamic load</t>
  </si>
  <si>
    <t xml:space="preserve">Page Builder / Page CRUD</t>
  </si>
  <si>
    <t xml:space="preserve">STARTING POINT (31-May audit — already built): pageBuilder API client + PageBuilderPage present; page CRUD surface emerging.
WHAT REMAINS — the actual work of this task: Confirm create/rename/delete + /pages/{slug} dynamic load round-trip and persist across restart.
FULL REFERENCE SPEC:
Vision §2.1.1/2.1.3: create/edit/delete/save user pages, persisted per-user, and a dynamic /pages/{slug} route loading a stored page definition (backend /api/pages/{slug}, 404 on missing). This is the page model the ML page generator (P04) emits into. Standard* primitives.</t>
  </si>
  <si>
    <t xml:space="preserve">1) Create, rename, save, delete a page; reload restores it. 2) /pages/{slug} loads a stored page; missing slug 404s. 3) Pages are per-user/owner scoped. 4) The ML-generated page round-trips through the same model.</t>
  </si>
  <si>
    <t xml:space="preserve">PPIQ-T243</t>
  </si>
  <si>
    <t xml:space="preserve">Page persistence, ownership &amp; sharing (backend)</t>
  </si>
  <si>
    <t xml:space="preserve">STARTING POINT (30-May audit — already built): DashboardWidgetDefinition persistence exists; no Page entity ownership/sharing.
WHAT REMAINS — the actual work of this task: Add Page persistence + ownership + sharing (backend) to support T240.
FULL REFERENCE SPEC:
Backend page store (page, owner, layout json, widget bindings, version), endpoints for CRUD + list-by-owner, optional share/visibility. Tenant-scoped. Used by P04 generated pages and P08 builder.</t>
  </si>
  <si>
    <t xml:space="preserve">1) Pages persist with layout + bindings + version. 2) List-by-owner returns the user's pages. 3) Tenant isolation enforced. 4) Round-trip preserves layout and bindings.</t>
  </si>
  <si>
    <t xml:space="preserve">PPIQ-T241</t>
  </si>
  <si>
    <t xml:space="preserve">Drag-drop widget canvas + widget library</t>
  </si>
  <si>
    <t xml:space="preserve">Page Builder / Canvas &amp; Library</t>
  </si>
  <si>
    <t xml:space="preserve">STARTING POINT (31-May audit — already built): DragGhost.tsx/.css + utils/dragPerformance.ts (79L) + PageBuilderPage establish a drag-drop canvas foundation.
WHAT REMAINS — the actual work of this task: Finish the widget LIBRARY + drag/drop/resize onto the canvas writing into the PageDefinition layout; e2e drag correctness (T244).
FULL REFERENCE SPEC:
Vision §2.1.2: a library of all widgets (every chart type, KPI, and the filtering tools — date-time picker, list-of-values). Drag-drop onto the page, arrange, Save; editing can add/remove/rearrange. Drag/resize/min/max correct (Vision §2.5). Reuse WidgetBuilderWizard for per-widget config.</t>
  </si>
  <si>
    <t xml:space="preserve">1) Drag a widget from the library to the canvas, arrange, save; reload preserves layout. 2) Resize/min/max/move behave correctly with no overlap glitches. 3) Date-time and list filters available as widgets. 4) Standard* primitives; visual regression baseline captured.</t>
  </si>
  <si>
    <t xml:space="preserve">PPIQ-T242</t>
  </si>
  <si>
    <t xml:space="preserve">Widget edit: link to DB values + script layer in the builder</t>
  </si>
  <si>
    <t xml:space="preserve">Page Builder / Widget Config</t>
  </si>
  <si>
    <t xml:space="preserve">ALREADY IN PLACE (30-May audit): WidgetScriptStep.tsx (174L) + WidgetQueryExpressionService.cs (418L) + WidgetQueryExpressionDtos + DashboardWidgetDefinition expression columns (117 SQL) + WidgetQueryExpressionServiceTests.
This capability is implemented — the task here is to CONFIRM it, not rebuild it.
Reference scope / behaviour:
Vision §2.2.1–2.2.3: the selected widget has Edit to link it to a list of values from the canonical schema and add a script-layer expression (e.g. bar chart grouped by shift). Wire the existing widget compiler (WidgetQueryExpressionService + WidgetScriptStep) into the live builder, with schema-aware autocomplete from the canonical catalog and SafeSqlValidator on save + execute.</t>
  </si>
  <si>
    <t xml:space="preserve">Confirm (do NOT re-implement):
1) Editing a widget links it to a canonical view's columns and a script expression. 2) Autocomplete suggests views/columns contextually. 3) Save is gated on a valid, safe expression. 4) Execution honors the second-pass SafeSqlValidator.</t>
  </si>
  <si>
    <t xml:space="preserve">PPIQ-T244</t>
  </si>
  <si>
    <t xml:space="preserve">Page builder e2e + drag/resize correctness tests</t>
  </si>
  <si>
    <t xml:space="preserve">Page Builder / Test Coverage</t>
  </si>
  <si>
    <t xml:space="preserve">BUILD FROM SCRATCH (30-May audit: No page-builder drag/resize e2e tests.).
SPECIFICATION:
Playwright e2e: create page =&gt; drag two widgets =&gt; configure one with a script expression =&gt; resize/move =&gt; save =&gt; reload renders identically. Assert no layout drift and no forbidden phrase.</t>
  </si>
  <si>
    <t xml:space="preserve">1) The build-save-reload flow renders identically (snapshot). 2) Resize/move persist exactly. 3) Forbidden-phrase assertion passes. 4) Wired to the PR gate.</t>
  </si>
  <si>
    <t xml:space="preserve">PPIQ-T278</t>
  </si>
  <si>
    <t xml:space="preserve">Widget script grammar reference for power users</t>
  </si>
  <si>
    <t xml:space="preserve">Documentation</t>
  </si>
  <si>
    <t xml:space="preserve">Documentation / Widget Grammar</t>
  </si>
  <si>
    <t xml:space="preserve">STARTING POINT (30-May audit — already built): WidgetScriptStep + WidgetQueryExpressionService implement a script grammar; no power-user reference doc.
WHAT REMAINS — the actual work of this task: Write the widget script grammar reference for power users (document the implemented expression language).
FULL REFERENCE SPEC:
docs/widget-grammar/reference.md: the full grammar, every aggregate function, every filter operator, every limitation. 10+ worked examples. The explicit list of canonical schema views available. The SafeSqlValidator blocked patterns and why. Linked from the widget editor as inline help.</t>
  </si>
  <si>
    <t xml:space="preserve">1) Reference covers the full grammar. 2) 10+ worked examples each compile and execute. 3) Linked from the WidgetExpressionEditor as inline help.</t>
  </si>
  <si>
    <t xml:space="preserve">P04 — ML Engine: Data Foundation &amp; Providers    |    7 tasks    |    43 hrs
Vision section 3 prerequisite. Make the multi-grain feature store, the metallurgical feature engineering, the outcome catalog (defect-rate/class/severity/position, the equipment-vs-production cascade-downtime distinction, KPI-as-view), the type-aware compute interface, the pgvector knowledge base, and the narrative/embedding PROVIDER ABSTRACTION (API-default, self-hostable) all real over the mapped demo data. EXIT STATE (healthy): features and outcomes populate at every grain on the demo data, the KB is queryable, and the NL layer is swappable without touching callers.</t>
  </si>
  <si>
    <t xml:space="preserve">PPIQ-T209</t>
  </si>
  <si>
    <t xml:space="preserve">Multi-grain feature store schema (heat/strand/coil/location)</t>
  </si>
  <si>
    <t xml:space="preserve">P04</t>
  </si>
  <si>
    <t xml:space="preserve">ML Engine / Feature Store</t>
  </si>
  <si>
    <t xml:space="preserve">ALREADY IN PLACE (31-May audit): 201_phase02_ml_feature_store_v6_completion.sql adds ppiq_ml_refresh_feature_store_v6 + genealogy_json; 200_ base (8 tables) intact.
This capability is implemented — CONFIRM it, do not rebuild.
Reference scope / behaviour:
Per design doc §1.1: build the multi-grain feature store the entire engine learns from, materialized from the canonical generic schema (P02/P03 of v4). Each feature and outcome carries its native grain and the genealogy keys (heat_id, sequence_id, strand, slab_id, coil_id) needed to join across grains. Tables for feature definitions, feature values per grain, and outcome values; EF entities + configuration + migration. Refreshed by the stage-2 import job. Versioned.</t>
  </si>
  <si>
    <t xml:space="preserve">Confirm (do NOT re-implement): Confirm multi-grain refresh populates values on the demo data at each grain.</t>
  </si>
  <si>
    <t xml:space="preserve">PPIQ-T210</t>
  </si>
  <si>
    <t xml:space="preserve">FeatureEngineeringService — metallurgical derived features</t>
  </si>
  <si>
    <t xml:space="preserve">ML Engine / Feature Engineering</t>
  </si>
  <si>
    <t xml:space="preserve">ALREADY IN PLACE (31-May audit): 201_ defines derived features: chemistry.cev, thermal.true_superheat, casting.speed_mean, casting.speed_delta, operations.residency_minutes, operations.shift (verified by check script).
This capability is implemented — CONFIRM it, do not rebuild.
Reference scope / behaviour:
Per design doc §1.2: extend FeatureEngineeringService to assemble the feature matrix at a SELECTABLE grain (coil-level default; heat-level option) and compute derived features: carbon equivalent (CEV) from chemistry; true superheat = tundish temp − liquidus (liquidus estimated from composition); casting-speed aggregates (mean/max/std/range, count of speed changes, time in transition); reduction ratio; cooling rate; specific energy; time-above-temperature; categorical encodings (grade family, gauge band, spec class, strand, crew/shift). Explicit missingness handling (pairwise deletion with n per pair; 'missing' as informative category; flag features whose missingness correlates with the outcome).</t>
  </si>
  <si>
    <t xml:space="preserve">Confirm (do NOT re-implement): Confirm the derived features compute against the golden dataset with provenance; add unit tests on known inputs.</t>
  </si>
  <si>
    <t xml:space="preserve">PPIQ-T211</t>
  </si>
  <si>
    <t xml:space="preserve">Outcome definitions: defect-rate/class/severity/position, cascade-downtime, KPI-as-view</t>
  </si>
  <si>
    <t xml:space="preserve">ML Engine / Outcome Modeling</t>
  </si>
  <si>
    <t xml:space="preserve">ALREADY IN PLACE (31-May audit): 201_ defines outcomes: defect.rate_per_m2/class/severity/position, downtime.cascade_minutes, kpi.prime_yield/energy_per_ton/throughput (verified by check script).
This capability is implemented — CONFIRM it, do not rebuild.
Reference scope / behaviour:
Per design doc §1.3: model outcomes rigorously rather than yes/no. Defects as a rate normalized to coil area/tonnage (defects per m²), plus class (multinomial), severity (graded), and position (head/body/tail, edge/center). Downtime using the plant taxonomy (production stoppage vs equipment failure; electrical/operation/production/mechanical/hydraulic) against CASCADE-adjusted duration, not the raw event. KPIs defined as canonical views (prime yield, energy/ton, throughput) via the KPI-as-view layer.</t>
  </si>
  <si>
    <t xml:space="preserve">Confirm (do NOT re-implement): Confirm each outcome resolves to values on the demo data.</t>
  </si>
  <si>
    <t xml:space="preserve">PPIQ-T293</t>
  </si>
  <si>
    <t xml:space="preserve">Cascade/buffer-aware downtime outcome modeling (equipment vs production stoppage)</t>
  </si>
  <si>
    <t xml:space="preserve">ML / Outcome Modeling</t>
  </si>
  <si>
    <t xml:space="preserve">STARTING POINT (31-May audit — already built): downtime.cascade_minutes outcome defined in 201_; downtime source shape present.
WHAT REMAINS — the actual work of this task: Confirm the outcome distinguishes equipment-stoppage vs production-stoppage minutes with buffer/cascade context in the demo data.
FULL REFERENCE SPEC:
The vision's downtime DB encodes a subtle truth: equipment stoppage != production stoppage (a 20-min HSM stop can be absorbed by TF buffer + caster slow-down with zero production loss, while a 3-min caster water-pump stop can cause a 4-6h production stoppage via sequence rebuild). The cascade-downtime outcome (T211) must model this distinction (equipment-stoppage-min vs production-stoppage-min, with propagation/buffer context) or the correlations will be misleading. Add the outcome definition + the demo data shape to support it.</t>
  </si>
  <si>
    <t xml:space="preserve">1) Outcome definitions distinguish equipment-stoppage from production-stoppage minutes. 2) The downtime demo dataset includes buffer-absorbed and cascade-amplified cases. 3) A learning run over the demo data ranks contributors to production (not merely equipment) stoppage sensibly. 4) Documented in the outcome catalog.</t>
  </si>
  <si>
    <t xml:space="preserve">PPIQ-T212</t>
  </si>
  <si>
    <t xml:space="preserve">ICorrelationComputeEngine interface + .NET default implementation</t>
  </si>
  <si>
    <t xml:space="preserve">ML Engine / Compute Abstraction</t>
  </si>
  <si>
    <t xml:space="preserve">ALREADY IN PLACE (31-May audit): ppiq_ml_compute_correlations_v6 entrypoint in 201_ + PostgresCorrelationComputeEngine.cs (91L) tagged 'postgres-v6-type-aware' (per check script).
This capability is implemented — CONFIRM it, do not rebuild.
Reference scope / behaviour:
Per design doc §2.4 / §6: define ICorrelationComputeEngine so the compute is swappable. Default implementation is .NET in-process (Math.NET Numerics for statistics, ML.NET for regularized regression / tree importances), with PostgreSQL doing heavy data reduction (corr(), regr_*, group-bys). Keep one runtime; deterministic, auditable math in the repo. The interface is the escape hatch for a future Python implementation (mixed-effects, survival, defect-image CV) without touching the job system, persistence, governance, or UI.</t>
  </si>
  <si>
    <t xml:space="preserve">Confirm (do NOT re-implement): Confirm the .NET engine delegates to the v6 type-aware compute and returns typed results.</t>
  </si>
  <si>
    <t xml:space="preserve">PPIQ-T213</t>
  </si>
  <si>
    <t xml:space="preserve">pgvector knowledge base provisioning (assistant prerequisite)</t>
  </si>
  <si>
    <t xml:space="preserve">ML Assistant / Vector Store</t>
  </si>
  <si>
    <t xml:space="preserve">ALREADY IN PLACE (31-May audit): 200_ KB provisioning + ppiq_ml_search_kb intact; DeterministicEmbeddingProvider.cs (49L) gives an offline embedding path.
This capability is implemented — CONFIRM it, do not rebuild.
Reference scope / behaviour:
Per design doc §4.3: enable the pgvector extension in PostgreSQL 17 and provision the knowledge-base tables the §3.3 assistant retrieves from — embeddings + metadata for (a) learned findings, (b) case memory, (c) domain knowledge documents — with structured columns (area, defect class, grade, line, window, q-value) to support HYBRID retrieval (semantic + SQL filter). No new datastore or service. EF entities + migration; IEmbeddingProvider interface (API-default, self-hostable).</t>
  </si>
  <si>
    <t xml:space="preserve">Confirm (do NOT re-implement): Confirm pgvector is installed in the target image so KB search runs (not just compiles).</t>
  </si>
  <si>
    <t xml:space="preserve">PPIQ-T292</t>
  </si>
  <si>
    <t xml:space="preserve">INarrativeProvider / IEmbeddingProvider abstraction with self-hostable + API impls</t>
  </si>
  <si>
    <t xml:space="preserve">ML Assistant / Provider Abstraction</t>
  </si>
  <si>
    <t xml:space="preserve">ALREADY IN PLACE (31-May audit): INarrativeProvider + IEmbeddingProvider interfaces; ApiNarrativeProvider(98L) + LocalNarrativeProvider(64L) + ConfiguredNarrativeProvider(53L, switches local/api) + DeterministicEmbeddingProvider(49L); MlProviderEndpoints(62L).
This capability is implemented — CONFIRM it, do not rebuild.
Reference scope / behaviour:
The engine + assistant design mandates the natural-language layer sit behind INarrativeProvider/IEmbeddingProvider — API-default for quality, self-hostable for air-gapped/governance-sensitive customers, with only abstracted findings ever crossing an external boundary ('works fully air-gapped; AI narration optional' is a selling point). Define these interfaces now and provide (a) an API-backed impl and (b) a local/null impl, so T230-T233 build against the abstraction rather than a hardcoded provider.</t>
  </si>
  <si>
    <t xml:space="preserve">Confirm (do NOT re-implement): Confirm only abstracted findings cross the API boundary (test) and the app runs fully offline on the local provider.</t>
  </si>
  <si>
    <t xml:space="preserve">P05 — ML Engine: Scheduled Correlation Learning    |    6 tasks    |    38 hrs
Vision section 3.1 — the single biggest gap and the analytical heart of the product. Build the four scheduled learning jobs (process-vs-defect, process-vs-downtime, process-vs-KPI, weekly overall), the type-aware statistical association engine, the full validity machinery (Benjamini-Hochberg q-values, effect-size-first ranking, power, bootstrap stability, confounding/VIF), per-job scheduling + backoff gated by MlReadiness, extended result persistence into the Jobs Monitor, and golden-dataset tests. EXIT STATE (healthy): the engine recovers known injected correlations with correct effect sizes, rejects spurious ones under FDR control, and the jobs are schedulable and monitorable.</t>
  </si>
  <si>
    <t xml:space="preserve">PPIQ-T214</t>
  </si>
  <si>
    <t xml:space="preserve">Define the four learning job types + EnsureMlJobDefinitions (Vision §3.1.1–3.1.4)</t>
  </si>
  <si>
    <t xml:space="preserve">P05</t>
  </si>
  <si>
    <t xml:space="preserve">ML Engine / Job Definitions</t>
  </si>
  <si>
    <t xml:space="preserve">ALREADY IN PLACE (31-May audit): 204_ ml_learning_job_catalog_v1 registers the 4 jobs: ML_PROCESS_VS_DEFECT, _VS_DOWNTIME, _VS_KPI, ML_WEEKLY_OVERALL with schedules/windows/readiness gates.
This capability is implemented — CONFIRM it, do not rebuild.
Reference scope / behaviour:
Per design doc §2.1: formalize the four scheduled jobs as first-class JobDefinitionType entries — (1) process-params × defect-id, (2) × downtime-id, (3) × KPI-id (daily, off-hours, user-overridable), (4) weekly overall pass across all data. Extend the existing EnsureMlJobDefinitions/IsMlJob scaffolding. Each flows through the unified job model so it appears in the Jobs Monitor (§3.1.5).</t>
  </si>
  <si>
    <t xml:space="preserve">Confirm (do NOT re-implement): Confirm the 4 jobs surface in the Jobs Monitor as schedulable/overridable.</t>
  </si>
  <si>
    <t xml:space="preserve">PPIQ-T215</t>
  </si>
  <si>
    <t xml:space="preserve">Learning worker — type-aware statistical association engine</t>
  </si>
  <si>
    <t xml:space="preserve">ML Engine / Learning Worker</t>
  </si>
  <si>
    <t xml:space="preserve">STARTING POINT (31-May audit — already built): 204_ ppiq_ml_run_learning_job_v1 computes the sweep: Pearson/point-biserial/Cramer's-V, effect-size via abs(corr), effective-n by DISTINCT heat, effect-size buckets, stability; MlLearningEndpoints POST /jobs/{code}/run + GET /results; golden-dataset seeder ppiq_ml_seed_phase45_golden_dataset.
WHAT REMAINS — the actual work of this task: The compute exists in-DB and runs ON DEMAND but is NOT yet driven by the Worker on a schedule (Worker still runs only Import/Quality/Risk/Delta). Wire T217 scheduling; broaden methods (chi-square, MI, Lasso screen) and confirm golden-dataset recovery in tests (T219).
FULL REFERENCE SPEC:
Build a learning worker that, for each scheduled job (T214), sweeps every available process parameter against each outcome in the target family and persists ranked, statistically-qualified associations. The engine is DETERMINISTIC and IN-HOUSE (never an LLM task). It must be TYPE-AWARE: pick the correct measure per variable-pair type — Pearson (continuous-continuous, linearity-checked), Spearman (monotonic/ordinal), point-biserial (continuous-binary), chi-square + Cramer's V (categorical-categorical), mutual information (non-linear), and Lasso for multivariate screening. It reads features/outcomes from the feature store (T209-T211) via ICorrelationComputeEngine (T212), and writes effect size, direction, effective-n, and the raw statistic for every pair; the heavy validity layer (FDR, power, stability, confounding/VIF) is applied in T216 before anything is surfaced as a finding.</t>
  </si>
  <si>
    <t xml:space="preserve">1) Over a golden dataset with KNOWN injected correlations, the engine recovers them with correct sign and effect-size magnitude within tolerance. 2) Variable-pair type selection is correct (a continuous-binary pair uses point-biserial, a categorical pair uses Cramer's V, etc.) — asserted by tests. 3) Every persisted association carries effect size, direction, effective-n, and the underlying statistic. 4) A full sweep over the demo dataset completes within the configured job budget and writes correlation_result rows consumable by the Jobs Monitor (T218). 5) No LLM is invoked anywhere in the compute path.</t>
  </si>
  <si>
    <t xml:space="preserve">PPIQ-T216</t>
  </si>
  <si>
    <t xml:space="preserve">Statistical validity machinery (FDR, effect-size, power, stability, confounding, VIF)</t>
  </si>
  <si>
    <t xml:space="preserve">ML Engine / Statistical Rigor</t>
  </si>
  <si>
    <t xml:space="preserve">STARTING POINT (31-May audit — already built): 204_ implements Benjamini-Hochberg q-values, p-value approximation, effect-size-first buckets, effective-n by independent heat, stability flags — the honesty machinery is present in the core.
WHAT REMAINS — the actual work of this task: Add power, bootstrap stability (vs heuristic), and confounding/VIF; confirm FDR control rejects injected spurious correlations on the golden dataset.
FULL REFERENCE SPEC:
Per design doc §2.3 — the rigor that separates professional from naive. Wrap every result with: effect-size-first strength buckets (not p); Benjamini–Hochberg q-values across the full test family; a power/minimum-effective-n gate; bootstrap stability (CI on r itself + replication across time sub-windows; flag unstable findings); confounding handling (stratify by grade/line + partial-correlation adjustment, warn when an association collapses after adjustment); multicollinearity reporting (VIF; present grouped drivers, not duplicates). Cluster-robust standard errors by heat to correct pseudo-replication from coils nested in heats.</t>
  </si>
  <si>
    <t xml:space="preserve">1) Every result carries effect size, q-value, CI, effective-n, stability flag. 2) Under-powered pairs are gated out. 3) A planted-noise column does not survive FDR. 4) A confounded association is flagged after stratification. 5) Effective-n reflects heat-clustering, not raw coil count.</t>
  </si>
  <si>
    <t xml:space="preserve">PPIQ-T217</t>
  </si>
  <si>
    <t xml:space="preserve">Per-job scheduling, backoff &amp; MlReadiness governance gates</t>
  </si>
  <si>
    <t xml:space="preserve">ML Engine / Scheduling &amp; Governance</t>
  </si>
  <si>
    <t xml:space="preserve">BUILD (31-May audit: ml_learning_job_catalog_v1 has backoff_minutes/max_backoff_minutes/next_run_hint/readiness_gate_code columns, but the Worker does not execute these jobs.).
WHAT REMAINS: Wire the four learning jobs into the Worker (or a scheduler) with per-job schedule + backoff + MlReadiness gating; this is what makes them 'scheduled' per Vision 3.1.
SPECIFICATION:
Per design doc §2 + §3.1: add per-job off-hours scheduling with failure backoff and concurrency control, and extend MlReadinessService into governance gates — minimum sample size, label completeness, feature freshness, and a training-window selector (last week/month/year). The engine refuses to learn on insufficient/ungoverned data and reports why (preserving the no_production_prediction honesty).</t>
  </si>
  <si>
    <t xml:space="preserve">1) A job below the sample/label threshold is blocked with a clear readiness reason. 2) Backoff doubles the retry interval up to a cap. 3) Window selector changes the data range used. 4) Readiness gates reflect the real governance state.</t>
  </si>
  <si>
    <t xml:space="preserve">PPIQ-T218</t>
  </si>
  <si>
    <t xml:space="preserve">Persist correlation_result (extended) + Jobs Monitor integration</t>
  </si>
  <si>
    <t xml:space="preserve">ML Engine / Results Persistence</t>
  </si>
  <si>
    <t xml:space="preserve">STARTING POINT (31-May audit — already built): 204_ ml_learning_results_v1 persists effect_size/q_value/p_value/effective_n/stability + indexes; MlLearningEndpoints GET /results + /status; AdminJobsMonitorTab renders runs.
WHAT REMAINS — the actual work of this task: Confirm learning runs appear in the Jobs Monitor with last-run/status/duration and results are queryable per job.
FULL REFERENCE SPEC:
Per design doc §2.5 / §2.6: extend CorrelationResult with model_version_id, feature_key+grain, outcome_key+type, method, coefficient, effect_size(+type), p_value, q_value, ci_low/high, effective_n, stratum, stability_score+is_stable, window. Ensure all four learning jobs surface in Administrator → Jobs Monitor (status OK/crash/timeout, last-run, duration, next-run, run-now/pause, active progress).</t>
  </si>
  <si>
    <t xml:space="preserve">1) Results persist with the full evidence columns incl. q-value and effective-n. 2) Learning jobs appear in the Jobs Monitor with correct status/last-run/duration/next-run. 3) Run-now triggers a job and progress ticks. 4) A crashed job shows failed + last error.</t>
  </si>
  <si>
    <t xml:space="preserve">PPIQ-T219</t>
  </si>
  <si>
    <t xml:space="preserve">ML learning engine tests on golden datasets</t>
  </si>
  <si>
    <t xml:space="preserve">ML Engine / Test Coverage</t>
  </si>
  <si>
    <t xml:space="preserve">STARTING POINT (31-May audit — already built): ppiq_ml_seed_phase45_golden_dataset() seeds a known dataset; tools/phase45/* include underflow + categorical-learning fixes.
WHAT REMAINS — the actual work of this task: Add explicit tests that the engine RECOVERS the injected correlations with correct effect sizes and REJECTS spurious ones under FDR; wire to CI.
FULL REFERENCE SPEC:
Per design doc §2.3: tests with deterministic golden datasets where correct correlations are known by construction (planted signal + noise). Assert the engine recovers planted associations within tolerance, ranks them correctly, rejects pure noise after FDR, respects governance gates, persists correct provenance, and is reproducible for a fixed seed. Performance test bounds the run on the standard demo size.</t>
  </si>
  <si>
    <t xml:space="preserve">1) Engine recovers planted associations and rejects noise columns. 2) Ranking matches known ground-truth order. 3) Governance gate blocks an under-sampled run. 4) Deterministic; wired to the Jenkins gate.</t>
  </si>
  <si>
    <t xml:space="preserve">P06 — ML Engine: Inspection Jobs to Generated Pages    |    6 tasks    |    31 hrs
Vision section 3.2. On the learning engine, build the on-demand Inspection Job (select defect/downtime/KPI + window + name), the runner with progress, the mechanism that AUTO-GENERATES an analysis page of widgets/charts from the result (no hardcoding), the tabbed generated-page shell (one tab per saved job), periodic scheduling into the Jobs Monitor, and the full run-&gt;generate-&gt;save-&gt;schedule e2e. EXIT STATE (healthy): a user runs an inspection from the HMI and gets a saved, schedulable, evidence-backed analysis page.</t>
  </si>
  <si>
    <t xml:space="preserve">PPIQ-T220</t>
  </si>
  <si>
    <t xml:space="preserve">Inspection Job domain + persistence + endpoints</t>
  </si>
  <si>
    <t xml:space="preserve">P06</t>
  </si>
  <si>
    <t xml:space="preserve">ML Engine / Inspection Jobs</t>
  </si>
  <si>
    <t xml:space="preserve">STARTING POINT (31-May audit — already built): Phase2InvestigationEndpoints.cs (598L) + SaveInspectionJobModal.tsx + MaterialFeatureVector(125L) + QualityLabelBuilderService(245L) provide investigation building blocks.
WHAT REMAINS — the actual work of this task: Add the first-class InspectionJob domain (target defect/downtime/KPI + window + name) + persistence + CRUD; the save-modal is waiting on it.
FULL REFERENCE SPEC:
Per design doc §3.2.1 (Vision §3.2.1): user selects one defect-id / downtime-id / KPI-id + window (last week/month/year) + a name. Implement InspectionJob entity + EF config + migration + endpoints (create/list/get/run/schedule/delete). Back the already-wired SaveInspectionJobModal with the real POST. Authorization + license gating (Pro Plus/Enterprise).</t>
  </si>
  <si>
    <t xml:space="preserve">1) Creating an inspection job from the modal persists it and returns an id. 2) Listing shows target, window, schedule. 3) Non-licensed tier is gated with a clear hint. 4) Audit row on create/run/schedule.</t>
  </si>
  <si>
    <t xml:space="preserve">PPIQ-T221</t>
  </si>
  <si>
    <t xml:space="preserve">Inspection Job runner — on-demand analysis with progress</t>
  </si>
  <si>
    <t xml:space="preserve">ML Engine / Inspection Runner</t>
  </si>
  <si>
    <t xml:space="preserve">BUILD FROM SCRATCH (30-May audit: No inspection job runner. Depends on the learning engine (T215).).
SPECIFICATION:
Per design doc §3.2.2 (Vision §3.2.2): the runner executes an inspection job via the learning engine over the selected target + window and produces a ranked 'most influential parameters' result with evidence (coefficient, q-value, effect size, supporting slices, stability). Returns a structured InspectionResult the page generator consumes. Run-now returns 202 + progress (reuse the demo-lifecycle progress pattern).</t>
  </si>
  <si>
    <t xml:space="preserve">1) Run-now over a demo target returns a ranked contributor list with evidence in bounded time. 2) Progress endpoint ticks through stages. 3) Same input+window =&gt; deterministic ranking. 4) Results persisted and linked to the job.</t>
  </si>
  <si>
    <t xml:space="preserve">PPIQ-T222</t>
  </si>
  <si>
    <t xml:space="preserve">Auto-generate analysis page from inspection result (no hardcoding)</t>
  </si>
  <si>
    <t xml:space="preserve">ML Engine / Page Generation</t>
  </si>
  <si>
    <t xml:space="preserve">BUILD (31-May audit: CorrelationService(437L)/CorrelationEndpoints(717L) can produce correlation results, but there is no mechanism that AUTO-GENERATES a page of widgets from an inspection result.).
WHAT REMAINS: Build the result-&gt;generated-page mechanism (widgets chosen from the result, no hardcoding) — Vision 3.2 core.
SPECIFICATION:
Per design doc §3.2.2 + Track-3 golden rule: on completion, auto-compose a dashboard page from REAL widget definitions bound to the result — top-contributors bar, contributor trend over the window, distribution by target, correlation matrix — emitted into the page model (P08), the same definitions a user could build by hand. Regenerating after a re-run updates the page in place. No hardcoded layout.</t>
  </si>
  <si>
    <t xml:space="preserve">1) A completed run produces a saved-page definition referencing real widgets bound to result data. 2) Opening the page renders live widgets. 3) Re-run updates the page in place. 4) The page round-trips through the page model — zero hardcoded layout.</t>
  </si>
  <si>
    <t xml:space="preserve">PPIQ-T223</t>
  </si>
  <si>
    <t xml:space="preserve">Correlation Page shell — tabbed generated pages (replace stub)</t>
  </si>
  <si>
    <t xml:space="preserve">ML Engine / Correlation Page</t>
  </si>
  <si>
    <t xml:space="preserve">STARTING POINT (31-May audit — already built): Phase56CorrelationPage + CorrelationService/Endpoints render correlation content with tabs.
WHAT REMAINS — the actual work of this task: Evolve to one generated tab PER saved inspection job (not a static page); depends on T222.
FULL REFERENCE SPEC:
Per design doc §3.2.x (Vision §3.2): replace the 5-line CorrelationPage.tsx stub with the full ML Correlation area — a StandardTabs surface where each generated inspection-job page is a tab, with run-now, a save toggle, and a schedule control (hourly/daily) per tab. Standard* primitives, license gating, DataFetchBoundary states.</t>
  </si>
  <si>
    <t xml:space="preserve">1) Page lists inspection jobs as tabs; selecting one renders its generated widgets. 2) Run-now refreshes the tab via the runner with a progress panel. 3) Save persists the page; Schedule enqueues a periodic job in the Jobs Monitor. 4) Standard* primitives only; visual regression baseline captured.</t>
  </si>
  <si>
    <t xml:space="preserve">PPIQ-T224</t>
  </si>
  <si>
    <t xml:space="preserve">Schedule inspection jobs periodically + Jobs Monitor integration</t>
  </si>
  <si>
    <t xml:space="preserve">ML Engine / Scheduling</t>
  </si>
  <si>
    <t xml:space="preserve">BUILD FROM SCRATCH (30-May audit: No inspection-job scheduling. Jobs Monitor exists for system jobs.).
SPECIFICATION:
Per design doc §3.2.3 (Vision §3.2.3): allow a saved inspection job to run periodically (hourly/daily/user-defined) or on demand. Register scheduled inspection runs in the unified job model so they appear in the Jobs Monitor with status/last-run/duration, and a periodic run regenerates the saved page. Rate-limited to avoid overlap.</t>
  </si>
  <si>
    <t xml:space="preserve">1) Scheduling a job enqueues a recurring run visible in the Jobs Monitor. 2) Each periodic run regenerates the page and records last-run/duration. 3) Pausing/deleting the schedule stops future runs. 4) Rate-limited against overlap.</t>
  </si>
  <si>
    <t xml:space="preserve">PPIQ-T225</t>
  </si>
  <si>
    <t xml:space="preserve">E2E + integration tests for run -&gt; generate -&gt; save -&gt; schedule loop</t>
  </si>
  <si>
    <t xml:space="preserve">BUILD FROM SCRATCH (30-May audit: No run-&gt;generate-&gt;save-&gt;schedule e2e tests.).
SPECIFICATION:
Per design doc §3.2: Playwright e2e + backend integration covering the full loop — create inspection job =&gt; run-now =&gt; generated page renders contributors =&gt; save =&gt; schedule =&gt; periodic run regenerates. Assert absence of the forbidden phrase and forbidden ML claims.</t>
  </si>
  <si>
    <t xml:space="preserve">1) The full loop passes against staging. 2) Generated page shows the expected top contributor for a planted-signal demo target. 3) Forbidden-phrase + forbidden-claim assertions pass. 4) Test &lt; 120s, wired to the post-deploy gate.</t>
  </si>
  <si>
    <t xml:space="preserve">P07 — Risk Scorer &amp; Model Governance    |    4 tasks    |    18 hrs
Vision section 3 cross-cutting. The transparent additive scorer already exists; finish exact-contribution validation, calibration/reliability, model-registry lifecycle + provenance + reproducibility, and drift monitoring + champion/challenger promotion. EXIT STATE (healthy): every risk score decomposes exactly into named contributions, is calibrated on demo data, and every persisted result links to a reproducible registry entry.</t>
  </si>
  <si>
    <t xml:space="preserve">PPIQ-T236</t>
  </si>
  <si>
    <t xml:space="preserve">Transparent additive risk scorer with exact contribution decomposition</t>
  </si>
  <si>
    <t xml:space="preserve">P07</t>
  </si>
  <si>
    <t xml:space="preserve">ML Engine / Risk Scorer</t>
  </si>
  <si>
    <t xml:space="preserve">ALREADY IN PLACE (31-May audit): RiskScoreService(392L) + RiskScore(103L, explanation) + RiskScoreEndpoints(248L) + RiskPredictionDtos(70L); additive decomposition present.
This capability is implemented — CONFIRM it, do not rebuild.
Reference scope / behaviour:
Per design doc §5: make the customer-facing risk score a transparent additive model — score = Σ wᵢ·standardized(featureᵢ) over the validated drivers, weights from the active model's effect sizes/coefficients, normalized 0–100. Each coil's score decomposes EXACTLY into per-feature contributions (superheat +30, hard grade +25, strand 2 +17) — no SHAP, because the model is linear/additive. Keep a GBM only for driver DISCOVERY, never for scoring.</t>
  </si>
  <si>
    <t xml:space="preserve">Confirm (do NOT re-implement): Confirm contributions sum exactly to the score and are surfaced; add a unit test on a known vector.</t>
  </si>
  <si>
    <t xml:space="preserve">PPIQ-T238</t>
  </si>
  <si>
    <t xml:space="preserve">Model registry lifecycle, provenance &amp; reproducibility</t>
  </si>
  <si>
    <t xml:space="preserve">ML Engine / Model Registry</t>
  </si>
  <si>
    <t xml:space="preserve">STARTING POINT (31-May audit — already built): ModelRegistry(67L) + config + migration; provenance scaffolding.
WHAT REMAINS — the actual work of this task: Finish lifecycle+provenance+reproducibility so every persisted result links to a registry row.
FULL REFERENCE SPEC:
Per design doc §7: treat a model as a versioned analysis configuration + computed snapshot. Store provenance — data window, canonical-view versions, engine git SHA, thresholds, random seed — so any result is reproducible bit-for-bit. Register/version/activate/retire; exactly one active version per scope; the risk scorer reads the active version. Keep baseline v1 = 'Transparent rule-based quality risk scorer'.</t>
  </si>
  <si>
    <t xml:space="preserve">1) A learning run registers a new version with full provenance. 2) Exactly one version per scope is active; activation retires the prior. 3) Re-running with the stored seed reproduces results. 4) History is queryable for audit.</t>
  </si>
  <si>
    <t xml:space="preserve">PPIQ-T237</t>
  </si>
  <si>
    <t xml:space="preserve">Risk-score calibration &amp; reliability check</t>
  </si>
  <si>
    <t xml:space="preserve">ML Engine / Calibration</t>
  </si>
  <si>
    <t xml:space="preserve">STARTING POINT (30-May audit — already built): RiskScoreService present; no explicit calibration/reliability check found.
WHAT REMAINS — the actual work of this task: Add risk-score calibration &amp; reliability (reliability curve / bucketed observed-vs-scored on demo data).
FULL REFERENCE SPEC:
Per design doc §5: validate that higher scores correspond to higher observed defect rates (rank correlation + reliability/calibration plot). Recalibrate when drift is detected. A score that does not rank-order real outcomes is flagged.</t>
  </si>
  <si>
    <t xml:space="preserve">1) Calibration check runs and reports rank correlation between score and observed defect rate. 2) A miscalibrated scorer is flagged. 3) Recalibration updates the normalization. 4) Result is reproducible.</t>
  </si>
  <si>
    <t xml:space="preserve">PPIQ-T239</t>
  </si>
  <si>
    <t xml:space="preserve">Drift monitoring &amp; champion/challenger promotion</t>
  </si>
  <si>
    <t xml:space="preserve">ML Engine / Drift &amp; Promotion</t>
  </si>
  <si>
    <t xml:space="preserve">BUILD FROM SCRATCH (30-May audit: No drift monitoring / champion-challenger.).
SPECIFICATION:
Per design doc §7: when new data lands, compare the active model's correlations to fresh computation and alert when a strong driver weakens or flips sign (a process change — feeds suggestions). The weekly overall pass (§3.1.4) is a challenger; promote over the active model only if more stable, never automatically.</t>
  </si>
  <si>
    <t xml:space="preserve">1) A drifted driver raises an alert and a suggestion. 2) The weekly pass is evaluated as a challenger. 3) Promotion requires a stability improvement and is logged. 4) No automatic silent promotion.</t>
  </si>
  <si>
    <t xml:space="preserve">P08 — ML Assistant: Suggestion Feed (proactive)    |    4 tasks    |    21 hrs
Vision section 3.3 proactive half. Turn accumulated, validated findings into a rule-based, evidence-linked, impact-ranked suggestion engine; expose it via /api/suggestions with context filtering + license gating; build the proactive feed UI with evidence drill-through; test ranking + evidence linkage. EXIT STATE (healthy): the app proactively surfaces ranked, evidence-cited recommendations a plant could act on.</t>
  </si>
  <si>
    <t xml:space="preserve">PPIQ-T226</t>
  </si>
  <si>
    <t xml:space="preserve">Suggestion engine — rule-based, evidence-linked, impact-ranked</t>
  </si>
  <si>
    <t xml:space="preserve">P08</t>
  </si>
  <si>
    <t xml:space="preserve">ML Assistant / Suggestion Engine</t>
  </si>
  <si>
    <t xml:space="preserve">BUILD FROM SCRATCH (30-May audit: No suggestion engine. ml_knowledge_base_items exists as substrate.).
SPECIFICATION:
Per design doc §4.2/§4.4 (Vision §3.3 proactive): synthesize ranked recommendations from the §3.1 learning outputs, inspection results, and data-quality findings. Each suggestion carries confidence, effective-n, q-value, effect size, and links to the supporting evidence. Rank by impact score ≈ effect size × prevalence × actionability × confidence/stability; dedup/group correlated drivers (multicollinearity); boost newly-emerged/changed relationships (changepoint). Strictly honest framing.</t>
  </si>
  <si>
    <t xml:space="preserve">1) The engine emits ranked suggestions, each with confidence, n, q-value, evidence link. 2) Correlated drivers are grouped, not duplicated. 3) A newly-changed relationship surfaces higher. 4) Suggestions update after a new learning run. 5) No forbidden claim language (guarded).</t>
  </si>
  <si>
    <t xml:space="preserve">PPIQ-T227</t>
  </si>
  <si>
    <t xml:space="preserve">/api/suggestions endpoint + context filtering + license gating</t>
  </si>
  <si>
    <t xml:space="preserve">ML Assistant / Suggestions API</t>
  </si>
  <si>
    <t xml:space="preserve">BUILD FROM SCRATCH (30-May audit: No /api/suggestions endpoint found.).
SPECIFICATION:
Implement GET /api/suggestions (the previously-stubbed route) returning ranked recommendations, filterable by current investigation context (material/area/line/window) and license tier. ProblemDetails error paths; pagination; audit of which suggestions were surfaced.</t>
  </si>
  <si>
    <t xml:space="preserve">1) Endpoint returns ranked suggestions with reasoning + evidence links. 2) Context filters narrow results correctly. 3) Non-licensed tier gated. 4) Integration tests cover happy/empty/filtered.</t>
  </si>
  <si>
    <t xml:space="preserve">PPIQ-T228</t>
  </si>
  <si>
    <t xml:space="preserve">Suggestions &amp; Recommendations Page (proactive feed UI)</t>
  </si>
  <si>
    <t xml:space="preserve">ML Assistant / Suggestions Page</t>
  </si>
  <si>
    <t xml:space="preserve">BUILD FROM SCRATCH (30-May audit: No Suggestions/Recommendations page (only a Phase56 placeholder set; none named suggestions).).
SPECIFICATION:
Per design doc §4.2 (the 'Page' half of Vision §3.3): an evidence-grade ranked feed — 'the top things to look at this week' — with reasoning, confidence, sample size, and drill-through to the supporting correlation/inspection page. Standard* primitives, DataFetchBoundary states, license gating, and an honest empty state ('no strong signal yet'). Brand voice throughout.</t>
  </si>
  <si>
    <t xml:space="preserve">1) Page renders ranked recommendations with reasoning + evidence drill-through. 2) Drill-through opens the supporting analysis page. 3) Empty/loading/error use Standard* and the 'Refreshing…' pattern. 4) Standard* primitives only; visual regression baseline captured.</t>
  </si>
  <si>
    <t xml:space="preserve">PPIQ-T229</t>
  </si>
  <si>
    <t xml:space="preserve">Suggestion ranking + evidence-linkage tests</t>
  </si>
  <si>
    <t xml:space="preserve">ML Assistant / Test Coverage</t>
  </si>
  <si>
    <t xml:space="preserve">BUILD FROM SCRATCH (30-May audit: No suggestion ranking/evidence tests.).
SPECIFICATION:
Tests asserting suggestion ranking order on golden inputs, evidence links resolve to the correct underlying results, context-filtering correctness, dedup/grouping of correlated drivers, and license gating. Determinism check.</t>
  </si>
  <si>
    <t xml:space="preserve">1) Ranking matches known ground truth on golden inputs. 2) Every evidence link resolves to the correct correlation/inspection record. 3) Correlated drivers are grouped. 4) Deterministic; wired to the gate.</t>
  </si>
  <si>
    <t xml:space="preserve">P09 — ML Assistant: Conversational RAG Agent    |    7 tasks    |    43 hrs
Vision section 3.3 conversational half. Build KB ingestion, hybrid retrieval (semantic + structured filter), the agent + tool layer (query findings, run inspection, KPI, genealogy, compare), the chat UI with citations + drill-through, the operator feedback loop, the grounding/honesty guardrail tests, AND enforce the ML honesty contract at the API boundary (not just the UI). EXIT STATE (healthy): an operator asks a question and gets an evidence-cited answer where the LLM only phrases retrieved/computed findings and never invents a number.</t>
  </si>
  <si>
    <t xml:space="preserve">PPIQ-T230</t>
  </si>
  <si>
    <t xml:space="preserve">Knowledge-base ingestion (findings, cases, domain docs)</t>
  </si>
  <si>
    <t xml:space="preserve">P09</t>
  </si>
  <si>
    <t xml:space="preserve">ML Assistant / KB Ingestion</t>
  </si>
  <si>
    <t xml:space="preserve">STARTING POINT (31-May audit — already built): KB substrate (ml_knowledge_base_items + upsert/search) + DeterministicEmbeddingProvider give an offline embedding+store path.
WHAT REMAINS — the actual work of this task: Build the ingestion pipeline that pushes correlation findings/cases/domain docs into the KB with embeddings.
FULL REFERENCE SPEC:
Per design doc §4.1/§4.3: ingest the three growing knowledge sources into the pgvector KB (T213). (a) Learned findings rendered as evidence cards with structured metadata; (b) case memory (past inspection jobs, resolved excursions, downtime root-cause notes, acted-on recommendations + outcomes); (c) curated domain knowledge (grade specs, flat-steel failure modes, operating ranges, SOPs). Embed via IEmbeddingProvider; keep structured columns for hybrid retrieval. Re-ingest incrementally as data accumulates.</t>
  </si>
  <si>
    <t xml:space="preserve">1) Findings, cases, and domain docs are embedded and retrievable. 2) New findings/cases are ingested incrementally. 3) Each item retains structured fields (area, defect class, grade, window, q-value). 4) Re-ingestion is idempotent.</t>
  </si>
  <si>
    <t xml:space="preserve">PPIQ-T231</t>
  </si>
  <si>
    <t xml:space="preserve">Hybrid retrieval pipeline (semantic + structured filter)</t>
  </si>
  <si>
    <t xml:space="preserve">ML Assistant / Retrieval</t>
  </si>
  <si>
    <t xml:space="preserve">STARTING POINT (31-May audit — already built): ppiq_ml_search_kb (vector + structured filters) exists; embeddings available via the provider.
WHAT REMAINS — the actual work of this task: Build the .NET hybrid retrieval orchestration (semantic + structured filter) on top of the KB search.
FULL REFERENCE SPEC:
Per design doc §4.3: implement retrieval that combines pgvector semantic similarity with structured SQL filters over the findings (area, defect class, grade, line, time window, q-value threshold). Question =&gt; embed =&gt; semantic + filtered search =&gt; top-k evidence with citations. Tunable k; relevance + recency weighting.</t>
  </si>
  <si>
    <t xml:space="preserve">1) A query returns top-k evidence combining semantic match and structured filters. 2) Filtering by grade/defect/window narrows correctly. 3) Each retrieved item is citeable back to its source finding/case. 4) Retrieval latency is bounded and logged.</t>
  </si>
  <si>
    <t xml:space="preserve">PPIQ-T232</t>
  </si>
  <si>
    <t xml:space="preserve">Agent + tool layer (query findings, run inspection, KPI, genealogy, compare)</t>
  </si>
  <si>
    <t xml:space="preserve">ML Assistant / Agent &amp; Tools</t>
  </si>
  <si>
    <t xml:space="preserve">BUILD (31-May audit: No agent/tool layer. The narrative providers exist (the VOICE) but nothing orchestrates tools/answers. CorrelationService/learning results/genealogy exist as tools-to-be.).
WHAT REMAINS: Build the agent + tool layer (query findings, run inspection, KPI, genealogy, compare) where the LLM only PHRASES tool results — the conversational engine the founder is asking for.
SPECIFICATION:
Build an agent + tool layer where the LLM is the VOICE, never the brain: it may call typed tools — query findings, run an inspection job, fetch a KPI, walk genealogy (T294), compare entities — and then PHRASE the structured results those tools return. It must never compute or invent a figure; every number it states must trace to a tool result or retrieved evidence. Route narration through INarrativeProvider (T292) so the deployment can run API-backed or fully self-hosted, with only abstracted findings ever crossing an external boundary.</t>
  </si>
  <si>
    <t xml:space="preserve">1) Each tool (query findings, run inspection, KPI, genealogy, compare) is invoked correctly and its result is faithfully reflected in the answer. 2) Every figure in an answer traces to a tool result or retrieved evidence — asserted by the grounding tests (T235). 3) The agent runs against both the API and self-hosted narrative providers without code change. 4) Only abstracted findings (never raw plant rows) are sent to an external provider — proven by a test. 5) Forbidden vocabulary ('prediction', 'guaranteed root cause') never appears; approved vocabulary is used.</t>
  </si>
  <si>
    <t xml:space="preserve">PPIQ-T233</t>
  </si>
  <si>
    <t xml:space="preserve">Conversational assistant UI with evidence citations + drill-through</t>
  </si>
  <si>
    <t xml:space="preserve">ML Assistant / Chat UI</t>
  </si>
  <si>
    <t xml:space="preserve">BUILD (31-May audit: No conversational assistant UI anywhere in the frontend (no chat/assistant/agent components).).
WHAT REMAINS: Build the chat UI with evidence citations + drill-through; depends on T232.
SPECIFICATION:
Per design doc §4.2 (the conversational half of Vision §3.3): a chat surface where a user asks plant-performance questions ('why are sliver defects up?', 'best lever on energy/ton?', 'compare strand 1 vs 2') and receives grounded answers with inline evidence chips (n, q-value, effect size) that drill through to the supporting correlation/inspection page. Standard* primitives; streaming responses; license gating; honest empty/uncertain states.</t>
  </si>
  <si>
    <t xml:space="preserve">1) Asking a question returns a grounded, cited answer with evidence chips. 2) A chip drills through to the supporting analysis page. 3) With no evidence the assistant says so rather than confabulating. 4) Standard* primitives only; visual regression baseline captured.</t>
  </si>
  <si>
    <t xml:space="preserve">PPIQ-T234</t>
  </si>
  <si>
    <t xml:space="preserve">Operator feedback loop (useful/acted/dismissed + outcomes)</t>
  </si>
  <si>
    <t xml:space="preserve">ML Assistant / Feedback Loop</t>
  </si>
  <si>
    <t xml:space="preserve">BUILD (31-May audit: No operator feedback loop.).
WHAT REMAINS: Add useful/acted/dismissed capture + outcome linkage for assistant answers.
SPECIFICATION:
Per design doc §4.4: operators mark suggestions/answers useful, acted-on, or dismissed and record outcomes. This re-ranks future suggestions AND flows into case memory ('acted on; yield +1.2 pts'). Honest system-level learning — the platform improves with use, fully auditable, not opaque weight changes.</t>
  </si>
  <si>
    <t xml:space="preserve">1) Feedback can be recorded against a suggestion/answer. 2) Feedback measurably re-ranks future suggestions. 3) Acted-on outcomes enter case memory and become retrievable. 4) An audit trail records all feedback.</t>
  </si>
  <si>
    <t xml:space="preserve">PPIQ-T291</t>
  </si>
  <si>
    <t xml:space="preserve">ML honesty-contract lint extended to ML/assistant API responses &amp; narratives</t>
  </si>
  <si>
    <t xml:space="preserve">ML / Honesty Guardrail</t>
  </si>
  <si>
    <t xml:space="preserve">STARTING POINT (31-May audit — already built): Narrative providers + ML honesty vocabulary established; forbidden-claim guards exist on the UI side.
WHAT REMAINS — the actual work of this task: Enforce the honesty contract at the ML/assistant API boundary: reject forbidden claims and require n/q/effect-size/evidence-link on every returned finding.
FULL REFERENCE SPEC:
The forbidden-phrase/ML-claims guard currently targets frontend text. Extend it to backend ML/assistant payloads and any INarrativeProvider output: reject 'prediction/predicts/guaranteed root cause/AI-powered prediction/production-ready AI' and require findings to carry effective-n, q-value, effect size, and an evidence link before they can be returned. Enforces the Vision §3 / How-to-Use honesty contract at the API boundary, not just the UI.</t>
  </si>
  <si>
    <t xml:space="preserve">1) An ML/assistant response containing a forbidden claim fails a unit/contract test. 2) A finding without n/q/effect-size/evidence-link is rejected by the serializer or a validator. 3) Wired into CI. 4) Approved vocabulary ('suspected contributor', 'statistical correlation') passes.</t>
  </si>
  <si>
    <t xml:space="preserve">PPIQ-T235</t>
  </si>
  <si>
    <t xml:space="preserve">Assistant grounding &amp; honesty guardrail tests</t>
  </si>
  <si>
    <t xml:space="preserve">ML Assistant / Guardrail Tests</t>
  </si>
  <si>
    <t xml:space="preserve">BUILD (31-May audit: Honesty vocabulary + deterministic core (no-LLM compute) exist, but no grounding tests for an assistant that does not yet exist.).
WHAT REMAINS: Add grounding tests proving the assistant never emits a figure absent from retrieved evidence/tool results.
SPECIFICATION:
Per design doc §4.5: tests that the assistant answers ONLY from retrieved evidence + tool results, says 'no statistically significant driver found' when there is none (no confabulation), and never emits forbidden ML claims ('guaranteed root cause', 'AI-powered prediction', 'production-ready AI', 'predicts'). Verify every recommendation carries n + q-value + effect size + evidence link. Extend the CI copy guard to the assistant surfaces.</t>
  </si>
  <si>
    <t xml:space="preserve">1) With no supporting evidence the assistant declines rather than inventing an answer. 2) A forbidden ML claim anywhere fails CI. 3) Every surfaced recommendation carries n, q-value, effect size, evidence link. 4) Tests wired to the gate.</t>
  </si>
  <si>
    <t xml:space="preserve">P10 — Hardening, Resilience &amp; HMI Completion    |    10 tasks    |    42 hrs
Vision Track 2 completion across the now-complete surface (including the ML pages). Complete the full three-identity auth matrix over every endpoint group INCLUDING /api/ml/* (deferred to here on purpose — those endpoints exist only now), the endpoint/SQL resilience audit, the full action-matrix test, the Standard* contract suite, responsive/cross-browser/http-https correctness, progress UI for long endpoints, the Risk-Intelligence HeatMap, the live license-tier toggle + banner, removal of synthetic seeds from the prod boot path, and a first-run onboarding wizard. EXIT STATE (healthy): every control on every page does its job, nothing shows a fake failure, and a fresh instance feels intentional.</t>
  </si>
  <si>
    <t xml:space="preserve">PPIQ-T252</t>
  </si>
  <si>
    <t xml:space="preserve">Endpoint + SQL resilience audit (PK/FK/null/timeout) (Vision §2.2)</t>
  </si>
  <si>
    <t xml:space="preserve">P10</t>
  </si>
  <si>
    <t xml:space="preserve">Hardening / API Resilience</t>
  </si>
  <si>
    <t xml:space="preserve">STARTING POINT (30-May audit — already built): 115_phase2_integrity_audit.sql (236L) + 071_validate_dashboard_performance; SafeSqlValidator; apiClient resilience.
WHAT REMAINS — the actual work of this task: Run the endpoint + SQL resilience audit (PK/FK/null/timeout) across every API; document and fix. Partly covered by integrity-audit SQL.
FULL REFERENCE SPEC:
Systematic pass over every API + its SQL/joins (including the new schema-mapping, two-stage import, and ML endpoints): guard null/missing PK-FK, enforce query timeouts, ProblemDetails on every error path, assert no unexpected 500s under empty/edge data. Produce docs/hardening/endpoint-resilience-{date}.md listing each endpoint's edge handling.</t>
  </si>
  <si>
    <t xml:space="preserve">1) Every endpoint returns structured errors, never an unhandled 500, under empty/edge inputs. 2) Query timeouts enforced. 3) Checklist documents each endpoint. 4) Integration tests cover the top 25 endpoints' edge cases.</t>
  </si>
  <si>
    <t xml:space="preserve">PPIQ-T253</t>
  </si>
  <si>
    <t xml:space="preserve">Full action-matrix test: every control does its job (Vision §3.1.1)</t>
  </si>
  <si>
    <t xml:space="preserve">Hardening / Action Matrix</t>
  </si>
  <si>
    <t xml:space="preserve">STARTING POINT (30-May audit — already built): Phase1 button-action-matrix + toast-mapping e2e specs exist; auth-matrix spec.
WHAT REMAINS — the actual work of this task: Complete the full action-matrix test: every control on every page does its job (Vision §3.1.1). Extend beyond Phase1 specs to all pages incl. new ML pages.
FULL REFERENCE SPEC:
Extend src/hardening/actionMatrix.ts: for every page and sub-page (incl. the new ML Correlation, Suggestions, Assistant, Schema Mapping, Two-Stage Import, Jobs Monitor surfaces), enumerate every button/control/hook with its expected action, and a Playwright test exercising each and asserting the outcome. No dead/misbehaving control.</t>
  </si>
  <si>
    <t xml:space="preserve">1) The matrix enumerates every control on every page/sub-page. 2) Each is exercised and asserted. 3) Zero dead/misbehaving controls. 4) Wired to the PR gate; a new dead button fails it.</t>
  </si>
  <si>
    <t xml:space="preserve">PPIQ-T256</t>
  </si>
  <si>
    <t xml:space="preserve">Complete Standard* contract tests</t>
  </si>
  <si>
    <t xml:space="preserve">Quality / Contract Tests</t>
  </si>
  <si>
    <t xml:space="preserve">STARTING POINT (30-May audit — already built): Standard* components exist with contract tests (DashboardWidgetDefinitionExpressionTests etc.) but not a complete Standard* contract suite.
WHAT REMAINS — the actual work of this task: Complete Standard* contract tests covering every variant/state in the UI Standards Reference.
FULL REFERENCE SPEC:
Ensure every Standard* primitive has a contract test asserting prop names/types/defaults and render shape (data-testid hooks). Fill gaps (Surface/Fields variants) beyond the existing Button/Table/Tabs tests.</t>
  </si>
  <si>
    <t xml:space="preserve">1) Contract tests exist for all Standard* primitives. 2) A non-backward-compatible prop change fails a contract test. 3) Suite &lt; 30s on every PR.</t>
  </si>
  <si>
    <t xml:space="preserve">PPIQ-T204</t>
  </si>
  <si>
    <t xml:space="preserve">Complete the JWT auth-matrix to full tier coverage</t>
  </si>
  <si>
    <t xml:space="preserve">Auth / Endpoint Authorization</t>
  </si>
  <si>
    <t xml:space="preserve">STARTING POINT (31-May audit — already built): auth-matrix-admin.spec.ts now covers anonymous/operator/admin across admin-overview/jobs-monitor/schema-mapping/two-stage/license/phase1/phase2/widgets/users/demo-lifecycle/diagnostics AND /api/ml/readiness + /api/ml/foundation/*; emits auth-matrix.json/.md; archived in Jenkins.
WHAT REMAINS — the actual work of this task: Extend coverage to /api/ml/learning/* (run/results) once those are demo-ready; keep the red-on-deviation gate.
FULL REFERENCE SPEC:
Closes the residual of v4 PPIQ-T101. An auth-matrix-admin.spec.ts and test:auth-matrix exist, but the confirmed backend assertions only cover anonymous=&gt;401/403 and valid-login=&gt;token. Extend to the full matrix: every admin endpoint group (/admin/jobs-monitor, /admin/schema-mapping, /admin/two-stage-import, /admin/license, /admin/phase1, /admin/phase2, /admin/widgets, /admin/users, /demo-lifecycle, /diagnostics, and the new /api/ml/*) under three identities — no token (401), operator-tier JWT (403 on admin, 200 on operator), admin-tier JWT (200) — emitting a matrix artifact and wired as a red-on-deviation Jenkins gate.</t>
  </si>
  <si>
    <t xml:space="preserve">1) The probe exercises all three identities across every admin group, not just anonymous. 2) Removing an [Authorize] on any admin endpoint fails the probe. 3) Output archived per deploy. 4) Jenkins goes red on any deviation.</t>
  </si>
  <si>
    <t xml:space="preserve">PPIQ-T254</t>
  </si>
  <si>
    <t xml:space="preserve">Responsive + cross-browser + http/https correctness (Vision §1.6, §2.1.6)</t>
  </si>
  <si>
    <t xml:space="preserve">Hardening / Responsive</t>
  </si>
  <si>
    <t xml:space="preserve">STARTING POINT (30-May audit — already built): Responsive/cross-browser playwright config present; http/https handled (login saga confirmed both).
WHAT REMAINS — the actual work of this task: Finish responsive + cross-browser + http/https correctness sweep across all pages and capture proof.
FULL REFERENCE SPEC:
Verify every page renders correctly at common screen sizes and re-adjusts across Chromium/Firefox/WebKit on both http and https. Fix layout/overflow/orientation issues. Add Playwright runs at three viewports × three browsers.</t>
  </si>
  <si>
    <t xml:space="preserve">1) No layout/overflow defects across three viewports and three browsers. 2) Works on http and https. 3) Snapshots captured as baselines. 4) Wired to the visual-regression job.</t>
  </si>
  <si>
    <t xml:space="preserve">PPIQ-T251</t>
  </si>
  <si>
    <t xml:space="preserve">Progress-percentage UI for long-running endpoints (Vision §2.1)</t>
  </si>
  <si>
    <t xml:space="preserve">Hardening / Long Calls</t>
  </si>
  <si>
    <t xml:space="preserve">STARTING POINT (30-May audit — already built): apiClient has timeouts/retry; DataFetchBoundary skeletons. No explicit progress-percentage UI for long endpoints.
WHAT REMAINS — the actual work of this task: Add progress-percentage UI for long-running endpoints (imports, inspection runs) per Vision §2.1.1.
FULL REFERENCE SPEC:
For every endpoint that can be slow on large datasets (imports, ML runs, heavy analytics, PDF), surface a loading indicator with a progress percentage (reuse OperationProgressPanel + progress endpoints). No silent multi-second hangs anywhere a customer can see.</t>
  </si>
  <si>
    <t xml:space="preserve">1) Each heavy action shows progress %, not a bare spinner. 2) Progress reflects real backend stages. 3) No visible hang &gt; 1s without feedback. 4) e2e covers the three heaviest paths.</t>
  </si>
  <si>
    <t xml:space="preserve">PPIQ-T249</t>
  </si>
  <si>
    <t xml:space="preserve">HeatMapWidget for Risk Intelligence (line × shift × day)</t>
  </si>
  <si>
    <t xml:space="preserve">Widgets / Visualization</t>
  </si>
  <si>
    <t xml:space="preserve">BUILD FROM SCRATCH (30-May audit: No HeatMap widget found anywhere in the codebase.).
SPECIFICATION:
Vision §4.2: a heat map on Risk Intelligence — risk score by line × shift × day-of-week, green→amber→red on brand thresholds, hover tooltip with breakdown, click-through to the materials in that cell (applies filters to Material Investigation). Data via /api/risk/heatmap. StandardCard with loading/empty/error states.</t>
  </si>
  <si>
    <t xml:space="preserve">1) Heat map renders; colors match the chip treatment. 2) Click drilldown applies filters to Material Investigation. 3) States use Standard* primitives. 4) 30×7×24 grid renders &lt; 200ms.</t>
  </si>
  <si>
    <t xml:space="preserve">PPIQ-T250</t>
  </si>
  <si>
    <t xml:space="preserve">Live license tier toggle + app-wide override banner</t>
  </si>
  <si>
    <t xml:space="preserve">License / Tier Toggle</t>
  </si>
  <si>
    <t xml:space="preserve">STARTING POINT (30-May audit — already built): LicenseContext.tsx (158L) + LicenseTier.cs + a phase78 t053 license-tier-override fix; ConnectorTruthPanel + PricingLicenseMatrix.
WHAT REMAINS — the actual work of this task: License context + tier exist. Finish the LIVE tier toggle + app-wide override banner so switching Enterprise-&gt;Pro visibly removes features during the demo (Vision §4.2).
FULL REFERENCE SPEC:
In Admin Preview, a StandardSelect bound to effective-tier/tier-override lets an admin demo Pro Plus features without swapping licenses; an app-shell banner shows when an override is active ('Tier override active: Pro Plus (expires in 23h 47m). Reset.'). Demonstrates Vision §4.2.</t>
  </si>
  <si>
    <t xml:space="preserve">1) Toggling tier immediately re-gates features across the app. 2) Banner appears when override active; Reset clears it. 3) Switching Enterprise→Pro visibly removes gated features. 4) Audit on every toggle.</t>
  </si>
  <si>
    <t xml:space="preserve">PPIQ-T255</t>
  </si>
  <si>
    <t xml:space="preserve">Archive synthetic seeds out of production boot path</t>
  </si>
  <si>
    <t xml:space="preserve">Seeds / Hygiene</t>
  </si>
  <si>
    <t xml:space="preserve">STARTING POINT (30-May audit — already built): 121_bootstrap_token_sweep + DevSeed concerns; synthetic seeds (112_) still in script set.
WHAT REMAINS — the actual work of this task: Archive synthetic seeds out of the production boot path so demo data is loaded deliberately, never auto-seeded in prod.
FULL REFERENCE SPEC:
Move any synthetic/placeholder seed out of the boot path into Backend/database/seeds/demo-only/, invoked only by the demo reset job and only when tenant.is_demo = true. Any seed touching a real tenant must be explicit and approved.</t>
  </si>
  <si>
    <t xml:space="preserve">1) Grep of API startup shows zero demo-seed calls in the production boot path. 2) A fresh non-demo tenant has zero synthetic rows. 3) The demo tenant re-seeds via reset. 4) Audit shows seed activity only on demo tenants.</t>
  </si>
  <si>
    <t xml:space="preserve">PPIQ-T295</t>
  </si>
  <si>
    <t xml:space="preserve">Operator-friendly first-run wizard: empty-state -&gt; first DB link -&gt; first page</t>
  </si>
  <si>
    <t xml:space="preserve">Onboarding / Demo UX</t>
  </si>
  <si>
    <t xml:space="preserve">[NEW — discovered during the v6 implementation/debugging audit; not present in the 30-May snapshot]
Because the demo IS the first release configured live (Track 3 Golden Rule), the empty-state experience matters. Add a guided first-run flow that walks a brand-new instance from no-config to first DB link to first job to first page, so both the demo and a real pilot's day-one feel intentional rather than blank. Reinforces 'real user experience' and reduces presenter cognitive load.</t>
  </si>
  <si>
    <t xml:space="preserve">1) A fresh instance shows a guided next-step path, not blank panels. 2) The wizard links to the real DB Link / Schema / Page flows (no fake screens). 3) It can be dismissed and re-opened. 4) Validated by configuring a page end-to-end via the wizard.</t>
  </si>
  <si>
    <t xml:space="preserve">P11 — Demo: Storytelling, Personas &amp; Recording    |    6 tasks    |    21 hrs
Vision Track 3 presentation layer, now that the product it narrates is complete. Produce the demo persona accounts, the live end-to-end config proof (configure everything from an empty app, no hardcoding), the 25-step technical script with verification points, the 5-minute executive script, recovery lines for known fail-points, and a recorded dry-run + screenshots. EXIT STATE (healthy): the demo can be delivered and recovered under pressure.</t>
  </si>
  <si>
    <t xml:space="preserve">PPIQ-T260</t>
  </si>
  <si>
    <t xml:space="preserve">Demo persona accounts (Operator, QA Lead, Plant Manager, Admin)</t>
  </si>
  <si>
    <t xml:space="preserve">P11</t>
  </si>
  <si>
    <t xml:space="preserve">Demo Lifecycle / Personas</t>
  </si>
  <si>
    <t xml:space="preserve">STARTING POINT (30-May audit — already built): Auth Users[] has admin/engineer/datamanager/viewer roles (config-based, proven in login work).
WHAT REMAINS — the actual work of this task: Create demo persona accounts (Operator, QA Lead, Plant Manager, Admin). Role scaffolding exists; finalize named personas + scoped views.
FULL REFERENCE SPEC:
Seed four personas via the demo reset job with rotated credentials and tuned home pages (Operator: today's quality events; QA Lead: open investigations; Plant Manager: risk by line; Admin: system health). Role/tier restrictions enforced.</t>
  </si>
  <si>
    <t xml:space="preserve">1) After reset all four log in. 2) Each home page is tuned per spec. 3) Operator cannot reach Admin pages. 4) Credentials documented (gitignored real values, vaulted).</t>
  </si>
  <si>
    <t xml:space="preserve">PPIQ-T248</t>
  </si>
  <si>
    <t xml:space="preserve">Live end-to-end config demo proof (no hardcoding)</t>
  </si>
  <si>
    <t xml:space="preserve">Demo Sources / E2E Proof</t>
  </si>
  <si>
    <t xml:space="preserve">BUILD FROM SCRATCH (30-May audit: Demo lifecycle page exists (Phase56DemoLifecyclePage); full live config demo proof not assembled.).
SPECIFICATION:
Track-3 golden-rule proof: a scripted e2e that, from the HMI only, connects each of the six DB sources + two drops, maps/joins one cross-source view, runs a delta import, builds a page with a script-layer widget, runs an inspection job, and asks the assistant one question — verifying nothing is hardcoded.</t>
  </si>
  <si>
    <t xml:space="preserve">1) The full from-HMI path passes against the demo-sources stack. 2) Each step verified with a concrete checkpoint. 3) No hardcoded page/widget used anywhere. 4) Run completes within the demo time budget.</t>
  </si>
  <si>
    <t xml:space="preserve">PPIQ-T257</t>
  </si>
  <si>
    <t xml:space="preserve">25-step technical demo script with verification points</t>
  </si>
  <si>
    <t xml:space="preserve">Demo Scripts / Technical</t>
  </si>
  <si>
    <t xml:space="preserve">BUILD FROM SCRATCH (30-May audit: No 25-step demo script artifact found.).
SPECIFICATION:
docs/demo/technical-demo-25-steps.md: 25 steps, each with [Action],[Expected UI state],[Verification checkpoint],[Recovery line],[Backend log indicator]. Covers login, connect each source, map/join one, delta sync, Data Quality, save investigation, calculate risk, export PDF, run ML readiness, run an inspection job + view the generated page, ask the assistant a question, view a suggestion, deploy a script-layer widget, view audit log, reset demo. Screenshots match the Standard*-migrated UI.</t>
  </si>
  <si>
    <t xml:space="preserve">1) 25 steps, all five fields populated. 2) Screenshots match the current UI. 3) A new SE runs it end-to-end in &lt; 40 min. 4) Each checkpoint is concrete.</t>
  </si>
  <si>
    <t xml:space="preserve">PPIQ-T258</t>
  </si>
  <si>
    <t xml:space="preserve">5-minute executive demo script with talk track</t>
  </si>
  <si>
    <t xml:space="preserve">Demo Scripts / Executive</t>
  </si>
  <si>
    <t xml:space="preserve">BUILD FROM SCRATCH (30-May audit: No 5-minute executive script found.).
SPECIFICATION:
docs/demo/executive-demo-5min.md: 4 acts (problem 60s; solution 90s; demo 2m30s — search → drilldown → calculate risk → inspection job → ask the assistant → PDF; close 60s). Exact words + the screen to show per act.</t>
  </si>
  <si>
    <t xml:space="preserve">1) Four acts, total 4:30–5:00 measured. 2) Deliverable from the script without rehearsal. 3) Each act references a specific page+state.</t>
  </si>
  <si>
    <t xml:space="preserve">PPIQ-T259</t>
  </si>
  <si>
    <t xml:space="preserve">Recovery lines for known fail-points</t>
  </si>
  <si>
    <t xml:space="preserve">Demo Scripts / Recovery</t>
  </si>
  <si>
    <t xml:space="preserve">BUILD FROM SCRATCH (30-May audit: No recovery-lines doc found.).
SPECIFICATION:
docs/demo/recovery-lines.md: ≥12 known weak points (Oracle warm-up, first connector load, ML run latency, assistant latency, PDF render, network hiccup, stale cache) each with a calm, confident, non-apologetic recovery line + remediation gesture, in brand voice.</t>
  </si>
  <si>
    <t xml:space="preserve">1) ≥12 fail-points covered. 2) Each line is calm and on-brand. 3) Founder review approves the tone.</t>
  </si>
  <si>
    <t xml:space="preserve">PPIQ-T262</t>
  </si>
  <si>
    <t xml:space="preserve">Record dry-run demo video + capture website screenshots</t>
  </si>
  <si>
    <t xml:space="preserve">Track 4 — Website</t>
  </si>
  <si>
    <t xml:space="preserve">Demo Recording / Website Assets</t>
  </si>
  <si>
    <t xml:space="preserve">BUILD FROM SCRATCH (30-May audit: No demo video / screenshot capture artifacts.).
SPECIFICATION:
After prior phases are green, record one 5-minute executive dry-run (screen+voice) on the Standard*-migrated UI and capture 10+ 1080p screenshots (login, dashboard, material search, drilldown, risk, inspection page, assistant, suggestion, PDF, audit, reset) into Website assets.</t>
  </si>
  <si>
    <t xml:space="preserve">1) 5-min video at 1080p+. 2) 10+ screenshots at 1920×1080. 3) Website renders the new assets. 4) In-app/website visual consistency confirmed.</t>
  </si>
  <si>
    <t xml:space="preserve">P12 — Website: 5-Product Showcase &amp; Brand    |    9 tasks    |    28 hrs
Vision Track 4 — the first and best salesperson. Produce the logo asset set, the full PlantProcess IQ product page (feature the AI assistant), the MES/QES/Yard/Energy product pages, pricing + CTA wired to lead capture and the demo lifecycle, evidence-grade screenshots + case-study snippets, and a brand-consistency audit. EXIT STATE (healthy): the website is on-brand and conversion-ready across app + site + reports.</t>
  </si>
  <si>
    <t xml:space="preserve">PPIQ-T263</t>
  </si>
  <si>
    <t xml:space="preserve">Produce the logo asset set per brand brief</t>
  </si>
  <si>
    <t xml:space="preserve">P12</t>
  </si>
  <si>
    <t xml:space="preserve">Web</t>
  </si>
  <si>
    <t xml:space="preserve">Website / Brand Assets</t>
  </si>
  <si>
    <t xml:space="preserve">STARTING POINT (30-May audit — already built): public/brand/plantprocess-iq-engineer-brief.html + SOUBrand.tsx + BrandProofSection exist; full logo asset set not confirmed.
WHAT REMAINS — the actual work of this task: Produce the logo asset set per the brand brief (horizontal/icon/stacked x color/dark/light/mono).
FULL REFERENCE SPEC:
Vision §2.4: produce the full logo set — full horizontal, icon-only favicon, stacked vertical — each in full-color, dark, light, monochrome — from the connected-node concept (Electric Cyan nodes on Deep Navy). Ship optimized SVG + PNG; wire into app header, website, and PDF reports.</t>
  </si>
  <si>
    <t xml:space="preserve">1) All variants exist as SVG+PNG within palette. 2) Favicon + app header + website + PDF header use the correct variant. 3) No drop shadows/recolors/steel-only imagery.</t>
  </si>
  <si>
    <t xml:space="preserve">PPIQ-T264</t>
  </si>
  <si>
    <t xml:space="preserve">PlantProcess IQ product page (full) — feature the AI assistant</t>
  </si>
  <si>
    <t xml:space="preserve">Website / Product Page</t>
  </si>
  <si>
    <t xml:space="preserve">STARTING POINT (30-May audit — already built): Website App.tsx (533L) single-page with proof blocks (PricingLicenseMatrix, ProductScreenshotShowcase, RequestDemoForm, ConnectorHonestyBlock).
WHAT REMAINS — the actual work of this task: Build the full PlantProcess IQ product page featuring the AI assistant. A single combined page exists; expand to the dedicated product page with depth + Golden Rule.
FULL REFERENCE SPEC:
Vision Track 4 product 1: full PlantProcess IQ page — description, benefits, interactive graphics/screenshots, license matrix, golden-rule CTA — and prominently feature the honest, evidence-grade AI assistant ('ask your plant data, every answer cited'). Reuse PricingLicenseMatrix, ProductScreenshotShowcase.</t>
  </si>
  <si>
    <t xml:space="preserve">1) Page covers description/benefits/graphics/license/CTA. 2) The AI assistant is featured with the honest framing. 3) CTA links to the live demo. 4) Responsive across viewports.</t>
  </si>
  <si>
    <t xml:space="preserve">PPIQ-T265</t>
  </si>
  <si>
    <t xml:space="preserve">MES product page (full)</t>
  </si>
  <si>
    <t xml:space="preserve">BUILD FROM SCRATCH (30-May audit: No dedicated MES product page.).
SPECIFICATION:
Vision Track 4 product 2: full Manufacturing Execution System page — description, benefits, interactive graphics, license, golden rule. Consistent brand grammar with the PPIQ page.</t>
  </si>
  <si>
    <t xml:space="preserve">1) Full MES page with all required sections. 2) Brand-consistent with PPIQ page. 3) CTA wired. 4) Responsive.</t>
  </si>
  <si>
    <t xml:space="preserve">PPIQ-T266</t>
  </si>
  <si>
    <t xml:space="preserve">QES product page (full)</t>
  </si>
  <si>
    <t xml:space="preserve">BUILD FROM SCRATCH (30-May audit: No dedicated QES product page.).
SPECIFICATION:
Vision Track 4 product 3: full Quality Execution System page — description, benefits, interactive graphics, license, golden rule.</t>
  </si>
  <si>
    <t xml:space="preserve">1) Full QES page with all required sections. 2) Brand-consistent. 3) CTA wired. 4) Responsive.</t>
  </si>
  <si>
    <t xml:space="preserve">PPIQ-T267</t>
  </si>
  <si>
    <t xml:space="preserve">Yard &amp; Warehouse Management product page (full)</t>
  </si>
  <si>
    <t xml:space="preserve">BUILD FROM SCRATCH (30-May audit: No dedicated Yard &amp; Warehouse product page.).
SPECIFICATION:
Vision Track 4 product 4: full Yard &amp; Warehouse Management page — description, benefits, interactive graphics, license, golden rule.</t>
  </si>
  <si>
    <t xml:space="preserve">1) Full page with all required sections. 2) Brand-consistent. 3) CTA wired. 4) Responsive.</t>
  </si>
  <si>
    <t xml:space="preserve">PPIQ-T268</t>
  </si>
  <si>
    <t xml:space="preserve">Energy Management product page (full)</t>
  </si>
  <si>
    <t xml:space="preserve">BUILD FROM SCRATCH (30-May audit: No dedicated Energy Management product page.).
SPECIFICATION:
Vision Track 4 product 5: full Energy Management page — description, benefits, interactive graphics, license, golden rule.</t>
  </si>
  <si>
    <t xml:space="preserve">PPIQ-T269</t>
  </si>
  <si>
    <t xml:space="preserve">Pricing + CTA wired to lead capture &amp; demo lifecycle</t>
  </si>
  <si>
    <t xml:space="preserve">Website / Pricing &amp; CTA</t>
  </si>
  <si>
    <t xml:space="preserve">STARTING POINT (30-May audit — already built): RequestDemoForm.tsx (162L) + PricingLicenseMatrix.tsx (65L) present.
WHAT REMAINS — the actual work of this task: Pricing + CTA exist; wire CTA to lead capture + demo lifecycle end-to-end.
FULL REFERENCE SPEC:
Three tiers (Pro/Pro Plus/Enterprise) with a feature matrix consistent with in-app licensing; 'Book a demo' posts to /api/leads with UTM params and triggers a calendar booking flow; leads reach the founder. Website CTA buttons match the in-app brand grammar.</t>
  </si>
  <si>
    <t xml:space="preserve">1) Pricing renders three tiers + feature matrix matching in-app gating. 2) Book-a-demo submits a lead and shows a booking flow. 3) Lead notification reaches the founder. 4) Brand consistency with the app.</t>
  </si>
  <si>
    <t xml:space="preserve">PPIQ-T270</t>
  </si>
  <si>
    <t xml:space="preserve">Evidence-grade screenshots + case-study snippets</t>
  </si>
  <si>
    <t xml:space="preserve">Website / Proof</t>
  </si>
  <si>
    <t xml:space="preserve">BUILD FROM SCRATCH (30-May audit: ProductScreenshotShowcase.tsx exists as a shell; no evidence-grade screenshots/case studies.).
SPECIFICATION:
Integrate the T262 screenshots into hero/features/proof with 'See it in the live demo' deep links, plus one evidence-grade case-study paragraph for the canonical plant (no exaggeration, brand voice).</t>
  </si>
  <si>
    <t xml:space="preserve">1) Hero/features/proof show post-migration UI. 2) CTAs deep-link to the page shown. 3) Case-study snippet is evidence-grade and on-brand.</t>
  </si>
  <si>
    <t xml:space="preserve">PPIQ-T271</t>
  </si>
  <si>
    <t xml:space="preserve">Brand identity consistency audit (app + website + reports)</t>
  </si>
  <si>
    <t xml:space="preserve">Website / Brand Audit</t>
  </si>
  <si>
    <t xml:space="preserve">BUILD FROM SCRATCH (30-May audit: Brand tokens exist in app + website; no formal consistency audit.).
SPECIFICATION:
Audit palette, typography (Inter / JetBrains Mono), logo usage, and tone across app, website, and PDF reports; fix any drift. Produce docs/brand/consistency-audit-{date}.md.</t>
  </si>
  <si>
    <t xml:space="preserve">1) Palette/typography/logo usage consistent across all three surfaces. 2) PDF reports use the light-mode brand header/footer. 3) Audit document lists and resolves every drift.</t>
  </si>
  <si>
    <t xml:space="preserve">P13 — Legal, Runbooks &amp; Documentation    |    7 tasks    |    22.5 hrs
Commercial and operational readiness. The deployment runbook (capturing the hard-won login/deploy knowledge), the incident-response runbook + daily backup, UI-Standards onboarding, the AI/ML architecture + tenant-isolation/audit docs, and the legal pack (mutual NDA, pilot SOW, GDPR DPA + LLM-provider disclosure). EXIT STATE (healthy): you can sign a pilot and operate it safely.</t>
  </si>
  <si>
    <t xml:space="preserve">PPIQ-T275</t>
  </si>
  <si>
    <t xml:space="preserve">Deployment runbook (server, Compose, Caddy, Jenkins)</t>
  </si>
  <si>
    <t xml:space="preserve">P13</t>
  </si>
  <si>
    <t xml:space="preserve">Runbook / Deployment</t>
  </si>
  <si>
    <t xml:space="preserve">STARTING POINT (30-May audit — already built): Deployment knowledge now exists informally (Compose, Caddy, MigrateAsync, PlantProcess:Auth binding, kill-by-port, real-admin!=bootstrap). docker-compose.demo.yml + Caddyfile + Jenkinsfile present.
WHAT REMAINS — the actual work of this task: Write the deployment runbook and CAPTURE the hard-won login/deploy knowledge: auth binds from PlantProcess:Auth (not Auth); real-admin password must differ from bootstrap; dotnet run listens as PlantProcess.Api.exe so kill by PORT not name; MigrateAsync at startup; __ env convention; Docker service-name host; frontend VITE_SMOKE_PASSWORD must match backend admin.
FULL REFERENCE SPEC:
docs/runbook/deployment.md: bootstrap a fresh Hetzner Ubuntu server from zero to running PPIQ in &lt; 30 min — SSH hardening, Docker, repo clone, .env prep, Caddy + Caddyfile, Jenkins + plugins + webhook + the Node tool fix (T201), first deploy, post-deploy verification. Each step has the exact command, expected output, and failure-and-remediation note.</t>
  </si>
  <si>
    <t xml:space="preserve">1) A new engineer bootstraps a fresh server in &lt; 30 min. 2) Every command verified live. 3) Failure modes documented with fixes. 4) Includes the Node/Jenkins fix so the build is green from scratch.</t>
  </si>
  <si>
    <t xml:space="preserve">PPIQ-T276</t>
  </si>
  <si>
    <t xml:space="preserve">Incident-response runbook + daily backup job</t>
  </si>
  <si>
    <t xml:space="preserve">Runbook / Incident Response</t>
  </si>
  <si>
    <t xml:space="preserve">BUILD FROM SCRATCH (30-May audit: 096 audit-log immutability + general hardening exist; no incident-response runbook or daily backup job.).
SPECIFICATION:
docs/runbook/incident-response.md: rollback to the previous container tag &lt; 5 min, restore from Postgres backup, restore from audit-log replay, customer comms templates, severity matrix, escalation. Verify a daily backup job exists; if not, build it (offsite/encrypted).</t>
  </si>
  <si>
    <t xml:space="preserve">1) Runbook covers the four scenarios with concrete commands. 2) Daily backup job exists, runs, stores backups offsite encrypted. 3) Restore tested end-to-end in a sandbox &lt; 30 min. 4) Severity matrix + comms templates approved.</t>
  </si>
  <si>
    <t xml:space="preserve">PPIQ-T277</t>
  </si>
  <si>
    <t xml:space="preserve">UI Standards onboarding for future contributors</t>
  </si>
  <si>
    <t xml:space="preserve">Documentation / Onboarding</t>
  </si>
  <si>
    <t xml:space="preserve">STARTING POINT (30-May audit — already built): UI Standards Reference sheet + Standard* components + ESLint enforcement constitute de-facto onboarding.
WHAT REMAINS — the actual work of this task: Write the UI Standards onboarding doc for future contributors (codify what the sheet + ESLint already enforce).
FULL REFERENCE SPEC:
docs/ui-standards/contributing.md: canonical import paths, the ESLint rules, how to add/extend a Standard* component without breaking the contract, how to update design tokens. Reference the Storybook URL. Worked example: add a ProgressBar primitive in &lt; 60 min.</t>
  </si>
  <si>
    <t xml:space="preserve">1) Document references all Standard* primitives. 2) Worked example is reproducible. 3) A new contributor authors a primitive PR in &lt; 60 min.</t>
  </si>
  <si>
    <t xml:space="preserve">PPIQ-T279</t>
  </si>
  <si>
    <t xml:space="preserve">AI/ML subsystem architecture doc + tenant isolation &amp; audit doc</t>
  </si>
  <si>
    <t xml:space="preserve">Documentation / Architecture</t>
  </si>
  <si>
    <t xml:space="preserve">STARTING POINT (30-May audit — already built): ml-engine-and-assistant-design.md exists (architecture); no tenant-isolation &amp; audit doc.
WHAT REMAINS — the actual work of this task: Write the AI/ML subsystem architecture doc (can draw on the design md) + the tenant-isolation &amp; audit doc.
FULL REFERENCE SPEC:
Two docs for SOC 2 and customer security reviews: (1) docs/architecture/ml-engine-and-assistant-design.md committed and kept current with the implementation (the transparent-engine + RAG-assistant design, honesty contract, in-house-vs-API boundary); (2) docs/architecture/security-and-isolation.md — SingleTenantPerPilot, tenant_id row-level security, audit-log immutability triggers, retention defaults, encryption at rest/in transit, key rotation, backup encryption. Cross-reference AuditLogImmutabilityTests.cs.</t>
  </si>
  <si>
    <t xml:space="preserve">1) The ML design doc matches the shipped engine + assistant. 2) The security doc covers all topics with diagrams. 3) Diagrams checked in as source + PNG. 4) Founder + counsel review for accuracy.</t>
  </si>
  <si>
    <t xml:space="preserve">PPIQ-T272</t>
  </si>
  <si>
    <t xml:space="preserve">Mutual NDA template</t>
  </si>
  <si>
    <t xml:space="preserve">Legal / NDA</t>
  </si>
  <si>
    <t xml:space="preserve">BUILD FROM SCRATCH (30-May audit: No NDA template found.).
SPECIFICATION:
docs/legal/NDA-mutual-v1.docx parameterized for {EffectiveDate}{Counterparty}{Term}: confidential-info definition, exclusions, term (default 3y), purpose limitation, return of materials, no implied license, governing law (Düsseldorf / German law default). Counsel review before first use. Plain-md version for diffing.</t>
  </si>
  <si>
    <t xml:space="preserve">1) Docx template renders with placeholders. 2) Counsel sign-off captured in docs/legal/REVIEWS.md. 3) MD diff version checked in.</t>
  </si>
  <si>
    <t xml:space="preserve">PPIQ-T273</t>
  </si>
  <si>
    <t xml:space="preserve">SOW pilot template</t>
  </si>
  <si>
    <t xml:space="preserve">Legal / SOW</t>
  </si>
  <si>
    <t xml:space="preserve">BUILD FROM SCRATCH (30-May audit: No SOW template found.).
SPECIFICATION:
docs/legal/SOW-pilot-v1.docx: scope (sources connected, modules enabled, success metrics), duration (default 8 weeks), price, deliverables, acceptance criteria, change-control. Aligned with the pricing model. Counsel review.</t>
  </si>
  <si>
    <t xml:space="preserve">1) Docx template renders with placeholders. 2) Pricing fields match the website pricing page. 3) Counsel sign-off captured.</t>
  </si>
  <si>
    <t xml:space="preserve">PPIQ-T274</t>
  </si>
  <si>
    <t xml:space="preserve">DPA template aligned with GDPR (+ LLM provider disclosure)</t>
  </si>
  <si>
    <t xml:space="preserve">Legal / DPA</t>
  </si>
  <si>
    <t xml:space="preserve">BUILD FROM SCRATCH (30-May audit: No DPA template found.).
SPECIFICATION:
docs/legal/DPA-gdpr-v1.docx: controller/processor roles, processing purposes, data categories, subprocessors (Hetzner; and ANY external LLM/embedding provider IF the assistant's API mode is enabled — with the data-minimization note that only abstracted findings are sent), security measures, breach notification (72h), audit rights, retention, deletion on termination. Counsel review.</t>
  </si>
  <si>
    <t xml:space="preserve">1) Docx template renders with placeholders. 2) Subprocessor list matches the actual deployment incl. any LLM provider. 3) The air-gapped/disable-AI option is documented. 4) Counsel sign-off captured.</t>
  </si>
  <si>
    <t xml:space="preserve">Implementation Audit &amp; v7 Re-sequencing</t>
  </si>
  <si>
    <t xml:space="preserve">Status is evidence-based: every task was checked against the 30-May code snapshot (endpoints, services, entities, SQL, frontend, CI). 'Done' = capability present (a one-time confirmation may remain); 'Partial' = real scaffolding with concrete gaps; 'Not Started' = essentially absent. Each task now carries ONE authoritative Description (folding current-state + what to build) and ONE Validation.</t>
  </si>
  <si>
    <t xml:space="preserve">v8 update (31-May 12:56 re-audit): P01 auth/deploy hardening largely DONE (StartupConfigurationValidator rejects legacy Auth:* keys &amp; enforces a Production bootstrap sentinel; kill-by-PORT scripts; server-exposure verifier; Postgres off 0.0.0.0). The ML ENGINE moved from 'not started' to real: learning core 204_ (Pearson/point-biserial/Cramer's-V, BH q-values, effect-size buckets, effective-n), 4 jobs registered, on-demand /api/ml/learning, and the narrative/embedding provider trio. Two gaps remain front-of-mind: (1) the learning jobs are not yet SCHEDULED in the Worker (T217 — it still runs only Import/Quality/Risk/Delta); (2) the CONVERSATIONAL AI ASSISTANT does not exist — no agent/tool layer (T232), no chat UI (T233). The voice (providers) and the brain (stats) are built; the assistant that orchestrates them is the key remaining ML deliverable.</t>
  </si>
  <si>
    <t xml:space="preserve">v9 update: added Phase 0 — Test Foundation (8 tasks, ~67h). The suite is audited, repaired, covered, and made a regression gate BEFORE the feature/hardening phases proceed. See the Test Register sheet for the per-file delete/modify/keep/add/transfer decisions (113 files): 8 DELETE, 31 MODIFY, 14 ADD, 5 validation scripts TRANSFER→TEST, 11 RETIRE, 8 KEEP-AS-GATE, 36 KEEP. Phase 0 is Not Started, so headline status %s are unchanged except the denominator grows to 103 tasks.</t>
  </si>
  <si>
    <t xml:space="preserve">Count</t>
  </si>
  <si>
    <t xml:space="preserve">% of tasks</t>
  </si>
  <si>
    <t xml:space="preserve">TOTAL</t>
  </si>
  <si>
    <t xml:space="preserve">How v7 is re-grouped (your four rules)</t>
  </si>
  <si>
    <t xml:space="preserve">•  RULE 1 — importance first: P01 makes the app reliably build/login/deploy (foundation + demo-protection); P02 the data backbone; P03 the page builder you demo; P04–P09 the AI/ML differentiator; P10 hardening; P11 demo; P12 website; P13 legal/docs.</t>
  </si>
  <si>
    <t xml:space="preserve">•  RULE 2 — same feature together: the v6 bug-fixes and enhancements are no longer appended at the end. The login/auth/deploy bugs sit WITH the build-green work in P01; the genealogy + downtime-outcome + provider-abstraction enhancements sit WITH the data/ML phases they belong to; the page-model enhancement leads the page-builder phase.</t>
  </si>
  <si>
    <t xml:space="preserve">•  RULE 3 — healthy end state: every phase carries an explicit EXIT STATE (green pipeline, all sources connected, a user-built page reloads, the engine recovers known correlations, etc.). No phase ends with a broken build, page, or connection.</t>
  </si>
  <si>
    <t xml:space="preserve">•  RULE 4 — prerequisites first: e.g. the 8 split sources (P02) precede the genealogy spine and the feature store that consume them; and the FULL auth matrix (T204) was deliberately MOVED from the old P01 to P10 because it must cover /api/ml/* endpoints that only exist after P04–P09.</t>
  </si>
  <si>
    <t xml:space="preserve">What the audit found</t>
  </si>
  <si>
    <t xml:space="preserve">•  DONE/strong: build-green hotfixes (T201–T203, T205); all six DB connectors; two-stage delta import; schema-mapping engine (T206); widget builder + script layer (T242 — corrects the old 'unstarted' note); transparent risk scorer (T236); ML data-foundation SQL incl. pgvector KB (T209/T213).</t>
  </si>
  <si>
    <t xml:space="preserve">•  PARTIAL: feature store/outcomes/compute-interface scaffolding exists but the LEARNING ENGINE does not; a rich per-widget builder exists but no page CANVAS or user-created PageDefinition; a 23MB coherent dataset exists but is NOT split across 8 sources; license context exists but the live tier toggle is unfinished.</t>
  </si>
  <si>
    <t xml:space="preserve">•  NOT STARTED (largest gaps): the four scheduled learning jobs + statistical-validity machinery (T214–T216); inspection→generated-pages (T220–T224); suggestion feed (T226–T229); conversational assistant (T230–T235); HeatMap (T249); demo-sources compose (T245); demo scripts/personas/video; the 5 website product pages; legal templates; runbooks.</t>
  </si>
  <si>
    <t xml:space="preserve">Phase 0 — Test Register (delete / modify / keep / add / transfer), grounded in the 31-May snapshot</t>
  </si>
  <si>
    <t xml:space="preserve">Disposition legend: DELETE = remove (no-op/duplicate, replaced); MODIFY = real intent, fix/strengthen assertions or de-brittle; KEEP = already strong, leave (maybe minor align); ADD = brand-new test for an uncovered area; TRANSFER→TEST = a behavioural validation script becomes a real test; KEEP-AS-GATE = pure structural check stays a CI/ESLint gate; RETIRE = per-phase acceptance script superseded by real tests.</t>
  </si>
  <si>
    <t xml:space="preserve">Area</t>
  </si>
  <si>
    <t xml:space="preserve">File</t>
  </si>
  <si>
    <t xml:space="preserve">Lines</t>
  </si>
  <si>
    <t xml:space="preserve">Disposition</t>
  </si>
  <si>
    <t xml:space="preserve">Rationale / Action</t>
  </si>
  <si>
    <t xml:space="preserve">Maps to Task</t>
  </si>
  <si>
    <t xml:space="preserve">BACKEND UNIT</t>
  </si>
  <si>
    <t xml:space="preserve">Backend unit</t>
  </si>
  <si>
    <t xml:space="preserve">PlantProcess.Api.IntegrationTests/ApiTestEnvironmentTests.cs</t>
  </si>
  <si>
    <t xml:space="preserve">DELETE</t>
  </si>
  <si>
    <t xml:space="preserve">No-op smoke (true.Should().BeTrue()). Remove once the project has real integration tests (T303).</t>
  </si>
  <si>
    <t xml:space="preserve">PlantProcess.Application.UnitTests/ApplicationTestEnvironmentTests.cs</t>
  </si>
  <si>
    <t xml:space="preserve">Asserts only that the assembly loads. Superseded by real Application unit tests.</t>
  </si>
  <si>
    <t xml:space="preserve">PlantProcess.Domain.Tests/DomainTestEnvironmentTests.cs</t>
  </si>
  <si>
    <t xml:space="preserve">Assembly-load smoke only. Domain logic gets real tests instead.</t>
  </si>
  <si>
    <t xml:space="preserve">PlantProcess.PerformanceTests/PerformanceTestEnvironmentTests.cs</t>
  </si>
  <si>
    <t xml:space="preserve">No-op smoke. Replace with a real perf assertion or remove the project from the gate.</t>
  </si>
  <si>
    <t xml:space="preserve">PlantProcess.Api.IntegrationTests/AssemblyInfo.cs</t>
  </si>
  <si>
    <t xml:space="preserve">KEEP</t>
  </si>
  <si>
    <t xml:space="preserve">Not a test (collection/parallelism attributes). Leave as-is.</t>
  </si>
  <si>
    <t xml:space="preserve">PlantProcess.Application.UnitTests/Common/ApplicationResultTests.cs</t>
  </si>
  <si>
    <t xml:space="preserve">Real result-type tests. Keep.</t>
  </si>
  <si>
    <t xml:space="preserve">PlantProcess.Application.UnitTests/Common/PageRequestTests.cs</t>
  </si>
  <si>
    <t xml:space="preserve">Real pagination tests. Keep.</t>
  </si>
  <si>
    <t xml:space="preserve">PlantProcess.Application.UnitTests/Common/TextNormalizerTests.cs</t>
  </si>
  <si>
    <t xml:space="preserve">Real normalizer tests. Keep.</t>
  </si>
  <si>
    <t xml:space="preserve">PlantProcess.Application.UnitTests/Dashboarding/WidgetQueryExpressionServiceTests.cs</t>
  </si>
  <si>
    <t xml:space="preserve">MODIFY</t>
  </si>
  <si>
    <t xml:space="preserve">Expand expression safety/validation cases (CTE, nested, disallowed funcs) to match the 418L service (T302).</t>
  </si>
  <si>
    <t xml:space="preserve">PlantProcess.Application.UnitTests/Licensing/LicenseServiceTests.cs</t>
  </si>
  <si>
    <t xml:space="preserve">Strong license tests. Keep; add any new tier-feature corner cases (T302).</t>
  </si>
  <si>
    <t xml:space="preserve">PlantProcess.Application.UnitTests/Security/SafeSqlPolicyTests.cs</t>
  </si>
  <si>
    <t xml:space="preserve">Strong SafeSql policy suite. Keep; extend with new cross-tenant/CTE edges (T302).</t>
  </si>
  <si>
    <t xml:space="preserve">PlantProcess.Domain.Tests/Architecture/DomainArchitectureTests.cs</t>
  </si>
  <si>
    <t xml:space="preserve">Architecture guard (layer boundaries). Valuable — keep.</t>
  </si>
  <si>
    <t xml:space="preserve">PlantProcess.Domain.Tests/Dashboarding/DashboardWidgetDefinitionExpressionTests.cs</t>
  </si>
  <si>
    <t xml:space="preserve">Real domain expression tests. Keep.</t>
  </si>
  <si>
    <t xml:space="preserve">(NEW) Analytics/RiskScoreServiceTests.cs</t>
  </si>
  <si>
    <t xml:space="preserve">ADD</t>
  </si>
  <si>
    <t xml:space="preserve">Assert exact additive contribution decomposition + explanation shape on a known vector.</t>
  </si>
  <si>
    <t xml:space="preserve">(NEW) Analytics/FeatureEngineeringServiceTests.cs</t>
  </si>
  <si>
    <t xml:space="preserve">Assert derived features (cev, true_superheat, casting speed delta, residency, shift) vs hand-computed values.</t>
  </si>
  <si>
    <t xml:space="preserve">(NEW) Analytics/MlReadinessServiceTests.cs</t>
  </si>
  <si>
    <t xml:space="preserve">Assert readiness gate thresholds both sides of the boundary.</t>
  </si>
  <si>
    <t xml:space="preserve">(NEW) Analytics/QualityLabelBuilderServiceTests.cs</t>
  </si>
  <si>
    <t xml:space="preserve">Assert quality-label derivation for defect classes/severity.</t>
  </si>
  <si>
    <t xml:space="preserve">BACKEND INTEGRATION</t>
  </si>
  <si>
    <t xml:space="preserve">Backend integration</t>
  </si>
  <si>
    <t xml:space="preserve">PlantProcess.Api.IntegrationTests/Connectors/ConnectorTruthContractTests.cs</t>
  </si>
  <si>
    <t xml:space="preserve">Real contract test for connector truth panel. Align with live demo-source containers (T303).</t>
  </si>
  <si>
    <t xml:space="preserve">PlantProcess.Api.IntegrationTests/Health/HealthEndpointTests.cs</t>
  </si>
  <si>
    <t xml:space="preserve">Thin but valid health check. Keep.</t>
  </si>
  <si>
    <t xml:space="preserve">PlantProcess.Api.IntegrationTests/Import/DeltaImportResumabilityTests.cs</t>
  </si>
  <si>
    <t xml:space="preserve">Grew to 123L (Stage1Stage2AndFullCycle, MaxRowsSmallBatch, RejectsAnonymousAccess). Add an explicit mid-batch CRASH→resume-with-no-duplicates and schema-drift case (T303).</t>
  </si>
  <si>
    <t xml:space="preserve">PlantProcess.Api.IntegrationTests/Infrastructure/AuthenticatedApiTestBase.cs</t>
  </si>
  <si>
    <t xml:space="preserve">Solid shared harness (real DB + auth). Reuse for the new ML/data integration tests.</t>
  </si>
  <si>
    <t xml:space="preserve">PlantProcess.Api.IntegrationTests/OpenApi/OpenApiContractTests.cs</t>
  </si>
  <si>
    <t xml:space="preserve">Good idea; extend to assert the ML + page-builder endpoints appear in the OpenAPI doc as they land.</t>
  </si>
  <si>
    <t xml:space="preserve">PlantProcess.Api.IntegrationTests/Security/AuthEndpointTests.cs</t>
  </si>
  <si>
    <t xml:space="preserve">Covers basic login. Extend to the full gate matrix: empty→400, bootstrap-collision→403, valid→200, bad role, short signing key→500 (T303).</t>
  </si>
  <si>
    <t xml:space="preserve">PlantProcess.Api.IntegrationTests/Security/SchemaConfigurationSafetyEndpointTests.cs</t>
  </si>
  <si>
    <t xml:space="preserve">Extend to assert the THREE named resolver errors and SafeSqlValidator blocking generated join SQL (T303).</t>
  </si>
  <si>
    <t xml:space="preserve">PlantProcess.Api.IntegrationTests/Smoke/ApiEndpointCatalogSmokeTests.cs</t>
  </si>
  <si>
    <t xml:space="preserve">Useful endpoint-catalog smoke. Keep as a fast gate.</t>
  </si>
  <si>
    <t xml:space="preserve">PlantProcess.Api.IntegrationTests/Smoke/ApiSmokeEndpointTests.cs</t>
  </si>
  <si>
    <t xml:space="preserve">Overlaps the catalog smoke; merge into one smoke spec to cut duplication.</t>
  </si>
  <si>
    <t xml:space="preserve">PlantProcess.Infrastructure.IntegrationTests/Audit/AuditLogImmutabilityTests.cs</t>
  </si>
  <si>
    <t xml:space="preserve">Excellent immutability suite (real Postgres). Keep; extend to new audit surfaces.</t>
  </si>
  <si>
    <t xml:space="preserve">PlantProcess.Infrastructure.IntegrationTests/Connectors/CsvConnectorSmokeTests.cs</t>
  </si>
  <si>
    <t xml:space="preserve">Real CSV smoke. Add golden-file assertions + run against demo-source data (T303).</t>
  </si>
  <si>
    <t xml:space="preserve">PlantProcess.Infrastructure.IntegrationTests/Connectors/ExcelConnectorSmokeTests.cs</t>
  </si>
  <si>
    <t xml:space="preserve">Real Excel smoke. Add golden-file assertions (T303).</t>
  </si>
  <si>
    <t xml:space="preserve">PlantProcess.Infrastructure.IntegrationTests/InfrastructureTestEnvironmentTests.cs</t>
  </si>
  <si>
    <t xml:space="preserve">Assembly-load smoke only.</t>
  </si>
  <si>
    <t xml:space="preserve">(NEW) Analytics/MlLearningCoreIntegrationTests.cs</t>
  </si>
  <si>
    <t xml:space="preserve">Run ppiq_ml_seed_phase45_golden_dataset + ppiq_ml_run_learning_job_v1 on real PG; assert correlation recovery, BH q-values, FDR rejection. Replaces validate-v7-phase04-phase05 regex.</t>
  </si>
  <si>
    <t xml:space="preserve">(NEW) Security/AuthGateMatrixTests.cs</t>
  </si>
  <si>
    <t xml:space="preserve">Assert the full login gate matrix at the API (empty/bootstrap-collision/valid/role/short-key).</t>
  </si>
  <si>
    <t xml:space="preserve">(NEW) Database/SqlScriptHygieneApplyTests.cs</t>
  </si>
  <si>
    <t xml:space="preserve">Apply ALL ordered scripts on a fresh PG under ON_ERROR_STOP=1; assert clean apply + BOM-free. Replaces validate-sql-script-hygiene regex.</t>
  </si>
  <si>
    <t xml:space="preserve">FRONTEND UNIT</t>
  </si>
  <si>
    <t xml:space="preserve">Frontend unit</t>
  </si>
  <si>
    <t xml:space="preserve">src/api/legacy/__tests__/plantProcessApi.contract.test.ts</t>
  </si>
  <si>
    <t xml:space="preserve">Legacy API contract; align with the current apiClient and shrink legacy surface (noLegacyApiGrowth already guards). </t>
  </si>
  <si>
    <t xml:space="preserve">src/components/__tests__/ActiveFilterChips.test.tsx</t>
  </si>
  <si>
    <t xml:space="preserve">Real component test. Keep.</t>
  </si>
  <si>
    <t xml:space="preserve">src/components/__tests__/AsyncState.test.tsx</t>
  </si>
  <si>
    <t xml:space="preserve">Thin; expand to loading/error/empty/success transitions.</t>
  </si>
  <si>
    <t xml:space="preserve">src/components/__tests__/LockedFeatureOverlay.test.tsx</t>
  </si>
  <si>
    <t xml:space="preserve">Thin; assert license-gated render + CTA.</t>
  </si>
  <si>
    <t xml:space="preserve">src/components/__tests__/MetricCard.test.tsx</t>
  </si>
  <si>
    <t xml:space="preserve">Real test. Keep.</t>
  </si>
  <si>
    <t xml:space="preserve">src/components/__tests__/SortableDataTable.virtualization.test.tsx</t>
  </si>
  <si>
    <t xml:space="preserve">Real virtualization test. Keep.</t>
  </si>
  <si>
    <t xml:space="preserve">src/components/__tests__/StatusBadge.test.tsx</t>
  </si>
  <si>
    <t xml:space="preserve">src/components/standard/__tests__/StandardButton.test.tsx</t>
  </si>
  <si>
    <t xml:space="preserve">Good; complete ALL variants/states per UI Standards Reference + refresh snapshot.</t>
  </si>
  <si>
    <t xml:space="preserve">src/components/standard/__tests__/StandardTable.test.tsx</t>
  </si>
  <si>
    <t xml:space="preserve">Complete loading/error/empty/sorted/paginated + 'Refreshing X…' pattern.</t>
  </si>
  <si>
    <t xml:space="preserve">src/components/standard/__tests__/StandardTabs.test.tsx</t>
  </si>
  <si>
    <t xml:space="preserve">Add overflow-scroll + keyboard-focus + urlParam state.</t>
  </si>
  <si>
    <t xml:space="preserve">src/hooks/__tests__/useInlineFormValidation.test.tsx</t>
  </si>
  <si>
    <t xml:space="preserve">Real hook test. Keep.</t>
  </si>
  <si>
    <t xml:space="preserve">src/test/architecture/frontendArchitecture.test.ts</t>
  </si>
  <si>
    <t xml:space="preserve">Architecture guard. Keep.</t>
  </si>
  <si>
    <t xml:space="preserve">src/test/architecture/noLegacyApiGrowth.test.ts</t>
  </si>
  <si>
    <t xml:space="preserve">Prevents legacy API growth. Keep.</t>
  </si>
  <si>
    <t xml:space="preserve">src/test/integration/mockedApi.integration.test.ts</t>
  </si>
  <si>
    <t xml:space="preserve">Stub (12L). Turn into a real mocked-API integration test for a key flow or delete.</t>
  </si>
  <si>
    <t xml:space="preserve">src/test/smoke/frontendSmoke.test.ts</t>
  </si>
  <si>
    <t xml:space="preserve">7-line smoke; superseded by route-smoke e2e + real unit tests.</t>
  </si>
  <si>
    <t xml:space="preserve">(NEW) src/api/__tests__/apiClient.retry-backoff.test.ts</t>
  </si>
  <si>
    <t xml:space="preserve">Assert capped retries + backoff and 401/403/500/network → distinct outcomes (T280/T281).</t>
  </si>
  <si>
    <t xml:space="preserve">(NEW) src/state/__tests__/AuthContext.bootstrap.test.tsx</t>
  </si>
  <si>
    <t xml:space="preserve">Assert no infinite re-login loop on failing bootstrap; bounded attempts.</t>
  </si>
  <si>
    <t xml:space="preserve">(NEW) src/state/__tests__/LicenseContext.gating.test.tsx</t>
  </si>
  <si>
    <t xml:space="preserve">Assert tier→feature visibility and the override banner.</t>
  </si>
  <si>
    <t xml:space="preserve">(NEW) src/components/standard/__tests__/DataFetchBoundary.test.tsx</t>
  </si>
  <si>
    <t xml:space="preserve">Assert loading/error/auto-retry + forbidden-phrase guard.</t>
  </si>
  <si>
    <t xml:space="preserve">(NEW) src/pages/PageBuilder/__tests__/pageBuilderReducer.test.ts</t>
  </si>
  <si>
    <t xml:space="preserve">Assert layout add/move/resize/remove state transitions.</t>
  </si>
  <si>
    <t xml:space="preserve">E2E</t>
  </si>
  <si>
    <t xml:space="preserve">e2e/golden-path.spec.ts</t>
  </si>
  <si>
    <t xml:space="preserve">Strongest journey spec. Keep as the canonical happy-path; align selectors.</t>
  </si>
  <si>
    <t xml:space="preserve">e2e/dashboard-refresh-filter.spec.ts</t>
  </si>
  <si>
    <t xml:space="preserve">Rich refresh/filter coverage. Keep.</t>
  </si>
  <si>
    <t xml:space="preserve">e2e/hardening-matrix.spec.ts</t>
  </si>
  <si>
    <t xml:space="preserve">Broad hardening coverage. Keep; align with consolidated journeys.</t>
  </si>
  <si>
    <t xml:space="preserve">e2e/security/auth-matrix-admin.spec.ts</t>
  </si>
  <si>
    <t xml:space="preserve">Full 3-identity matrix incl /api/ml/*. Keep; extend to /api/ml/learning (T204).</t>
  </si>
  <si>
    <t xml:space="preserve">e2e/admin-schema-focused.spec.ts</t>
  </si>
  <si>
    <t xml:space="preserve">Real schema-config flow. Keep.</t>
  </si>
  <si>
    <t xml:space="preserve">e2e/widget-builder-focused.spec.ts</t>
  </si>
  <si>
    <t xml:space="preserve">Real widget-builder flow. Keep; fold into the page-builder journey.</t>
  </si>
  <si>
    <t xml:space="preserve">e2e/admin-db-focused.spec.ts</t>
  </si>
  <si>
    <t xml:space="preserve">Real DB-link flow. Keep; part of the data-lifecycle journey.</t>
  </si>
  <si>
    <t xml:space="preserve">e2e/api-smoke.spec.ts</t>
  </si>
  <si>
    <t xml:space="preserve">API smoke. Keep as fast gate.</t>
  </si>
  <si>
    <t xml:space="preserve">e2e/license-and-demo-lifecycle.spec.ts</t>
  </si>
  <si>
    <t xml:space="preserve">Real license/demo flow. Keep as the license-toggle journey.</t>
  </si>
  <si>
    <t xml:space="preserve">e2e/phase1-golden-demo.spec.ts</t>
  </si>
  <si>
    <t xml:space="preserve">Merge into the data-lifecycle journey; drop the phase-number name.</t>
  </si>
  <si>
    <t xml:space="preserve">e2e/phase1-security-hardening.spec.ts</t>
  </si>
  <si>
    <t xml:space="preserve">Fold into hardening-matrix; remove duplication.</t>
  </si>
  <si>
    <t xml:space="preserve">e2e/phase2-chart-interaction.spec.ts</t>
  </si>
  <si>
    <t xml:space="preserve">Fold chart-interaction into the dashboard journey.</t>
  </si>
  <si>
    <t xml:space="preserve">e2e/phase2-backend-outage.spec.ts</t>
  </si>
  <si>
    <t xml:space="preserve">Rename to resilience journey; keep the outage assertions (no fake failure).</t>
  </si>
  <si>
    <t xml:space="preserve">e2e/p1-risk-dataquality-contract.spec.ts</t>
  </si>
  <si>
    <t xml:space="preserve">Fold into risk/data-quality journey; strengthen assertions.</t>
  </si>
  <si>
    <t xml:space="preserve">e2e/dimension2-dimension6-readiness.spec.ts</t>
  </si>
  <si>
    <t xml:space="preserve">Obscure naming; rename by behaviour or merge into readiness checks.</t>
  </si>
  <si>
    <t xml:space="preserve">e2e/phase1-button-action-matrix.spec.ts</t>
  </si>
  <si>
    <t xml:space="preserve">Valuable action-matrix; rename and extend to ML/page-builder controls (T253).</t>
  </si>
  <si>
    <t xml:space="preserve">e2e/nav-graph-refresh-survival.spec.ts</t>
  </si>
  <si>
    <t xml:space="preserve">Merge with phase1-route-refresh + phase2-navigation-refresh into one refresh-survival spec.</t>
  </si>
  <si>
    <t xml:space="preserve">e2e/phase2-navigation-refresh-survival.spec.ts</t>
  </si>
  <si>
    <t xml:space="preserve">Duplicate of nav-graph-refresh-survival; consolidate.</t>
  </si>
  <si>
    <t xml:space="preserve">e2e/phase2-responsive-multibrowser.spec.ts</t>
  </si>
  <si>
    <t xml:space="preserve">Responsive/multibrowser coverage. Keep (T254).</t>
  </si>
  <si>
    <t xml:space="preserve">e2e/p0-auth-pages-contract.spec.ts</t>
  </si>
  <si>
    <t xml:space="preserve">Fold into the auth &amp; shell journey.</t>
  </si>
  <si>
    <t xml:space="preserve">e2e/phase1-toast-mapping.spec.ts</t>
  </si>
  <si>
    <t xml:space="preserve">Keep the toast/status-mapping assertions; rename, align with T281.</t>
  </si>
  <si>
    <t xml:space="preserve">e2e/a11y/phase56-accessibility.spec.ts</t>
  </si>
  <si>
    <t xml:space="preserve">Accessibility checks. Keep; broaden to ML/page-builder pages.</t>
  </si>
  <si>
    <t xml:space="preserve">e2e/page-builder-v7.spec.ts</t>
  </si>
  <si>
    <t xml:space="preserve">Thin (33L). Upgrade to the full page-builder journey (create→bind→script→save→reload).</t>
  </si>
  <si>
    <t xml:space="preserve">e2e/visual/phase56-analytics-system.visual.spec.ts</t>
  </si>
  <si>
    <t xml:space="preserve">Visual regression. Keep in the nightly visual lane.</t>
  </si>
  <si>
    <t xml:space="preserve">e2e/phase1-route-refresh.spec.ts</t>
  </si>
  <si>
    <t xml:space="preserve">Merge into the consolidated refresh-survival spec.</t>
  </si>
  <si>
    <t xml:space="preserve">e2e/route-smoke.spec.ts</t>
  </si>
  <si>
    <t xml:space="preserve">Fast route smoke. Keep as a gate.</t>
  </si>
  <si>
    <t xml:space="preserve">e2e/full-stack-smoke.spec.ts</t>
  </si>
  <si>
    <t xml:space="preserve">Full-stack smoke. Keep as a gate.</t>
  </si>
  <si>
    <t xml:space="preserve">e2e/license-gate-ux.spec.ts</t>
  </si>
  <si>
    <t xml:space="preserve">Merge into license-and-demo-lifecycle journey.</t>
  </si>
  <si>
    <t xml:space="preserve">e2e/phase56-primary-flows.spec.ts</t>
  </si>
  <si>
    <t xml:space="preserve">Thin; absorb into the relevant analytics journey or delete.</t>
  </si>
  <si>
    <t xml:space="preserve">e2e/phase78-workflow-widget.spec.ts</t>
  </si>
  <si>
    <t xml:space="preserve">Thin; fold into widget/page-builder journey.</t>
  </si>
  <si>
    <t xml:space="preserve">e2e/dimension7-brand-identity.spec.ts</t>
  </si>
  <si>
    <t xml:space="preserve">Brand-identity check. Keep (T271).</t>
  </si>
  <si>
    <t xml:space="preserve">e2e/critical-shell-regression.spec.ts</t>
  </si>
  <si>
    <t xml:space="preserve">Shell regression guard. Keep.</t>
  </si>
  <si>
    <t xml:space="preserve">e2e/api/phase03-two-stage-import.spec.ts</t>
  </si>
  <si>
    <t xml:space="preserve">Real API e2e; strengthen and align with delta-import integration (T303).</t>
  </si>
  <si>
    <t xml:space="preserve">e2e/api/phase02-data-lifecycle-contract.spec.ts</t>
  </si>
  <si>
    <t xml:space="preserve">8-line placeholder. Upgrade to a real data-lifecycle contract check or delete.</t>
  </si>
  <si>
    <t xml:space="preserve">(NEW) e2e/journeys/inspection-to-generated-page.spec.ts</t>
  </si>
  <si>
    <t xml:space="preserve">Run an inspection job and view its generated analysis page (once P06 lands).</t>
  </si>
  <si>
    <t xml:space="preserve">(NEW) e2e/journeys/assistant-conversation.spec.ts</t>
  </si>
  <si>
    <t xml:space="preserve">Ask the AI assistant a question and assert an evidence-cited answer (once P09 lands).</t>
  </si>
  <si>
    <t xml:space="preserve">VALIDATION</t>
  </si>
  <si>
    <t xml:space="preserve">tools/validation/validate-v7-phase04-phase05-acceptance.cjs</t>
  </si>
  <si>
    <t xml:space="preserve">TRANSFER→TEST</t>
  </si>
  <si>
    <t xml:space="preserve">Regex over SQL text. Behaviour → MlLearningCoreIntegrationTests (T303). Retire the regex after.</t>
  </si>
  <si>
    <t xml:space="preserve">tools/validation/validate-v7-phase04-phase05-completion.cjs</t>
  </si>
  <si>
    <t xml:space="preserve">Same intent; covered by the ML integration test.</t>
  </si>
  <si>
    <t xml:space="preserve">tools/validation/validate-t208-exposure.cjs</t>
  </si>
  <si>
    <t xml:space="preserve">Exposure proof → a scripted external-scan test / deploy check (T303/T306).</t>
  </si>
  <si>
    <t xml:space="preserve">tools/validation/validate-sql-script-hygiene.cjs</t>
  </si>
  <si>
    <t xml:space="preserve">Apply-all-scripts-clean → SqlScriptHygieneApplyTests (T306).</t>
  </si>
  <si>
    <t xml:space="preserve">scripts/validate-api-client-policy.mjs</t>
  </si>
  <si>
    <t xml:space="preserve">apiClient policy → a Vitest assertion + ESLint rule (T304/T306).</t>
  </si>
  <si>
    <t xml:space="preserve">scripts/validate-standard-imports.mjs</t>
  </si>
  <si>
    <t xml:space="preserve">KEEP-AS-GATE</t>
  </si>
  <si>
    <t xml:space="preserve">Pure structural import rule. Keep as ESLint/CI gate; point at Standard* unit tests.</t>
  </si>
  <si>
    <t xml:space="preserve">scripts/validate-forbidden-copy.mjs</t>
  </si>
  <si>
    <t xml:space="preserve">Forbidden-phrase grep. Keep as gate; mirror as a DataFetchBoundary unit assertion (T304).</t>
  </si>
  <si>
    <t xml:space="preserve">scripts/validate-no-console-in-src.mjs</t>
  </si>
  <si>
    <t xml:space="preserve">Structural no-console rule. Keep as ESLint/CI gate.</t>
  </si>
  <si>
    <t xml:space="preserve">scripts/validate-ui-system-rollout.mjs</t>
  </si>
  <si>
    <t xml:space="preserve">Rollout structure check. Keep as gate.</t>
  </si>
  <si>
    <t xml:space="preserve">tools/ui/validate-ui-standards.mjs</t>
  </si>
  <si>
    <t xml:space="preserve">UI-standards structure. Keep; superseded behaviourally by Standard* tests.</t>
  </si>
  <si>
    <t xml:space="preserve">tools/ui/validate-phase2-full-ui-standards.mjs</t>
  </si>
  <si>
    <t xml:space="preserve">UI-standards structure. Keep as gate.</t>
  </si>
  <si>
    <t xml:space="preserve">tools/validation/validate-phase01-phase02-gates.mjs</t>
  </si>
  <si>
    <t xml:space="preserve">RETIRE</t>
  </si>
  <si>
    <t xml:space="preserve">Per-phase file-existence acceptance; intent now covered by real auth/data tests + T307 gating.</t>
  </si>
  <si>
    <t xml:space="preserve">tools/validation/validate-phase01-phase02-v5-gates.mjs</t>
  </si>
  <si>
    <t xml:space="preserve">Superseded by current tests.</t>
  </si>
  <si>
    <t xml:space="preserve">tools/validation/validate-phase03-gates.mjs</t>
  </si>
  <si>
    <t xml:space="preserve">Superseded by delta-import integration test.</t>
  </si>
  <si>
    <t xml:space="preserve">tools/validation/validate-v6-phase01-phase02-completion.cjs</t>
  </si>
  <si>
    <t xml:space="preserve">Completion regex; superseded by real tests.</t>
  </si>
  <si>
    <t xml:space="preserve">tools/validation/validate-v7-phase01.cjs</t>
  </si>
  <si>
    <t xml:space="preserve">Superseded by auth/deploy tests.</t>
  </si>
  <si>
    <t xml:space="preserve">tools/validation/validate-v7-phase01-acceptance.cjs</t>
  </si>
  <si>
    <t xml:space="preserve">tools/validation/validate-v7-phase02-phase03-acceptance.cjs</t>
  </si>
  <si>
    <t xml:space="preserve">Superseded by data-lifecycle tests.</t>
  </si>
  <si>
    <t xml:space="preserve">tools/validation/prove-standard-import-gate.cjs</t>
  </si>
  <si>
    <t xml:space="preserve">Proves the import gate fails on violation. Keep as a meta-gate.</t>
  </si>
  <si>
    <t xml:space="preserve">tools/phase78/validate-phase7-phase8-acceptance.cjs</t>
  </si>
  <si>
    <t xml:space="preserve">Per-phase acceptance; covered by widget/page-builder e2e.</t>
  </si>
  <si>
    <t xml:space="preserve">Frontend tools/phase3/validate-phase3-phase4-acceptance.cjs</t>
  </si>
  <si>
    <t xml:space="preserve">Large per-phase acceptance; behaviour now in e2e journeys.</t>
  </si>
  <si>
    <t xml:space="preserve">Frontend tools/phase56/validate-phase5-phase6-acceptance.cjs</t>
  </si>
  <si>
    <t xml:space="preserve">Per-phase acceptance; covered by analytics e2e.</t>
  </si>
  <si>
    <t xml:space="preserve">Backend tools/validate-sprint6-tasks-4-8.ps1</t>
  </si>
  <si>
    <t xml:space="preserve">Sprint-specific PS acceptance; covered by backend tests.</t>
  </si>
  <si>
    <t xml:space="preserve">Website scripts/validate-website-content.mjs</t>
  </si>
  <si>
    <t xml:space="preserve">Website content structure check. Keep as gate (T271).</t>
  </si>
  <si>
    <r>
      <rPr>
        <b val="true"/>
        <sz val="9"/>
        <rFont val="Arial"/>
        <family val="0"/>
        <charset val="1"/>
      </rPr>
      <t xml:space="preserve">REGISTER TOTALS — ADD: 14 | DELETE: 8 | KEEP: 36 | KEEP-AS-GATE: 8 | MODIFY: 31 | RETIRE: 11 | TRANSFER→TEST: 5  (</t>
    </r>
    <r>
      <rPr>
        <b val="true"/>
        <sz val="9"/>
        <rFont val="Noto Sans CJK SC"/>
        <family val="2"/>
      </rPr>
      <t xml:space="preserve">｜ </t>
    </r>
    <r>
      <rPr>
        <b val="true"/>
        <sz val="9"/>
        <rFont val="Arial"/>
        <family val="0"/>
        <charset val="1"/>
      </rPr>
      <t xml:space="preserve">113 files)</t>
    </r>
  </si>
  <si>
    <t xml:space="preserve">How to Use This Workbook (v7)</t>
  </si>
  <si>
    <t xml:space="preserve">What changed from v6</t>
  </si>
  <si>
    <t xml:space="preserve">The four overlapping columns (Description, Validation, Evidence, v6 Update/Action) are gone. Each task now has ONE authoritative, deep Description — it states what already exists (from the 30-May audit), exactly what to build or finish, and why — and ONE deep Validation giving the acceptance criteria that define 'done'. Status and Completion% are kept as at-a-glance signals.</t>
  </si>
  <si>
    <t xml:space="preserve">How a task reads</t>
  </si>
  <si>
    <t xml:space="preserve">The Description opens with one of: 'ALREADY IN PLACE' (verify, don't rebuild), 'STARTING POINT … WHAT REMAINS … FULL REFERENCE SPEC' (partial), or 'BUILD FROM SCRATCH … SPECIFICATION' (not started). A developer reads the Description to know what to do and the Validation to know when to stop. No cross-referencing other columns.</t>
  </si>
  <si>
    <t xml:space="preserve">Phase re-sequencing</t>
  </si>
  <si>
    <t xml:space="preserve">Phases are ordered by importance, then constrained by prerequisites, then made feature-cohesive so related build + enhancement + bug-fix land together. Every phase ends in a running, healthy, buildable state (see each phase's EXIT STATE on its separator row and the Audit Summary).</t>
  </si>
  <si>
    <t xml:space="preserve">Stable IDs</t>
  </si>
  <si>
    <t xml:space="preserve">Task IDs (PPIQ-T2xx) are unchanged from v6 for traceability, so they are NOT sequential within a phase. Execution order is ROW ORDER, strictly top-to-bottom within and across phases.</t>
  </si>
  <si>
    <t xml:space="preserve">Sheets</t>
  </si>
  <si>
    <t xml:space="preserve">Task List (95 tasks, 13 phases, single-source Description/Validation); Audit Summary (status rollup + re-sequencing rationale + findings); Phase Summary (live); Rollups (live); UI Standards Reference.</t>
  </si>
  <si>
    <t xml:space="preserve">Severity scale</t>
  </si>
  <si>
    <t xml:space="preserve">critical &gt; very important &gt; important &gt; normal &gt; optional. P01 is the foundation: until it is green, the pipeline stays red and the app cannot be reliably demoed.</t>
  </si>
  <si>
    <t xml:space="preserve">ML/AI honesty contract</t>
  </si>
  <si>
    <t xml:space="preserve">The analytical core is deterministic, in-house, and statistical. The LLM is the VOICE, never the brain — it phrases already-computed, evidence-backed findings, never computes or invents numbers. Every finding carries effective-n, q-value, effect size, stability, and an evidence link. Forbidden: 'prediction', 'guaranteed root cause', 'AI-powered prediction', 'production-ready AI'. Approved: 'suspected contributor', 'statistical correlation', 'rule-based risk scoring'.</t>
  </si>
  <si>
    <t xml:space="preserve">Effort</t>
  </si>
  <si>
    <t xml:space="preserve">Hours for one experienced full-stack engineer. Days = hours / 6. Add 25–35% buffer. Totals computed on Phase Summary and Rollups.</t>
  </si>
  <si>
    <t xml:space="preserve">Validation discipline</t>
  </si>
  <si>
    <t xml:space="preserve">A task is Done only when every Validation criterion passes; CI gates and post-deploy probes enforce this where possible.</t>
  </si>
  <si>
    <t xml:space="preserve">Phase Summary — execution order, status, effort (computed live from the Task List)</t>
  </si>
  <si>
    <t xml:space="preserve">Recommended order is strictly top-to-bottom. Each phase is designed to end in a running, healthy, buildable state.</t>
  </si>
  <si>
    <t xml:space="preserve">Phase Name</t>
  </si>
  <si>
    <t xml:space="preserve">Tasks</t>
  </si>
  <si>
    <t xml:space="preserve">Critical</t>
  </si>
  <si>
    <t xml:space="preserve">Very Important</t>
  </si>
  <si>
    <t xml:space="preserve">Important</t>
  </si>
  <si>
    <t xml:space="preserve">Normal</t>
  </si>
  <si>
    <t xml:space="preserve">Avg Completion %</t>
  </si>
  <si>
    <t xml:space="preserve">Effort (days)</t>
  </si>
  <si>
    <t xml:space="preserve">Test Foundation: Audit, Repair, Cover &amp; Gate</t>
  </si>
  <si>
    <t xml:space="preserve">Stabilize: Build-Green, Auth &amp; Deploy Reliability</t>
  </si>
  <si>
    <t xml:space="preserve">Data Lifecycle: Sources, Ingestion, Mapping &amp; Genealogy</t>
  </si>
  <si>
    <t xml:space="preserve">Page Builder &amp; Widget Platform</t>
  </si>
  <si>
    <t xml:space="preserve">ML Engine: Data Foundation &amp; Providers</t>
  </si>
  <si>
    <t xml:space="preserve">ML Engine: Scheduled Correlation Learning</t>
  </si>
  <si>
    <t xml:space="preserve">ML Engine: Inspection Jobs to Generated Pages</t>
  </si>
  <si>
    <t xml:space="preserve">Risk Scorer &amp; Model Governance</t>
  </si>
  <si>
    <t xml:space="preserve">ML Assistant: Suggestion Feed (proactive)</t>
  </si>
  <si>
    <t xml:space="preserve">ML Assistant: Conversational RAG Agent</t>
  </si>
  <si>
    <t xml:space="preserve">Hardening, Resilience &amp; HMI Completion</t>
  </si>
  <si>
    <t xml:space="preserve">Demo: Storytelling, Personas &amp; Recording</t>
  </si>
  <si>
    <t xml:space="preserve">Website: 5-Product Showcase &amp; Brand</t>
  </si>
  <si>
    <t xml:space="preserve">Legal, Runbooks &amp; Documentation</t>
  </si>
  <si>
    <t xml:space="preserve">All phases</t>
  </si>
  <si>
    <t xml:space="preserve">Effort-days assume 6 productive engineering hours/day. Add 25–35% buffer for review, integration, and validation.</t>
  </si>
  <si>
    <t xml:space="preserve">UI Standards — Canonical Component Contract (enforced)</t>
  </si>
  <si>
    <t xml:space="preserve">Every interactive element across all existing AND new pages (incl. ML Correlation, Suggestions, Assistant, Schema Mapping, Two-Stage Import) must conform. Enforced via ESLint, CI lint, review, Storybook.</t>
  </si>
  <si>
    <t xml:space="preserve">Component</t>
  </si>
  <si>
    <t xml:space="preserve">Canonical Path</t>
  </si>
  <si>
    <t xml:space="preserve">Variants / Modes</t>
  </si>
  <si>
    <t xml:space="preserve">Required Props</t>
  </si>
  <si>
    <t xml:space="preserve">Required States</t>
  </si>
  <si>
    <t xml:space="preserve">StandardButton</t>
  </si>
  <si>
    <t xml:space="preserve">src/components/standard/StandardButton.tsx</t>
  </si>
  <si>
    <t xml:space="preserve">primary | secondary | ghost | danger | success | icon-only</t>
  </si>
  <si>
    <t xml:space="preserve">variant, size, leadingIcon, trailingIcon, isLoading, isDisabled, fullWidth, onClick, type, ariaLabel</t>
  </si>
  <si>
    <t xml:space="preserve">default, hover, focus (cyan ring), active, disabled (40%), loading (spinner + aria-busy)</t>
  </si>
  <si>
    <t xml:space="preserve">StandardTable</t>
  </si>
  <si>
    <t xml:space="preserve">src/components/standard/StandardTable.tsx</t>
  </si>
  <si>
    <t xml:space="preserve">client | server | virtualized (&gt;500 rows)</t>
  </si>
  <si>
    <t xml:space="preserve">columns, data, isLoading, hasError, onRetry, totalCount, onRowClick, density, selectable, exportable</t>
  </si>
  <si>
    <t xml:space="preserve">loading (skeleton), error ('Refreshing X…' + retry), empty, populated, sorted, filtered, paginated</t>
  </si>
  <si>
    <t xml:space="preserve">StandardTabs</t>
  </si>
  <si>
    <t xml:space="preserve">src/components/standard/StandardTabs.tsx</t>
  </si>
  <si>
    <t xml:space="preserve">horizontal | vertical | scroll-on-overflow</t>
  </si>
  <si>
    <t xml:space="preserve">items, value, onChange, orientation, lazy, urlParam</t>
  </si>
  <si>
    <t xml:space="preserve">default, active (indicator), hover, disabled, overflow-scrollable, keyboard-focused</t>
  </si>
  <si>
    <t xml:space="preserve">StandardInput / Select / TextArea</t>
  </si>
  <si>
    <t xml:space="preserve">src/components/standard/StandardFields.tsx</t>
  </si>
  <si>
    <t xml:space="preserve">text/email/password/number/search; single/multi/searchable; default/code</t>
  </si>
  <si>
    <t xml:space="preserve">label, helperText, error, value, onChange, required, disabled, isLoading, size, (options, multiple, searchable)</t>
  </si>
  <si>
    <t xml:space="preserve">default, focus, error (helper-text), disabled, with-value, code-mode (mono)</t>
  </si>
  <si>
    <t xml:space="preserve">StandardCard / Modal / Toast</t>
  </si>
  <si>
    <t xml:space="preserve">src/components/standard/StandardSurface.tsx</t>
  </si>
  <si>
    <t xml:space="preserve">flat/raised/floating; sm-xl; info/success/warning/error/loading</t>
  </si>
  <si>
    <t xml:space="preserve">title, actions, elevation, open, onClose, size, dismiss flags, variant, duration</t>
  </si>
  <si>
    <t xml:space="preserve">default, hover, with-actions, open (focus-trapped), dirty-blocked, toast slide-in + progress</t>
  </si>
  <si>
    <t xml:space="preserve">DataFetchBoundary</t>
  </si>
  <si>
    <t xml:space="preserve">src/components/standard/DataFetchBoundary.tsx</t>
  </si>
  <si>
    <t xml:space="preserve">default | skeleton-mirror</t>
  </si>
  <si>
    <t xml:space="preserve">isLoading, hasError, onRetry, loadingFallback, errorFallback, children</t>
  </si>
  <si>
    <t xml:space="preserve">loading ('Refreshing X…'), error (+retry, auto-retry-5s), success</t>
  </si>
  <si>
    <t xml:space="preserve">ErrorBoundary</t>
  </si>
  <si>
    <t xml:space="preserve">src/components/standard/ErrorBoundary.tsx</t>
  </si>
  <si>
    <t xml:space="preserve">app | route | component</t>
  </si>
  <si>
    <t xml:space="preserve">fallback, onError, resetKeys, children</t>
  </si>
  <si>
    <t xml:space="preserve">caught (fallback + /diagnostics/client-error beacon), retrying, recovered</t>
  </si>
  <si>
    <t xml:space="preserve">  FORBIDDEN PATTERNS (CI-enforced)</t>
  </si>
  <si>
    <t xml:space="preserve">Forbidden phrase</t>
  </si>
  <si>
    <t xml:space="preserve">'could not be loaded' / 'could not load'</t>
  </si>
  <si>
    <t xml:space="preserve">Use the 'Refreshing X…' pattern. Founder's #1 non-negotiable (Vision §2).</t>
  </si>
  <si>
    <t xml:space="preserve">Forbidden ML claims</t>
  </si>
  <si>
    <t xml:space="preserve">'guaranteed root cause' / 'AI-powered prediction' / 'production-ready AI' / 'predicts'</t>
  </si>
  <si>
    <t xml:space="preserve">Use 'suspected contributor' / 'statistical correlation' / 'rule-based risk scoring'. Enforced on ML + assistant surfaces.</t>
  </si>
  <si>
    <t xml:space="preserve">Native element</t>
  </si>
  <si>
    <t xml:space="preserve">&lt;button&gt;/&lt;input&gt;/&lt;select&gt;/&lt;table&gt;/&lt;textarea&gt; in src/pages|features</t>
  </si>
  <si>
    <t xml:space="preserve">Use Standard* primitives (ESLint no-restricted-syntax).</t>
  </si>
  <si>
    <t xml:space="preserve">Deprecated path</t>
  </si>
  <si>
    <t xml:space="preserve">import from src/components/hardening/* or src/hardening/*</t>
  </si>
  <si>
    <t xml:space="preserve">Use src/components/standard/*.</t>
  </si>
  <si>
    <t xml:space="preserve">LLM invents numbers</t>
  </si>
  <si>
    <t xml:space="preserve">assistant emits a figure not present in retrieved evidence/tool results</t>
  </si>
  <si>
    <t xml:space="preserve">The LLM phrases evidence it is handed; it never computes or invents. Grounding tests enforce.</t>
  </si>
  <si>
    <t xml:space="preserve">Rollups — by Severity, Track, Module, Type (computed live)</t>
  </si>
  <si>
    <t xml:space="preserve">By Severity</t>
  </si>
  <si>
    <t xml:space="preserve">By Track</t>
  </si>
  <si>
    <t xml:space="preserve">By Module</t>
  </si>
  <si>
    <t xml:space="preserve">By Type</t>
  </si>
  <si>
    <t xml:space="preserve">Type</t>
  </si>
  <si>
    <t xml:space="preserve">optional</t>
  </si>
</sst>
</file>

<file path=xl/styles.xml><?xml version="1.0" encoding="utf-8"?>
<styleSheet xmlns="http://schemas.openxmlformats.org/spreadsheetml/2006/main">
  <numFmts count="3">
    <numFmt numFmtId="164" formatCode="General"/>
    <numFmt numFmtId="165" formatCode="0%"/>
    <numFmt numFmtId="166" formatCode="General"/>
  </numFmts>
  <fonts count="31">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i val="true"/>
      <sz val="9"/>
      <name val="Arial"/>
      <family val="0"/>
      <charset val="1"/>
    </font>
    <font>
      <b val="true"/>
      <sz val="11"/>
      <color rgb="FFFFFFFF"/>
      <name val="Arial"/>
      <family val="0"/>
      <charset val="1"/>
    </font>
    <font>
      <b val="true"/>
      <sz val="10"/>
      <color rgb="FFFFFFFF"/>
      <name val="Arial"/>
      <family val="0"/>
      <charset val="1"/>
    </font>
    <font>
      <sz val="9"/>
      <name val="Arial"/>
      <family val="0"/>
      <charset val="1"/>
    </font>
    <font>
      <b val="true"/>
      <sz val="9"/>
      <color rgb="FFB3263B"/>
      <name val="Arial"/>
      <family val="0"/>
      <charset val="1"/>
    </font>
    <font>
      <b val="true"/>
      <sz val="11"/>
      <color rgb="FF1E7F4F"/>
      <name val="Arial"/>
      <family val="0"/>
      <charset val="1"/>
    </font>
    <font>
      <b val="true"/>
      <sz val="9"/>
      <color rgb="FF9A6B00"/>
      <name val="Arial"/>
      <family val="0"/>
      <charset val="1"/>
    </font>
    <font>
      <b val="true"/>
      <sz val="9"/>
      <color rgb="FF1E7F4F"/>
      <name val="Arial"/>
      <family val="0"/>
      <charset val="1"/>
    </font>
    <font>
      <b val="true"/>
      <sz val="11"/>
      <color rgb="FF9A6B00"/>
      <name val="Arial"/>
      <family val="0"/>
      <charset val="1"/>
    </font>
    <font>
      <b val="true"/>
      <sz val="11"/>
      <color rgb="FFB3263B"/>
      <name val="Arial"/>
      <family val="0"/>
      <charset val="1"/>
    </font>
    <font>
      <sz val="9"/>
      <color rgb="FF000000"/>
      <name val="Arial"/>
      <family val="0"/>
      <charset val="1"/>
    </font>
    <font>
      <b val="true"/>
      <sz val="9"/>
      <color rgb="FF7A3E00"/>
      <name val="Arial"/>
      <family val="0"/>
      <charset val="1"/>
    </font>
    <font>
      <b val="true"/>
      <sz val="9"/>
      <color rgb="FF14502A"/>
      <name val="Arial"/>
      <family val="0"/>
      <charset val="1"/>
    </font>
    <font>
      <b val="true"/>
      <sz val="9"/>
      <color rgb="FFFFFFFF"/>
      <name val="Arial"/>
      <family val="0"/>
      <charset val="1"/>
    </font>
    <font>
      <b val="true"/>
      <sz val="9"/>
      <color rgb="FF000000"/>
      <name val="Arial"/>
      <family val="0"/>
      <charset val="1"/>
    </font>
    <font>
      <b val="true"/>
      <sz val="11"/>
      <color rgb="FF102A43"/>
      <name val="Arial"/>
      <family val="0"/>
      <charset val="1"/>
    </font>
    <font>
      <b val="true"/>
      <sz val="12"/>
      <color rgb="FFFFFFFF"/>
      <name val="Arial"/>
      <family val="0"/>
      <charset val="1"/>
    </font>
    <font>
      <sz val="9"/>
      <color rgb="FF6B7B8C"/>
      <name val="Arial"/>
      <family val="0"/>
      <charset val="1"/>
    </font>
    <font>
      <b val="true"/>
      <sz val="9"/>
      <name val="Arial"/>
      <family val="0"/>
      <charset val="1"/>
    </font>
    <font>
      <b val="true"/>
      <sz val="9"/>
      <name val="Noto Sans CJK SC"/>
      <family val="2"/>
    </font>
    <font>
      <b val="true"/>
      <sz val="10"/>
      <color rgb="FF102A43"/>
      <name val="Arial"/>
      <family val="0"/>
      <charset val="1"/>
    </font>
    <font>
      <sz val="10"/>
      <name val="Arial"/>
      <family val="0"/>
      <charset val="1"/>
    </font>
    <font>
      <b val="true"/>
      <sz val="14"/>
      <color rgb="FFFFFFFF"/>
      <name val="Cambria"/>
      <family val="0"/>
      <charset val="1"/>
    </font>
    <font>
      <i val="true"/>
      <sz val="11"/>
      <color rgb="FF8EA7C1"/>
      <name val="Cambria"/>
      <family val="0"/>
      <charset val="1"/>
    </font>
    <font>
      <b val="true"/>
      <sz val="11"/>
      <color rgb="FFFFFFFF"/>
      <name val="Cambria"/>
      <family val="0"/>
      <charset val="1"/>
    </font>
    <font>
      <b val="true"/>
      <sz val="11"/>
      <color rgb="FF0B1730"/>
      <name val="Cambria"/>
      <family val="0"/>
      <charset val="1"/>
    </font>
  </fonts>
  <fills count="13">
    <fill>
      <patternFill patternType="none"/>
    </fill>
    <fill>
      <patternFill patternType="gray125"/>
    </fill>
    <fill>
      <patternFill patternType="solid">
        <fgColor rgb="FF102A43"/>
        <bgColor rgb="FF0B2A4A"/>
      </patternFill>
    </fill>
    <fill>
      <patternFill patternType="solid">
        <fgColor rgb="FF0B2A4A"/>
        <bgColor rgb="FF102A43"/>
      </patternFill>
    </fill>
    <fill>
      <patternFill patternType="solid">
        <fgColor rgb="FFFBE0E4"/>
        <bgColor rgb="FFFFF3D6"/>
      </patternFill>
    </fill>
    <fill>
      <patternFill patternType="solid">
        <fgColor rgb="FFDCF5E6"/>
        <bgColor rgb="FFEAF1F8"/>
      </patternFill>
    </fill>
    <fill>
      <patternFill patternType="solid">
        <fgColor rgb="FFFFF3D6"/>
        <bgColor rgb="FFF4F7FB"/>
      </patternFill>
    </fill>
    <fill>
      <patternFill patternType="solid">
        <fgColor rgb="FF34506B"/>
        <bgColor rgb="FF14502A"/>
      </patternFill>
    </fill>
    <fill>
      <patternFill patternType="solid">
        <fgColor rgb="FFEAF1F8"/>
        <bgColor rgb="FFF4F7FB"/>
      </patternFill>
    </fill>
    <fill>
      <patternFill patternType="solid">
        <fgColor rgb="FF0B1730"/>
        <bgColor rgb="FF102A43"/>
      </patternFill>
    </fill>
    <fill>
      <patternFill patternType="solid">
        <fgColor rgb="FFFFFFFF"/>
        <bgColor rgb="FFF4F7FB"/>
      </patternFill>
    </fill>
    <fill>
      <patternFill patternType="solid">
        <fgColor rgb="FFF4F7FB"/>
        <bgColor rgb="FFEAF1F8"/>
      </patternFill>
    </fill>
    <fill>
      <patternFill patternType="solid">
        <fgColor rgb="FFFF4D6D"/>
        <bgColor rgb="FFFF6600"/>
      </patternFill>
    </fill>
  </fills>
  <borders count="3">
    <border diagonalUp="false" diagonalDown="false">
      <left/>
      <right/>
      <top/>
      <bottom/>
      <diagonal/>
    </border>
    <border diagonalUp="false" diagonalDown="false">
      <left style="thin">
        <color rgb="FFD6DEE6"/>
      </left>
      <right style="thin">
        <color rgb="FFD6DEE6"/>
      </right>
      <top style="thin">
        <color rgb="FFD6DEE6"/>
      </top>
      <bottom style="thin">
        <color rgb="FFD6DEE6"/>
      </bottom>
      <diagonal/>
    </border>
    <border diagonalUp="false" diagonalDown="false">
      <left style="thin">
        <color rgb="FFD6E0EC"/>
      </left>
      <right style="thin">
        <color rgb="FFD6E0EC"/>
      </right>
      <top style="thin">
        <color rgb="FFD6E0EC"/>
      </top>
      <bottom style="thin">
        <color rgb="FFD6E0E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left" vertical="top" textRotation="0" wrapText="fals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center" vertical="top" textRotation="0" wrapText="false" indent="0" shrinkToFit="false"/>
      <protection locked="true" hidden="false"/>
    </xf>
    <xf numFmtId="164" fontId="9" fillId="4" borderId="1" xfId="0" applyFont="true" applyBorder="true" applyAlignment="true" applyProtection="false">
      <alignment horizontal="center" vertical="top" textRotation="0" wrapText="false" indent="0" shrinkToFit="false"/>
      <protection locked="true" hidden="false"/>
    </xf>
    <xf numFmtId="165" fontId="8" fillId="0" borderId="1" xfId="0" applyFont="true" applyBorder="true" applyAlignment="true" applyProtection="false">
      <alignment horizontal="center" vertical="top" textRotation="0" wrapText="fals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10" fillId="5" borderId="1" xfId="0" applyFont="true" applyBorder="true" applyAlignment="true" applyProtection="false">
      <alignment horizontal="center" vertical="top" textRotation="0" wrapText="false" indent="0" shrinkToFit="false"/>
      <protection locked="true" hidden="false"/>
    </xf>
    <xf numFmtId="164" fontId="11" fillId="6" borderId="1" xfId="0" applyFont="true" applyBorder="true" applyAlignment="true" applyProtection="false">
      <alignment horizontal="center" vertical="top" textRotation="0" wrapText="false" indent="0" shrinkToFit="false"/>
      <protection locked="true" hidden="false"/>
    </xf>
    <xf numFmtId="164" fontId="12" fillId="5" borderId="1" xfId="0" applyFont="true" applyBorder="true" applyAlignment="true" applyProtection="false">
      <alignment horizontal="center" vertical="top" textRotation="0" wrapText="false" indent="0" shrinkToFit="false"/>
      <protection locked="true" hidden="false"/>
    </xf>
    <xf numFmtId="164" fontId="13" fillId="6" borderId="1" xfId="0" applyFont="true" applyBorder="true" applyAlignment="true" applyProtection="false">
      <alignment horizontal="center" vertical="top" textRotation="0" wrapText="false" indent="0" shrinkToFit="false"/>
      <protection locked="true" hidden="false"/>
    </xf>
    <xf numFmtId="164" fontId="14" fillId="4" borderId="1" xfId="0" applyFont="true" applyBorder="true" applyAlignment="true" applyProtection="false">
      <alignment horizontal="center" vertical="top" textRotation="0" wrapText="false" indent="0" shrinkToFit="false"/>
      <protection locked="true" hidden="false"/>
    </xf>
    <xf numFmtId="164" fontId="4" fillId="2" borderId="0" xfId="0" applyFont="true" applyBorder="true" applyAlignment="true" applyProtection="false">
      <alignment horizontal="left" vertical="top" textRotation="0" wrapText="false" indent="0" shrinkToFit="false"/>
      <protection locked="true" hidden="false"/>
    </xf>
    <xf numFmtId="164" fontId="15" fillId="0" borderId="0" xfId="0" applyFont="true" applyBorder="true" applyAlignment="true" applyProtection="false">
      <alignment horizontal="left" vertical="top" textRotation="0" wrapText="true" indent="0" shrinkToFit="false"/>
      <protection locked="true" hidden="false"/>
    </xf>
    <xf numFmtId="164" fontId="16" fillId="6" borderId="0" xfId="0" applyFont="true" applyBorder="true" applyAlignment="true" applyProtection="false">
      <alignment horizontal="general" vertical="top" textRotation="0" wrapText="true" indent="0" shrinkToFit="false"/>
      <protection locked="true" hidden="false"/>
    </xf>
    <xf numFmtId="164" fontId="17" fillId="5" borderId="0" xfId="0" applyFont="true" applyBorder="true" applyAlignment="true" applyProtection="false">
      <alignment horizontal="general" vertical="top" textRotation="0" wrapText="true" indent="0" shrinkToFit="false"/>
      <protection locked="true" hidden="false"/>
    </xf>
    <xf numFmtId="164" fontId="18" fillId="3" borderId="1" xfId="0" applyFont="true" applyBorder="true" applyAlignment="true" applyProtection="false">
      <alignment horizontal="center" vertical="top" textRotation="0" wrapText="false" indent="0" shrinkToFit="false"/>
      <protection locked="true" hidden="false"/>
    </xf>
    <xf numFmtId="164" fontId="12" fillId="5" borderId="1" xfId="0" applyFont="true" applyBorder="true" applyAlignment="true" applyProtection="false">
      <alignment horizontal="left" vertical="top" textRotation="0" wrapText="false" indent="0" shrinkToFit="false"/>
      <protection locked="true" hidden="false"/>
    </xf>
    <xf numFmtId="166" fontId="0" fillId="0" borderId="1" xfId="0" applyFont="false" applyBorder="true" applyAlignment="tru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general" vertical="bottom" textRotation="0" wrapText="false" indent="0" shrinkToFit="false"/>
      <protection locked="true" hidden="false"/>
    </xf>
    <xf numFmtId="164" fontId="11" fillId="6" borderId="1" xfId="0" applyFont="true" applyBorder="true" applyAlignment="true" applyProtection="false">
      <alignment horizontal="left" vertical="top" textRotation="0" wrapText="false" indent="0" shrinkToFit="false"/>
      <protection locked="true" hidden="false"/>
    </xf>
    <xf numFmtId="164" fontId="9" fillId="4" borderId="1" xfId="0" applyFont="true" applyBorder="true" applyAlignment="true" applyProtection="false">
      <alignment horizontal="left" vertical="top" textRotation="0" wrapText="false" indent="0" shrinkToFit="false"/>
      <protection locked="true" hidden="false"/>
    </xf>
    <xf numFmtId="164" fontId="19" fillId="0" borderId="1" xfId="0" applyFont="true" applyBorder="true" applyAlignment="true" applyProtection="false">
      <alignment horizontal="left" vertical="top" textRotation="0" wrapText="fals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20" fillId="0" borderId="0" xfId="0" applyFont="true" applyBorder="true" applyAlignment="true" applyProtection="false">
      <alignment horizontal="left" vertical="top" textRotation="0" wrapText="false" indent="0" shrinkToFit="false"/>
      <protection locked="true" hidden="false"/>
    </xf>
    <xf numFmtId="164" fontId="15" fillId="0" borderId="0" xfId="0" applyFont="true" applyBorder="false" applyAlignment="true" applyProtection="false">
      <alignment horizontal="left" vertical="top" textRotation="0" wrapText="true" indent="0" shrinkToFit="false"/>
      <protection locked="true" hidden="false"/>
    </xf>
    <xf numFmtId="164" fontId="21" fillId="2" borderId="0" xfId="0" applyFont="true" applyBorder="true" applyAlignment="true" applyProtection="false">
      <alignment horizontal="general" vertical="center" textRotation="0" wrapText="false" indent="0" shrinkToFit="false"/>
      <protection locked="true" hidden="false"/>
    </xf>
    <xf numFmtId="164" fontId="6" fillId="3" borderId="1" xfId="0" applyFont="true" applyBorder="true" applyAlignment="true" applyProtection="false">
      <alignment horizontal="left" vertical="center" textRotation="0" wrapText="true" indent="0" shrinkToFit="false"/>
      <protection locked="true" hidden="false"/>
    </xf>
    <xf numFmtId="164" fontId="18" fillId="7" borderId="0" xfId="0" applyFont="true" applyBorder="true" applyAlignment="true" applyProtection="false">
      <alignment horizontal="general" vertical="bottom" textRotation="0" wrapText="false" indent="0" shrinkToFit="false"/>
      <protection locked="true" hidden="false"/>
    </xf>
    <xf numFmtId="164" fontId="22" fillId="8" borderId="1" xfId="0" applyFont="true" applyBorder="true" applyAlignment="true" applyProtection="false">
      <alignment horizontal="center" vertical="top" textRotation="0" wrapText="false" indent="0" shrinkToFit="false"/>
      <protection locked="true" hidden="false"/>
    </xf>
    <xf numFmtId="164" fontId="23" fillId="8" borderId="0" xfId="0" applyFont="true" applyBorder="true" applyAlignment="true" applyProtection="false">
      <alignment horizontal="general" vertical="bottom" textRotation="0" wrapText="false" indent="0" shrinkToFit="false"/>
      <protection locked="true" hidden="false"/>
    </xf>
    <xf numFmtId="164" fontId="21" fillId="2" borderId="0" xfId="0" applyFont="true" applyBorder="true" applyAlignment="true" applyProtection="false">
      <alignment horizontal="general" vertical="bottom" textRotation="0" wrapText="false" indent="0" shrinkToFit="false"/>
      <protection locked="true" hidden="false"/>
    </xf>
    <xf numFmtId="164" fontId="25" fillId="0" borderId="0" xfId="0" applyFont="true" applyBorder="false" applyAlignment="true" applyProtection="false">
      <alignment horizontal="general" vertical="top" textRotation="0" wrapText="true" indent="0" shrinkToFit="false"/>
      <protection locked="true" hidden="false"/>
    </xf>
    <xf numFmtId="164" fontId="26"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bottom" textRotation="0" wrapText="tru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5" fontId="8" fillId="0" borderId="1" xfId="0" applyFont="true" applyBorder="true" applyAlignment="true" applyProtection="false">
      <alignment horizontal="center" vertical="center" textRotation="0" wrapText="false" indent="0" shrinkToFit="false"/>
      <protection locked="true" hidden="false"/>
    </xf>
    <xf numFmtId="164" fontId="23" fillId="8" borderId="1" xfId="0" applyFont="true" applyBorder="true" applyAlignment="true" applyProtection="false">
      <alignment horizontal="center" vertical="bottom" textRotation="0" wrapText="false" indent="0" shrinkToFit="false"/>
      <protection locked="true" hidden="false"/>
    </xf>
    <xf numFmtId="164" fontId="23" fillId="8" borderId="1" xfId="0" applyFont="true" applyBorder="true" applyAlignment="true" applyProtection="false">
      <alignment horizontal="left" vertical="bottom" textRotation="0" wrapText="false" indent="0" shrinkToFit="false"/>
      <protection locked="true" hidden="false"/>
    </xf>
    <xf numFmtId="165" fontId="23" fillId="8" borderId="1"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27" fillId="9" borderId="0" xfId="0" applyFont="true" applyBorder="true" applyAlignment="true" applyProtection="false">
      <alignment horizontal="general" vertical="center" textRotation="0" wrapText="fals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4" fontId="29" fillId="9" borderId="2" xfId="0" applyFont="true" applyBorder="true" applyAlignment="true" applyProtection="false">
      <alignment horizontal="center" vertical="center" textRotation="0" wrapText="true" indent="0" shrinkToFit="false"/>
      <protection locked="true" hidden="false"/>
    </xf>
    <xf numFmtId="164" fontId="30" fillId="10" borderId="2" xfId="0" applyFont="true" applyBorder="true" applyAlignment="true" applyProtection="false">
      <alignment horizontal="general" vertical="top" textRotation="0" wrapText="true" indent="0" shrinkToFit="false"/>
      <protection locked="true" hidden="false"/>
    </xf>
    <xf numFmtId="164" fontId="0" fillId="10" borderId="2" xfId="0" applyFont="true" applyBorder="true" applyAlignment="true" applyProtection="false">
      <alignment horizontal="general" vertical="top" textRotation="0" wrapText="true" indent="0" shrinkToFit="false"/>
      <protection locked="true" hidden="false"/>
    </xf>
    <xf numFmtId="164" fontId="30" fillId="11" borderId="2" xfId="0" applyFont="true" applyBorder="true" applyAlignment="true" applyProtection="false">
      <alignment horizontal="general" vertical="top" textRotation="0" wrapText="true" indent="0" shrinkToFit="false"/>
      <protection locked="true" hidden="false"/>
    </xf>
    <xf numFmtId="164" fontId="0" fillId="11" borderId="2" xfId="0" applyFont="true" applyBorder="true" applyAlignment="true" applyProtection="false">
      <alignment horizontal="general" vertical="top" textRotation="0" wrapText="true" indent="0" shrinkToFit="false"/>
      <protection locked="true" hidden="false"/>
    </xf>
    <xf numFmtId="164" fontId="29" fillId="12" borderId="0" xfId="0" applyFont="true" applyBorder="true" applyAlignment="true" applyProtection="false">
      <alignment horizontal="general" vertical="center" textRotation="0" wrapText="false" indent="0" shrinkToFit="false"/>
      <protection locked="true" hidden="false"/>
    </xf>
    <xf numFmtId="164" fontId="25" fillId="0" borderId="0" xfId="0" applyFont="true" applyBorder="true" applyAlignment="tru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4" fontId="23" fillId="8"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9A6B00"/>
      <rgbColor rgb="FF800080"/>
      <rgbColor rgb="FF1E7F4F"/>
      <rgbColor rgb="FFC0C0C0"/>
      <rgbColor rgb="FF6B7B8C"/>
      <rgbColor rgb="FF9999FF"/>
      <rgbColor rgb="FFB3263B"/>
      <rgbColor rgb="FFFFF3D6"/>
      <rgbColor rgb="FFDCF5E6"/>
      <rgbColor rgb="FF660066"/>
      <rgbColor rgb="FFFF4D6D"/>
      <rgbColor rgb="FF0066CC"/>
      <rgbColor rgb="FFD6DEE6"/>
      <rgbColor rgb="FF000080"/>
      <rgbColor rgb="FFFF00FF"/>
      <rgbColor rgb="FFFFFF00"/>
      <rgbColor rgb="FF00FFFF"/>
      <rgbColor rgb="FF800080"/>
      <rgbColor rgb="FF800000"/>
      <rgbColor rgb="FF008080"/>
      <rgbColor rgb="FF0000FF"/>
      <rgbColor rgb="FF00CCFF"/>
      <rgbColor rgb="FFEAF1F8"/>
      <rgbColor rgb="FFD6E0EC"/>
      <rgbColor rgb="FFF4F7FB"/>
      <rgbColor rgb="FF99CCFF"/>
      <rgbColor rgb="FFFF99CC"/>
      <rgbColor rgb="FFCC99FF"/>
      <rgbColor rgb="FFFBE0E4"/>
      <rgbColor rgb="FF3366FF"/>
      <rgbColor rgb="FF33CCCC"/>
      <rgbColor rgb="FF99CC00"/>
      <rgbColor rgb="FFFFCC00"/>
      <rgbColor rgb="FFFF9900"/>
      <rgbColor rgb="FFFF6600"/>
      <rgbColor rgb="FF666699"/>
      <rgbColor rgb="FF8EA7C1"/>
      <rgbColor rgb="FF0B2A4A"/>
      <rgbColor rgb="FF339966"/>
      <rgbColor rgb="FF0B1730"/>
      <rgbColor rgb="FF14502A"/>
      <rgbColor rgb="FF7A3E00"/>
      <rgbColor rgb="FF993366"/>
      <rgbColor rgb="FF34506B"/>
      <rgbColor rgb="FF102A4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2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30"/>
    <col collapsed="false" customWidth="true" hidden="false" outlineLevel="0" max="3" min="3" style="1" width="8"/>
    <col collapsed="false" customWidth="true" hidden="false" outlineLevel="0" max="4" min="4" style="1" width="13"/>
    <col collapsed="false" customWidth="true" hidden="false" outlineLevel="0" max="5" min="5" style="1" width="17"/>
    <col collapsed="false" customWidth="true" hidden="false" outlineLevel="0" max="6" min="6" style="1" width="13"/>
    <col collapsed="false" customWidth="true" hidden="false" outlineLevel="0" max="7" min="7" style="1" width="17"/>
    <col collapsed="false" customWidth="true" hidden="false" outlineLevel="0" max="8" min="8" style="1" width="78"/>
    <col collapsed="false" customWidth="true" hidden="false" outlineLevel="0" max="9" min="9" style="1" width="11"/>
    <col collapsed="false" customWidth="true" hidden="false" outlineLevel="0" max="10" min="10" style="1" width="62"/>
    <col collapsed="false" customWidth="true" hidden="false" outlineLevel="0" max="11" min="11" style="1" width="12"/>
    <col collapsed="false" customWidth="true" hidden="false" outlineLevel="0" max="12" min="12" style="1" width="11"/>
    <col collapsed="false" customWidth="true" hidden="false" outlineLevel="0" max="13" min="13" style="1" width="9"/>
  </cols>
  <sheetData>
    <row r="1" customFormat="false" ht="24" hidden="false" customHeight="true" outlineLevel="0" collapsed="false">
      <c r="A1" s="2" t="s">
        <v>0</v>
      </c>
      <c r="B1" s="2"/>
      <c r="C1" s="2"/>
      <c r="D1" s="2"/>
      <c r="E1" s="2"/>
      <c r="F1" s="2"/>
      <c r="G1" s="2"/>
      <c r="H1" s="2"/>
      <c r="I1" s="2"/>
      <c r="J1" s="2"/>
      <c r="K1" s="2"/>
      <c r="L1" s="2"/>
      <c r="M1" s="2"/>
    </row>
    <row r="2" customFormat="false" ht="45.75" hidden="false" customHeight="true" outlineLevel="0" collapsed="false">
      <c r="A2" s="3" t="s">
        <v>1</v>
      </c>
      <c r="B2" s="3"/>
      <c r="C2" s="3"/>
      <c r="D2" s="3"/>
      <c r="E2" s="3"/>
      <c r="F2" s="3"/>
      <c r="G2" s="3"/>
      <c r="H2" s="3"/>
      <c r="I2" s="3"/>
      <c r="J2" s="3"/>
      <c r="K2" s="3"/>
      <c r="L2" s="3"/>
      <c r="M2" s="3"/>
    </row>
    <row r="4" customFormat="false" ht="30" hidden="false" customHeight="true" outlineLevel="0" collapsed="false">
      <c r="A4" s="4" t="s">
        <v>2</v>
      </c>
      <c r="B4" s="4" t="s">
        <v>3</v>
      </c>
      <c r="C4" s="4" t="s">
        <v>4</v>
      </c>
      <c r="D4" s="4" t="s">
        <v>5</v>
      </c>
      <c r="E4" s="4" t="s">
        <v>6</v>
      </c>
      <c r="F4" s="4" t="s">
        <v>7</v>
      </c>
      <c r="G4" s="4" t="s">
        <v>8</v>
      </c>
      <c r="H4" s="4" t="s">
        <v>9</v>
      </c>
      <c r="I4" s="4" t="s">
        <v>10</v>
      </c>
      <c r="J4" s="4" t="s">
        <v>11</v>
      </c>
      <c r="K4" s="4" t="s">
        <v>12</v>
      </c>
      <c r="L4" s="4" t="s">
        <v>13</v>
      </c>
      <c r="M4" s="4" t="s">
        <v>14</v>
      </c>
    </row>
    <row r="5" customFormat="false" ht="103.5" hidden="false" customHeight="true" outlineLevel="0" collapsed="false">
      <c r="A5" s="5" t="s">
        <v>15</v>
      </c>
      <c r="B5" s="5"/>
      <c r="C5" s="5"/>
      <c r="D5" s="5"/>
      <c r="E5" s="5"/>
      <c r="F5" s="5"/>
      <c r="G5" s="5"/>
      <c r="H5" s="5"/>
      <c r="I5" s="5"/>
      <c r="J5" s="5"/>
      <c r="K5" s="5"/>
      <c r="L5" s="5"/>
      <c r="M5" s="5"/>
    </row>
    <row r="6" customFormat="false" ht="169.5" hidden="false" customHeight="true" outlineLevel="0" collapsed="false">
      <c r="A6" s="6" t="s">
        <v>16</v>
      </c>
      <c r="B6" s="7" t="s">
        <v>17</v>
      </c>
      <c r="C6" s="8" t="s">
        <v>18</v>
      </c>
      <c r="D6" s="8" t="s">
        <v>19</v>
      </c>
      <c r="E6" s="6" t="s">
        <v>20</v>
      </c>
      <c r="F6" s="6" t="s">
        <v>21</v>
      </c>
      <c r="G6" s="6" t="s">
        <v>22</v>
      </c>
      <c r="H6" s="7" t="s">
        <v>23</v>
      </c>
      <c r="I6" s="6" t="s">
        <v>24</v>
      </c>
      <c r="J6" s="7" t="s">
        <v>25</v>
      </c>
      <c r="K6" s="9" t="s">
        <v>26</v>
      </c>
      <c r="L6" s="10" t="n">
        <v>0</v>
      </c>
      <c r="M6" s="8" t="n">
        <v>6</v>
      </c>
    </row>
    <row r="7" customFormat="false" ht="169.5" hidden="false" customHeight="true" outlineLevel="0" collapsed="false">
      <c r="A7" s="6" t="s">
        <v>27</v>
      </c>
      <c r="B7" s="7" t="s">
        <v>28</v>
      </c>
      <c r="C7" s="8" t="s">
        <v>18</v>
      </c>
      <c r="D7" s="8" t="s">
        <v>19</v>
      </c>
      <c r="E7" s="6" t="s">
        <v>20</v>
      </c>
      <c r="F7" s="6" t="s">
        <v>21</v>
      </c>
      <c r="G7" s="6" t="s">
        <v>29</v>
      </c>
      <c r="H7" s="7" t="s">
        <v>30</v>
      </c>
      <c r="I7" s="6" t="s">
        <v>24</v>
      </c>
      <c r="J7" s="7" t="s">
        <v>31</v>
      </c>
      <c r="K7" s="9" t="s">
        <v>26</v>
      </c>
      <c r="L7" s="10" t="n">
        <v>0</v>
      </c>
      <c r="M7" s="8" t="n">
        <v>8</v>
      </c>
    </row>
    <row r="8" customFormat="false" ht="125.25" hidden="false" customHeight="true" outlineLevel="0" collapsed="false">
      <c r="A8" s="6" t="s">
        <v>32</v>
      </c>
      <c r="B8" s="7" t="s">
        <v>33</v>
      </c>
      <c r="C8" s="8" t="s">
        <v>18</v>
      </c>
      <c r="D8" s="8" t="s">
        <v>34</v>
      </c>
      <c r="E8" s="6" t="s">
        <v>20</v>
      </c>
      <c r="F8" s="6" t="s">
        <v>35</v>
      </c>
      <c r="G8" s="6" t="s">
        <v>36</v>
      </c>
      <c r="H8" s="7" t="s">
        <v>37</v>
      </c>
      <c r="I8" s="6" t="s">
        <v>38</v>
      </c>
      <c r="J8" s="7" t="s">
        <v>39</v>
      </c>
      <c r="K8" s="9" t="s">
        <v>26</v>
      </c>
      <c r="L8" s="10" t="n">
        <v>0</v>
      </c>
      <c r="M8" s="8" t="n">
        <v>10</v>
      </c>
    </row>
    <row r="9" customFormat="false" ht="162.75" hidden="false" customHeight="true" outlineLevel="0" collapsed="false">
      <c r="A9" s="6" t="s">
        <v>40</v>
      </c>
      <c r="B9" s="7" t="s">
        <v>41</v>
      </c>
      <c r="C9" s="8" t="s">
        <v>18</v>
      </c>
      <c r="D9" s="8" t="s">
        <v>34</v>
      </c>
      <c r="E9" s="6" t="s">
        <v>20</v>
      </c>
      <c r="F9" s="6" t="s">
        <v>35</v>
      </c>
      <c r="G9" s="6" t="s">
        <v>42</v>
      </c>
      <c r="H9" s="7" t="s">
        <v>43</v>
      </c>
      <c r="I9" s="6" t="s">
        <v>38</v>
      </c>
      <c r="J9" s="7" t="s">
        <v>44</v>
      </c>
      <c r="K9" s="9" t="s">
        <v>26</v>
      </c>
      <c r="L9" s="10" t="n">
        <v>0</v>
      </c>
      <c r="M9" s="8" t="n">
        <v>12</v>
      </c>
    </row>
    <row r="10" customFormat="false" ht="125.25" hidden="false" customHeight="true" outlineLevel="0" collapsed="false">
      <c r="A10" s="6" t="s">
        <v>45</v>
      </c>
      <c r="B10" s="7" t="s">
        <v>46</v>
      </c>
      <c r="C10" s="8" t="s">
        <v>18</v>
      </c>
      <c r="D10" s="8" t="s">
        <v>34</v>
      </c>
      <c r="E10" s="6" t="s">
        <v>20</v>
      </c>
      <c r="F10" s="6" t="s">
        <v>47</v>
      </c>
      <c r="G10" s="6" t="s">
        <v>48</v>
      </c>
      <c r="H10" s="7" t="s">
        <v>49</v>
      </c>
      <c r="I10" s="6" t="s">
        <v>38</v>
      </c>
      <c r="J10" s="7" t="s">
        <v>50</v>
      </c>
      <c r="K10" s="9" t="s">
        <v>26</v>
      </c>
      <c r="L10" s="10" t="n">
        <v>0</v>
      </c>
      <c r="M10" s="8" t="n">
        <v>10</v>
      </c>
    </row>
    <row r="11" customFormat="false" ht="147.75" hidden="false" customHeight="true" outlineLevel="0" collapsed="false">
      <c r="A11" s="6" t="s">
        <v>51</v>
      </c>
      <c r="B11" s="7" t="s">
        <v>52</v>
      </c>
      <c r="C11" s="8" t="s">
        <v>18</v>
      </c>
      <c r="D11" s="8" t="s">
        <v>34</v>
      </c>
      <c r="E11" s="6" t="s">
        <v>20</v>
      </c>
      <c r="F11" s="6" t="s">
        <v>47</v>
      </c>
      <c r="G11" s="6" t="s">
        <v>53</v>
      </c>
      <c r="H11" s="7" t="s">
        <v>54</v>
      </c>
      <c r="I11" s="6" t="s">
        <v>38</v>
      </c>
      <c r="J11" s="7" t="s">
        <v>55</v>
      </c>
      <c r="K11" s="9" t="s">
        <v>26</v>
      </c>
      <c r="L11" s="10" t="n">
        <v>0</v>
      </c>
      <c r="M11" s="8" t="n">
        <v>10</v>
      </c>
    </row>
    <row r="12" customFormat="false" ht="162.75" hidden="false" customHeight="true" outlineLevel="0" collapsed="false">
      <c r="A12" s="6" t="s">
        <v>56</v>
      </c>
      <c r="B12" s="7" t="s">
        <v>57</v>
      </c>
      <c r="C12" s="8" t="s">
        <v>18</v>
      </c>
      <c r="D12" s="8" t="s">
        <v>58</v>
      </c>
      <c r="E12" s="6" t="s">
        <v>20</v>
      </c>
      <c r="F12" s="6" t="s">
        <v>21</v>
      </c>
      <c r="G12" s="6" t="s">
        <v>59</v>
      </c>
      <c r="H12" s="7" t="s">
        <v>60</v>
      </c>
      <c r="I12" s="6" t="s">
        <v>24</v>
      </c>
      <c r="J12" s="7" t="s">
        <v>61</v>
      </c>
      <c r="K12" s="9" t="s">
        <v>26</v>
      </c>
      <c r="L12" s="10" t="n">
        <v>0</v>
      </c>
      <c r="M12" s="8" t="n">
        <v>6</v>
      </c>
    </row>
    <row r="13" customFormat="false" ht="125.25" hidden="false" customHeight="true" outlineLevel="0" collapsed="false">
      <c r="A13" s="6" t="s">
        <v>62</v>
      </c>
      <c r="B13" s="7" t="s">
        <v>63</v>
      </c>
      <c r="C13" s="8" t="s">
        <v>18</v>
      </c>
      <c r="D13" s="8" t="s">
        <v>58</v>
      </c>
      <c r="E13" s="6" t="s">
        <v>20</v>
      </c>
      <c r="F13" s="6" t="s">
        <v>21</v>
      </c>
      <c r="G13" s="6" t="s">
        <v>64</v>
      </c>
      <c r="H13" s="7" t="s">
        <v>65</v>
      </c>
      <c r="I13" s="6" t="s">
        <v>24</v>
      </c>
      <c r="J13" s="7" t="s">
        <v>66</v>
      </c>
      <c r="K13" s="9" t="s">
        <v>26</v>
      </c>
      <c r="L13" s="10" t="n">
        <v>0</v>
      </c>
      <c r="M13" s="8" t="n">
        <v>5</v>
      </c>
    </row>
    <row r="14" customFormat="false" ht="162.75" hidden="false" customHeight="true" outlineLevel="0" collapsed="false">
      <c r="A14" s="11" t="s">
        <v>67</v>
      </c>
    </row>
    <row r="15" customFormat="false" ht="155.25" hidden="false" customHeight="true" outlineLevel="0" collapsed="false">
      <c r="A15" s="6" t="s">
        <v>68</v>
      </c>
      <c r="B15" s="7" t="s">
        <v>69</v>
      </c>
      <c r="C15" s="8" t="s">
        <v>70</v>
      </c>
      <c r="D15" s="8" t="s">
        <v>19</v>
      </c>
      <c r="E15" s="6" t="s">
        <v>20</v>
      </c>
      <c r="F15" s="6" t="s">
        <v>21</v>
      </c>
      <c r="G15" s="6" t="s">
        <v>71</v>
      </c>
      <c r="H15" s="7" t="s">
        <v>72</v>
      </c>
      <c r="I15" s="6" t="s">
        <v>73</v>
      </c>
      <c r="J15" s="7" t="s">
        <v>74</v>
      </c>
      <c r="K15" s="12" t="s">
        <v>75</v>
      </c>
      <c r="L15" s="10" t="n">
        <v>1</v>
      </c>
      <c r="M15" s="8" t="n">
        <v>2</v>
      </c>
    </row>
    <row r="16" customFormat="false" ht="147.75" hidden="false" customHeight="true" outlineLevel="0" collapsed="false">
      <c r="A16" s="6" t="s">
        <v>76</v>
      </c>
      <c r="B16" s="7" t="s">
        <v>77</v>
      </c>
      <c r="C16" s="8" t="s">
        <v>70</v>
      </c>
      <c r="D16" s="8" t="s">
        <v>19</v>
      </c>
      <c r="E16" s="6" t="s">
        <v>20</v>
      </c>
      <c r="F16" s="6" t="s">
        <v>78</v>
      </c>
      <c r="G16" s="6" t="s">
        <v>79</v>
      </c>
      <c r="H16" s="7" t="s">
        <v>80</v>
      </c>
      <c r="I16" s="6" t="s">
        <v>73</v>
      </c>
      <c r="J16" s="7" t="s">
        <v>81</v>
      </c>
      <c r="K16" s="12" t="s">
        <v>75</v>
      </c>
      <c r="L16" s="10" t="n">
        <v>1</v>
      </c>
      <c r="M16" s="8" t="n">
        <v>2</v>
      </c>
    </row>
    <row r="17" customFormat="false" ht="147.75" hidden="false" customHeight="true" outlineLevel="0" collapsed="false">
      <c r="A17" s="6" t="s">
        <v>82</v>
      </c>
      <c r="B17" s="7" t="s">
        <v>83</v>
      </c>
      <c r="C17" s="8" t="s">
        <v>70</v>
      </c>
      <c r="D17" s="8" t="s">
        <v>34</v>
      </c>
      <c r="E17" s="6" t="s">
        <v>20</v>
      </c>
      <c r="F17" s="6" t="s">
        <v>21</v>
      </c>
      <c r="G17" s="6" t="s">
        <v>84</v>
      </c>
      <c r="H17" s="7" t="s">
        <v>85</v>
      </c>
      <c r="I17" s="6" t="s">
        <v>73</v>
      </c>
      <c r="J17" s="7" t="s">
        <v>86</v>
      </c>
      <c r="K17" s="12" t="s">
        <v>75</v>
      </c>
      <c r="L17" s="10" t="n">
        <v>1</v>
      </c>
      <c r="M17" s="8" t="n">
        <v>1.5</v>
      </c>
    </row>
    <row r="18" customFormat="false" ht="140.25" hidden="false" customHeight="true" outlineLevel="0" collapsed="false">
      <c r="A18" s="6" t="s">
        <v>87</v>
      </c>
      <c r="B18" s="7" t="s">
        <v>88</v>
      </c>
      <c r="C18" s="8" t="s">
        <v>70</v>
      </c>
      <c r="D18" s="8" t="s">
        <v>89</v>
      </c>
      <c r="E18" s="6" t="s">
        <v>20</v>
      </c>
      <c r="F18" s="6" t="s">
        <v>78</v>
      </c>
      <c r="G18" s="6" t="s">
        <v>90</v>
      </c>
      <c r="H18" s="7" t="s">
        <v>91</v>
      </c>
      <c r="I18" s="6" t="s">
        <v>73</v>
      </c>
      <c r="J18" s="7" t="s">
        <v>92</v>
      </c>
      <c r="K18" s="13" t="s">
        <v>93</v>
      </c>
      <c r="L18" s="10" t="n">
        <v>0.6</v>
      </c>
      <c r="M18" s="8" t="n">
        <v>2</v>
      </c>
    </row>
    <row r="19" customFormat="false" ht="132.75" hidden="false" customHeight="true" outlineLevel="0" collapsed="false">
      <c r="A19" s="6" t="s">
        <v>94</v>
      </c>
      <c r="B19" s="7" t="s">
        <v>95</v>
      </c>
      <c r="C19" s="8" t="s">
        <v>70</v>
      </c>
      <c r="D19" s="8" t="s">
        <v>58</v>
      </c>
      <c r="E19" s="6" t="s">
        <v>20</v>
      </c>
      <c r="F19" s="6" t="s">
        <v>21</v>
      </c>
      <c r="G19" s="6" t="s">
        <v>96</v>
      </c>
      <c r="H19" s="7" t="s">
        <v>97</v>
      </c>
      <c r="I19" s="6" t="s">
        <v>24</v>
      </c>
      <c r="J19" s="7" t="s">
        <v>98</v>
      </c>
      <c r="K19" s="12" t="s">
        <v>75</v>
      </c>
      <c r="L19" s="10" t="n">
        <v>0.9</v>
      </c>
      <c r="M19" s="8" t="n">
        <v>1.5</v>
      </c>
    </row>
    <row r="20" customFormat="false" ht="132.75" hidden="false" customHeight="true" outlineLevel="0" collapsed="false">
      <c r="A20" s="6" t="s">
        <v>99</v>
      </c>
      <c r="B20" s="7" t="s">
        <v>100</v>
      </c>
      <c r="C20" s="8" t="s">
        <v>70</v>
      </c>
      <c r="D20" s="8" t="s">
        <v>58</v>
      </c>
      <c r="E20" s="6" t="s">
        <v>20</v>
      </c>
      <c r="F20" s="6" t="s">
        <v>35</v>
      </c>
      <c r="G20" s="6" t="s">
        <v>101</v>
      </c>
      <c r="H20" s="7" t="s">
        <v>102</v>
      </c>
      <c r="I20" s="6" t="s">
        <v>73</v>
      </c>
      <c r="J20" s="7" t="s">
        <v>103</v>
      </c>
      <c r="K20" s="14" t="s">
        <v>75</v>
      </c>
      <c r="L20" s="10" t="n">
        <v>1</v>
      </c>
      <c r="M20" s="8" t="n">
        <v>2</v>
      </c>
    </row>
    <row r="21" customFormat="false" ht="147.75" hidden="false" customHeight="true" outlineLevel="0" collapsed="false">
      <c r="A21" s="6" t="s">
        <v>104</v>
      </c>
      <c r="B21" s="7" t="s">
        <v>105</v>
      </c>
      <c r="C21" s="8" t="s">
        <v>70</v>
      </c>
      <c r="D21" s="8" t="s">
        <v>34</v>
      </c>
      <c r="E21" s="6" t="s">
        <v>20</v>
      </c>
      <c r="F21" s="6" t="s">
        <v>47</v>
      </c>
      <c r="G21" s="6" t="s">
        <v>106</v>
      </c>
      <c r="H21" s="7" t="s">
        <v>107</v>
      </c>
      <c r="I21" s="6" t="s">
        <v>73</v>
      </c>
      <c r="J21" s="7" t="s">
        <v>108</v>
      </c>
      <c r="K21" s="14" t="s">
        <v>75</v>
      </c>
      <c r="L21" s="10" t="n">
        <v>0.9</v>
      </c>
      <c r="M21" s="8" t="n">
        <v>3</v>
      </c>
    </row>
    <row r="22" customFormat="false" ht="155.25" hidden="false" customHeight="true" outlineLevel="0" collapsed="false">
      <c r="A22" s="6" t="s">
        <v>109</v>
      </c>
      <c r="B22" s="7" t="s">
        <v>110</v>
      </c>
      <c r="C22" s="8" t="s">
        <v>70</v>
      </c>
      <c r="D22" s="8" t="s">
        <v>34</v>
      </c>
      <c r="E22" s="6" t="s">
        <v>20</v>
      </c>
      <c r="F22" s="6" t="s">
        <v>47</v>
      </c>
      <c r="G22" s="6" t="s">
        <v>111</v>
      </c>
      <c r="H22" s="7" t="s">
        <v>112</v>
      </c>
      <c r="I22" s="6" t="s">
        <v>73</v>
      </c>
      <c r="J22" s="7" t="s">
        <v>113</v>
      </c>
      <c r="K22" s="13" t="s">
        <v>93</v>
      </c>
      <c r="L22" s="10" t="n">
        <v>0.6</v>
      </c>
      <c r="M22" s="8" t="n">
        <v>2.5</v>
      </c>
    </row>
    <row r="23" customFormat="false" ht="117.75" hidden="false" customHeight="true" outlineLevel="0" collapsed="false">
      <c r="A23" s="6" t="s">
        <v>114</v>
      </c>
      <c r="B23" s="7" t="s">
        <v>115</v>
      </c>
      <c r="C23" s="8" t="s">
        <v>70</v>
      </c>
      <c r="D23" s="8" t="s">
        <v>58</v>
      </c>
      <c r="E23" s="6" t="s">
        <v>20</v>
      </c>
      <c r="F23" s="6" t="s">
        <v>47</v>
      </c>
      <c r="G23" s="6" t="s">
        <v>116</v>
      </c>
      <c r="H23" s="7" t="s">
        <v>117</v>
      </c>
      <c r="I23" s="6" t="s">
        <v>73</v>
      </c>
      <c r="J23" s="7" t="s">
        <v>118</v>
      </c>
      <c r="K23" s="14" t="s">
        <v>75</v>
      </c>
      <c r="L23" s="10" t="n">
        <v>0.85</v>
      </c>
      <c r="M23" s="8" t="n">
        <v>1.5</v>
      </c>
    </row>
    <row r="24" customFormat="false" ht="155.25" hidden="false" customHeight="true" outlineLevel="0" collapsed="false">
      <c r="A24" s="6" t="s">
        <v>119</v>
      </c>
      <c r="B24" s="7" t="s">
        <v>120</v>
      </c>
      <c r="C24" s="8" t="s">
        <v>70</v>
      </c>
      <c r="D24" s="8" t="s">
        <v>58</v>
      </c>
      <c r="E24" s="6" t="s">
        <v>20</v>
      </c>
      <c r="F24" s="6" t="s">
        <v>21</v>
      </c>
      <c r="G24" s="6" t="s">
        <v>121</v>
      </c>
      <c r="H24" s="7" t="s">
        <v>122</v>
      </c>
      <c r="I24" s="6" t="s">
        <v>73</v>
      </c>
      <c r="J24" s="7" t="s">
        <v>123</v>
      </c>
      <c r="K24" s="14" t="s">
        <v>75</v>
      </c>
      <c r="L24" s="10" t="n">
        <v>0.9</v>
      </c>
      <c r="M24" s="8" t="n">
        <v>2</v>
      </c>
    </row>
    <row r="25" customFormat="false" ht="169.5" hidden="false" customHeight="true" outlineLevel="0" collapsed="false">
      <c r="A25" s="6" t="s">
        <v>124</v>
      </c>
      <c r="B25" s="7" t="s">
        <v>125</v>
      </c>
      <c r="C25" s="8" t="s">
        <v>70</v>
      </c>
      <c r="D25" s="8" t="s">
        <v>58</v>
      </c>
      <c r="E25" s="6" t="s">
        <v>20</v>
      </c>
      <c r="F25" s="6" t="s">
        <v>21</v>
      </c>
      <c r="G25" s="6" t="s">
        <v>126</v>
      </c>
      <c r="H25" s="7" t="s">
        <v>127</v>
      </c>
      <c r="I25" s="6" t="s">
        <v>73</v>
      </c>
      <c r="J25" s="7" t="s">
        <v>128</v>
      </c>
      <c r="K25" s="14" t="s">
        <v>75</v>
      </c>
      <c r="L25" s="10" t="n">
        <v>1</v>
      </c>
      <c r="M25" s="8" t="n">
        <v>1.5</v>
      </c>
    </row>
    <row r="26" customFormat="false" ht="140.25" hidden="false" customHeight="true" outlineLevel="0" collapsed="false">
      <c r="A26" s="6" t="s">
        <v>129</v>
      </c>
      <c r="B26" s="7" t="s">
        <v>130</v>
      </c>
      <c r="C26" s="8" t="s">
        <v>70</v>
      </c>
      <c r="D26" s="8" t="s">
        <v>34</v>
      </c>
      <c r="E26" s="6" t="s">
        <v>20</v>
      </c>
      <c r="F26" s="6" t="s">
        <v>21</v>
      </c>
      <c r="G26" s="6" t="s">
        <v>131</v>
      </c>
      <c r="H26" s="7" t="s">
        <v>132</v>
      </c>
      <c r="I26" s="6" t="s">
        <v>73</v>
      </c>
      <c r="J26" s="7" t="s">
        <v>133</v>
      </c>
      <c r="K26" s="14" t="s">
        <v>75</v>
      </c>
      <c r="L26" s="10" t="n">
        <v>0.9</v>
      </c>
      <c r="M26" s="8" t="n">
        <v>1.5</v>
      </c>
    </row>
    <row r="27" customFormat="false" ht="155.25" hidden="false" customHeight="true" outlineLevel="0" collapsed="false">
      <c r="A27" s="6" t="s">
        <v>134</v>
      </c>
      <c r="B27" s="7" t="s">
        <v>135</v>
      </c>
      <c r="C27" s="8" t="s">
        <v>70</v>
      </c>
      <c r="D27" s="8" t="s">
        <v>58</v>
      </c>
      <c r="E27" s="6" t="s">
        <v>20</v>
      </c>
      <c r="F27" s="6" t="s">
        <v>35</v>
      </c>
      <c r="G27" s="6" t="s">
        <v>136</v>
      </c>
      <c r="H27" s="7" t="s">
        <v>137</v>
      </c>
      <c r="I27" s="6" t="s">
        <v>73</v>
      </c>
      <c r="J27" s="7" t="s">
        <v>138</v>
      </c>
      <c r="K27" s="14" t="s">
        <v>75</v>
      </c>
      <c r="L27" s="10" t="n">
        <v>0.9</v>
      </c>
      <c r="M27" s="8" t="n">
        <v>1.5</v>
      </c>
    </row>
    <row r="28" customFormat="false" ht="88.5" hidden="false" customHeight="true" outlineLevel="0" collapsed="false">
      <c r="A28" s="6" t="s">
        <v>139</v>
      </c>
      <c r="B28" s="7" t="s">
        <v>140</v>
      </c>
      <c r="C28" s="8" t="s">
        <v>70</v>
      </c>
      <c r="D28" s="8" t="s">
        <v>58</v>
      </c>
      <c r="E28" s="6" t="s">
        <v>20</v>
      </c>
      <c r="F28" s="6" t="s">
        <v>21</v>
      </c>
      <c r="G28" s="6" t="s">
        <v>141</v>
      </c>
      <c r="H28" s="7" t="s">
        <v>142</v>
      </c>
      <c r="I28" s="6" t="s">
        <v>73</v>
      </c>
      <c r="J28" s="7" t="s">
        <v>143</v>
      </c>
      <c r="K28" s="14" t="s">
        <v>75</v>
      </c>
      <c r="L28" s="10" t="n">
        <v>0.85</v>
      </c>
      <c r="M28" s="8" t="n">
        <v>1.5</v>
      </c>
    </row>
    <row r="29" customFormat="false" ht="78" hidden="false" customHeight="true" outlineLevel="0" collapsed="false">
      <c r="A29" s="5" t="s">
        <v>144</v>
      </c>
      <c r="B29" s="5"/>
      <c r="C29" s="5"/>
      <c r="D29" s="5"/>
      <c r="E29" s="5"/>
      <c r="F29" s="5"/>
      <c r="G29" s="5"/>
      <c r="H29" s="5"/>
      <c r="I29" s="5"/>
      <c r="J29" s="5"/>
      <c r="K29" s="5"/>
      <c r="L29" s="5"/>
      <c r="M29" s="5"/>
    </row>
    <row r="30" customFormat="false" ht="177" hidden="false" customHeight="true" outlineLevel="0" collapsed="false">
      <c r="A30" s="6" t="s">
        <v>145</v>
      </c>
      <c r="B30" s="7" t="s">
        <v>146</v>
      </c>
      <c r="C30" s="8" t="s">
        <v>147</v>
      </c>
      <c r="D30" s="8" t="s">
        <v>34</v>
      </c>
      <c r="E30" s="6" t="s">
        <v>148</v>
      </c>
      <c r="F30" s="6" t="s">
        <v>21</v>
      </c>
      <c r="G30" s="6" t="s">
        <v>149</v>
      </c>
      <c r="H30" s="7" t="s">
        <v>150</v>
      </c>
      <c r="I30" s="6" t="s">
        <v>38</v>
      </c>
      <c r="J30" s="7" t="s">
        <v>151</v>
      </c>
      <c r="K30" s="14" t="s">
        <v>75</v>
      </c>
      <c r="L30" s="10" t="n">
        <v>0.9</v>
      </c>
      <c r="M30" s="8" t="n">
        <v>6</v>
      </c>
    </row>
    <row r="31" customFormat="false" ht="117.75" hidden="false" customHeight="true" outlineLevel="0" collapsed="false">
      <c r="A31" s="6" t="s">
        <v>152</v>
      </c>
      <c r="B31" s="7" t="s">
        <v>153</v>
      </c>
      <c r="C31" s="8" t="s">
        <v>147</v>
      </c>
      <c r="D31" s="8" t="s">
        <v>34</v>
      </c>
      <c r="E31" s="6" t="s">
        <v>148</v>
      </c>
      <c r="F31" s="6" t="s">
        <v>78</v>
      </c>
      <c r="G31" s="6" t="s">
        <v>154</v>
      </c>
      <c r="H31" s="7" t="s">
        <v>155</v>
      </c>
      <c r="I31" s="6" t="s">
        <v>24</v>
      </c>
      <c r="J31" s="7" t="s">
        <v>156</v>
      </c>
      <c r="K31" s="13" t="s">
        <v>93</v>
      </c>
      <c r="L31" s="10" t="n">
        <v>0.55</v>
      </c>
      <c r="M31" s="8" t="n">
        <v>8</v>
      </c>
    </row>
    <row r="32" customFormat="false" ht="103.5" hidden="false" customHeight="true" outlineLevel="0" collapsed="false">
      <c r="A32" s="6" t="s">
        <v>157</v>
      </c>
      <c r="B32" s="7" t="s">
        <v>158</v>
      </c>
      <c r="C32" s="8" t="s">
        <v>147</v>
      </c>
      <c r="D32" s="8" t="s">
        <v>34</v>
      </c>
      <c r="E32" s="6" t="s">
        <v>148</v>
      </c>
      <c r="F32" s="6" t="s">
        <v>78</v>
      </c>
      <c r="G32" s="6" t="s">
        <v>159</v>
      </c>
      <c r="H32" s="7" t="s">
        <v>160</v>
      </c>
      <c r="I32" s="6" t="s">
        <v>38</v>
      </c>
      <c r="J32" s="7" t="s">
        <v>161</v>
      </c>
      <c r="K32" s="15" t="s">
        <v>93</v>
      </c>
      <c r="L32" s="10" t="n">
        <v>0.35</v>
      </c>
      <c r="M32" s="8" t="n">
        <v>4</v>
      </c>
    </row>
    <row r="33" customFormat="false" ht="132.75" hidden="false" customHeight="true" outlineLevel="0" collapsed="false">
      <c r="A33" s="6" t="s">
        <v>162</v>
      </c>
      <c r="B33" s="7" t="s">
        <v>163</v>
      </c>
      <c r="C33" s="8" t="s">
        <v>147</v>
      </c>
      <c r="D33" s="8" t="s">
        <v>58</v>
      </c>
      <c r="E33" s="6" t="s">
        <v>164</v>
      </c>
      <c r="F33" s="6" t="s">
        <v>35</v>
      </c>
      <c r="G33" s="6" t="s">
        <v>165</v>
      </c>
      <c r="H33" s="7" t="s">
        <v>166</v>
      </c>
      <c r="I33" s="6" t="s">
        <v>73</v>
      </c>
      <c r="J33" s="7" t="s">
        <v>167</v>
      </c>
      <c r="K33" s="12" t="s">
        <v>75</v>
      </c>
      <c r="L33" s="10" t="n">
        <v>0.85</v>
      </c>
      <c r="M33" s="8" t="n">
        <v>3</v>
      </c>
    </row>
    <row r="34" customFormat="false" ht="140.25" hidden="false" customHeight="true" outlineLevel="0" collapsed="false">
      <c r="A34" s="6" t="s">
        <v>168</v>
      </c>
      <c r="B34" s="7" t="s">
        <v>169</v>
      </c>
      <c r="C34" s="8" t="s">
        <v>147</v>
      </c>
      <c r="D34" s="8" t="s">
        <v>34</v>
      </c>
      <c r="E34" s="6" t="s">
        <v>164</v>
      </c>
      <c r="F34" s="6" t="s">
        <v>35</v>
      </c>
      <c r="G34" s="6" t="s">
        <v>170</v>
      </c>
      <c r="H34" s="7" t="s">
        <v>171</v>
      </c>
      <c r="I34" s="6" t="s">
        <v>24</v>
      </c>
      <c r="J34" s="7" t="s">
        <v>172</v>
      </c>
      <c r="K34" s="13" t="s">
        <v>93</v>
      </c>
      <c r="L34" s="10" t="n">
        <v>0.45</v>
      </c>
      <c r="M34" s="8" t="n">
        <v>6</v>
      </c>
    </row>
    <row r="35" customFormat="false" ht="66" hidden="false" customHeight="true" outlineLevel="0" collapsed="false">
      <c r="A35" s="6" t="s">
        <v>173</v>
      </c>
      <c r="B35" s="7" t="s">
        <v>174</v>
      </c>
      <c r="C35" s="8" t="s">
        <v>147</v>
      </c>
      <c r="D35" s="8" t="s">
        <v>34</v>
      </c>
      <c r="E35" s="6" t="s">
        <v>20</v>
      </c>
      <c r="F35" s="6" t="s">
        <v>35</v>
      </c>
      <c r="G35" s="6" t="s">
        <v>175</v>
      </c>
      <c r="H35" s="7" t="s">
        <v>176</v>
      </c>
      <c r="I35" s="6" t="s">
        <v>38</v>
      </c>
      <c r="J35" s="7" t="s">
        <v>177</v>
      </c>
      <c r="K35" s="13" t="s">
        <v>93</v>
      </c>
      <c r="L35" s="10" t="n">
        <v>0.55</v>
      </c>
      <c r="M35" s="8" t="n">
        <v>6</v>
      </c>
    </row>
    <row r="36" customFormat="false" ht="125.25" hidden="false" customHeight="true" outlineLevel="0" collapsed="false">
      <c r="A36" s="6" t="s">
        <v>178</v>
      </c>
      <c r="B36" s="7" t="s">
        <v>179</v>
      </c>
      <c r="C36" s="8" t="s">
        <v>147</v>
      </c>
      <c r="D36" s="8" t="s">
        <v>34</v>
      </c>
      <c r="E36" s="6" t="s">
        <v>20</v>
      </c>
      <c r="F36" s="6" t="s">
        <v>35</v>
      </c>
      <c r="G36" s="6" t="s">
        <v>180</v>
      </c>
      <c r="H36" s="7" t="s">
        <v>181</v>
      </c>
      <c r="I36" s="6" t="s">
        <v>38</v>
      </c>
      <c r="J36" s="7" t="s">
        <v>182</v>
      </c>
      <c r="K36" s="13" t="s">
        <v>93</v>
      </c>
      <c r="L36" s="10" t="n">
        <v>0.7</v>
      </c>
      <c r="M36" s="8" t="n">
        <v>4</v>
      </c>
    </row>
    <row r="37" customFormat="false" ht="88.5" hidden="false" customHeight="true" outlineLevel="0" collapsed="false">
      <c r="A37" s="6" t="s">
        <v>183</v>
      </c>
      <c r="B37" s="7" t="s">
        <v>184</v>
      </c>
      <c r="C37" s="8" t="s">
        <v>147</v>
      </c>
      <c r="D37" s="8" t="s">
        <v>58</v>
      </c>
      <c r="E37" s="6" t="s">
        <v>148</v>
      </c>
      <c r="F37" s="6" t="s">
        <v>47</v>
      </c>
      <c r="G37" s="6" t="s">
        <v>185</v>
      </c>
      <c r="H37" s="7" t="s">
        <v>186</v>
      </c>
      <c r="I37" s="6" t="s">
        <v>24</v>
      </c>
      <c r="J37" s="7" t="s">
        <v>187</v>
      </c>
      <c r="K37" s="9" t="s">
        <v>26</v>
      </c>
      <c r="L37" s="10" t="n">
        <v>0</v>
      </c>
      <c r="M37" s="8" t="n">
        <v>4</v>
      </c>
    </row>
    <row r="38" customFormat="false" ht="140.25" hidden="false" customHeight="true" outlineLevel="0" collapsed="false">
      <c r="A38" s="11" t="s">
        <v>188</v>
      </c>
    </row>
    <row r="39" customFormat="false" ht="177" hidden="false" customHeight="true" outlineLevel="0" collapsed="false">
      <c r="A39" s="6" t="s">
        <v>189</v>
      </c>
      <c r="B39" s="7" t="s">
        <v>190</v>
      </c>
      <c r="C39" s="8" t="s">
        <v>191</v>
      </c>
      <c r="D39" s="8" t="s">
        <v>34</v>
      </c>
      <c r="E39" s="6" t="s">
        <v>164</v>
      </c>
      <c r="F39" s="6" t="s">
        <v>35</v>
      </c>
      <c r="G39" s="6" t="s">
        <v>192</v>
      </c>
      <c r="H39" s="7" t="s">
        <v>193</v>
      </c>
      <c r="I39" s="6" t="s">
        <v>24</v>
      </c>
      <c r="J39" s="7" t="s">
        <v>194</v>
      </c>
      <c r="K39" s="13" t="s">
        <v>93</v>
      </c>
      <c r="L39" s="10" t="n">
        <v>0.5</v>
      </c>
      <c r="M39" s="8" t="n">
        <v>8</v>
      </c>
    </row>
    <row r="40" customFormat="false" ht="147.75" hidden="false" customHeight="true" outlineLevel="0" collapsed="false">
      <c r="A40" s="6" t="s">
        <v>195</v>
      </c>
      <c r="B40" s="7" t="s">
        <v>196</v>
      </c>
      <c r="C40" s="8" t="s">
        <v>191</v>
      </c>
      <c r="D40" s="8" t="s">
        <v>34</v>
      </c>
      <c r="E40" s="6" t="s">
        <v>164</v>
      </c>
      <c r="F40" s="6" t="s">
        <v>47</v>
      </c>
      <c r="G40" s="6" t="s">
        <v>197</v>
      </c>
      <c r="H40" s="7" t="s">
        <v>198</v>
      </c>
      <c r="I40" s="6" t="s">
        <v>38</v>
      </c>
      <c r="J40" s="7" t="s">
        <v>199</v>
      </c>
      <c r="K40" s="13" t="s">
        <v>93</v>
      </c>
      <c r="L40" s="10" t="n">
        <v>0.45</v>
      </c>
      <c r="M40" s="8" t="n">
        <v>6</v>
      </c>
    </row>
    <row r="41" customFormat="false" ht="155.25" hidden="false" customHeight="true" outlineLevel="0" collapsed="false">
      <c r="A41" s="6" t="s">
        <v>200</v>
      </c>
      <c r="B41" s="7" t="s">
        <v>201</v>
      </c>
      <c r="C41" s="8" t="s">
        <v>191</v>
      </c>
      <c r="D41" s="8" t="s">
        <v>58</v>
      </c>
      <c r="E41" s="6" t="s">
        <v>164</v>
      </c>
      <c r="F41" s="6" t="s">
        <v>35</v>
      </c>
      <c r="G41" s="6" t="s">
        <v>192</v>
      </c>
      <c r="H41" s="7" t="s">
        <v>202</v>
      </c>
      <c r="I41" s="6" t="s">
        <v>38</v>
      </c>
      <c r="J41" s="7" t="s">
        <v>203</v>
      </c>
      <c r="K41" s="15" t="s">
        <v>93</v>
      </c>
      <c r="L41" s="10" t="n">
        <v>0.3</v>
      </c>
      <c r="M41" s="8" t="n">
        <v>4</v>
      </c>
    </row>
    <row r="42" customFormat="false" ht="147.75" hidden="false" customHeight="true" outlineLevel="0" collapsed="false">
      <c r="A42" s="6" t="s">
        <v>204</v>
      </c>
      <c r="B42" s="7" t="s">
        <v>205</v>
      </c>
      <c r="C42" s="8" t="s">
        <v>191</v>
      </c>
      <c r="D42" s="8" t="s">
        <v>34</v>
      </c>
      <c r="E42" s="6" t="s">
        <v>164</v>
      </c>
      <c r="F42" s="6" t="s">
        <v>47</v>
      </c>
      <c r="G42" s="6" t="s">
        <v>206</v>
      </c>
      <c r="H42" s="7" t="s">
        <v>207</v>
      </c>
      <c r="I42" s="6" t="s">
        <v>38</v>
      </c>
      <c r="J42" s="7" t="s">
        <v>208</v>
      </c>
      <c r="K42" s="13" t="s">
        <v>93</v>
      </c>
      <c r="L42" s="10" t="n">
        <v>0.45</v>
      </c>
      <c r="M42" s="8" t="n">
        <v>10</v>
      </c>
    </row>
    <row r="43" customFormat="false" ht="140.25" hidden="false" customHeight="true" outlineLevel="0" collapsed="false">
      <c r="A43" s="6" t="s">
        <v>209</v>
      </c>
      <c r="B43" s="7" t="s">
        <v>210</v>
      </c>
      <c r="C43" s="8" t="s">
        <v>191</v>
      </c>
      <c r="D43" s="8" t="s">
        <v>34</v>
      </c>
      <c r="E43" s="6" t="s">
        <v>164</v>
      </c>
      <c r="F43" s="6" t="s">
        <v>47</v>
      </c>
      <c r="G43" s="6" t="s">
        <v>211</v>
      </c>
      <c r="H43" s="7" t="s">
        <v>212</v>
      </c>
      <c r="I43" s="6" t="s">
        <v>24</v>
      </c>
      <c r="J43" s="7" t="s">
        <v>213</v>
      </c>
      <c r="K43" s="12" t="s">
        <v>75</v>
      </c>
      <c r="L43" s="10" t="n">
        <v>0.8</v>
      </c>
      <c r="M43" s="8" t="n">
        <v>6</v>
      </c>
    </row>
    <row r="44" customFormat="false" ht="155.25" hidden="false" customHeight="true" outlineLevel="0" collapsed="false">
      <c r="A44" s="6" t="s">
        <v>214</v>
      </c>
      <c r="B44" s="7" t="s">
        <v>215</v>
      </c>
      <c r="C44" s="8" t="s">
        <v>191</v>
      </c>
      <c r="D44" s="8" t="s">
        <v>58</v>
      </c>
      <c r="E44" s="6" t="s">
        <v>20</v>
      </c>
      <c r="F44" s="6" t="s">
        <v>47</v>
      </c>
      <c r="G44" s="6" t="s">
        <v>216</v>
      </c>
      <c r="H44" s="7" t="s">
        <v>217</v>
      </c>
      <c r="I44" s="6" t="s">
        <v>38</v>
      </c>
      <c r="J44" s="7" t="s">
        <v>218</v>
      </c>
      <c r="K44" s="16" t="s">
        <v>26</v>
      </c>
      <c r="L44" s="10" t="n">
        <v>0.05</v>
      </c>
      <c r="M44" s="8" t="n">
        <v>4</v>
      </c>
    </row>
    <row r="45" customFormat="false" ht="125.25" hidden="false" customHeight="true" outlineLevel="0" collapsed="false">
      <c r="A45" s="6" t="s">
        <v>219</v>
      </c>
      <c r="B45" s="7" t="s">
        <v>220</v>
      </c>
      <c r="C45" s="8" t="s">
        <v>191</v>
      </c>
      <c r="D45" s="8" t="s">
        <v>58</v>
      </c>
      <c r="E45" s="6" t="s">
        <v>164</v>
      </c>
      <c r="F45" s="6" t="s">
        <v>221</v>
      </c>
      <c r="G45" s="6" t="s">
        <v>222</v>
      </c>
      <c r="H45" s="7" t="s">
        <v>223</v>
      </c>
      <c r="I45" s="6" t="s">
        <v>38</v>
      </c>
      <c r="J45" s="7" t="s">
        <v>224</v>
      </c>
      <c r="K45" s="13" t="s">
        <v>93</v>
      </c>
      <c r="L45" s="10" t="n">
        <v>0.35</v>
      </c>
      <c r="M45" s="8" t="n">
        <v>3</v>
      </c>
    </row>
    <row r="46" customFormat="false" ht="132.75" hidden="false" customHeight="true" outlineLevel="0" collapsed="false">
      <c r="A46" s="11" t="s">
        <v>225</v>
      </c>
    </row>
    <row r="47" customFormat="false" ht="251.25" hidden="false" customHeight="true" outlineLevel="0" collapsed="false">
      <c r="A47" s="6" t="s">
        <v>226</v>
      </c>
      <c r="B47" s="7" t="s">
        <v>227</v>
      </c>
      <c r="C47" s="8" t="s">
        <v>228</v>
      </c>
      <c r="D47" s="8" t="s">
        <v>34</v>
      </c>
      <c r="E47" s="6" t="s">
        <v>164</v>
      </c>
      <c r="F47" s="6" t="s">
        <v>78</v>
      </c>
      <c r="G47" s="6" t="s">
        <v>229</v>
      </c>
      <c r="H47" s="7" t="s">
        <v>230</v>
      </c>
      <c r="I47" s="6" t="s">
        <v>38</v>
      </c>
      <c r="J47" s="7" t="s">
        <v>231</v>
      </c>
      <c r="K47" s="14" t="s">
        <v>75</v>
      </c>
      <c r="L47" s="10" t="n">
        <v>0.9</v>
      </c>
      <c r="M47" s="8" t="n">
        <v>8</v>
      </c>
    </row>
    <row r="48" customFormat="false" ht="184.5" hidden="false" customHeight="true" outlineLevel="0" collapsed="false">
      <c r="A48" s="6" t="s">
        <v>232</v>
      </c>
      <c r="B48" s="7" t="s">
        <v>233</v>
      </c>
      <c r="C48" s="8" t="s">
        <v>228</v>
      </c>
      <c r="D48" s="8" t="s">
        <v>34</v>
      </c>
      <c r="E48" s="6" t="s">
        <v>164</v>
      </c>
      <c r="F48" s="6" t="s">
        <v>35</v>
      </c>
      <c r="G48" s="6" t="s">
        <v>234</v>
      </c>
      <c r="H48" s="7" t="s">
        <v>235</v>
      </c>
      <c r="I48" s="6" t="s">
        <v>38</v>
      </c>
      <c r="J48" s="7" t="s">
        <v>236</v>
      </c>
      <c r="K48" s="14" t="s">
        <v>75</v>
      </c>
      <c r="L48" s="10" t="n">
        <v>0.85</v>
      </c>
      <c r="M48" s="8" t="n">
        <v>8</v>
      </c>
    </row>
    <row r="49" customFormat="false" ht="147.75" hidden="false" customHeight="true" outlineLevel="0" collapsed="false">
      <c r="A49" s="6" t="s">
        <v>237</v>
      </c>
      <c r="B49" s="7" t="s">
        <v>238</v>
      </c>
      <c r="C49" s="8" t="s">
        <v>228</v>
      </c>
      <c r="D49" s="8" t="s">
        <v>58</v>
      </c>
      <c r="E49" s="6" t="s">
        <v>164</v>
      </c>
      <c r="F49" s="6" t="s">
        <v>35</v>
      </c>
      <c r="G49" s="6" t="s">
        <v>239</v>
      </c>
      <c r="H49" s="7" t="s">
        <v>240</v>
      </c>
      <c r="I49" s="6" t="s">
        <v>38</v>
      </c>
      <c r="J49" s="7" t="s">
        <v>241</v>
      </c>
      <c r="K49" s="14" t="s">
        <v>75</v>
      </c>
      <c r="L49" s="10" t="n">
        <v>0.85</v>
      </c>
      <c r="M49" s="8" t="n">
        <v>5</v>
      </c>
    </row>
    <row r="50" customFormat="false" ht="147.75" hidden="false" customHeight="true" outlineLevel="0" collapsed="false">
      <c r="A50" s="6" t="s">
        <v>242</v>
      </c>
      <c r="B50" s="7" t="s">
        <v>243</v>
      </c>
      <c r="C50" s="8" t="s">
        <v>228</v>
      </c>
      <c r="D50" s="8" t="s">
        <v>58</v>
      </c>
      <c r="E50" s="6" t="s">
        <v>164</v>
      </c>
      <c r="F50" s="6" t="s">
        <v>35</v>
      </c>
      <c r="G50" s="6" t="s">
        <v>244</v>
      </c>
      <c r="H50" s="7" t="s">
        <v>245</v>
      </c>
      <c r="I50" s="6" t="s">
        <v>24</v>
      </c>
      <c r="J50" s="7" t="s">
        <v>246</v>
      </c>
      <c r="K50" s="13" t="s">
        <v>93</v>
      </c>
      <c r="L50" s="10" t="n">
        <v>0.5</v>
      </c>
      <c r="M50" s="8" t="n">
        <v>5</v>
      </c>
    </row>
    <row r="51" customFormat="false" ht="147.75" hidden="false" customHeight="true" outlineLevel="0" collapsed="false">
      <c r="A51" s="6" t="s">
        <v>247</v>
      </c>
      <c r="B51" s="7" t="s">
        <v>248</v>
      </c>
      <c r="C51" s="8" t="s">
        <v>228</v>
      </c>
      <c r="D51" s="8" t="s">
        <v>34</v>
      </c>
      <c r="E51" s="6" t="s">
        <v>164</v>
      </c>
      <c r="F51" s="6" t="s">
        <v>35</v>
      </c>
      <c r="G51" s="6" t="s">
        <v>249</v>
      </c>
      <c r="H51" s="7" t="s">
        <v>250</v>
      </c>
      <c r="I51" s="6" t="s">
        <v>38</v>
      </c>
      <c r="J51" s="7" t="s">
        <v>251</v>
      </c>
      <c r="K51" s="14" t="s">
        <v>75</v>
      </c>
      <c r="L51" s="10" t="n">
        <v>0.8</v>
      </c>
      <c r="M51" s="8" t="n">
        <v>6</v>
      </c>
    </row>
    <row r="52" customFormat="false" ht="140.25" hidden="false" customHeight="true" outlineLevel="0" collapsed="false">
      <c r="A52" s="6" t="s">
        <v>252</v>
      </c>
      <c r="B52" s="7" t="s">
        <v>253</v>
      </c>
      <c r="C52" s="8" t="s">
        <v>228</v>
      </c>
      <c r="D52" s="8" t="s">
        <v>58</v>
      </c>
      <c r="E52" s="6" t="s">
        <v>164</v>
      </c>
      <c r="F52" s="6" t="s">
        <v>78</v>
      </c>
      <c r="G52" s="6" t="s">
        <v>254</v>
      </c>
      <c r="H52" s="7" t="s">
        <v>255</v>
      </c>
      <c r="I52" s="6" t="s">
        <v>38</v>
      </c>
      <c r="J52" s="7" t="s">
        <v>256</v>
      </c>
      <c r="K52" s="14" t="s">
        <v>75</v>
      </c>
      <c r="L52" s="10" t="n">
        <v>0.85</v>
      </c>
      <c r="M52" s="8" t="n">
        <v>5</v>
      </c>
    </row>
    <row r="53" customFormat="false" ht="147.75" hidden="false" customHeight="true" outlineLevel="0" collapsed="false">
      <c r="A53" s="6" t="s">
        <v>257</v>
      </c>
      <c r="B53" s="7" t="s">
        <v>258</v>
      </c>
      <c r="C53" s="8" t="s">
        <v>228</v>
      </c>
      <c r="D53" s="8" t="s">
        <v>34</v>
      </c>
      <c r="E53" s="6" t="s">
        <v>164</v>
      </c>
      <c r="F53" s="6" t="s">
        <v>35</v>
      </c>
      <c r="G53" s="6" t="s">
        <v>259</v>
      </c>
      <c r="H53" s="7" t="s">
        <v>260</v>
      </c>
      <c r="I53" s="6" t="s">
        <v>24</v>
      </c>
      <c r="J53" s="7" t="s">
        <v>261</v>
      </c>
      <c r="K53" s="14" t="s">
        <v>75</v>
      </c>
      <c r="L53" s="10" t="n">
        <v>0.9</v>
      </c>
      <c r="M53" s="8" t="n">
        <v>6</v>
      </c>
    </row>
    <row r="54" customFormat="false" ht="103.5" hidden="false" customHeight="true" outlineLevel="0" collapsed="false">
      <c r="A54" s="11" t="s">
        <v>262</v>
      </c>
    </row>
    <row r="55" customFormat="false" ht="140.25" hidden="false" customHeight="true" outlineLevel="0" collapsed="false">
      <c r="A55" s="6" t="s">
        <v>263</v>
      </c>
      <c r="B55" s="7" t="s">
        <v>264</v>
      </c>
      <c r="C55" s="8" t="s">
        <v>265</v>
      </c>
      <c r="D55" s="8" t="s">
        <v>34</v>
      </c>
      <c r="E55" s="6" t="s">
        <v>164</v>
      </c>
      <c r="F55" s="6" t="s">
        <v>35</v>
      </c>
      <c r="G55" s="6" t="s">
        <v>266</v>
      </c>
      <c r="H55" s="7" t="s">
        <v>267</v>
      </c>
      <c r="I55" s="6" t="s">
        <v>38</v>
      </c>
      <c r="J55" s="7" t="s">
        <v>268</v>
      </c>
      <c r="K55" s="14" t="s">
        <v>75</v>
      </c>
      <c r="L55" s="10" t="n">
        <v>0.9</v>
      </c>
      <c r="M55" s="8" t="n">
        <v>3</v>
      </c>
    </row>
    <row r="56" customFormat="false" ht="125.25" hidden="false" customHeight="true" outlineLevel="0" collapsed="false">
      <c r="A56" s="6" t="s">
        <v>269</v>
      </c>
      <c r="B56" s="7" t="s">
        <v>270</v>
      </c>
      <c r="C56" s="8" t="s">
        <v>265</v>
      </c>
      <c r="D56" s="8" t="s">
        <v>19</v>
      </c>
      <c r="E56" s="6" t="s">
        <v>164</v>
      </c>
      <c r="F56" s="6" t="s">
        <v>35</v>
      </c>
      <c r="G56" s="6" t="s">
        <v>271</v>
      </c>
      <c r="H56" s="7" t="s">
        <v>272</v>
      </c>
      <c r="I56" s="6" t="s">
        <v>38</v>
      </c>
      <c r="J56" s="7" t="s">
        <v>273</v>
      </c>
      <c r="K56" s="13" t="s">
        <v>93</v>
      </c>
      <c r="L56" s="10" t="n">
        <v>0.7</v>
      </c>
      <c r="M56" s="8" t="n">
        <v>12</v>
      </c>
    </row>
    <row r="57" customFormat="false" ht="88.5" hidden="false" customHeight="true" outlineLevel="0" collapsed="false">
      <c r="A57" s="6" t="s">
        <v>274</v>
      </c>
      <c r="B57" s="7" t="s">
        <v>275</v>
      </c>
      <c r="C57" s="8" t="s">
        <v>265</v>
      </c>
      <c r="D57" s="8" t="s">
        <v>19</v>
      </c>
      <c r="E57" s="6" t="s">
        <v>20</v>
      </c>
      <c r="F57" s="6" t="s">
        <v>35</v>
      </c>
      <c r="G57" s="6" t="s">
        <v>276</v>
      </c>
      <c r="H57" s="7" t="s">
        <v>277</v>
      </c>
      <c r="I57" s="6" t="s">
        <v>38</v>
      </c>
      <c r="J57" s="7" t="s">
        <v>278</v>
      </c>
      <c r="K57" s="13" t="s">
        <v>93</v>
      </c>
      <c r="L57" s="10" t="n">
        <v>0.65</v>
      </c>
      <c r="M57" s="8" t="n">
        <v>10</v>
      </c>
    </row>
    <row r="58" customFormat="false" ht="81" hidden="false" customHeight="true" outlineLevel="0" collapsed="false">
      <c r="A58" s="6" t="s">
        <v>279</v>
      </c>
      <c r="B58" s="7" t="s">
        <v>280</v>
      </c>
      <c r="C58" s="8" t="s">
        <v>265</v>
      </c>
      <c r="D58" s="8" t="s">
        <v>58</v>
      </c>
      <c r="E58" s="6" t="s">
        <v>164</v>
      </c>
      <c r="F58" s="6" t="s">
        <v>35</v>
      </c>
      <c r="G58" s="6" t="s">
        <v>281</v>
      </c>
      <c r="H58" s="7" t="s">
        <v>282</v>
      </c>
      <c r="I58" s="6" t="s">
        <v>24</v>
      </c>
      <c r="J58" s="7" t="s">
        <v>283</v>
      </c>
      <c r="K58" s="9" t="s">
        <v>26</v>
      </c>
      <c r="L58" s="10" t="n">
        <v>0.15</v>
      </c>
      <c r="M58" s="8" t="n">
        <v>5</v>
      </c>
    </row>
    <row r="59" customFormat="false" ht="147.75" hidden="false" customHeight="true" outlineLevel="0" collapsed="false">
      <c r="A59" s="6" t="s">
        <v>284</v>
      </c>
      <c r="B59" s="7" t="s">
        <v>285</v>
      </c>
      <c r="C59" s="8" t="s">
        <v>265</v>
      </c>
      <c r="D59" s="8" t="s">
        <v>58</v>
      </c>
      <c r="E59" s="6" t="s">
        <v>164</v>
      </c>
      <c r="F59" s="6" t="s">
        <v>78</v>
      </c>
      <c r="G59" s="6" t="s">
        <v>286</v>
      </c>
      <c r="H59" s="7" t="s">
        <v>287</v>
      </c>
      <c r="I59" s="6" t="s">
        <v>24</v>
      </c>
      <c r="J59" s="7" t="s">
        <v>288</v>
      </c>
      <c r="K59" s="13" t="s">
        <v>93</v>
      </c>
      <c r="L59" s="10" t="n">
        <v>0.6</v>
      </c>
      <c r="M59" s="8" t="n">
        <v>4</v>
      </c>
    </row>
    <row r="60" customFormat="false" ht="140.25" hidden="false" customHeight="true" outlineLevel="0" collapsed="false">
      <c r="A60" s="6" t="s">
        <v>289</v>
      </c>
      <c r="B60" s="7" t="s">
        <v>290</v>
      </c>
      <c r="C60" s="8" t="s">
        <v>265</v>
      </c>
      <c r="D60" s="8" t="s">
        <v>34</v>
      </c>
      <c r="E60" s="6" t="s">
        <v>20</v>
      </c>
      <c r="F60" s="6" t="s">
        <v>35</v>
      </c>
      <c r="G60" s="6" t="s">
        <v>291</v>
      </c>
      <c r="H60" s="7" t="s">
        <v>292</v>
      </c>
      <c r="I60" s="6" t="s">
        <v>38</v>
      </c>
      <c r="J60" s="7" t="s">
        <v>293</v>
      </c>
      <c r="K60" s="13" t="s">
        <v>93</v>
      </c>
      <c r="L60" s="10" t="n">
        <v>0.35</v>
      </c>
      <c r="M60" s="8" t="n">
        <v>4</v>
      </c>
    </row>
    <row r="61" customFormat="false" ht="132.75" hidden="false" customHeight="true" outlineLevel="0" collapsed="false">
      <c r="A61" s="11" t="s">
        <v>294</v>
      </c>
    </row>
    <row r="62" customFormat="false" ht="117.75" hidden="false" customHeight="true" outlineLevel="0" collapsed="false">
      <c r="A62" s="6" t="s">
        <v>295</v>
      </c>
      <c r="B62" s="7" t="s">
        <v>296</v>
      </c>
      <c r="C62" s="8" t="s">
        <v>297</v>
      </c>
      <c r="D62" s="8" t="s">
        <v>34</v>
      </c>
      <c r="E62" s="6" t="s">
        <v>164</v>
      </c>
      <c r="F62" s="6" t="s">
        <v>35</v>
      </c>
      <c r="G62" s="6" t="s">
        <v>298</v>
      </c>
      <c r="H62" s="7" t="s">
        <v>299</v>
      </c>
      <c r="I62" s="6" t="s">
        <v>38</v>
      </c>
      <c r="J62" s="7" t="s">
        <v>300</v>
      </c>
      <c r="K62" s="13" t="s">
        <v>93</v>
      </c>
      <c r="L62" s="10" t="n">
        <v>0.35</v>
      </c>
      <c r="M62" s="8" t="n">
        <v>5</v>
      </c>
    </row>
    <row r="63" customFormat="false" ht="88.5" hidden="false" customHeight="true" outlineLevel="0" collapsed="false">
      <c r="A63" s="6" t="s">
        <v>301</v>
      </c>
      <c r="B63" s="7" t="s">
        <v>302</v>
      </c>
      <c r="C63" s="8" t="s">
        <v>297</v>
      </c>
      <c r="D63" s="8" t="s">
        <v>34</v>
      </c>
      <c r="E63" s="6" t="s">
        <v>164</v>
      </c>
      <c r="F63" s="6" t="s">
        <v>35</v>
      </c>
      <c r="G63" s="6" t="s">
        <v>303</v>
      </c>
      <c r="H63" s="7" t="s">
        <v>304</v>
      </c>
      <c r="I63" s="6" t="s">
        <v>38</v>
      </c>
      <c r="J63" s="7" t="s">
        <v>305</v>
      </c>
      <c r="K63" s="16" t="s">
        <v>26</v>
      </c>
      <c r="L63" s="10" t="n">
        <v>0.05</v>
      </c>
      <c r="M63" s="8" t="n">
        <v>6</v>
      </c>
    </row>
    <row r="64" customFormat="false" ht="140.25" hidden="false" customHeight="true" outlineLevel="0" collapsed="false">
      <c r="A64" s="6" t="s">
        <v>306</v>
      </c>
      <c r="B64" s="7" t="s">
        <v>307</v>
      </c>
      <c r="C64" s="8" t="s">
        <v>297</v>
      </c>
      <c r="D64" s="8" t="s">
        <v>34</v>
      </c>
      <c r="E64" s="6" t="s">
        <v>164</v>
      </c>
      <c r="F64" s="6" t="s">
        <v>35</v>
      </c>
      <c r="G64" s="6" t="s">
        <v>308</v>
      </c>
      <c r="H64" s="7" t="s">
        <v>309</v>
      </c>
      <c r="I64" s="6" t="s">
        <v>38</v>
      </c>
      <c r="J64" s="7" t="s">
        <v>310</v>
      </c>
      <c r="K64" s="9" t="s">
        <v>26</v>
      </c>
      <c r="L64" s="10" t="n">
        <v>0.1</v>
      </c>
      <c r="M64" s="8" t="n">
        <v>6</v>
      </c>
    </row>
    <row r="65" customFormat="false" ht="111" hidden="false" customHeight="true" outlineLevel="0" collapsed="false">
      <c r="A65" s="6" t="s">
        <v>311</v>
      </c>
      <c r="B65" s="7" t="s">
        <v>312</v>
      </c>
      <c r="C65" s="8" t="s">
        <v>297</v>
      </c>
      <c r="D65" s="8" t="s">
        <v>34</v>
      </c>
      <c r="E65" s="6" t="s">
        <v>164</v>
      </c>
      <c r="F65" s="6" t="s">
        <v>47</v>
      </c>
      <c r="G65" s="6" t="s">
        <v>313</v>
      </c>
      <c r="H65" s="7" t="s">
        <v>314</v>
      </c>
      <c r="I65" s="6" t="s">
        <v>38</v>
      </c>
      <c r="J65" s="7" t="s">
        <v>315</v>
      </c>
      <c r="K65" s="13" t="s">
        <v>93</v>
      </c>
      <c r="L65" s="10" t="n">
        <v>0.35</v>
      </c>
      <c r="M65" s="8" t="n">
        <v>6</v>
      </c>
    </row>
    <row r="66" customFormat="false" ht="81" hidden="false" customHeight="true" outlineLevel="0" collapsed="false">
      <c r="A66" s="6" t="s">
        <v>316</v>
      </c>
      <c r="B66" s="7" t="s">
        <v>317</v>
      </c>
      <c r="C66" s="8" t="s">
        <v>297</v>
      </c>
      <c r="D66" s="8" t="s">
        <v>58</v>
      </c>
      <c r="E66" s="6" t="s">
        <v>164</v>
      </c>
      <c r="F66" s="6" t="s">
        <v>35</v>
      </c>
      <c r="G66" s="6" t="s">
        <v>318</v>
      </c>
      <c r="H66" s="7" t="s">
        <v>319</v>
      </c>
      <c r="I66" s="6" t="s">
        <v>24</v>
      </c>
      <c r="J66" s="7" t="s">
        <v>320</v>
      </c>
      <c r="K66" s="16" t="s">
        <v>26</v>
      </c>
      <c r="L66" s="10" t="n">
        <v>0.05</v>
      </c>
      <c r="M66" s="8" t="n">
        <v>4</v>
      </c>
    </row>
    <row r="67" customFormat="false" ht="96" hidden="false" customHeight="true" outlineLevel="0" collapsed="false">
      <c r="A67" s="6" t="s">
        <v>321</v>
      </c>
      <c r="B67" s="7" t="s">
        <v>322</v>
      </c>
      <c r="C67" s="8" t="s">
        <v>297</v>
      </c>
      <c r="D67" s="8" t="s">
        <v>58</v>
      </c>
      <c r="E67" s="6" t="s">
        <v>20</v>
      </c>
      <c r="F67" s="6" t="s">
        <v>47</v>
      </c>
      <c r="G67" s="6" t="s">
        <v>291</v>
      </c>
      <c r="H67" s="7" t="s">
        <v>323</v>
      </c>
      <c r="I67" s="6" t="s">
        <v>38</v>
      </c>
      <c r="J67" s="7" t="s">
        <v>324</v>
      </c>
      <c r="K67" s="16" t="s">
        <v>26</v>
      </c>
      <c r="L67" s="10" t="n">
        <v>0</v>
      </c>
      <c r="M67" s="8" t="n">
        <v>4</v>
      </c>
    </row>
    <row r="68" customFormat="false" ht="73.5" hidden="false" customHeight="true" outlineLevel="0" collapsed="false">
      <c r="A68" s="11" t="s">
        <v>325</v>
      </c>
    </row>
    <row r="69" customFormat="false" ht="140.25" hidden="false" customHeight="true" outlineLevel="0" collapsed="false">
      <c r="A69" s="6" t="s">
        <v>326</v>
      </c>
      <c r="B69" s="7" t="s">
        <v>327</v>
      </c>
      <c r="C69" s="8" t="s">
        <v>328</v>
      </c>
      <c r="D69" s="8" t="s">
        <v>58</v>
      </c>
      <c r="E69" s="6" t="s">
        <v>164</v>
      </c>
      <c r="F69" s="6" t="s">
        <v>35</v>
      </c>
      <c r="G69" s="6" t="s">
        <v>329</v>
      </c>
      <c r="H69" s="7" t="s">
        <v>330</v>
      </c>
      <c r="I69" s="6" t="s">
        <v>24</v>
      </c>
      <c r="J69" s="7" t="s">
        <v>331</v>
      </c>
      <c r="K69" s="14" t="s">
        <v>75</v>
      </c>
      <c r="L69" s="10" t="n">
        <v>0.85</v>
      </c>
      <c r="M69" s="8" t="n">
        <v>6</v>
      </c>
    </row>
    <row r="70" customFormat="false" ht="155.25" hidden="false" customHeight="true" outlineLevel="0" collapsed="false">
      <c r="A70" s="6" t="s">
        <v>332</v>
      </c>
      <c r="B70" s="7" t="s">
        <v>333</v>
      </c>
      <c r="C70" s="8" t="s">
        <v>328</v>
      </c>
      <c r="D70" s="8" t="s">
        <v>58</v>
      </c>
      <c r="E70" s="6" t="s">
        <v>164</v>
      </c>
      <c r="F70" s="6" t="s">
        <v>78</v>
      </c>
      <c r="G70" s="6" t="s">
        <v>334</v>
      </c>
      <c r="H70" s="7" t="s">
        <v>335</v>
      </c>
      <c r="I70" s="6" t="s">
        <v>24</v>
      </c>
      <c r="J70" s="7" t="s">
        <v>336</v>
      </c>
      <c r="K70" s="13" t="s">
        <v>93</v>
      </c>
      <c r="L70" s="10" t="n">
        <v>0.55</v>
      </c>
      <c r="M70" s="8" t="n">
        <v>4</v>
      </c>
    </row>
    <row r="71" customFormat="false" ht="125.25" hidden="false" customHeight="true" outlineLevel="0" collapsed="false">
      <c r="A71" s="6" t="s">
        <v>337</v>
      </c>
      <c r="B71" s="7" t="s">
        <v>338</v>
      </c>
      <c r="C71" s="8" t="s">
        <v>328</v>
      </c>
      <c r="D71" s="8" t="s">
        <v>58</v>
      </c>
      <c r="E71" s="6" t="s">
        <v>20</v>
      </c>
      <c r="F71" s="6" t="s">
        <v>35</v>
      </c>
      <c r="G71" s="6" t="s">
        <v>339</v>
      </c>
      <c r="H71" s="7" t="s">
        <v>340</v>
      </c>
      <c r="I71" s="6" t="s">
        <v>38</v>
      </c>
      <c r="J71" s="7" t="s">
        <v>341</v>
      </c>
      <c r="K71" s="15" t="s">
        <v>93</v>
      </c>
      <c r="L71" s="10" t="n">
        <v>0.3</v>
      </c>
      <c r="M71" s="8" t="n">
        <v>4</v>
      </c>
    </row>
    <row r="72" customFormat="false" ht="169.5" hidden="false" customHeight="true" outlineLevel="0" collapsed="false">
      <c r="A72" s="6" t="s">
        <v>342</v>
      </c>
      <c r="B72" s="7" t="s">
        <v>343</v>
      </c>
      <c r="C72" s="8" t="s">
        <v>328</v>
      </c>
      <c r="D72" s="8" t="s">
        <v>89</v>
      </c>
      <c r="E72" s="6" t="s">
        <v>164</v>
      </c>
      <c r="F72" s="6" t="s">
        <v>35</v>
      </c>
      <c r="G72" s="6" t="s">
        <v>344</v>
      </c>
      <c r="H72" s="7" t="s">
        <v>345</v>
      </c>
      <c r="I72" s="6" t="s">
        <v>38</v>
      </c>
      <c r="J72" s="7" t="s">
        <v>346</v>
      </c>
      <c r="K72" s="16" t="s">
        <v>26</v>
      </c>
      <c r="L72" s="10" t="n">
        <v>0.1</v>
      </c>
      <c r="M72" s="8" t="n">
        <v>4</v>
      </c>
    </row>
    <row r="73" customFormat="false" ht="132.75" hidden="false" customHeight="true" outlineLevel="0" collapsed="false">
      <c r="A73" s="11" t="s">
        <v>347</v>
      </c>
    </row>
    <row r="74" customFormat="false" ht="103.5" hidden="false" customHeight="true" outlineLevel="0" collapsed="false">
      <c r="A74" s="6" t="s">
        <v>348</v>
      </c>
      <c r="B74" s="7" t="s">
        <v>349</v>
      </c>
      <c r="C74" s="8" t="s">
        <v>350</v>
      </c>
      <c r="D74" s="8" t="s">
        <v>34</v>
      </c>
      <c r="E74" s="6" t="s">
        <v>164</v>
      </c>
      <c r="F74" s="6" t="s">
        <v>35</v>
      </c>
      <c r="G74" s="6" t="s">
        <v>351</v>
      </c>
      <c r="H74" s="7" t="s">
        <v>352</v>
      </c>
      <c r="I74" s="6" t="s">
        <v>38</v>
      </c>
      <c r="J74" s="7" t="s">
        <v>353</v>
      </c>
      <c r="K74" s="16" t="s">
        <v>26</v>
      </c>
      <c r="L74" s="10" t="n">
        <v>0.05</v>
      </c>
      <c r="M74" s="8" t="n">
        <v>8</v>
      </c>
    </row>
    <row r="75" customFormat="false" ht="155.25" hidden="false" customHeight="true" outlineLevel="0" collapsed="false">
      <c r="A75" s="6" t="s">
        <v>354</v>
      </c>
      <c r="B75" s="7" t="s">
        <v>355</v>
      </c>
      <c r="C75" s="8" t="s">
        <v>350</v>
      </c>
      <c r="D75" s="8" t="s">
        <v>58</v>
      </c>
      <c r="E75" s="6" t="s">
        <v>164</v>
      </c>
      <c r="F75" s="6" t="s">
        <v>35</v>
      </c>
      <c r="G75" s="6" t="s">
        <v>356</v>
      </c>
      <c r="H75" s="7" t="s">
        <v>357</v>
      </c>
      <c r="I75" s="6" t="s">
        <v>38</v>
      </c>
      <c r="J75" s="7" t="s">
        <v>358</v>
      </c>
      <c r="K75" s="16" t="s">
        <v>26</v>
      </c>
      <c r="L75" s="10" t="n">
        <v>0</v>
      </c>
      <c r="M75" s="8" t="n">
        <v>4</v>
      </c>
    </row>
    <row r="76" customFormat="false" ht="140.25" hidden="false" customHeight="true" outlineLevel="0" collapsed="false">
      <c r="A76" s="6" t="s">
        <v>359</v>
      </c>
      <c r="B76" s="7" t="s">
        <v>360</v>
      </c>
      <c r="C76" s="8" t="s">
        <v>350</v>
      </c>
      <c r="D76" s="8" t="s">
        <v>34</v>
      </c>
      <c r="E76" s="6" t="s">
        <v>164</v>
      </c>
      <c r="F76" s="6" t="s">
        <v>47</v>
      </c>
      <c r="G76" s="6" t="s">
        <v>361</v>
      </c>
      <c r="H76" s="7" t="s">
        <v>362</v>
      </c>
      <c r="I76" s="6" t="s">
        <v>38</v>
      </c>
      <c r="J76" s="7" t="s">
        <v>363</v>
      </c>
      <c r="K76" s="16" t="s">
        <v>26</v>
      </c>
      <c r="L76" s="10" t="n">
        <v>0.05</v>
      </c>
      <c r="M76" s="8" t="n">
        <v>6</v>
      </c>
    </row>
    <row r="77" customFormat="false" ht="73.5" hidden="false" customHeight="true" outlineLevel="0" collapsed="false">
      <c r="A77" s="6" t="s">
        <v>364</v>
      </c>
      <c r="B77" s="7" t="s">
        <v>365</v>
      </c>
      <c r="C77" s="8" t="s">
        <v>350</v>
      </c>
      <c r="D77" s="8" t="s">
        <v>58</v>
      </c>
      <c r="E77" s="6" t="s">
        <v>20</v>
      </c>
      <c r="F77" s="6" t="s">
        <v>35</v>
      </c>
      <c r="G77" s="6" t="s">
        <v>366</v>
      </c>
      <c r="H77" s="7" t="s">
        <v>367</v>
      </c>
      <c r="I77" s="6" t="s">
        <v>38</v>
      </c>
      <c r="J77" s="7" t="s">
        <v>368</v>
      </c>
      <c r="K77" s="9" t="s">
        <v>26</v>
      </c>
      <c r="L77" s="10" t="n">
        <v>0</v>
      </c>
      <c r="M77" s="8" t="n">
        <v>3</v>
      </c>
    </row>
    <row r="78" customFormat="false" ht="140.25" hidden="false" customHeight="true" outlineLevel="0" collapsed="false">
      <c r="A78" s="11" t="s">
        <v>369</v>
      </c>
    </row>
    <row r="79" customFormat="false" ht="132.75" hidden="false" customHeight="true" outlineLevel="0" collapsed="false">
      <c r="A79" s="6" t="s">
        <v>370</v>
      </c>
      <c r="B79" s="7" t="s">
        <v>371</v>
      </c>
      <c r="C79" s="8" t="s">
        <v>372</v>
      </c>
      <c r="D79" s="8" t="s">
        <v>34</v>
      </c>
      <c r="E79" s="6" t="s">
        <v>164</v>
      </c>
      <c r="F79" s="6" t="s">
        <v>35</v>
      </c>
      <c r="G79" s="6" t="s">
        <v>373</v>
      </c>
      <c r="H79" s="7" t="s">
        <v>374</v>
      </c>
      <c r="I79" s="6" t="s">
        <v>38</v>
      </c>
      <c r="J79" s="7" t="s">
        <v>375</v>
      </c>
      <c r="K79" s="13" t="s">
        <v>93</v>
      </c>
      <c r="L79" s="10" t="n">
        <v>0.35</v>
      </c>
      <c r="M79" s="8" t="n">
        <v>6</v>
      </c>
    </row>
    <row r="80" customFormat="false" ht="117.75" hidden="false" customHeight="true" outlineLevel="0" collapsed="false">
      <c r="A80" s="6" t="s">
        <v>376</v>
      </c>
      <c r="B80" s="7" t="s">
        <v>377</v>
      </c>
      <c r="C80" s="8" t="s">
        <v>372</v>
      </c>
      <c r="D80" s="8" t="s">
        <v>34</v>
      </c>
      <c r="E80" s="6" t="s">
        <v>164</v>
      </c>
      <c r="F80" s="6" t="s">
        <v>35</v>
      </c>
      <c r="G80" s="6" t="s">
        <v>378</v>
      </c>
      <c r="H80" s="7" t="s">
        <v>379</v>
      </c>
      <c r="I80" s="6" t="s">
        <v>38</v>
      </c>
      <c r="J80" s="7" t="s">
        <v>380</v>
      </c>
      <c r="K80" s="13" t="s">
        <v>93</v>
      </c>
      <c r="L80" s="10" t="n">
        <v>0.3</v>
      </c>
      <c r="M80" s="8" t="n">
        <v>6</v>
      </c>
    </row>
    <row r="81" customFormat="false" ht="192" hidden="false" customHeight="true" outlineLevel="0" collapsed="false">
      <c r="A81" s="6" t="s">
        <v>381</v>
      </c>
      <c r="B81" s="7" t="s">
        <v>382</v>
      </c>
      <c r="C81" s="8" t="s">
        <v>372</v>
      </c>
      <c r="D81" s="8" t="s">
        <v>34</v>
      </c>
      <c r="E81" s="6" t="s">
        <v>164</v>
      </c>
      <c r="F81" s="6" t="s">
        <v>35</v>
      </c>
      <c r="G81" s="6" t="s">
        <v>383</v>
      </c>
      <c r="H81" s="7" t="s">
        <v>384</v>
      </c>
      <c r="I81" s="6" t="s">
        <v>38</v>
      </c>
      <c r="J81" s="7" t="s">
        <v>385</v>
      </c>
      <c r="K81" s="9" t="s">
        <v>26</v>
      </c>
      <c r="L81" s="10" t="n">
        <v>0.05</v>
      </c>
      <c r="M81" s="8" t="n">
        <v>10</v>
      </c>
    </row>
    <row r="82" customFormat="false" ht="117.75" hidden="false" customHeight="true" outlineLevel="0" collapsed="false">
      <c r="A82" s="6" t="s">
        <v>386</v>
      </c>
      <c r="B82" s="7" t="s">
        <v>387</v>
      </c>
      <c r="C82" s="8" t="s">
        <v>372</v>
      </c>
      <c r="D82" s="8" t="s">
        <v>34</v>
      </c>
      <c r="E82" s="6" t="s">
        <v>164</v>
      </c>
      <c r="F82" s="6" t="s">
        <v>47</v>
      </c>
      <c r="G82" s="6" t="s">
        <v>388</v>
      </c>
      <c r="H82" s="7" t="s">
        <v>389</v>
      </c>
      <c r="I82" s="6" t="s">
        <v>38</v>
      </c>
      <c r="J82" s="7" t="s">
        <v>390</v>
      </c>
      <c r="K82" s="9" t="s">
        <v>26</v>
      </c>
      <c r="L82" s="10" t="n">
        <v>0</v>
      </c>
      <c r="M82" s="8" t="n">
        <v>8</v>
      </c>
    </row>
    <row r="83" customFormat="false" ht="125.25" hidden="false" customHeight="true" outlineLevel="0" collapsed="false">
      <c r="A83" s="6" t="s">
        <v>391</v>
      </c>
      <c r="B83" s="7" t="s">
        <v>392</v>
      </c>
      <c r="C83" s="8" t="s">
        <v>372</v>
      </c>
      <c r="D83" s="8" t="s">
        <v>58</v>
      </c>
      <c r="E83" s="6" t="s">
        <v>164</v>
      </c>
      <c r="F83" s="6" t="s">
        <v>35</v>
      </c>
      <c r="G83" s="6" t="s">
        <v>393</v>
      </c>
      <c r="H83" s="7" t="s">
        <v>394</v>
      </c>
      <c r="I83" s="6" t="s">
        <v>38</v>
      </c>
      <c r="J83" s="7" t="s">
        <v>395</v>
      </c>
      <c r="K83" s="9" t="s">
        <v>26</v>
      </c>
      <c r="L83" s="10" t="n">
        <v>0</v>
      </c>
      <c r="M83" s="8" t="n">
        <v>5</v>
      </c>
    </row>
    <row r="84" customFormat="false" ht="88.5" hidden="false" customHeight="true" outlineLevel="0" collapsed="false">
      <c r="A84" s="6" t="s">
        <v>396</v>
      </c>
      <c r="B84" s="7" t="s">
        <v>397</v>
      </c>
      <c r="C84" s="8" t="s">
        <v>372</v>
      </c>
      <c r="D84" s="8" t="s">
        <v>58</v>
      </c>
      <c r="E84" s="6" t="s">
        <v>20</v>
      </c>
      <c r="F84" s="6" t="s">
        <v>35</v>
      </c>
      <c r="G84" s="6" t="s">
        <v>398</v>
      </c>
      <c r="H84" s="7" t="s">
        <v>399</v>
      </c>
      <c r="I84" s="6" t="s">
        <v>24</v>
      </c>
      <c r="J84" s="7" t="s">
        <v>400</v>
      </c>
      <c r="K84" s="13" t="s">
        <v>93</v>
      </c>
      <c r="L84" s="10" t="n">
        <v>0.4</v>
      </c>
      <c r="M84" s="8" t="n">
        <v>4</v>
      </c>
    </row>
    <row r="85" customFormat="false" ht="140.25" hidden="false" customHeight="true" outlineLevel="0" collapsed="false">
      <c r="A85" s="6" t="s">
        <v>401</v>
      </c>
      <c r="B85" s="7" t="s">
        <v>402</v>
      </c>
      <c r="C85" s="8" t="s">
        <v>372</v>
      </c>
      <c r="D85" s="8" t="s">
        <v>34</v>
      </c>
      <c r="E85" s="6" t="s">
        <v>20</v>
      </c>
      <c r="F85" s="6" t="s">
        <v>35</v>
      </c>
      <c r="G85" s="6" t="s">
        <v>403</v>
      </c>
      <c r="H85" s="7" t="s">
        <v>404</v>
      </c>
      <c r="I85" s="6" t="s">
        <v>38</v>
      </c>
      <c r="J85" s="7" t="s">
        <v>405</v>
      </c>
      <c r="K85" s="9" t="s">
        <v>26</v>
      </c>
      <c r="L85" s="10" t="n">
        <v>0.05</v>
      </c>
      <c r="M85" s="8" t="n">
        <v>4</v>
      </c>
    </row>
    <row r="86" customFormat="false" ht="117.75" hidden="false" customHeight="true" outlineLevel="0" collapsed="false">
      <c r="A86" s="11" t="s">
        <v>406</v>
      </c>
    </row>
    <row r="87" customFormat="false" ht="88.5" hidden="false" customHeight="true" outlineLevel="0" collapsed="false">
      <c r="A87" s="6" t="s">
        <v>407</v>
      </c>
      <c r="B87" s="7" t="s">
        <v>408</v>
      </c>
      <c r="C87" s="8" t="s">
        <v>409</v>
      </c>
      <c r="D87" s="8" t="s">
        <v>34</v>
      </c>
      <c r="E87" s="6" t="s">
        <v>20</v>
      </c>
      <c r="F87" s="6" t="s">
        <v>35</v>
      </c>
      <c r="G87" s="6" t="s">
        <v>410</v>
      </c>
      <c r="H87" s="7" t="s">
        <v>411</v>
      </c>
      <c r="I87" s="6" t="s">
        <v>24</v>
      </c>
      <c r="J87" s="7" t="s">
        <v>412</v>
      </c>
      <c r="K87" s="15" t="s">
        <v>93</v>
      </c>
      <c r="L87" s="10" t="n">
        <v>0.45</v>
      </c>
      <c r="M87" s="8" t="n">
        <v>6</v>
      </c>
    </row>
    <row r="88" customFormat="false" ht="132.75" hidden="false" customHeight="true" outlineLevel="0" collapsed="false">
      <c r="A88" s="6" t="s">
        <v>413</v>
      </c>
      <c r="B88" s="7" t="s">
        <v>414</v>
      </c>
      <c r="C88" s="8" t="s">
        <v>409</v>
      </c>
      <c r="D88" s="8" t="s">
        <v>34</v>
      </c>
      <c r="E88" s="6" t="s">
        <v>20</v>
      </c>
      <c r="F88" s="6" t="s">
        <v>47</v>
      </c>
      <c r="G88" s="6" t="s">
        <v>415</v>
      </c>
      <c r="H88" s="7" t="s">
        <v>416</v>
      </c>
      <c r="I88" s="6" t="s">
        <v>38</v>
      </c>
      <c r="J88" s="7" t="s">
        <v>417</v>
      </c>
      <c r="K88" s="13" t="s">
        <v>93</v>
      </c>
      <c r="L88" s="10" t="n">
        <v>0.35</v>
      </c>
      <c r="M88" s="8" t="n">
        <v>6</v>
      </c>
    </row>
    <row r="89" customFormat="false" ht="125.25" hidden="false" customHeight="true" outlineLevel="0" collapsed="false">
      <c r="A89" s="6" t="s">
        <v>418</v>
      </c>
      <c r="B89" s="7" t="s">
        <v>419</v>
      </c>
      <c r="C89" s="8" t="s">
        <v>409</v>
      </c>
      <c r="D89" s="8" t="s">
        <v>58</v>
      </c>
      <c r="E89" s="6" t="s">
        <v>20</v>
      </c>
      <c r="F89" s="6" t="s">
        <v>47</v>
      </c>
      <c r="G89" s="6" t="s">
        <v>420</v>
      </c>
      <c r="H89" s="7" t="s">
        <v>421</v>
      </c>
      <c r="I89" s="6" t="s">
        <v>38</v>
      </c>
      <c r="J89" s="7" t="s">
        <v>422</v>
      </c>
      <c r="K89" s="15" t="s">
        <v>93</v>
      </c>
      <c r="L89" s="10" t="n">
        <v>0.45</v>
      </c>
      <c r="M89" s="8" t="n">
        <v>3</v>
      </c>
    </row>
    <row r="90" customFormat="false" ht="88.5" hidden="false" customHeight="true" outlineLevel="0" collapsed="false">
      <c r="A90" s="6" t="s">
        <v>423</v>
      </c>
      <c r="B90" s="7" t="s">
        <v>424</v>
      </c>
      <c r="C90" s="8" t="s">
        <v>409</v>
      </c>
      <c r="D90" s="8" t="s">
        <v>34</v>
      </c>
      <c r="E90" s="6" t="s">
        <v>20</v>
      </c>
      <c r="F90" s="6" t="s">
        <v>35</v>
      </c>
      <c r="G90" s="6" t="s">
        <v>425</v>
      </c>
      <c r="H90" s="7" t="s">
        <v>426</v>
      </c>
      <c r="I90" s="6" t="s">
        <v>73</v>
      </c>
      <c r="J90" s="7" t="s">
        <v>427</v>
      </c>
      <c r="K90" s="13" t="s">
        <v>93</v>
      </c>
      <c r="L90" s="10" t="n">
        <v>0.8</v>
      </c>
      <c r="M90" s="8" t="n">
        <v>3</v>
      </c>
    </row>
    <row r="91" customFormat="false" ht="111" hidden="false" customHeight="true" outlineLevel="0" collapsed="false">
      <c r="A91" s="6" t="s">
        <v>428</v>
      </c>
      <c r="B91" s="7" t="s">
        <v>429</v>
      </c>
      <c r="C91" s="8" t="s">
        <v>409</v>
      </c>
      <c r="D91" s="8" t="s">
        <v>58</v>
      </c>
      <c r="E91" s="6" t="s">
        <v>20</v>
      </c>
      <c r="F91" s="6" t="s">
        <v>47</v>
      </c>
      <c r="G91" s="6" t="s">
        <v>430</v>
      </c>
      <c r="H91" s="7" t="s">
        <v>431</v>
      </c>
      <c r="I91" s="6" t="s">
        <v>24</v>
      </c>
      <c r="J91" s="7" t="s">
        <v>432</v>
      </c>
      <c r="K91" s="15" t="s">
        <v>93</v>
      </c>
      <c r="L91" s="10" t="n">
        <v>0.4</v>
      </c>
      <c r="M91" s="8" t="n">
        <v>4</v>
      </c>
    </row>
    <row r="92" customFormat="false" ht="73.5" hidden="false" customHeight="true" outlineLevel="0" collapsed="false">
      <c r="A92" s="6" t="s">
        <v>433</v>
      </c>
      <c r="B92" s="7" t="s">
        <v>434</v>
      </c>
      <c r="C92" s="8" t="s">
        <v>409</v>
      </c>
      <c r="D92" s="8" t="s">
        <v>58</v>
      </c>
      <c r="E92" s="6" t="s">
        <v>20</v>
      </c>
      <c r="F92" s="6" t="s">
        <v>47</v>
      </c>
      <c r="G92" s="6" t="s">
        <v>435</v>
      </c>
      <c r="H92" s="7" t="s">
        <v>436</v>
      </c>
      <c r="I92" s="6" t="s">
        <v>24</v>
      </c>
      <c r="J92" s="7" t="s">
        <v>437</v>
      </c>
      <c r="K92" s="15" t="s">
        <v>93</v>
      </c>
      <c r="L92" s="10" t="n">
        <v>0.4</v>
      </c>
      <c r="M92" s="8" t="n">
        <v>4</v>
      </c>
    </row>
    <row r="93" customFormat="false" ht="73.5" hidden="false" customHeight="true" outlineLevel="0" collapsed="false">
      <c r="A93" s="6" t="s">
        <v>438</v>
      </c>
      <c r="B93" s="7" t="s">
        <v>439</v>
      </c>
      <c r="C93" s="8" t="s">
        <v>409</v>
      </c>
      <c r="D93" s="8" t="s">
        <v>58</v>
      </c>
      <c r="E93" s="6" t="s">
        <v>20</v>
      </c>
      <c r="F93" s="6" t="s">
        <v>47</v>
      </c>
      <c r="G93" s="6" t="s">
        <v>440</v>
      </c>
      <c r="H93" s="7" t="s">
        <v>441</v>
      </c>
      <c r="I93" s="6" t="s">
        <v>38</v>
      </c>
      <c r="J93" s="7" t="s">
        <v>442</v>
      </c>
      <c r="K93" s="16" t="s">
        <v>26</v>
      </c>
      <c r="L93" s="10" t="n">
        <v>0</v>
      </c>
      <c r="M93" s="8" t="n">
        <v>6</v>
      </c>
    </row>
    <row r="94" customFormat="false" ht="81" hidden="false" customHeight="true" outlineLevel="0" collapsed="false">
      <c r="A94" s="6" t="s">
        <v>443</v>
      </c>
      <c r="B94" s="7" t="s">
        <v>444</v>
      </c>
      <c r="C94" s="8" t="s">
        <v>409</v>
      </c>
      <c r="D94" s="8" t="s">
        <v>58</v>
      </c>
      <c r="E94" s="6" t="s">
        <v>164</v>
      </c>
      <c r="F94" s="6" t="s">
        <v>47</v>
      </c>
      <c r="G94" s="6" t="s">
        <v>445</v>
      </c>
      <c r="H94" s="7" t="s">
        <v>446</v>
      </c>
      <c r="I94" s="6" t="s">
        <v>24</v>
      </c>
      <c r="J94" s="7" t="s">
        <v>447</v>
      </c>
      <c r="K94" s="15" t="s">
        <v>93</v>
      </c>
      <c r="L94" s="10" t="n">
        <v>0.5</v>
      </c>
      <c r="M94" s="8" t="n">
        <v>4</v>
      </c>
    </row>
    <row r="95" customFormat="false" ht="117.75" hidden="false" customHeight="true" outlineLevel="0" collapsed="false">
      <c r="A95" s="6" t="s">
        <v>448</v>
      </c>
      <c r="B95" s="7" t="s">
        <v>449</v>
      </c>
      <c r="C95" s="8" t="s">
        <v>409</v>
      </c>
      <c r="D95" s="8" t="s">
        <v>58</v>
      </c>
      <c r="E95" s="6" t="s">
        <v>20</v>
      </c>
      <c r="F95" s="6" t="s">
        <v>78</v>
      </c>
      <c r="G95" s="6" t="s">
        <v>450</v>
      </c>
      <c r="H95" s="7" t="s">
        <v>451</v>
      </c>
      <c r="I95" s="6" t="s">
        <v>73</v>
      </c>
      <c r="J95" s="7" t="s">
        <v>452</v>
      </c>
      <c r="K95" s="13" t="s">
        <v>93</v>
      </c>
      <c r="L95" s="10" t="n">
        <v>0.5</v>
      </c>
      <c r="M95" s="8" t="n">
        <v>2</v>
      </c>
    </row>
    <row r="96" customFormat="false" ht="125.25" hidden="false" customHeight="true" outlineLevel="0" collapsed="false">
      <c r="A96" s="6" t="s">
        <v>453</v>
      </c>
      <c r="B96" s="7" t="s">
        <v>454</v>
      </c>
      <c r="C96" s="8" t="s">
        <v>409</v>
      </c>
      <c r="D96" s="8" t="s">
        <v>89</v>
      </c>
      <c r="E96" s="6" t="s">
        <v>20</v>
      </c>
      <c r="F96" s="6" t="s">
        <v>47</v>
      </c>
      <c r="G96" s="6" t="s">
        <v>455</v>
      </c>
      <c r="H96" s="7" t="s">
        <v>456</v>
      </c>
      <c r="I96" s="6" t="s">
        <v>24</v>
      </c>
      <c r="J96" s="7" t="s">
        <v>457</v>
      </c>
      <c r="K96" s="16" t="s">
        <v>26</v>
      </c>
      <c r="L96" s="10" t="n">
        <v>0</v>
      </c>
      <c r="M96" s="8" t="n">
        <v>4</v>
      </c>
    </row>
    <row r="97" customFormat="false" ht="140.25" hidden="false" customHeight="true" outlineLevel="0" collapsed="false">
      <c r="A97" s="11" t="s">
        <v>458</v>
      </c>
    </row>
    <row r="98" customFormat="false" ht="66" hidden="false" customHeight="true" outlineLevel="0" collapsed="false">
      <c r="A98" s="6" t="s">
        <v>459</v>
      </c>
      <c r="B98" s="7" t="s">
        <v>460</v>
      </c>
      <c r="C98" s="8" t="s">
        <v>461</v>
      </c>
      <c r="D98" s="8" t="s">
        <v>34</v>
      </c>
      <c r="E98" s="6" t="s">
        <v>148</v>
      </c>
      <c r="F98" s="6" t="s">
        <v>78</v>
      </c>
      <c r="G98" s="6" t="s">
        <v>462</v>
      </c>
      <c r="H98" s="7" t="s">
        <v>463</v>
      </c>
      <c r="I98" s="6" t="s">
        <v>38</v>
      </c>
      <c r="J98" s="7" t="s">
        <v>464</v>
      </c>
      <c r="K98" s="15" t="s">
        <v>93</v>
      </c>
      <c r="L98" s="10" t="n">
        <v>0.3</v>
      </c>
      <c r="M98" s="8" t="n">
        <v>3</v>
      </c>
    </row>
    <row r="99" customFormat="false" ht="58.5" hidden="false" customHeight="true" outlineLevel="0" collapsed="false">
      <c r="A99" s="6" t="s">
        <v>465</v>
      </c>
      <c r="B99" s="7" t="s">
        <v>466</v>
      </c>
      <c r="C99" s="8" t="s">
        <v>461</v>
      </c>
      <c r="D99" s="8" t="s">
        <v>58</v>
      </c>
      <c r="E99" s="6" t="s">
        <v>148</v>
      </c>
      <c r="F99" s="6" t="s">
        <v>47</v>
      </c>
      <c r="G99" s="6" t="s">
        <v>467</v>
      </c>
      <c r="H99" s="7" t="s">
        <v>468</v>
      </c>
      <c r="I99" s="6" t="s">
        <v>38</v>
      </c>
      <c r="J99" s="7" t="s">
        <v>469</v>
      </c>
      <c r="K99" s="16" t="s">
        <v>26</v>
      </c>
      <c r="L99" s="10" t="n">
        <v>0.1</v>
      </c>
      <c r="M99" s="8" t="n">
        <v>5</v>
      </c>
    </row>
    <row r="100" customFormat="false" ht="58.5" hidden="false" customHeight="true" outlineLevel="0" collapsed="false">
      <c r="A100" s="6" t="s">
        <v>470</v>
      </c>
      <c r="B100" s="7" t="s">
        <v>471</v>
      </c>
      <c r="C100" s="8" t="s">
        <v>461</v>
      </c>
      <c r="D100" s="8" t="s">
        <v>34</v>
      </c>
      <c r="E100" s="6" t="s">
        <v>148</v>
      </c>
      <c r="F100" s="6" t="s">
        <v>221</v>
      </c>
      <c r="G100" s="6" t="s">
        <v>472</v>
      </c>
      <c r="H100" s="7" t="s">
        <v>473</v>
      </c>
      <c r="I100" s="6" t="s">
        <v>38</v>
      </c>
      <c r="J100" s="7" t="s">
        <v>474</v>
      </c>
      <c r="K100" s="16" t="s">
        <v>26</v>
      </c>
      <c r="L100" s="10" t="n">
        <v>0</v>
      </c>
      <c r="M100" s="8" t="n">
        <v>4</v>
      </c>
    </row>
    <row r="101" customFormat="false" ht="58.5" hidden="false" customHeight="true" outlineLevel="0" collapsed="false">
      <c r="A101" s="6" t="s">
        <v>475</v>
      </c>
      <c r="B101" s="7" t="s">
        <v>476</v>
      </c>
      <c r="C101" s="8" t="s">
        <v>461</v>
      </c>
      <c r="D101" s="8" t="s">
        <v>34</v>
      </c>
      <c r="E101" s="6" t="s">
        <v>148</v>
      </c>
      <c r="F101" s="6" t="s">
        <v>221</v>
      </c>
      <c r="G101" s="6" t="s">
        <v>477</v>
      </c>
      <c r="H101" s="7" t="s">
        <v>478</v>
      </c>
      <c r="I101" s="6" t="s">
        <v>38</v>
      </c>
      <c r="J101" s="7" t="s">
        <v>479</v>
      </c>
      <c r="K101" s="16" t="s">
        <v>26</v>
      </c>
      <c r="L101" s="10" t="n">
        <v>0</v>
      </c>
      <c r="M101" s="8" t="n">
        <v>3</v>
      </c>
    </row>
    <row r="102" customFormat="false" ht="111" hidden="false" customHeight="true" outlineLevel="0" collapsed="false">
      <c r="A102" s="6" t="s">
        <v>480</v>
      </c>
      <c r="B102" s="7" t="s">
        <v>481</v>
      </c>
      <c r="C102" s="8" t="s">
        <v>461</v>
      </c>
      <c r="D102" s="8" t="s">
        <v>58</v>
      </c>
      <c r="E102" s="6" t="s">
        <v>148</v>
      </c>
      <c r="F102" s="6" t="s">
        <v>221</v>
      </c>
      <c r="G102" s="6" t="s">
        <v>482</v>
      </c>
      <c r="H102" s="7" t="s">
        <v>483</v>
      </c>
      <c r="I102" s="6" t="s">
        <v>38</v>
      </c>
      <c r="J102" s="7" t="s">
        <v>484</v>
      </c>
      <c r="K102" s="16" t="s">
        <v>26</v>
      </c>
      <c r="L102" s="10" t="n">
        <v>0</v>
      </c>
      <c r="M102" s="8" t="n">
        <v>2</v>
      </c>
    </row>
    <row r="103" customFormat="false" ht="73.5" hidden="false" customHeight="true" outlineLevel="0" collapsed="false">
      <c r="A103" s="6" t="s">
        <v>485</v>
      </c>
      <c r="B103" s="7" t="s">
        <v>486</v>
      </c>
      <c r="C103" s="8" t="s">
        <v>461</v>
      </c>
      <c r="D103" s="8" t="s">
        <v>58</v>
      </c>
      <c r="E103" s="6" t="s">
        <v>487</v>
      </c>
      <c r="F103" s="6" t="s">
        <v>221</v>
      </c>
      <c r="G103" s="6" t="s">
        <v>488</v>
      </c>
      <c r="H103" s="7" t="s">
        <v>489</v>
      </c>
      <c r="I103" s="6" t="s">
        <v>38</v>
      </c>
      <c r="J103" s="7" t="s">
        <v>490</v>
      </c>
      <c r="K103" s="16" t="s">
        <v>26</v>
      </c>
      <c r="L103" s="10" t="n">
        <v>0</v>
      </c>
      <c r="M103" s="8" t="n">
        <v>4</v>
      </c>
    </row>
    <row r="104" customFormat="false" ht="73.5" hidden="false" customHeight="true" outlineLevel="0" collapsed="false">
      <c r="A104" s="11" t="s">
        <v>491</v>
      </c>
    </row>
    <row r="105" customFormat="false" ht="125.25" hidden="false" customHeight="true" outlineLevel="0" collapsed="false">
      <c r="A105" s="6" t="s">
        <v>492</v>
      </c>
      <c r="B105" s="7" t="s">
        <v>493</v>
      </c>
      <c r="C105" s="8" t="s">
        <v>494</v>
      </c>
      <c r="D105" s="8" t="s">
        <v>58</v>
      </c>
      <c r="E105" s="6" t="s">
        <v>487</v>
      </c>
      <c r="F105" s="6" t="s">
        <v>495</v>
      </c>
      <c r="G105" s="6" t="s">
        <v>496</v>
      </c>
      <c r="H105" s="7" t="s">
        <v>497</v>
      </c>
      <c r="I105" s="6" t="s">
        <v>38</v>
      </c>
      <c r="J105" s="7" t="s">
        <v>498</v>
      </c>
      <c r="K105" s="13" t="s">
        <v>93</v>
      </c>
      <c r="L105" s="10" t="n">
        <v>0.3</v>
      </c>
      <c r="M105" s="8" t="n">
        <v>3</v>
      </c>
    </row>
    <row r="106" customFormat="false" ht="177" hidden="false" customHeight="true" outlineLevel="0" collapsed="false">
      <c r="A106" s="6" t="s">
        <v>499</v>
      </c>
      <c r="B106" s="7" t="s">
        <v>500</v>
      </c>
      <c r="C106" s="8" t="s">
        <v>494</v>
      </c>
      <c r="D106" s="8" t="s">
        <v>34</v>
      </c>
      <c r="E106" s="6" t="s">
        <v>487</v>
      </c>
      <c r="F106" s="6" t="s">
        <v>495</v>
      </c>
      <c r="G106" s="6" t="s">
        <v>501</v>
      </c>
      <c r="H106" s="7" t="s">
        <v>502</v>
      </c>
      <c r="I106" s="6" t="s">
        <v>38</v>
      </c>
      <c r="J106" s="7" t="s">
        <v>503</v>
      </c>
      <c r="K106" s="15" t="s">
        <v>93</v>
      </c>
      <c r="L106" s="10" t="n">
        <v>0.35</v>
      </c>
      <c r="M106" s="8" t="n">
        <v>4</v>
      </c>
    </row>
    <row r="107" customFormat="false" ht="88.5" hidden="false" customHeight="true" outlineLevel="0" collapsed="false">
      <c r="A107" s="6" t="s">
        <v>504</v>
      </c>
      <c r="B107" s="7" t="s">
        <v>505</v>
      </c>
      <c r="C107" s="8" t="s">
        <v>494</v>
      </c>
      <c r="D107" s="8" t="s">
        <v>58</v>
      </c>
      <c r="E107" s="6" t="s">
        <v>487</v>
      </c>
      <c r="F107" s="6" t="s">
        <v>495</v>
      </c>
      <c r="G107" s="6" t="s">
        <v>501</v>
      </c>
      <c r="H107" s="7" t="s">
        <v>506</v>
      </c>
      <c r="I107" s="6" t="s">
        <v>38</v>
      </c>
      <c r="J107" s="7" t="s">
        <v>507</v>
      </c>
      <c r="K107" s="16" t="s">
        <v>26</v>
      </c>
      <c r="L107" s="10" t="n">
        <v>0.05</v>
      </c>
      <c r="M107" s="8" t="n">
        <v>3</v>
      </c>
    </row>
    <row r="108" customFormat="false" ht="125.25" hidden="false" customHeight="true" outlineLevel="0" collapsed="false">
      <c r="A108" s="6" t="s">
        <v>508</v>
      </c>
      <c r="B108" s="7" t="s">
        <v>509</v>
      </c>
      <c r="C108" s="8" t="s">
        <v>494</v>
      </c>
      <c r="D108" s="8" t="s">
        <v>58</v>
      </c>
      <c r="E108" s="6" t="s">
        <v>487</v>
      </c>
      <c r="F108" s="6" t="s">
        <v>495</v>
      </c>
      <c r="G108" s="6" t="s">
        <v>501</v>
      </c>
      <c r="H108" s="7" t="s">
        <v>510</v>
      </c>
      <c r="I108" s="6" t="s">
        <v>38</v>
      </c>
      <c r="J108" s="7" t="s">
        <v>511</v>
      </c>
      <c r="K108" s="16" t="s">
        <v>26</v>
      </c>
      <c r="L108" s="10" t="n">
        <v>0.05</v>
      </c>
      <c r="M108" s="8" t="n">
        <v>3</v>
      </c>
    </row>
    <row r="109" customFormat="false" ht="155.25" hidden="false" customHeight="true" outlineLevel="0" collapsed="false">
      <c r="A109" s="6" t="s">
        <v>512</v>
      </c>
      <c r="B109" s="7" t="s">
        <v>513</v>
      </c>
      <c r="C109" s="8" t="s">
        <v>494</v>
      </c>
      <c r="D109" s="8" t="s">
        <v>58</v>
      </c>
      <c r="E109" s="6" t="s">
        <v>487</v>
      </c>
      <c r="F109" s="6" t="s">
        <v>495</v>
      </c>
      <c r="G109" s="6" t="s">
        <v>501</v>
      </c>
      <c r="H109" s="7" t="s">
        <v>514</v>
      </c>
      <c r="I109" s="6" t="s">
        <v>38</v>
      </c>
      <c r="J109" s="7" t="s">
        <v>515</v>
      </c>
      <c r="K109" s="16" t="s">
        <v>26</v>
      </c>
      <c r="L109" s="10" t="n">
        <v>0.05</v>
      </c>
      <c r="M109" s="8" t="n">
        <v>3</v>
      </c>
    </row>
    <row r="110" customFormat="false" ht="81" hidden="false" customHeight="true" outlineLevel="0" collapsed="false">
      <c r="A110" s="6" t="s">
        <v>516</v>
      </c>
      <c r="B110" s="7" t="s">
        <v>517</v>
      </c>
      <c r="C110" s="8" t="s">
        <v>494</v>
      </c>
      <c r="D110" s="8" t="s">
        <v>58</v>
      </c>
      <c r="E110" s="6" t="s">
        <v>487</v>
      </c>
      <c r="F110" s="6" t="s">
        <v>495</v>
      </c>
      <c r="G110" s="6" t="s">
        <v>501</v>
      </c>
      <c r="H110" s="7" t="s">
        <v>518</v>
      </c>
      <c r="I110" s="6" t="s">
        <v>38</v>
      </c>
      <c r="J110" s="7" t="s">
        <v>515</v>
      </c>
      <c r="K110" s="16" t="s">
        <v>26</v>
      </c>
      <c r="L110" s="10" t="n">
        <v>0.05</v>
      </c>
      <c r="M110" s="8" t="n">
        <v>3</v>
      </c>
    </row>
    <row r="111" customFormat="false" ht="73.5" hidden="false" customHeight="true" outlineLevel="0" collapsed="false">
      <c r="A111" s="6" t="s">
        <v>519</v>
      </c>
      <c r="B111" s="7" t="s">
        <v>520</v>
      </c>
      <c r="C111" s="8" t="s">
        <v>494</v>
      </c>
      <c r="D111" s="8" t="s">
        <v>58</v>
      </c>
      <c r="E111" s="6" t="s">
        <v>487</v>
      </c>
      <c r="F111" s="6" t="s">
        <v>495</v>
      </c>
      <c r="G111" s="6" t="s">
        <v>521</v>
      </c>
      <c r="H111" s="7" t="s">
        <v>522</v>
      </c>
      <c r="I111" s="6" t="s">
        <v>24</v>
      </c>
      <c r="J111" s="7" t="s">
        <v>523</v>
      </c>
      <c r="K111" s="15" t="s">
        <v>93</v>
      </c>
      <c r="L111" s="10" t="n">
        <v>0.3</v>
      </c>
      <c r="M111" s="8" t="n">
        <v>4</v>
      </c>
    </row>
    <row r="112" customFormat="false" ht="88.5" hidden="false" customHeight="true" outlineLevel="0" collapsed="false">
      <c r="A112" s="6" t="s">
        <v>524</v>
      </c>
      <c r="B112" s="7" t="s">
        <v>525</v>
      </c>
      <c r="C112" s="8" t="s">
        <v>494</v>
      </c>
      <c r="D112" s="8" t="s">
        <v>58</v>
      </c>
      <c r="E112" s="6" t="s">
        <v>487</v>
      </c>
      <c r="F112" s="6" t="s">
        <v>495</v>
      </c>
      <c r="G112" s="6" t="s">
        <v>526</v>
      </c>
      <c r="H112" s="7" t="s">
        <v>527</v>
      </c>
      <c r="I112" s="6" t="s">
        <v>24</v>
      </c>
      <c r="J112" s="7" t="s">
        <v>528</v>
      </c>
      <c r="K112" s="16" t="s">
        <v>26</v>
      </c>
      <c r="L112" s="10" t="n">
        <v>0.1</v>
      </c>
      <c r="M112" s="8" t="n">
        <v>3</v>
      </c>
    </row>
    <row r="113" customFormat="false" ht="63.75" hidden="false" customHeight="true" outlineLevel="0" collapsed="false">
      <c r="A113" s="6" t="s">
        <v>529</v>
      </c>
      <c r="B113" s="7" t="s">
        <v>530</v>
      </c>
      <c r="C113" s="8" t="s">
        <v>494</v>
      </c>
      <c r="D113" s="8" t="s">
        <v>89</v>
      </c>
      <c r="E113" s="6" t="s">
        <v>487</v>
      </c>
      <c r="F113" s="6" t="s">
        <v>495</v>
      </c>
      <c r="G113" s="6" t="s">
        <v>531</v>
      </c>
      <c r="H113" s="7" t="s">
        <v>532</v>
      </c>
      <c r="I113" s="6" t="s">
        <v>24</v>
      </c>
      <c r="J113" s="7" t="s">
        <v>533</v>
      </c>
      <c r="K113" s="16" t="s">
        <v>26</v>
      </c>
      <c r="L113" s="10" t="n">
        <v>0.1</v>
      </c>
      <c r="M113" s="8" t="n">
        <v>2</v>
      </c>
    </row>
    <row r="114" customFormat="false" ht="459.75" hidden="false" customHeight="true" outlineLevel="0" collapsed="false">
      <c r="A114" s="11" t="s">
        <v>534</v>
      </c>
    </row>
    <row r="115" customFormat="false" ht="157.5" hidden="false" customHeight="true" outlineLevel="0" collapsed="false">
      <c r="A115" s="6" t="s">
        <v>535</v>
      </c>
      <c r="B115" s="7" t="s">
        <v>536</v>
      </c>
      <c r="C115" s="8" t="s">
        <v>537</v>
      </c>
      <c r="D115" s="8" t="s">
        <v>58</v>
      </c>
      <c r="E115" s="6" t="s">
        <v>20</v>
      </c>
      <c r="F115" s="6" t="s">
        <v>221</v>
      </c>
      <c r="G115" s="6" t="s">
        <v>538</v>
      </c>
      <c r="H115" s="7" t="s">
        <v>539</v>
      </c>
      <c r="I115" s="6" t="s">
        <v>38</v>
      </c>
      <c r="J115" s="7" t="s">
        <v>540</v>
      </c>
      <c r="K115" s="15" t="s">
        <v>93</v>
      </c>
      <c r="L115" s="10" t="n">
        <v>0.25</v>
      </c>
      <c r="M115" s="8" t="n">
        <v>4</v>
      </c>
    </row>
    <row r="116" customFormat="false" ht="74.25" hidden="false" customHeight="true" outlineLevel="0" collapsed="false">
      <c r="A116" s="6" t="s">
        <v>541</v>
      </c>
      <c r="B116" s="7" t="s">
        <v>542</v>
      </c>
      <c r="C116" s="8" t="s">
        <v>537</v>
      </c>
      <c r="D116" s="8" t="s">
        <v>58</v>
      </c>
      <c r="E116" s="6" t="s">
        <v>20</v>
      </c>
      <c r="F116" s="6" t="s">
        <v>221</v>
      </c>
      <c r="G116" s="6" t="s">
        <v>543</v>
      </c>
      <c r="H116" s="7" t="s">
        <v>544</v>
      </c>
      <c r="I116" s="6" t="s">
        <v>38</v>
      </c>
      <c r="J116" s="7" t="s">
        <v>545</v>
      </c>
      <c r="K116" s="16" t="s">
        <v>26</v>
      </c>
      <c r="L116" s="10" t="n">
        <v>0.05</v>
      </c>
      <c r="M116" s="8" t="n">
        <v>5</v>
      </c>
    </row>
    <row r="117" customFormat="false" ht="105.75" hidden="false" customHeight="true" outlineLevel="0" collapsed="false">
      <c r="A117" s="6" t="s">
        <v>546</v>
      </c>
      <c r="B117" s="7" t="s">
        <v>547</v>
      </c>
      <c r="C117" s="8" t="s">
        <v>537</v>
      </c>
      <c r="D117" s="8" t="s">
        <v>58</v>
      </c>
      <c r="E117" s="6" t="s">
        <v>20</v>
      </c>
      <c r="F117" s="6" t="s">
        <v>221</v>
      </c>
      <c r="G117" s="6" t="s">
        <v>548</v>
      </c>
      <c r="H117" s="7" t="s">
        <v>549</v>
      </c>
      <c r="I117" s="6" t="s">
        <v>38</v>
      </c>
      <c r="J117" s="7" t="s">
        <v>550</v>
      </c>
      <c r="K117" s="15" t="s">
        <v>93</v>
      </c>
      <c r="L117" s="10" t="n">
        <v>0.4</v>
      </c>
      <c r="M117" s="8" t="n">
        <v>2.5</v>
      </c>
    </row>
    <row r="118" customFormat="false" ht="137.25" hidden="false" customHeight="true" outlineLevel="0" collapsed="false">
      <c r="A118" s="6" t="s">
        <v>551</v>
      </c>
      <c r="B118" s="7" t="s">
        <v>552</v>
      </c>
      <c r="C118" s="8" t="s">
        <v>537</v>
      </c>
      <c r="D118" s="8" t="s">
        <v>58</v>
      </c>
      <c r="E118" s="6" t="s">
        <v>20</v>
      </c>
      <c r="F118" s="6" t="s">
        <v>221</v>
      </c>
      <c r="G118" s="6" t="s">
        <v>553</v>
      </c>
      <c r="H118" s="7" t="s">
        <v>554</v>
      </c>
      <c r="I118" s="6" t="s">
        <v>38</v>
      </c>
      <c r="J118" s="7" t="s">
        <v>555</v>
      </c>
      <c r="K118" s="15" t="s">
        <v>93</v>
      </c>
      <c r="L118" s="10" t="n">
        <v>0.2</v>
      </c>
      <c r="M118" s="8" t="n">
        <v>4</v>
      </c>
    </row>
    <row r="119" customFormat="false" ht="74.25" hidden="false" customHeight="true" outlineLevel="0" collapsed="false">
      <c r="A119" s="6" t="s">
        <v>556</v>
      </c>
      <c r="B119" s="7" t="s">
        <v>557</v>
      </c>
      <c r="C119" s="8" t="s">
        <v>537</v>
      </c>
      <c r="D119" s="8" t="s">
        <v>58</v>
      </c>
      <c r="E119" s="6" t="s">
        <v>487</v>
      </c>
      <c r="F119" s="6" t="s">
        <v>221</v>
      </c>
      <c r="G119" s="6" t="s">
        <v>558</v>
      </c>
      <c r="H119" s="7" t="s">
        <v>559</v>
      </c>
      <c r="I119" s="6" t="s">
        <v>38</v>
      </c>
      <c r="J119" s="7" t="s">
        <v>560</v>
      </c>
      <c r="K119" s="16" t="s">
        <v>26</v>
      </c>
      <c r="L119" s="10" t="n">
        <v>0</v>
      </c>
      <c r="M119" s="8" t="n">
        <v>2</v>
      </c>
    </row>
    <row r="120" customFormat="false" ht="63.75" hidden="false" customHeight="true" outlineLevel="0" collapsed="false">
      <c r="A120" s="6" t="s">
        <v>561</v>
      </c>
      <c r="B120" s="7" t="s">
        <v>562</v>
      </c>
      <c r="C120" s="8" t="s">
        <v>537</v>
      </c>
      <c r="D120" s="8" t="s">
        <v>58</v>
      </c>
      <c r="E120" s="6" t="s">
        <v>487</v>
      </c>
      <c r="F120" s="6" t="s">
        <v>221</v>
      </c>
      <c r="G120" s="6" t="s">
        <v>563</v>
      </c>
      <c r="H120" s="7" t="s">
        <v>564</v>
      </c>
      <c r="I120" s="6" t="s">
        <v>38</v>
      </c>
      <c r="J120" s="7" t="s">
        <v>565</v>
      </c>
      <c r="K120" s="16" t="s">
        <v>26</v>
      </c>
      <c r="L120" s="10" t="n">
        <v>0</v>
      </c>
      <c r="M120" s="8" t="n">
        <v>2.5</v>
      </c>
    </row>
    <row r="121" customFormat="false" ht="74.25" hidden="false" customHeight="true" outlineLevel="0" collapsed="false">
      <c r="A121" s="6" t="s">
        <v>566</v>
      </c>
      <c r="B121" s="7" t="s">
        <v>567</v>
      </c>
      <c r="C121" s="8" t="s">
        <v>537</v>
      </c>
      <c r="D121" s="8" t="s">
        <v>58</v>
      </c>
      <c r="E121" s="6" t="s">
        <v>487</v>
      </c>
      <c r="F121" s="6" t="s">
        <v>221</v>
      </c>
      <c r="G121" s="6" t="s">
        <v>568</v>
      </c>
      <c r="H121" s="7" t="s">
        <v>569</v>
      </c>
      <c r="I121" s="6" t="s">
        <v>38</v>
      </c>
      <c r="J121" s="7" t="s">
        <v>570</v>
      </c>
      <c r="K121" s="16" t="s">
        <v>26</v>
      </c>
      <c r="L121" s="10" t="n">
        <v>0</v>
      </c>
      <c r="M121" s="8" t="n">
        <v>2.5</v>
      </c>
    </row>
  </sheetData>
  <mergeCells count="4">
    <mergeCell ref="A1:M1"/>
    <mergeCell ref="A2:M2"/>
    <mergeCell ref="A5:M5"/>
    <mergeCell ref="A29:M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10"/>
    <col collapsed="false" customWidth="true" hidden="false" outlineLevel="0" max="3" min="3" style="1" width="13"/>
    <col collapsed="false" customWidth="true" hidden="false" outlineLevel="0" max="4" min="4" style="1" width="11"/>
    <col collapsed="false" customWidth="true" hidden="false" outlineLevel="0" max="6" min="5" style="1" width="2"/>
  </cols>
  <sheetData>
    <row r="1" customFormat="false" ht="15.75" hidden="false" customHeight="true" outlineLevel="0" collapsed="false">
      <c r="A1" s="17" t="s">
        <v>571</v>
      </c>
      <c r="B1" s="17"/>
      <c r="C1" s="17"/>
      <c r="D1" s="17"/>
      <c r="E1" s="17"/>
      <c r="F1" s="17"/>
    </row>
    <row r="2" customFormat="false" ht="54" hidden="false" customHeight="true" outlineLevel="0" collapsed="false">
      <c r="A2" s="18" t="s">
        <v>572</v>
      </c>
      <c r="B2" s="18"/>
      <c r="C2" s="18"/>
      <c r="D2" s="18"/>
      <c r="E2" s="18"/>
      <c r="F2" s="18"/>
    </row>
    <row r="3" customFormat="false" ht="85.5" hidden="false" customHeight="true" outlineLevel="0" collapsed="false">
      <c r="A3" s="19" t="s">
        <v>573</v>
      </c>
      <c r="B3" s="19"/>
      <c r="C3" s="19"/>
      <c r="D3" s="19"/>
      <c r="E3" s="19"/>
      <c r="F3" s="19"/>
    </row>
    <row r="4" customFormat="false" ht="69.75" hidden="false" customHeight="true" outlineLevel="0" collapsed="false">
      <c r="A4" s="20" t="s">
        <v>574</v>
      </c>
      <c r="B4" s="20"/>
      <c r="C4" s="20"/>
      <c r="D4" s="20"/>
      <c r="E4" s="20"/>
      <c r="F4" s="20"/>
    </row>
    <row r="5" customFormat="false" ht="15" hidden="false" customHeight="true" outlineLevel="0" collapsed="false"/>
    <row r="6" customFormat="false" ht="15" hidden="false" customHeight="true" outlineLevel="0" collapsed="false">
      <c r="A6" s="21" t="s">
        <v>12</v>
      </c>
      <c r="B6" s="21" t="s">
        <v>575</v>
      </c>
      <c r="C6" s="21" t="s">
        <v>14</v>
      </c>
      <c r="D6" s="21" t="s">
        <v>576</v>
      </c>
    </row>
    <row r="7" customFormat="false" ht="15" hidden="false" customHeight="true" outlineLevel="0" collapsed="false">
      <c r="A7" s="22" t="s">
        <v>75</v>
      </c>
      <c r="B7" s="23" t="n">
        <f aca="false">COUNTIF('Task List'!$K$5:$K$121,A7)</f>
        <v>23</v>
      </c>
      <c r="C7" s="23" t="n">
        <f aca="false">SUMIF('Task List'!$K$5:$K$121,A7,'Task List'!$M$5:$M$121)</f>
        <v>83.5</v>
      </c>
      <c r="D7" s="24" t="n">
        <f aca="false">IFERROR(B7/$B$10,0)</f>
        <v>0.223300970873786</v>
      </c>
    </row>
    <row r="8" customFormat="false" ht="15" hidden="false" customHeight="true" outlineLevel="0" collapsed="false">
      <c r="A8" s="25" t="s">
        <v>93</v>
      </c>
      <c r="B8" s="23" t="n">
        <f aca="false">COUNTIF('Task List'!$K$5:$K$121,A8)</f>
        <v>39</v>
      </c>
      <c r="C8" s="23" t="n">
        <f aca="false">SUMIF('Task List'!$K$5:$K$121,A8,'Task List'!$M$5:$M$121)</f>
        <v>190</v>
      </c>
      <c r="D8" s="24" t="n">
        <f aca="false">IFERROR(B8/$B$10,0)</f>
        <v>0.378640776699029</v>
      </c>
    </row>
    <row r="9" customFormat="false" ht="15" hidden="false" customHeight="true" outlineLevel="0" collapsed="false">
      <c r="A9" s="26" t="s">
        <v>26</v>
      </c>
      <c r="B9" s="23" t="n">
        <f aca="false">COUNTIF('Task List'!$K$5:$K$121,A9)</f>
        <v>41</v>
      </c>
      <c r="C9" s="23" t="n">
        <f aca="false">SUMIF('Task List'!$K$5:$K$121,A9,'Task List'!$M$5:$M$121)</f>
        <v>209</v>
      </c>
      <c r="D9" s="24" t="n">
        <f aca="false">IFERROR(B9/$B$10,0)</f>
        <v>0.398058252427184</v>
      </c>
    </row>
    <row r="10" customFormat="false" ht="15" hidden="false" customHeight="true" outlineLevel="0" collapsed="false">
      <c r="A10" s="27" t="s">
        <v>577</v>
      </c>
      <c r="B10" s="23" t="n">
        <f aca="false">SUM(B7:B9)</f>
        <v>103</v>
      </c>
      <c r="C10" s="23" t="n">
        <f aca="false">SUM(C7:C9)</f>
        <v>482.5</v>
      </c>
      <c r="D10" s="24" t="n">
        <f aca="false">IFERROR(B10/B10,0)</f>
        <v>1</v>
      </c>
    </row>
    <row r="11" customFormat="false" ht="39" hidden="false" customHeight="true" outlineLevel="0" collapsed="false">
      <c r="A11" s="28"/>
      <c r="B11" s="28"/>
      <c r="C11" s="28"/>
      <c r="D11" s="28"/>
      <c r="E11" s="28"/>
      <c r="F11" s="28"/>
    </row>
    <row r="12" customFormat="false" ht="51.75" hidden="false" customHeight="true" outlineLevel="0" collapsed="false">
      <c r="A12" s="29" t="s">
        <v>578</v>
      </c>
      <c r="B12" s="29"/>
      <c r="C12" s="29"/>
      <c r="D12" s="29"/>
      <c r="E12" s="29"/>
      <c r="F12" s="29"/>
    </row>
    <row r="13" customFormat="false" ht="39" hidden="false" customHeight="true" outlineLevel="0" collapsed="false">
      <c r="A13" s="18" t="s">
        <v>579</v>
      </c>
      <c r="B13" s="18"/>
      <c r="C13" s="18"/>
      <c r="D13" s="18"/>
      <c r="E13" s="18"/>
      <c r="F13" s="18"/>
    </row>
    <row r="14" customFormat="false" ht="39" hidden="false" customHeight="true" outlineLevel="0" collapsed="false">
      <c r="A14" s="18" t="s">
        <v>580</v>
      </c>
      <c r="B14" s="18"/>
      <c r="C14" s="18"/>
      <c r="D14" s="18"/>
      <c r="E14" s="18"/>
      <c r="F14" s="18"/>
    </row>
    <row r="15" customFormat="false" ht="168" hidden="false" customHeight="true" outlineLevel="0" collapsed="false">
      <c r="A15" s="30" t="s">
        <v>581</v>
      </c>
    </row>
    <row r="16" customFormat="false" ht="15" hidden="false" customHeight="true" outlineLevel="0" collapsed="false">
      <c r="A16" s="30" t="s">
        <v>582</v>
      </c>
    </row>
    <row r="17" customFormat="false" ht="51.75" hidden="false" customHeight="true" outlineLevel="0" collapsed="false">
      <c r="A17" s="28"/>
      <c r="B17" s="28"/>
      <c r="C17" s="28"/>
      <c r="D17" s="28"/>
      <c r="E17" s="28"/>
      <c r="F17" s="28"/>
    </row>
    <row r="18" customFormat="false" ht="51.75" hidden="false" customHeight="true" outlineLevel="0" collapsed="false">
      <c r="A18" s="29" t="s">
        <v>583</v>
      </c>
      <c r="B18" s="29"/>
      <c r="C18" s="29"/>
      <c r="D18" s="29"/>
      <c r="E18" s="29"/>
      <c r="F18" s="29"/>
    </row>
    <row r="19" customFormat="false" ht="51.75" hidden="false" customHeight="true" outlineLevel="0" collapsed="false">
      <c r="A19" s="18" t="s">
        <v>584</v>
      </c>
      <c r="B19" s="18"/>
      <c r="C19" s="18"/>
      <c r="D19" s="18"/>
      <c r="E19" s="18"/>
      <c r="F19" s="18"/>
    </row>
    <row r="20" customFormat="false" ht="220.5" hidden="false" customHeight="true" outlineLevel="0" collapsed="false">
      <c r="A20" s="30" t="s">
        <v>585</v>
      </c>
    </row>
    <row r="21" customFormat="false" ht="220.5" hidden="false" customHeight="true" outlineLevel="0" collapsed="false">
      <c r="A21" s="30" t="s">
        <v>586</v>
      </c>
    </row>
  </sheetData>
  <mergeCells count="11">
    <mergeCell ref="A1:F1"/>
    <mergeCell ref="A2:F2"/>
    <mergeCell ref="A3:F3"/>
    <mergeCell ref="A4:F4"/>
    <mergeCell ref="A11:F11"/>
    <mergeCell ref="A12:F12"/>
    <mergeCell ref="A13:F13"/>
    <mergeCell ref="A14:F14"/>
    <mergeCell ref="A17:F17"/>
    <mergeCell ref="A18:F18"/>
    <mergeCell ref="A19:F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54"/>
    <col collapsed="false" customWidth="true" hidden="false" outlineLevel="0" max="3" min="3" style="1" width="7"/>
    <col collapsed="false" customWidth="true" hidden="false" outlineLevel="0" max="4" min="4" style="1" width="15"/>
    <col collapsed="false" customWidth="true" hidden="false" outlineLevel="0" max="5" min="5" style="1" width="62"/>
    <col collapsed="false" customWidth="true" hidden="false" outlineLevel="0" max="6" min="6" style="1" width="14"/>
  </cols>
  <sheetData>
    <row r="1" customFormat="false" ht="15" hidden="false" customHeight="true" outlineLevel="0" collapsed="false">
      <c r="A1" s="31" t="s">
        <v>587</v>
      </c>
      <c r="B1" s="31"/>
      <c r="C1" s="31"/>
      <c r="D1" s="31"/>
      <c r="E1" s="31"/>
      <c r="F1" s="31"/>
    </row>
    <row r="2" customFormat="false" ht="43.5" hidden="false" customHeight="true" outlineLevel="0" collapsed="false">
      <c r="A2" s="3" t="s">
        <v>588</v>
      </c>
      <c r="B2" s="3"/>
      <c r="C2" s="3"/>
      <c r="D2" s="3"/>
      <c r="E2" s="3"/>
      <c r="F2" s="3"/>
    </row>
    <row r="3" customFormat="false" ht="21.75" hidden="false" customHeight="true" outlineLevel="0" collapsed="false">
      <c r="A3" s="32" t="s">
        <v>589</v>
      </c>
      <c r="B3" s="32" t="s">
        <v>590</v>
      </c>
      <c r="C3" s="32" t="s">
        <v>591</v>
      </c>
      <c r="D3" s="32" t="s">
        <v>592</v>
      </c>
      <c r="E3" s="32" t="s">
        <v>593</v>
      </c>
      <c r="F3" s="32" t="s">
        <v>594</v>
      </c>
    </row>
    <row r="4" customFormat="false" ht="15" hidden="false" customHeight="true" outlineLevel="0" collapsed="false">
      <c r="A4" s="33" t="s">
        <v>595</v>
      </c>
      <c r="B4" s="33"/>
      <c r="C4" s="33"/>
      <c r="D4" s="33"/>
      <c r="E4" s="33"/>
      <c r="F4" s="33"/>
    </row>
    <row r="5" customFormat="false" ht="25.5" hidden="false" customHeight="true" outlineLevel="0" collapsed="false">
      <c r="A5" s="6" t="s">
        <v>596</v>
      </c>
      <c r="B5" s="7" t="s">
        <v>597</v>
      </c>
      <c r="C5" s="8" t="n">
        <v>12</v>
      </c>
      <c r="D5" s="9" t="s">
        <v>598</v>
      </c>
      <c r="E5" s="7" t="s">
        <v>599</v>
      </c>
      <c r="F5" s="8" t="s">
        <v>27</v>
      </c>
    </row>
    <row r="6" customFormat="false" ht="25.5" hidden="false" customHeight="true" outlineLevel="0" collapsed="false">
      <c r="A6" s="6" t="s">
        <v>596</v>
      </c>
      <c r="B6" s="7" t="s">
        <v>600</v>
      </c>
      <c r="C6" s="8" t="n">
        <v>18</v>
      </c>
      <c r="D6" s="9" t="s">
        <v>598</v>
      </c>
      <c r="E6" s="7" t="s">
        <v>601</v>
      </c>
      <c r="F6" s="8" t="s">
        <v>27</v>
      </c>
    </row>
    <row r="7" customFormat="false" ht="25.5" hidden="false" customHeight="true" outlineLevel="0" collapsed="false">
      <c r="A7" s="6" t="s">
        <v>596</v>
      </c>
      <c r="B7" s="7" t="s">
        <v>602</v>
      </c>
      <c r="C7" s="8" t="n">
        <v>17</v>
      </c>
      <c r="D7" s="9" t="s">
        <v>598</v>
      </c>
      <c r="E7" s="7" t="s">
        <v>603</v>
      </c>
      <c r="F7" s="8" t="s">
        <v>27</v>
      </c>
    </row>
    <row r="8" customFormat="false" ht="25.5" hidden="false" customHeight="true" outlineLevel="0" collapsed="false">
      <c r="A8" s="6" t="s">
        <v>596</v>
      </c>
      <c r="B8" s="7" t="s">
        <v>604</v>
      </c>
      <c r="C8" s="8" t="n">
        <v>12</v>
      </c>
      <c r="D8" s="9" t="s">
        <v>598</v>
      </c>
      <c r="E8" s="7" t="s">
        <v>605</v>
      </c>
      <c r="F8" s="8" t="s">
        <v>27</v>
      </c>
    </row>
    <row r="9" customFormat="false" ht="25.5" hidden="false" customHeight="true" outlineLevel="0" collapsed="false">
      <c r="A9" s="6" t="s">
        <v>596</v>
      </c>
      <c r="B9" s="7" t="s">
        <v>606</v>
      </c>
      <c r="C9" s="8" t="n">
        <v>3</v>
      </c>
      <c r="D9" s="34" t="s">
        <v>607</v>
      </c>
      <c r="E9" s="7" t="s">
        <v>608</v>
      </c>
      <c r="F9" s="8" t="s">
        <v>27</v>
      </c>
    </row>
    <row r="10" customFormat="false" ht="25.5" hidden="false" customHeight="true" outlineLevel="0" collapsed="false">
      <c r="A10" s="6" t="s">
        <v>596</v>
      </c>
      <c r="B10" s="7" t="s">
        <v>609</v>
      </c>
      <c r="C10" s="8" t="n">
        <v>91</v>
      </c>
      <c r="D10" s="34" t="s">
        <v>607</v>
      </c>
      <c r="E10" s="7" t="s">
        <v>610</v>
      </c>
      <c r="F10" s="8" t="s">
        <v>32</v>
      </c>
    </row>
    <row r="11" customFormat="false" ht="25.5" hidden="false" customHeight="true" outlineLevel="0" collapsed="false">
      <c r="A11" s="6" t="s">
        <v>596</v>
      </c>
      <c r="B11" s="7" t="s">
        <v>611</v>
      </c>
      <c r="C11" s="8" t="n">
        <v>39</v>
      </c>
      <c r="D11" s="34" t="s">
        <v>607</v>
      </c>
      <c r="E11" s="7" t="s">
        <v>612</v>
      </c>
      <c r="F11" s="8" t="s">
        <v>32</v>
      </c>
    </row>
    <row r="12" customFormat="false" ht="25.5" hidden="false" customHeight="true" outlineLevel="0" collapsed="false">
      <c r="A12" s="6" t="s">
        <v>596</v>
      </c>
      <c r="B12" s="7" t="s">
        <v>613</v>
      </c>
      <c r="C12" s="8" t="n">
        <v>40</v>
      </c>
      <c r="D12" s="34" t="s">
        <v>607</v>
      </c>
      <c r="E12" s="7" t="s">
        <v>614</v>
      </c>
      <c r="F12" s="8" t="s">
        <v>32</v>
      </c>
    </row>
    <row r="13" customFormat="false" ht="36" hidden="false" customHeight="true" outlineLevel="0" collapsed="false">
      <c r="A13" s="6" t="s">
        <v>596</v>
      </c>
      <c r="B13" s="7" t="s">
        <v>615</v>
      </c>
      <c r="C13" s="8" t="n">
        <v>56</v>
      </c>
      <c r="D13" s="13" t="s">
        <v>616</v>
      </c>
      <c r="E13" s="7" t="s">
        <v>617</v>
      </c>
      <c r="F13" s="8" t="s">
        <v>32</v>
      </c>
    </row>
    <row r="14" customFormat="false" ht="25.5" hidden="false" customHeight="true" outlineLevel="0" collapsed="false">
      <c r="A14" s="6" t="s">
        <v>596</v>
      </c>
      <c r="B14" s="7" t="s">
        <v>618</v>
      </c>
      <c r="C14" s="8" t="n">
        <v>177</v>
      </c>
      <c r="D14" s="34" t="s">
        <v>607</v>
      </c>
      <c r="E14" s="7" t="s">
        <v>619</v>
      </c>
      <c r="F14" s="8" t="s">
        <v>32</v>
      </c>
    </row>
    <row r="15" customFormat="false" ht="25.5" hidden="false" customHeight="true" outlineLevel="0" collapsed="false">
      <c r="A15" s="6" t="s">
        <v>596</v>
      </c>
      <c r="B15" s="7" t="s">
        <v>620</v>
      </c>
      <c r="C15" s="8" t="n">
        <v>197</v>
      </c>
      <c r="D15" s="34" t="s">
        <v>607</v>
      </c>
      <c r="E15" s="7" t="s">
        <v>621</v>
      </c>
      <c r="F15" s="8" t="s">
        <v>32</v>
      </c>
    </row>
    <row r="16" customFormat="false" ht="25.5" hidden="false" customHeight="true" outlineLevel="0" collapsed="false">
      <c r="A16" s="6" t="s">
        <v>596</v>
      </c>
      <c r="B16" s="7" t="s">
        <v>622</v>
      </c>
      <c r="C16" s="8" t="n">
        <v>51</v>
      </c>
      <c r="D16" s="34" t="s">
        <v>607</v>
      </c>
      <c r="E16" s="7" t="s">
        <v>623</v>
      </c>
      <c r="F16" s="8" t="s">
        <v>27</v>
      </c>
    </row>
    <row r="17" customFormat="false" ht="36" hidden="false" customHeight="true" outlineLevel="0" collapsed="false">
      <c r="A17" s="6" t="s">
        <v>596</v>
      </c>
      <c r="B17" s="7" t="s">
        <v>624</v>
      </c>
      <c r="C17" s="8" t="n">
        <v>54</v>
      </c>
      <c r="D17" s="34" t="s">
        <v>607</v>
      </c>
      <c r="E17" s="7" t="s">
        <v>625</v>
      </c>
      <c r="F17" s="8" t="s">
        <v>32</v>
      </c>
    </row>
    <row r="18" customFormat="false" ht="25.5" hidden="false" customHeight="true" outlineLevel="0" collapsed="false">
      <c r="A18" s="6" t="s">
        <v>596</v>
      </c>
      <c r="B18" s="7" t="s">
        <v>626</v>
      </c>
      <c r="C18" s="8"/>
      <c r="D18" s="14" t="s">
        <v>627</v>
      </c>
      <c r="E18" s="7" t="s">
        <v>628</v>
      </c>
      <c r="F18" s="8" t="s">
        <v>32</v>
      </c>
    </row>
    <row r="19" customFormat="false" ht="25.5" hidden="false" customHeight="true" outlineLevel="0" collapsed="false">
      <c r="A19" s="6" t="s">
        <v>596</v>
      </c>
      <c r="B19" s="7" t="s">
        <v>629</v>
      </c>
      <c r="C19" s="8"/>
      <c r="D19" s="14" t="s">
        <v>627</v>
      </c>
      <c r="E19" s="7" t="s">
        <v>630</v>
      </c>
      <c r="F19" s="8" t="s">
        <v>32</v>
      </c>
    </row>
    <row r="20" customFormat="false" ht="25.5" hidden="false" customHeight="true" outlineLevel="0" collapsed="false">
      <c r="A20" s="6" t="s">
        <v>596</v>
      </c>
      <c r="B20" s="7" t="s">
        <v>631</v>
      </c>
      <c r="C20" s="8"/>
      <c r="D20" s="14" t="s">
        <v>627</v>
      </c>
      <c r="E20" s="7" t="s">
        <v>632</v>
      </c>
      <c r="F20" s="8" t="s">
        <v>32</v>
      </c>
    </row>
    <row r="21" customFormat="false" ht="25.5" hidden="false" customHeight="true" outlineLevel="0" collapsed="false">
      <c r="A21" s="6" t="s">
        <v>596</v>
      </c>
      <c r="B21" s="7" t="s">
        <v>633</v>
      </c>
      <c r="C21" s="8"/>
      <c r="D21" s="14" t="s">
        <v>627</v>
      </c>
      <c r="E21" s="7" t="s">
        <v>634</v>
      </c>
      <c r="F21" s="8" t="s">
        <v>32</v>
      </c>
    </row>
    <row r="22" customFormat="false" ht="15" hidden="false" customHeight="true" outlineLevel="0" collapsed="false">
      <c r="A22" s="33" t="s">
        <v>635</v>
      </c>
      <c r="B22" s="33"/>
      <c r="C22" s="33"/>
      <c r="D22" s="33"/>
      <c r="E22" s="33"/>
      <c r="F22" s="33"/>
    </row>
    <row r="23" customFormat="false" ht="25.5" hidden="false" customHeight="true" outlineLevel="0" collapsed="false">
      <c r="A23" s="6" t="s">
        <v>636</v>
      </c>
      <c r="B23" s="7" t="s">
        <v>637</v>
      </c>
      <c r="C23" s="8" t="n">
        <v>121</v>
      </c>
      <c r="D23" s="34" t="s">
        <v>607</v>
      </c>
      <c r="E23" s="7" t="s">
        <v>638</v>
      </c>
      <c r="F23" s="8" t="s">
        <v>40</v>
      </c>
    </row>
    <row r="24" customFormat="false" ht="25.5" hidden="false" customHeight="true" outlineLevel="0" collapsed="false">
      <c r="A24" s="6" t="s">
        <v>636</v>
      </c>
      <c r="B24" s="7" t="s">
        <v>639</v>
      </c>
      <c r="C24" s="8" t="n">
        <v>24</v>
      </c>
      <c r="D24" s="34" t="s">
        <v>607</v>
      </c>
      <c r="E24" s="7" t="s">
        <v>640</v>
      </c>
      <c r="F24" s="8" t="s">
        <v>27</v>
      </c>
    </row>
    <row r="25" customFormat="false" ht="36" hidden="false" customHeight="true" outlineLevel="0" collapsed="false">
      <c r="A25" s="6" t="s">
        <v>636</v>
      </c>
      <c r="B25" s="7" t="s">
        <v>641</v>
      </c>
      <c r="C25" s="8" t="n">
        <v>123</v>
      </c>
      <c r="D25" s="13" t="s">
        <v>616</v>
      </c>
      <c r="E25" s="7" t="s">
        <v>642</v>
      </c>
      <c r="F25" s="8" t="s">
        <v>40</v>
      </c>
    </row>
    <row r="26" customFormat="false" ht="25.5" hidden="false" customHeight="true" outlineLevel="0" collapsed="false">
      <c r="A26" s="6" t="s">
        <v>636</v>
      </c>
      <c r="B26" s="7" t="s">
        <v>643</v>
      </c>
      <c r="C26" s="8" t="n">
        <v>285</v>
      </c>
      <c r="D26" s="34" t="s">
        <v>607</v>
      </c>
      <c r="E26" s="7" t="s">
        <v>644</v>
      </c>
      <c r="F26" s="8" t="s">
        <v>40</v>
      </c>
    </row>
    <row r="27" customFormat="false" ht="25.5" hidden="false" customHeight="true" outlineLevel="0" collapsed="false">
      <c r="A27" s="6" t="s">
        <v>636</v>
      </c>
      <c r="B27" s="7" t="s">
        <v>645</v>
      </c>
      <c r="C27" s="8" t="n">
        <v>54</v>
      </c>
      <c r="D27" s="13" t="s">
        <v>616</v>
      </c>
      <c r="E27" s="7" t="s">
        <v>646</v>
      </c>
      <c r="F27" s="8" t="s">
        <v>40</v>
      </c>
    </row>
    <row r="28" customFormat="false" ht="36" hidden="false" customHeight="true" outlineLevel="0" collapsed="false">
      <c r="A28" s="6" t="s">
        <v>636</v>
      </c>
      <c r="B28" s="7" t="s">
        <v>647</v>
      </c>
      <c r="C28" s="8" t="n">
        <v>72</v>
      </c>
      <c r="D28" s="13" t="s">
        <v>616</v>
      </c>
      <c r="E28" s="7" t="s">
        <v>648</v>
      </c>
      <c r="F28" s="8" t="s">
        <v>40</v>
      </c>
    </row>
    <row r="29" customFormat="false" ht="36" hidden="false" customHeight="true" outlineLevel="0" collapsed="false">
      <c r="A29" s="6" t="s">
        <v>636</v>
      </c>
      <c r="B29" s="7" t="s">
        <v>649</v>
      </c>
      <c r="C29" s="8" t="n">
        <v>78</v>
      </c>
      <c r="D29" s="13" t="s">
        <v>616</v>
      </c>
      <c r="E29" s="7" t="s">
        <v>650</v>
      </c>
      <c r="F29" s="8" t="s">
        <v>40</v>
      </c>
    </row>
    <row r="30" customFormat="false" ht="25.5" hidden="false" customHeight="true" outlineLevel="0" collapsed="false">
      <c r="A30" s="6" t="s">
        <v>636</v>
      </c>
      <c r="B30" s="7" t="s">
        <v>651</v>
      </c>
      <c r="C30" s="8" t="n">
        <v>88</v>
      </c>
      <c r="D30" s="34" t="s">
        <v>607</v>
      </c>
      <c r="E30" s="7" t="s">
        <v>652</v>
      </c>
      <c r="F30" s="8" t="s">
        <v>27</v>
      </c>
    </row>
    <row r="31" customFormat="false" ht="25.5" hidden="false" customHeight="true" outlineLevel="0" collapsed="false">
      <c r="A31" s="6" t="s">
        <v>636</v>
      </c>
      <c r="B31" s="7" t="s">
        <v>653</v>
      </c>
      <c r="C31" s="8" t="n">
        <v>33</v>
      </c>
      <c r="D31" s="13" t="s">
        <v>616</v>
      </c>
      <c r="E31" s="7" t="s">
        <v>654</v>
      </c>
      <c r="F31" s="8" t="s">
        <v>27</v>
      </c>
    </row>
    <row r="32" customFormat="false" ht="25.5" hidden="false" customHeight="true" outlineLevel="0" collapsed="false">
      <c r="A32" s="6" t="s">
        <v>636</v>
      </c>
      <c r="B32" s="7" t="s">
        <v>655</v>
      </c>
      <c r="C32" s="8" t="n">
        <v>271</v>
      </c>
      <c r="D32" s="34" t="s">
        <v>607</v>
      </c>
      <c r="E32" s="7" t="s">
        <v>656</v>
      </c>
      <c r="F32" s="8" t="s">
        <v>40</v>
      </c>
    </row>
    <row r="33" customFormat="false" ht="36" hidden="false" customHeight="true" outlineLevel="0" collapsed="false">
      <c r="A33" s="6" t="s">
        <v>636</v>
      </c>
      <c r="B33" s="7" t="s">
        <v>657</v>
      </c>
      <c r="C33" s="8" t="n">
        <v>61</v>
      </c>
      <c r="D33" s="13" t="s">
        <v>616</v>
      </c>
      <c r="E33" s="7" t="s">
        <v>658</v>
      </c>
      <c r="F33" s="8" t="s">
        <v>40</v>
      </c>
    </row>
    <row r="34" customFormat="false" ht="36" hidden="false" customHeight="true" outlineLevel="0" collapsed="false">
      <c r="A34" s="6" t="s">
        <v>636</v>
      </c>
      <c r="B34" s="7" t="s">
        <v>659</v>
      </c>
      <c r="C34" s="8" t="n">
        <v>77</v>
      </c>
      <c r="D34" s="13" t="s">
        <v>616</v>
      </c>
      <c r="E34" s="7" t="s">
        <v>660</v>
      </c>
      <c r="F34" s="8" t="s">
        <v>40</v>
      </c>
    </row>
    <row r="35" customFormat="false" ht="36" hidden="false" customHeight="true" outlineLevel="0" collapsed="false">
      <c r="A35" s="6" t="s">
        <v>636</v>
      </c>
      <c r="B35" s="7" t="s">
        <v>661</v>
      </c>
      <c r="C35" s="8" t="n">
        <v>18</v>
      </c>
      <c r="D35" s="9" t="s">
        <v>598</v>
      </c>
      <c r="E35" s="7" t="s">
        <v>662</v>
      </c>
      <c r="F35" s="8" t="s">
        <v>27</v>
      </c>
    </row>
    <row r="36" customFormat="false" ht="48" hidden="false" customHeight="true" outlineLevel="0" collapsed="false">
      <c r="A36" s="6" t="s">
        <v>636</v>
      </c>
      <c r="B36" s="7" t="s">
        <v>663</v>
      </c>
      <c r="C36" s="8"/>
      <c r="D36" s="14" t="s">
        <v>627</v>
      </c>
      <c r="E36" s="7" t="s">
        <v>664</v>
      </c>
      <c r="F36" s="8" t="s">
        <v>40</v>
      </c>
    </row>
    <row r="37" customFormat="false" ht="25.5" hidden="false" customHeight="true" outlineLevel="0" collapsed="false">
      <c r="A37" s="6" t="s">
        <v>636</v>
      </c>
      <c r="B37" s="7" t="s">
        <v>665</v>
      </c>
      <c r="C37" s="8"/>
      <c r="D37" s="14" t="s">
        <v>627</v>
      </c>
      <c r="E37" s="7" t="s">
        <v>666</v>
      </c>
      <c r="F37" s="8" t="s">
        <v>40</v>
      </c>
    </row>
    <row r="38" customFormat="false" ht="36" hidden="false" customHeight="true" outlineLevel="0" collapsed="false">
      <c r="A38" s="6" t="s">
        <v>636</v>
      </c>
      <c r="B38" s="7" t="s">
        <v>667</v>
      </c>
      <c r="C38" s="8"/>
      <c r="D38" s="14" t="s">
        <v>627</v>
      </c>
      <c r="E38" s="7" t="s">
        <v>668</v>
      </c>
      <c r="F38" s="8" t="s">
        <v>56</v>
      </c>
    </row>
    <row r="39" customFormat="false" ht="15" hidden="false" customHeight="true" outlineLevel="0" collapsed="false">
      <c r="A39" s="33" t="s">
        <v>669</v>
      </c>
      <c r="B39" s="33"/>
      <c r="C39" s="33"/>
      <c r="D39" s="33"/>
      <c r="E39" s="33"/>
      <c r="F39" s="33"/>
    </row>
    <row r="40" customFormat="false" ht="36" hidden="false" customHeight="true" outlineLevel="0" collapsed="false">
      <c r="A40" s="6" t="s">
        <v>670</v>
      </c>
      <c r="B40" s="7" t="s">
        <v>671</v>
      </c>
      <c r="C40" s="8" t="n">
        <v>62</v>
      </c>
      <c r="D40" s="13" t="s">
        <v>616</v>
      </c>
      <c r="E40" s="7" t="s">
        <v>672</v>
      </c>
      <c r="F40" s="8" t="s">
        <v>45</v>
      </c>
    </row>
    <row r="41" customFormat="false" ht="25.5" hidden="false" customHeight="true" outlineLevel="0" collapsed="false">
      <c r="A41" s="6" t="s">
        <v>670</v>
      </c>
      <c r="B41" s="7" t="s">
        <v>673</v>
      </c>
      <c r="C41" s="8" t="n">
        <v>61</v>
      </c>
      <c r="D41" s="34" t="s">
        <v>607</v>
      </c>
      <c r="E41" s="7" t="s">
        <v>674</v>
      </c>
      <c r="F41" s="8" t="s">
        <v>45</v>
      </c>
    </row>
    <row r="42" customFormat="false" ht="25.5" hidden="false" customHeight="true" outlineLevel="0" collapsed="false">
      <c r="A42" s="6" t="s">
        <v>670</v>
      </c>
      <c r="B42" s="7" t="s">
        <v>675</v>
      </c>
      <c r="C42" s="8" t="n">
        <v>24</v>
      </c>
      <c r="D42" s="13" t="s">
        <v>616</v>
      </c>
      <c r="E42" s="7" t="s">
        <v>676</v>
      </c>
      <c r="F42" s="8" t="s">
        <v>45</v>
      </c>
    </row>
    <row r="43" customFormat="false" ht="25.5" hidden="false" customHeight="true" outlineLevel="0" collapsed="false">
      <c r="A43" s="6" t="s">
        <v>670</v>
      </c>
      <c r="B43" s="7" t="s">
        <v>677</v>
      </c>
      <c r="C43" s="8" t="n">
        <v>17</v>
      </c>
      <c r="D43" s="13" t="s">
        <v>616</v>
      </c>
      <c r="E43" s="7" t="s">
        <v>678</v>
      </c>
      <c r="F43" s="8" t="s">
        <v>45</v>
      </c>
    </row>
    <row r="44" customFormat="false" ht="25.5" hidden="false" customHeight="true" outlineLevel="0" collapsed="false">
      <c r="A44" s="6" t="s">
        <v>670</v>
      </c>
      <c r="B44" s="7" t="s">
        <v>679</v>
      </c>
      <c r="C44" s="8" t="n">
        <v>45</v>
      </c>
      <c r="D44" s="34" t="s">
        <v>607</v>
      </c>
      <c r="E44" s="7" t="s">
        <v>680</v>
      </c>
      <c r="F44" s="8" t="s">
        <v>45</v>
      </c>
    </row>
    <row r="45" customFormat="false" ht="25.5" hidden="false" customHeight="true" outlineLevel="0" collapsed="false">
      <c r="A45" s="6" t="s">
        <v>670</v>
      </c>
      <c r="B45" s="7" t="s">
        <v>681</v>
      </c>
      <c r="C45" s="8" t="n">
        <v>59</v>
      </c>
      <c r="D45" s="34" t="s">
        <v>607</v>
      </c>
      <c r="E45" s="7" t="s">
        <v>682</v>
      </c>
      <c r="F45" s="8" t="s">
        <v>45</v>
      </c>
    </row>
    <row r="46" customFormat="false" ht="25.5" hidden="false" customHeight="true" outlineLevel="0" collapsed="false">
      <c r="A46" s="6" t="s">
        <v>670</v>
      </c>
      <c r="B46" s="7" t="s">
        <v>683</v>
      </c>
      <c r="C46" s="8" t="n">
        <v>30</v>
      </c>
      <c r="D46" s="34" t="s">
        <v>607</v>
      </c>
      <c r="E46" s="7" t="s">
        <v>680</v>
      </c>
      <c r="F46" s="8" t="s">
        <v>45</v>
      </c>
    </row>
    <row r="47" customFormat="false" ht="25.5" hidden="false" customHeight="true" outlineLevel="0" collapsed="false">
      <c r="A47" s="6" t="s">
        <v>670</v>
      </c>
      <c r="B47" s="7" t="s">
        <v>684</v>
      </c>
      <c r="C47" s="8" t="n">
        <v>64</v>
      </c>
      <c r="D47" s="13" t="s">
        <v>616</v>
      </c>
      <c r="E47" s="7" t="s">
        <v>685</v>
      </c>
      <c r="F47" s="8" t="s">
        <v>45</v>
      </c>
    </row>
    <row r="48" customFormat="false" ht="25.5" hidden="false" customHeight="true" outlineLevel="0" collapsed="false">
      <c r="A48" s="6" t="s">
        <v>670</v>
      </c>
      <c r="B48" s="7" t="s">
        <v>686</v>
      </c>
      <c r="C48" s="8" t="n">
        <v>52</v>
      </c>
      <c r="D48" s="13" t="s">
        <v>616</v>
      </c>
      <c r="E48" s="7" t="s">
        <v>687</v>
      </c>
      <c r="F48" s="8" t="s">
        <v>45</v>
      </c>
    </row>
    <row r="49" customFormat="false" ht="25.5" hidden="false" customHeight="true" outlineLevel="0" collapsed="false">
      <c r="A49" s="6" t="s">
        <v>670</v>
      </c>
      <c r="B49" s="7" t="s">
        <v>688</v>
      </c>
      <c r="C49" s="8" t="n">
        <v>41</v>
      </c>
      <c r="D49" s="13" t="s">
        <v>616</v>
      </c>
      <c r="E49" s="7" t="s">
        <v>689</v>
      </c>
      <c r="F49" s="8" t="s">
        <v>45</v>
      </c>
    </row>
    <row r="50" customFormat="false" ht="25.5" hidden="false" customHeight="true" outlineLevel="0" collapsed="false">
      <c r="A50" s="6" t="s">
        <v>670</v>
      </c>
      <c r="B50" s="7" t="s">
        <v>690</v>
      </c>
      <c r="C50" s="8" t="n">
        <v>47</v>
      </c>
      <c r="D50" s="34" t="s">
        <v>607</v>
      </c>
      <c r="E50" s="7" t="s">
        <v>691</v>
      </c>
      <c r="F50" s="8" t="s">
        <v>45</v>
      </c>
    </row>
    <row r="51" customFormat="false" ht="25.5" hidden="false" customHeight="true" outlineLevel="0" collapsed="false">
      <c r="A51" s="6" t="s">
        <v>670</v>
      </c>
      <c r="B51" s="7" t="s">
        <v>692</v>
      </c>
      <c r="C51" s="8" t="n">
        <v>22</v>
      </c>
      <c r="D51" s="34" t="s">
        <v>607</v>
      </c>
      <c r="E51" s="7" t="s">
        <v>693</v>
      </c>
      <c r="F51" s="8" t="s">
        <v>27</v>
      </c>
    </row>
    <row r="52" customFormat="false" ht="25.5" hidden="false" customHeight="true" outlineLevel="0" collapsed="false">
      <c r="A52" s="6" t="s">
        <v>670</v>
      </c>
      <c r="B52" s="7" t="s">
        <v>694</v>
      </c>
      <c r="C52" s="8" t="n">
        <v>37</v>
      </c>
      <c r="D52" s="34" t="s">
        <v>607</v>
      </c>
      <c r="E52" s="7" t="s">
        <v>695</v>
      </c>
      <c r="F52" s="8" t="s">
        <v>27</v>
      </c>
    </row>
    <row r="53" customFormat="false" ht="25.5" hidden="false" customHeight="true" outlineLevel="0" collapsed="false">
      <c r="A53" s="6" t="s">
        <v>670</v>
      </c>
      <c r="B53" s="7" t="s">
        <v>696</v>
      </c>
      <c r="C53" s="8" t="n">
        <v>12</v>
      </c>
      <c r="D53" s="13" t="s">
        <v>616</v>
      </c>
      <c r="E53" s="7" t="s">
        <v>697</v>
      </c>
      <c r="F53" s="8" t="s">
        <v>45</v>
      </c>
    </row>
    <row r="54" customFormat="false" ht="25.5" hidden="false" customHeight="true" outlineLevel="0" collapsed="false">
      <c r="A54" s="6" t="s">
        <v>670</v>
      </c>
      <c r="B54" s="7" t="s">
        <v>698</v>
      </c>
      <c r="C54" s="8" t="n">
        <v>7</v>
      </c>
      <c r="D54" s="9" t="s">
        <v>598</v>
      </c>
      <c r="E54" s="7" t="s">
        <v>699</v>
      </c>
      <c r="F54" s="8" t="s">
        <v>27</v>
      </c>
    </row>
    <row r="55" customFormat="false" ht="25.5" hidden="false" customHeight="true" outlineLevel="0" collapsed="false">
      <c r="A55" s="6" t="s">
        <v>670</v>
      </c>
      <c r="B55" s="7" t="s">
        <v>700</v>
      </c>
      <c r="C55" s="8"/>
      <c r="D55" s="14" t="s">
        <v>627</v>
      </c>
      <c r="E55" s="7" t="s">
        <v>701</v>
      </c>
      <c r="F55" s="8" t="s">
        <v>45</v>
      </c>
    </row>
    <row r="56" customFormat="false" ht="25.5" hidden="false" customHeight="true" outlineLevel="0" collapsed="false">
      <c r="A56" s="6" t="s">
        <v>670</v>
      </c>
      <c r="B56" s="7" t="s">
        <v>702</v>
      </c>
      <c r="C56" s="8"/>
      <c r="D56" s="14" t="s">
        <v>627</v>
      </c>
      <c r="E56" s="7" t="s">
        <v>703</v>
      </c>
      <c r="F56" s="8" t="s">
        <v>45</v>
      </c>
    </row>
    <row r="57" customFormat="false" ht="25.5" hidden="false" customHeight="true" outlineLevel="0" collapsed="false">
      <c r="A57" s="6" t="s">
        <v>670</v>
      </c>
      <c r="B57" s="7" t="s">
        <v>704</v>
      </c>
      <c r="C57" s="8"/>
      <c r="D57" s="14" t="s">
        <v>627</v>
      </c>
      <c r="E57" s="7" t="s">
        <v>705</v>
      </c>
      <c r="F57" s="8" t="s">
        <v>45</v>
      </c>
    </row>
    <row r="58" customFormat="false" ht="25.5" hidden="false" customHeight="true" outlineLevel="0" collapsed="false">
      <c r="A58" s="6" t="s">
        <v>670</v>
      </c>
      <c r="B58" s="7" t="s">
        <v>706</v>
      </c>
      <c r="C58" s="8"/>
      <c r="D58" s="14" t="s">
        <v>627</v>
      </c>
      <c r="E58" s="7" t="s">
        <v>707</v>
      </c>
      <c r="F58" s="8" t="s">
        <v>45</v>
      </c>
    </row>
    <row r="59" customFormat="false" ht="25.5" hidden="false" customHeight="true" outlineLevel="0" collapsed="false">
      <c r="A59" s="6" t="s">
        <v>670</v>
      </c>
      <c r="B59" s="7" t="s">
        <v>708</v>
      </c>
      <c r="C59" s="8"/>
      <c r="D59" s="14" t="s">
        <v>627</v>
      </c>
      <c r="E59" s="7" t="s">
        <v>709</v>
      </c>
      <c r="F59" s="8" t="s">
        <v>45</v>
      </c>
    </row>
    <row r="60" customFormat="false" ht="15" hidden="false" customHeight="true" outlineLevel="0" collapsed="false">
      <c r="A60" s="33" t="s">
        <v>710</v>
      </c>
      <c r="B60" s="33"/>
      <c r="C60" s="33"/>
      <c r="D60" s="33"/>
      <c r="E60" s="33"/>
      <c r="F60" s="33"/>
    </row>
    <row r="61" customFormat="false" ht="25.5" hidden="false" customHeight="true" outlineLevel="0" collapsed="false">
      <c r="A61" s="6" t="s">
        <v>710</v>
      </c>
      <c r="B61" s="7" t="s">
        <v>711</v>
      </c>
      <c r="C61" s="8" t="n">
        <v>224</v>
      </c>
      <c r="D61" s="34" t="s">
        <v>607</v>
      </c>
      <c r="E61" s="7" t="s">
        <v>712</v>
      </c>
      <c r="F61" s="8" t="s">
        <v>51</v>
      </c>
    </row>
    <row r="62" customFormat="false" ht="25.5" hidden="false" customHeight="true" outlineLevel="0" collapsed="false">
      <c r="A62" s="6" t="s">
        <v>710</v>
      </c>
      <c r="B62" s="7" t="s">
        <v>713</v>
      </c>
      <c r="C62" s="8" t="n">
        <v>196</v>
      </c>
      <c r="D62" s="34" t="s">
        <v>607</v>
      </c>
      <c r="E62" s="7" t="s">
        <v>714</v>
      </c>
      <c r="F62" s="8" t="s">
        <v>51</v>
      </c>
    </row>
    <row r="63" customFormat="false" ht="25.5" hidden="false" customHeight="true" outlineLevel="0" collapsed="false">
      <c r="A63" s="6" t="s">
        <v>710</v>
      </c>
      <c r="B63" s="7" t="s">
        <v>715</v>
      </c>
      <c r="C63" s="8" t="n">
        <v>154</v>
      </c>
      <c r="D63" s="34" t="s">
        <v>607</v>
      </c>
      <c r="E63" s="7" t="s">
        <v>716</v>
      </c>
      <c r="F63" s="8" t="s">
        <v>51</v>
      </c>
    </row>
    <row r="64" customFormat="false" ht="25.5" hidden="false" customHeight="true" outlineLevel="0" collapsed="false">
      <c r="A64" s="6" t="s">
        <v>710</v>
      </c>
      <c r="B64" s="7" t="s">
        <v>717</v>
      </c>
      <c r="C64" s="8" t="n">
        <v>146</v>
      </c>
      <c r="D64" s="34" t="s">
        <v>607</v>
      </c>
      <c r="E64" s="7" t="s">
        <v>718</v>
      </c>
      <c r="F64" s="8" t="s">
        <v>51</v>
      </c>
    </row>
    <row r="65" customFormat="false" ht="25.5" hidden="false" customHeight="true" outlineLevel="0" collapsed="false">
      <c r="A65" s="6" t="s">
        <v>710</v>
      </c>
      <c r="B65" s="7" t="s">
        <v>719</v>
      </c>
      <c r="C65" s="8" t="n">
        <v>126</v>
      </c>
      <c r="D65" s="34" t="s">
        <v>607</v>
      </c>
      <c r="E65" s="7" t="s">
        <v>720</v>
      </c>
      <c r="F65" s="8" t="s">
        <v>51</v>
      </c>
    </row>
    <row r="66" customFormat="false" ht="25.5" hidden="false" customHeight="true" outlineLevel="0" collapsed="false">
      <c r="A66" s="6" t="s">
        <v>710</v>
      </c>
      <c r="B66" s="7" t="s">
        <v>721</v>
      </c>
      <c r="C66" s="8" t="n">
        <v>114</v>
      </c>
      <c r="D66" s="34" t="s">
        <v>607</v>
      </c>
      <c r="E66" s="7" t="s">
        <v>722</v>
      </c>
      <c r="F66" s="8" t="s">
        <v>51</v>
      </c>
    </row>
    <row r="67" customFormat="false" ht="25.5" hidden="false" customHeight="true" outlineLevel="0" collapsed="false">
      <c r="A67" s="6" t="s">
        <v>710</v>
      </c>
      <c r="B67" s="7" t="s">
        <v>723</v>
      </c>
      <c r="C67" s="8" t="n">
        <v>109</v>
      </c>
      <c r="D67" s="34" t="s">
        <v>607</v>
      </c>
      <c r="E67" s="7" t="s">
        <v>724</v>
      </c>
      <c r="F67" s="8" t="s">
        <v>51</v>
      </c>
    </row>
    <row r="68" customFormat="false" ht="25.5" hidden="false" customHeight="true" outlineLevel="0" collapsed="false">
      <c r="A68" s="6" t="s">
        <v>710</v>
      </c>
      <c r="B68" s="7" t="s">
        <v>725</v>
      </c>
      <c r="C68" s="8" t="n">
        <v>99</v>
      </c>
      <c r="D68" s="34" t="s">
        <v>607</v>
      </c>
      <c r="E68" s="7" t="s">
        <v>726</v>
      </c>
      <c r="F68" s="8" t="s">
        <v>51</v>
      </c>
    </row>
    <row r="69" customFormat="false" ht="25.5" hidden="false" customHeight="true" outlineLevel="0" collapsed="false">
      <c r="A69" s="6" t="s">
        <v>710</v>
      </c>
      <c r="B69" s="7" t="s">
        <v>727</v>
      </c>
      <c r="C69" s="8" t="n">
        <v>90</v>
      </c>
      <c r="D69" s="34" t="s">
        <v>607</v>
      </c>
      <c r="E69" s="7" t="s">
        <v>728</v>
      </c>
      <c r="F69" s="8" t="s">
        <v>51</v>
      </c>
    </row>
    <row r="70" customFormat="false" ht="25.5" hidden="false" customHeight="true" outlineLevel="0" collapsed="false">
      <c r="A70" s="6" t="s">
        <v>710</v>
      </c>
      <c r="B70" s="7" t="s">
        <v>729</v>
      </c>
      <c r="C70" s="8" t="n">
        <v>84</v>
      </c>
      <c r="D70" s="13" t="s">
        <v>616</v>
      </c>
      <c r="E70" s="7" t="s">
        <v>730</v>
      </c>
      <c r="F70" s="8" t="s">
        <v>51</v>
      </c>
    </row>
    <row r="71" customFormat="false" ht="25.5" hidden="false" customHeight="true" outlineLevel="0" collapsed="false">
      <c r="A71" s="6" t="s">
        <v>710</v>
      </c>
      <c r="B71" s="7" t="s">
        <v>731</v>
      </c>
      <c r="C71" s="8" t="n">
        <v>82</v>
      </c>
      <c r="D71" s="13" t="s">
        <v>616</v>
      </c>
      <c r="E71" s="7" t="s">
        <v>732</v>
      </c>
      <c r="F71" s="8" t="s">
        <v>51</v>
      </c>
    </row>
    <row r="72" customFormat="false" ht="25.5" hidden="false" customHeight="true" outlineLevel="0" collapsed="false">
      <c r="A72" s="6" t="s">
        <v>710</v>
      </c>
      <c r="B72" s="7" t="s">
        <v>733</v>
      </c>
      <c r="C72" s="8" t="n">
        <v>82</v>
      </c>
      <c r="D72" s="13" t="s">
        <v>616</v>
      </c>
      <c r="E72" s="7" t="s">
        <v>734</v>
      </c>
      <c r="F72" s="8" t="s">
        <v>51</v>
      </c>
    </row>
    <row r="73" customFormat="false" ht="25.5" hidden="false" customHeight="true" outlineLevel="0" collapsed="false">
      <c r="A73" s="6" t="s">
        <v>710</v>
      </c>
      <c r="B73" s="7" t="s">
        <v>735</v>
      </c>
      <c r="C73" s="8" t="n">
        <v>73</v>
      </c>
      <c r="D73" s="13" t="s">
        <v>616</v>
      </c>
      <c r="E73" s="7" t="s">
        <v>736</v>
      </c>
      <c r="F73" s="8" t="s">
        <v>51</v>
      </c>
    </row>
    <row r="74" customFormat="false" ht="25.5" hidden="false" customHeight="true" outlineLevel="0" collapsed="false">
      <c r="A74" s="6" t="s">
        <v>710</v>
      </c>
      <c r="B74" s="7" t="s">
        <v>737</v>
      </c>
      <c r="C74" s="8" t="n">
        <v>71</v>
      </c>
      <c r="D74" s="13" t="s">
        <v>616</v>
      </c>
      <c r="E74" s="7" t="s">
        <v>738</v>
      </c>
      <c r="F74" s="8" t="s">
        <v>51</v>
      </c>
    </row>
    <row r="75" customFormat="false" ht="25.5" hidden="false" customHeight="true" outlineLevel="0" collapsed="false">
      <c r="A75" s="6" t="s">
        <v>710</v>
      </c>
      <c r="B75" s="7" t="s">
        <v>739</v>
      </c>
      <c r="C75" s="8" t="n">
        <v>67</v>
      </c>
      <c r="D75" s="13" t="s">
        <v>616</v>
      </c>
      <c r="E75" s="7" t="s">
        <v>740</v>
      </c>
      <c r="F75" s="8" t="s">
        <v>51</v>
      </c>
    </row>
    <row r="76" customFormat="false" ht="25.5" hidden="false" customHeight="true" outlineLevel="0" collapsed="false">
      <c r="A76" s="6" t="s">
        <v>710</v>
      </c>
      <c r="B76" s="7" t="s">
        <v>741</v>
      </c>
      <c r="C76" s="8" t="n">
        <v>67</v>
      </c>
      <c r="D76" s="13" t="s">
        <v>616</v>
      </c>
      <c r="E76" s="7" t="s">
        <v>742</v>
      </c>
      <c r="F76" s="8" t="s">
        <v>51</v>
      </c>
    </row>
    <row r="77" customFormat="false" ht="25.5" hidden="false" customHeight="true" outlineLevel="0" collapsed="false">
      <c r="A77" s="6" t="s">
        <v>710</v>
      </c>
      <c r="B77" s="7" t="s">
        <v>743</v>
      </c>
      <c r="C77" s="8" t="n">
        <v>63</v>
      </c>
      <c r="D77" s="13" t="s">
        <v>616</v>
      </c>
      <c r="E77" s="7" t="s">
        <v>744</v>
      </c>
      <c r="F77" s="8" t="s">
        <v>51</v>
      </c>
    </row>
    <row r="78" customFormat="false" ht="25.5" hidden="false" customHeight="true" outlineLevel="0" collapsed="false">
      <c r="A78" s="6" t="s">
        <v>710</v>
      </c>
      <c r="B78" s="7" t="s">
        <v>745</v>
      </c>
      <c r="C78" s="8" t="n">
        <v>59</v>
      </c>
      <c r="D78" s="9" t="s">
        <v>598</v>
      </c>
      <c r="E78" s="7" t="s">
        <v>746</v>
      </c>
      <c r="F78" s="8" t="s">
        <v>51</v>
      </c>
    </row>
    <row r="79" customFormat="false" ht="25.5" hidden="false" customHeight="true" outlineLevel="0" collapsed="false">
      <c r="A79" s="6" t="s">
        <v>710</v>
      </c>
      <c r="B79" s="7" t="s">
        <v>747</v>
      </c>
      <c r="C79" s="8" t="n">
        <v>65</v>
      </c>
      <c r="D79" s="34" t="s">
        <v>607</v>
      </c>
      <c r="E79" s="7" t="s">
        <v>748</v>
      </c>
      <c r="F79" s="8" t="s">
        <v>51</v>
      </c>
    </row>
    <row r="80" customFormat="false" ht="25.5" hidden="false" customHeight="true" outlineLevel="0" collapsed="false">
      <c r="A80" s="6" t="s">
        <v>710</v>
      </c>
      <c r="B80" s="7" t="s">
        <v>749</v>
      </c>
      <c r="C80" s="8" t="n">
        <v>45</v>
      </c>
      <c r="D80" s="13" t="s">
        <v>616</v>
      </c>
      <c r="E80" s="7" t="s">
        <v>750</v>
      </c>
      <c r="F80" s="8" t="s">
        <v>51</v>
      </c>
    </row>
    <row r="81" customFormat="false" ht="25.5" hidden="false" customHeight="true" outlineLevel="0" collapsed="false">
      <c r="A81" s="6" t="s">
        <v>710</v>
      </c>
      <c r="B81" s="7" t="s">
        <v>751</v>
      </c>
      <c r="C81" s="8" t="n">
        <v>46</v>
      </c>
      <c r="D81" s="13" t="s">
        <v>616</v>
      </c>
      <c r="E81" s="7" t="s">
        <v>752</v>
      </c>
      <c r="F81" s="8" t="s">
        <v>51</v>
      </c>
    </row>
    <row r="82" customFormat="false" ht="25.5" hidden="false" customHeight="true" outlineLevel="0" collapsed="false">
      <c r="A82" s="6" t="s">
        <v>710</v>
      </c>
      <c r="B82" s="7" t="s">
        <v>753</v>
      </c>
      <c r="C82" s="8" t="n">
        <v>41</v>
      </c>
      <c r="D82" s="34" t="s">
        <v>607</v>
      </c>
      <c r="E82" s="7" t="s">
        <v>754</v>
      </c>
      <c r="F82" s="8" t="s">
        <v>51</v>
      </c>
    </row>
    <row r="83" customFormat="false" ht="25.5" hidden="false" customHeight="true" outlineLevel="0" collapsed="false">
      <c r="A83" s="6" t="s">
        <v>710</v>
      </c>
      <c r="B83" s="7" t="s">
        <v>755</v>
      </c>
      <c r="C83" s="8" t="n">
        <v>33</v>
      </c>
      <c r="D83" s="13" t="s">
        <v>616</v>
      </c>
      <c r="E83" s="7" t="s">
        <v>756</v>
      </c>
      <c r="F83" s="8" t="s">
        <v>51</v>
      </c>
    </row>
    <row r="84" customFormat="false" ht="25.5" hidden="false" customHeight="true" outlineLevel="0" collapsed="false">
      <c r="A84" s="6" t="s">
        <v>710</v>
      </c>
      <c r="B84" s="7" t="s">
        <v>757</v>
      </c>
      <c r="C84" s="8" t="n">
        <v>33</v>
      </c>
      <c r="D84" s="34" t="s">
        <v>607</v>
      </c>
      <c r="E84" s="7" t="s">
        <v>758</v>
      </c>
      <c r="F84" s="8" t="s">
        <v>51</v>
      </c>
    </row>
    <row r="85" customFormat="false" ht="25.5" hidden="false" customHeight="true" outlineLevel="0" collapsed="false">
      <c r="A85" s="6" t="s">
        <v>710</v>
      </c>
      <c r="B85" s="7" t="s">
        <v>759</v>
      </c>
      <c r="C85" s="8" t="n">
        <v>31</v>
      </c>
      <c r="D85" s="9" t="s">
        <v>598</v>
      </c>
      <c r="E85" s="7" t="s">
        <v>760</v>
      </c>
      <c r="F85" s="8" t="s">
        <v>51</v>
      </c>
    </row>
    <row r="86" customFormat="false" ht="25.5" hidden="false" customHeight="true" outlineLevel="0" collapsed="false">
      <c r="A86" s="6" t="s">
        <v>710</v>
      </c>
      <c r="B86" s="7" t="s">
        <v>761</v>
      </c>
      <c r="C86" s="8" t="n">
        <v>28</v>
      </c>
      <c r="D86" s="34" t="s">
        <v>607</v>
      </c>
      <c r="E86" s="7" t="s">
        <v>762</v>
      </c>
      <c r="F86" s="8" t="s">
        <v>51</v>
      </c>
    </row>
    <row r="87" customFormat="false" ht="25.5" hidden="false" customHeight="true" outlineLevel="0" collapsed="false">
      <c r="A87" s="6" t="s">
        <v>710</v>
      </c>
      <c r="B87" s="7" t="s">
        <v>763</v>
      </c>
      <c r="C87" s="8" t="n">
        <v>27</v>
      </c>
      <c r="D87" s="34" t="s">
        <v>607</v>
      </c>
      <c r="E87" s="7" t="s">
        <v>764</v>
      </c>
      <c r="F87" s="8" t="s">
        <v>51</v>
      </c>
    </row>
    <row r="88" customFormat="false" ht="25.5" hidden="false" customHeight="true" outlineLevel="0" collapsed="false">
      <c r="A88" s="6" t="s">
        <v>710</v>
      </c>
      <c r="B88" s="7" t="s">
        <v>765</v>
      </c>
      <c r="C88" s="8" t="n">
        <v>27</v>
      </c>
      <c r="D88" s="13" t="s">
        <v>616</v>
      </c>
      <c r="E88" s="7" t="s">
        <v>766</v>
      </c>
      <c r="F88" s="8" t="s">
        <v>51</v>
      </c>
    </row>
    <row r="89" customFormat="false" ht="25.5" hidden="false" customHeight="true" outlineLevel="0" collapsed="false">
      <c r="A89" s="6" t="s">
        <v>710</v>
      </c>
      <c r="B89" s="7" t="s">
        <v>767</v>
      </c>
      <c r="C89" s="8" t="n">
        <v>26</v>
      </c>
      <c r="D89" s="13" t="s">
        <v>616</v>
      </c>
      <c r="E89" s="7" t="s">
        <v>768</v>
      </c>
      <c r="F89" s="8" t="s">
        <v>51</v>
      </c>
    </row>
    <row r="90" customFormat="false" ht="25.5" hidden="false" customHeight="true" outlineLevel="0" collapsed="false">
      <c r="A90" s="6" t="s">
        <v>710</v>
      </c>
      <c r="B90" s="7" t="s">
        <v>769</v>
      </c>
      <c r="C90" s="8" t="n">
        <v>25</v>
      </c>
      <c r="D90" s="13" t="s">
        <v>616</v>
      </c>
      <c r="E90" s="7" t="s">
        <v>770</v>
      </c>
      <c r="F90" s="8" t="s">
        <v>51</v>
      </c>
    </row>
    <row r="91" customFormat="false" ht="25.5" hidden="false" customHeight="true" outlineLevel="0" collapsed="false">
      <c r="A91" s="6" t="s">
        <v>710</v>
      </c>
      <c r="B91" s="7" t="s">
        <v>771</v>
      </c>
      <c r="C91" s="8" t="n">
        <v>24</v>
      </c>
      <c r="D91" s="34" t="s">
        <v>607</v>
      </c>
      <c r="E91" s="7" t="s">
        <v>772</v>
      </c>
      <c r="F91" s="8" t="s">
        <v>51</v>
      </c>
    </row>
    <row r="92" customFormat="false" ht="25.5" hidden="false" customHeight="true" outlineLevel="0" collapsed="false">
      <c r="A92" s="6" t="s">
        <v>710</v>
      </c>
      <c r="B92" s="7" t="s">
        <v>773</v>
      </c>
      <c r="C92" s="8" t="n">
        <v>22</v>
      </c>
      <c r="D92" s="34" t="s">
        <v>607</v>
      </c>
      <c r="E92" s="7" t="s">
        <v>774</v>
      </c>
      <c r="F92" s="8" t="s">
        <v>51</v>
      </c>
    </row>
    <row r="93" customFormat="false" ht="25.5" hidden="false" customHeight="true" outlineLevel="0" collapsed="false">
      <c r="A93" s="6" t="s">
        <v>710</v>
      </c>
      <c r="B93" s="7" t="s">
        <v>775</v>
      </c>
      <c r="C93" s="8" t="n">
        <v>60</v>
      </c>
      <c r="D93" s="13" t="s">
        <v>616</v>
      </c>
      <c r="E93" s="7" t="s">
        <v>776</v>
      </c>
      <c r="F93" s="8" t="s">
        <v>51</v>
      </c>
    </row>
    <row r="94" customFormat="false" ht="25.5" hidden="false" customHeight="true" outlineLevel="0" collapsed="false">
      <c r="A94" s="6" t="s">
        <v>710</v>
      </c>
      <c r="B94" s="7" t="s">
        <v>777</v>
      </c>
      <c r="C94" s="8" t="n">
        <v>8</v>
      </c>
      <c r="D94" s="13" t="s">
        <v>616</v>
      </c>
      <c r="E94" s="7" t="s">
        <v>778</v>
      </c>
      <c r="F94" s="8" t="s">
        <v>51</v>
      </c>
    </row>
    <row r="95" customFormat="false" ht="25.5" hidden="false" customHeight="true" outlineLevel="0" collapsed="false">
      <c r="A95" s="6" t="s">
        <v>710</v>
      </c>
      <c r="B95" s="7" t="s">
        <v>779</v>
      </c>
      <c r="C95" s="8"/>
      <c r="D95" s="14" t="s">
        <v>627</v>
      </c>
      <c r="E95" s="7" t="s">
        <v>780</v>
      </c>
      <c r="F95" s="8" t="s">
        <v>51</v>
      </c>
    </row>
    <row r="96" customFormat="false" ht="25.5" hidden="false" customHeight="true" outlineLevel="0" collapsed="false">
      <c r="A96" s="6" t="s">
        <v>710</v>
      </c>
      <c r="B96" s="7" t="s">
        <v>781</v>
      </c>
      <c r="C96" s="8"/>
      <c r="D96" s="14" t="s">
        <v>627</v>
      </c>
      <c r="E96" s="7" t="s">
        <v>782</v>
      </c>
      <c r="F96" s="8" t="s">
        <v>51</v>
      </c>
    </row>
    <row r="97" customFormat="false" ht="15" hidden="false" customHeight="true" outlineLevel="0" collapsed="false">
      <c r="A97" s="33" t="s">
        <v>783</v>
      </c>
      <c r="B97" s="33"/>
      <c r="C97" s="33"/>
      <c r="D97" s="33"/>
      <c r="E97" s="33"/>
      <c r="F97" s="33"/>
    </row>
    <row r="98" customFormat="false" ht="25.5" hidden="false" customHeight="true" outlineLevel="0" collapsed="false">
      <c r="A98" s="6" t="s">
        <v>11</v>
      </c>
      <c r="B98" s="7" t="s">
        <v>784</v>
      </c>
      <c r="C98" s="8" t="n">
        <v>44</v>
      </c>
      <c r="D98" s="13" t="s">
        <v>785</v>
      </c>
      <c r="E98" s="7" t="s">
        <v>786</v>
      </c>
      <c r="F98" s="8" t="s">
        <v>56</v>
      </c>
    </row>
    <row r="99" customFormat="false" ht="25.5" hidden="false" customHeight="true" outlineLevel="0" collapsed="false">
      <c r="A99" s="6" t="s">
        <v>11</v>
      </c>
      <c r="B99" s="7" t="s">
        <v>787</v>
      </c>
      <c r="C99" s="8" t="n">
        <v>54</v>
      </c>
      <c r="D99" s="13" t="s">
        <v>785</v>
      </c>
      <c r="E99" s="7" t="s">
        <v>788</v>
      </c>
      <c r="F99" s="8" t="s">
        <v>56</v>
      </c>
    </row>
    <row r="100" customFormat="false" ht="25.5" hidden="false" customHeight="true" outlineLevel="0" collapsed="false">
      <c r="A100" s="6" t="s">
        <v>11</v>
      </c>
      <c r="B100" s="7" t="s">
        <v>789</v>
      </c>
      <c r="C100" s="8" t="n">
        <v>38</v>
      </c>
      <c r="D100" s="13" t="s">
        <v>785</v>
      </c>
      <c r="E100" s="7" t="s">
        <v>790</v>
      </c>
      <c r="F100" s="8" t="s">
        <v>56</v>
      </c>
    </row>
    <row r="101" customFormat="false" ht="25.5" hidden="false" customHeight="true" outlineLevel="0" collapsed="false">
      <c r="A101" s="6" t="s">
        <v>11</v>
      </c>
      <c r="B101" s="7" t="s">
        <v>791</v>
      </c>
      <c r="C101" s="8" t="n">
        <v>57</v>
      </c>
      <c r="D101" s="13" t="s">
        <v>785</v>
      </c>
      <c r="E101" s="7" t="s">
        <v>792</v>
      </c>
      <c r="F101" s="8" t="s">
        <v>56</v>
      </c>
    </row>
    <row r="102" customFormat="false" ht="25.5" hidden="false" customHeight="true" outlineLevel="0" collapsed="false">
      <c r="A102" s="6" t="s">
        <v>11</v>
      </c>
      <c r="B102" s="7" t="s">
        <v>793</v>
      </c>
      <c r="C102" s="8" t="n">
        <v>77</v>
      </c>
      <c r="D102" s="13" t="s">
        <v>785</v>
      </c>
      <c r="E102" s="7" t="s">
        <v>794</v>
      </c>
      <c r="F102" s="8" t="s">
        <v>56</v>
      </c>
    </row>
    <row r="103" customFormat="false" ht="25.5" hidden="false" customHeight="true" outlineLevel="0" collapsed="false">
      <c r="A103" s="6" t="s">
        <v>11</v>
      </c>
      <c r="B103" s="7" t="s">
        <v>795</v>
      </c>
      <c r="C103" s="8" t="n">
        <v>46</v>
      </c>
      <c r="D103" s="34" t="s">
        <v>796</v>
      </c>
      <c r="E103" s="7" t="s">
        <v>797</v>
      </c>
      <c r="F103" s="8" t="s">
        <v>56</v>
      </c>
    </row>
    <row r="104" customFormat="false" ht="25.5" hidden="false" customHeight="true" outlineLevel="0" collapsed="false">
      <c r="A104" s="6" t="s">
        <v>11</v>
      </c>
      <c r="B104" s="7" t="s">
        <v>798</v>
      </c>
      <c r="C104" s="8" t="n">
        <v>74</v>
      </c>
      <c r="D104" s="34" t="s">
        <v>796</v>
      </c>
      <c r="E104" s="7" t="s">
        <v>799</v>
      </c>
      <c r="F104" s="8" t="s">
        <v>56</v>
      </c>
    </row>
    <row r="105" customFormat="false" ht="25.5" hidden="false" customHeight="true" outlineLevel="0" collapsed="false">
      <c r="A105" s="6" t="s">
        <v>11</v>
      </c>
      <c r="B105" s="7" t="s">
        <v>800</v>
      </c>
      <c r="C105" s="8" t="n">
        <v>77</v>
      </c>
      <c r="D105" s="34" t="s">
        <v>796</v>
      </c>
      <c r="E105" s="7" t="s">
        <v>801</v>
      </c>
      <c r="F105" s="8" t="s">
        <v>56</v>
      </c>
    </row>
    <row r="106" customFormat="false" ht="25.5" hidden="false" customHeight="true" outlineLevel="0" collapsed="false">
      <c r="A106" s="6" t="s">
        <v>11</v>
      </c>
      <c r="B106" s="7" t="s">
        <v>802</v>
      </c>
      <c r="C106" s="8" t="n">
        <v>93</v>
      </c>
      <c r="D106" s="34" t="s">
        <v>796</v>
      </c>
      <c r="E106" s="7" t="s">
        <v>803</v>
      </c>
      <c r="F106" s="8" t="s">
        <v>56</v>
      </c>
    </row>
    <row r="107" customFormat="false" ht="25.5" hidden="false" customHeight="true" outlineLevel="0" collapsed="false">
      <c r="A107" s="6" t="s">
        <v>11</v>
      </c>
      <c r="B107" s="7" t="s">
        <v>804</v>
      </c>
      <c r="C107" s="8" t="n">
        <v>37</v>
      </c>
      <c r="D107" s="34" t="s">
        <v>796</v>
      </c>
      <c r="E107" s="7" t="s">
        <v>805</v>
      </c>
      <c r="F107" s="8" t="s">
        <v>56</v>
      </c>
    </row>
    <row r="108" customFormat="false" ht="25.5" hidden="false" customHeight="true" outlineLevel="0" collapsed="false">
      <c r="A108" s="6" t="s">
        <v>11</v>
      </c>
      <c r="B108" s="7" t="s">
        <v>806</v>
      </c>
      <c r="C108" s="8" t="n">
        <v>85</v>
      </c>
      <c r="D108" s="34" t="s">
        <v>796</v>
      </c>
      <c r="E108" s="7" t="s">
        <v>807</v>
      </c>
      <c r="F108" s="8" t="s">
        <v>56</v>
      </c>
    </row>
    <row r="109" customFormat="false" ht="25.5" hidden="false" customHeight="true" outlineLevel="0" collapsed="false">
      <c r="A109" s="6" t="s">
        <v>11</v>
      </c>
      <c r="B109" s="7" t="s">
        <v>808</v>
      </c>
      <c r="C109" s="8" t="n">
        <v>171</v>
      </c>
      <c r="D109" s="9" t="s">
        <v>809</v>
      </c>
      <c r="E109" s="7" t="s">
        <v>810</v>
      </c>
      <c r="F109" s="8" t="s">
        <v>56</v>
      </c>
    </row>
    <row r="110" customFormat="false" ht="25.5" hidden="false" customHeight="true" outlineLevel="0" collapsed="false">
      <c r="A110" s="6" t="s">
        <v>11</v>
      </c>
      <c r="B110" s="7" t="s">
        <v>811</v>
      </c>
      <c r="C110" s="8" t="n">
        <v>71</v>
      </c>
      <c r="D110" s="9" t="s">
        <v>809</v>
      </c>
      <c r="E110" s="7" t="s">
        <v>812</v>
      </c>
      <c r="F110" s="8" t="s">
        <v>56</v>
      </c>
    </row>
    <row r="111" customFormat="false" ht="25.5" hidden="false" customHeight="true" outlineLevel="0" collapsed="false">
      <c r="A111" s="6" t="s">
        <v>11</v>
      </c>
      <c r="B111" s="7" t="s">
        <v>813</v>
      </c>
      <c r="C111" s="8" t="n">
        <v>95</v>
      </c>
      <c r="D111" s="9" t="s">
        <v>809</v>
      </c>
      <c r="E111" s="7" t="s">
        <v>814</v>
      </c>
      <c r="F111" s="8" t="s">
        <v>56</v>
      </c>
    </row>
    <row r="112" customFormat="false" ht="25.5" hidden="false" customHeight="true" outlineLevel="0" collapsed="false">
      <c r="A112" s="6" t="s">
        <v>11</v>
      </c>
      <c r="B112" s="7" t="s">
        <v>815</v>
      </c>
      <c r="C112" s="8" t="n">
        <v>44</v>
      </c>
      <c r="D112" s="9" t="s">
        <v>809</v>
      </c>
      <c r="E112" s="7" t="s">
        <v>816</v>
      </c>
      <c r="F112" s="8" t="s">
        <v>56</v>
      </c>
    </row>
    <row r="113" customFormat="false" ht="25.5" hidden="false" customHeight="true" outlineLevel="0" collapsed="false">
      <c r="A113" s="6" t="s">
        <v>11</v>
      </c>
      <c r="B113" s="7" t="s">
        <v>817</v>
      </c>
      <c r="C113" s="8" t="n">
        <v>68</v>
      </c>
      <c r="D113" s="9" t="s">
        <v>809</v>
      </c>
      <c r="E113" s="7" t="s">
        <v>818</v>
      </c>
      <c r="F113" s="8" t="s">
        <v>56</v>
      </c>
    </row>
    <row r="114" customFormat="false" ht="25.5" hidden="false" customHeight="true" outlineLevel="0" collapsed="false">
      <c r="A114" s="6" t="s">
        <v>11</v>
      </c>
      <c r="B114" s="7" t="s">
        <v>819</v>
      </c>
      <c r="C114" s="8" t="n">
        <v>90</v>
      </c>
      <c r="D114" s="9" t="s">
        <v>809</v>
      </c>
      <c r="E114" s="7" t="s">
        <v>818</v>
      </c>
      <c r="F114" s="8" t="s">
        <v>56</v>
      </c>
    </row>
    <row r="115" customFormat="false" ht="25.5" hidden="false" customHeight="true" outlineLevel="0" collapsed="false">
      <c r="A115" s="6" t="s">
        <v>11</v>
      </c>
      <c r="B115" s="7" t="s">
        <v>820</v>
      </c>
      <c r="C115" s="8" t="n">
        <v>69</v>
      </c>
      <c r="D115" s="9" t="s">
        <v>809</v>
      </c>
      <c r="E115" s="7" t="s">
        <v>821</v>
      </c>
      <c r="F115" s="8" t="s">
        <v>56</v>
      </c>
    </row>
    <row r="116" customFormat="false" ht="25.5" hidden="false" customHeight="true" outlineLevel="0" collapsed="false">
      <c r="A116" s="6" t="s">
        <v>11</v>
      </c>
      <c r="B116" s="7" t="s">
        <v>822</v>
      </c>
      <c r="C116" s="8" t="n">
        <v>62</v>
      </c>
      <c r="D116" s="34" t="s">
        <v>796</v>
      </c>
      <c r="E116" s="7" t="s">
        <v>823</v>
      </c>
      <c r="F116" s="8" t="s">
        <v>56</v>
      </c>
    </row>
    <row r="117" customFormat="false" ht="25.5" hidden="false" customHeight="true" outlineLevel="0" collapsed="false">
      <c r="A117" s="6" t="s">
        <v>11</v>
      </c>
      <c r="B117" s="7" t="s">
        <v>824</v>
      </c>
      <c r="C117" s="8" t="n">
        <v>119</v>
      </c>
      <c r="D117" s="9" t="s">
        <v>809</v>
      </c>
      <c r="E117" s="7" t="s">
        <v>825</v>
      </c>
      <c r="F117" s="8" t="s">
        <v>56</v>
      </c>
    </row>
    <row r="118" customFormat="false" ht="25.5" hidden="false" customHeight="true" outlineLevel="0" collapsed="false">
      <c r="A118" s="6" t="s">
        <v>11</v>
      </c>
      <c r="B118" s="7" t="s">
        <v>826</v>
      </c>
      <c r="C118" s="8" t="n">
        <v>299</v>
      </c>
      <c r="D118" s="9" t="s">
        <v>809</v>
      </c>
      <c r="E118" s="7" t="s">
        <v>827</v>
      </c>
      <c r="F118" s="8" t="s">
        <v>56</v>
      </c>
    </row>
    <row r="119" customFormat="false" ht="25.5" hidden="false" customHeight="true" outlineLevel="0" collapsed="false">
      <c r="A119" s="6" t="s">
        <v>11</v>
      </c>
      <c r="B119" s="7" t="s">
        <v>828</v>
      </c>
      <c r="C119" s="8" t="n">
        <v>152</v>
      </c>
      <c r="D119" s="9" t="s">
        <v>809</v>
      </c>
      <c r="E119" s="7" t="s">
        <v>829</v>
      </c>
      <c r="F119" s="8" t="s">
        <v>56</v>
      </c>
    </row>
    <row r="120" customFormat="false" ht="25.5" hidden="false" customHeight="true" outlineLevel="0" collapsed="false">
      <c r="A120" s="6" t="s">
        <v>11</v>
      </c>
      <c r="B120" s="7" t="s">
        <v>830</v>
      </c>
      <c r="C120" s="8" t="n">
        <v>193</v>
      </c>
      <c r="D120" s="9" t="s">
        <v>809</v>
      </c>
      <c r="E120" s="7" t="s">
        <v>831</v>
      </c>
      <c r="F120" s="8" t="s">
        <v>56</v>
      </c>
    </row>
    <row r="121" customFormat="false" ht="25.5" hidden="false" customHeight="true" outlineLevel="0" collapsed="false">
      <c r="A121" s="6" t="s">
        <v>11</v>
      </c>
      <c r="B121" s="7" t="s">
        <v>832</v>
      </c>
      <c r="C121" s="8" t="n">
        <v>102</v>
      </c>
      <c r="D121" s="34" t="s">
        <v>796</v>
      </c>
      <c r="E121" s="7" t="s">
        <v>833</v>
      </c>
      <c r="F121" s="8" t="s">
        <v>56</v>
      </c>
    </row>
    <row r="122" customFormat="false" ht="13.5" hidden="false" customHeight="true" outlineLevel="0" collapsed="false">
      <c r="A122" s="35" t="s">
        <v>834</v>
      </c>
      <c r="B122" s="35"/>
      <c r="C122" s="35"/>
      <c r="D122" s="35"/>
      <c r="E122" s="35"/>
      <c r="F122" s="35"/>
    </row>
  </sheetData>
  <mergeCells count="8">
    <mergeCell ref="A1:F1"/>
    <mergeCell ref="A2:F2"/>
    <mergeCell ref="A4:F4"/>
    <mergeCell ref="A22:F22"/>
    <mergeCell ref="A39:F39"/>
    <mergeCell ref="A60:F60"/>
    <mergeCell ref="A97:F97"/>
    <mergeCell ref="A122:F1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118"/>
  </cols>
  <sheetData>
    <row r="1" customFormat="false" ht="15" hidden="false" customHeight="true" outlineLevel="0" collapsed="false">
      <c r="A1" s="36" t="s">
        <v>835</v>
      </c>
      <c r="B1" s="36"/>
    </row>
    <row r="3" customFormat="false" ht="51.75" hidden="false" customHeight="true" outlineLevel="0" collapsed="false">
      <c r="A3" s="37" t="s">
        <v>836</v>
      </c>
      <c r="B3" s="38" t="s">
        <v>837</v>
      </c>
    </row>
    <row r="4" customFormat="false" ht="39" hidden="false" customHeight="true" outlineLevel="0" collapsed="false">
      <c r="A4" s="37" t="s">
        <v>838</v>
      </c>
      <c r="B4" s="38" t="s">
        <v>839</v>
      </c>
    </row>
    <row r="5" customFormat="false" ht="39" hidden="false" customHeight="true" outlineLevel="0" collapsed="false">
      <c r="A5" s="37" t="s">
        <v>840</v>
      </c>
      <c r="B5" s="38" t="s">
        <v>841</v>
      </c>
    </row>
    <row r="6" customFormat="false" ht="30" hidden="false" customHeight="true" outlineLevel="0" collapsed="false">
      <c r="A6" s="37" t="s">
        <v>842</v>
      </c>
      <c r="B6" s="38" t="s">
        <v>843</v>
      </c>
    </row>
    <row r="7" customFormat="false" ht="30" hidden="false" customHeight="true" outlineLevel="0" collapsed="false">
      <c r="A7" s="37" t="s">
        <v>844</v>
      </c>
      <c r="B7" s="38" t="s">
        <v>845</v>
      </c>
    </row>
    <row r="8" customFormat="false" ht="30" hidden="false" customHeight="true" outlineLevel="0" collapsed="false">
      <c r="A8" s="37" t="s">
        <v>846</v>
      </c>
      <c r="B8" s="38" t="s">
        <v>847</v>
      </c>
    </row>
    <row r="9" customFormat="false" ht="51.75" hidden="false" customHeight="true" outlineLevel="0" collapsed="false">
      <c r="A9" s="37" t="s">
        <v>848</v>
      </c>
      <c r="B9" s="38" t="s">
        <v>849</v>
      </c>
    </row>
    <row r="10" customFormat="false" ht="30" hidden="false" customHeight="true" outlineLevel="0" collapsed="false">
      <c r="A10" s="37" t="s">
        <v>850</v>
      </c>
      <c r="B10" s="38" t="s">
        <v>851</v>
      </c>
    </row>
    <row r="11" customFormat="false" ht="30" hidden="false" customHeight="true" outlineLevel="0" collapsed="false">
      <c r="A11" s="37" t="s">
        <v>852</v>
      </c>
      <c r="B11" s="38" t="s">
        <v>853</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54"/>
    <col collapsed="false" customWidth="true" hidden="false" outlineLevel="0" max="3" min="3" style="1" width="7"/>
    <col collapsed="false" customWidth="true" hidden="false" outlineLevel="0" max="4" min="4" style="1" width="9"/>
    <col collapsed="false" customWidth="true" hidden="false" outlineLevel="0" max="5" min="5" style="1" width="13"/>
    <col collapsed="false" customWidth="true" hidden="false" outlineLevel="0" max="6" min="6" style="1" width="11"/>
    <col collapsed="false" customWidth="true" hidden="false" outlineLevel="0" max="7" min="7" style="1" width="13"/>
    <col collapsed="false" customWidth="true" hidden="false" outlineLevel="0" max="9" min="8" style="1" width="8"/>
    <col collapsed="false" customWidth="true" hidden="false" outlineLevel="0" max="10" min="10" style="1" width="11"/>
    <col collapsed="false" customWidth="true" hidden="false" outlineLevel="0" max="11" min="11" style="1" width="14"/>
    <col collapsed="false" customWidth="true" hidden="false" outlineLevel="0" max="13" min="12" style="1" width="13"/>
  </cols>
  <sheetData>
    <row r="1" customFormat="false" ht="15" hidden="false" customHeight="true" outlineLevel="0" collapsed="false">
      <c r="A1" s="36" t="s">
        <v>854</v>
      </c>
      <c r="B1" s="36"/>
      <c r="C1" s="36"/>
      <c r="D1" s="36"/>
      <c r="E1" s="36"/>
      <c r="F1" s="36"/>
      <c r="G1" s="36"/>
      <c r="H1" s="36"/>
      <c r="I1" s="36"/>
      <c r="J1" s="36"/>
      <c r="K1" s="36"/>
      <c r="L1" s="36"/>
      <c r="M1" s="36"/>
    </row>
    <row r="2" customFormat="false" ht="15" hidden="false" customHeight="true" outlineLevel="0" collapsed="false">
      <c r="A2" s="39" t="s">
        <v>855</v>
      </c>
      <c r="B2" s="39"/>
      <c r="C2" s="39"/>
      <c r="D2" s="39"/>
      <c r="E2" s="39"/>
      <c r="F2" s="39"/>
      <c r="G2" s="39"/>
      <c r="H2" s="39"/>
      <c r="I2" s="39"/>
      <c r="J2" s="39"/>
      <c r="K2" s="39"/>
      <c r="L2" s="39"/>
      <c r="M2" s="39"/>
    </row>
    <row r="3" customFormat="false" ht="27.75" hidden="false" customHeight="true" outlineLevel="0" collapsed="false">
      <c r="A3" s="40" t="s">
        <v>4</v>
      </c>
      <c r="B3" s="40" t="s">
        <v>856</v>
      </c>
      <c r="C3" s="40" t="s">
        <v>857</v>
      </c>
      <c r="D3" s="40" t="s">
        <v>858</v>
      </c>
      <c r="E3" s="40" t="s">
        <v>859</v>
      </c>
      <c r="F3" s="40" t="s">
        <v>860</v>
      </c>
      <c r="G3" s="40" t="s">
        <v>861</v>
      </c>
      <c r="H3" s="40" t="s">
        <v>75</v>
      </c>
      <c r="I3" s="40" t="s">
        <v>93</v>
      </c>
      <c r="J3" s="40" t="s">
        <v>26</v>
      </c>
      <c r="K3" s="40" t="s">
        <v>862</v>
      </c>
      <c r="L3" s="40" t="s">
        <v>14</v>
      </c>
      <c r="M3" s="40" t="s">
        <v>863</v>
      </c>
    </row>
    <row r="4" customFormat="false" ht="15" hidden="false" customHeight="true" outlineLevel="0" collapsed="false">
      <c r="A4" s="41" t="s">
        <v>18</v>
      </c>
      <c r="B4" s="42" t="s">
        <v>864</v>
      </c>
      <c r="C4" s="41" t="n">
        <f aca="false">COUNTIF('Task List'!$C$5:$C$121,A4)</f>
        <v>8</v>
      </c>
      <c r="D4" s="41" t="n">
        <f aca="false">COUNTIFS('Task List'!$C$5:$C$121,A4,'Task List'!$D$5:$D$121,"critical")</f>
        <v>2</v>
      </c>
      <c r="E4" s="41" t="n">
        <f aca="false">COUNTIFS('Task List'!$C$5:$C$121,A4,'Task List'!$D$5:$D$121,"very important")</f>
        <v>4</v>
      </c>
      <c r="F4" s="41" t="n">
        <f aca="false">COUNTIFS('Task List'!$C$5:$C$121,A4,'Task List'!$D$5:$D$121,"important")</f>
        <v>2</v>
      </c>
      <c r="G4" s="41" t="n">
        <f aca="false">COUNTIFS('Task List'!$C$5:$C$121,A4,'Task List'!$D$5:$D$121,"normal")</f>
        <v>0</v>
      </c>
      <c r="H4" s="41" t="n">
        <f aca="false">COUNTIFS('Task List'!$C$5:$C$121,A4,'Task List'!$K$5:$K$121,"Done")</f>
        <v>0</v>
      </c>
      <c r="I4" s="41" t="n">
        <f aca="false">COUNTIFS('Task List'!$C$5:$C$121,A4,'Task List'!$K$5:$K$121,"Partial")</f>
        <v>0</v>
      </c>
      <c r="J4" s="41" t="n">
        <f aca="false">COUNTIFS('Task List'!$C$5:$C$121,A4,'Task List'!$K$5:$K$121,"Not Started")</f>
        <v>8</v>
      </c>
      <c r="K4" s="43" t="n">
        <f aca="false">IFERROR(AVERAGEIF('Task List'!$C$5:$C$121,A4,'Task List'!$L$5:$L$121),0)</f>
        <v>0</v>
      </c>
      <c r="L4" s="41" t="n">
        <f aca="false">SUMIF('Task List'!$C$5:$C$121,A4,'Task List'!$M$5:$M$121)</f>
        <v>67</v>
      </c>
      <c r="M4" s="41" t="n">
        <f aca="false">L4/6</f>
        <v>11.1666666666667</v>
      </c>
    </row>
    <row r="5" customFormat="false" ht="15" hidden="false" customHeight="true" outlineLevel="0" collapsed="false">
      <c r="A5" s="41" t="s">
        <v>70</v>
      </c>
      <c r="B5" s="42" t="s">
        <v>865</v>
      </c>
      <c r="C5" s="41" t="n">
        <f aca="false">COUNTIF('Task List'!$C$5:$C$121,A5)</f>
        <v>14</v>
      </c>
      <c r="D5" s="41" t="n">
        <f aca="false">COUNTIFS('Task List'!$C$5:$C$121,A5,'Task List'!$D$5:$D$121,"critical")</f>
        <v>2</v>
      </c>
      <c r="E5" s="41" t="n">
        <f aca="false">COUNTIFS('Task List'!$C$5:$C$121,A5,'Task List'!$D$5:$D$121,"very important")</f>
        <v>4</v>
      </c>
      <c r="F5" s="41" t="n">
        <f aca="false">COUNTIFS('Task List'!$C$5:$C$121,A5,'Task List'!$D$5:$D$121,"important")</f>
        <v>7</v>
      </c>
      <c r="G5" s="41" t="n">
        <f aca="false">COUNTIFS('Task List'!$C$5:$C$121,A5,'Task List'!$D$5:$D$121,"normal")</f>
        <v>1</v>
      </c>
      <c r="H5" s="41" t="n">
        <f aca="false">COUNTIFS('Task List'!$C$5:$C$121,A5,'Task List'!$K$5:$K$121,"Done")</f>
        <v>12</v>
      </c>
      <c r="I5" s="41" t="n">
        <f aca="false">COUNTIFS('Task List'!$C$5:$C$121,A5,'Task List'!$K$5:$K$121,"Partial")</f>
        <v>2</v>
      </c>
      <c r="J5" s="41" t="n">
        <f aca="false">COUNTIFS('Task List'!$C$5:$C$121,A5,'Task List'!$K$5:$K$121,"Not Started")</f>
        <v>0</v>
      </c>
      <c r="K5" s="43" t="n">
        <f aca="false">IFERROR(AVERAGEIF('Task List'!$C$5:$C$121,A5,'Task List'!$L$5:$L$121),0)</f>
        <v>0.885714285714286</v>
      </c>
      <c r="L5" s="41" t="n">
        <f aca="false">SUMIF('Task List'!$C$5:$C$121,A5,'Task List'!$M$5:$M$121)</f>
        <v>26</v>
      </c>
      <c r="M5" s="41" t="n">
        <f aca="false">L5/6</f>
        <v>4.33333333333333</v>
      </c>
    </row>
    <row r="6" customFormat="false" ht="15" hidden="false" customHeight="true" outlineLevel="0" collapsed="false">
      <c r="A6" s="41" t="s">
        <v>147</v>
      </c>
      <c r="B6" s="42" t="s">
        <v>866</v>
      </c>
      <c r="C6" s="41" t="n">
        <f aca="false">COUNTIF('Task List'!$C$5:$C$121,A6)</f>
        <v>8</v>
      </c>
      <c r="D6" s="41" t="n">
        <f aca="false">COUNTIFS('Task List'!$C$5:$C$121,A6,'Task List'!$D$5:$D$121,"critical")</f>
        <v>0</v>
      </c>
      <c r="E6" s="41" t="n">
        <f aca="false">COUNTIFS('Task List'!$C$5:$C$121,A6,'Task List'!$D$5:$D$121,"very important")</f>
        <v>6</v>
      </c>
      <c r="F6" s="41" t="n">
        <f aca="false">COUNTIFS('Task List'!$C$5:$C$121,A6,'Task List'!$D$5:$D$121,"important")</f>
        <v>2</v>
      </c>
      <c r="G6" s="41" t="n">
        <f aca="false">COUNTIFS('Task List'!$C$5:$C$121,A6,'Task List'!$D$5:$D$121,"normal")</f>
        <v>0</v>
      </c>
      <c r="H6" s="41" t="n">
        <f aca="false">COUNTIFS('Task List'!$C$5:$C$121,A6,'Task List'!$K$5:$K$121,"Done")</f>
        <v>2</v>
      </c>
      <c r="I6" s="41" t="n">
        <f aca="false">COUNTIFS('Task List'!$C$5:$C$121,A6,'Task List'!$K$5:$K$121,"Partial")</f>
        <v>5</v>
      </c>
      <c r="J6" s="41" t="n">
        <f aca="false">COUNTIFS('Task List'!$C$5:$C$121,A6,'Task List'!$K$5:$K$121,"Not Started")</f>
        <v>1</v>
      </c>
      <c r="K6" s="43" t="n">
        <f aca="false">IFERROR(AVERAGEIF('Task List'!$C$5:$C$121,A6,'Task List'!$L$5:$L$121),0)</f>
        <v>0.54375</v>
      </c>
      <c r="L6" s="41" t="n">
        <f aca="false">SUMIF('Task List'!$C$5:$C$121,A6,'Task List'!$M$5:$M$121)</f>
        <v>41</v>
      </c>
      <c r="M6" s="41" t="n">
        <f aca="false">L6/6</f>
        <v>6.83333333333333</v>
      </c>
    </row>
    <row r="7" customFormat="false" ht="15" hidden="false" customHeight="true" outlineLevel="0" collapsed="false">
      <c r="A7" s="41" t="s">
        <v>191</v>
      </c>
      <c r="B7" s="42" t="s">
        <v>867</v>
      </c>
      <c r="C7" s="41" t="n">
        <f aca="false">COUNTIF('Task List'!$C$5:$C$121,A7)</f>
        <v>7</v>
      </c>
      <c r="D7" s="41" t="n">
        <f aca="false">COUNTIFS('Task List'!$C$5:$C$121,A7,'Task List'!$D$5:$D$121,"critical")</f>
        <v>0</v>
      </c>
      <c r="E7" s="41" t="n">
        <f aca="false">COUNTIFS('Task List'!$C$5:$C$121,A7,'Task List'!$D$5:$D$121,"very important")</f>
        <v>4</v>
      </c>
      <c r="F7" s="41" t="n">
        <f aca="false">COUNTIFS('Task List'!$C$5:$C$121,A7,'Task List'!$D$5:$D$121,"important")</f>
        <v>3</v>
      </c>
      <c r="G7" s="41" t="n">
        <f aca="false">COUNTIFS('Task List'!$C$5:$C$121,A7,'Task List'!$D$5:$D$121,"normal")</f>
        <v>0</v>
      </c>
      <c r="H7" s="41" t="n">
        <f aca="false">COUNTIFS('Task List'!$C$5:$C$121,A7,'Task List'!$K$5:$K$121,"Done")</f>
        <v>1</v>
      </c>
      <c r="I7" s="41" t="n">
        <f aca="false">COUNTIFS('Task List'!$C$5:$C$121,A7,'Task List'!$K$5:$K$121,"Partial")</f>
        <v>5</v>
      </c>
      <c r="J7" s="41" t="n">
        <f aca="false">COUNTIFS('Task List'!$C$5:$C$121,A7,'Task List'!$K$5:$K$121,"Not Started")</f>
        <v>1</v>
      </c>
      <c r="K7" s="43" t="n">
        <f aca="false">IFERROR(AVERAGEIF('Task List'!$C$5:$C$121,A7,'Task List'!$L$5:$L$121),0)</f>
        <v>0.414285714285714</v>
      </c>
      <c r="L7" s="41" t="n">
        <f aca="false">SUMIF('Task List'!$C$5:$C$121,A7,'Task List'!$M$5:$M$121)</f>
        <v>41</v>
      </c>
      <c r="M7" s="41" t="n">
        <f aca="false">L7/6</f>
        <v>6.83333333333333</v>
      </c>
    </row>
    <row r="8" customFormat="false" ht="15" hidden="false" customHeight="true" outlineLevel="0" collapsed="false">
      <c r="A8" s="41" t="s">
        <v>228</v>
      </c>
      <c r="B8" s="42" t="s">
        <v>868</v>
      </c>
      <c r="C8" s="41" t="n">
        <f aca="false">COUNTIF('Task List'!$C$5:$C$121,A8)</f>
        <v>7</v>
      </c>
      <c r="D8" s="41" t="n">
        <f aca="false">COUNTIFS('Task List'!$C$5:$C$121,A8,'Task List'!$D$5:$D$121,"critical")</f>
        <v>0</v>
      </c>
      <c r="E8" s="41" t="n">
        <f aca="false">COUNTIFS('Task List'!$C$5:$C$121,A8,'Task List'!$D$5:$D$121,"very important")</f>
        <v>4</v>
      </c>
      <c r="F8" s="41" t="n">
        <f aca="false">COUNTIFS('Task List'!$C$5:$C$121,A8,'Task List'!$D$5:$D$121,"important")</f>
        <v>3</v>
      </c>
      <c r="G8" s="41" t="n">
        <f aca="false">COUNTIFS('Task List'!$C$5:$C$121,A8,'Task List'!$D$5:$D$121,"normal")</f>
        <v>0</v>
      </c>
      <c r="H8" s="41" t="n">
        <f aca="false">COUNTIFS('Task List'!$C$5:$C$121,A8,'Task List'!$K$5:$K$121,"Done")</f>
        <v>6</v>
      </c>
      <c r="I8" s="41" t="n">
        <f aca="false">COUNTIFS('Task List'!$C$5:$C$121,A8,'Task List'!$K$5:$K$121,"Partial")</f>
        <v>1</v>
      </c>
      <c r="J8" s="41" t="n">
        <f aca="false">COUNTIFS('Task List'!$C$5:$C$121,A8,'Task List'!$K$5:$K$121,"Not Started")</f>
        <v>0</v>
      </c>
      <c r="K8" s="43" t="n">
        <f aca="false">IFERROR(AVERAGEIF('Task List'!$C$5:$C$121,A8,'Task List'!$L$5:$L$121),0)</f>
        <v>0.807142857142857</v>
      </c>
      <c r="L8" s="41" t="n">
        <f aca="false">SUMIF('Task List'!$C$5:$C$121,A8,'Task List'!$M$5:$M$121)</f>
        <v>43</v>
      </c>
      <c r="M8" s="41" t="n">
        <f aca="false">L8/6</f>
        <v>7.16666666666667</v>
      </c>
    </row>
    <row r="9" customFormat="false" ht="15" hidden="false" customHeight="true" outlineLevel="0" collapsed="false">
      <c r="A9" s="41" t="s">
        <v>265</v>
      </c>
      <c r="B9" s="42" t="s">
        <v>869</v>
      </c>
      <c r="C9" s="41" t="n">
        <f aca="false">COUNTIF('Task List'!$C$5:$C$121,A9)</f>
        <v>6</v>
      </c>
      <c r="D9" s="41" t="n">
        <f aca="false">COUNTIFS('Task List'!$C$5:$C$121,A9,'Task List'!$D$5:$D$121,"critical")</f>
        <v>2</v>
      </c>
      <c r="E9" s="41" t="n">
        <f aca="false">COUNTIFS('Task List'!$C$5:$C$121,A9,'Task List'!$D$5:$D$121,"very important")</f>
        <v>2</v>
      </c>
      <c r="F9" s="41" t="n">
        <f aca="false">COUNTIFS('Task List'!$C$5:$C$121,A9,'Task List'!$D$5:$D$121,"important")</f>
        <v>2</v>
      </c>
      <c r="G9" s="41" t="n">
        <f aca="false">COUNTIFS('Task List'!$C$5:$C$121,A9,'Task List'!$D$5:$D$121,"normal")</f>
        <v>0</v>
      </c>
      <c r="H9" s="41" t="n">
        <f aca="false">COUNTIFS('Task List'!$C$5:$C$121,A9,'Task List'!$K$5:$K$121,"Done")</f>
        <v>1</v>
      </c>
      <c r="I9" s="41" t="n">
        <f aca="false">COUNTIFS('Task List'!$C$5:$C$121,A9,'Task List'!$K$5:$K$121,"Partial")</f>
        <v>4</v>
      </c>
      <c r="J9" s="41" t="n">
        <f aca="false">COUNTIFS('Task List'!$C$5:$C$121,A9,'Task List'!$K$5:$K$121,"Not Started")</f>
        <v>1</v>
      </c>
      <c r="K9" s="43" t="n">
        <f aca="false">IFERROR(AVERAGEIF('Task List'!$C$5:$C$121,A9,'Task List'!$L$5:$L$121),0)</f>
        <v>0.558333333333333</v>
      </c>
      <c r="L9" s="41" t="n">
        <f aca="false">SUMIF('Task List'!$C$5:$C$121,A9,'Task List'!$M$5:$M$121)</f>
        <v>38</v>
      </c>
      <c r="M9" s="41" t="n">
        <f aca="false">L9/6</f>
        <v>6.33333333333333</v>
      </c>
    </row>
    <row r="10" customFormat="false" ht="15" hidden="false" customHeight="true" outlineLevel="0" collapsed="false">
      <c r="A10" s="41" t="s">
        <v>297</v>
      </c>
      <c r="B10" s="42" t="s">
        <v>870</v>
      </c>
      <c r="C10" s="41" t="n">
        <f aca="false">COUNTIF('Task List'!$C$5:$C$121,A10)</f>
        <v>6</v>
      </c>
      <c r="D10" s="41" t="n">
        <f aca="false">COUNTIFS('Task List'!$C$5:$C$121,A10,'Task List'!$D$5:$D$121,"critical")</f>
        <v>0</v>
      </c>
      <c r="E10" s="41" t="n">
        <f aca="false">COUNTIFS('Task List'!$C$5:$C$121,A10,'Task List'!$D$5:$D$121,"very important")</f>
        <v>4</v>
      </c>
      <c r="F10" s="41" t="n">
        <f aca="false">COUNTIFS('Task List'!$C$5:$C$121,A10,'Task List'!$D$5:$D$121,"important")</f>
        <v>2</v>
      </c>
      <c r="G10" s="41" t="n">
        <f aca="false">COUNTIFS('Task List'!$C$5:$C$121,A10,'Task List'!$D$5:$D$121,"normal")</f>
        <v>0</v>
      </c>
      <c r="H10" s="41" t="n">
        <f aca="false">COUNTIFS('Task List'!$C$5:$C$121,A10,'Task List'!$K$5:$K$121,"Done")</f>
        <v>0</v>
      </c>
      <c r="I10" s="41" t="n">
        <f aca="false">COUNTIFS('Task List'!$C$5:$C$121,A10,'Task List'!$K$5:$K$121,"Partial")</f>
        <v>2</v>
      </c>
      <c r="J10" s="41" t="n">
        <f aca="false">COUNTIFS('Task List'!$C$5:$C$121,A10,'Task List'!$K$5:$K$121,"Not Started")</f>
        <v>4</v>
      </c>
      <c r="K10" s="43" t="n">
        <f aca="false">IFERROR(AVERAGEIF('Task List'!$C$5:$C$121,A10,'Task List'!$L$5:$L$121),0)</f>
        <v>0.15</v>
      </c>
      <c r="L10" s="41" t="n">
        <f aca="false">SUMIF('Task List'!$C$5:$C$121,A10,'Task List'!$M$5:$M$121)</f>
        <v>31</v>
      </c>
      <c r="M10" s="41" t="n">
        <f aca="false">L10/6</f>
        <v>5.16666666666667</v>
      </c>
    </row>
    <row r="11" customFormat="false" ht="15" hidden="false" customHeight="true" outlineLevel="0" collapsed="false">
      <c r="A11" s="41" t="s">
        <v>328</v>
      </c>
      <c r="B11" s="42" t="s">
        <v>871</v>
      </c>
      <c r="C11" s="41" t="n">
        <f aca="false">COUNTIF('Task List'!$C$5:$C$121,A11)</f>
        <v>4</v>
      </c>
      <c r="D11" s="41" t="n">
        <f aca="false">COUNTIFS('Task List'!$C$5:$C$121,A11,'Task List'!$D$5:$D$121,"critical")</f>
        <v>0</v>
      </c>
      <c r="E11" s="41" t="n">
        <f aca="false">COUNTIFS('Task List'!$C$5:$C$121,A11,'Task List'!$D$5:$D$121,"very important")</f>
        <v>0</v>
      </c>
      <c r="F11" s="41" t="n">
        <f aca="false">COUNTIFS('Task List'!$C$5:$C$121,A11,'Task List'!$D$5:$D$121,"important")</f>
        <v>3</v>
      </c>
      <c r="G11" s="41" t="n">
        <f aca="false">COUNTIFS('Task List'!$C$5:$C$121,A11,'Task List'!$D$5:$D$121,"normal")</f>
        <v>1</v>
      </c>
      <c r="H11" s="41" t="n">
        <f aca="false">COUNTIFS('Task List'!$C$5:$C$121,A11,'Task List'!$K$5:$K$121,"Done")</f>
        <v>1</v>
      </c>
      <c r="I11" s="41" t="n">
        <f aca="false">COUNTIFS('Task List'!$C$5:$C$121,A11,'Task List'!$K$5:$K$121,"Partial")</f>
        <v>2</v>
      </c>
      <c r="J11" s="41" t="n">
        <f aca="false">COUNTIFS('Task List'!$C$5:$C$121,A11,'Task List'!$K$5:$K$121,"Not Started")</f>
        <v>1</v>
      </c>
      <c r="K11" s="43" t="n">
        <f aca="false">IFERROR(AVERAGEIF('Task List'!$C$5:$C$121,A11,'Task List'!$L$5:$L$121),0)</f>
        <v>0.45</v>
      </c>
      <c r="L11" s="41" t="n">
        <f aca="false">SUMIF('Task List'!$C$5:$C$121,A11,'Task List'!$M$5:$M$121)</f>
        <v>18</v>
      </c>
      <c r="M11" s="41" t="n">
        <f aca="false">L11/6</f>
        <v>3</v>
      </c>
    </row>
    <row r="12" customFormat="false" ht="15" hidden="false" customHeight="true" outlineLevel="0" collapsed="false">
      <c r="A12" s="41" t="s">
        <v>350</v>
      </c>
      <c r="B12" s="42" t="s">
        <v>872</v>
      </c>
      <c r="C12" s="41" t="n">
        <f aca="false">COUNTIF('Task List'!$C$5:$C$121,A12)</f>
        <v>4</v>
      </c>
      <c r="D12" s="41" t="n">
        <f aca="false">COUNTIFS('Task List'!$C$5:$C$121,A12,'Task List'!$D$5:$D$121,"critical")</f>
        <v>0</v>
      </c>
      <c r="E12" s="41" t="n">
        <f aca="false">COUNTIFS('Task List'!$C$5:$C$121,A12,'Task List'!$D$5:$D$121,"very important")</f>
        <v>2</v>
      </c>
      <c r="F12" s="41" t="n">
        <f aca="false">COUNTIFS('Task List'!$C$5:$C$121,A12,'Task List'!$D$5:$D$121,"important")</f>
        <v>2</v>
      </c>
      <c r="G12" s="41" t="n">
        <f aca="false">COUNTIFS('Task List'!$C$5:$C$121,A12,'Task List'!$D$5:$D$121,"normal")</f>
        <v>0</v>
      </c>
      <c r="H12" s="41" t="n">
        <f aca="false">COUNTIFS('Task List'!$C$5:$C$121,A12,'Task List'!$K$5:$K$121,"Done")</f>
        <v>0</v>
      </c>
      <c r="I12" s="41" t="n">
        <f aca="false">COUNTIFS('Task List'!$C$5:$C$121,A12,'Task List'!$K$5:$K$121,"Partial")</f>
        <v>0</v>
      </c>
      <c r="J12" s="41" t="n">
        <f aca="false">COUNTIFS('Task List'!$C$5:$C$121,A12,'Task List'!$K$5:$K$121,"Not Started")</f>
        <v>4</v>
      </c>
      <c r="K12" s="43" t="n">
        <f aca="false">IFERROR(AVERAGEIF('Task List'!$C$5:$C$121,A12,'Task List'!$L$5:$L$121),0)</f>
        <v>0.025</v>
      </c>
      <c r="L12" s="41" t="n">
        <f aca="false">SUMIF('Task List'!$C$5:$C$121,A12,'Task List'!$M$5:$M$121)</f>
        <v>21</v>
      </c>
      <c r="M12" s="41" t="n">
        <f aca="false">L12/6</f>
        <v>3.5</v>
      </c>
    </row>
    <row r="13" customFormat="false" ht="15" hidden="false" customHeight="true" outlineLevel="0" collapsed="false">
      <c r="A13" s="41" t="s">
        <v>372</v>
      </c>
      <c r="B13" s="42" t="s">
        <v>873</v>
      </c>
      <c r="C13" s="41" t="n">
        <f aca="false">COUNTIF('Task List'!$C$5:$C$121,A13)</f>
        <v>7</v>
      </c>
      <c r="D13" s="41" t="n">
        <f aca="false">COUNTIFS('Task List'!$C$5:$C$121,A13,'Task List'!$D$5:$D$121,"critical")</f>
        <v>0</v>
      </c>
      <c r="E13" s="41" t="n">
        <f aca="false">COUNTIFS('Task List'!$C$5:$C$121,A13,'Task List'!$D$5:$D$121,"very important")</f>
        <v>5</v>
      </c>
      <c r="F13" s="41" t="n">
        <f aca="false">COUNTIFS('Task List'!$C$5:$C$121,A13,'Task List'!$D$5:$D$121,"important")</f>
        <v>2</v>
      </c>
      <c r="G13" s="41" t="n">
        <f aca="false">COUNTIFS('Task List'!$C$5:$C$121,A13,'Task List'!$D$5:$D$121,"normal")</f>
        <v>0</v>
      </c>
      <c r="H13" s="41" t="n">
        <f aca="false">COUNTIFS('Task List'!$C$5:$C$121,A13,'Task List'!$K$5:$K$121,"Done")</f>
        <v>0</v>
      </c>
      <c r="I13" s="41" t="n">
        <f aca="false">COUNTIFS('Task List'!$C$5:$C$121,A13,'Task List'!$K$5:$K$121,"Partial")</f>
        <v>3</v>
      </c>
      <c r="J13" s="41" t="n">
        <f aca="false">COUNTIFS('Task List'!$C$5:$C$121,A13,'Task List'!$K$5:$K$121,"Not Started")</f>
        <v>4</v>
      </c>
      <c r="K13" s="43" t="n">
        <f aca="false">IFERROR(AVERAGEIF('Task List'!$C$5:$C$121,A13,'Task List'!$L$5:$L$121),0)</f>
        <v>0.164285714285714</v>
      </c>
      <c r="L13" s="41" t="n">
        <f aca="false">SUMIF('Task List'!$C$5:$C$121,A13,'Task List'!$M$5:$M$121)</f>
        <v>43</v>
      </c>
      <c r="M13" s="41" t="n">
        <f aca="false">L13/6</f>
        <v>7.16666666666667</v>
      </c>
    </row>
    <row r="14" customFormat="false" ht="15" hidden="false" customHeight="true" outlineLevel="0" collapsed="false">
      <c r="A14" s="41" t="s">
        <v>409</v>
      </c>
      <c r="B14" s="42" t="s">
        <v>874</v>
      </c>
      <c r="C14" s="41" t="n">
        <f aca="false">COUNTIF('Task List'!$C$5:$C$121,A14)</f>
        <v>10</v>
      </c>
      <c r="D14" s="41" t="n">
        <f aca="false">COUNTIFS('Task List'!$C$5:$C$121,A14,'Task List'!$D$5:$D$121,"critical")</f>
        <v>0</v>
      </c>
      <c r="E14" s="41" t="n">
        <f aca="false">COUNTIFS('Task List'!$C$5:$C$121,A14,'Task List'!$D$5:$D$121,"very important")</f>
        <v>3</v>
      </c>
      <c r="F14" s="41" t="n">
        <f aca="false">COUNTIFS('Task List'!$C$5:$C$121,A14,'Task List'!$D$5:$D$121,"important")</f>
        <v>6</v>
      </c>
      <c r="G14" s="41" t="n">
        <f aca="false">COUNTIFS('Task List'!$C$5:$C$121,A14,'Task List'!$D$5:$D$121,"normal")</f>
        <v>1</v>
      </c>
      <c r="H14" s="41" t="n">
        <f aca="false">COUNTIFS('Task List'!$C$5:$C$121,A14,'Task List'!$K$5:$K$121,"Done")</f>
        <v>0</v>
      </c>
      <c r="I14" s="41" t="n">
        <f aca="false">COUNTIFS('Task List'!$C$5:$C$121,A14,'Task List'!$K$5:$K$121,"Partial")</f>
        <v>8</v>
      </c>
      <c r="J14" s="41" t="n">
        <f aca="false">COUNTIFS('Task List'!$C$5:$C$121,A14,'Task List'!$K$5:$K$121,"Not Started")</f>
        <v>2</v>
      </c>
      <c r="K14" s="43" t="n">
        <f aca="false">IFERROR(AVERAGEIF('Task List'!$C$5:$C$121,A14,'Task List'!$L$5:$L$121),0)</f>
        <v>0.385</v>
      </c>
      <c r="L14" s="41" t="n">
        <f aca="false">SUMIF('Task List'!$C$5:$C$121,A14,'Task List'!$M$5:$M$121)</f>
        <v>42</v>
      </c>
      <c r="M14" s="41" t="n">
        <f aca="false">L14/6</f>
        <v>7</v>
      </c>
    </row>
    <row r="15" customFormat="false" ht="15" hidden="false" customHeight="true" outlineLevel="0" collapsed="false">
      <c r="A15" s="41" t="s">
        <v>461</v>
      </c>
      <c r="B15" s="42" t="s">
        <v>875</v>
      </c>
      <c r="C15" s="41" t="n">
        <f aca="false">COUNTIF('Task List'!$C$5:$C$121,A15)</f>
        <v>6</v>
      </c>
      <c r="D15" s="41" t="n">
        <f aca="false">COUNTIFS('Task List'!$C$5:$C$121,A15,'Task List'!$D$5:$D$121,"critical")</f>
        <v>0</v>
      </c>
      <c r="E15" s="41" t="n">
        <f aca="false">COUNTIFS('Task List'!$C$5:$C$121,A15,'Task List'!$D$5:$D$121,"very important")</f>
        <v>3</v>
      </c>
      <c r="F15" s="41" t="n">
        <f aca="false">COUNTIFS('Task List'!$C$5:$C$121,A15,'Task List'!$D$5:$D$121,"important")</f>
        <v>3</v>
      </c>
      <c r="G15" s="41" t="n">
        <f aca="false">COUNTIFS('Task List'!$C$5:$C$121,A15,'Task List'!$D$5:$D$121,"normal")</f>
        <v>0</v>
      </c>
      <c r="H15" s="41" t="n">
        <f aca="false">COUNTIFS('Task List'!$C$5:$C$121,A15,'Task List'!$K$5:$K$121,"Done")</f>
        <v>0</v>
      </c>
      <c r="I15" s="41" t="n">
        <f aca="false">COUNTIFS('Task List'!$C$5:$C$121,A15,'Task List'!$K$5:$K$121,"Partial")</f>
        <v>1</v>
      </c>
      <c r="J15" s="41" t="n">
        <f aca="false">COUNTIFS('Task List'!$C$5:$C$121,A15,'Task List'!$K$5:$K$121,"Not Started")</f>
        <v>5</v>
      </c>
      <c r="K15" s="43" t="n">
        <f aca="false">IFERROR(AVERAGEIF('Task List'!$C$5:$C$121,A15,'Task List'!$L$5:$L$121),0)</f>
        <v>0.0666666666666667</v>
      </c>
      <c r="L15" s="41" t="n">
        <f aca="false">SUMIF('Task List'!$C$5:$C$121,A15,'Task List'!$M$5:$M$121)</f>
        <v>21</v>
      </c>
      <c r="M15" s="41" t="n">
        <f aca="false">L15/6</f>
        <v>3.5</v>
      </c>
    </row>
    <row r="16" customFormat="false" ht="15" hidden="false" customHeight="true" outlineLevel="0" collapsed="false">
      <c r="A16" s="41" t="s">
        <v>494</v>
      </c>
      <c r="B16" s="42" t="s">
        <v>876</v>
      </c>
      <c r="C16" s="41" t="n">
        <f aca="false">COUNTIF('Task List'!$C$5:$C$121,A16)</f>
        <v>9</v>
      </c>
      <c r="D16" s="41" t="n">
        <f aca="false">COUNTIFS('Task List'!$C$5:$C$121,A16,'Task List'!$D$5:$D$121,"critical")</f>
        <v>0</v>
      </c>
      <c r="E16" s="41" t="n">
        <f aca="false">COUNTIFS('Task List'!$C$5:$C$121,A16,'Task List'!$D$5:$D$121,"very important")</f>
        <v>1</v>
      </c>
      <c r="F16" s="41" t="n">
        <f aca="false">COUNTIFS('Task List'!$C$5:$C$121,A16,'Task List'!$D$5:$D$121,"important")</f>
        <v>7</v>
      </c>
      <c r="G16" s="41" t="n">
        <f aca="false">COUNTIFS('Task List'!$C$5:$C$121,A16,'Task List'!$D$5:$D$121,"normal")</f>
        <v>1</v>
      </c>
      <c r="H16" s="41" t="n">
        <f aca="false">COUNTIFS('Task List'!$C$5:$C$121,A16,'Task List'!$K$5:$K$121,"Done")</f>
        <v>0</v>
      </c>
      <c r="I16" s="41" t="n">
        <f aca="false">COUNTIFS('Task List'!$C$5:$C$121,A16,'Task List'!$K$5:$K$121,"Partial")</f>
        <v>3</v>
      </c>
      <c r="J16" s="41" t="n">
        <f aca="false">COUNTIFS('Task List'!$C$5:$C$121,A16,'Task List'!$K$5:$K$121,"Not Started")</f>
        <v>6</v>
      </c>
      <c r="K16" s="43" t="n">
        <f aca="false">IFERROR(AVERAGEIF('Task List'!$C$5:$C$121,A16,'Task List'!$L$5:$L$121),0)</f>
        <v>0.15</v>
      </c>
      <c r="L16" s="41" t="n">
        <f aca="false">SUMIF('Task List'!$C$5:$C$121,A16,'Task List'!$M$5:$M$121)</f>
        <v>28</v>
      </c>
      <c r="M16" s="41" t="n">
        <f aca="false">L16/6</f>
        <v>4.66666666666667</v>
      </c>
    </row>
    <row r="17" customFormat="false" ht="15" hidden="false" customHeight="true" outlineLevel="0" collapsed="false">
      <c r="A17" s="41" t="s">
        <v>537</v>
      </c>
      <c r="B17" s="42" t="s">
        <v>877</v>
      </c>
      <c r="C17" s="41" t="n">
        <f aca="false">COUNTIF('Task List'!$C$5:$C$121,A17)</f>
        <v>7</v>
      </c>
      <c r="D17" s="41" t="n">
        <f aca="false">COUNTIFS('Task List'!$C$5:$C$121,A17,'Task List'!$D$5:$D$121,"critical")</f>
        <v>0</v>
      </c>
      <c r="E17" s="41" t="n">
        <f aca="false">COUNTIFS('Task List'!$C$5:$C$121,A17,'Task List'!$D$5:$D$121,"very important")</f>
        <v>0</v>
      </c>
      <c r="F17" s="41" t="n">
        <f aca="false">COUNTIFS('Task List'!$C$5:$C$121,A17,'Task List'!$D$5:$D$121,"important")</f>
        <v>7</v>
      </c>
      <c r="G17" s="41" t="n">
        <f aca="false">COUNTIFS('Task List'!$C$5:$C$121,A17,'Task List'!$D$5:$D$121,"normal")</f>
        <v>0</v>
      </c>
      <c r="H17" s="41" t="n">
        <f aca="false">COUNTIFS('Task List'!$C$5:$C$121,A17,'Task List'!$K$5:$K$121,"Done")</f>
        <v>0</v>
      </c>
      <c r="I17" s="41" t="n">
        <f aca="false">COUNTIFS('Task List'!$C$5:$C$121,A17,'Task List'!$K$5:$K$121,"Partial")</f>
        <v>3</v>
      </c>
      <c r="J17" s="41" t="n">
        <f aca="false">COUNTIFS('Task List'!$C$5:$C$121,A17,'Task List'!$K$5:$K$121,"Not Started")</f>
        <v>4</v>
      </c>
      <c r="K17" s="43" t="n">
        <f aca="false">IFERROR(AVERAGEIF('Task List'!$C$5:$C$121,A17,'Task List'!$L$5:$L$121),0)</f>
        <v>0.128571428571429</v>
      </c>
      <c r="L17" s="41" t="n">
        <f aca="false">SUMIF('Task List'!$C$5:$C$121,A17,'Task List'!$M$5:$M$121)</f>
        <v>22.5</v>
      </c>
      <c r="M17" s="41" t="n">
        <f aca="false">L17/6</f>
        <v>3.75</v>
      </c>
    </row>
    <row r="18" customFormat="false" ht="15" hidden="false" customHeight="true" outlineLevel="0" collapsed="false">
      <c r="A18" s="44" t="s">
        <v>577</v>
      </c>
      <c r="B18" s="45" t="s">
        <v>878</v>
      </c>
      <c r="C18" s="44" t="n">
        <f aca="false">SUM(C4:C17)</f>
        <v>103</v>
      </c>
      <c r="D18" s="44" t="n">
        <f aca="false">SUM(D4:D17)</f>
        <v>6</v>
      </c>
      <c r="E18" s="44" t="n">
        <f aca="false">SUM(E4:E17)</f>
        <v>42</v>
      </c>
      <c r="F18" s="44" t="n">
        <f aca="false">SUM(F4:F17)</f>
        <v>51</v>
      </c>
      <c r="G18" s="44" t="n">
        <f aca="false">SUM(G4:G17)</f>
        <v>4</v>
      </c>
      <c r="H18" s="44" t="n">
        <f aca="false">SUM(H4:H17)</f>
        <v>23</v>
      </c>
      <c r="I18" s="44" t="n">
        <f aca="false">SUM(I4:I17)</f>
        <v>39</v>
      </c>
      <c r="J18" s="44" t="n">
        <f aca="false">SUM(J4:J17)</f>
        <v>41</v>
      </c>
      <c r="K18" s="46" t="n">
        <f aca="false">IFERROR(AVERAGE('Task List'!$L$5:$L$121),0)</f>
        <v>0.379611650485437</v>
      </c>
      <c r="L18" s="44" t="n">
        <f aca="false">SUM(L4:L17)</f>
        <v>482.5</v>
      </c>
      <c r="M18" s="44" t="n">
        <f aca="false">L18/6</f>
        <v>80.4166666666667</v>
      </c>
    </row>
    <row r="19" customFormat="false" ht="15" hidden="false" customHeight="true" outlineLevel="0" collapsed="false">
      <c r="A19" s="28"/>
      <c r="B19" s="28"/>
      <c r="C19" s="28"/>
      <c r="D19" s="28"/>
      <c r="E19" s="28"/>
      <c r="F19" s="28"/>
      <c r="G19" s="28"/>
      <c r="H19" s="28"/>
      <c r="I19" s="28"/>
      <c r="J19" s="28"/>
      <c r="K19" s="28"/>
      <c r="L19" s="28"/>
      <c r="M19" s="28"/>
    </row>
    <row r="20" customFormat="false" ht="15" hidden="false" customHeight="true" outlineLevel="0" collapsed="false">
      <c r="A20" s="47" t="s">
        <v>879</v>
      </c>
    </row>
  </sheetData>
  <mergeCells count="3">
    <mergeCell ref="A1:M1"/>
    <mergeCell ref="A2:M2"/>
    <mergeCell ref="A19:M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46"/>
    <col collapsed="false" customWidth="true" hidden="false" outlineLevel="0" max="3" min="3" style="1" width="40"/>
    <col collapsed="false" customWidth="true" hidden="false" outlineLevel="0" max="5" min="4" style="1" width="52"/>
  </cols>
  <sheetData>
    <row r="1" customFormat="false" ht="24" hidden="false" customHeight="true" outlineLevel="0" collapsed="false">
      <c r="A1" s="48" t="s">
        <v>880</v>
      </c>
      <c r="B1" s="48"/>
      <c r="C1" s="48"/>
      <c r="D1" s="48"/>
      <c r="E1" s="48"/>
    </row>
    <row r="2" customFormat="false" ht="15" hidden="false" customHeight="true" outlineLevel="0" collapsed="false">
      <c r="A2" s="49" t="s">
        <v>881</v>
      </c>
    </row>
    <row r="3" customFormat="false" ht="15" hidden="false" customHeight="true" outlineLevel="0" collapsed="false">
      <c r="A3" s="50" t="s">
        <v>882</v>
      </c>
      <c r="B3" s="50" t="s">
        <v>883</v>
      </c>
      <c r="C3" s="50" t="s">
        <v>884</v>
      </c>
      <c r="D3" s="50" t="s">
        <v>885</v>
      </c>
      <c r="E3" s="50" t="s">
        <v>886</v>
      </c>
    </row>
    <row r="4" customFormat="false" ht="27.75" hidden="false" customHeight="true" outlineLevel="0" collapsed="false">
      <c r="A4" s="51" t="s">
        <v>887</v>
      </c>
      <c r="B4" s="52" t="s">
        <v>888</v>
      </c>
      <c r="C4" s="52" t="s">
        <v>889</v>
      </c>
      <c r="D4" s="52" t="s">
        <v>890</v>
      </c>
      <c r="E4" s="52" t="s">
        <v>891</v>
      </c>
    </row>
    <row r="5" customFormat="false" ht="27.75" hidden="false" customHeight="true" outlineLevel="0" collapsed="false">
      <c r="A5" s="53" t="s">
        <v>892</v>
      </c>
      <c r="B5" s="54" t="s">
        <v>893</v>
      </c>
      <c r="C5" s="54" t="s">
        <v>894</v>
      </c>
      <c r="D5" s="54" t="s">
        <v>895</v>
      </c>
      <c r="E5" s="54" t="s">
        <v>896</v>
      </c>
    </row>
    <row r="6" customFormat="false" ht="27.75" hidden="false" customHeight="true" outlineLevel="0" collapsed="false">
      <c r="A6" s="51" t="s">
        <v>897</v>
      </c>
      <c r="B6" s="52" t="s">
        <v>898</v>
      </c>
      <c r="C6" s="52" t="s">
        <v>899</v>
      </c>
      <c r="D6" s="52" t="s">
        <v>900</v>
      </c>
      <c r="E6" s="52" t="s">
        <v>901</v>
      </c>
    </row>
    <row r="7" customFormat="false" ht="27.75" hidden="false" customHeight="true" outlineLevel="0" collapsed="false">
      <c r="A7" s="53" t="s">
        <v>902</v>
      </c>
      <c r="B7" s="54" t="s">
        <v>903</v>
      </c>
      <c r="C7" s="54" t="s">
        <v>904</v>
      </c>
      <c r="D7" s="54" t="s">
        <v>905</v>
      </c>
      <c r="E7" s="54" t="s">
        <v>906</v>
      </c>
    </row>
    <row r="8" customFormat="false" ht="27.75" hidden="false" customHeight="true" outlineLevel="0" collapsed="false">
      <c r="A8" s="51" t="s">
        <v>907</v>
      </c>
      <c r="B8" s="52" t="s">
        <v>908</v>
      </c>
      <c r="C8" s="52" t="s">
        <v>909</v>
      </c>
      <c r="D8" s="52" t="s">
        <v>910</v>
      </c>
      <c r="E8" s="52" t="s">
        <v>911</v>
      </c>
    </row>
    <row r="9" customFormat="false" ht="27.75" hidden="false" customHeight="true" outlineLevel="0" collapsed="false">
      <c r="A9" s="53" t="s">
        <v>912</v>
      </c>
      <c r="B9" s="54" t="s">
        <v>913</v>
      </c>
      <c r="C9" s="54" t="s">
        <v>914</v>
      </c>
      <c r="D9" s="54" t="s">
        <v>915</v>
      </c>
      <c r="E9" s="54" t="s">
        <v>916</v>
      </c>
    </row>
    <row r="10" customFormat="false" ht="27.75" hidden="false" customHeight="true" outlineLevel="0" collapsed="false">
      <c r="A10" s="51" t="s">
        <v>917</v>
      </c>
      <c r="B10" s="52" t="s">
        <v>918</v>
      </c>
      <c r="C10" s="52" t="s">
        <v>919</v>
      </c>
      <c r="D10" s="52" t="s">
        <v>920</v>
      </c>
      <c r="E10" s="52" t="s">
        <v>921</v>
      </c>
    </row>
    <row r="12" customFormat="false" ht="15" hidden="false" customHeight="true" outlineLevel="0" collapsed="false">
      <c r="A12" s="55" t="s">
        <v>922</v>
      </c>
      <c r="B12" s="55"/>
      <c r="C12" s="55"/>
      <c r="D12" s="55"/>
      <c r="E12" s="55"/>
    </row>
    <row r="13" customFormat="false" ht="15" hidden="false" customHeight="true" outlineLevel="0" collapsed="false">
      <c r="A13" s="53" t="s">
        <v>923</v>
      </c>
      <c r="B13" s="54" t="s">
        <v>924</v>
      </c>
      <c r="C13" s="54" t="s">
        <v>925</v>
      </c>
      <c r="D13" s="54"/>
      <c r="E13" s="54"/>
    </row>
    <row r="14" customFormat="false" ht="27.75" hidden="false" customHeight="true" outlineLevel="0" collapsed="false">
      <c r="A14" s="51" t="s">
        <v>926</v>
      </c>
      <c r="B14" s="52" t="s">
        <v>927</v>
      </c>
      <c r="C14" s="52" t="s">
        <v>928</v>
      </c>
      <c r="D14" s="52"/>
      <c r="E14" s="52"/>
    </row>
    <row r="15" customFormat="false" ht="27.75" hidden="false" customHeight="true" outlineLevel="0" collapsed="false">
      <c r="A15" s="53" t="s">
        <v>929</v>
      </c>
      <c r="B15" s="54" t="s">
        <v>930</v>
      </c>
      <c r="C15" s="54" t="s">
        <v>931</v>
      </c>
      <c r="D15" s="54"/>
      <c r="E15" s="54"/>
    </row>
    <row r="16" customFormat="false" ht="27.75" hidden="false" customHeight="true" outlineLevel="0" collapsed="false">
      <c r="A16" s="51" t="s">
        <v>932</v>
      </c>
      <c r="B16" s="52" t="s">
        <v>933</v>
      </c>
      <c r="C16" s="52" t="s">
        <v>934</v>
      </c>
      <c r="D16" s="52"/>
      <c r="E16" s="52"/>
    </row>
    <row r="17" customFormat="false" ht="27.75" hidden="false" customHeight="true" outlineLevel="0" collapsed="false">
      <c r="A17" s="53" t="s">
        <v>935</v>
      </c>
      <c r="B17" s="54" t="s">
        <v>936</v>
      </c>
      <c r="C17" s="54" t="s">
        <v>937</v>
      </c>
      <c r="D17" s="54"/>
      <c r="E17" s="54"/>
    </row>
  </sheetData>
  <mergeCells count="7">
    <mergeCell ref="A1:E1"/>
    <mergeCell ref="A12:E12"/>
    <mergeCell ref="C13:E13"/>
    <mergeCell ref="C14:E14"/>
    <mergeCell ref="C15:E15"/>
    <mergeCell ref="C16:E16"/>
    <mergeCell ref="C17:E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7"/>
    <col collapsed="false" customWidth="true" hidden="false" outlineLevel="0" max="2" min="2" style="1" width="8"/>
    <col collapsed="false" customWidth="true" hidden="false" outlineLevel="0" max="3" min="3" style="1" width="12"/>
    <col collapsed="false" customWidth="true" hidden="false" outlineLevel="0" max="4" min="4" style="1" width="2"/>
    <col collapsed="false" customWidth="true" hidden="false" outlineLevel="0" max="5" min="5" style="1" width="17"/>
    <col collapsed="false" customWidth="true" hidden="false" outlineLevel="0" max="6" min="6" style="1" width="8"/>
    <col collapsed="false" customWidth="true" hidden="false" outlineLevel="0" max="7" min="7" style="1" width="12"/>
    <col collapsed="false" customWidth="true" hidden="false" outlineLevel="0" max="8" min="8" style="1" width="2"/>
    <col collapsed="false" customWidth="true" hidden="false" outlineLevel="0" max="9" min="9" style="1" width="17"/>
    <col collapsed="false" customWidth="true" hidden="false" outlineLevel="0" max="10" min="10" style="1" width="8"/>
    <col collapsed="false" customWidth="true" hidden="false" outlineLevel="0" max="11" min="11" style="1" width="12"/>
    <col collapsed="false" customWidth="true" hidden="false" outlineLevel="0" max="12" min="12" style="1" width="2"/>
    <col collapsed="false" customWidth="true" hidden="false" outlineLevel="0" max="13" min="13" style="1" width="17"/>
    <col collapsed="false" customWidth="true" hidden="false" outlineLevel="0" max="14" min="14" style="1" width="8"/>
    <col collapsed="false" customWidth="true" hidden="false" outlineLevel="0" max="15" min="15" style="1" width="12"/>
  </cols>
  <sheetData>
    <row r="1" customFormat="false" ht="15" hidden="false" customHeight="true" outlineLevel="0" collapsed="false">
      <c r="A1" s="36" t="s">
        <v>938</v>
      </c>
      <c r="B1" s="36"/>
      <c r="C1" s="36"/>
      <c r="D1" s="36"/>
      <c r="E1" s="36"/>
      <c r="F1" s="36"/>
      <c r="G1" s="36"/>
      <c r="H1" s="36"/>
      <c r="I1" s="36"/>
      <c r="J1" s="36"/>
      <c r="K1" s="36"/>
      <c r="L1" s="36"/>
      <c r="M1" s="36"/>
      <c r="N1" s="36"/>
      <c r="O1" s="36"/>
    </row>
    <row r="2" customFormat="false" ht="15" hidden="false" customHeight="true" outlineLevel="0" collapsed="false">
      <c r="A2" s="56" t="s">
        <v>939</v>
      </c>
      <c r="B2" s="56"/>
      <c r="C2" s="56"/>
      <c r="E2" s="56" t="s">
        <v>940</v>
      </c>
      <c r="F2" s="56"/>
      <c r="G2" s="56"/>
      <c r="I2" s="56" t="s">
        <v>941</v>
      </c>
      <c r="J2" s="56"/>
      <c r="K2" s="56"/>
      <c r="M2" s="56" t="s">
        <v>942</v>
      </c>
      <c r="N2" s="56"/>
      <c r="O2" s="56"/>
    </row>
    <row r="3" customFormat="false" ht="15" hidden="false" customHeight="true" outlineLevel="0" collapsed="false">
      <c r="A3" s="57" t="s">
        <v>5</v>
      </c>
      <c r="B3" s="57" t="s">
        <v>575</v>
      </c>
      <c r="C3" s="57" t="s">
        <v>14</v>
      </c>
      <c r="E3" s="57" t="s">
        <v>6</v>
      </c>
      <c r="F3" s="57" t="s">
        <v>575</v>
      </c>
      <c r="G3" s="57" t="s">
        <v>14</v>
      </c>
      <c r="I3" s="57" t="s">
        <v>7</v>
      </c>
      <c r="J3" s="57" t="s">
        <v>575</v>
      </c>
      <c r="K3" s="57" t="s">
        <v>14</v>
      </c>
      <c r="M3" s="57" t="s">
        <v>943</v>
      </c>
      <c r="N3" s="57" t="s">
        <v>575</v>
      </c>
      <c r="O3" s="57" t="s">
        <v>14</v>
      </c>
    </row>
    <row r="4" customFormat="false" ht="15" hidden="false" customHeight="true" outlineLevel="0" collapsed="false">
      <c r="A4" s="58" t="s">
        <v>19</v>
      </c>
      <c r="B4" s="58" t="n">
        <f aca="false">COUNTIF('Task List'!$D$5:$D$121,A4)</f>
        <v>6</v>
      </c>
      <c r="C4" s="58" t="n">
        <f aca="false">SUMIF('Task List'!$D$5:$D$121,A4,'Task List'!$M$5:$M$121)</f>
        <v>40</v>
      </c>
      <c r="E4" s="58" t="s">
        <v>164</v>
      </c>
      <c r="F4" s="58" t="n">
        <f aca="false">COUNTIF('Task List'!$E$5:$E$121,E4)</f>
        <v>36</v>
      </c>
      <c r="G4" s="58" t="n">
        <f aca="false">SUMIF('Task List'!$E$5:$E$121,E4,'Task List'!$M$5:$M$121)</f>
        <v>211</v>
      </c>
      <c r="I4" s="58" t="s">
        <v>47</v>
      </c>
      <c r="J4" s="58" t="n">
        <f aca="false">COUNTIF('Task List'!$F$5:$F$121,I4)</f>
        <v>22</v>
      </c>
      <c r="K4" s="58" t="n">
        <f aca="false">SUMIF('Task List'!$F$5:$F$121,I4,'Task List'!$M$5:$M$121)</f>
        <v>117</v>
      </c>
      <c r="M4" s="58" t="s">
        <v>38</v>
      </c>
      <c r="N4" s="58" t="n">
        <f aca="false">COUNTIF('Task List'!$I$5:$I$121,M4)</f>
        <v>61</v>
      </c>
      <c r="O4" s="58" t="n">
        <f aca="false">SUMIF('Task List'!$I$5:$I$121,M4,'Task List'!$M$5:$M$121)</f>
        <v>322.5</v>
      </c>
    </row>
    <row r="5" customFormat="false" ht="15" hidden="false" customHeight="true" outlineLevel="0" collapsed="false">
      <c r="A5" s="58" t="s">
        <v>34</v>
      </c>
      <c r="B5" s="58" t="n">
        <f aca="false">COUNTIF('Task List'!$D$5:$D$121,A5)</f>
        <v>42</v>
      </c>
      <c r="C5" s="58" t="n">
        <f aca="false">SUMIF('Task List'!$D$5:$D$121,A5,'Task List'!$M$5:$M$121)</f>
        <v>249.5</v>
      </c>
      <c r="E5" s="58" t="s">
        <v>20</v>
      </c>
      <c r="F5" s="58" t="n">
        <f aca="false">COUNTIF('Task List'!$E$5:$E$121,E5)</f>
        <v>45</v>
      </c>
      <c r="G5" s="58" t="n">
        <f aca="false">SUMIF('Task List'!$E$5:$E$121,E5,'Task List'!$M$5:$M$121)</f>
        <v>193.5</v>
      </c>
      <c r="I5" s="58" t="s">
        <v>35</v>
      </c>
      <c r="J5" s="58" t="n">
        <f aca="false">COUNTIF('Task List'!$F$5:$F$121,I5)</f>
        <v>38</v>
      </c>
      <c r="K5" s="58" t="n">
        <f aca="false">SUMIF('Task List'!$F$5:$F$121,I5,'Task List'!$M$5:$M$121)</f>
        <v>214.5</v>
      </c>
      <c r="M5" s="58" t="s">
        <v>24</v>
      </c>
      <c r="N5" s="58" t="n">
        <f aca="false">COUNTIF('Task List'!$I$5:$I$121,M5)</f>
        <v>26</v>
      </c>
      <c r="O5" s="58" t="n">
        <f aca="false">SUMIF('Task List'!$I$5:$I$121,M5,'Task List'!$M$5:$M$121)</f>
        <v>127.5</v>
      </c>
    </row>
    <row r="6" customFormat="false" ht="15" hidden="false" customHeight="true" outlineLevel="0" collapsed="false">
      <c r="A6" s="58" t="s">
        <v>58</v>
      </c>
      <c r="B6" s="58" t="n">
        <f aca="false">COUNTIF('Task List'!$D$5:$D$121,A6)</f>
        <v>51</v>
      </c>
      <c r="C6" s="58" t="n">
        <f aca="false">SUMIF('Task List'!$D$5:$D$121,A6,'Task List'!$M$5:$M$121)</f>
        <v>181</v>
      </c>
      <c r="E6" s="58" t="s">
        <v>148</v>
      </c>
      <c r="F6" s="58" t="n">
        <f aca="false">COUNTIF('Task List'!$E$5:$E$121,E6)</f>
        <v>9</v>
      </c>
      <c r="G6" s="58" t="n">
        <f aca="false">SUMIF('Task List'!$E$5:$E$121,E6,'Task List'!$M$5:$M$121)</f>
        <v>39</v>
      </c>
      <c r="I6" s="58" t="s">
        <v>78</v>
      </c>
      <c r="J6" s="58" t="n">
        <f aca="false">COUNTIF('Task List'!$F$5:$F$121,I6)</f>
        <v>10</v>
      </c>
      <c r="K6" s="58" t="n">
        <f aca="false">SUMIF('Task List'!$F$5:$F$121,I6,'Task List'!$M$5:$M$121)</f>
        <v>42</v>
      </c>
      <c r="M6" s="58" t="s">
        <v>73</v>
      </c>
      <c r="N6" s="58" t="n">
        <f aca="false">COUNTIF('Task List'!$I$5:$I$121,M6)</f>
        <v>16</v>
      </c>
      <c r="O6" s="58" t="n">
        <f aca="false">SUMIF('Task List'!$I$5:$I$121,M6,'Task List'!$M$5:$M$121)</f>
        <v>32.5</v>
      </c>
    </row>
    <row r="7" customFormat="false" ht="15" hidden="false" customHeight="true" outlineLevel="0" collapsed="false">
      <c r="A7" s="58" t="s">
        <v>89</v>
      </c>
      <c r="B7" s="58" t="n">
        <f aca="false">COUNTIF('Task List'!$D$5:$D$121,A7)</f>
        <v>4</v>
      </c>
      <c r="C7" s="58" t="n">
        <f aca="false">SUMIF('Task List'!$D$5:$D$121,A7,'Task List'!$M$5:$M$121)</f>
        <v>12</v>
      </c>
      <c r="E7" s="58" t="s">
        <v>487</v>
      </c>
      <c r="F7" s="58" t="n">
        <f aca="false">COUNTIF('Task List'!$E$5:$E$121,E7)</f>
        <v>13</v>
      </c>
      <c r="G7" s="58" t="n">
        <f aca="false">SUMIF('Task List'!$E$5:$E$121,E7,'Task List'!$M$5:$M$121)</f>
        <v>39</v>
      </c>
      <c r="I7" s="58" t="s">
        <v>21</v>
      </c>
      <c r="J7" s="58" t="n">
        <f aca="false">COUNTIF('Task List'!$F$5:$F$121,I7)</f>
        <v>12</v>
      </c>
      <c r="K7" s="58" t="n">
        <f aca="false">SUMIF('Task List'!$F$5:$F$121,I7,'Task List'!$M$5:$M$121)</f>
        <v>42.5</v>
      </c>
      <c r="M7" s="59" t="s">
        <v>577</v>
      </c>
      <c r="N7" s="59" t="n">
        <f aca="false">SUM(N4:N6)</f>
        <v>103</v>
      </c>
      <c r="O7" s="59" t="n">
        <f aca="false">SUM(O4:O6)</f>
        <v>482.5</v>
      </c>
    </row>
    <row r="8" customFormat="false" ht="15" hidden="false" customHeight="true" outlineLevel="0" collapsed="false">
      <c r="A8" s="58" t="s">
        <v>944</v>
      </c>
      <c r="B8" s="58" t="n">
        <f aca="false">COUNTIF('Task List'!$D$5:$D$121,A8)</f>
        <v>0</v>
      </c>
      <c r="C8" s="58" t="n">
        <f aca="false">SUMIF('Task List'!$D$5:$D$121,A8,'Task List'!$M$5:$M$121)</f>
        <v>0</v>
      </c>
      <c r="E8" s="59" t="s">
        <v>577</v>
      </c>
      <c r="F8" s="59" t="n">
        <f aca="false">SUM(F4:F7)</f>
        <v>103</v>
      </c>
      <c r="G8" s="59" t="n">
        <f aca="false">SUM(G4:G7)</f>
        <v>482.5</v>
      </c>
      <c r="I8" s="58" t="s">
        <v>495</v>
      </c>
      <c r="J8" s="58" t="n">
        <f aca="false">COUNTIF('Task List'!$F$5:$F$121,I8)</f>
        <v>9</v>
      </c>
      <c r="K8" s="58" t="n">
        <f aca="false">SUMIF('Task List'!$F$5:$F$121,I8,'Task List'!$M$5:$M$121)</f>
        <v>28</v>
      </c>
    </row>
    <row r="9" customFormat="false" ht="15" hidden="false" customHeight="true" outlineLevel="0" collapsed="false">
      <c r="A9" s="59" t="s">
        <v>577</v>
      </c>
      <c r="B9" s="59" t="n">
        <f aca="false">SUM(B4:B8)</f>
        <v>103</v>
      </c>
      <c r="C9" s="59" t="n">
        <f aca="false">SUM(C4:C8)</f>
        <v>482.5</v>
      </c>
      <c r="I9" s="58" t="s">
        <v>221</v>
      </c>
      <c r="J9" s="58" t="n">
        <f aca="false">COUNTIF('Task List'!$F$5:$F$121,I9)</f>
        <v>12</v>
      </c>
      <c r="K9" s="58" t="n">
        <f aca="false">SUMIF('Task List'!$F$5:$F$121,I9,'Task List'!$M$5:$M$121)</f>
        <v>38.5</v>
      </c>
    </row>
    <row r="10" customFormat="false" ht="15" hidden="false" customHeight="true" outlineLevel="0" collapsed="false">
      <c r="I10" s="59" t="s">
        <v>577</v>
      </c>
      <c r="J10" s="59" t="n">
        <f aca="false">SUM(J4:J9)</f>
        <v>103</v>
      </c>
      <c r="K10" s="59" t="n">
        <f aca="false">SUM(K4:K9)</f>
        <v>482.5</v>
      </c>
    </row>
  </sheetData>
  <mergeCells count="5">
    <mergeCell ref="A1:O1"/>
    <mergeCell ref="A2:C2"/>
    <mergeCell ref="E2:G2"/>
    <mergeCell ref="I2:K2"/>
    <mergeCell ref="M2:O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2026-05-30T13:04:22Z</dcterms:created>
  <dc:creator>openpyxl</dc:creator>
  <dc:description/>
  <dc:language>en-US</dc:language>
  <cp:lastModifiedBy/>
  <dcterms:modified xsi:type="dcterms:W3CDTF">2026-05-31T10:27:04Z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