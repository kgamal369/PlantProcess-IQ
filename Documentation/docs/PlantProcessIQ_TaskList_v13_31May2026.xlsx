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v13 Backlog" sheetId="2" state="visible" r:id="rId4"/>
    <sheet name="Phase Plan" sheetId="3" state="visible" r:id="rId5"/>
    <sheet name="Coverage Map" sheetId="4" state="visible" r:id="rId6"/>
    <sheet name="Excluded - Already Built" sheetId="5" state="visible" r:id="rId7"/>
  </sheets>
  <definedNames>
    <definedName function="false" hidden="true" localSheetId="1" name="_xlnm._FilterDatabase" vbProcedure="false">'v13 Backlog'!$A$2:$O$88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<sst xmlns="http://schemas.openxmlformats.org/spreadsheetml/2006/main" count="1192" uniqueCount="644">
  <si>
    <t xml:space="preserve">PlantProcess IQ — Task List v13  ·  31 May 2026</t>
  </si>
  <si>
    <t xml:space="preserve">Net-new backlog. Canonical base: Product Vision &amp; Engineering Doctrine v2.0 (via the Version Improvement Analysis). Every task is 0% done.</t>
  </si>
  <si>
    <t xml:space="preserve">What this workbook is</t>
  </si>
  <si>
    <t xml:space="preserve">A from-scratch backlog of the work that REMAINS to reach the canonical target. It deliberately contains no Done or Partial items - every task is scoped to its unbuilt slice, so the whole list is 0% complete and can be executed top-to-bottom without parsing statuses.</t>
  </si>
  <si>
    <t xml:space="preserve">The base (target state)</t>
  </si>
  <si>
    <t xml:space="preserve">Product Vision &amp; Engineering Doctrine v2.0 is the single source of truth, with Architecture v3 as its design companion (per the Version Improvement Analysis recommendation). Each task carries a 'Spec Anchor' back to the exact doctrine section it satisfies.</t>
  </si>
  <si>
    <t xml:space="preserve">The current state</t>
  </si>
  <si>
    <t xml:space="preserve">Derived from the 31-May implementation snapshot (1,004 files) as captured in the Implementation Validation report and confirmed by direct code search. Capabilities already built are excluded (see the 'Excluded - Already Built' sheet for the audit trail).</t>
  </si>
  <si>
    <t xml:space="preserve">How a task qualifies</t>
  </si>
  <si>
    <t xml:space="preserve">A task appears here only if its concrete deliverable does NOT yet exist in the code. For capabilities that are partially built, only the missing slice is listed, re-scoped as a clean, self-contained, 0%-done task with a fresh ID.</t>
  </si>
  <si>
    <t xml:space="preserve">Relationship to the old list</t>
  </si>
  <si>
    <t xml:space="preserve">v13 is not a re-status of the prior list. It is a clean re-derivation of remaining work; prior Done/Partial/Not-Started labels are not carried over. Where a v13 task corresponds to the unfinished part of an older item, the Description + Spec Anchor make the new scope explicit.</t>
  </si>
  <si>
    <t xml:space="preserve">ID scheme</t>
  </si>
  <si>
    <t xml:space="preserve">PPIQ-N### (N = net-new). 75 tasks across 11 execution phases (N-P1 ... N-P11), sequenced by dependency and commercial priority. Status is uniformly 'Not Started' and Completion % is uniformly 0 by design.</t>
  </si>
  <si>
    <t xml:space="preserve">Column legend</t>
  </si>
  <si>
    <t xml:space="preserve">Spec Anchor = the Vision/Architecture/Validation reference the task satisfies. Dependencies = task IDs that should land first. Acceptance Criteria = the testable 'done' bar. Effort = engineering hours (indicative).</t>
  </si>
  <si>
    <t xml:space="preserve">Sheets</t>
  </si>
  <si>
    <t xml:space="preserve">'v13 Backlog' = the tasks. 'Phase Plan' = execution order with live counts + effort. 'Coverage Map' = every Vision v2.0 area -&gt; the tasks that complete it. 'Excluded - Already Built' = what was left out and why.</t>
  </si>
  <si>
    <t xml:space="preserve">v13 Backlog — net-new remaining work (every task 0% done)</t>
  </si>
  <si>
    <t xml:space="preserve">Task ID</t>
  </si>
  <si>
    <t xml:space="preserve">Task Name</t>
  </si>
  <si>
    <t xml:space="preserve">Phase</t>
  </si>
  <si>
    <t xml:space="preserve">Track</t>
  </si>
  <si>
    <t xml:space="preserve">Module</t>
  </si>
  <si>
    <t xml:space="preserve">Submodule</t>
  </si>
  <si>
    <t xml:space="preserve">Severity</t>
  </si>
  <si>
    <t xml:space="preserve">Description</t>
  </si>
  <si>
    <t xml:space="preserve">Acceptance Criteria</t>
  </si>
  <si>
    <t xml:space="preserve">Spec Anchor</t>
  </si>
  <si>
    <t xml:space="preserve">Dependencies</t>
  </si>
  <si>
    <t xml:space="preserve">Task Type</t>
  </si>
  <si>
    <t xml:space="preserve">Effort (hrs)</t>
  </si>
  <si>
    <t xml:space="preserve">Status</t>
  </si>
  <si>
    <t xml:space="preserve">Completion %</t>
  </si>
  <si>
    <t xml:space="preserve">N-P1 · Security, Access &amp; Trust Closeout</t>
  </si>
  <si>
    <t xml:space="preserve">PPIQ-N001</t>
  </si>
  <si>
    <t xml:space="preserve">Move the access token off localStorage to an httpOnly cookie</t>
  </si>
  <si>
    <t xml:space="preserve">Track 2 — Hardening</t>
  </si>
  <si>
    <t xml:space="preserve">App Frontend</t>
  </si>
  <si>
    <t xml:space="preserve">Auth / Token Storage</t>
  </si>
  <si>
    <t xml:space="preserve">very important</t>
  </si>
  <si>
    <t xml:space="preserve">Current: the access token is persisted in localStorage, where any XSS can read it (Validation F4). Build: relocate the token to an httpOnly + SameSite cookie (or in-memory store with silent refresh) and remove every localStorage token read/write.</t>
  </si>
  <si>
    <t xml:space="preserve">1) No localStorage token access remains in the bundle. 2) Auth survives a page reload via cookie/refresh. 3) Injected script cannot read the token. 4) Existing auth e2e stays green.</t>
  </si>
  <si>
    <t xml:space="preserve">Validation F4 | Vision 10.1</t>
  </si>
  <si>
    <t xml:space="preserve">-</t>
  </si>
  <si>
    <t xml:space="preserve">Security</t>
  </si>
  <si>
    <t xml:space="preserve">Not Started</t>
  </si>
  <si>
    <t xml:space="preserve">PPIQ-N002</t>
  </si>
  <si>
    <t xml:space="preserve">Define &amp; enforce the RBAC permission matrix</t>
  </si>
  <si>
    <t xml:space="preserve">App Backend</t>
  </si>
  <si>
    <t xml:space="preserve">Access Control / RBAC</t>
  </si>
  <si>
    <t xml:space="preserve">critical</t>
  </si>
  <si>
    <t xml:space="preserve">Current: role/tenant primitives exist but no explicit permission matrix is enforced per endpoint/feature. Build: a permission catalog (resource x action), a central policy mapping roles to permissions, and authorization attributes on every endpoint group; deny by default.</t>
  </si>
  <si>
    <t xml:space="preserve">1) A matrix test asserts each role's allowed/denied set on every endpoint group. 2) Default is deny. 3) The matrix is data-driven and documented (feeds N005).</t>
  </si>
  <si>
    <t xml:space="preserve">Vision (User/Role residual) | v3 3.8</t>
  </si>
  <si>
    <t xml:space="preserve">Feature</t>
  </si>
  <si>
    <t xml:space="preserve">PPIQ-N003</t>
  </si>
  <si>
    <t xml:space="preserve">Resolve license x role at the corner cases (single entitlement authority)</t>
  </si>
  <si>
    <t xml:space="preserve">Entitlement Resolution</t>
  </si>
  <si>
    <t xml:space="preserve">Current: LicenseTier primitives are present but the interaction with roles is not centrally resolved or tested. Build: one Entitlement resolver = f(tier, role) -&gt; capability set, read by both API and UI, with corner-case coverage (Enterprise-admin vs Pro-operator, etc.).</t>
  </si>
  <si>
    <t xml:space="preserve">1) A single resolver authority exists. 2) UI hides/disables exactly what the API forbids. 3) Corner-case unit tests pass.</t>
  </si>
  <si>
    <t xml:space="preserve">Vision 4 | v3 3.8</t>
  </si>
  <si>
    <t xml:space="preserve">PPIQ-N004</t>
  </si>
  <si>
    <t xml:space="preserve">Tenant-isolation integration tests across data, ML &amp; assistant paths</t>
  </si>
  <si>
    <t xml:space="preserve">Multi-tenancy</t>
  </si>
  <si>
    <t xml:space="preserve">Current: TenantId scaffolding exists but isolation is not proven by test. Build: integration tests proving a tenant can never read another tenant's dumps, mappings, findings, suggestions or knowledge-base chunks.</t>
  </si>
  <si>
    <t xml:space="preserve">1) Cross-tenant access returns 403/empty at repo, query, ML-result and KB-retrieval layers. 2) Tests run in CI and gate regressions.</t>
  </si>
  <si>
    <t xml:space="preserve">v3 3.8 | Vision 10</t>
  </si>
  <si>
    <t xml:space="preserve">Test</t>
  </si>
  <si>
    <t xml:space="preserve">PPIQ-N005</t>
  </si>
  <si>
    <t xml:space="preserve">Author the 'User, Role &amp; Access + Audit' doctrine section (the lone residual gap)</t>
  </si>
  <si>
    <t xml:space="preserve">Documentation</t>
  </si>
  <si>
    <t xml:space="preserve">Canonical Spec</t>
  </si>
  <si>
    <t xml:space="preserve">Current: Vision v2.0 has no dedicated access-control section - the one heading the original draft left blank. Build: add the section (role catalog, RBAC matrix, license x role interaction, tenant-isolation model, immutable audit-log contract) to the canonical document.</t>
  </si>
  <si>
    <t xml:space="preserve">1) Section added to Vision v2.0 and cross-referenced from v3. 2) It matches the implemented matrix (N002/N003). 3) Reviewed against the Improvement Analysis edit #1.</t>
  </si>
  <si>
    <t xml:space="preserve">Improvement Analysis 7 (edit 1)</t>
  </si>
  <si>
    <t xml:space="preserve">PPIQ-N002,PPIQ-N003,PPIQ-N004</t>
  </si>
  <si>
    <t xml:space="preserve">PPIQ-N006</t>
  </si>
  <si>
    <t xml:space="preserve">Immutable audit-log coverage for every privileged action</t>
  </si>
  <si>
    <t xml:space="preserve">Audit Log</t>
  </si>
  <si>
    <t xml:space="preserve">Current: audit-log immutability exists (script 096) but action coverage is incomplete. Build: append-only, tamper-evident entries for auth, config writes, mapping/materialize, job control, license/role changes and data exports, each with actor/tenant/before-after.</t>
  </si>
  <si>
    <t xml:space="preserve">1) Each privileged action writes exactly one immutable entry. 2) An integration test enumerates the covered actions. 3) Entries are provably read-only.</t>
  </si>
  <si>
    <t xml:space="preserve">Vision 8/10 | v3 3.8</t>
  </si>
  <si>
    <t xml:space="preserve">PPIQ-N007</t>
  </si>
  <si>
    <t xml:space="preserve">Fix the SQL syntax error seen during ordered-script application</t>
  </si>
  <si>
    <t xml:space="preserve">Database</t>
  </si>
  <si>
    <t xml:space="preserve">Migration / Scripts</t>
  </si>
  <si>
    <t xml:space="preserve">Current: a syntax error surfaces while applying the ordered script set; root cause unconfirmed. Build: reproduce on a fresh DB, isolate the offending statement, fix it, and add the apply to the fail-on-error gate.</t>
  </si>
  <si>
    <t xml:space="preserve">1) The full ordered set applies cleanly under ON_ERROR_STOP=1 on a fresh DB and a staging clone, BOM-free. 2) A CI step proves it.</t>
  </si>
  <si>
    <t xml:space="preserve">Validation | Vision 10.3</t>
  </si>
  <si>
    <t xml:space="preserve">Bug</t>
  </si>
  <si>
    <t xml:space="preserve">N-P2 · The Value Model</t>
  </si>
  <si>
    <t xml:space="preserve">PPIQ-N008</t>
  </si>
  <si>
    <t xml:space="preserve">Value/Impact computation engine (finding -&gt; quantified impact)</t>
  </si>
  <si>
    <t xml:space="preserve">Track 1 — Workflow</t>
  </si>
  <si>
    <t xml:space="preserve">Value Model</t>
  </si>
  <si>
    <t xml:space="preserve">Current: no code converts a finding into a monetary/operational figure - the architecture's biggest commercial lever (Validation F1). Build: a deterministic engine that, given a validated finding + tenant cost assumptions, computes a bounded impact (EUR/month from defect-rate delta, yield, downtime) with provenance and an explicit abstain path.</t>
  </si>
  <si>
    <t xml:space="preserve">1) Returns a decomposed impact with every input cited. 2) Returns 'insufficient basis' instead of a guess when assumptions are missing. 3) Unit-tested on known vectors.</t>
  </si>
  <si>
    <t xml:space="preserve">Validation F1 | v3 5</t>
  </si>
  <si>
    <t xml:space="preserve">PPIQ-N009</t>
  </si>
  <si>
    <t xml:space="preserve">Per-tenant cost-assumption configuration (inputs + demo defaults)</t>
  </si>
  <si>
    <t xml:space="preserve">Current: absent (0 code hits). Build: an admin surface + persisted, versioned model for cost inputs (cost/ton, scrap cost, downtime EUR/min, energy EUR/MWh, grade premiums), with realistic demo defaults, consumed by N008.</t>
  </si>
  <si>
    <t xml:space="preserve">1) Assumptions are tenant-scoped, HMI-editable and versioned. 2) They feed the impact engine. 3) The demo tenant ships with realistic defaults.</t>
  </si>
  <si>
    <t xml:space="preserve">v3 5</t>
  </si>
  <si>
    <t xml:space="preserve">PPIQ-N010</t>
  </si>
  <si>
    <t xml:space="preserve">ROI presentation contract (evidence-first, never overstated)</t>
  </si>
  <si>
    <t xml:space="preserve">Current: absent. Build: a presentation contract that renders impact as a ranged, evidence-linked figure with its assumption set and honesty caveats, in the suggestion feed and the assistant; forbidden from asserting a guaranteed saving.</t>
  </si>
  <si>
    <t xml:space="preserve">1) Every impact figure shows inputs + range + drill-through. 2) Honesty-lint rejects 'guaranteed'/'will save'. 3) Snapshot tests cover the rendered contract.</t>
  </si>
  <si>
    <t xml:space="preserve">v3 5 | Vision 3 (honesty)</t>
  </si>
  <si>
    <t xml:space="preserve">PPIQ-N008,PPIQ-N009</t>
  </si>
  <si>
    <t xml:space="preserve">N-P3 · Intelligence Core Completion</t>
  </si>
  <si>
    <t xml:space="preserve">PPIQ-N011</t>
  </si>
  <si>
    <t xml:space="preserve">Add Spearman, mutual information &amp; Lasso to the correlation compute engine</t>
  </si>
  <si>
    <t xml:space="preserve">Correlation Methods</t>
  </si>
  <si>
    <t xml:space="preserve">Current: Pearson, point-biserial and Cramer's V are implemented; Spearman, mutual information and Lasso are not (Validation F2). Build: implement Spearman (monotonic/ordinal), mutual information (non-linear) and Lasso multivariate screening behind the existing compute-engine interface, auto-selected by variable-pair type.</t>
  </si>
  <si>
    <t xml:space="preserve">1) Each method computes correctly on golden vectors. 2) Method is auto-selected per variable-pair type. 3) Results persist with a method tag.</t>
  </si>
  <si>
    <t xml:space="preserve">Vision 3.2.1 | Validation F2</t>
  </si>
  <si>
    <t xml:space="preserve">PPIQ-N012</t>
  </si>
  <si>
    <t xml:space="preserve">Add the missing validity machinery: VIF, bootstrap stability, confounding/stratification</t>
  </si>
  <si>
    <t xml:space="preserve">Statistical Validity</t>
  </si>
  <si>
    <t xml:space="preserve">Current: BH q-values, effect-size-first ranking, power and effective-n-by-heat exist; VIF, bootstrap stability and confounding/stratification checks do not. Build: variance-inflation screening, bootstrap stability flags and confounder stratification over the association results.</t>
  </si>
  <si>
    <t xml:space="preserve">1) Each association carries a stability flag + VIF. 2) Stratified checks surface confounds. 3) Golden-dataset tests confirm spurious associations are demoted.</t>
  </si>
  <si>
    <t xml:space="preserve">Vision 3.2.2 | Validation F2</t>
  </si>
  <si>
    <t xml:space="preserve">PPIQ-N013</t>
  </si>
  <si>
    <t xml:space="preserve">Per-job scheduling, backoff &amp; MlReadiness governance gates</t>
  </si>
  <si>
    <t xml:space="preserve">ML Scheduling</t>
  </si>
  <si>
    <t xml:space="preserve">Current: per-source scheduling exists; ML-job readiness gating and backoff do not. Build: a readiness gate evaluated before each learning run (enough independent heats, freshness) with reschedule-on-not-ready and exponential backoff on failure.</t>
  </si>
  <si>
    <t xml:space="preserve">1) A job refuses to run on insufficient/not-ready data and reschedules. 2) Backoff is observed on repeated failure. 3) Gate decisions are logged and visible in the Jobs Monitor.</t>
  </si>
  <si>
    <t xml:space="preserve">Vision 3.2.2</t>
  </si>
  <si>
    <t xml:space="preserve">PPIQ-N014</t>
  </si>
  <si>
    <t xml:space="preserve">Persist the extended correlation result + wire it into the Jobs Monitor</t>
  </si>
  <si>
    <t xml:space="preserve">Results / Monitoring</t>
  </si>
  <si>
    <t xml:space="preserve">important</t>
  </si>
  <si>
    <t xml:space="preserve">Current: a base correlation result exists; extended fields and monitor integration are incomplete. Build: persist effect size, q-value, effective-n, stability, VIF and method per association, and surface each learning run's outcome/duration in the Jobs Monitor.</t>
  </si>
  <si>
    <t xml:space="preserve">1) Extended columns are populated. 2) The Jobs Monitor shows last run/outcome/duration for every learning job. 3) The query is tested.</t>
  </si>
  <si>
    <t xml:space="preserve">Vision 2.2.6/3.2</t>
  </si>
  <si>
    <t xml:space="preserve">PPIQ-N012,PPIQ-N013</t>
  </si>
  <si>
    <t xml:space="preserve">PPIQ-N015</t>
  </si>
  <si>
    <t xml:space="preserve">Golden-dataset test suite for the learning engine</t>
  </si>
  <si>
    <t xml:space="preserve">Backend Tests</t>
  </si>
  <si>
    <t xml:space="preserve">ML Tests</t>
  </si>
  <si>
    <t xml:space="preserve">Current: engine tests are partial. Build: fixture datasets with known injected associations (and known nulls) that assert recovery of true signals and rejection of spurious ones under FDR.</t>
  </si>
  <si>
    <t xml:space="preserve">1) True associations are recovered with the correct method/effect. 2) Injected spurious signals are rejected. 3) The suite runs in CI and gates regressions.</t>
  </si>
  <si>
    <t xml:space="preserve">Vision 8 (results &amp; math)</t>
  </si>
  <si>
    <t xml:space="preserve">PPIQ-N011,PPIQ-N012</t>
  </si>
  <si>
    <t xml:space="preserve">N-P4 · Risk Scorer Hardening</t>
  </si>
  <si>
    <t xml:space="preserve">PPIQ-N016</t>
  </si>
  <si>
    <t xml:space="preserve">Risk-score calibration &amp; reliability check</t>
  </si>
  <si>
    <t xml:space="preserve">Risk Scorer</t>
  </si>
  <si>
    <t xml:space="preserve">Current: the additive, decomposable scorer exists; calibration/reliability is absent (0 hits). Build: reliability-curve / Brier calibration on held-out data, surfaced alongside the score.</t>
  </si>
  <si>
    <t xml:space="preserve">1) Calibration is computed and stored. 2) A miscalibrated model is flagged. 3) Tested on a synthetic labelled set.</t>
  </si>
  <si>
    <t xml:space="preserve">Vision 3.4</t>
  </si>
  <si>
    <t xml:space="preserve">PPIQ-N017</t>
  </si>
  <si>
    <t xml:space="preserve">Complete the model registry: provenance &amp; reproducibility</t>
  </si>
  <si>
    <t xml:space="preserve">Model Registry</t>
  </si>
  <si>
    <t xml:space="preserve">Current: registry scaffolding exists; provenance/repro linkage is incomplete. Build: link every persisted score to its inputs, feature snapshot and model version so a run is reproducible from the registry.</t>
  </si>
  <si>
    <t xml:space="preserve">1) The score-&gt;inputs-&gt;version chain is queryable. 2) Re-running a registered version reproduces the score. 3) Integration-tested.</t>
  </si>
  <si>
    <t xml:space="preserve">PPIQ-N018</t>
  </si>
  <si>
    <t xml:space="preserve">Drift monitoring &amp; champion/challenger promotion</t>
  </si>
  <si>
    <t xml:space="preserve">Model Lifecycle</t>
  </si>
  <si>
    <t xml:space="preserve">Current: absent (0 hits). Build: population-stability drift monitoring on features/outcomes and a champion/challenger promotion workflow gated on calibration + drift.</t>
  </si>
  <si>
    <t xml:space="preserve">1) Drift is surfaced with a metric + threshold. 2) A challenger promotes only when it beats champion on calibration/stability. 3) Promotion is audited.</t>
  </si>
  <si>
    <t xml:space="preserve">PPIQ-N016,PPIQ-N017</t>
  </si>
  <si>
    <t xml:space="preserve">N-P5 · Inspection -&gt; Generated Pages</t>
  </si>
  <si>
    <t xml:space="preserve">PPIQ-N019</t>
  </si>
  <si>
    <t xml:space="preserve">Inspection Job runner - on-demand analysis with progress</t>
  </si>
  <si>
    <t xml:space="preserve">Inspection Jobs</t>
  </si>
  <si>
    <t xml:space="preserve">Current: the inspection-job domain/endpoints are partial; the on-demand runner with progress is absent. Build: a runner that executes a selected defect/downtime/KPI investigation over a window, emitting a progress percentage.</t>
  </si>
  <si>
    <t xml:space="preserve">1) A run streams progress and cancels cleanly. 2) It never hangs (global timeout). 3) It produces a structured result object.</t>
  </si>
  <si>
    <t xml:space="preserve">Vision 3.3</t>
  </si>
  <si>
    <t xml:space="preserve">PPIQ-N020</t>
  </si>
  <si>
    <t xml:space="preserve">Auto-generate the analysis page from an inspection result (no hardcoding)</t>
  </si>
  <si>
    <t xml:space="preserve">Generated Pages</t>
  </si>
  <si>
    <t xml:space="preserve">Current: absent. Build: from a run result, generate a page of widgets/charts showing the most influential parameters, persisted as a normal Page Definition.</t>
  </si>
  <si>
    <t xml:space="preserve">1) The page is data-driven (no hardcoded layout). 2) It opens in the Correlation area as its own tab. 3) It is editable/savable like any page.</t>
  </si>
  <si>
    <t xml:space="preserve">PPIQ-N021</t>
  </si>
  <si>
    <t xml:space="preserve">Schedule inspection jobs periodically + Jobs Monitor integration</t>
  </si>
  <si>
    <t xml:space="preserve">Current: absent. Build: let a saved inspection job run on a cadence or on demand, with status/duration reported in the Jobs Monitor.</t>
  </si>
  <si>
    <t xml:space="preserve">1) Scheduled re-runs appear in the monitor. 2) 'Run now' works on demand. 3) Failures are visible and recoverable.</t>
  </si>
  <si>
    <t xml:space="preserve">PPIQ-N022</t>
  </si>
  <si>
    <t xml:space="preserve">E2E for the run -&gt; generate -&gt; save -&gt; schedule loop</t>
  </si>
  <si>
    <t xml:space="preserve">Frontend Tests</t>
  </si>
  <si>
    <t xml:space="preserve">Inspection Tests</t>
  </si>
  <si>
    <t xml:space="preserve">Current: absent. Build: an e2e that drives the full inspection lifecycle through the HMI.</t>
  </si>
  <si>
    <t xml:space="preserve">1) The loop passes headless. 2) The generated page renders all widgets. 3) No 'could not be loaded' appears anywhere in the flow.</t>
  </si>
  <si>
    <t xml:space="preserve">Vision 8</t>
  </si>
  <si>
    <t xml:space="preserve">PPIQ-N020,PPIQ-N021</t>
  </si>
  <si>
    <t xml:space="preserve">N-P6 · The AI Assistant</t>
  </si>
  <si>
    <t xml:space="preserve">PPIQ-N023</t>
  </si>
  <si>
    <t xml:space="preserve">Suggestion engine - rule-based, evidence-linked, impact-ranked</t>
  </si>
  <si>
    <t xml:space="preserve">Suggestions</t>
  </si>
  <si>
    <t xml:space="preserve">Current: prerequisites exist but the engine is absent. Build: a deterministic engine that turns validated findings (+ N008 impact) into ranked, evidence-linked recommendations, gated by tier.</t>
  </si>
  <si>
    <t xml:space="preserve">1) Each suggestion links to its evidence + impact. 2) Ranking is by effect/impact, not p-value. 3) Nothing is emitted without a backing finding.</t>
  </si>
  <si>
    <t xml:space="preserve">Vision 3.5.1</t>
  </si>
  <si>
    <t xml:space="preserve">PPIQ-N008,PPIQ-N012</t>
  </si>
  <si>
    <t xml:space="preserve">PPIQ-N024</t>
  </si>
  <si>
    <t xml:space="preserve">/api/suggestions endpoint + context filtering + license gating</t>
  </si>
  <si>
    <t xml:space="preserve">Current: absent. Build: a read endpoint with area/defect/time filters, tenant-scoped and tier-gated.</t>
  </si>
  <si>
    <t xml:space="preserve">1) Filters work. 2) Tenants are isolated. 3) Tier gating is enforced and contract-tested.</t>
  </si>
  <si>
    <t xml:space="preserve">PPIQ-N023,PPIQ-N003</t>
  </si>
  <si>
    <t xml:space="preserve">PPIQ-N025</t>
  </si>
  <si>
    <t xml:space="preserve">Suggestions &amp; Recommendations page - the proactive feed</t>
  </si>
  <si>
    <t xml:space="preserve">Current: absent. Build: a feed UI with drill-through to evidence and the ROI presentation contract.</t>
  </si>
  <si>
    <t xml:space="preserve">1) The feed renders ranked items with citations. 2) Drill-through opens the evidence. 3) Loading/empty/error states are real and recoverable.</t>
  </si>
  <si>
    <t xml:space="preserve">PPIQ-N024,PPIQ-N010</t>
  </si>
  <si>
    <t xml:space="preserve">PPIQ-N026</t>
  </si>
  <si>
    <t xml:space="preserve">Complete the knowledge-base ingestion pipeline (findings, cases, docs)</t>
  </si>
  <si>
    <t xml:space="preserve">Assistant / KB</t>
  </si>
  <si>
    <t xml:space="preserve">Current: pgvector + embedding provider exist; the ingestion pipeline is incomplete. Build: ingest findings, saved cases and domain docs into the vector + structured store with provenance, tenant-scoped.</t>
  </si>
  <si>
    <t xml:space="preserve">1) Ingestion is idempotent and tenant-scoped. 2) Chunks carry source provenance. 3) Re-ingest updates cleanly.</t>
  </si>
  <si>
    <t xml:space="preserve">Vision 3.5.2</t>
  </si>
  <si>
    <t xml:space="preserve">PPIQ-N027</t>
  </si>
  <si>
    <t xml:space="preserve">Complete the hybrid retrieval pipeline (semantic + structured filters)</t>
  </si>
  <si>
    <t xml:space="preserve">Assistant / Retrieval</t>
  </si>
  <si>
    <t xml:space="preserve">Current: partial. Build: combine semantic search with structured filters (area/defect/time) to select evidence for the agent.</t>
  </si>
  <si>
    <t xml:space="preserve">1) Retrieval respects tenant + filters. 2) Relevance is validated on a fixture set. 3) Latency is bounded.</t>
  </si>
  <si>
    <t xml:space="preserve">PPIQ-N028</t>
  </si>
  <si>
    <t xml:space="preserve">Agent + typed-tool layer (findings, inspection, KPI, genealogy, compare)</t>
  </si>
  <si>
    <t xml:space="preserve">Assistant / Agent</t>
  </si>
  <si>
    <t xml:space="preserve">Current: absent. Build: an agent that calls typed tools and phrases their structured results; it never computes or invents numbers.</t>
  </si>
  <si>
    <t xml:space="preserve">1) Every figure in an answer traces to a tool result. 2) Tool calls are typed and audited. 3) No free-form math is performed by the model.</t>
  </si>
  <si>
    <t xml:space="preserve">PPIQ-N029</t>
  </si>
  <si>
    <t xml:space="preserve">Conversational assistant UI with citations + drill-through</t>
  </si>
  <si>
    <t xml:space="preserve">Assistant / UI</t>
  </si>
  <si>
    <t xml:space="preserve">Current: absent. Build: a chat UI rendering answers with inline citations and drill-through to evidence.</t>
  </si>
  <si>
    <t xml:space="preserve">1) Citations resolve to sources. 2) Drill-through works. 3) Loading/error states are real; no fabricated figure passes the grounding guard.</t>
  </si>
  <si>
    <t xml:space="preserve">PPIQ-N030</t>
  </si>
  <si>
    <t xml:space="preserve">Operator feedback loop (useful / acted / dismissed + outcomes)</t>
  </si>
  <si>
    <t xml:space="preserve">Assistant / Feedback</t>
  </si>
  <si>
    <t xml:space="preserve">normal</t>
  </si>
  <si>
    <t xml:space="preserve">Current: absent. Build: capture operator feedback on suggestions/answers and feed it back into the knowledge base as 'experience'.</t>
  </si>
  <si>
    <t xml:space="preserve">1) Feedback is persisted with its outcome. 2) The KB experience updates. 3) It is tenant-scoped and tested.</t>
  </si>
  <si>
    <t xml:space="preserve">PPIQ-N026,PPIQ-N029</t>
  </si>
  <si>
    <t xml:space="preserve">PPIQ-N031</t>
  </si>
  <si>
    <t xml:space="preserve">Assistant grounding &amp; honesty-guardrail tests</t>
  </si>
  <si>
    <t xml:space="preserve">Assistant Tests</t>
  </si>
  <si>
    <t xml:space="preserve">Current: absent. Build: tests that the agent never emits a number absent from a tool result/evidence and never uses forbidden vocabulary.</t>
  </si>
  <si>
    <t xml:space="preserve">1) Grounding tests fail on any invented figure. 2) Forbidden-phrase assertions pass. 3) The group runs in CI.</t>
  </si>
  <si>
    <t xml:space="preserve">Vision 3 (honesty)/8</t>
  </si>
  <si>
    <t xml:space="preserve">N-P7 · Workflow &amp; HMI Completion</t>
  </si>
  <si>
    <t xml:space="preserve">PPIQ-N032</t>
  </si>
  <si>
    <t xml:space="preserve">Schema-drift detection &amp; surfacing on ingestion</t>
  </si>
  <si>
    <t xml:space="preserve">Ingestion</t>
  </si>
  <si>
    <t xml:space="preserve">Current: delta import exists; source schema-drift detection is absent. Build: detect when a source table's shape changes and surface it (rather than silently corrupting the dump) via a typed drift event.</t>
  </si>
  <si>
    <t xml:space="preserve">1) A changed source column/type raises a visible drift warning. 2) The import pauses/quarantines rather than corrupting. 3) Tested with a mutated fixture.</t>
  </si>
  <si>
    <t xml:space="preserve">Vision 2.2.3/2.2.4</t>
  </si>
  <si>
    <t xml:space="preserve">PPIQ-N033</t>
  </si>
  <si>
    <t xml:space="preserve">Typed resolver errors for the mapping layer</t>
  </si>
  <si>
    <t xml:space="preserve">Schema Mapping</t>
  </si>
  <si>
    <t xml:space="preserve">Current: SafeSqlValidator + a base resolver exist; the full typed-error set is incomplete. Build: distinct named resolution errors (NoSuchView, NoSuchColumn, InvalidAggregateForType) surfaced to the HMI at preview and materialize.</t>
  </si>
  <si>
    <t xml:space="preserve">1) Each misconfiguration returns its specific typed error, not a generic failure. 2) The UI shows the precise cause. 3) Unit-tested.</t>
  </si>
  <si>
    <t xml:space="preserve">Vision 2.2.4</t>
  </si>
  <si>
    <t xml:space="preserve">PPIQ-N034</t>
  </si>
  <si>
    <t xml:space="preserve">Canonical genealogy spine as a mapping-authored view (not hardcoded SQL)</t>
  </si>
  <si>
    <t xml:space="preserve">Genealogy</t>
  </si>
  <si>
    <t xml:space="preserve">Current: a join spine exists partially. Build: derive the heat-&gt;ladle-&gt;tundish-&gt;mould-&gt;strand-&gt;slab-&gt;coil-&gt;defect-&gt;QA spine through the mapping engine so any coil walks back to melt and forward to defects.</t>
  </si>
  <si>
    <t xml:space="preserve">1) The spine is generated from mappings (no hardcoded SQL). 2) A sample coil resolves both directions. 3) It is consumed by the feature store + assistant and tested.</t>
  </si>
  <si>
    <t xml:space="preserve">Vision 2.2.5</t>
  </si>
  <si>
    <t xml:space="preserve">PPIQ-N035</t>
  </si>
  <si>
    <t xml:space="preserve">Build the Risk-Intelligence HeatMap widget (line x shift x day)</t>
  </si>
  <si>
    <t xml:space="preserve">Widgets</t>
  </si>
  <si>
    <t xml:space="preserve">Current: the widget is not built (references only). Build: an interactive heat map (filter/sort) as a first-class, tested widget - a signature visual and a frequent failure point.</t>
  </si>
  <si>
    <t xml:space="preserve">1) It renders correctly across viewports. 2) Filter/sort work. 3) A dedicated heat-map test passes; it never shows a fake-failure state.</t>
  </si>
  <si>
    <t xml:space="preserve">Vision 5.4</t>
  </si>
  <si>
    <t xml:space="preserve">PPIQ-N036</t>
  </si>
  <si>
    <t xml:space="preserve">Widget script-grammar reference for power users</t>
  </si>
  <si>
    <t xml:space="preserve">Widget Script Layer</t>
  </si>
  <si>
    <t xml:space="preserve">Current: the script layer exists; a documented grammar is incomplete. Build: a reference for the per-widget expression grammar (e.g., group-by shift) with examples and validation rules.</t>
  </si>
  <si>
    <t xml:space="preserve">1) The grammar is documented with examples. 2) Each example validates under the safe-SQL checker. 3) It is linked from the widget editor.</t>
  </si>
  <si>
    <t xml:space="preserve">Vision 2.3.2</t>
  </si>
  <si>
    <t xml:space="preserve">PPIQ-N037</t>
  </si>
  <si>
    <t xml:space="preserve">Operator-friendly first-run wizard (empty-state -&gt; first link -&gt; first page)</t>
  </si>
  <si>
    <t xml:space="preserve">Onboarding</t>
  </si>
  <si>
    <t xml:space="preserve">Current: absent. Build: a guided empty-state flow taking a new tenant from zero to a first DB link, first mapping and first page.</t>
  </si>
  <si>
    <t xml:space="preserve">1) A fresh tenant reaches a working page via the wizard with no manual config. 2) Each step is skippable/resumable. 3) Tested.</t>
  </si>
  <si>
    <t xml:space="preserve">Vision 1</t>
  </si>
  <si>
    <t xml:space="preserve">N-P8 · Presentation-Grade Hardening (Quality Bar)</t>
  </si>
  <si>
    <t xml:space="preserve">PPIQ-N038</t>
  </si>
  <si>
    <t xml:space="preserve">Endpoint + SQL resilience audit (PK/FK/null/timeout) across every group</t>
  </si>
  <si>
    <t xml:space="preserve">Resilience</t>
  </si>
  <si>
    <t xml:space="preserve">Current: partial. Build: review every endpoint's SQL/joins for PK/FK/null/timeout failure and close each path; add a global timeout so nothing hangs.</t>
  </si>
  <si>
    <t xml:space="preserve">1) No endpoint can hang. 2) PK/FK/null paths return typed bounded errors. 3) An enumerated audit checklist passes.</t>
  </si>
  <si>
    <t xml:space="preserve">Vision 2.2/5.2</t>
  </si>
  <si>
    <t xml:space="preserve">Hardening</t>
  </si>
  <si>
    <t xml:space="preserve">PPIQ-N039</t>
  </si>
  <si>
    <t xml:space="preserve">Progress-percentage UI for long-running endpoints</t>
  </si>
  <si>
    <t xml:space="preserve">Current: partial. Build: surface a real progress percentage for anything that can exceed ~2s, backed by a global timeout.</t>
  </si>
  <si>
    <t xml:space="preserve">1) Long operations show progress, not a spinner-forever. 2) A global timeout prevents indefinite hangs. 3) Tested on a slow fixture.</t>
  </si>
  <si>
    <t xml:space="preserve">Vision 5.2</t>
  </si>
  <si>
    <t xml:space="preserve">PPIQ-N040</t>
  </si>
  <si>
    <t xml:space="preserve">Action-matrix e2e - every control on every page does its exact job</t>
  </si>
  <si>
    <t xml:space="preserve">Action Matrix</t>
  </si>
  <si>
    <t xml:space="preserve">Current: partial. Build: enumerate every button/tab/hook on every page and sub-page and assert its action by test, including ML and page-builder surfaces.</t>
  </si>
  <si>
    <t xml:space="preserve">1) The action matrix is enumerated and fully green. 2) Coverage is proven by enumeration, not a percentage. 3) Runs in CI.</t>
  </si>
  <si>
    <t xml:space="preserve">Vision 5.3</t>
  </si>
  <si>
    <t xml:space="preserve">PPIQ-N041</t>
  </si>
  <si>
    <t xml:space="preserve">Complete the Standard* component contract tests</t>
  </si>
  <si>
    <t xml:space="preserve">Standard Components</t>
  </si>
  <si>
    <t xml:space="preserve">Current: partial. Build: assert every page uses the standard component set and brand styling (no per-page drift) via lint + contract tests.</t>
  </si>
  <si>
    <t xml:space="preserve">1) A non-standard control fails the contract test. 2) Styling drift is caught. 3) Runs in CI.</t>
  </si>
  <si>
    <t xml:space="preserve">Vision 5.1</t>
  </si>
  <si>
    <t xml:space="preserve">PPIQ-N042</t>
  </si>
  <si>
    <t xml:space="preserve">Responsive + cross-browser + http/https correctness e2e</t>
  </si>
  <si>
    <t xml:space="preserve">Cross-browser</t>
  </si>
  <si>
    <t xml:space="preserve">Current: partial. Build: e2e across viewports and supported browsers, over http and https, asserting correct reflow.</t>
  </si>
  <si>
    <t xml:space="preserve">1) Pages render correctly on each target viewport/browser and both schemes. 2) The matrix is enumerated and green.</t>
  </si>
  <si>
    <t xml:space="preserve">PPIQ-N043</t>
  </si>
  <si>
    <t xml:space="preserve">Live license-tier toggle + app-wide banner + header badge</t>
  </si>
  <si>
    <t xml:space="preserve">Licensing UX</t>
  </si>
  <si>
    <t xml:space="preserve">Current: tier primitives exist; the live demo toggle/banner/badge are incomplete. Build: a real (non-mocked) toggle that visibly adds/removes capability, an app-wide active-tier banner and a header tier badge in brand colours.</t>
  </si>
  <si>
    <t xml:space="preserve">1) Switching Enterprise-&gt;Pro removes specific features live. 2) Banner + badge reflect the active tier. 3) Resolution is centralized (N003) and corner-tested.</t>
  </si>
  <si>
    <t xml:space="preserve">Vision 4</t>
  </si>
  <si>
    <t xml:space="preserve">PPIQ-N044</t>
  </si>
  <si>
    <t xml:space="preserve">Performance &amp; load test layer with explicit thresholds</t>
  </si>
  <si>
    <t xml:space="preserve">Performance</t>
  </si>
  <si>
    <t xml:space="preserve">Current: absent. Build: perf tests with thresholds (e.g., p95 &lt; 2s; &gt;2s must show progress) on the heavy endpoints, including the heat map and investigation paths.</t>
  </si>
  <si>
    <t xml:space="preserve">1) Thresholds are defined and asserted. 2) A regression past threshold fails CI. 3) The heat map and investigation endpoints are covered.</t>
  </si>
  <si>
    <t xml:space="preserve">Vision 8 (endpoints)</t>
  </si>
  <si>
    <t xml:space="preserve">PPIQ-N045</t>
  </si>
  <si>
    <t xml:space="preserve">Connector behavioural integration tests across all six sources (+ CSV/Excel golden files)</t>
  </si>
  <si>
    <t xml:space="preserve">Connectors</t>
  </si>
  <si>
    <t xml:space="preserve">Current: partial. Build: integration tests that each connector reads, tests-before-save and masks credentials, against live PG/MySQL/MSSQL/Oracle plus CSV/Excel golden files.</t>
  </si>
  <si>
    <t xml:space="preserve">1) All six connectors pass behaviourally. 2) Credentials never appear in read-back. 3) Golden files match.</t>
  </si>
  <si>
    <t xml:space="preserve">Vision 2.2.1/8</t>
  </si>
  <si>
    <t xml:space="preserve">PPIQ-N046</t>
  </si>
  <si>
    <t xml:space="preserve">Endpoint authorization matrix &amp; RFC-7807 contract tests for every group</t>
  </si>
  <si>
    <t xml:space="preserve">Authz / Contracts</t>
  </si>
  <si>
    <t xml:space="preserve">Current: partial. Build: a 3-identity (and tier) authorization matrix plus RFC-7807 contract tests on every endpoint group.</t>
  </si>
  <si>
    <t xml:space="preserve">1) Each group asserts 200/401/403 by identity + tier. 2) Error bodies are RFC-7807. 3) The matrix is complete.</t>
  </si>
  <si>
    <t xml:space="preserve">PPIQ-N002,PPIQ-N003</t>
  </si>
  <si>
    <t xml:space="preserve">PPIQ-N047</t>
  </si>
  <si>
    <t xml:space="preserve">Delta-import resumability tests (crash mid-batch -&gt; resume, zero duplicates)</t>
  </si>
  <si>
    <t xml:space="preserve">Ingestion Tests</t>
  </si>
  <si>
    <t xml:space="preserve">Current: partial. Build: integration tests that a crash mid-batch resumes from the last committed cursor with no duplicates, and that drift is surfaced.</t>
  </si>
  <si>
    <t xml:space="preserve">1) A simulated crash resumes cleanly. 2) Zero duplicate rows result. 3) A drift fixture raises a warning.</t>
  </si>
  <si>
    <t xml:space="preserve">Vision 2.2.3/8</t>
  </si>
  <si>
    <t xml:space="preserve">PPIQ-N048</t>
  </si>
  <si>
    <t xml:space="preserve">First-class ML/AI honesty-contract test group</t>
  </si>
  <si>
    <t xml:space="preserve">Honesty Contract</t>
  </si>
  <si>
    <t xml:space="preserve">Current: partial. Build: a dedicated test group asserting forbidden vocabulary is rejected at the API boundary and in narratives, and that findings recover under FDR.</t>
  </si>
  <si>
    <t xml:space="preserve">1) Forbidden phrases fail the group. 2) FDR recovery is asserted. 3) The group is named and gated in CI.</t>
  </si>
  <si>
    <t xml:space="preserve">Vision 3/8</t>
  </si>
  <si>
    <t xml:space="preserve">PPIQ-N049</t>
  </si>
  <si>
    <t xml:space="preserve">Remove the four orphaned components (single canonical implementation)</t>
  </si>
  <si>
    <t xml:space="preserve">Dead Code</t>
  </si>
  <si>
    <t xml:space="preserve">Current: AdminDbConfigurationTab, AdminSchemaConfigurationTab, AdminImportingDataTab and WidgetBuilderWizardContent are defined but never imported, diverging from the live Phase78 implementations (Validation F3). Build: delete the dead copies (or wire them in and delete the duplicates) so one canonical implementation remains.</t>
  </si>
  <si>
    <t xml:space="preserve">1) No orphaned/duplicate component remains. 2) Each admin surface has a single dependency path. 3) Build + tests stay green.</t>
  </si>
  <si>
    <t xml:space="preserve">Validation F3</t>
  </si>
  <si>
    <t xml:space="preserve">Refactor</t>
  </si>
  <si>
    <t xml:space="preserve">PPIQ-N050</t>
  </si>
  <si>
    <t xml:space="preserve">Archive synthetic seeds out of the production boot path</t>
  </si>
  <si>
    <t xml:space="preserve">Infrastructure</t>
  </si>
  <si>
    <t xml:space="preserve">Boot Safety</t>
  </si>
  <si>
    <t xml:space="preserve">Current: partial. Build: ensure no synthetic/demo seed runs on a production boot; seeds live behind an explicit demo profile.</t>
  </si>
  <si>
    <t xml:space="preserve">1) A production boot seeds nothing synthetic. 2) The demo profile still seeds fully. 3) A startup assertion proves it.</t>
  </si>
  <si>
    <t xml:space="preserve">Vision 10</t>
  </si>
  <si>
    <t xml:space="preserve">N-P9 · Demo Build &amp; Doctrine</t>
  </si>
  <si>
    <t xml:space="preserve">PPIQ-N051</t>
  </si>
  <si>
    <t xml:space="preserve">Split the coherent dataset across the eight source systems</t>
  </si>
  <si>
    <t xml:space="preserve">Track 3 — Demo</t>
  </si>
  <si>
    <t xml:space="preserve">Demo Data</t>
  </si>
  <si>
    <t xml:space="preserve">Current: partial. Build: distribute the one-month coherent dataset into PG MeltShop, Oracle Caster, Oracle HSM, MSSQL PKL, Excel Yard, MySQL Downtime, MySQL Parsytec and Excel QA with consistent keys.</t>
  </si>
  <si>
    <t xml:space="preserve">1) The same genealogy resolves across all eight sources. 2) Row counts match the scale target. 3) Loads are reproducible.</t>
  </si>
  <si>
    <t xml:space="preserve">Vision 6.3</t>
  </si>
  <si>
    <t xml:space="preserve">PPIQ-N052</t>
  </si>
  <si>
    <t xml:space="preserve">Seed the canonical flat-steel plant layout (13 areas)</t>
  </si>
  <si>
    <t xml:space="preserve">Demo Plant</t>
  </si>
  <si>
    <t xml:space="preserve">Current: partial. Build: seed the 13-area line (EAF/LF/Caster/TF/HSM/SKP/LCT/HCT/STL/PKL/GVL/Yards/Roll Shop) as configured data.</t>
  </si>
  <si>
    <t xml:space="preserve">1) The layout is present as data, not hardcoded. 2) Genealogy derives from it. 3) It matches 6.2.</t>
  </si>
  <si>
    <t xml:space="preserve">Vision 6.2</t>
  </si>
  <si>
    <t xml:space="preserve">PPIQ-N053</t>
  </si>
  <si>
    <t xml:space="preserve">Generate the demo dataset at realistic scale (~630 heats / ~5,600 coils / &gt;100k rows)</t>
  </si>
  <si>
    <t xml:space="preserve">Current: dataset incomplete at scale. Build: a deep, realistic month of chemistry/thermal/casting/rolling/inspection/lab data at the stated scale.</t>
  </si>
  <si>
    <t xml:space="preserve">1) Counts hit ~630 heats and ~5,600 coils with &gt;100k detail rows. 2) Distributions look plausible. 3) Regenerable from a script.</t>
  </si>
  <si>
    <t xml:space="preserve">Vision 6.1</t>
  </si>
  <si>
    <t xml:space="preserve">PPIQ-N051,PPIQ-N052</t>
  </si>
  <si>
    <t xml:space="preserve">PPIQ-N054</t>
  </si>
  <si>
    <t xml:space="preserve">Demo-source one-click connection presets</t>
  </si>
  <si>
    <t xml:space="preserve">Demo Config</t>
  </si>
  <si>
    <t xml:space="preserve">Current: absent. Build: prepared connection presets so each demo DB link is one click during the live demo, while still exercising the real connector path.</t>
  </si>
  <si>
    <t xml:space="preserve">1) Each of the eight links connects in one click. 2) Nothing is hardcoded around the connector. 3) Presets are demo-profile only.</t>
  </si>
  <si>
    <t xml:space="preserve">Vision 6</t>
  </si>
  <si>
    <t xml:space="preserve">PPIQ-N055</t>
  </si>
  <si>
    <t xml:space="preserve">Live end-to-end configuration demo proof (no hardcoding)</t>
  </si>
  <si>
    <t xml:space="preserve">Demo Doctrine</t>
  </si>
  <si>
    <t xml:space="preserve">Current: absent. Build: a scripted proof that every DB link, job, mapping, KPI, page and widget is created live from the HMI on the prepared data.</t>
  </si>
  <si>
    <t xml:space="preserve">1) A dry run builds the full demo from empty via the HMI only. 2) No hardcoded page/widget is used. 3) It is captured as evidence.</t>
  </si>
  <si>
    <t xml:space="preserve">Vision 6 (golden rule)</t>
  </si>
  <si>
    <t xml:space="preserve">PPIQ-N056</t>
  </si>
  <si>
    <t xml:space="preserve">Demo persona accounts (Operator, QA Lead, Plant Manager, Admin) with scoped views</t>
  </si>
  <si>
    <t xml:space="preserve">Personas</t>
  </si>
  <si>
    <t xml:space="preserve">Current: partial; depends on RBAC. Build: seed the four personas with role-scoped access.</t>
  </si>
  <si>
    <t xml:space="preserve">1) Each persona logs in and sees exactly its scoped surface. 2) Scoping is enforced by the RBAC matrix (N002). 3) Tested.</t>
  </si>
  <si>
    <t xml:space="preserve">Vision 6.4</t>
  </si>
  <si>
    <t xml:space="preserve">PPIQ-N057</t>
  </si>
  <si>
    <t xml:space="preserve">25-step technical demo script with verification points</t>
  </si>
  <si>
    <t xml:space="preserve">Demo Scripts</t>
  </si>
  <si>
    <t xml:space="preserve">Current: absent. Build: a step-by-step technical walkthrough with a verification checkpoint at each step, covering link-&gt;mapping-&gt;page-&gt;ML-&gt;assistant.</t>
  </si>
  <si>
    <t xml:space="preserve">1) 25 steps with expected results. 2) Each is verifiable live. 3) The full intelligence path is covered.</t>
  </si>
  <si>
    <t xml:space="preserve">PPIQ-N058</t>
  </si>
  <si>
    <t xml:space="preserve">5-minute executive demo script with talk track</t>
  </si>
  <si>
    <t xml:space="preserve">Current: absent. Build: a tight executive narrative hitting the three 'sensations'.</t>
  </si>
  <si>
    <t xml:space="preserve">1) A 5-minute path with talk track. 2) It lands the value story. 3) Rehearsed against the dry run.</t>
  </si>
  <si>
    <t xml:space="preserve">Vision 1/6.4</t>
  </si>
  <si>
    <t xml:space="preserve">PPIQ-N059</t>
  </si>
  <si>
    <t xml:space="preserve">Recovery lines for known fail-points</t>
  </si>
  <si>
    <t xml:space="preserve">Current: absent. Build: pre-written, composed recovery lines for each known demo risk, mapped to the script steps.</t>
  </si>
  <si>
    <t xml:space="preserve">1) Every identified fail-point has a recovery line. 2) Lines map to the script steps.</t>
  </si>
  <si>
    <t xml:space="preserve">PPIQ-N060</t>
  </si>
  <si>
    <t xml:space="preserve">Record the dry-run video + capture website screenshots</t>
  </si>
  <si>
    <t xml:space="preserve">Demo Evidence</t>
  </si>
  <si>
    <t xml:space="preserve">Current: absent. Build: a recorded clean dry run and evidence screenshots feeding the website track.</t>
  </si>
  <si>
    <t xml:space="preserve">1) A full dry run is recorded. 2) Screenshots are captured at evidence quality. 3) Assets are handed to the website track.</t>
  </si>
  <si>
    <t xml:space="preserve">N-P10 · Website (Pillar V)</t>
  </si>
  <si>
    <t xml:space="preserve">PPIQ-N061</t>
  </si>
  <si>
    <t xml:space="preserve">Produce the logo asset set per the brand brief</t>
  </si>
  <si>
    <t xml:space="preserve">Track 4 — Website</t>
  </si>
  <si>
    <t xml:space="preserve">Web</t>
  </si>
  <si>
    <t xml:space="preserve">Brand Assets</t>
  </si>
  <si>
    <t xml:space="preserve">Current: partial. Build: the connected-node mark in full/icon/stacked variants and full-colour/dark/light/mono, per the brief.</t>
  </si>
  <si>
    <t xml:space="preserve">1) All variants delivered to spec (Electric Cyan on Deep Navy; no steel-only imagery). 2) A favicon is included.</t>
  </si>
  <si>
    <t xml:space="preserve">Vision 7.1</t>
  </si>
  <si>
    <t xml:space="preserve">Design</t>
  </si>
  <si>
    <t xml:space="preserve">PPIQ-N062</t>
  </si>
  <si>
    <t xml:space="preserve">PlantProcess IQ product page - feature the AI assistant &amp; honest-intelligence story</t>
  </si>
  <si>
    <t xml:space="preserve">Product Pages</t>
  </si>
  <si>
    <t xml:space="preserve">Current: partial. Build: the flagship page with interactive graphics, the honesty story and license detail, obeying the golden rule.</t>
  </si>
  <si>
    <t xml:space="preserve">1) On-brand, advanced UX. 2) Honesty language enforced. 3) CTA wired (N066).</t>
  </si>
  <si>
    <t xml:space="preserve">Vision 7.2</t>
  </si>
  <si>
    <t xml:space="preserve">PPIQ-N063</t>
  </si>
  <si>
    <t xml:space="preserve">MES product page (full)</t>
  </si>
  <si>
    <t xml:space="preserve">Current: absent. Build: the full MES page - description, benefit, graphics, license, CTA.</t>
  </si>
  <si>
    <t xml:space="preserve">1) Complete, on-brand. 2) Golden-rule compliant.</t>
  </si>
  <si>
    <t xml:space="preserve">PPIQ-N064</t>
  </si>
  <si>
    <t xml:space="preserve">QES product page (full)</t>
  </si>
  <si>
    <t xml:space="preserve">Current: absent. Build: the full QES page - description, benefit, graphics, license, CTA.</t>
  </si>
  <si>
    <t xml:space="preserve">PPIQ-N065</t>
  </si>
  <si>
    <t xml:space="preserve">Yard &amp; Warehouse + Energy Management product pages (full)</t>
  </si>
  <si>
    <t xml:space="preserve">Current: absent. Build: full pages for both remaining products.</t>
  </si>
  <si>
    <t xml:space="preserve">1) Both complete and on-brand. 2) Golden-rule compliant.</t>
  </si>
  <si>
    <t xml:space="preserve">PPIQ-N066</t>
  </si>
  <si>
    <t xml:space="preserve">Pricing + CTA wired to lead capture &amp; the demo lifecycle</t>
  </si>
  <si>
    <t xml:space="preserve">Conversion</t>
  </si>
  <si>
    <t xml:space="preserve">Current: partial. Build: pricing/CTA connected to lead capture and the demo/inquiry flow.</t>
  </si>
  <si>
    <t xml:space="preserve">1) A visitor can request an inquiry. 2) Leads are captured. 3) CTA reflects the tiers.</t>
  </si>
  <si>
    <t xml:space="preserve">Vision 7.3</t>
  </si>
  <si>
    <t xml:space="preserve">PPIQ-N067</t>
  </si>
  <si>
    <t xml:space="preserve">Evidence-grade screenshots + case-study snippets</t>
  </si>
  <si>
    <t xml:space="preserve">Current: absent. Build: polished evidence assets and short case-study snippets from the dry run.</t>
  </si>
  <si>
    <t xml:space="preserve">1) Assets are evidence-grade and on-brand. 2) Embedded across the product pages.</t>
  </si>
  <si>
    <t xml:space="preserve">PPIQ-N068</t>
  </si>
  <si>
    <t xml:space="preserve">Brand-consistency audit across app, website &amp; reports</t>
  </si>
  <si>
    <t xml:space="preserve">Brand</t>
  </si>
  <si>
    <t xml:space="preserve">Current: absent. Build: a single audit that palette, type and components match across all three surfaces.</t>
  </si>
  <si>
    <t xml:space="preserve">1) An enumerated checklist passes. 2) Drift items are logged and fixed. 3) One canonical identity is confirmed.</t>
  </si>
  <si>
    <t xml:space="preserve">N-P11 · Docs, Legal &amp; Operations</t>
  </si>
  <si>
    <t xml:space="preserve">PPIQ-N069</t>
  </si>
  <si>
    <t xml:space="preserve">Deployment runbook (server, Compose, Caddy, Jenkins)</t>
  </si>
  <si>
    <t xml:space="preserve">Ops Docs</t>
  </si>
  <si>
    <t xml:space="preserve">Current: partial. Build: a complete, current runbook covering the Hetzner stack, Compose, Caddy and the CI pipeline, with parity steps.</t>
  </si>
  <si>
    <t xml:space="preserve">1) A clean machine reaches a working login by following the runbook only. 2) Parity steps are included.</t>
  </si>
  <si>
    <t xml:space="preserve">PPIQ-N070</t>
  </si>
  <si>
    <t xml:space="preserve">Incident-response runbook + daily backup job (verified restore)</t>
  </si>
  <si>
    <t xml:space="preserve">Ops / Backup</t>
  </si>
  <si>
    <t xml:space="preserve">Current: absent. Build: an incident playbook and an automated daily backup with a verified restore.</t>
  </si>
  <si>
    <t xml:space="preserve">1) Backups run daily and a restore is tested. 2) The playbook covers the top failure modes.</t>
  </si>
  <si>
    <t xml:space="preserve">PPIQ-N071</t>
  </si>
  <si>
    <t xml:space="preserve">Local&lt;-&gt;server parity contract verification</t>
  </si>
  <si>
    <t xml:space="preserve">Parity</t>
  </si>
  <si>
    <t xml:space="preserve">Current: absent as an explicit check. Build: a verifier that the API base URL, auth keys, smoke credentials and DB host are defined once and match between local and server.</t>
  </si>
  <si>
    <t xml:space="preserve">1) A parity check fails loudly on any mismatch. 2) It runs in CI/boot. 3) 'Works on my machine' equals 'works on the server'.</t>
  </si>
  <si>
    <t xml:space="preserve">Vision 10.3</t>
  </si>
  <si>
    <t xml:space="preserve">PPIQ-N072</t>
  </si>
  <si>
    <t xml:space="preserve">Kill-by-port tooling that prints the fresh PID/StartTime</t>
  </si>
  <si>
    <t xml:space="preserve">Ports / Process</t>
  </si>
  <si>
    <t xml:space="preserve">Current: kill-by-port exists in dev scripts but the proof-of-fresh-process output is not standardized everywhere. Build: standardize stop/relaunch to free the port by owning process and print the new PID + start time.</t>
  </si>
  <si>
    <t xml:space="preserve">1) A restart provably replaces the listener (new PID/StartTime printed). 2) The stale-listener failure mode cannot recur.</t>
  </si>
  <si>
    <t xml:space="preserve">Vision 10.2</t>
  </si>
  <si>
    <t xml:space="preserve">PPIQ-N073</t>
  </si>
  <si>
    <t xml:space="preserve">AI/ML subsystem architecture + tenant-isolation &amp; audit companion doc</t>
  </si>
  <si>
    <t xml:space="preserve">Design Docs</t>
  </si>
  <si>
    <t xml:space="preserve">Current: partial. Build: the design-companion doc for the intelligence subsystem plus the tenant-isolation/audit reference, cross-linked to Vision v2.0 (the recommended 'design companion').</t>
  </si>
  <si>
    <t xml:space="preserve">1) The doc is complete and consistent with the implemented matrix. 2) It is referenced from the canonical vision.</t>
  </si>
  <si>
    <t xml:space="preserve">Improvement Analysis 6/7 | Vision 3</t>
  </si>
  <si>
    <t xml:space="preserve">PPIQ-N074</t>
  </si>
  <si>
    <t xml:space="preserve">UI Standards onboarding for future contributors</t>
  </si>
  <si>
    <t xml:space="preserve">Current: partial. Build: an onboarding guide to the canonical component contract and brand styling.</t>
  </si>
  <si>
    <t xml:space="preserve">1) A new contributor can build a compliant page from the guide. 2) It is linked from the repo.</t>
  </si>
  <si>
    <t xml:space="preserve">PPIQ-N075</t>
  </si>
  <si>
    <t xml:space="preserve">Pilot legal pack: mutual NDA, SOW &amp; GDPR-aligned DPA (LLM-provider disclosure)</t>
  </si>
  <si>
    <t xml:space="preserve">Legal</t>
  </si>
  <si>
    <t xml:space="preserve">Current: absent. Build: the three pilot templates, with the DPA aligned to GDPR and disclosing the LLM provider, consistent with the read-only/air-gapped story.</t>
  </si>
  <si>
    <t xml:space="preserve">1) NDA, SOW and DPA drafts are ready for counsel review. 2) The DPA notes data flows + provider. 3) Consistent with the honesty/air-gapped narrative.</t>
  </si>
  <si>
    <t xml:space="preserve">Pilot readiness | Vision 3 (air-gapped)</t>
  </si>
  <si>
    <t xml:space="preserve">Phase Plan — execution order (counts &amp; effort computed live)</t>
  </si>
  <si>
    <t xml:space="preserve">#</t>
  </si>
  <si>
    <t xml:space="preserve">Phase (execution order)</t>
  </si>
  <si>
    <t xml:space="preserve">Tasks</t>
  </si>
  <si>
    <t xml:space="preserve">TOTAL</t>
  </si>
  <si>
    <t xml:space="preserve">By Track</t>
  </si>
  <si>
    <t xml:space="preserve">Coverage Map — every Vision v2.0 area -&gt; the v13 tasks that complete it</t>
  </si>
  <si>
    <t xml:space="preserve">Confirms nothing in the canonical target is unaddressed. 'Already built?' summarises what exists today (see the Excluded sheet).</t>
  </si>
  <si>
    <t xml:space="preserve">Vision v2.0 area</t>
  </si>
  <si>
    <t xml:space="preserve">What remains (the v13 work)</t>
  </si>
  <si>
    <t xml:space="preserve">v13 tasks</t>
  </si>
  <si>
    <t xml:space="preserve">Already built?</t>
  </si>
  <si>
    <t xml:space="preserve">2.2.2 DB Link &amp; credentials</t>
  </si>
  <si>
    <t xml:space="preserve">Behavioural connector tests + masked-credential proof</t>
  </si>
  <si>
    <t xml:space="preserve">N045</t>
  </si>
  <si>
    <t xml:space="preserve">Core built</t>
  </si>
  <si>
    <t xml:space="preserve">2.2.3 Two-stage / delta ingestion</t>
  </si>
  <si>
    <t xml:space="preserve">Schema-drift detection; resumability tests</t>
  </si>
  <si>
    <t xml:space="preserve">N032, N047</t>
  </si>
  <si>
    <t xml:space="preserve">Engine built</t>
  </si>
  <si>
    <t xml:space="preserve">2.2.4 Schema mapping engine</t>
  </si>
  <si>
    <t xml:space="preserve">Typed resolver errors (full UI design lives in v3 3.3)</t>
  </si>
  <si>
    <t xml:space="preserve">N033</t>
  </si>
  <si>
    <t xml:space="preserve">Core + safe-SQL built</t>
  </si>
  <si>
    <t xml:space="preserve">2.2.5 Genealogy spine</t>
  </si>
  <si>
    <t xml:space="preserve">Mapping-authored canonical spine, both directions</t>
  </si>
  <si>
    <t xml:space="preserve">N034</t>
  </si>
  <si>
    <t xml:space="preserve">Partial join built</t>
  </si>
  <si>
    <t xml:space="preserve">2.2.6 Jobs Monitor</t>
  </si>
  <si>
    <t xml:space="preserve">Extended result + learning-run visibility</t>
  </si>
  <si>
    <t xml:space="preserve">N014, N021</t>
  </si>
  <si>
    <t xml:space="preserve">Monitor built</t>
  </si>
  <si>
    <t xml:space="preserve">2.3 Page builder &amp; widgets</t>
  </si>
  <si>
    <t xml:space="preserve">First-run wizard; heat-map widget; script grammar</t>
  </si>
  <si>
    <t xml:space="preserve">N035, N036, N037</t>
  </si>
  <si>
    <t xml:space="preserve">Builder + script layer built</t>
  </si>
  <si>
    <t xml:space="preserve">3.1 Feature store &amp; outcomes</t>
  </si>
  <si>
    <t xml:space="preserve">(complete - no remaining work)</t>
  </si>
  <si>
    <t xml:space="preserve">Built incl. cascade-downtime</t>
  </si>
  <si>
    <t xml:space="preserve">3.2 Scheduled learning &amp; methods</t>
  </si>
  <si>
    <t xml:space="preserve">Spearman/MI/Lasso; VIF/stability/confounding; gates; results; tests</t>
  </si>
  <si>
    <t xml:space="preserve">N011-N015</t>
  </si>
  <si>
    <t xml:space="preserve">Pearson/PB/Cramer + FDR/effect/power built</t>
  </si>
  <si>
    <t xml:space="preserve">3.3 Inspection -&gt; generated pages</t>
  </si>
  <si>
    <t xml:space="preserve">Runner; auto-page generation; scheduling; e2e</t>
  </si>
  <si>
    <t xml:space="preserve">N019-N022</t>
  </si>
  <si>
    <t xml:space="preserve">Investigate endpoint built</t>
  </si>
  <si>
    <t xml:space="preserve">3.4 Risk scorer</t>
  </si>
  <si>
    <t xml:space="preserve">Calibration; registry provenance; drift/champion-challenger</t>
  </si>
  <si>
    <t xml:space="preserve">N016-N018</t>
  </si>
  <si>
    <t xml:space="preserve">Additive decomposable scorer built</t>
  </si>
  <si>
    <t xml:space="preserve">3.5.1 Proactive suggestions</t>
  </si>
  <si>
    <t xml:space="preserve">Engine; endpoint; proactive feed UI</t>
  </si>
  <si>
    <t xml:space="preserve">N023-N025</t>
  </si>
  <si>
    <t xml:space="preserve">Prerequisites built</t>
  </si>
  <si>
    <t xml:space="preserve">3.5.2 Conversational RAG</t>
  </si>
  <si>
    <t xml:space="preserve">KB ingestion; retrieval; agent+tools; UI; feedback; grounding tests</t>
  </si>
  <si>
    <t xml:space="preserve">N026-N031</t>
  </si>
  <si>
    <t xml:space="preserve">pgvector + providers built</t>
  </si>
  <si>
    <t xml:space="preserve">4 Licensing &amp; tiers</t>
  </si>
  <si>
    <t xml:space="preserve">License x role resolution; live toggle / banner / badge</t>
  </si>
  <si>
    <t xml:space="preserve">N003, N043</t>
  </si>
  <si>
    <t xml:space="preserve">Tier primitives built</t>
  </si>
  <si>
    <t xml:space="preserve">5 / 8 Hardening &amp; Quality Bar</t>
  </si>
  <si>
    <t xml:space="preserve">Resilience audit; progress UI; action matrix; contracts; perf; dedup; boot safety</t>
  </si>
  <si>
    <t xml:space="preserve">N038-N050</t>
  </si>
  <si>
    <t xml:space="preserve">Error boundary/toasts/apiClient/skeletons; honesty enforced</t>
  </si>
  <si>
    <t xml:space="preserve">6 Demo Doctrine</t>
  </si>
  <si>
    <t xml:space="preserve">8-source split; plant layout; scale; presets; live proof; personas; scripts; evidence</t>
  </si>
  <si>
    <t xml:space="preserve">N051-N060</t>
  </si>
  <si>
    <t xml:space="preserve">Compose + partial seed built</t>
  </si>
  <si>
    <t xml:space="preserve">7 Website (Pillar V)</t>
  </si>
  <si>
    <t xml:space="preserve">Logo set; five product pages; conversion; evidence; brand audit</t>
  </si>
  <si>
    <t xml:space="preserve">N061-N068</t>
  </si>
  <si>
    <t xml:space="preserve">Partial site built</t>
  </si>
  <si>
    <t xml:space="preserve">10 Operational Doctrine</t>
  </si>
  <si>
    <t xml:space="preserve">SQL-apply fix; boot safety; runbooks; parity; ports</t>
  </si>
  <si>
    <t xml:space="preserve">N007, N050, N069-N072</t>
  </si>
  <si>
    <t xml:space="preserve">Validator/migrations/loopback built</t>
  </si>
  <si>
    <t xml:space="preserve">User/Role/Access (residual gap)</t>
  </si>
  <si>
    <t xml:space="preserve">RBAC matrix; license x role; tenant tests; audit coverage; doctrine section</t>
  </si>
  <si>
    <t xml:space="preserve">N002-N006, N056</t>
  </si>
  <si>
    <t xml:space="preserve">Role/tenant primitives only</t>
  </si>
  <si>
    <t xml:space="preserve">Value Model (commercial lever)</t>
  </si>
  <si>
    <t xml:space="preserve">Impact engine; cost config; ROI presentation contract</t>
  </si>
  <si>
    <t xml:space="preserve">N008-N010</t>
  </si>
  <si>
    <t xml:space="preserve">Nothing built (0 code hits)</t>
  </si>
  <si>
    <t xml:space="preserve">Excluded from v13 — already built (the audit trail for 'no done tasks')</t>
  </si>
  <si>
    <t xml:space="preserve">These capabilities exist in the 31-May snapshot, so they are intentionally NOT in the backlog. Listed for transparency.</t>
  </si>
  <si>
    <t xml:space="preserve">Capability (excluded)</t>
  </si>
  <si>
    <t xml:space="preserve">Evidence / where it lives</t>
  </si>
  <si>
    <t xml:space="preserve">Prior ref</t>
  </si>
  <si>
    <t xml:space="preserve">Test foundation, coverage baseline &amp; CI gate</t>
  </si>
  <si>
    <t xml:space="preserve">dotnet + vitest coverage; suite is red-on-regression and gated</t>
  </si>
  <si>
    <t xml:space="preserve">T300-T306</t>
  </si>
  <si>
    <t xml:space="preserve">Auth config-section prefix + bootstrap-collision guard</t>
  </si>
  <si>
    <t xml:space="preserve">StartupConfigurationValidator rejects DEV keys / default pw outside Dev</t>
  </si>
  <si>
    <t xml:space="preserve">T282</t>
  </si>
  <si>
    <t xml:space="preserve">Frontend auth retry backoff + attempt cap</t>
  </si>
  <si>
    <t xml:space="preserve">apiClient with bounded retry</t>
  </si>
  <si>
    <t xml:space="preserve">T280</t>
  </si>
  <si>
    <t xml:space="preserve">PostgreSQL public port closed + loopback audit</t>
  </si>
  <si>
    <t xml:space="preserve">127.0.0.1 binding + external nmap scan guard</t>
  </si>
  <si>
    <t xml:space="preserve">T286 / T208</t>
  </si>
  <si>
    <t xml:space="preserve">Replace bootstrap admin in production</t>
  </si>
  <si>
    <t xml:space="preserve">disabled sentinel + real seeded admin</t>
  </si>
  <si>
    <t xml:space="preserve">T287</t>
  </si>
  <si>
    <t xml:space="preserve">Eight-source Compose definition (loopback-bound)</t>
  </si>
  <si>
    <t xml:space="preserve">docker-compose.demo-sources.yml</t>
  </si>
  <si>
    <t xml:space="preserve">T245</t>
  </si>
  <si>
    <t xml:space="preserve">SafeSqlValidator + typed resolver base</t>
  </si>
  <si>
    <t xml:space="preserve">SafeSqlValidator (CTE fix); SchemaViewResolver base</t>
  </si>
  <si>
    <t xml:space="preserve">T206</t>
  </si>
  <si>
    <t xml:space="preserve">Widget edit -&gt; DB values + script-layer base</t>
  </si>
  <si>
    <t xml:space="preserve">widget builder binding</t>
  </si>
  <si>
    <t xml:space="preserve">T242</t>
  </si>
  <si>
    <t xml:space="preserve">Multi-grain feature store (heat/strand/coil/location)</t>
  </si>
  <si>
    <t xml:space="preserve">feature-store schema</t>
  </si>
  <si>
    <t xml:space="preserve">T209</t>
  </si>
  <si>
    <t xml:space="preserve">Metallurgical derived features</t>
  </si>
  <si>
    <t xml:space="preserve">FeatureEngineeringService</t>
  </si>
  <si>
    <t xml:space="preserve">T210</t>
  </si>
  <si>
    <t xml:space="preserve">Outcome catalog incl. cascade-downtime + KPI-as-view</t>
  </si>
  <si>
    <t xml:space="preserve">outcome definitions</t>
  </si>
  <si>
    <t xml:space="preserve">T211 / T293</t>
  </si>
  <si>
    <t xml:space="preserve">Correlation compute interface + .NET default impl</t>
  </si>
  <si>
    <t xml:space="preserve">ICorrelationComputeEngine</t>
  </si>
  <si>
    <t xml:space="preserve">T212</t>
  </si>
  <si>
    <t xml:space="preserve">pgvector knowledge-base provisioning</t>
  </si>
  <si>
    <t xml:space="preserve">pgvector store</t>
  </si>
  <si>
    <t xml:space="preserve">T213</t>
  </si>
  <si>
    <t xml:space="preserve">Narrative / Embedding provider abstraction (self-host + API)</t>
  </si>
  <si>
    <t xml:space="preserve">INarrativeProvider / IEmbeddingProvider</t>
  </si>
  <si>
    <t xml:space="preserve">T292</t>
  </si>
  <si>
    <t xml:space="preserve">Four learning-job definitions</t>
  </si>
  <si>
    <t xml:space="preserve">EnsureMlJobDefinitions</t>
  </si>
  <si>
    <t xml:space="preserve">T214</t>
  </si>
  <si>
    <t xml:space="preserve">Additive risk scorer with exact decomposition</t>
  </si>
  <si>
    <t xml:space="preserve">risk scorer (base)</t>
  </si>
  <si>
    <t xml:space="preserve">T236</t>
  </si>
  <si>
    <t xml:space="preserve">Honesty contract enforced</t>
  </si>
  <si>
    <t xml:space="preserve">34 'could not be loaded' occurrences are all lint guards / test negations</t>
  </si>
  <si>
    <t xml:space="preserve">Validation</t>
  </si>
  <si>
    <t xml:space="preserve">DevSeed endpoints gated behind IsDevelopment()</t>
  </si>
  <si>
    <t xml:space="preserve">environment-gated seed endpoints</t>
  </si>
  <si>
    <t xml:space="preserve">Auto-migration at startup</t>
  </si>
  <si>
    <t xml:space="preserve">MigrateAsync() on boot</t>
  </si>
  <si>
    <t xml:space="preserve">prior session</t>
  </si>
  <si>
    <t xml:space="preserve">Frontend resilience base</t>
  </si>
  <si>
    <t xml:space="preserve">global ErrorBoundary, Sonner toasts, apiClient timeouts/retry, skeleton loading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</si>
</sst>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3A4D60"/>
      <name val="Calibri"/>
      <family val="0"/>
      <charset val="1"/>
    </font>
    <font>
      <b val="true"/>
      <sz val="10"/>
      <color rgb="FF102A43"/>
      <name val="Calibri"/>
      <family val="0"/>
      <charset val="1"/>
    </font>
    <font>
      <sz val="10"/>
      <color rgb="FF1320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02A43"/>
      <name val="Calibri"/>
      <family val="0"/>
      <charset val="1"/>
    </font>
    <font>
      <sz val="9"/>
      <color rgb="FF13202E"/>
      <name val="Calibri"/>
      <family val="0"/>
      <charset val="1"/>
    </font>
    <font>
      <b val="true"/>
      <sz val="9"/>
      <color rgb="FF9A6B00"/>
      <name val="Calibri"/>
      <family val="0"/>
      <charset val="1"/>
    </font>
    <font>
      <sz val="9"/>
      <color rgb="FF9A6B00"/>
      <name val="Calibri"/>
      <family val="0"/>
      <charset val="1"/>
    </font>
    <font>
      <b val="true"/>
      <sz val="10"/>
      <color rgb="FFB22234"/>
      <name val="Calibri"/>
      <family val="0"/>
      <charset val="1"/>
    </font>
    <font>
      <b val="true"/>
      <sz val="9"/>
      <color rgb="FFB22234"/>
      <name val="Calibri"/>
      <family val="0"/>
      <charset val="1"/>
    </font>
    <font>
      <sz val="9"/>
      <color rgb="FF3A4D60"/>
      <name val="Calibri"/>
      <family val="0"/>
      <charset val="1"/>
    </font>
    <font>
      <b val="true"/>
      <sz val="10"/>
      <color rgb="FF13202E"/>
      <name val="Calibri"/>
      <family val="0"/>
      <charset val="1"/>
    </font>
    <font>
      <b val="true"/>
      <sz val="11"/>
      <color rgb="FF102A43"/>
      <name val="Calibri"/>
      <family val="0"/>
      <charset val="1"/>
    </font>
    <font>
      <b val="true"/>
      <sz val="10"/>
      <color rgb="FF1F6FB2"/>
      <name val="Calibri"/>
      <family val="0"/>
      <charset val="1"/>
    </font>
    <font>
      <b val="true"/>
      <sz val="10"/>
      <color rgb="FF1B7A4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50B18"/>
        <bgColor rgb="FF000000"/>
      </patternFill>
    </fill>
    <fill>
      <patternFill patternType="solid">
        <fgColor rgb="FF102A43"/>
        <bgColor rgb="FF13202E"/>
      </patternFill>
    </fill>
    <fill>
      <patternFill patternType="solid">
        <fgColor rgb="FF0B1730"/>
        <bgColor rgb="FF13202E"/>
      </patternFill>
    </fill>
    <fill>
      <patternFill patternType="solid">
        <fgColor rgb="FFFFF3DC"/>
        <bgColor rgb="FFF2F6FA"/>
      </patternFill>
    </fill>
    <fill>
      <patternFill patternType="solid">
        <fgColor rgb="FFFBE0E4"/>
        <bgColor rgb="FFFFF3DC"/>
      </patternFill>
    </fill>
    <fill>
      <patternFill patternType="solid">
        <fgColor rgb="FFEAF1F8"/>
        <bgColor rgb="FFF2F6FA"/>
      </patternFill>
    </fill>
    <fill>
      <patternFill patternType="solid">
        <fgColor rgb="FFF2F6FA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B1730"/>
          <bgColor rgb="FF000000"/>
        </patternFill>
      </fill>
    </dxf>
    <dxf>
      <fill>
        <patternFill patternType="solid">
          <fgColor rgb="FF102A4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3202E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BE0E4"/>
          <bgColor rgb="FF000000"/>
        </patternFill>
      </fill>
    </dxf>
    <dxf>
      <fill>
        <patternFill patternType="solid">
          <fgColor rgb="FFFFF3DC"/>
          <bgColor rgb="FF000000"/>
        </patternFill>
      </fill>
    </dxf>
    <dxf>
      <fill>
        <patternFill patternType="solid">
          <fgColor rgb="FF3A4D60"/>
          <bgColor rgb="FF000000"/>
        </patternFill>
      </fill>
    </dxf>
    <dxf>
      <fill>
        <patternFill patternType="solid">
          <fgColor rgb="FF9A6B00"/>
          <bgColor rgb="FF000000"/>
        </patternFill>
      </fill>
    </dxf>
    <dxf>
      <fill>
        <patternFill patternType="solid">
          <fgColor rgb="FFB222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9A6B00"/>
      <rgbColor rgb="FF800080"/>
      <rgbColor rgb="FF1B7A4B"/>
      <rgbColor rgb="FFC0C0C0"/>
      <rgbColor rgb="FF808080"/>
      <rgbColor rgb="FF9999FF"/>
      <rgbColor rgb="FFB22234"/>
      <rgbColor rgb="FFFFF3DC"/>
      <rgbColor rgb="FFEAF1F8"/>
      <rgbColor rgb="FF660066"/>
      <rgbColor rgb="FFFF8080"/>
      <rgbColor rgb="FF1F6FB2"/>
      <rgbColor rgb="FFC9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CCFFCC"/>
      <rgbColor rgb="FFFFFF99"/>
      <rgbColor rgb="FF99CCFF"/>
      <rgbColor rgb="FFFF99CC"/>
      <rgbColor rgb="FFCC99FF"/>
      <rgbColor rgb="FFFBE0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A43"/>
      <rgbColor rgb="FF339966"/>
      <rgbColor rgb="FF0B1730"/>
      <rgbColor rgb="FF333300"/>
      <rgbColor rgb="FF993300"/>
      <rgbColor rgb="FF993366"/>
      <rgbColor rgb="FF3A4D60"/>
      <rgbColor rgb="FF13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4"/>
  </cols>
  <sheetData>
    <row r="1" customFormat="false" ht="25.5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3" customFormat="false" ht="45.75" hidden="false" customHeight="true" outlineLevel="0" collapsed="false">
      <c r="A3" s="3" t="s">
        <v>2</v>
      </c>
      <c r="B3" s="4" t="s">
        <v>3</v>
      </c>
    </row>
    <row r="4" customFormat="false" ht="45.75" hidden="false" customHeight="true" outlineLevel="0" collapsed="false">
      <c r="A4" s="3" t="s">
        <v>4</v>
      </c>
      <c r="B4" s="4" t="s">
        <v>5</v>
      </c>
    </row>
    <row r="5" customFormat="false" ht="45.75" hidden="false" customHeight="true" outlineLevel="0" collapsed="false">
      <c r="A5" s="3" t="s">
        <v>6</v>
      </c>
      <c r="B5" s="4" t="s">
        <v>7</v>
      </c>
    </row>
    <row r="6" customFormat="false" ht="45.75" hidden="false" customHeight="true" outlineLevel="0" collapsed="false">
      <c r="A6" s="3" t="s">
        <v>8</v>
      </c>
      <c r="B6" s="4" t="s">
        <v>9</v>
      </c>
    </row>
    <row r="7" customFormat="false" ht="45.75" hidden="false" customHeight="true" outlineLevel="0" collapsed="false">
      <c r="A7" s="3" t="s">
        <v>10</v>
      </c>
      <c r="B7" s="4" t="s">
        <v>11</v>
      </c>
    </row>
    <row r="8" customFormat="false" ht="45.75" hidden="false" customHeight="true" outlineLevel="0" collapsed="false">
      <c r="A8" s="3" t="s">
        <v>12</v>
      </c>
      <c r="B8" s="4" t="s">
        <v>13</v>
      </c>
    </row>
    <row r="9" customFormat="false" ht="45.75" hidden="false" customHeight="true" outlineLevel="0" collapsed="false">
      <c r="A9" s="3" t="s">
        <v>14</v>
      </c>
      <c r="B9" s="4" t="s">
        <v>15</v>
      </c>
    </row>
    <row r="10" customFormat="false" ht="45.75" hidden="false" customHeight="true" outlineLevel="0" collapsed="false">
      <c r="A10" s="3" t="s">
        <v>16</v>
      </c>
      <c r="B10" s="4" t="s">
        <v>17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.5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9" min="8" style="0" width="4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9"/>
  </cols>
  <sheetData>
    <row r="1" customFormat="false" ht="25.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</row>
    <row r="3" customFormat="false" ht="19.5" hidden="false" customHeight="true" outlineLevel="0" collapsed="false">
      <c r="A3" s="6" t="s">
        <v>34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customFormat="false" ht="53.7" hidden="false" customHeight="false" outlineLevel="0" collapsed="false">
      <c r="A4" s="7" t="s">
        <v>35</v>
      </c>
      <c r="B4" s="8" t="s">
        <v>36</v>
      </c>
      <c r="C4" s="8" t="s">
        <v>34</v>
      </c>
      <c r="D4" s="8" t="s">
        <v>37</v>
      </c>
      <c r="E4" s="8" t="s">
        <v>38</v>
      </c>
      <c r="F4" s="8" t="s">
        <v>39</v>
      </c>
      <c r="G4" s="9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10" t="n">
        <v>8</v>
      </c>
      <c r="N4" s="11" t="s">
        <v>46</v>
      </c>
      <c r="O4" s="12" t="n">
        <v>0</v>
      </c>
    </row>
    <row r="5" customFormat="false" ht="53.7" hidden="false" customHeight="false" outlineLevel="0" collapsed="false">
      <c r="A5" s="7" t="s">
        <v>47</v>
      </c>
      <c r="B5" s="8" t="s">
        <v>48</v>
      </c>
      <c r="C5" s="8" t="s">
        <v>34</v>
      </c>
      <c r="D5" s="8" t="s">
        <v>37</v>
      </c>
      <c r="E5" s="8" t="s">
        <v>49</v>
      </c>
      <c r="F5" s="8" t="s">
        <v>50</v>
      </c>
      <c r="G5" s="13" t="s">
        <v>51</v>
      </c>
      <c r="H5" s="8" t="s">
        <v>52</v>
      </c>
      <c r="I5" s="8" t="s">
        <v>53</v>
      </c>
      <c r="J5" s="8" t="s">
        <v>54</v>
      </c>
      <c r="K5" s="8" t="s">
        <v>44</v>
      </c>
      <c r="L5" s="8" t="s">
        <v>55</v>
      </c>
      <c r="M5" s="10" t="n">
        <v>16</v>
      </c>
      <c r="N5" s="11" t="s">
        <v>46</v>
      </c>
      <c r="O5" s="12" t="n">
        <v>0</v>
      </c>
    </row>
    <row r="6" customFormat="false" ht="53.7" hidden="false" customHeight="false" outlineLevel="0" collapsed="false">
      <c r="A6" s="7" t="s">
        <v>56</v>
      </c>
      <c r="B6" s="8" t="s">
        <v>57</v>
      </c>
      <c r="C6" s="8" t="s">
        <v>34</v>
      </c>
      <c r="D6" s="8" t="s">
        <v>37</v>
      </c>
      <c r="E6" s="8" t="s">
        <v>49</v>
      </c>
      <c r="F6" s="8" t="s">
        <v>58</v>
      </c>
      <c r="G6" s="9" t="s">
        <v>40</v>
      </c>
      <c r="H6" s="8" t="s">
        <v>59</v>
      </c>
      <c r="I6" s="8" t="s">
        <v>60</v>
      </c>
      <c r="J6" s="8" t="s">
        <v>61</v>
      </c>
      <c r="K6" s="8" t="s">
        <v>47</v>
      </c>
      <c r="L6" s="8" t="s">
        <v>55</v>
      </c>
      <c r="M6" s="10" t="n">
        <v>12</v>
      </c>
      <c r="N6" s="11" t="s">
        <v>46</v>
      </c>
      <c r="O6" s="12" t="n">
        <v>0</v>
      </c>
    </row>
    <row r="7" customFormat="false" ht="53.7" hidden="false" customHeight="false" outlineLevel="0" collapsed="false">
      <c r="A7" s="7" t="s">
        <v>62</v>
      </c>
      <c r="B7" s="8" t="s">
        <v>63</v>
      </c>
      <c r="C7" s="8" t="s">
        <v>34</v>
      </c>
      <c r="D7" s="8" t="s">
        <v>37</v>
      </c>
      <c r="E7" s="8" t="s">
        <v>49</v>
      </c>
      <c r="F7" s="8" t="s">
        <v>64</v>
      </c>
      <c r="G7" s="13" t="s">
        <v>51</v>
      </c>
      <c r="H7" s="8" t="s">
        <v>65</v>
      </c>
      <c r="I7" s="8" t="s">
        <v>66</v>
      </c>
      <c r="J7" s="8" t="s">
        <v>67</v>
      </c>
      <c r="K7" s="8" t="s">
        <v>44</v>
      </c>
      <c r="L7" s="8" t="s">
        <v>68</v>
      </c>
      <c r="M7" s="10" t="n">
        <v>10</v>
      </c>
      <c r="N7" s="11" t="s">
        <v>46</v>
      </c>
      <c r="O7" s="12" t="n">
        <v>0</v>
      </c>
    </row>
    <row r="8" customFormat="false" ht="53.7" hidden="false" customHeight="false" outlineLevel="0" collapsed="false">
      <c r="A8" s="7" t="s">
        <v>69</v>
      </c>
      <c r="B8" s="8" t="s">
        <v>70</v>
      </c>
      <c r="C8" s="8" t="s">
        <v>34</v>
      </c>
      <c r="D8" s="8" t="s">
        <v>37</v>
      </c>
      <c r="E8" s="8" t="s">
        <v>71</v>
      </c>
      <c r="F8" s="8" t="s">
        <v>72</v>
      </c>
      <c r="G8" s="9" t="s">
        <v>40</v>
      </c>
      <c r="H8" s="8" t="s">
        <v>73</v>
      </c>
      <c r="I8" s="8" t="s">
        <v>74</v>
      </c>
      <c r="J8" s="8" t="s">
        <v>75</v>
      </c>
      <c r="K8" s="8" t="s">
        <v>76</v>
      </c>
      <c r="L8" s="8" t="s">
        <v>71</v>
      </c>
      <c r="M8" s="10" t="n">
        <v>6</v>
      </c>
      <c r="N8" s="11" t="s">
        <v>46</v>
      </c>
      <c r="O8" s="12" t="n">
        <v>0</v>
      </c>
    </row>
    <row r="9" customFormat="false" ht="53.7" hidden="false" customHeight="false" outlineLevel="0" collapsed="false">
      <c r="A9" s="7" t="s">
        <v>77</v>
      </c>
      <c r="B9" s="8" t="s">
        <v>78</v>
      </c>
      <c r="C9" s="8" t="s">
        <v>34</v>
      </c>
      <c r="D9" s="8" t="s">
        <v>37</v>
      </c>
      <c r="E9" s="8" t="s">
        <v>49</v>
      </c>
      <c r="F9" s="8" t="s">
        <v>79</v>
      </c>
      <c r="G9" s="9" t="s">
        <v>40</v>
      </c>
      <c r="H9" s="8" t="s">
        <v>80</v>
      </c>
      <c r="I9" s="8" t="s">
        <v>81</v>
      </c>
      <c r="J9" s="8" t="s">
        <v>82</v>
      </c>
      <c r="K9" s="8" t="s">
        <v>47</v>
      </c>
      <c r="L9" s="8" t="s">
        <v>55</v>
      </c>
      <c r="M9" s="10" t="n">
        <v>8</v>
      </c>
      <c r="N9" s="11" t="s">
        <v>46</v>
      </c>
      <c r="O9" s="12" t="n">
        <v>0</v>
      </c>
    </row>
    <row r="10" customFormat="false" ht="53.7" hidden="false" customHeight="false" outlineLevel="0" collapsed="false">
      <c r="A10" s="7" t="s">
        <v>83</v>
      </c>
      <c r="B10" s="8" t="s">
        <v>84</v>
      </c>
      <c r="C10" s="8" t="s">
        <v>34</v>
      </c>
      <c r="D10" s="8" t="s">
        <v>37</v>
      </c>
      <c r="E10" s="8" t="s">
        <v>85</v>
      </c>
      <c r="F10" s="8" t="s">
        <v>86</v>
      </c>
      <c r="G10" s="9" t="s">
        <v>40</v>
      </c>
      <c r="H10" s="8" t="s">
        <v>87</v>
      </c>
      <c r="I10" s="8" t="s">
        <v>88</v>
      </c>
      <c r="J10" s="8" t="s">
        <v>89</v>
      </c>
      <c r="K10" s="8" t="s">
        <v>44</v>
      </c>
      <c r="L10" s="8" t="s">
        <v>90</v>
      </c>
      <c r="M10" s="10" t="n">
        <v>5</v>
      </c>
      <c r="N10" s="11" t="s">
        <v>46</v>
      </c>
      <c r="O10" s="12" t="n">
        <v>0</v>
      </c>
    </row>
    <row r="11" customFormat="false" ht="19.5" hidden="false" customHeight="true" outlineLevel="0" collapsed="false">
      <c r="A11" s="6" t="s">
        <v>91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customFormat="false" ht="64.15" hidden="false" customHeight="false" outlineLevel="0" collapsed="false">
      <c r="A12" s="7" t="s">
        <v>92</v>
      </c>
      <c r="B12" s="8" t="s">
        <v>93</v>
      </c>
      <c r="C12" s="8" t="s">
        <v>91</v>
      </c>
      <c r="D12" s="8" t="s">
        <v>94</v>
      </c>
      <c r="E12" s="8" t="s">
        <v>49</v>
      </c>
      <c r="F12" s="8" t="s">
        <v>95</v>
      </c>
      <c r="G12" s="13" t="s">
        <v>51</v>
      </c>
      <c r="H12" s="8" t="s">
        <v>96</v>
      </c>
      <c r="I12" s="8" t="s">
        <v>97</v>
      </c>
      <c r="J12" s="8" t="s">
        <v>98</v>
      </c>
      <c r="K12" s="8" t="s">
        <v>44</v>
      </c>
      <c r="L12" s="8" t="s">
        <v>55</v>
      </c>
      <c r="M12" s="10" t="n">
        <v>16</v>
      </c>
      <c r="N12" s="11" t="s">
        <v>46</v>
      </c>
      <c r="O12" s="12" t="n">
        <v>0</v>
      </c>
    </row>
    <row r="13" customFormat="false" ht="43.25" hidden="false" customHeight="false" outlineLevel="0" collapsed="false">
      <c r="A13" s="7" t="s">
        <v>99</v>
      </c>
      <c r="B13" s="8" t="s">
        <v>100</v>
      </c>
      <c r="C13" s="8" t="s">
        <v>91</v>
      </c>
      <c r="D13" s="8" t="s">
        <v>94</v>
      </c>
      <c r="E13" s="8" t="s">
        <v>38</v>
      </c>
      <c r="F13" s="8" t="s">
        <v>95</v>
      </c>
      <c r="G13" s="9" t="s">
        <v>40</v>
      </c>
      <c r="H13" s="8" t="s">
        <v>101</v>
      </c>
      <c r="I13" s="8" t="s">
        <v>102</v>
      </c>
      <c r="J13" s="8" t="s">
        <v>103</v>
      </c>
      <c r="K13" s="8" t="s">
        <v>92</v>
      </c>
      <c r="L13" s="8" t="s">
        <v>55</v>
      </c>
      <c r="M13" s="10" t="n">
        <v>10</v>
      </c>
      <c r="N13" s="11" t="s">
        <v>46</v>
      </c>
      <c r="O13" s="12" t="n">
        <v>0</v>
      </c>
    </row>
    <row r="14" customFormat="false" ht="43.25" hidden="false" customHeight="false" outlineLevel="0" collapsed="false">
      <c r="A14" s="7" t="s">
        <v>104</v>
      </c>
      <c r="B14" s="8" t="s">
        <v>105</v>
      </c>
      <c r="C14" s="8" t="s">
        <v>91</v>
      </c>
      <c r="D14" s="8" t="s">
        <v>94</v>
      </c>
      <c r="E14" s="8" t="s">
        <v>38</v>
      </c>
      <c r="F14" s="8" t="s">
        <v>95</v>
      </c>
      <c r="G14" s="9" t="s">
        <v>40</v>
      </c>
      <c r="H14" s="8" t="s">
        <v>106</v>
      </c>
      <c r="I14" s="8" t="s">
        <v>107</v>
      </c>
      <c r="J14" s="8" t="s">
        <v>108</v>
      </c>
      <c r="K14" s="8" t="s">
        <v>109</v>
      </c>
      <c r="L14" s="8" t="s">
        <v>55</v>
      </c>
      <c r="M14" s="10" t="n">
        <v>8</v>
      </c>
      <c r="N14" s="11" t="s">
        <v>46</v>
      </c>
      <c r="O14" s="12" t="n">
        <v>0</v>
      </c>
    </row>
    <row r="15" customFormat="false" ht="19.5" hidden="false" customHeight="true" outlineLevel="0" collapsed="false">
      <c r="A15" s="6" t="s">
        <v>110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customFormat="false" ht="64.15" hidden="false" customHeight="false" outlineLevel="0" collapsed="false">
      <c r="A16" s="7" t="s">
        <v>111</v>
      </c>
      <c r="B16" s="8" t="s">
        <v>112</v>
      </c>
      <c r="C16" s="8" t="s">
        <v>110</v>
      </c>
      <c r="D16" s="8" t="s">
        <v>94</v>
      </c>
      <c r="E16" s="8" t="s">
        <v>49</v>
      </c>
      <c r="F16" s="8" t="s">
        <v>113</v>
      </c>
      <c r="G16" s="9" t="s">
        <v>40</v>
      </c>
      <c r="H16" s="8" t="s">
        <v>114</v>
      </c>
      <c r="I16" s="8" t="s">
        <v>115</v>
      </c>
      <c r="J16" s="8" t="s">
        <v>116</v>
      </c>
      <c r="K16" s="8" t="s">
        <v>44</v>
      </c>
      <c r="L16" s="8" t="s">
        <v>55</v>
      </c>
      <c r="M16" s="10" t="n">
        <v>16</v>
      </c>
      <c r="N16" s="11" t="s">
        <v>46</v>
      </c>
      <c r="O16" s="12" t="n">
        <v>0</v>
      </c>
    </row>
    <row r="17" customFormat="false" ht="53.7" hidden="false" customHeight="false" outlineLevel="0" collapsed="false">
      <c r="A17" s="7" t="s">
        <v>117</v>
      </c>
      <c r="B17" s="8" t="s">
        <v>118</v>
      </c>
      <c r="C17" s="8" t="s">
        <v>110</v>
      </c>
      <c r="D17" s="8" t="s">
        <v>94</v>
      </c>
      <c r="E17" s="8" t="s">
        <v>49</v>
      </c>
      <c r="F17" s="8" t="s">
        <v>119</v>
      </c>
      <c r="G17" s="9" t="s">
        <v>40</v>
      </c>
      <c r="H17" s="8" t="s">
        <v>120</v>
      </c>
      <c r="I17" s="8" t="s">
        <v>121</v>
      </c>
      <c r="J17" s="8" t="s">
        <v>122</v>
      </c>
      <c r="K17" s="8" t="s">
        <v>111</v>
      </c>
      <c r="L17" s="8" t="s">
        <v>55</v>
      </c>
      <c r="M17" s="10" t="n">
        <v>14</v>
      </c>
      <c r="N17" s="11" t="s">
        <v>46</v>
      </c>
      <c r="O17" s="12" t="n">
        <v>0</v>
      </c>
    </row>
    <row r="18" customFormat="false" ht="53.7" hidden="false" customHeight="false" outlineLevel="0" collapsed="false">
      <c r="A18" s="7" t="s">
        <v>123</v>
      </c>
      <c r="B18" s="8" t="s">
        <v>124</v>
      </c>
      <c r="C18" s="8" t="s">
        <v>110</v>
      </c>
      <c r="D18" s="8" t="s">
        <v>94</v>
      </c>
      <c r="E18" s="8" t="s">
        <v>49</v>
      </c>
      <c r="F18" s="8" t="s">
        <v>125</v>
      </c>
      <c r="G18" s="9" t="s">
        <v>40</v>
      </c>
      <c r="H18" s="8" t="s">
        <v>126</v>
      </c>
      <c r="I18" s="8" t="s">
        <v>127</v>
      </c>
      <c r="J18" s="8" t="s">
        <v>128</v>
      </c>
      <c r="K18" s="8" t="s">
        <v>44</v>
      </c>
      <c r="L18" s="8" t="s">
        <v>55</v>
      </c>
      <c r="M18" s="10" t="n">
        <v>10</v>
      </c>
      <c r="N18" s="11" t="s">
        <v>46</v>
      </c>
      <c r="O18" s="12" t="n">
        <v>0</v>
      </c>
    </row>
    <row r="19" customFormat="false" ht="53.7" hidden="false" customHeight="false" outlineLevel="0" collapsed="false">
      <c r="A19" s="7" t="s">
        <v>129</v>
      </c>
      <c r="B19" s="8" t="s">
        <v>130</v>
      </c>
      <c r="C19" s="8" t="s">
        <v>110</v>
      </c>
      <c r="D19" s="8" t="s">
        <v>94</v>
      </c>
      <c r="E19" s="8" t="s">
        <v>49</v>
      </c>
      <c r="F19" s="8" t="s">
        <v>131</v>
      </c>
      <c r="G19" s="14" t="s">
        <v>132</v>
      </c>
      <c r="H19" s="8" t="s">
        <v>133</v>
      </c>
      <c r="I19" s="8" t="s">
        <v>134</v>
      </c>
      <c r="J19" s="8" t="s">
        <v>135</v>
      </c>
      <c r="K19" s="8" t="s">
        <v>136</v>
      </c>
      <c r="L19" s="8" t="s">
        <v>55</v>
      </c>
      <c r="M19" s="10" t="n">
        <v>8</v>
      </c>
      <c r="N19" s="11" t="s">
        <v>46</v>
      </c>
      <c r="O19" s="12" t="n">
        <v>0</v>
      </c>
    </row>
    <row r="20" customFormat="false" ht="53.7" hidden="false" customHeight="false" outlineLevel="0" collapsed="false">
      <c r="A20" s="7" t="s">
        <v>137</v>
      </c>
      <c r="B20" s="8" t="s">
        <v>138</v>
      </c>
      <c r="C20" s="8" t="s">
        <v>110</v>
      </c>
      <c r="D20" s="8" t="s">
        <v>94</v>
      </c>
      <c r="E20" s="8" t="s">
        <v>139</v>
      </c>
      <c r="F20" s="8" t="s">
        <v>140</v>
      </c>
      <c r="G20" s="9" t="s">
        <v>40</v>
      </c>
      <c r="H20" s="8" t="s">
        <v>141</v>
      </c>
      <c r="I20" s="8" t="s">
        <v>142</v>
      </c>
      <c r="J20" s="8" t="s">
        <v>143</v>
      </c>
      <c r="K20" s="8" t="s">
        <v>144</v>
      </c>
      <c r="L20" s="8" t="s">
        <v>68</v>
      </c>
      <c r="M20" s="10" t="n">
        <v>10</v>
      </c>
      <c r="N20" s="11" t="s">
        <v>46</v>
      </c>
      <c r="O20" s="12" t="n">
        <v>0</v>
      </c>
    </row>
    <row r="21" customFormat="false" ht="19.5" hidden="false" customHeight="true" outlineLevel="0" collapsed="false">
      <c r="A21" s="6" t="s">
        <v>145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customFormat="false" ht="53.7" hidden="false" customHeight="false" outlineLevel="0" collapsed="false">
      <c r="A22" s="7" t="s">
        <v>146</v>
      </c>
      <c r="B22" s="8" t="s">
        <v>147</v>
      </c>
      <c r="C22" s="8" t="s">
        <v>145</v>
      </c>
      <c r="D22" s="8" t="s">
        <v>94</v>
      </c>
      <c r="E22" s="8" t="s">
        <v>49</v>
      </c>
      <c r="F22" s="8" t="s">
        <v>148</v>
      </c>
      <c r="G22" s="14" t="s">
        <v>132</v>
      </c>
      <c r="H22" s="8" t="s">
        <v>149</v>
      </c>
      <c r="I22" s="8" t="s">
        <v>150</v>
      </c>
      <c r="J22" s="8" t="s">
        <v>151</v>
      </c>
      <c r="K22" s="8" t="s">
        <v>44</v>
      </c>
      <c r="L22" s="8" t="s">
        <v>55</v>
      </c>
      <c r="M22" s="10" t="n">
        <v>10</v>
      </c>
      <c r="N22" s="11" t="s">
        <v>46</v>
      </c>
      <c r="O22" s="12" t="n">
        <v>0</v>
      </c>
    </row>
    <row r="23" customFormat="false" ht="53.7" hidden="false" customHeight="false" outlineLevel="0" collapsed="false">
      <c r="A23" s="7" t="s">
        <v>152</v>
      </c>
      <c r="B23" s="8" t="s">
        <v>153</v>
      </c>
      <c r="C23" s="8" t="s">
        <v>145</v>
      </c>
      <c r="D23" s="8" t="s">
        <v>94</v>
      </c>
      <c r="E23" s="8" t="s">
        <v>49</v>
      </c>
      <c r="F23" s="8" t="s">
        <v>154</v>
      </c>
      <c r="G23" s="14" t="s">
        <v>132</v>
      </c>
      <c r="H23" s="8" t="s">
        <v>155</v>
      </c>
      <c r="I23" s="8" t="s">
        <v>156</v>
      </c>
      <c r="J23" s="8" t="s">
        <v>151</v>
      </c>
      <c r="K23" s="8" t="s">
        <v>146</v>
      </c>
      <c r="L23" s="8" t="s">
        <v>55</v>
      </c>
      <c r="M23" s="10" t="n">
        <v>10</v>
      </c>
      <c r="N23" s="11" t="s">
        <v>46</v>
      </c>
      <c r="O23" s="12" t="n">
        <v>0</v>
      </c>
    </row>
    <row r="24" customFormat="false" ht="53.7" hidden="false" customHeight="false" outlineLevel="0" collapsed="false">
      <c r="A24" s="7" t="s">
        <v>157</v>
      </c>
      <c r="B24" s="8" t="s">
        <v>158</v>
      </c>
      <c r="C24" s="8" t="s">
        <v>145</v>
      </c>
      <c r="D24" s="8" t="s">
        <v>94</v>
      </c>
      <c r="E24" s="8" t="s">
        <v>49</v>
      </c>
      <c r="F24" s="8" t="s">
        <v>159</v>
      </c>
      <c r="G24" s="14" t="s">
        <v>132</v>
      </c>
      <c r="H24" s="8" t="s">
        <v>160</v>
      </c>
      <c r="I24" s="8" t="s">
        <v>161</v>
      </c>
      <c r="J24" s="8" t="s">
        <v>151</v>
      </c>
      <c r="K24" s="8" t="s">
        <v>162</v>
      </c>
      <c r="L24" s="8" t="s">
        <v>55</v>
      </c>
      <c r="M24" s="10" t="n">
        <v>12</v>
      </c>
      <c r="N24" s="11" t="s">
        <v>46</v>
      </c>
      <c r="O24" s="12" t="n">
        <v>0</v>
      </c>
    </row>
    <row r="25" customFormat="false" ht="19.5" hidden="false" customHeight="true" outlineLevel="0" collapsed="false">
      <c r="A25" s="6" t="s">
        <v>163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customFormat="false" ht="53.7" hidden="false" customHeight="false" outlineLevel="0" collapsed="false">
      <c r="A26" s="7" t="s">
        <v>164</v>
      </c>
      <c r="B26" s="8" t="s">
        <v>165</v>
      </c>
      <c r="C26" s="8" t="s">
        <v>163</v>
      </c>
      <c r="D26" s="8" t="s">
        <v>94</v>
      </c>
      <c r="E26" s="8" t="s">
        <v>49</v>
      </c>
      <c r="F26" s="8" t="s">
        <v>166</v>
      </c>
      <c r="G26" s="9" t="s">
        <v>40</v>
      </c>
      <c r="H26" s="8" t="s">
        <v>167</v>
      </c>
      <c r="I26" s="8" t="s">
        <v>168</v>
      </c>
      <c r="J26" s="8" t="s">
        <v>169</v>
      </c>
      <c r="K26" s="8" t="s">
        <v>44</v>
      </c>
      <c r="L26" s="8" t="s">
        <v>55</v>
      </c>
      <c r="M26" s="10" t="n">
        <v>12</v>
      </c>
      <c r="N26" s="11" t="s">
        <v>46</v>
      </c>
      <c r="O26" s="12" t="n">
        <v>0</v>
      </c>
    </row>
    <row r="27" customFormat="false" ht="53.7" hidden="false" customHeight="false" outlineLevel="0" collapsed="false">
      <c r="A27" s="7" t="s">
        <v>170</v>
      </c>
      <c r="B27" s="8" t="s">
        <v>171</v>
      </c>
      <c r="C27" s="8" t="s">
        <v>163</v>
      </c>
      <c r="D27" s="8" t="s">
        <v>94</v>
      </c>
      <c r="E27" s="8" t="s">
        <v>38</v>
      </c>
      <c r="F27" s="8" t="s">
        <v>172</v>
      </c>
      <c r="G27" s="9" t="s">
        <v>40</v>
      </c>
      <c r="H27" s="8" t="s">
        <v>173</v>
      </c>
      <c r="I27" s="8" t="s">
        <v>174</v>
      </c>
      <c r="J27" s="8" t="s">
        <v>169</v>
      </c>
      <c r="K27" s="8" t="s">
        <v>164</v>
      </c>
      <c r="L27" s="8" t="s">
        <v>55</v>
      </c>
      <c r="M27" s="10" t="n">
        <v>12</v>
      </c>
      <c r="N27" s="11" t="s">
        <v>46</v>
      </c>
      <c r="O27" s="12" t="n">
        <v>0</v>
      </c>
    </row>
    <row r="28" customFormat="false" ht="53.7" hidden="false" customHeight="false" outlineLevel="0" collapsed="false">
      <c r="A28" s="7" t="s">
        <v>175</v>
      </c>
      <c r="B28" s="8" t="s">
        <v>176</v>
      </c>
      <c r="C28" s="8" t="s">
        <v>163</v>
      </c>
      <c r="D28" s="8" t="s">
        <v>94</v>
      </c>
      <c r="E28" s="8" t="s">
        <v>49</v>
      </c>
      <c r="F28" s="8" t="s">
        <v>166</v>
      </c>
      <c r="G28" s="14" t="s">
        <v>132</v>
      </c>
      <c r="H28" s="8" t="s">
        <v>177</v>
      </c>
      <c r="I28" s="8" t="s">
        <v>178</v>
      </c>
      <c r="J28" s="8" t="s">
        <v>169</v>
      </c>
      <c r="K28" s="8" t="s">
        <v>164</v>
      </c>
      <c r="L28" s="8" t="s">
        <v>55</v>
      </c>
      <c r="M28" s="10" t="n">
        <v>8</v>
      </c>
      <c r="N28" s="11" t="s">
        <v>46</v>
      </c>
      <c r="O28" s="12" t="n">
        <v>0</v>
      </c>
    </row>
    <row r="29" customFormat="false" ht="53.7" hidden="false" customHeight="false" outlineLevel="0" collapsed="false">
      <c r="A29" s="7" t="s">
        <v>179</v>
      </c>
      <c r="B29" s="8" t="s">
        <v>180</v>
      </c>
      <c r="C29" s="8" t="s">
        <v>163</v>
      </c>
      <c r="D29" s="8" t="s">
        <v>94</v>
      </c>
      <c r="E29" s="8" t="s">
        <v>181</v>
      </c>
      <c r="F29" s="8" t="s">
        <v>182</v>
      </c>
      <c r="G29" s="14" t="s">
        <v>132</v>
      </c>
      <c r="H29" s="8" t="s">
        <v>183</v>
      </c>
      <c r="I29" s="8" t="s">
        <v>184</v>
      </c>
      <c r="J29" s="8" t="s">
        <v>185</v>
      </c>
      <c r="K29" s="8" t="s">
        <v>186</v>
      </c>
      <c r="L29" s="8" t="s">
        <v>68</v>
      </c>
      <c r="M29" s="10" t="n">
        <v>6</v>
      </c>
      <c r="N29" s="11" t="s">
        <v>46</v>
      </c>
      <c r="O29" s="12" t="n">
        <v>0</v>
      </c>
    </row>
    <row r="30" customFormat="false" ht="19.5" hidden="false" customHeight="true" outlineLevel="0" collapsed="false">
      <c r="A30" s="6" t="s">
        <v>187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32.8" hidden="false" customHeight="false" outlineLevel="0" collapsed="false">
      <c r="A31" s="7" t="s">
        <v>188</v>
      </c>
      <c r="B31" s="8" t="s">
        <v>189</v>
      </c>
      <c r="C31" s="8" t="s">
        <v>187</v>
      </c>
      <c r="D31" s="8" t="s">
        <v>94</v>
      </c>
      <c r="E31" s="8" t="s">
        <v>49</v>
      </c>
      <c r="F31" s="8" t="s">
        <v>190</v>
      </c>
      <c r="G31" s="9" t="s">
        <v>40</v>
      </c>
      <c r="H31" s="8" t="s">
        <v>191</v>
      </c>
      <c r="I31" s="8" t="s">
        <v>192</v>
      </c>
      <c r="J31" s="8" t="s">
        <v>193</v>
      </c>
      <c r="K31" s="8" t="s">
        <v>194</v>
      </c>
      <c r="L31" s="8" t="s">
        <v>55</v>
      </c>
      <c r="M31" s="10" t="n">
        <v>12</v>
      </c>
      <c r="N31" s="11" t="s">
        <v>46</v>
      </c>
      <c r="O31" s="12" t="n">
        <v>0</v>
      </c>
    </row>
    <row r="32" customFormat="false" ht="32.8" hidden="false" customHeight="false" outlineLevel="0" collapsed="false">
      <c r="A32" s="7" t="s">
        <v>195</v>
      </c>
      <c r="B32" s="8" t="s">
        <v>196</v>
      </c>
      <c r="C32" s="8" t="s">
        <v>187</v>
      </c>
      <c r="D32" s="8" t="s">
        <v>94</v>
      </c>
      <c r="E32" s="8" t="s">
        <v>49</v>
      </c>
      <c r="F32" s="8" t="s">
        <v>190</v>
      </c>
      <c r="G32" s="14" t="s">
        <v>132</v>
      </c>
      <c r="H32" s="8" t="s">
        <v>197</v>
      </c>
      <c r="I32" s="8" t="s">
        <v>198</v>
      </c>
      <c r="J32" s="8" t="s">
        <v>193</v>
      </c>
      <c r="K32" s="8" t="s">
        <v>199</v>
      </c>
      <c r="L32" s="8" t="s">
        <v>55</v>
      </c>
      <c r="M32" s="10" t="n">
        <v>6</v>
      </c>
      <c r="N32" s="11" t="s">
        <v>46</v>
      </c>
      <c r="O32" s="12" t="n">
        <v>0</v>
      </c>
    </row>
    <row r="33" customFormat="false" ht="32.8" hidden="false" customHeight="false" outlineLevel="0" collapsed="false">
      <c r="A33" s="7" t="s">
        <v>200</v>
      </c>
      <c r="B33" s="8" t="s">
        <v>201</v>
      </c>
      <c r="C33" s="8" t="s">
        <v>187</v>
      </c>
      <c r="D33" s="8" t="s">
        <v>94</v>
      </c>
      <c r="E33" s="8" t="s">
        <v>38</v>
      </c>
      <c r="F33" s="8" t="s">
        <v>190</v>
      </c>
      <c r="G33" s="14" t="s">
        <v>132</v>
      </c>
      <c r="H33" s="8" t="s">
        <v>202</v>
      </c>
      <c r="I33" s="8" t="s">
        <v>203</v>
      </c>
      <c r="J33" s="8" t="s">
        <v>193</v>
      </c>
      <c r="K33" s="8" t="s">
        <v>204</v>
      </c>
      <c r="L33" s="8" t="s">
        <v>55</v>
      </c>
      <c r="M33" s="10" t="n">
        <v>8</v>
      </c>
      <c r="N33" s="11" t="s">
        <v>46</v>
      </c>
      <c r="O33" s="12" t="n">
        <v>0</v>
      </c>
    </row>
    <row r="34" customFormat="false" ht="43.25" hidden="false" customHeight="false" outlineLevel="0" collapsed="false">
      <c r="A34" s="7" t="s">
        <v>205</v>
      </c>
      <c r="B34" s="8" t="s">
        <v>206</v>
      </c>
      <c r="C34" s="8" t="s">
        <v>187</v>
      </c>
      <c r="D34" s="8" t="s">
        <v>94</v>
      </c>
      <c r="E34" s="8" t="s">
        <v>49</v>
      </c>
      <c r="F34" s="8" t="s">
        <v>207</v>
      </c>
      <c r="G34" s="14" t="s">
        <v>132</v>
      </c>
      <c r="H34" s="8" t="s">
        <v>208</v>
      </c>
      <c r="I34" s="8" t="s">
        <v>209</v>
      </c>
      <c r="J34" s="8" t="s">
        <v>210</v>
      </c>
      <c r="K34" s="8" t="s">
        <v>44</v>
      </c>
      <c r="L34" s="8" t="s">
        <v>55</v>
      </c>
      <c r="M34" s="10" t="n">
        <v>10</v>
      </c>
      <c r="N34" s="11" t="s">
        <v>46</v>
      </c>
      <c r="O34" s="12" t="n">
        <v>0</v>
      </c>
    </row>
    <row r="35" customFormat="false" ht="32.8" hidden="false" customHeight="false" outlineLevel="0" collapsed="false">
      <c r="A35" s="7" t="s">
        <v>211</v>
      </c>
      <c r="B35" s="8" t="s">
        <v>212</v>
      </c>
      <c r="C35" s="8" t="s">
        <v>187</v>
      </c>
      <c r="D35" s="8" t="s">
        <v>94</v>
      </c>
      <c r="E35" s="8" t="s">
        <v>49</v>
      </c>
      <c r="F35" s="8" t="s">
        <v>213</v>
      </c>
      <c r="G35" s="14" t="s">
        <v>132</v>
      </c>
      <c r="H35" s="8" t="s">
        <v>214</v>
      </c>
      <c r="I35" s="8" t="s">
        <v>215</v>
      </c>
      <c r="J35" s="8" t="s">
        <v>210</v>
      </c>
      <c r="K35" s="8" t="s">
        <v>205</v>
      </c>
      <c r="L35" s="8" t="s">
        <v>55</v>
      </c>
      <c r="M35" s="10" t="n">
        <v>8</v>
      </c>
      <c r="N35" s="11" t="s">
        <v>46</v>
      </c>
      <c r="O35" s="12" t="n">
        <v>0</v>
      </c>
    </row>
    <row r="36" customFormat="false" ht="32.8" hidden="false" customHeight="false" outlineLevel="0" collapsed="false">
      <c r="A36" s="7" t="s">
        <v>216</v>
      </c>
      <c r="B36" s="8" t="s">
        <v>217</v>
      </c>
      <c r="C36" s="8" t="s">
        <v>187</v>
      </c>
      <c r="D36" s="8" t="s">
        <v>94</v>
      </c>
      <c r="E36" s="8" t="s">
        <v>49</v>
      </c>
      <c r="F36" s="8" t="s">
        <v>218</v>
      </c>
      <c r="G36" s="9" t="s">
        <v>40</v>
      </c>
      <c r="H36" s="8" t="s">
        <v>219</v>
      </c>
      <c r="I36" s="8" t="s">
        <v>220</v>
      </c>
      <c r="J36" s="8" t="s">
        <v>210</v>
      </c>
      <c r="K36" s="8" t="s">
        <v>211</v>
      </c>
      <c r="L36" s="8" t="s">
        <v>55</v>
      </c>
      <c r="M36" s="10" t="n">
        <v>14</v>
      </c>
      <c r="N36" s="11" t="s">
        <v>46</v>
      </c>
      <c r="O36" s="12" t="n">
        <v>0</v>
      </c>
    </row>
    <row r="37" customFormat="false" ht="32.8" hidden="false" customHeight="false" outlineLevel="0" collapsed="false">
      <c r="A37" s="7" t="s">
        <v>221</v>
      </c>
      <c r="B37" s="8" t="s">
        <v>222</v>
      </c>
      <c r="C37" s="8" t="s">
        <v>187</v>
      </c>
      <c r="D37" s="8" t="s">
        <v>94</v>
      </c>
      <c r="E37" s="8" t="s">
        <v>38</v>
      </c>
      <c r="F37" s="8" t="s">
        <v>223</v>
      </c>
      <c r="G37" s="14" t="s">
        <v>132</v>
      </c>
      <c r="H37" s="8" t="s">
        <v>224</v>
      </c>
      <c r="I37" s="8" t="s">
        <v>225</v>
      </c>
      <c r="J37" s="8" t="s">
        <v>210</v>
      </c>
      <c r="K37" s="8" t="s">
        <v>216</v>
      </c>
      <c r="L37" s="8" t="s">
        <v>55</v>
      </c>
      <c r="M37" s="10" t="n">
        <v>10</v>
      </c>
      <c r="N37" s="11" t="s">
        <v>46</v>
      </c>
      <c r="O37" s="12" t="n">
        <v>0</v>
      </c>
    </row>
    <row r="38" customFormat="false" ht="32.8" hidden="false" customHeight="false" outlineLevel="0" collapsed="false">
      <c r="A38" s="7" t="s">
        <v>226</v>
      </c>
      <c r="B38" s="8" t="s">
        <v>227</v>
      </c>
      <c r="C38" s="8" t="s">
        <v>187</v>
      </c>
      <c r="D38" s="8" t="s">
        <v>94</v>
      </c>
      <c r="E38" s="8" t="s">
        <v>49</v>
      </c>
      <c r="F38" s="8" t="s">
        <v>228</v>
      </c>
      <c r="G38" s="15" t="s">
        <v>229</v>
      </c>
      <c r="H38" s="8" t="s">
        <v>230</v>
      </c>
      <c r="I38" s="8" t="s">
        <v>231</v>
      </c>
      <c r="J38" s="8" t="s">
        <v>210</v>
      </c>
      <c r="K38" s="8" t="s">
        <v>232</v>
      </c>
      <c r="L38" s="8" t="s">
        <v>55</v>
      </c>
      <c r="M38" s="10" t="n">
        <v>6</v>
      </c>
      <c r="N38" s="11" t="s">
        <v>46</v>
      </c>
      <c r="O38" s="12" t="n">
        <v>0</v>
      </c>
    </row>
    <row r="39" customFormat="false" ht="32.8" hidden="false" customHeight="false" outlineLevel="0" collapsed="false">
      <c r="A39" s="7" t="s">
        <v>233</v>
      </c>
      <c r="B39" s="8" t="s">
        <v>234</v>
      </c>
      <c r="C39" s="8" t="s">
        <v>187</v>
      </c>
      <c r="D39" s="8" t="s">
        <v>94</v>
      </c>
      <c r="E39" s="8" t="s">
        <v>139</v>
      </c>
      <c r="F39" s="8" t="s">
        <v>235</v>
      </c>
      <c r="G39" s="9" t="s">
        <v>40</v>
      </c>
      <c r="H39" s="8" t="s">
        <v>236</v>
      </c>
      <c r="I39" s="8" t="s">
        <v>237</v>
      </c>
      <c r="J39" s="8" t="s">
        <v>238</v>
      </c>
      <c r="K39" s="8" t="s">
        <v>216</v>
      </c>
      <c r="L39" s="8" t="s">
        <v>68</v>
      </c>
      <c r="M39" s="10" t="n">
        <v>8</v>
      </c>
      <c r="N39" s="11" t="s">
        <v>46</v>
      </c>
      <c r="O39" s="12" t="n">
        <v>0</v>
      </c>
    </row>
    <row r="40" customFormat="false" ht="19.5" hidden="false" customHeight="true" outlineLevel="0" collapsed="false">
      <c r="A40" s="6" t="s">
        <v>239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53.7" hidden="false" customHeight="false" outlineLevel="0" collapsed="false">
      <c r="A41" s="7" t="s">
        <v>240</v>
      </c>
      <c r="B41" s="8" t="s">
        <v>241</v>
      </c>
      <c r="C41" s="8" t="s">
        <v>239</v>
      </c>
      <c r="D41" s="8" t="s">
        <v>94</v>
      </c>
      <c r="E41" s="8" t="s">
        <v>49</v>
      </c>
      <c r="F41" s="8" t="s">
        <v>242</v>
      </c>
      <c r="G41" s="9" t="s">
        <v>40</v>
      </c>
      <c r="H41" s="8" t="s">
        <v>243</v>
      </c>
      <c r="I41" s="8" t="s">
        <v>244</v>
      </c>
      <c r="J41" s="8" t="s">
        <v>245</v>
      </c>
      <c r="K41" s="8" t="s">
        <v>44</v>
      </c>
      <c r="L41" s="8" t="s">
        <v>55</v>
      </c>
      <c r="M41" s="10" t="n">
        <v>8</v>
      </c>
      <c r="N41" s="11" t="s">
        <v>46</v>
      </c>
      <c r="O41" s="12" t="n">
        <v>0</v>
      </c>
    </row>
    <row r="42" customFormat="false" ht="53.7" hidden="false" customHeight="false" outlineLevel="0" collapsed="false">
      <c r="A42" s="7" t="s">
        <v>246</v>
      </c>
      <c r="B42" s="8" t="s">
        <v>247</v>
      </c>
      <c r="C42" s="8" t="s">
        <v>239</v>
      </c>
      <c r="D42" s="8" t="s">
        <v>94</v>
      </c>
      <c r="E42" s="8" t="s">
        <v>49</v>
      </c>
      <c r="F42" s="8" t="s">
        <v>248</v>
      </c>
      <c r="G42" s="14" t="s">
        <v>132</v>
      </c>
      <c r="H42" s="8" t="s">
        <v>249</v>
      </c>
      <c r="I42" s="8" t="s">
        <v>250</v>
      </c>
      <c r="J42" s="8" t="s">
        <v>251</v>
      </c>
      <c r="K42" s="8" t="s">
        <v>44</v>
      </c>
      <c r="L42" s="8" t="s">
        <v>55</v>
      </c>
      <c r="M42" s="10" t="n">
        <v>6</v>
      </c>
      <c r="N42" s="11" t="s">
        <v>46</v>
      </c>
      <c r="O42" s="12" t="n">
        <v>0</v>
      </c>
    </row>
    <row r="43" customFormat="false" ht="53.7" hidden="false" customHeight="false" outlineLevel="0" collapsed="false">
      <c r="A43" s="7" t="s">
        <v>252</v>
      </c>
      <c r="B43" s="8" t="s">
        <v>253</v>
      </c>
      <c r="C43" s="8" t="s">
        <v>239</v>
      </c>
      <c r="D43" s="8" t="s">
        <v>94</v>
      </c>
      <c r="E43" s="8" t="s">
        <v>49</v>
      </c>
      <c r="F43" s="8" t="s">
        <v>254</v>
      </c>
      <c r="G43" s="9" t="s">
        <v>40</v>
      </c>
      <c r="H43" s="8" t="s">
        <v>255</v>
      </c>
      <c r="I43" s="8" t="s">
        <v>256</v>
      </c>
      <c r="J43" s="8" t="s">
        <v>257</v>
      </c>
      <c r="K43" s="8" t="s">
        <v>246</v>
      </c>
      <c r="L43" s="8" t="s">
        <v>55</v>
      </c>
      <c r="M43" s="10" t="n">
        <v>10</v>
      </c>
      <c r="N43" s="11" t="s">
        <v>46</v>
      </c>
      <c r="O43" s="12" t="n">
        <v>0</v>
      </c>
    </row>
    <row r="44" customFormat="false" ht="53.7" hidden="false" customHeight="false" outlineLevel="0" collapsed="false">
      <c r="A44" s="7" t="s">
        <v>258</v>
      </c>
      <c r="B44" s="8" t="s">
        <v>259</v>
      </c>
      <c r="C44" s="8" t="s">
        <v>239</v>
      </c>
      <c r="D44" s="8" t="s">
        <v>94</v>
      </c>
      <c r="E44" s="8" t="s">
        <v>38</v>
      </c>
      <c r="F44" s="8" t="s">
        <v>260</v>
      </c>
      <c r="G44" s="9" t="s">
        <v>40</v>
      </c>
      <c r="H44" s="8" t="s">
        <v>261</v>
      </c>
      <c r="I44" s="8" t="s">
        <v>262</v>
      </c>
      <c r="J44" s="8" t="s">
        <v>263</v>
      </c>
      <c r="K44" s="8" t="s">
        <v>44</v>
      </c>
      <c r="L44" s="8" t="s">
        <v>55</v>
      </c>
      <c r="M44" s="10" t="n">
        <v>10</v>
      </c>
      <c r="N44" s="11" t="s">
        <v>46</v>
      </c>
      <c r="O44" s="12" t="n">
        <v>0</v>
      </c>
    </row>
    <row r="45" customFormat="false" ht="53.7" hidden="false" customHeight="false" outlineLevel="0" collapsed="false">
      <c r="A45" s="7" t="s">
        <v>264</v>
      </c>
      <c r="B45" s="8" t="s">
        <v>265</v>
      </c>
      <c r="C45" s="8" t="s">
        <v>239</v>
      </c>
      <c r="D45" s="8" t="s">
        <v>94</v>
      </c>
      <c r="E45" s="8" t="s">
        <v>71</v>
      </c>
      <c r="F45" s="8" t="s">
        <v>266</v>
      </c>
      <c r="G45" s="15" t="s">
        <v>229</v>
      </c>
      <c r="H45" s="8" t="s">
        <v>267</v>
      </c>
      <c r="I45" s="8" t="s">
        <v>268</v>
      </c>
      <c r="J45" s="8" t="s">
        <v>269</v>
      </c>
      <c r="K45" s="8" t="s">
        <v>44</v>
      </c>
      <c r="L45" s="8" t="s">
        <v>71</v>
      </c>
      <c r="M45" s="10" t="n">
        <v>4</v>
      </c>
      <c r="N45" s="11" t="s">
        <v>46</v>
      </c>
      <c r="O45" s="12" t="n">
        <v>0</v>
      </c>
    </row>
    <row r="46" customFormat="false" ht="53.7" hidden="false" customHeight="false" outlineLevel="0" collapsed="false">
      <c r="A46" s="7" t="s">
        <v>270</v>
      </c>
      <c r="B46" s="8" t="s">
        <v>271</v>
      </c>
      <c r="C46" s="8" t="s">
        <v>239</v>
      </c>
      <c r="D46" s="8" t="s">
        <v>94</v>
      </c>
      <c r="E46" s="8" t="s">
        <v>38</v>
      </c>
      <c r="F46" s="8" t="s">
        <v>272</v>
      </c>
      <c r="G46" s="14" t="s">
        <v>132</v>
      </c>
      <c r="H46" s="8" t="s">
        <v>273</v>
      </c>
      <c r="I46" s="8" t="s">
        <v>274</v>
      </c>
      <c r="J46" s="8" t="s">
        <v>275</v>
      </c>
      <c r="K46" s="8" t="s">
        <v>44</v>
      </c>
      <c r="L46" s="8" t="s">
        <v>55</v>
      </c>
      <c r="M46" s="10" t="n">
        <v>8</v>
      </c>
      <c r="N46" s="11" t="s">
        <v>46</v>
      </c>
      <c r="O46" s="12" t="n">
        <v>0</v>
      </c>
    </row>
    <row r="47" customFormat="false" ht="19.5" hidden="false" customHeight="true" outlineLevel="0" collapsed="false">
      <c r="A47" s="6" t="s">
        <v>276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customFormat="false" ht="64.15" hidden="false" customHeight="false" outlineLevel="0" collapsed="false">
      <c r="A48" s="7" t="s">
        <v>277</v>
      </c>
      <c r="B48" s="8" t="s">
        <v>278</v>
      </c>
      <c r="C48" s="8" t="s">
        <v>276</v>
      </c>
      <c r="D48" s="8" t="s">
        <v>37</v>
      </c>
      <c r="E48" s="8" t="s">
        <v>49</v>
      </c>
      <c r="F48" s="8" t="s">
        <v>279</v>
      </c>
      <c r="G48" s="9" t="s">
        <v>40</v>
      </c>
      <c r="H48" s="8" t="s">
        <v>280</v>
      </c>
      <c r="I48" s="8" t="s">
        <v>281</v>
      </c>
      <c r="J48" s="8" t="s">
        <v>282</v>
      </c>
      <c r="K48" s="8" t="s">
        <v>44</v>
      </c>
      <c r="L48" s="8" t="s">
        <v>283</v>
      </c>
      <c r="M48" s="10" t="n">
        <v>12</v>
      </c>
      <c r="N48" s="11" t="s">
        <v>46</v>
      </c>
      <c r="O48" s="12" t="n">
        <v>0</v>
      </c>
    </row>
    <row r="49" customFormat="false" ht="64.15" hidden="false" customHeight="false" outlineLevel="0" collapsed="false">
      <c r="A49" s="7" t="s">
        <v>284</v>
      </c>
      <c r="B49" s="8" t="s">
        <v>285</v>
      </c>
      <c r="C49" s="8" t="s">
        <v>276</v>
      </c>
      <c r="D49" s="8" t="s">
        <v>37</v>
      </c>
      <c r="E49" s="8" t="s">
        <v>38</v>
      </c>
      <c r="F49" s="8" t="s">
        <v>279</v>
      </c>
      <c r="G49" s="14" t="s">
        <v>132</v>
      </c>
      <c r="H49" s="8" t="s">
        <v>286</v>
      </c>
      <c r="I49" s="8" t="s">
        <v>287</v>
      </c>
      <c r="J49" s="8" t="s">
        <v>288</v>
      </c>
      <c r="K49" s="8" t="s">
        <v>44</v>
      </c>
      <c r="L49" s="8" t="s">
        <v>283</v>
      </c>
      <c r="M49" s="10" t="n">
        <v>6</v>
      </c>
      <c r="N49" s="11" t="s">
        <v>46</v>
      </c>
      <c r="O49" s="12" t="n">
        <v>0</v>
      </c>
    </row>
    <row r="50" customFormat="false" ht="64.15" hidden="false" customHeight="false" outlineLevel="0" collapsed="false">
      <c r="A50" s="7" t="s">
        <v>289</v>
      </c>
      <c r="B50" s="8" t="s">
        <v>290</v>
      </c>
      <c r="C50" s="8" t="s">
        <v>276</v>
      </c>
      <c r="D50" s="8" t="s">
        <v>37</v>
      </c>
      <c r="E50" s="8" t="s">
        <v>181</v>
      </c>
      <c r="F50" s="8" t="s">
        <v>291</v>
      </c>
      <c r="G50" s="9" t="s">
        <v>40</v>
      </c>
      <c r="H50" s="8" t="s">
        <v>292</v>
      </c>
      <c r="I50" s="8" t="s">
        <v>293</v>
      </c>
      <c r="J50" s="8" t="s">
        <v>294</v>
      </c>
      <c r="K50" s="8" t="s">
        <v>44</v>
      </c>
      <c r="L50" s="8" t="s">
        <v>68</v>
      </c>
      <c r="M50" s="10" t="n">
        <v>12</v>
      </c>
      <c r="N50" s="11" t="s">
        <v>46</v>
      </c>
      <c r="O50" s="12" t="n">
        <v>0</v>
      </c>
    </row>
    <row r="51" customFormat="false" ht="64.15" hidden="false" customHeight="false" outlineLevel="0" collapsed="false">
      <c r="A51" s="7" t="s">
        <v>295</v>
      </c>
      <c r="B51" s="8" t="s">
        <v>296</v>
      </c>
      <c r="C51" s="8" t="s">
        <v>276</v>
      </c>
      <c r="D51" s="8" t="s">
        <v>37</v>
      </c>
      <c r="E51" s="8" t="s">
        <v>181</v>
      </c>
      <c r="F51" s="8" t="s">
        <v>297</v>
      </c>
      <c r="G51" s="14" t="s">
        <v>132</v>
      </c>
      <c r="H51" s="8" t="s">
        <v>298</v>
      </c>
      <c r="I51" s="8" t="s">
        <v>299</v>
      </c>
      <c r="J51" s="8" t="s">
        <v>300</v>
      </c>
      <c r="K51" s="8" t="s">
        <v>44</v>
      </c>
      <c r="L51" s="8" t="s">
        <v>68</v>
      </c>
      <c r="M51" s="10" t="n">
        <v>8</v>
      </c>
      <c r="N51" s="11" t="s">
        <v>46</v>
      </c>
      <c r="O51" s="12" t="n">
        <v>0</v>
      </c>
    </row>
    <row r="52" customFormat="false" ht="64.15" hidden="false" customHeight="false" outlineLevel="0" collapsed="false">
      <c r="A52" s="7" t="s">
        <v>301</v>
      </c>
      <c r="B52" s="8" t="s">
        <v>302</v>
      </c>
      <c r="C52" s="8" t="s">
        <v>276</v>
      </c>
      <c r="D52" s="8" t="s">
        <v>37</v>
      </c>
      <c r="E52" s="8" t="s">
        <v>181</v>
      </c>
      <c r="F52" s="8" t="s">
        <v>303</v>
      </c>
      <c r="G52" s="14" t="s">
        <v>132</v>
      </c>
      <c r="H52" s="8" t="s">
        <v>304</v>
      </c>
      <c r="I52" s="8" t="s">
        <v>305</v>
      </c>
      <c r="J52" s="8" t="s">
        <v>300</v>
      </c>
      <c r="K52" s="8" t="s">
        <v>295</v>
      </c>
      <c r="L52" s="8" t="s">
        <v>68</v>
      </c>
      <c r="M52" s="10" t="n">
        <v>10</v>
      </c>
      <c r="N52" s="11" t="s">
        <v>46</v>
      </c>
      <c r="O52" s="12" t="n">
        <v>0</v>
      </c>
    </row>
    <row r="53" customFormat="false" ht="64.15" hidden="false" customHeight="false" outlineLevel="0" collapsed="false">
      <c r="A53" s="7" t="s">
        <v>306</v>
      </c>
      <c r="B53" s="8" t="s">
        <v>307</v>
      </c>
      <c r="C53" s="8" t="s">
        <v>276</v>
      </c>
      <c r="D53" s="8" t="s">
        <v>37</v>
      </c>
      <c r="E53" s="8" t="s">
        <v>38</v>
      </c>
      <c r="F53" s="8" t="s">
        <v>308</v>
      </c>
      <c r="G53" s="9" t="s">
        <v>40</v>
      </c>
      <c r="H53" s="8" t="s">
        <v>309</v>
      </c>
      <c r="I53" s="8" t="s">
        <v>310</v>
      </c>
      <c r="J53" s="8" t="s">
        <v>311</v>
      </c>
      <c r="K53" s="8" t="s">
        <v>56</v>
      </c>
      <c r="L53" s="8" t="s">
        <v>55</v>
      </c>
      <c r="M53" s="10" t="n">
        <v>8</v>
      </c>
      <c r="N53" s="11" t="s">
        <v>46</v>
      </c>
      <c r="O53" s="12" t="n">
        <v>0</v>
      </c>
    </row>
    <row r="54" customFormat="false" ht="64.15" hidden="false" customHeight="false" outlineLevel="0" collapsed="false">
      <c r="A54" s="7" t="s">
        <v>312</v>
      </c>
      <c r="B54" s="8" t="s">
        <v>313</v>
      </c>
      <c r="C54" s="8" t="s">
        <v>276</v>
      </c>
      <c r="D54" s="8" t="s">
        <v>37</v>
      </c>
      <c r="E54" s="8" t="s">
        <v>139</v>
      </c>
      <c r="F54" s="8" t="s">
        <v>314</v>
      </c>
      <c r="G54" s="14" t="s">
        <v>132</v>
      </c>
      <c r="H54" s="8" t="s">
        <v>315</v>
      </c>
      <c r="I54" s="8" t="s">
        <v>316</v>
      </c>
      <c r="J54" s="8" t="s">
        <v>317</v>
      </c>
      <c r="K54" s="8" t="s">
        <v>277</v>
      </c>
      <c r="L54" s="8" t="s">
        <v>68</v>
      </c>
      <c r="M54" s="10" t="n">
        <v>8</v>
      </c>
      <c r="N54" s="11" t="s">
        <v>46</v>
      </c>
      <c r="O54" s="12" t="n">
        <v>0</v>
      </c>
    </row>
    <row r="55" customFormat="false" ht="64.15" hidden="false" customHeight="false" outlineLevel="0" collapsed="false">
      <c r="A55" s="7" t="s">
        <v>318</v>
      </c>
      <c r="B55" s="8" t="s">
        <v>319</v>
      </c>
      <c r="C55" s="8" t="s">
        <v>276</v>
      </c>
      <c r="D55" s="8" t="s">
        <v>37</v>
      </c>
      <c r="E55" s="8" t="s">
        <v>139</v>
      </c>
      <c r="F55" s="8" t="s">
        <v>320</v>
      </c>
      <c r="G55" s="14" t="s">
        <v>132</v>
      </c>
      <c r="H55" s="8" t="s">
        <v>321</v>
      </c>
      <c r="I55" s="8" t="s">
        <v>322</v>
      </c>
      <c r="J55" s="8" t="s">
        <v>323</v>
      </c>
      <c r="K55" s="8" t="s">
        <v>44</v>
      </c>
      <c r="L55" s="8" t="s">
        <v>68</v>
      </c>
      <c r="M55" s="10" t="n">
        <v>10</v>
      </c>
      <c r="N55" s="11" t="s">
        <v>46</v>
      </c>
      <c r="O55" s="12" t="n">
        <v>0</v>
      </c>
    </row>
    <row r="56" customFormat="false" ht="64.15" hidden="false" customHeight="false" outlineLevel="0" collapsed="false">
      <c r="A56" s="7" t="s">
        <v>324</v>
      </c>
      <c r="B56" s="8" t="s">
        <v>325</v>
      </c>
      <c r="C56" s="8" t="s">
        <v>276</v>
      </c>
      <c r="D56" s="8" t="s">
        <v>37</v>
      </c>
      <c r="E56" s="8" t="s">
        <v>139</v>
      </c>
      <c r="F56" s="8" t="s">
        <v>326</v>
      </c>
      <c r="G56" s="9" t="s">
        <v>40</v>
      </c>
      <c r="H56" s="8" t="s">
        <v>327</v>
      </c>
      <c r="I56" s="8" t="s">
        <v>328</v>
      </c>
      <c r="J56" s="8" t="s">
        <v>185</v>
      </c>
      <c r="K56" s="8" t="s">
        <v>329</v>
      </c>
      <c r="L56" s="8" t="s">
        <v>68</v>
      </c>
      <c r="M56" s="10" t="n">
        <v>10</v>
      </c>
      <c r="N56" s="11" t="s">
        <v>46</v>
      </c>
      <c r="O56" s="12" t="n">
        <v>0</v>
      </c>
    </row>
    <row r="57" customFormat="false" ht="64.15" hidden="false" customHeight="false" outlineLevel="0" collapsed="false">
      <c r="A57" s="7" t="s">
        <v>330</v>
      </c>
      <c r="B57" s="8" t="s">
        <v>331</v>
      </c>
      <c r="C57" s="8" t="s">
        <v>276</v>
      </c>
      <c r="D57" s="8" t="s">
        <v>37</v>
      </c>
      <c r="E57" s="8" t="s">
        <v>139</v>
      </c>
      <c r="F57" s="8" t="s">
        <v>332</v>
      </c>
      <c r="G57" s="14" t="s">
        <v>132</v>
      </c>
      <c r="H57" s="8" t="s">
        <v>333</v>
      </c>
      <c r="I57" s="8" t="s">
        <v>334</v>
      </c>
      <c r="J57" s="8" t="s">
        <v>335</v>
      </c>
      <c r="K57" s="8" t="s">
        <v>240</v>
      </c>
      <c r="L57" s="8" t="s">
        <v>68</v>
      </c>
      <c r="M57" s="10" t="n">
        <v>8</v>
      </c>
      <c r="N57" s="11" t="s">
        <v>46</v>
      </c>
      <c r="O57" s="12" t="n">
        <v>0</v>
      </c>
    </row>
    <row r="58" customFormat="false" ht="64.15" hidden="false" customHeight="false" outlineLevel="0" collapsed="false">
      <c r="A58" s="7" t="s">
        <v>336</v>
      </c>
      <c r="B58" s="8" t="s">
        <v>337</v>
      </c>
      <c r="C58" s="8" t="s">
        <v>276</v>
      </c>
      <c r="D58" s="8" t="s">
        <v>37</v>
      </c>
      <c r="E58" s="8" t="s">
        <v>139</v>
      </c>
      <c r="F58" s="8" t="s">
        <v>338</v>
      </c>
      <c r="G58" s="9" t="s">
        <v>40</v>
      </c>
      <c r="H58" s="8" t="s">
        <v>339</v>
      </c>
      <c r="I58" s="8" t="s">
        <v>340</v>
      </c>
      <c r="J58" s="8" t="s">
        <v>341</v>
      </c>
      <c r="K58" s="8" t="s">
        <v>233</v>
      </c>
      <c r="L58" s="8" t="s">
        <v>68</v>
      </c>
      <c r="M58" s="10" t="n">
        <v>8</v>
      </c>
      <c r="N58" s="11" t="s">
        <v>46</v>
      </c>
      <c r="O58" s="12" t="n">
        <v>0</v>
      </c>
    </row>
    <row r="59" customFormat="false" ht="64.15" hidden="false" customHeight="false" outlineLevel="0" collapsed="false">
      <c r="A59" s="7" t="s">
        <v>342</v>
      </c>
      <c r="B59" s="8" t="s">
        <v>343</v>
      </c>
      <c r="C59" s="8" t="s">
        <v>276</v>
      </c>
      <c r="D59" s="8" t="s">
        <v>37</v>
      </c>
      <c r="E59" s="8" t="s">
        <v>38</v>
      </c>
      <c r="F59" s="8" t="s">
        <v>344</v>
      </c>
      <c r="G59" s="14" t="s">
        <v>132</v>
      </c>
      <c r="H59" s="8" t="s">
        <v>345</v>
      </c>
      <c r="I59" s="8" t="s">
        <v>346</v>
      </c>
      <c r="J59" s="8" t="s">
        <v>347</v>
      </c>
      <c r="K59" s="8" t="s">
        <v>44</v>
      </c>
      <c r="L59" s="8" t="s">
        <v>348</v>
      </c>
      <c r="M59" s="10" t="n">
        <v>5</v>
      </c>
      <c r="N59" s="11" t="s">
        <v>46</v>
      </c>
      <c r="O59" s="12" t="n">
        <v>0</v>
      </c>
    </row>
    <row r="60" customFormat="false" ht="64.15" hidden="false" customHeight="false" outlineLevel="0" collapsed="false">
      <c r="A60" s="7" t="s">
        <v>349</v>
      </c>
      <c r="B60" s="8" t="s">
        <v>350</v>
      </c>
      <c r="C60" s="8" t="s">
        <v>276</v>
      </c>
      <c r="D60" s="8" t="s">
        <v>37</v>
      </c>
      <c r="E60" s="8" t="s">
        <v>351</v>
      </c>
      <c r="F60" s="8" t="s">
        <v>352</v>
      </c>
      <c r="G60" s="14" t="s">
        <v>132</v>
      </c>
      <c r="H60" s="8" t="s">
        <v>353</v>
      </c>
      <c r="I60" s="8" t="s">
        <v>354</v>
      </c>
      <c r="J60" s="8" t="s">
        <v>355</v>
      </c>
      <c r="K60" s="8" t="s">
        <v>44</v>
      </c>
      <c r="L60" s="8" t="s">
        <v>283</v>
      </c>
      <c r="M60" s="10" t="n">
        <v>4</v>
      </c>
      <c r="N60" s="11" t="s">
        <v>46</v>
      </c>
      <c r="O60" s="12" t="n">
        <v>0</v>
      </c>
    </row>
    <row r="61" customFormat="false" ht="19.5" hidden="false" customHeight="true" outlineLevel="0" collapsed="false">
      <c r="A61" s="6" t="s">
        <v>356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customFormat="false" ht="43.25" hidden="false" customHeight="false" outlineLevel="0" collapsed="false">
      <c r="A62" s="7" t="s">
        <v>357</v>
      </c>
      <c r="B62" s="8" t="s">
        <v>358</v>
      </c>
      <c r="C62" s="8" t="s">
        <v>356</v>
      </c>
      <c r="D62" s="8" t="s">
        <v>359</v>
      </c>
      <c r="E62" s="8" t="s">
        <v>85</v>
      </c>
      <c r="F62" s="8" t="s">
        <v>360</v>
      </c>
      <c r="G62" s="9" t="s">
        <v>40</v>
      </c>
      <c r="H62" s="8" t="s">
        <v>361</v>
      </c>
      <c r="I62" s="8" t="s">
        <v>362</v>
      </c>
      <c r="J62" s="8" t="s">
        <v>363</v>
      </c>
      <c r="K62" s="8" t="s">
        <v>44</v>
      </c>
      <c r="L62" s="8" t="s">
        <v>55</v>
      </c>
      <c r="M62" s="10" t="n">
        <v>12</v>
      </c>
      <c r="N62" s="11" t="s">
        <v>46</v>
      </c>
      <c r="O62" s="12" t="n">
        <v>0</v>
      </c>
    </row>
    <row r="63" customFormat="false" ht="43.25" hidden="false" customHeight="false" outlineLevel="0" collapsed="false">
      <c r="A63" s="7" t="s">
        <v>364</v>
      </c>
      <c r="B63" s="8" t="s">
        <v>365</v>
      </c>
      <c r="C63" s="8" t="s">
        <v>356</v>
      </c>
      <c r="D63" s="8" t="s">
        <v>359</v>
      </c>
      <c r="E63" s="8" t="s">
        <v>85</v>
      </c>
      <c r="F63" s="8" t="s">
        <v>366</v>
      </c>
      <c r="G63" s="14" t="s">
        <v>132</v>
      </c>
      <c r="H63" s="8" t="s">
        <v>367</v>
      </c>
      <c r="I63" s="8" t="s">
        <v>368</v>
      </c>
      <c r="J63" s="8" t="s">
        <v>369</v>
      </c>
      <c r="K63" s="8" t="s">
        <v>44</v>
      </c>
      <c r="L63" s="8" t="s">
        <v>55</v>
      </c>
      <c r="M63" s="10" t="n">
        <v>8</v>
      </c>
      <c r="N63" s="11" t="s">
        <v>46</v>
      </c>
      <c r="O63" s="12" t="n">
        <v>0</v>
      </c>
    </row>
    <row r="64" customFormat="false" ht="43.25" hidden="false" customHeight="false" outlineLevel="0" collapsed="false">
      <c r="A64" s="7" t="s">
        <v>370</v>
      </c>
      <c r="B64" s="8" t="s">
        <v>371</v>
      </c>
      <c r="C64" s="8" t="s">
        <v>356</v>
      </c>
      <c r="D64" s="8" t="s">
        <v>359</v>
      </c>
      <c r="E64" s="8" t="s">
        <v>85</v>
      </c>
      <c r="F64" s="8" t="s">
        <v>360</v>
      </c>
      <c r="G64" s="9" t="s">
        <v>40</v>
      </c>
      <c r="H64" s="8" t="s">
        <v>372</v>
      </c>
      <c r="I64" s="8" t="s">
        <v>373</v>
      </c>
      <c r="J64" s="8" t="s">
        <v>374</v>
      </c>
      <c r="K64" s="8" t="s">
        <v>375</v>
      </c>
      <c r="L64" s="8" t="s">
        <v>55</v>
      </c>
      <c r="M64" s="10" t="n">
        <v>12</v>
      </c>
      <c r="N64" s="11" t="s">
        <v>46</v>
      </c>
      <c r="O64" s="12" t="n">
        <v>0</v>
      </c>
    </row>
    <row r="65" customFormat="false" ht="43.25" hidden="false" customHeight="false" outlineLevel="0" collapsed="false">
      <c r="A65" s="7" t="s">
        <v>376</v>
      </c>
      <c r="B65" s="8" t="s">
        <v>377</v>
      </c>
      <c r="C65" s="8" t="s">
        <v>356</v>
      </c>
      <c r="D65" s="8" t="s">
        <v>359</v>
      </c>
      <c r="E65" s="8" t="s">
        <v>38</v>
      </c>
      <c r="F65" s="8" t="s">
        <v>378</v>
      </c>
      <c r="G65" s="14" t="s">
        <v>132</v>
      </c>
      <c r="H65" s="8" t="s">
        <v>379</v>
      </c>
      <c r="I65" s="8" t="s">
        <v>380</v>
      </c>
      <c r="J65" s="8" t="s">
        <v>381</v>
      </c>
      <c r="K65" s="8" t="s">
        <v>357</v>
      </c>
      <c r="L65" s="8" t="s">
        <v>55</v>
      </c>
      <c r="M65" s="10" t="n">
        <v>5</v>
      </c>
      <c r="N65" s="11" t="s">
        <v>46</v>
      </c>
      <c r="O65" s="12" t="n">
        <v>0</v>
      </c>
    </row>
    <row r="66" customFormat="false" ht="43.25" hidden="false" customHeight="false" outlineLevel="0" collapsed="false">
      <c r="A66" s="7" t="s">
        <v>382</v>
      </c>
      <c r="B66" s="8" t="s">
        <v>383</v>
      </c>
      <c r="C66" s="8" t="s">
        <v>356</v>
      </c>
      <c r="D66" s="8" t="s">
        <v>359</v>
      </c>
      <c r="E66" s="8" t="s">
        <v>38</v>
      </c>
      <c r="F66" s="8" t="s">
        <v>384</v>
      </c>
      <c r="G66" s="9" t="s">
        <v>40</v>
      </c>
      <c r="H66" s="8" t="s">
        <v>385</v>
      </c>
      <c r="I66" s="8" t="s">
        <v>386</v>
      </c>
      <c r="J66" s="8" t="s">
        <v>387</v>
      </c>
      <c r="K66" s="8" t="s">
        <v>376</v>
      </c>
      <c r="L66" s="8" t="s">
        <v>55</v>
      </c>
      <c r="M66" s="10" t="n">
        <v>8</v>
      </c>
      <c r="N66" s="11" t="s">
        <v>46</v>
      </c>
      <c r="O66" s="12" t="n">
        <v>0</v>
      </c>
    </row>
    <row r="67" customFormat="false" ht="43.25" hidden="false" customHeight="false" outlineLevel="0" collapsed="false">
      <c r="A67" s="7" t="s">
        <v>388</v>
      </c>
      <c r="B67" s="8" t="s">
        <v>389</v>
      </c>
      <c r="C67" s="8" t="s">
        <v>356</v>
      </c>
      <c r="D67" s="8" t="s">
        <v>359</v>
      </c>
      <c r="E67" s="8" t="s">
        <v>49</v>
      </c>
      <c r="F67" s="8" t="s">
        <v>390</v>
      </c>
      <c r="G67" s="14" t="s">
        <v>132</v>
      </c>
      <c r="H67" s="8" t="s">
        <v>391</v>
      </c>
      <c r="I67" s="8" t="s">
        <v>392</v>
      </c>
      <c r="J67" s="8" t="s">
        <v>393</v>
      </c>
      <c r="K67" s="8" t="s">
        <v>47</v>
      </c>
      <c r="L67" s="8" t="s">
        <v>55</v>
      </c>
      <c r="M67" s="10" t="n">
        <v>5</v>
      </c>
      <c r="N67" s="11" t="s">
        <v>46</v>
      </c>
      <c r="O67" s="12" t="n">
        <v>0</v>
      </c>
    </row>
    <row r="68" customFormat="false" ht="43.25" hidden="false" customHeight="false" outlineLevel="0" collapsed="false">
      <c r="A68" s="7" t="s">
        <v>394</v>
      </c>
      <c r="B68" s="8" t="s">
        <v>395</v>
      </c>
      <c r="C68" s="8" t="s">
        <v>356</v>
      </c>
      <c r="D68" s="8" t="s">
        <v>359</v>
      </c>
      <c r="E68" s="8" t="s">
        <v>71</v>
      </c>
      <c r="F68" s="8" t="s">
        <v>396</v>
      </c>
      <c r="G68" s="14" t="s">
        <v>132</v>
      </c>
      <c r="H68" s="8" t="s">
        <v>397</v>
      </c>
      <c r="I68" s="8" t="s">
        <v>398</v>
      </c>
      <c r="J68" s="8" t="s">
        <v>393</v>
      </c>
      <c r="K68" s="8" t="s">
        <v>382</v>
      </c>
      <c r="L68" s="8" t="s">
        <v>71</v>
      </c>
      <c r="M68" s="10" t="n">
        <v>6</v>
      </c>
      <c r="N68" s="11" t="s">
        <v>46</v>
      </c>
      <c r="O68" s="12" t="n">
        <v>0</v>
      </c>
    </row>
    <row r="69" customFormat="false" ht="43.25" hidden="false" customHeight="false" outlineLevel="0" collapsed="false">
      <c r="A69" s="7" t="s">
        <v>399</v>
      </c>
      <c r="B69" s="8" t="s">
        <v>400</v>
      </c>
      <c r="C69" s="8" t="s">
        <v>356</v>
      </c>
      <c r="D69" s="8" t="s">
        <v>359</v>
      </c>
      <c r="E69" s="8" t="s">
        <v>71</v>
      </c>
      <c r="F69" s="8" t="s">
        <v>396</v>
      </c>
      <c r="G69" s="14" t="s">
        <v>132</v>
      </c>
      <c r="H69" s="8" t="s">
        <v>401</v>
      </c>
      <c r="I69" s="8" t="s">
        <v>402</v>
      </c>
      <c r="J69" s="8" t="s">
        <v>403</v>
      </c>
      <c r="K69" s="8" t="s">
        <v>382</v>
      </c>
      <c r="L69" s="8" t="s">
        <v>71</v>
      </c>
      <c r="M69" s="10" t="n">
        <v>4</v>
      </c>
      <c r="N69" s="11" t="s">
        <v>46</v>
      </c>
      <c r="O69" s="12" t="n">
        <v>0</v>
      </c>
    </row>
    <row r="70" customFormat="false" ht="43.25" hidden="false" customHeight="false" outlineLevel="0" collapsed="false">
      <c r="A70" s="7" t="s">
        <v>404</v>
      </c>
      <c r="B70" s="8" t="s">
        <v>405</v>
      </c>
      <c r="C70" s="8" t="s">
        <v>356</v>
      </c>
      <c r="D70" s="8" t="s">
        <v>359</v>
      </c>
      <c r="E70" s="8" t="s">
        <v>71</v>
      </c>
      <c r="F70" s="8" t="s">
        <v>396</v>
      </c>
      <c r="G70" s="15" t="s">
        <v>229</v>
      </c>
      <c r="H70" s="8" t="s">
        <v>406</v>
      </c>
      <c r="I70" s="8" t="s">
        <v>407</v>
      </c>
      <c r="J70" s="8" t="s">
        <v>393</v>
      </c>
      <c r="K70" s="8" t="s">
        <v>394</v>
      </c>
      <c r="L70" s="8" t="s">
        <v>71</v>
      </c>
      <c r="M70" s="10" t="n">
        <v>3</v>
      </c>
      <c r="N70" s="11" t="s">
        <v>46</v>
      </c>
      <c r="O70" s="12" t="n">
        <v>0</v>
      </c>
    </row>
    <row r="71" customFormat="false" ht="43.25" hidden="false" customHeight="false" outlineLevel="0" collapsed="false">
      <c r="A71" s="7" t="s">
        <v>408</v>
      </c>
      <c r="B71" s="8" t="s">
        <v>409</v>
      </c>
      <c r="C71" s="8" t="s">
        <v>356</v>
      </c>
      <c r="D71" s="8" t="s">
        <v>359</v>
      </c>
      <c r="E71" s="8" t="s">
        <v>71</v>
      </c>
      <c r="F71" s="8" t="s">
        <v>410</v>
      </c>
      <c r="G71" s="15" t="s">
        <v>229</v>
      </c>
      <c r="H71" s="8" t="s">
        <v>411</v>
      </c>
      <c r="I71" s="8" t="s">
        <v>412</v>
      </c>
      <c r="J71" s="8" t="s">
        <v>393</v>
      </c>
      <c r="K71" s="8" t="s">
        <v>382</v>
      </c>
      <c r="L71" s="8" t="s">
        <v>71</v>
      </c>
      <c r="M71" s="10" t="n">
        <v>5</v>
      </c>
      <c r="N71" s="11" t="s">
        <v>46</v>
      </c>
      <c r="O71" s="12" t="n">
        <v>0</v>
      </c>
    </row>
    <row r="72" customFormat="false" ht="19.5" hidden="false" customHeight="true" outlineLevel="0" collapsed="false">
      <c r="A72" s="6" t="s">
        <v>413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customFormat="false" ht="32.8" hidden="false" customHeight="false" outlineLevel="0" collapsed="false">
      <c r="A73" s="7" t="s">
        <v>414</v>
      </c>
      <c r="B73" s="8" t="s">
        <v>415</v>
      </c>
      <c r="C73" s="8" t="s">
        <v>413</v>
      </c>
      <c r="D73" s="8" t="s">
        <v>416</v>
      </c>
      <c r="E73" s="8" t="s">
        <v>417</v>
      </c>
      <c r="F73" s="8" t="s">
        <v>418</v>
      </c>
      <c r="G73" s="14" t="s">
        <v>132</v>
      </c>
      <c r="H73" s="8" t="s">
        <v>419</v>
      </c>
      <c r="I73" s="8" t="s">
        <v>420</v>
      </c>
      <c r="J73" s="8" t="s">
        <v>421</v>
      </c>
      <c r="K73" s="8" t="s">
        <v>44</v>
      </c>
      <c r="L73" s="8" t="s">
        <v>422</v>
      </c>
      <c r="M73" s="10" t="n">
        <v>6</v>
      </c>
      <c r="N73" s="11" t="s">
        <v>46</v>
      </c>
      <c r="O73" s="12" t="n">
        <v>0</v>
      </c>
    </row>
    <row r="74" customFormat="false" ht="32.8" hidden="false" customHeight="false" outlineLevel="0" collapsed="false">
      <c r="A74" s="7" t="s">
        <v>423</v>
      </c>
      <c r="B74" s="8" t="s">
        <v>424</v>
      </c>
      <c r="C74" s="8" t="s">
        <v>413</v>
      </c>
      <c r="D74" s="8" t="s">
        <v>416</v>
      </c>
      <c r="E74" s="8" t="s">
        <v>417</v>
      </c>
      <c r="F74" s="8" t="s">
        <v>425</v>
      </c>
      <c r="G74" s="9" t="s">
        <v>40</v>
      </c>
      <c r="H74" s="8" t="s">
        <v>426</v>
      </c>
      <c r="I74" s="8" t="s">
        <v>427</v>
      </c>
      <c r="J74" s="8" t="s">
        <v>428</v>
      </c>
      <c r="K74" s="8" t="s">
        <v>414</v>
      </c>
      <c r="L74" s="8" t="s">
        <v>55</v>
      </c>
      <c r="M74" s="10" t="n">
        <v>10</v>
      </c>
      <c r="N74" s="11" t="s">
        <v>46</v>
      </c>
      <c r="O74" s="12" t="n">
        <v>0</v>
      </c>
    </row>
    <row r="75" customFormat="false" ht="32.8" hidden="false" customHeight="false" outlineLevel="0" collapsed="false">
      <c r="A75" s="7" t="s">
        <v>429</v>
      </c>
      <c r="B75" s="8" t="s">
        <v>430</v>
      </c>
      <c r="C75" s="8" t="s">
        <v>413</v>
      </c>
      <c r="D75" s="8" t="s">
        <v>416</v>
      </c>
      <c r="E75" s="8" t="s">
        <v>417</v>
      </c>
      <c r="F75" s="8" t="s">
        <v>425</v>
      </c>
      <c r="G75" s="15" t="s">
        <v>229</v>
      </c>
      <c r="H75" s="8" t="s">
        <v>431</v>
      </c>
      <c r="I75" s="8" t="s">
        <v>432</v>
      </c>
      <c r="J75" s="8" t="s">
        <v>428</v>
      </c>
      <c r="K75" s="8" t="s">
        <v>414</v>
      </c>
      <c r="L75" s="8" t="s">
        <v>55</v>
      </c>
      <c r="M75" s="10" t="n">
        <v>6</v>
      </c>
      <c r="N75" s="11" t="s">
        <v>46</v>
      </c>
      <c r="O75" s="12" t="n">
        <v>0</v>
      </c>
    </row>
    <row r="76" customFormat="false" ht="32.8" hidden="false" customHeight="false" outlineLevel="0" collapsed="false">
      <c r="A76" s="7" t="s">
        <v>433</v>
      </c>
      <c r="B76" s="8" t="s">
        <v>434</v>
      </c>
      <c r="C76" s="8" t="s">
        <v>413</v>
      </c>
      <c r="D76" s="8" t="s">
        <v>416</v>
      </c>
      <c r="E76" s="8" t="s">
        <v>417</v>
      </c>
      <c r="F76" s="8" t="s">
        <v>425</v>
      </c>
      <c r="G76" s="15" t="s">
        <v>229</v>
      </c>
      <c r="H76" s="8" t="s">
        <v>435</v>
      </c>
      <c r="I76" s="8" t="s">
        <v>432</v>
      </c>
      <c r="J76" s="8" t="s">
        <v>428</v>
      </c>
      <c r="K76" s="8" t="s">
        <v>414</v>
      </c>
      <c r="L76" s="8" t="s">
        <v>55</v>
      </c>
      <c r="M76" s="10" t="n">
        <v>6</v>
      </c>
      <c r="N76" s="11" t="s">
        <v>46</v>
      </c>
      <c r="O76" s="12" t="n">
        <v>0</v>
      </c>
    </row>
    <row r="77" customFormat="false" ht="32.8" hidden="false" customHeight="false" outlineLevel="0" collapsed="false">
      <c r="A77" s="7" t="s">
        <v>436</v>
      </c>
      <c r="B77" s="8" t="s">
        <v>437</v>
      </c>
      <c r="C77" s="8" t="s">
        <v>413</v>
      </c>
      <c r="D77" s="8" t="s">
        <v>416</v>
      </c>
      <c r="E77" s="8" t="s">
        <v>417</v>
      </c>
      <c r="F77" s="8" t="s">
        <v>425</v>
      </c>
      <c r="G77" s="15" t="s">
        <v>229</v>
      </c>
      <c r="H77" s="8" t="s">
        <v>438</v>
      </c>
      <c r="I77" s="8" t="s">
        <v>439</v>
      </c>
      <c r="J77" s="8" t="s">
        <v>428</v>
      </c>
      <c r="K77" s="8" t="s">
        <v>414</v>
      </c>
      <c r="L77" s="8" t="s">
        <v>55</v>
      </c>
      <c r="M77" s="10" t="n">
        <v>8</v>
      </c>
      <c r="N77" s="11" t="s">
        <v>46</v>
      </c>
      <c r="O77" s="12" t="n">
        <v>0</v>
      </c>
    </row>
    <row r="78" customFormat="false" ht="32.8" hidden="false" customHeight="false" outlineLevel="0" collapsed="false">
      <c r="A78" s="7" t="s">
        <v>440</v>
      </c>
      <c r="B78" s="8" t="s">
        <v>441</v>
      </c>
      <c r="C78" s="8" t="s">
        <v>413</v>
      </c>
      <c r="D78" s="8" t="s">
        <v>416</v>
      </c>
      <c r="E78" s="8" t="s">
        <v>417</v>
      </c>
      <c r="F78" s="8" t="s">
        <v>442</v>
      </c>
      <c r="G78" s="14" t="s">
        <v>132</v>
      </c>
      <c r="H78" s="8" t="s">
        <v>443</v>
      </c>
      <c r="I78" s="8" t="s">
        <v>444</v>
      </c>
      <c r="J78" s="8" t="s">
        <v>445</v>
      </c>
      <c r="K78" s="8" t="s">
        <v>44</v>
      </c>
      <c r="L78" s="8" t="s">
        <v>55</v>
      </c>
      <c r="M78" s="10" t="n">
        <v>6</v>
      </c>
      <c r="N78" s="11" t="s">
        <v>46</v>
      </c>
      <c r="O78" s="12" t="n">
        <v>0</v>
      </c>
    </row>
    <row r="79" customFormat="false" ht="32.8" hidden="false" customHeight="false" outlineLevel="0" collapsed="false">
      <c r="A79" s="7" t="s">
        <v>446</v>
      </c>
      <c r="B79" s="8" t="s">
        <v>447</v>
      </c>
      <c r="C79" s="8" t="s">
        <v>413</v>
      </c>
      <c r="D79" s="8" t="s">
        <v>416</v>
      </c>
      <c r="E79" s="8" t="s">
        <v>417</v>
      </c>
      <c r="F79" s="8" t="s">
        <v>442</v>
      </c>
      <c r="G79" s="15" t="s">
        <v>229</v>
      </c>
      <c r="H79" s="8" t="s">
        <v>448</v>
      </c>
      <c r="I79" s="8" t="s">
        <v>449</v>
      </c>
      <c r="J79" s="8" t="s">
        <v>445</v>
      </c>
      <c r="K79" s="8" t="s">
        <v>408</v>
      </c>
      <c r="L79" s="8" t="s">
        <v>422</v>
      </c>
      <c r="M79" s="10" t="n">
        <v>5</v>
      </c>
      <c r="N79" s="11" t="s">
        <v>46</v>
      </c>
      <c r="O79" s="12" t="n">
        <v>0</v>
      </c>
    </row>
    <row r="80" customFormat="false" ht="32.8" hidden="false" customHeight="false" outlineLevel="0" collapsed="false">
      <c r="A80" s="7" t="s">
        <v>450</v>
      </c>
      <c r="B80" s="8" t="s">
        <v>451</v>
      </c>
      <c r="C80" s="8" t="s">
        <v>413</v>
      </c>
      <c r="D80" s="8" t="s">
        <v>416</v>
      </c>
      <c r="E80" s="8" t="s">
        <v>417</v>
      </c>
      <c r="F80" s="8" t="s">
        <v>452</v>
      </c>
      <c r="G80" s="15" t="s">
        <v>229</v>
      </c>
      <c r="H80" s="8" t="s">
        <v>453</v>
      </c>
      <c r="I80" s="8" t="s">
        <v>454</v>
      </c>
      <c r="J80" s="8" t="s">
        <v>421</v>
      </c>
      <c r="K80" s="8" t="s">
        <v>423</v>
      </c>
      <c r="L80" s="8" t="s">
        <v>71</v>
      </c>
      <c r="M80" s="10" t="n">
        <v>5</v>
      </c>
      <c r="N80" s="11" t="s">
        <v>46</v>
      </c>
      <c r="O80" s="12" t="n">
        <v>0</v>
      </c>
    </row>
    <row r="81" customFormat="false" ht="19.5" hidden="false" customHeight="true" outlineLevel="0" collapsed="false">
      <c r="A81" s="6" t="s">
        <v>455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customFormat="false" ht="53.7" hidden="false" customHeight="false" outlineLevel="0" collapsed="false">
      <c r="A82" s="7" t="s">
        <v>456</v>
      </c>
      <c r="B82" s="8" t="s">
        <v>457</v>
      </c>
      <c r="C82" s="8" t="s">
        <v>455</v>
      </c>
      <c r="D82" s="8" t="s">
        <v>37</v>
      </c>
      <c r="E82" s="8" t="s">
        <v>71</v>
      </c>
      <c r="F82" s="8" t="s">
        <v>458</v>
      </c>
      <c r="G82" s="14" t="s">
        <v>132</v>
      </c>
      <c r="H82" s="8" t="s">
        <v>459</v>
      </c>
      <c r="I82" s="8" t="s">
        <v>460</v>
      </c>
      <c r="J82" s="8" t="s">
        <v>355</v>
      </c>
      <c r="K82" s="8" t="s">
        <v>44</v>
      </c>
      <c r="L82" s="8" t="s">
        <v>71</v>
      </c>
      <c r="M82" s="10" t="n">
        <v>6</v>
      </c>
      <c r="N82" s="11" t="s">
        <v>46</v>
      </c>
      <c r="O82" s="12" t="n">
        <v>0</v>
      </c>
    </row>
    <row r="83" customFormat="false" ht="53.7" hidden="false" customHeight="false" outlineLevel="0" collapsed="false">
      <c r="A83" s="7" t="s">
        <v>461</v>
      </c>
      <c r="B83" s="8" t="s">
        <v>462</v>
      </c>
      <c r="C83" s="8" t="s">
        <v>455</v>
      </c>
      <c r="D83" s="8" t="s">
        <v>37</v>
      </c>
      <c r="E83" s="8" t="s">
        <v>351</v>
      </c>
      <c r="F83" s="8" t="s">
        <v>463</v>
      </c>
      <c r="G83" s="14" t="s">
        <v>132</v>
      </c>
      <c r="H83" s="8" t="s">
        <v>464</v>
      </c>
      <c r="I83" s="8" t="s">
        <v>465</v>
      </c>
      <c r="J83" s="8" t="s">
        <v>355</v>
      </c>
      <c r="K83" s="8" t="s">
        <v>44</v>
      </c>
      <c r="L83" s="8" t="s">
        <v>55</v>
      </c>
      <c r="M83" s="10" t="n">
        <v>6</v>
      </c>
      <c r="N83" s="11" t="s">
        <v>46</v>
      </c>
      <c r="O83" s="12" t="n">
        <v>0</v>
      </c>
    </row>
    <row r="84" customFormat="false" ht="53.7" hidden="false" customHeight="false" outlineLevel="0" collapsed="false">
      <c r="A84" s="7" t="s">
        <v>466</v>
      </c>
      <c r="B84" s="8" t="s">
        <v>467</v>
      </c>
      <c r="C84" s="8" t="s">
        <v>455</v>
      </c>
      <c r="D84" s="8" t="s">
        <v>37</v>
      </c>
      <c r="E84" s="8" t="s">
        <v>351</v>
      </c>
      <c r="F84" s="8" t="s">
        <v>468</v>
      </c>
      <c r="G84" s="14" t="s">
        <v>132</v>
      </c>
      <c r="H84" s="8" t="s">
        <v>469</v>
      </c>
      <c r="I84" s="8" t="s">
        <v>470</v>
      </c>
      <c r="J84" s="8" t="s">
        <v>471</v>
      </c>
      <c r="K84" s="8" t="s">
        <v>44</v>
      </c>
      <c r="L84" s="8" t="s">
        <v>283</v>
      </c>
      <c r="M84" s="10" t="n">
        <v>5</v>
      </c>
      <c r="N84" s="11" t="s">
        <v>46</v>
      </c>
      <c r="O84" s="12" t="n">
        <v>0</v>
      </c>
    </row>
    <row r="85" customFormat="false" ht="53.7" hidden="false" customHeight="false" outlineLevel="0" collapsed="false">
      <c r="A85" s="7" t="s">
        <v>472</v>
      </c>
      <c r="B85" s="8" t="s">
        <v>473</v>
      </c>
      <c r="C85" s="8" t="s">
        <v>455</v>
      </c>
      <c r="D85" s="8" t="s">
        <v>37</v>
      </c>
      <c r="E85" s="8" t="s">
        <v>351</v>
      </c>
      <c r="F85" s="8" t="s">
        <v>474</v>
      </c>
      <c r="G85" s="15" t="s">
        <v>229</v>
      </c>
      <c r="H85" s="8" t="s">
        <v>475</v>
      </c>
      <c r="I85" s="8" t="s">
        <v>476</v>
      </c>
      <c r="J85" s="8" t="s">
        <v>477</v>
      </c>
      <c r="K85" s="8" t="s">
        <v>44</v>
      </c>
      <c r="L85" s="8" t="s">
        <v>283</v>
      </c>
      <c r="M85" s="10" t="n">
        <v>3</v>
      </c>
      <c r="N85" s="11" t="s">
        <v>46</v>
      </c>
      <c r="O85" s="12" t="n">
        <v>0</v>
      </c>
    </row>
    <row r="86" customFormat="false" ht="53.7" hidden="false" customHeight="false" outlineLevel="0" collapsed="false">
      <c r="A86" s="7" t="s">
        <v>478</v>
      </c>
      <c r="B86" s="8" t="s">
        <v>479</v>
      </c>
      <c r="C86" s="8" t="s">
        <v>455</v>
      </c>
      <c r="D86" s="8" t="s">
        <v>37</v>
      </c>
      <c r="E86" s="8" t="s">
        <v>71</v>
      </c>
      <c r="F86" s="8" t="s">
        <v>480</v>
      </c>
      <c r="G86" s="14" t="s">
        <v>132</v>
      </c>
      <c r="H86" s="8" t="s">
        <v>481</v>
      </c>
      <c r="I86" s="8" t="s">
        <v>482</v>
      </c>
      <c r="J86" s="8" t="s">
        <v>483</v>
      </c>
      <c r="K86" s="8" t="s">
        <v>69</v>
      </c>
      <c r="L86" s="8" t="s">
        <v>71</v>
      </c>
      <c r="M86" s="10" t="n">
        <v>6</v>
      </c>
      <c r="N86" s="11" t="s">
        <v>46</v>
      </c>
      <c r="O86" s="12" t="n">
        <v>0</v>
      </c>
    </row>
    <row r="87" customFormat="false" ht="53.7" hidden="false" customHeight="false" outlineLevel="0" collapsed="false">
      <c r="A87" s="7" t="s">
        <v>484</v>
      </c>
      <c r="B87" s="8" t="s">
        <v>485</v>
      </c>
      <c r="C87" s="8" t="s">
        <v>455</v>
      </c>
      <c r="D87" s="8" t="s">
        <v>37</v>
      </c>
      <c r="E87" s="8" t="s">
        <v>71</v>
      </c>
      <c r="F87" s="8" t="s">
        <v>272</v>
      </c>
      <c r="G87" s="15" t="s">
        <v>229</v>
      </c>
      <c r="H87" s="8" t="s">
        <v>486</v>
      </c>
      <c r="I87" s="8" t="s">
        <v>487</v>
      </c>
      <c r="J87" s="8" t="s">
        <v>300</v>
      </c>
      <c r="K87" s="8" t="s">
        <v>295</v>
      </c>
      <c r="L87" s="8" t="s">
        <v>71</v>
      </c>
      <c r="M87" s="10" t="n">
        <v>4</v>
      </c>
      <c r="N87" s="11" t="s">
        <v>46</v>
      </c>
      <c r="O87" s="12" t="n">
        <v>0</v>
      </c>
    </row>
    <row r="88" customFormat="false" ht="53.7" hidden="false" customHeight="false" outlineLevel="0" collapsed="false">
      <c r="A88" s="7" t="s">
        <v>488</v>
      </c>
      <c r="B88" s="8" t="s">
        <v>489</v>
      </c>
      <c r="C88" s="8" t="s">
        <v>455</v>
      </c>
      <c r="D88" s="8" t="s">
        <v>37</v>
      </c>
      <c r="E88" s="8" t="s">
        <v>71</v>
      </c>
      <c r="F88" s="8" t="s">
        <v>490</v>
      </c>
      <c r="G88" s="14" t="s">
        <v>132</v>
      </c>
      <c r="H88" s="8" t="s">
        <v>491</v>
      </c>
      <c r="I88" s="8" t="s">
        <v>492</v>
      </c>
      <c r="J88" s="8" t="s">
        <v>493</v>
      </c>
      <c r="K88" s="8" t="s">
        <v>44</v>
      </c>
      <c r="L88" s="8" t="s">
        <v>71</v>
      </c>
      <c r="M88" s="10" t="n">
        <v>6</v>
      </c>
      <c r="N88" s="11" t="s">
        <v>46</v>
      </c>
      <c r="O88" s="12" t="n">
        <v>0</v>
      </c>
    </row>
  </sheetData>
  <autoFilter ref="A2:O88"/>
  <mergeCells count="12">
    <mergeCell ref="A1:O1"/>
    <mergeCell ref="A3:O3"/>
    <mergeCell ref="A11:O11"/>
    <mergeCell ref="A15:O15"/>
    <mergeCell ref="A21:O21"/>
    <mergeCell ref="A25:O25"/>
    <mergeCell ref="A30:O30"/>
    <mergeCell ref="A40:O40"/>
    <mergeCell ref="A47:O47"/>
    <mergeCell ref="A61:O61"/>
    <mergeCell ref="A72:O72"/>
    <mergeCell ref="A81:O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3"/>
  </cols>
  <sheetData>
    <row r="1" customFormat="false" ht="25.5" hidden="false" customHeight="true" outlineLevel="0" collapsed="false">
      <c r="A1" s="1" t="s">
        <v>494</v>
      </c>
      <c r="B1" s="1"/>
      <c r="C1" s="1"/>
      <c r="D1" s="1"/>
    </row>
    <row r="2" customFormat="false" ht="24" hidden="false" customHeight="true" outlineLevel="0" collapsed="false">
      <c r="A2" s="5" t="s">
        <v>495</v>
      </c>
      <c r="B2" s="5" t="s">
        <v>496</v>
      </c>
      <c r="C2" s="5" t="s">
        <v>497</v>
      </c>
      <c r="D2" s="5" t="s">
        <v>31</v>
      </c>
    </row>
    <row r="3" customFormat="false" ht="15" hidden="false" customHeight="false" outlineLevel="0" collapsed="false">
      <c r="A3" s="16" t="n">
        <v>1</v>
      </c>
      <c r="B3" s="17" t="s">
        <v>34</v>
      </c>
      <c r="C3" s="10" t="n">
        <f aca="false">COUNTIF('v13 Backlog'!$C:$C,$B3)</f>
        <v>7</v>
      </c>
      <c r="D3" s="10" t="n">
        <f aca="false">SUMIF('v13 Backlog'!$C:$C,$B3,'v13 Backlog'!$M:$M)</f>
        <v>65</v>
      </c>
    </row>
    <row r="4" customFormat="false" ht="15" hidden="false" customHeight="false" outlineLevel="0" collapsed="false">
      <c r="A4" s="18" t="n">
        <v>2</v>
      </c>
      <c r="B4" s="19" t="s">
        <v>91</v>
      </c>
      <c r="C4" s="20" t="n">
        <f aca="false">COUNTIF('v13 Backlog'!$C:$C,$B4)</f>
        <v>3</v>
      </c>
      <c r="D4" s="20" t="n">
        <f aca="false">SUMIF('v13 Backlog'!$C:$C,$B4,'v13 Backlog'!$M:$M)</f>
        <v>34</v>
      </c>
    </row>
    <row r="5" customFormat="false" ht="15" hidden="false" customHeight="false" outlineLevel="0" collapsed="false">
      <c r="A5" s="16" t="n">
        <v>3</v>
      </c>
      <c r="B5" s="17" t="s">
        <v>110</v>
      </c>
      <c r="C5" s="10" t="n">
        <f aca="false">COUNTIF('v13 Backlog'!$C:$C,$B5)</f>
        <v>5</v>
      </c>
      <c r="D5" s="10" t="n">
        <f aca="false">SUMIF('v13 Backlog'!$C:$C,$B5,'v13 Backlog'!$M:$M)</f>
        <v>58</v>
      </c>
    </row>
    <row r="6" customFormat="false" ht="15" hidden="false" customHeight="false" outlineLevel="0" collapsed="false">
      <c r="A6" s="18" t="n">
        <v>4</v>
      </c>
      <c r="B6" s="19" t="s">
        <v>145</v>
      </c>
      <c r="C6" s="20" t="n">
        <f aca="false">COUNTIF('v13 Backlog'!$C:$C,$B6)</f>
        <v>3</v>
      </c>
      <c r="D6" s="20" t="n">
        <f aca="false">SUMIF('v13 Backlog'!$C:$C,$B6,'v13 Backlog'!$M:$M)</f>
        <v>32</v>
      </c>
    </row>
    <row r="7" customFormat="false" ht="15" hidden="false" customHeight="false" outlineLevel="0" collapsed="false">
      <c r="A7" s="16" t="n">
        <v>5</v>
      </c>
      <c r="B7" s="17" t="s">
        <v>163</v>
      </c>
      <c r="C7" s="10" t="n">
        <f aca="false">COUNTIF('v13 Backlog'!$C:$C,$B7)</f>
        <v>4</v>
      </c>
      <c r="D7" s="10" t="n">
        <f aca="false">SUMIF('v13 Backlog'!$C:$C,$B7,'v13 Backlog'!$M:$M)</f>
        <v>38</v>
      </c>
    </row>
    <row r="8" customFormat="false" ht="15" hidden="false" customHeight="false" outlineLevel="0" collapsed="false">
      <c r="A8" s="18" t="n">
        <v>6</v>
      </c>
      <c r="B8" s="19" t="s">
        <v>187</v>
      </c>
      <c r="C8" s="20" t="n">
        <f aca="false">COUNTIF('v13 Backlog'!$C:$C,$B8)</f>
        <v>9</v>
      </c>
      <c r="D8" s="20" t="n">
        <f aca="false">SUMIF('v13 Backlog'!$C:$C,$B8,'v13 Backlog'!$M:$M)</f>
        <v>82</v>
      </c>
    </row>
    <row r="9" customFormat="false" ht="15" hidden="false" customHeight="false" outlineLevel="0" collapsed="false">
      <c r="A9" s="16" t="n">
        <v>7</v>
      </c>
      <c r="B9" s="17" t="s">
        <v>239</v>
      </c>
      <c r="C9" s="10" t="n">
        <f aca="false">COUNTIF('v13 Backlog'!$C:$C,$B9)</f>
        <v>6</v>
      </c>
      <c r="D9" s="10" t="n">
        <f aca="false">SUMIF('v13 Backlog'!$C:$C,$B9,'v13 Backlog'!$M:$M)</f>
        <v>46</v>
      </c>
    </row>
    <row r="10" customFormat="false" ht="15" hidden="false" customHeight="false" outlineLevel="0" collapsed="false">
      <c r="A10" s="18" t="n">
        <v>8</v>
      </c>
      <c r="B10" s="19" t="s">
        <v>276</v>
      </c>
      <c r="C10" s="20" t="n">
        <f aca="false">COUNTIF('v13 Backlog'!$C:$C,$B10)</f>
        <v>13</v>
      </c>
      <c r="D10" s="20" t="n">
        <f aca="false">SUMIF('v13 Backlog'!$C:$C,$B10,'v13 Backlog'!$M:$M)</f>
        <v>109</v>
      </c>
    </row>
    <row r="11" customFormat="false" ht="15" hidden="false" customHeight="false" outlineLevel="0" collapsed="false">
      <c r="A11" s="16" t="n">
        <v>9</v>
      </c>
      <c r="B11" s="17" t="s">
        <v>356</v>
      </c>
      <c r="C11" s="10" t="n">
        <f aca="false">COUNTIF('v13 Backlog'!$C:$C,$B11)</f>
        <v>10</v>
      </c>
      <c r="D11" s="10" t="n">
        <f aca="false">SUMIF('v13 Backlog'!$C:$C,$B11,'v13 Backlog'!$M:$M)</f>
        <v>68</v>
      </c>
    </row>
    <row r="12" customFormat="false" ht="15" hidden="false" customHeight="false" outlineLevel="0" collapsed="false">
      <c r="A12" s="18" t="n">
        <v>10</v>
      </c>
      <c r="B12" s="19" t="s">
        <v>413</v>
      </c>
      <c r="C12" s="20" t="n">
        <f aca="false">COUNTIF('v13 Backlog'!$C:$C,$B12)</f>
        <v>8</v>
      </c>
      <c r="D12" s="20" t="n">
        <f aca="false">SUMIF('v13 Backlog'!$C:$C,$B12,'v13 Backlog'!$M:$M)</f>
        <v>52</v>
      </c>
    </row>
    <row r="13" customFormat="false" ht="15" hidden="false" customHeight="false" outlineLevel="0" collapsed="false">
      <c r="A13" s="16" t="n">
        <v>11</v>
      </c>
      <c r="B13" s="17" t="s">
        <v>455</v>
      </c>
      <c r="C13" s="10" t="n">
        <f aca="false">COUNTIF('v13 Backlog'!$C:$C,$B13)</f>
        <v>7</v>
      </c>
      <c r="D13" s="10" t="n">
        <f aca="false">SUMIF('v13 Backlog'!$C:$C,$B13,'v13 Backlog'!$M:$M)</f>
        <v>36</v>
      </c>
    </row>
    <row r="14" customFormat="false" ht="15" hidden="false" customHeight="false" outlineLevel="0" collapsed="false">
      <c r="A14" s="21"/>
      <c r="B14" s="22" t="s">
        <v>498</v>
      </c>
      <c r="C14" s="23" t="n">
        <f aca="false">SUM(C3:C13)</f>
        <v>75</v>
      </c>
      <c r="D14" s="23" t="n">
        <f aca="false">SUM(D3:D13)</f>
        <v>620</v>
      </c>
    </row>
    <row r="16" customFormat="false" ht="15" hidden="false" customHeight="false" outlineLevel="0" collapsed="false">
      <c r="B16" s="24" t="s">
        <v>499</v>
      </c>
    </row>
    <row r="17" customFormat="false" ht="15" hidden="false" customHeight="false" outlineLevel="0" collapsed="false">
      <c r="B17" s="5" t="s">
        <v>22</v>
      </c>
      <c r="C17" s="5" t="s">
        <v>497</v>
      </c>
      <c r="D17" s="5" t="s">
        <v>31</v>
      </c>
    </row>
    <row r="18" customFormat="false" ht="15" hidden="false" customHeight="false" outlineLevel="0" collapsed="false">
      <c r="A18" s="25"/>
      <c r="B18" s="17" t="s">
        <v>94</v>
      </c>
      <c r="C18" s="10" t="n">
        <f aca="false">COUNTIF('v13 Backlog'!$D:$D,$B18)</f>
        <v>30</v>
      </c>
      <c r="D18" s="10" t="n">
        <f aca="false">SUMIF('v13 Backlog'!$D:$D,$B18,'v13 Backlog'!$M:$M)</f>
        <v>290</v>
      </c>
    </row>
    <row r="19" customFormat="false" ht="15" hidden="false" customHeight="false" outlineLevel="0" collapsed="false">
      <c r="A19" s="25"/>
      <c r="B19" s="17" t="s">
        <v>37</v>
      </c>
      <c r="C19" s="10" t="n">
        <f aca="false">COUNTIF('v13 Backlog'!$D:$D,$B19)</f>
        <v>27</v>
      </c>
      <c r="D19" s="10" t="n">
        <f aca="false">SUMIF('v13 Backlog'!$D:$D,$B19,'v13 Backlog'!$M:$M)</f>
        <v>210</v>
      </c>
    </row>
    <row r="20" customFormat="false" ht="15" hidden="false" customHeight="false" outlineLevel="0" collapsed="false">
      <c r="A20" s="25"/>
      <c r="B20" s="17" t="s">
        <v>359</v>
      </c>
      <c r="C20" s="10" t="n">
        <f aca="false">COUNTIF('v13 Backlog'!$D:$D,$B20)</f>
        <v>10</v>
      </c>
      <c r="D20" s="10" t="n">
        <f aca="false">SUMIF('v13 Backlog'!$D:$D,$B20,'v13 Backlog'!$M:$M)</f>
        <v>68</v>
      </c>
    </row>
    <row r="21" customFormat="false" ht="15" hidden="false" customHeight="false" outlineLevel="0" collapsed="false">
      <c r="A21" s="25"/>
      <c r="B21" s="17" t="s">
        <v>416</v>
      </c>
      <c r="C21" s="10" t="n">
        <f aca="false">COUNTIF('v13 Backlog'!$D:$D,$B21)</f>
        <v>8</v>
      </c>
      <c r="D21" s="10" t="n">
        <f aca="false">SUMIF('v13 Backlog'!$D:$D,$B21,'v13 Backlog'!$M:$M)</f>
        <v>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500</v>
      </c>
      <c r="B1" s="1"/>
      <c r="C1" s="1"/>
      <c r="D1" s="1"/>
    </row>
    <row r="2" customFormat="false" ht="15.75" hidden="false" customHeight="true" outlineLevel="0" collapsed="false">
      <c r="A2" s="2" t="s">
        <v>501</v>
      </c>
      <c r="B2" s="2"/>
      <c r="C2" s="2"/>
      <c r="D2" s="2"/>
    </row>
    <row r="3" customFormat="false" ht="24" hidden="false" customHeight="true" outlineLevel="0" collapsed="false">
      <c r="A3" s="5" t="s">
        <v>502</v>
      </c>
      <c r="B3" s="5" t="s">
        <v>503</v>
      </c>
      <c r="C3" s="5" t="s">
        <v>504</v>
      </c>
      <c r="D3" s="5" t="s">
        <v>505</v>
      </c>
    </row>
    <row r="4" customFormat="false" ht="15" hidden="false" customHeight="false" outlineLevel="0" collapsed="false">
      <c r="A4" s="26" t="s">
        <v>506</v>
      </c>
      <c r="B4" s="19" t="s">
        <v>507</v>
      </c>
      <c r="C4" s="27" t="s">
        <v>508</v>
      </c>
      <c r="D4" s="19" t="s">
        <v>509</v>
      </c>
    </row>
    <row r="5" customFormat="false" ht="15" hidden="false" customHeight="false" outlineLevel="0" collapsed="false">
      <c r="A5" s="26" t="s">
        <v>510</v>
      </c>
      <c r="B5" s="17" t="s">
        <v>511</v>
      </c>
      <c r="C5" s="28" t="s">
        <v>512</v>
      </c>
      <c r="D5" s="17" t="s">
        <v>513</v>
      </c>
    </row>
    <row r="6" customFormat="false" ht="15" hidden="false" customHeight="false" outlineLevel="0" collapsed="false">
      <c r="A6" s="26" t="s">
        <v>514</v>
      </c>
      <c r="B6" s="19" t="s">
        <v>515</v>
      </c>
      <c r="C6" s="27" t="s">
        <v>516</v>
      </c>
      <c r="D6" s="19" t="s">
        <v>517</v>
      </c>
    </row>
    <row r="7" customFormat="false" ht="15" hidden="false" customHeight="false" outlineLevel="0" collapsed="false">
      <c r="A7" s="26" t="s">
        <v>518</v>
      </c>
      <c r="B7" s="17" t="s">
        <v>519</v>
      </c>
      <c r="C7" s="28" t="s">
        <v>520</v>
      </c>
      <c r="D7" s="17" t="s">
        <v>521</v>
      </c>
    </row>
    <row r="8" customFormat="false" ht="15" hidden="false" customHeight="false" outlineLevel="0" collapsed="false">
      <c r="A8" s="26" t="s">
        <v>522</v>
      </c>
      <c r="B8" s="19" t="s">
        <v>523</v>
      </c>
      <c r="C8" s="27" t="s">
        <v>524</v>
      </c>
      <c r="D8" s="19" t="s">
        <v>525</v>
      </c>
    </row>
    <row r="9" customFormat="false" ht="15" hidden="false" customHeight="false" outlineLevel="0" collapsed="false">
      <c r="A9" s="26" t="s">
        <v>526</v>
      </c>
      <c r="B9" s="17" t="s">
        <v>527</v>
      </c>
      <c r="C9" s="28" t="s">
        <v>528</v>
      </c>
      <c r="D9" s="17" t="s">
        <v>529</v>
      </c>
    </row>
    <row r="10" customFormat="false" ht="15" hidden="false" customHeight="false" outlineLevel="0" collapsed="false">
      <c r="A10" s="26" t="s">
        <v>530</v>
      </c>
      <c r="B10" s="19" t="s">
        <v>531</v>
      </c>
      <c r="C10" s="27" t="s">
        <v>44</v>
      </c>
      <c r="D10" s="19" t="s">
        <v>532</v>
      </c>
    </row>
    <row r="11" customFormat="false" ht="15" hidden="false" customHeight="false" outlineLevel="0" collapsed="false">
      <c r="A11" s="26" t="s">
        <v>533</v>
      </c>
      <c r="B11" s="17" t="s">
        <v>534</v>
      </c>
      <c r="C11" s="28" t="s">
        <v>535</v>
      </c>
      <c r="D11" s="17" t="s">
        <v>536</v>
      </c>
    </row>
    <row r="12" customFormat="false" ht="15" hidden="false" customHeight="false" outlineLevel="0" collapsed="false">
      <c r="A12" s="26" t="s">
        <v>537</v>
      </c>
      <c r="B12" s="19" t="s">
        <v>538</v>
      </c>
      <c r="C12" s="27" t="s">
        <v>539</v>
      </c>
      <c r="D12" s="19" t="s">
        <v>540</v>
      </c>
    </row>
    <row r="13" customFormat="false" ht="15" hidden="false" customHeight="false" outlineLevel="0" collapsed="false">
      <c r="A13" s="26" t="s">
        <v>541</v>
      </c>
      <c r="B13" s="17" t="s">
        <v>542</v>
      </c>
      <c r="C13" s="28" t="s">
        <v>543</v>
      </c>
      <c r="D13" s="17" t="s">
        <v>544</v>
      </c>
    </row>
    <row r="14" customFormat="false" ht="15" hidden="false" customHeight="false" outlineLevel="0" collapsed="false">
      <c r="A14" s="26" t="s">
        <v>545</v>
      </c>
      <c r="B14" s="19" t="s">
        <v>546</v>
      </c>
      <c r="C14" s="27" t="s">
        <v>547</v>
      </c>
      <c r="D14" s="19" t="s">
        <v>548</v>
      </c>
    </row>
    <row r="15" customFormat="false" ht="15" hidden="false" customHeight="false" outlineLevel="0" collapsed="false">
      <c r="A15" s="26" t="s">
        <v>549</v>
      </c>
      <c r="B15" s="17" t="s">
        <v>550</v>
      </c>
      <c r="C15" s="28" t="s">
        <v>551</v>
      </c>
      <c r="D15" s="17" t="s">
        <v>552</v>
      </c>
    </row>
    <row r="16" customFormat="false" ht="15" hidden="false" customHeight="false" outlineLevel="0" collapsed="false">
      <c r="A16" s="26" t="s">
        <v>553</v>
      </c>
      <c r="B16" s="19" t="s">
        <v>554</v>
      </c>
      <c r="C16" s="27" t="s">
        <v>555</v>
      </c>
      <c r="D16" s="19" t="s">
        <v>556</v>
      </c>
    </row>
    <row r="17" customFormat="false" ht="23.85" hidden="false" customHeight="false" outlineLevel="0" collapsed="false">
      <c r="A17" s="26" t="s">
        <v>557</v>
      </c>
      <c r="B17" s="17" t="s">
        <v>558</v>
      </c>
      <c r="C17" s="28" t="s">
        <v>559</v>
      </c>
      <c r="D17" s="17" t="s">
        <v>560</v>
      </c>
    </row>
    <row r="18" customFormat="false" ht="23.85" hidden="false" customHeight="false" outlineLevel="0" collapsed="false">
      <c r="A18" s="26" t="s">
        <v>561</v>
      </c>
      <c r="B18" s="19" t="s">
        <v>562</v>
      </c>
      <c r="C18" s="27" t="s">
        <v>563</v>
      </c>
      <c r="D18" s="19" t="s">
        <v>564</v>
      </c>
    </row>
    <row r="19" customFormat="false" ht="15" hidden="false" customHeight="false" outlineLevel="0" collapsed="false">
      <c r="A19" s="26" t="s">
        <v>565</v>
      </c>
      <c r="B19" s="17" t="s">
        <v>566</v>
      </c>
      <c r="C19" s="28" t="s">
        <v>567</v>
      </c>
      <c r="D19" s="17" t="s">
        <v>568</v>
      </c>
    </row>
    <row r="20" customFormat="false" ht="23.85" hidden="false" customHeight="false" outlineLevel="0" collapsed="false">
      <c r="A20" s="26" t="s">
        <v>569</v>
      </c>
      <c r="B20" s="19" t="s">
        <v>570</v>
      </c>
      <c r="C20" s="27" t="s">
        <v>571</v>
      </c>
      <c r="D20" s="19" t="s">
        <v>572</v>
      </c>
    </row>
    <row r="21" customFormat="false" ht="23.85" hidden="false" customHeight="false" outlineLevel="0" collapsed="false">
      <c r="A21" s="26" t="s">
        <v>573</v>
      </c>
      <c r="B21" s="17" t="s">
        <v>574</v>
      </c>
      <c r="C21" s="28" t="s">
        <v>575</v>
      </c>
      <c r="D21" s="17" t="s">
        <v>576</v>
      </c>
    </row>
    <row r="22" customFormat="false" ht="15" hidden="false" customHeight="false" outlineLevel="0" collapsed="false">
      <c r="A22" s="26" t="s">
        <v>577</v>
      </c>
      <c r="B22" s="19" t="s">
        <v>578</v>
      </c>
      <c r="C22" s="27" t="s">
        <v>579</v>
      </c>
      <c r="D22" s="19" t="s">
        <v>580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0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581</v>
      </c>
      <c r="B1" s="1"/>
      <c r="C1" s="1"/>
    </row>
    <row r="2" customFormat="false" ht="15.75" hidden="false" customHeight="true" outlineLevel="0" collapsed="false">
      <c r="A2" s="2" t="s">
        <v>582</v>
      </c>
      <c r="B2" s="2"/>
      <c r="C2" s="2"/>
    </row>
    <row r="3" customFormat="false" ht="24" hidden="false" customHeight="true" outlineLevel="0" collapsed="false">
      <c r="A3" s="5" t="s">
        <v>583</v>
      </c>
      <c r="B3" s="5" t="s">
        <v>584</v>
      </c>
      <c r="C3" s="5" t="s">
        <v>585</v>
      </c>
    </row>
    <row r="4" customFormat="false" ht="15" hidden="false" customHeight="false" outlineLevel="0" collapsed="false">
      <c r="A4" s="29" t="s">
        <v>586</v>
      </c>
      <c r="B4" s="19" t="s">
        <v>587</v>
      </c>
      <c r="C4" s="19" t="s">
        <v>588</v>
      </c>
    </row>
    <row r="5" customFormat="false" ht="15" hidden="false" customHeight="false" outlineLevel="0" collapsed="false">
      <c r="A5" s="30" t="s">
        <v>589</v>
      </c>
      <c r="B5" s="17" t="s">
        <v>590</v>
      </c>
      <c r="C5" s="17" t="s">
        <v>591</v>
      </c>
    </row>
    <row r="6" customFormat="false" ht="15" hidden="false" customHeight="false" outlineLevel="0" collapsed="false">
      <c r="A6" s="29" t="s">
        <v>592</v>
      </c>
      <c r="B6" s="19" t="s">
        <v>593</v>
      </c>
      <c r="C6" s="19" t="s">
        <v>594</v>
      </c>
    </row>
    <row r="7" customFormat="false" ht="15" hidden="false" customHeight="false" outlineLevel="0" collapsed="false">
      <c r="A7" s="30" t="s">
        <v>595</v>
      </c>
      <c r="B7" s="17" t="s">
        <v>596</v>
      </c>
      <c r="C7" s="17" t="s">
        <v>597</v>
      </c>
    </row>
    <row r="8" customFormat="false" ht="15" hidden="false" customHeight="false" outlineLevel="0" collapsed="false">
      <c r="A8" s="29" t="s">
        <v>598</v>
      </c>
      <c r="B8" s="19" t="s">
        <v>599</v>
      </c>
      <c r="C8" s="19" t="s">
        <v>600</v>
      </c>
    </row>
    <row r="9" customFormat="false" ht="15" hidden="false" customHeight="false" outlineLevel="0" collapsed="false">
      <c r="A9" s="30" t="s">
        <v>601</v>
      </c>
      <c r="B9" s="17" t="s">
        <v>602</v>
      </c>
      <c r="C9" s="17" t="s">
        <v>603</v>
      </c>
    </row>
    <row r="10" customFormat="false" ht="15" hidden="false" customHeight="false" outlineLevel="0" collapsed="false">
      <c r="A10" s="29" t="s">
        <v>604</v>
      </c>
      <c r="B10" s="19" t="s">
        <v>605</v>
      </c>
      <c r="C10" s="19" t="s">
        <v>606</v>
      </c>
    </row>
    <row r="11" customFormat="false" ht="15" hidden="false" customHeight="false" outlineLevel="0" collapsed="false">
      <c r="A11" s="30" t="s">
        <v>607</v>
      </c>
      <c r="B11" s="17" t="s">
        <v>608</v>
      </c>
      <c r="C11" s="17" t="s">
        <v>609</v>
      </c>
    </row>
    <row r="12" customFormat="false" ht="15" hidden="false" customHeight="false" outlineLevel="0" collapsed="false">
      <c r="A12" s="29" t="s">
        <v>610</v>
      </c>
      <c r="B12" s="19" t="s">
        <v>611</v>
      </c>
      <c r="C12" s="19" t="s">
        <v>612</v>
      </c>
    </row>
    <row r="13" customFormat="false" ht="15" hidden="false" customHeight="false" outlineLevel="0" collapsed="false">
      <c r="A13" s="30" t="s">
        <v>613</v>
      </c>
      <c r="B13" s="17" t="s">
        <v>614</v>
      </c>
      <c r="C13" s="17" t="s">
        <v>615</v>
      </c>
    </row>
    <row r="14" customFormat="false" ht="15" hidden="false" customHeight="false" outlineLevel="0" collapsed="false">
      <c r="A14" s="29" t="s">
        <v>616</v>
      </c>
      <c r="B14" s="19" t="s">
        <v>617</v>
      </c>
      <c r="C14" s="19" t="s">
        <v>618</v>
      </c>
    </row>
    <row r="15" customFormat="false" ht="15" hidden="false" customHeight="false" outlineLevel="0" collapsed="false">
      <c r="A15" s="30" t="s">
        <v>619</v>
      </c>
      <c r="B15" s="17" t="s">
        <v>620</v>
      </c>
      <c r="C15" s="17" t="s">
        <v>621</v>
      </c>
    </row>
    <row r="16" customFormat="false" ht="15" hidden="false" customHeight="false" outlineLevel="0" collapsed="false">
      <c r="A16" s="29" t="s">
        <v>622</v>
      </c>
      <c r="B16" s="19" t="s">
        <v>623</v>
      </c>
      <c r="C16" s="19" t="s">
        <v>624</v>
      </c>
    </row>
    <row r="17" customFormat="false" ht="23.85" hidden="false" customHeight="false" outlineLevel="0" collapsed="false">
      <c r="A17" s="30" t="s">
        <v>625</v>
      </c>
      <c r="B17" s="17" t="s">
        <v>626</v>
      </c>
      <c r="C17" s="17" t="s">
        <v>627</v>
      </c>
    </row>
    <row r="18" customFormat="false" ht="15" hidden="false" customHeight="false" outlineLevel="0" collapsed="false">
      <c r="A18" s="29" t="s">
        <v>628</v>
      </c>
      <c r="B18" s="19" t="s">
        <v>629</v>
      </c>
      <c r="C18" s="19" t="s">
        <v>630</v>
      </c>
    </row>
    <row r="19" customFormat="false" ht="15" hidden="false" customHeight="false" outlineLevel="0" collapsed="false">
      <c r="A19" s="30" t="s">
        <v>631</v>
      </c>
      <c r="B19" s="17" t="s">
        <v>632</v>
      </c>
      <c r="C19" s="17" t="s">
        <v>633</v>
      </c>
    </row>
    <row r="20" customFormat="false" ht="15" hidden="false" customHeight="false" outlineLevel="0" collapsed="false">
      <c r="A20" s="29" t="s">
        <v>634</v>
      </c>
      <c r="B20" s="19" t="s">
        <v>635</v>
      </c>
      <c r="C20" s="19" t="s">
        <v>636</v>
      </c>
    </row>
    <row r="21" customFormat="false" ht="15" hidden="false" customHeight="false" outlineLevel="0" collapsed="false">
      <c r="A21" s="30" t="s">
        <v>637</v>
      </c>
      <c r="B21" s="17" t="s">
        <v>638</v>
      </c>
      <c r="C21" s="17" t="s">
        <v>636</v>
      </c>
    </row>
    <row r="22" customFormat="false" ht="15" hidden="false" customHeight="false" outlineLevel="0" collapsed="false">
      <c r="A22" s="29" t="s">
        <v>639</v>
      </c>
      <c r="B22" s="19" t="s">
        <v>640</v>
      </c>
      <c r="C22" s="19" t="s">
        <v>641</v>
      </c>
    </row>
    <row r="23" customFormat="false" ht="15" hidden="false" customHeight="false" outlineLevel="0" collapsed="false">
      <c r="A23" s="30" t="s">
        <v>642</v>
      </c>
      <c r="B23" s="17" t="s">
        <v>643</v>
      </c>
      <c r="C23" s="17" t="s">
        <v>641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2026-05-31T18:18:21Z</dcterms:created>
  <dc:creator>openpyxl</dc:creator>
  <dc:description/>
  <dc:language>en-US</dc:language>
  <cp:lastModifiedBy/>
  <dcterms:modified xsi:type="dcterms:W3CDTF">2026-05-31T18:18:21Z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