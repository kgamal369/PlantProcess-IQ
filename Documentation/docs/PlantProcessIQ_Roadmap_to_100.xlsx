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oadmap" sheetId="1" state="visible" r:id="rId3"/>
    <sheet name="Phase Plan" sheetId="2" state="visible" r:id="rId4"/>
    <sheet name="Dimensions → 100" sheetId="3" state="visible" r:id="rId5"/>
    <sheet name="Legend &amp; Method" sheetId="4" state="visible" r:id="rId6"/>
  </sheets>
  <definedNames>
    <definedName function="false" hidden="true" localSheetId="0" name="_xlnm._FilterDatabase" vbProcedure="false">Roadmap!$A$1:$M$139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<sst xmlns="http://schemas.openxmlformats.org/spreadsheetml/2006/main" count="1872" uniqueCount="961">
  <si>
    <t xml:space="preserve">Task ID</t>
  </si>
  <si>
    <t xml:space="preserve">Task Name</t>
  </si>
  <si>
    <t xml:space="preserve">Phase</t>
  </si>
  <si>
    <t xml:space="preserve">Track</t>
  </si>
  <si>
    <t xml:space="preserve">Module</t>
  </si>
  <si>
    <t xml:space="preserve">Submodule</t>
  </si>
  <si>
    <t xml:space="preserve">Severity</t>
  </si>
  <si>
    <t xml:space="preserve">Description</t>
  </si>
  <si>
    <t xml:space="preserve">Acceptance Criteria</t>
  </si>
  <si>
    <t xml:space="preserve">Task Type</t>
  </si>
  <si>
    <t xml:space="preserve">Effort (h)</t>
  </si>
  <si>
    <t xml:space="preserve">Prerequisites</t>
  </si>
  <si>
    <t xml:space="preserve">Dimensions → 100</t>
  </si>
  <si>
    <t xml:space="preserve">T-001</t>
  </si>
  <si>
    <t xml:space="preserve">Fix PKL MSSQL seed N-literal corruption</t>
  </si>
  <si>
    <t xml:space="preserve">P01 · Critical Fixes &amp; Production-Safety Baseline</t>
  </si>
  <si>
    <t xml:space="preserve">Demo</t>
  </si>
  <si>
    <t xml:space="preserve">Database</t>
  </si>
  <si>
    <t xml:space="preserve">Demo-Sources</t>
  </si>
  <si>
    <t xml:space="preserve">Critical</t>
  </si>
  <si>
    <t xml:space="preserve">In Infrastructure/demo-sources/pkl-mssql/init/001_schema_seed.sql the N-prefixed unicode string literals are malformed: 'IF DB_ID(Npkl)' and 'IF OBJECT_ID(Ndbo.pkl_coils, Nu)' — the single quotes were stripped, so they are invalid identifiers and the batch fails in SQL Server. Restore them to DB_ID(N'pkl'), OBJECT_ID(N'dbo.pkl_coils', N'U'). Then sweep every demo-source .sql (caster/hsm Oracle, meltshop PG, downtime/parsytec MySQL, pkl) for the same pattern, and determine the root cause: confirm whether the on-disk file is correct and the audit exporter (tools/GeneratePlantProcessIQ_UltimateAudit.ps1) corrupts N-literals on read — if so, fix its read/escape logic so future audits are faithful.</t>
  </si>
  <si>
    <t xml:space="preserve">Running the pkl-mssql init against a fresh mcr.microsoft.com/mssql/server:2022 container exits 0 and 'SELECT COUNT(*) FROM dbo.pkl_coils' returns 1. A new xUnit test DemoSourceSeedSyntaxTests parses every demo-source .sql and asserts no bare 'N&lt;identifier&gt;' token (regex \bN[A-Za-z_] outside a quoted literal) exists; it fails if reintroduced.</t>
  </si>
  <si>
    <t xml:space="preserve">bug fix</t>
  </si>
  <si>
    <t xml:space="preserve">—</t>
  </si>
  <si>
    <t xml:space="preserve">Functionality, Repo hygiene</t>
  </si>
  <si>
    <t xml:space="preserve">T-002</t>
  </si>
  <si>
    <t xml:space="preserve">Fix Yard CSV leading-whitespace + harden CSV trim</t>
  </si>
  <si>
    <t xml:space="preserve">Normal</t>
  </si>
  <si>
    <t xml:space="preserve">Infrastructure/demo-sources/excel-yard/yard_inventory.csv has leading spaces in the bay/position values (' BAY-03', ' POS-17'). Trim them to 'BAY-03','POS-17'. As a defensive measure, ensure the Excel/CSV connector trims leading/trailing whitespace on every ingested field so dirty source files never leak whitespace into canon.</t>
  </si>
  <si>
    <t xml:space="preserve">A connector unit test ingests the yard CSV and asserts bay == 'BAY-03' (no leading space). Add a whitespace-trim case to the CSV connector test corpus that feeds ' x ' and asserts 'x' lands in canon.</t>
  </si>
  <si>
    <t xml:space="preserve">Functionality</t>
  </si>
  <si>
    <t xml:space="preserve">T-003</t>
  </si>
  <si>
    <t xml:space="preserve">Confirm &amp; lock dev-seed endpoints to Development only</t>
  </si>
  <si>
    <t xml:space="preserve">Hardening</t>
  </si>
  <si>
    <t xml:space="preserve">Backend</t>
  </si>
  <si>
    <t xml:space="preserve">Security</t>
  </si>
  <si>
    <t xml:space="preserve">DevSeedEndpoints.MapDevSeedEndpoints must only be registered when app.Environment.IsDevelopment(). Open Backend/PlantProcess.Api/Program.cs and verify the call-site is inside an IsDevelopment() guard; if it is not, wrap it. Add a startup assertion that throws if dev-seed routes are mapped while the environment is not Development (defense in depth alongside StartupConfigurationValidator).</t>
  </si>
  <si>
    <t xml:space="preserve">An integration test boots the API with ASPNETCORE_ENVIRONMENT=Production and asserts every dev-seed route returns 404 (not mapped); a second test in Development asserts they return their expected 200. A StartupConfigurationValidator test asserts startup throws if dev-seed mapping is detected outside Development.</t>
  </si>
  <si>
    <t xml:space="preserve">hardening</t>
  </si>
  <si>
    <t xml:space="preserve">Security, Functionality</t>
  </si>
  <si>
    <t xml:space="preserve">T-004</t>
  </si>
  <si>
    <t xml:space="preserve">Bind production PostgreSQL to loopback / private network</t>
  </si>
  <si>
    <t xml:space="preserve">Infrastructure</t>
  </si>
  <si>
    <t xml:space="preserve">Networking</t>
  </si>
  <si>
    <t xml:space="preserve">Per doctrine §16 the production Postgres port must not be publicly reachable. In docker-compose.demo.yml, change the postgres service to publish on 127.0.0.1:5432 (or remove the host port entirely so it is reachable only on the internal docker network). Confirm Caddy and the API/worker containers still reach it via the compose network alias.</t>
  </si>
  <si>
    <t xml:space="preserve">On the Hetzner host, 'ss -tlnp | grep 5432' shows a 127.0.0.1 bind (or no public bind) and an external 'nmap -p 5432 178.105.152.180' shows filtered/closed. The API /health endpoint stays green (DB reachable internally). Update deploy/server runbook with the verified binding.</t>
  </si>
  <si>
    <t xml:space="preserve">T-005</t>
  </si>
  <si>
    <t xml:space="preserve">Verify NotImplemented null-object services are not the active bindings</t>
  </si>
  <si>
    <t xml:space="preserve">DI</t>
  </si>
  <si>
    <t xml:space="preserve">Very important</t>
  </si>
  <si>
    <t xml:space="preserve">The DI graph contains NotImplementedImportBatchService, NotImplementedSourceSystemService, NotImplementedGenealogyService and NotImplementedMaterialService that return a typed 501. Confirm the REAL implementations are the production defaults registered in AddApplication/AddInfrastructure, and the NotImplemented variants are only fallbacks/test doubles. If any NotImplemented service is the active binding, wire the concrete implementation.</t>
  </si>
  <si>
    <t xml:space="preserve">A DI-resolution test resolves IImportBatchService, ISourceSystemService, IGenealogyService and IMaterialService from the production ServiceProvider and asserts the concrete type is NOT a NotImplemented* type; it then smoke-invokes one method on each and asserts the result is not ApplicationErrorType.NotImplemented.</t>
  </si>
  <si>
    <t xml:space="preserve">T-006</t>
  </si>
  <si>
    <t xml:space="preserve">Remove dead duplicate page files (flat vs foldered)</t>
  </si>
  <si>
    <t xml:space="preserve">Frontend</t>
  </si>
  <si>
    <t xml:space="preserve">Pages</t>
  </si>
  <si>
    <t xml:space="preserve">Important</t>
  </si>
  <si>
    <t xml:space="preserve">Six pages exist twice: flat src/pages/XPage.tsx AND foldered src/pages/X/XPage.tsx — for Admin, Correlation, Dashboard, DataQuality, MaterialInvestigation, RiskDashboard. Inspect the router (src/App.tsx / route config) to see which path is actually imported; delete the unused twin and fix any stale imports. This removes dead code and the risk of editing the wrong file.</t>
  </si>
  <si>
    <t xml:space="preserve">After deletion 'grep -r' finds zero imports of the deleted files; 'npm run build', 'npm run e2e', route-smoke.spec.ts and nav-graph-refresh-survival.spec.ts all pass. Add an eslint no-restricted-imports rule (or a custom check) that forbids creating a flat pages/*Page.tsx when a foldered equivalent exists.</t>
  </si>
  <si>
    <t xml:space="preserve">refactor</t>
  </si>
  <si>
    <t xml:space="preserve">Repo hygiene, Code hygiene</t>
  </si>
  <si>
    <t xml:space="preserve">T-007</t>
  </si>
  <si>
    <t xml:space="preserve">De-duplicate Jenkinsfile and TelemetryIngestionWorker</t>
  </si>
  <si>
    <t xml:space="preserve">Build</t>
  </si>
  <si>
    <t xml:space="preserve">Jenkinsfile exists at repo root and at deploy/ci/Jenkinsfile; keep the one the Jenkins job references and delete the other (or make one a thin include). TelemetryIngestionWorker.cs exists in both PlantProcess.Infrastructure/TimeSeries and PlantProcess.Workers; determine the canonical location and, if logic is duplicated, extract to one type referenced by both.</t>
  </si>
  <si>
    <t xml:space="preserve">Exactly one authoritative Jenkinsfile remains (documented), and a manual 'Build Now' is green. The solution compiles with a single TelemetryIngestionWorker type (no duplicate-type ambiguity) and the worker still ingests in its smoke/integration test.</t>
  </si>
  <si>
    <t xml:space="preserve">Repo hygiene</t>
  </si>
  <si>
    <t xml:space="preserve">T-008</t>
  </si>
  <si>
    <t xml:space="preserve">Add architecture (dependency-direction) tests</t>
  </si>
  <si>
    <t xml:space="preserve">Testing</t>
  </si>
  <si>
    <t xml:space="preserve">Architecture</t>
  </si>
  <si>
    <t xml:space="preserve">Add a NetArchTest-based test project asserting Clean Architecture boundaries so the upcoming refactors cannot silently break layering: Domain depends on nothing outward; Application depends only on Domain; Infrastructure may depend on Application+Domain; Api depends on Application (not Infrastructure internals); Analytics.Core has no Infrastructure dependency.</t>
  </si>
  <si>
    <t xml:space="preserve">A test class ArchitectureTests defines ≥6 rules that all pass; deliberately adding a banned reference (e.g., a Domain→Infrastructure using) makes the relevant test fail locally. The test project runs in CI on every push.</t>
  </si>
  <si>
    <t xml:space="preserve">test</t>
  </si>
  <si>
    <t xml:space="preserve">Code hygiene</t>
  </si>
  <si>
    <t xml:space="preserve">T-009</t>
  </si>
  <si>
    <t xml:space="preserve">Add BOM-guard &amp; encoding CI check</t>
  </si>
  <si>
    <t xml:space="preserve">CI</t>
  </si>
  <si>
    <t xml:space="preserve">The recurring UTF-8 BOM bug breaks JSON parsing and SQL hygiene. Add a CI step (script + test) that scans all .json and .sql files for a leading BOM (bytes EF BB BF) and fails if any is found, and codify the UTF8Encoding(false) rule in any file generators (the manifest CSV currently carries a BOM).</t>
  </si>
  <si>
    <t xml:space="preserve">A test/script scans the repo and asserts zero .json/.sql files begin with a BOM; deliberately committing a BOM'd file fails CI. Generator helpers are documented/asserted to write BOM-less UTF-8.</t>
  </si>
  <si>
    <t xml:space="preserve">Code hygiene, Repo hygiene</t>
  </si>
  <si>
    <t xml:space="preserve">T-010</t>
  </si>
  <si>
    <t xml:space="preserve">Archive landed run-once tooling scripts</t>
  </si>
  <si>
    <t xml:space="preserve">Documentation</t>
  </si>
  <si>
    <t xml:space="preserve">Tooling</t>
  </si>
  <si>
    <t xml:space="preserve">~116 phaseN-named and run-once scripts (fix-*, scaffold-website-frontend.ps1 + the superseded -v2, apply-phaseX migration .cjs/.mjs, ppiq_phase2_files.txt) clutter the repo. Move scripts whose migration has already landed into /tools/archive (or delete) and write a tools/ARCHIVE.md noting what each did and when it ran. Keep only actively-referenced CI/dev scripts at the top level; remove superseded scaffold duplicates.</t>
  </si>
  <si>
    <t xml:space="preserve">tools/ top level contains only scripts referenced by Jenkinsfile, package.json or docs (cross-checked); tools/ARCHIVE.md lists the archived scripts. CI and 'npm run' still work (nothing referenced was archived). Repo file count drops measurably — record before/after.</t>
  </si>
  <si>
    <t xml:space="preserve">T-011</t>
  </si>
  <si>
    <t xml:space="preserve">Phase-1 regression &amp; fix-validation pass</t>
  </si>
  <si>
    <t xml:space="preserve">Regression</t>
  </si>
  <si>
    <t xml:space="preserve">Add/confirm tests for every Phase-1 fix and run the full suite (dotnet test + npm run test + npm run e2e) to ensure nothing regressed; fix anything the dead-file removal or dedup broke.</t>
  </si>
  <si>
    <t xml:space="preserve">dotnet test, npm run test and npm run e2e are all green locally and in CI, including the new tests from this phase; zero skipped tests beyond the documented audit-immutability SkippableFacts.</t>
  </si>
  <si>
    <t xml:space="preserve">all P01 tasks</t>
  </si>
  <si>
    <t xml:space="preserve">T-012</t>
  </si>
  <si>
    <t xml:space="preserve">Secret-scan the repo &amp; purge committed secrets</t>
  </si>
  <si>
    <t xml:space="preserve">Secrets</t>
  </si>
  <si>
    <t xml:space="preserve">Run a secret scanner (gitleaks or trufflehog) over the working tree and git history. Confirm no real secrets live in .env.local, appsettings.*.json or scripts; ensure every .env.local is gitignored and contains no real credentials; rotate anything exposed. Add a blocking secret-scan gate to the pipeline.</t>
  </si>
  <si>
    <t xml:space="preserve">A gitleaks CI job passes with zero findings; '.env.local' appears in .gitignore; a deliberately planted fake secret is caught by the gate. If any real secret was found in history, document the rotation performed.</t>
  </si>
  <si>
    <t xml:space="preserve">Security, Repo hygiene</t>
  </si>
  <si>
    <t xml:space="preserve">T-013</t>
  </si>
  <si>
    <t xml:space="preserve">Generate realism-scale synthetic source data (~630 heats / ~5,600 coils/month)</t>
  </si>
  <si>
    <t xml:space="preserve">P02 · Realism Demo Dataset Through the HMI</t>
  </si>
  <si>
    <t xml:space="preserve">Seed</t>
  </si>
  <si>
    <t xml:space="preserve">Replace the thin ADV_ smoke seeds with a realism dataset at Appendix-A scale across all eight sources (MeltShop PG, Caster Oracle, HSM Oracle, PKL MSSQL, Yard Excel, Downtime MySQL, Parsytec MySQL, QA Excel). Write a deterministic, seeded generator producing internally consistent genealogy (Heat→Sequence→Slab→Coil) with realistic timing, 3-4 grades incl. S355MC, and plausible chemistry/mechanical/temperature/flatness distributions; QA sampled every ~3rd coil. Emit one init/seed file per source in the correct SQL dialect/CSV.</t>
  </si>
  <si>
    <t xml:space="preserve">Loading all eight sources yields a heat count in [600,660] and a coil count in [5,400,5,800] for the demo month; a data-quality test asserts every coil chains to exactly one slab→sequence→heat except the deliberately-broken rows from the imperfection task. The generator is deterministic: same seed reproduces identical rows (assert a stable content hash).</t>
  </si>
  <si>
    <t xml:space="preserve">new feature</t>
  </si>
  <si>
    <t xml:space="preserve">P01</t>
  </si>
  <si>
    <t xml:space="preserve">Workflows, Functionality, Features</t>
  </si>
  <si>
    <t xml:space="preserve">T-014</t>
  </si>
  <si>
    <t xml:space="preserve">Embed the C-0044170 reference thread + edge-crack/superheat fixture</t>
  </si>
  <si>
    <t xml:space="preserve">Ensure the doctrine's worked thread exists in the realism seed: Heat H-3361 (with an elevated superheat that drives the finding), Ladle L-2207, Tundish T-118 in Sequence SEQ-44, Mould M-3 / Strand 2, Slab S-44170-A, Coil C-0044170 carrying 5 edge-crack defects (severity ≥ 2) on the Parsytec source, with a QA Hold. This is the canonical narrative the value and assistant demos rely on.</t>
  </si>
  <si>
    <t xml:space="preserve">A test asserts C-0044170 resolves to H-3361 through the full 7-node spine and has exactly 5 edge-crack defects; the correlation engine on this dataset surfaces a superheat↔edge-crack association that survives FDR; the value engine returns a non-zero € range for the finding.</t>
  </si>
  <si>
    <t xml:space="preserve">this-phase: realism seed</t>
  </si>
  <si>
    <t xml:space="preserve">Workflows, AI+ML</t>
  </si>
  <si>
    <t xml:space="preserve">T-015</t>
  </si>
  <si>
    <t xml:space="preserve">Inject deliberate imperfection (honesty fixtures)</t>
  </si>
  <si>
    <t xml:space="preserve">Per §5.3-5.5 and §14.2, seed realistic imperfection so the honesty mechanisms can be exercised: a percentage of coils with missing heat links (orphans), ambiguous business keys (duplicate-looking IDs), transition coils (two heats in one coil), uninspected coils (no surface row) and false detections (inspection flags with no real defect). Tag seeded rows with origin='seed' wherever the canonical schema supports it.</t>
  </si>
  <si>
    <t xml:space="preserve">A coverage test asserts the coverage panel computes on N of M coils with M&gt;N (e.g. '5,142 of 5,604'); orphan/transition/uninspected counts equal the injected quantities; the blended-provenance breakdown shows &gt;1 parent heat for the transition coils.</t>
  </si>
  <si>
    <t xml:space="preserve">Functionality, AI+ML</t>
  </si>
  <si>
    <t xml:space="preserve">T-016</t>
  </si>
  <si>
    <t xml:space="preserve">Demo reset + rebuild-from-empty orchestration through the HMI</t>
  </si>
  <si>
    <t xml:space="preserve">Demo-Lifecycle</t>
  </si>
  <si>
    <t xml:space="preserve">Complete the demo lifecycle so an operator can, entirely through the HMI: reset to empty, then rebuild the full demo by (a) registering the eight source connections, (b) running schema discovery + mapping, (c) ingesting via the two-stage delta import, (d) building genealogy, (e) running analyses — with no hand-run SQL. Wire DemoLifecycleEndpoints to drive these steps and surface live progress in DemoLifecyclePage.</t>
  </si>
  <si>
    <t xml:space="preserve">An e2e test (extend license-and-demo-lifecycle.spec.ts) starts from empty, drives the rebuild through the UI, and asserts the dashboard shows the realism counts and that C-0044170 is walkable — all via UI with no direct DB writes. Running reset twice yields an identical end state (idempotent).</t>
  </si>
  <si>
    <t xml:space="preserve">this-phase seed tasks</t>
  </si>
  <si>
    <t xml:space="preserve">Workflows, Functionality</t>
  </si>
  <si>
    <t xml:space="preserve">T-017</t>
  </si>
  <si>
    <t xml:space="preserve">Enforce 'no facade' — every demo number computed live</t>
  </si>
  <si>
    <t xml:space="preserve">Provenance</t>
  </si>
  <si>
    <t xml:space="preserve">Per §14.3 ensure every demo figure is computed by the running engine, not a stored screenshot or hardcoded constant. Seeded rows carry origin='seed'; computed KPIs/findings carry provenance handles; the frontend contains no hardcoded metric literals on demo pages.</t>
  </si>
  <si>
    <t xml:space="preserve">A test scans demo-page frontend source for hardcoded metric literals (none allowed); an API test changes a seed row and asserts the dependent KPI/finding recomputes; every surfaced finding carries a provenance handle.</t>
  </si>
  <si>
    <t xml:space="preserve">this-phase: rebuild orchestration</t>
  </si>
  <si>
    <t xml:space="preserve">T-018</t>
  </si>
  <si>
    <t xml:space="preserve">Realism-scale performance &amp; load validation</t>
  </si>
  <si>
    <t xml:space="preserve">Performance</t>
  </si>
  <si>
    <t xml:space="preserve">At realism scale, validate and tune performance: a full month two-stage import completes within an agreed budget on the demo VPS, correlation compute over the feature matrix returns within budget, and key dashboards load within budget. Add indexes / materialized-view refreshes as needed; eliminate N+1 query patterns on hot paths.</t>
  </si>
  <si>
    <t xml:space="preserve">A perf test asserts: full demo import &lt; defined budget; a correlation run &lt; budget; key dashboard endpoints p95 &lt; budget at realism scale. Hot-path query counts are asserted (no N+1 regression). Record the measured numbers in the runbook.</t>
  </si>
  <si>
    <t xml:space="preserve">Functionality, Engine</t>
  </si>
  <si>
    <t xml:space="preserve">T-019</t>
  </si>
  <si>
    <t xml:space="preserve">Phase-2 deep validation + fixture migration</t>
  </si>
  <si>
    <t xml:space="preserve">Add the deep demo tests above and re-run the full suite. Update any existing test that assumed the ADV_ smoke seed so it works against the realism dataset.</t>
  </si>
  <si>
    <t xml:space="preserve">dotnet test + npm run test + npm run e2e are green; golden-path.spec.ts and phase1-golden-demo.spec.ts pass on the realism dataset; genealogy/data-quality tests assert the injected imperfection quantities.</t>
  </si>
  <si>
    <t xml:space="preserve">all P02 tasks</t>
  </si>
  <si>
    <t xml:space="preserve">T-020</t>
  </si>
  <si>
    <t xml:space="preserve">Value reproduction certification (€ range)</t>
  </si>
  <si>
    <t xml:space="preserve">P03 · Gate-Exit Certification Tests</t>
  </si>
  <si>
    <t xml:space="preserve">Value</t>
  </si>
  <si>
    <t xml:space="preserve">Add a deterministic test that runs ValueImpactEngine on the C-0044170 edge-crack finding with a fixed CostAssumptionSet and asserts the euro range reproduces the documented band from your worked example (the ~€28k–€56k figure), and that removing any required assumption band yields an Abstained result rather than a number.</t>
  </si>
  <si>
    <t xml:space="preserve">The test asserts low/mid/high fall within the documented band (± rounding), that the abstain path returns ValueImpactResult.Abstained with the missing-assumption message, and that production-stop minutes (not raw downtime) drive the downtime term.</t>
  </si>
  <si>
    <t xml:space="preserve">P02</t>
  </si>
  <si>
    <t xml:space="preserve">AI+ML, Functionality</t>
  </si>
  <si>
    <t xml:space="preserve">T-021</t>
  </si>
  <si>
    <t xml:space="preserve">Genealogy bidirectional walk certification (C-0044170)</t>
  </si>
  <si>
    <t xml:space="preserve">Genealogy</t>
  </si>
  <si>
    <t xml:space="preserve">Extend GenealogyGoldenThreadTests to assert the upward walk Coil→Slab→Sequence→Heat and the downward walk Heat→…→Coils both return the correct C-0044170 chain on the realism seed, and that cycle/orphan handling is correct (orphans flagged, a seeded cycle detected without infinite loop).</t>
  </si>
  <si>
    <t xml:space="preserve">Both directions return the expected node sets for C-0044170; a seeded orphan coil is reported as orphan (no crash); a seeded cyclic edge is detected and reported rather than looping. This is the measurable exit for gate G2.</t>
  </si>
  <si>
    <t xml:space="preserve">T-022</t>
  </si>
  <si>
    <t xml:space="preserve">Cross-tenant isolation certification (403 / empty)</t>
  </si>
  <si>
    <t xml:space="preserve">Seed a second tenant and add tests proving RLS/tenant isolation: a user in tenant A cannot read tenant B data via any analytics/material/suggestion endpoint (403 or empty), and SafeSql-backed queries respect the app.current_tenant GUC. Use the demo tenant GUID 00000000-0000-0000-0000-000000000001 and a new tenant.</t>
  </si>
  <si>
    <t xml:space="preserve">For ≥10 representative endpoints, a tenant-A token requesting a tenant-B resource returns 403 or an empty set; a direct query path with tenant A's GUC returns zero tenant-B rows; security/auth-matrix-admin.spec.ts is extended and green. Measurable exit for gate G5.</t>
  </si>
  <si>
    <t xml:space="preserve">T-023</t>
  </si>
  <si>
    <t xml:space="preserve">FDR signal-recovery &amp; spurious-rejection certification</t>
  </si>
  <si>
    <t xml:space="preserve">AI+ML</t>
  </si>
  <si>
    <t xml:space="preserve">Build a synthetic analytics dataset with known true correlations and known spurious/noise variables. Assert ManagedStatisticalComputeEngine recovers the true signals as significant (q&lt;0.05 under Benjamini-Hochberg), rejects the spurious ones, ranks by effect size (not p), and flags an injected unstable relationship via bootstrap stability=false.</t>
  </si>
  <si>
    <t xml:space="preserve">All planted true signals are significant and all planted noise is not; the ranking order matches effect-size order; the unstable relationship returns stable=false. Deterministic with a fixed seed. Measurable exit for gate G4.</t>
  </si>
  <si>
    <t xml:space="preserve">T-024</t>
  </si>
  <si>
    <t xml:space="preserve">Grounding adversarial certification (no uncited number / no causation)</t>
  </si>
  <si>
    <t xml:space="preserve">Feed GroundingService adversarial drafts: (a) a fabricated number absent from any claim (must be blocked), (b) causal/forbidden phrasing such as 'root cause' / 'is caused by' / 'will save' (must be blocked), (c) only synthetic-backed claims (must refuse), (d) a fully grounded draft (must pass with citations).</t>
  </si>
  <si>
    <t xml:space="preserve">Each case behaves as specified; blocked sentences appear in the blocked list and never in the returned answer; the refusal path returns the honest refusal message and zero fabricated numbers leak. Measurable exit for the §7.7 honesty contract.</t>
  </si>
  <si>
    <t xml:space="preserve">T-025</t>
  </si>
  <si>
    <t xml:space="preserve">No-dead-button action-matrix certification (full enumeration)</t>
  </si>
  <si>
    <t xml:space="preserve">UI/UX</t>
  </si>
  <si>
    <t xml:space="preserve">Extend the phase1/phase9 action-matrix specs to enumerate EVERY interactive control on EVERY page (driven from the route list) and assert each one either performs a visible action, navigates, or is correctly disabled with a reason — zero inert controls (gate G6).</t>
  </si>
  <si>
    <t xml:space="preserve">The action-matrix e2e enumerates all routes and asserts no control is dead; CI fails if a new page/control is added without matrix coverage.</t>
  </si>
  <si>
    <t xml:space="preserve">UI/UX, Workflows</t>
  </si>
  <si>
    <t xml:space="preserve">T-026</t>
  </si>
  <si>
    <t xml:space="preserve">Connector read-only &amp; no-egress certification</t>
  </si>
  <si>
    <t xml:space="preserve">Prove principle #5 across connectors: attempt a write through each connector path and assert rejection; assert SafeSqlValidator blocks the full forbidden-token corpus (incl. xp_cmdshell, dblink, lo_import, openrowset, waitfor); and assert the analytics network guard (e2e/helpers/networkGuard.ts) fails the test on any unexpected outbound call.</t>
  </si>
  <si>
    <t xml:space="preserve">Each connector rejects writes (ConnectorReadOnlySession enforced); the SafeSql corpus test covers every forbidden token; the networkGuard e2e fails if the app egresses anywhere unexpected.</t>
  </si>
  <si>
    <t xml:space="preserve">T-027</t>
  </si>
  <si>
    <t xml:space="preserve">Model-gateway data-boundary &amp; serving-mode certification</t>
  </si>
  <si>
    <t xml:space="preserve">Certify the assistant private model gateway (V5PrivateModelGateway) honors serving modes and the data boundary: in no-egress mode no canonical/PII data leaves the boundary, configured redaction is applied, and when no external model is configured the deterministic safe-default IAssistantModel/IEmbedder are used.</t>
  </si>
  <si>
    <t xml:space="preserve">A test asserts that in no-egress mode no outbound model call leaves the boundary (network guard), that redaction strips configured fields before any model call, and that the default model/embedder are deterministic safe defaults. Measurable exit for gate G13.</t>
  </si>
  <si>
    <t xml:space="preserve">AI+ML, Security</t>
  </si>
  <si>
    <t xml:space="preserve">T-028</t>
  </si>
  <si>
    <t xml:space="preserve">Wire all gate-exit tests into a CI certification stage</t>
  </si>
  <si>
    <t xml:space="preserve">Group the gate-exit tests above into a dedicated CI 'certification' stage that runs on every push and blocks deploy if any gate regresses, and emit a machine-readable gate-report.json the Jenkins pipeline archives.</t>
  </si>
  <si>
    <t xml:space="preserve">The certification stage is green; deliberately breaking one gate (e.g. removing the FDR control) fails the stage and blocks deploy; gate-report.json is archived per build.</t>
  </si>
  <si>
    <t xml:space="preserve">this-phase cert tasks</t>
  </si>
  <si>
    <t xml:space="preserve">Functionality, Workflows</t>
  </si>
  <si>
    <t xml:space="preserve">T-029</t>
  </si>
  <si>
    <t xml:space="preserve">Persist source-schema snapshots per sync</t>
  </si>
  <si>
    <t xml:space="preserve">P04 · Mapping Health &amp; Schema-Drift Full Loop</t>
  </si>
  <si>
    <t xml:space="preserve">Workflow</t>
  </si>
  <si>
    <t xml:space="preserve">Schema-History</t>
  </si>
  <si>
    <t xml:space="preserve">Extend the ingestion path so each connector sync persists a SchemaFieldSnapshot set (field name, data type, unit, required, nullability, sample stats) to a canonical schema-history table keyed by source + sync timestamp — the foundation for drift comparison over time. Add an idempotent migration script in Backend/database/scripts.</t>
  </si>
  <si>
    <t xml:space="preserve">After two syncs where the source schema changed, the schema-history table holds two snapshots and a query returns the field-level diff; the migration re-runs cleanly (idempotent).</t>
  </si>
  <si>
    <t xml:space="preserve">T-030</t>
  </si>
  <si>
    <t xml:space="preserve">Wire SchemaDriftDetector into the sync pipeline</t>
  </si>
  <si>
    <t xml:space="preserve">Schema-Drift</t>
  </si>
  <si>
    <t xml:space="preserve">Call SchemaDriftDetector.Detect(expected=last snapshot, actual=current snapshot) on each sync; on Critical findings (removed required field / type change) block ingestion and raise a typed error; on Warnings (unit change / added optional field) allow but record. Expose findings via an endpoint.</t>
  </si>
  <si>
    <t xml:space="preserve">Integration tests: a removed required field blocks the sync with a typed error and zero rows imported; a unit change imports but records a Warning; an added optional field imports with an info finding.</t>
  </si>
  <si>
    <t xml:space="preserve">this-phase: snapshots</t>
  </si>
  <si>
    <t xml:space="preserve">T-031</t>
  </si>
  <si>
    <t xml:space="preserve">Mapping Health panel (HMI)</t>
  </si>
  <si>
    <t xml:space="preserve">Mapping-Health</t>
  </si>
  <si>
    <t xml:space="preserve">Build a Mapping Health page/panel showing, per source: mapping coverage (mapped vs unmapped fields), drift findings (Critical/Warning/Info with the human-readable message and a suggested action), last sync status, and unmapped-but-present fields. Use the dark-industrial design tokens, full edge states (loading/empty/error) and no dead buttons.</t>
  </si>
  <si>
    <t xml:space="preserve">An e2e test loads the panel on the realism demo (with a seeded drift) and asserts the Critical finding renders with its message and a 'remap' CTA, that coverage numbers match the API, and that an axe accessibility check passes.</t>
  </si>
  <si>
    <t xml:space="preserve">this-phase: drift wiring</t>
  </si>
  <si>
    <t xml:space="preserve">T-032</t>
  </si>
  <si>
    <t xml:space="preserve">Surface population &amp; exclusions on every analysis</t>
  </si>
  <si>
    <t xml:space="preserve">Coverage</t>
  </si>
  <si>
    <t xml:space="preserve">Implement principle #6 across analysis surfaces: every result shows its population and exclusions ('computed on N of M; excluded X for reason Y'). Add this to the advanced-results and KPI surfaces, fed by API metadata.</t>
  </si>
  <si>
    <t xml:space="preserve">An e2e asserts the advanced-analysis page shows the population line with numbers matching the seeded coverage; the API returns population/exclusion metadata for each result.</t>
  </si>
  <si>
    <t xml:space="preserve">modification</t>
  </si>
  <si>
    <t xml:space="preserve">T-033</t>
  </si>
  <si>
    <t xml:space="preserve">Genealogy cycle/orphan hardening + UI flags</t>
  </si>
  <si>
    <t xml:space="preserve">Ensure genealogy_edge creation rejects cycles and flags orphans with typed errors, and make GenealogyThreadPanel visibly mark orphan and transition nodes and show blended-provenance weights.</t>
  </si>
  <si>
    <t xml:space="preserve">Creating a cyclic edge returns a typed error; the panel renders an orphan badge and a transition-coil indicator on the seeded fixtures; tests cover both backend rejection and UI rendering.</t>
  </si>
  <si>
    <t xml:space="preserve">T-034</t>
  </si>
  <si>
    <t xml:space="preserve">Schema-drift &amp; mapping-health regression</t>
  </si>
  <si>
    <t xml:space="preserve">Add deep tests for the drift loop and the panel, re-run the full suite and update any fixtures touched.</t>
  </si>
  <si>
    <t xml:space="preserve">dotnet test + npm run test + npm run e2e are green; the drift block/warn/info paths are tested; the Mapping Health panel e2e is green.</t>
  </si>
  <si>
    <t xml:space="preserve">all P04 tasks</t>
  </si>
  <si>
    <t xml:space="preserve">T-035</t>
  </si>
  <si>
    <t xml:space="preserve">Mapping &amp; drift developer docs</t>
  </si>
  <si>
    <t xml:space="preserve">Mapping</t>
  </si>
  <si>
    <t xml:space="preserve">Document the mapping + drift loop end-to-end so a new developer can extend it: where snapshots live, how drift is evaluated, how to add a canonical field, and the SafeSql allowlist interplay.</t>
  </si>
  <si>
    <t xml:space="preserve">docs/mapping/MAPPING_AND_DRIFT.md exists with a worked example; a reviewer can follow it to add a new mapped field on the demo and watch it flow to canon.</t>
  </si>
  <si>
    <t xml:space="preserve">this-phase tasks</t>
  </si>
  <si>
    <t xml:space="preserve">Workflows</t>
  </si>
  <si>
    <t xml:space="preserve">T-036</t>
  </si>
  <si>
    <t xml:space="preserve">Split WidgetBuilderWizard god-files</t>
  </si>
  <si>
    <t xml:space="preserve">P05 · Frontend Hygiene &amp; God-File Refactor</t>
  </si>
  <si>
    <t xml:space="preserve">Widget-Builder</t>
  </si>
  <si>
    <t xml:space="preserve">WidgetBuilderWizardContent.implementation.tsx (1,710 lines) and WidgetBuilderWizard.implementation.tsx (1,512 lines) are unmaintainable. Decompose into one file per wizard step, extract state/effect hooks and pure helper modules, and keep a thin orchestrator. Behavior must be preserved exactly.</t>
  </si>
  <si>
    <t xml:space="preserve">No resulting file exceeds ~400 lines; widget-builder-focused.spec.ts and the page-builder e2e pass unchanged; an interaction/snapshot test confirms identical wizard behavior before and after the refactor.</t>
  </si>
  <si>
    <t xml:space="preserve">P01 (dead-file removal)</t>
  </si>
  <si>
    <t xml:space="preserve">Code hygiene, UI/UX</t>
  </si>
  <si>
    <t xml:space="preserve">T-037</t>
  </si>
  <si>
    <t xml:space="preserve">Refactor large API client &amp; admin tabs</t>
  </si>
  <si>
    <t xml:space="preserve">Components</t>
  </si>
  <si>
    <t xml:space="preserve">Split productCoreApiClient.implementation.ts (1,264 lines) by endpoint domain, and AdminDbConfigurationTab.implementation.tsx (1,127) and MaterialAnalyticsPages.implementation.tsx (1,102) by section. Normalize the .implementation.tsx convention — either fold the re-export wrappers or document the pattern once in the frontend README.</t>
  </si>
  <si>
    <t xml:space="preserve">No resulting file exceeds ~450 lines; admin-db-focused.spec.ts and the material-analytics tests pass; the build reports no unused-export warnings for the split modules.</t>
  </si>
  <si>
    <t xml:space="preserve">this-phase: wizard split</t>
  </si>
  <si>
    <t xml:space="preserve">T-038</t>
  </si>
  <si>
    <t xml:space="preserve">Retire legacy-global.css</t>
  </si>
  <si>
    <t xml:space="preserve">Styles</t>
  </si>
  <si>
    <t xml:space="preserve">src/styles/legacy/legacy-global.css (2,975 lines) is parked tech debt that will conflict with the new theming. Migrate still-used rules into the design-token / CSS-module system, delete the rest, and remove the legacy import.</t>
  </si>
  <si>
    <t xml:space="preserve">legacy-global.css is deleted; the visual-regression specs (phase9-core.visual, phase56-analytics-system.visual) pass within tolerance with no diffs flagged on key pages; the CSS bundle size drops (record before/after).</t>
  </si>
  <si>
    <t xml:space="preserve">T-039</t>
  </si>
  <si>
    <t xml:space="preserve">Centralize brand tokens into one source of truth</t>
  </si>
  <si>
    <t xml:space="preserve">Design-System</t>
  </si>
  <si>
    <t xml:space="preserve">With ~532 brand-token references, centralize the palette (Navy #050B18, Cyan #00D4FF), spacing and typography (Inter, JetBrains Mono) into one tokens module (CSS variables + TS constants) consumed everywhere, and remove duplicated hardcoded hex values.</t>
  </si>
  <si>
    <t xml:space="preserve">A lint/test forbids raw brand-hex literals outside the tokens module; the build is green; visual specs and dimension7-brand-identity.spec.ts pass.</t>
  </si>
  <si>
    <t xml:space="preserve">this-phase: legacy CSS</t>
  </si>
  <si>
    <t xml:space="preserve">T-040</t>
  </si>
  <si>
    <t xml:space="preserve">Frontend refactor regression suite</t>
  </si>
  <si>
    <t xml:space="preserve">After the splits, run npm run build + npm run test + npm run e2e + the visual specs and fix anything broken; add interaction tests where a refactor removed implicit coverage.</t>
  </si>
  <si>
    <t xml:space="preserve">All frontend tests and visual regression are green; the bundle builds with no console errors in e2e; coverage is not reduced versus pre-refactor (record the numbers).</t>
  </si>
  <si>
    <t xml:space="preserve">all P05 refactors</t>
  </si>
  <si>
    <t xml:space="preserve">T-041</t>
  </si>
  <si>
    <t xml:space="preserve">Frontend file-size &amp; complexity lint gate</t>
  </si>
  <si>
    <t xml:space="preserve">Add an eslint/CI rule capping file length (e.g. warn at 500, error at 700 lines) and cyclomatic complexity to prevent new god-files.</t>
  </si>
  <si>
    <t xml:space="preserve">The gate runs in CI; a deliberately oversized file fails it; all existing files pass after the refactor (or are explicitly whitelisted with a TODO to split).</t>
  </si>
  <si>
    <t xml:space="preserve">this-phase refactors</t>
  </si>
  <si>
    <t xml:space="preserve">T-042</t>
  </si>
  <si>
    <t xml:space="preserve">Design &amp; implement a contrast-audited light theme</t>
  </si>
  <si>
    <t xml:space="preserve">P06 · WCAG 2.1 AA + Light Theme</t>
  </si>
  <si>
    <t xml:space="preserve">Web</t>
  </si>
  <si>
    <t xml:space="preserve">Theming</t>
  </si>
  <si>
    <t xml:space="preserve">Create a light theme alongside the dark Command Center using the centralized tokens. Every color pair must meet WCAG AA contrast (4.5:1 for text, 3:1 for large text/UI). Add a persisted theme toggle (reuse the existing plantprocess.theme.v1 key) and honor prefers-color-scheme.</t>
  </si>
  <si>
    <t xml:space="preserve">An automated contrast test (axe-core or a contrast script) reports zero AA violations on all pages in BOTH themes; the toggle persists across reload; prefers-color-scheme is honored; visual specs are updated for both themes.</t>
  </si>
  <si>
    <t xml:space="preserve">P05</t>
  </si>
  <si>
    <t xml:space="preserve">T-043</t>
  </si>
  <si>
    <t xml:space="preserve">Keyboard navigation &amp; focus management</t>
  </si>
  <si>
    <t xml:space="preserve">Accessibility</t>
  </si>
  <si>
    <t xml:space="preserve">Ensure full keyboard operability: logical tab order, visible focus rings (:focus-visible), focus trapping in modals and the wizard, a skip-to-content link, and escape-to-close. Cover the wizard, dialogs, nav and data tables.</t>
  </si>
  <si>
    <t xml:space="preserve">An e2e keyboard-only journey completes the golden path with no mouse; axe reports no focus-order/keyboard violations; a modal focus-trap test passes.</t>
  </si>
  <si>
    <t xml:space="preserve">this-phase: light theme</t>
  </si>
  <si>
    <t xml:space="preserve">T-044</t>
  </si>
  <si>
    <t xml:space="preserve">Screen-reader semantics (ARIA, labels, live regions)</t>
  </si>
  <si>
    <t xml:space="preserve">Audit and complete ARIA roles/labels, form-control labels, table header scope, and aria-live status regions for async actions and toasts, building on the existing ~290 aria references.</t>
  </si>
  <si>
    <t xml:space="preserve">axe reports zero name/role/label violations on all pages; toast/async status is announced via aria-live (asserted in a DOM test); every form control has an associated label.</t>
  </si>
  <si>
    <t xml:space="preserve">this-phase: keyboard nav</t>
  </si>
  <si>
    <t xml:space="preserve">T-045</t>
  </si>
  <si>
    <t xml:space="preserve">Accessibility CI gate (axe) across all pages</t>
  </si>
  <si>
    <t xml:space="preserve">Add an automated accessibility test (jest-axe + Playwright axe) that runs on every page in both themes and fails CI on AA violations; extend a11y/phase56-accessibility.spec.ts to full route coverage.</t>
  </si>
  <si>
    <t xml:space="preserve">The a11y CI stage is green at AA across all routes and both themes; a deliberately broken control (missing label) fails the gate.</t>
  </si>
  <si>
    <t xml:space="preserve">this-phase a11y tasks</t>
  </si>
  <si>
    <t xml:space="preserve">T-046</t>
  </si>
  <si>
    <t xml:space="preserve">Reduced-motion &amp; color-independence support</t>
  </si>
  <si>
    <t xml:space="preserve">Honor prefers-reduced-motion (suppress nonessential animation), ensure no information is conveyed by color alone (add icons/text), and check chart palettes for color-blind safety.</t>
  </si>
  <si>
    <t xml:space="preserve">With reduced-motion set, animations are suppressed (test); chart legends/states do not rely on color alone (review + test); contrast holds within chart colors.</t>
  </si>
  <si>
    <t xml:space="preserve">T-047</t>
  </si>
  <si>
    <t xml:space="preserve">Accessibility regression + docs</t>
  </si>
  <si>
    <t xml:space="preserve">Re-run the full suite and document the accessibility approach (token usage, the axe gate, keyboard patterns) so it is maintained.</t>
  </si>
  <si>
    <t xml:space="preserve">All tests are green including a11y; docs/ux/ACCESSIBILITY.md is added; visual specs are updated for light and dark.</t>
  </si>
  <si>
    <t xml:space="preserve">all P06 tasks</t>
  </si>
  <si>
    <t xml:space="preserve">T-048</t>
  </si>
  <si>
    <t xml:space="preserve">Introduce i18n framework &amp; string extraction</t>
  </si>
  <si>
    <t xml:space="preserve">P07 · Internationalization + Arabic RTL</t>
  </si>
  <si>
    <t xml:space="preserve">i18n</t>
  </si>
  <si>
    <t xml:space="preserve">Add i18next + react-i18next. Replace hardcoded UI strings with translation keys across pages and components, create the 'en' locale resource as the source of truth, and add a LanguageProvider + language switcher.</t>
  </si>
  <si>
    <t xml:space="preserve">A test asserts no hardcoded user-facing string remains on the key pages (extraction lint); switching language via the switcher re-renders; the 'en' bundle is complete (no missing-key warnings during e2e).</t>
  </si>
  <si>
    <t xml:space="preserve">P06</t>
  </si>
  <si>
    <t xml:space="preserve">UI/UX, Features</t>
  </si>
  <si>
    <t xml:space="preserve">T-049</t>
  </si>
  <si>
    <t xml:space="preserve">RTL layout mode</t>
  </si>
  <si>
    <t xml:space="preserve">RTL</t>
  </si>
  <si>
    <t xml:space="preserve">Add dir=rtl support driven by locale: ensure the shell, layout, spacing, icons and charts mirror correctly using logical CSS properties (margin-inline, padding-inline, inset). Fix any hardcoded left/right.</t>
  </si>
  <si>
    <t xml:space="preserve">With Arabic selected, dir=rtl is applied and an e2e RTL journey through the golden path renders with no layout breakage (an RTL visual spec); a lint forbids physical left/right CSS where a logical property exists.</t>
  </si>
  <si>
    <t xml:space="preserve">this-phase: i18n framework</t>
  </si>
  <si>
    <t xml:space="preserve">T-050</t>
  </si>
  <si>
    <t xml:space="preserve">Arabic locale &amp; translations</t>
  </si>
  <si>
    <t xml:space="preserve">Provide an 'ar' locale resource with professional translations for the core flows (mark machine-translated strings for human review) and locale-aware date/number/unit formatting via Intl.</t>
  </si>
  <si>
    <t xml:space="preserve">The 'ar' bundle covers the core flows with no missing keys; dates/numbers format per locale (test); the previously-scaffold V5OutboundI18nMobilePage becomes functional.</t>
  </si>
  <si>
    <t xml:space="preserve">T-051</t>
  </si>
  <si>
    <t xml:space="preserve">i18n + RTL + theme interplay certification</t>
  </si>
  <si>
    <t xml:space="preserve">Ensure all combinations of light/dark x LTR/RTL x EN/AR pass contrast and layout with no regression to the WCAG gate.</t>
  </si>
  <si>
    <t xml:space="preserve">axe AA passes in all four combinations on the key pages; RTL visual specs are added; the toggles persist across reload.</t>
  </si>
  <si>
    <t xml:space="preserve">this-phase i18n tasks</t>
  </si>
  <si>
    <t xml:space="preserve">T-052</t>
  </si>
  <si>
    <t xml:space="preserve">i18n regression + docs</t>
  </si>
  <si>
    <t xml:space="preserve">Re-run the full suite and document the i18n/RTL approach (how to add a locale and a string).</t>
  </si>
  <si>
    <t xml:space="preserve">All tests are green; docs/ux/I18N_RTL.md is added with a worked 'add a string + locale' example.</t>
  </si>
  <si>
    <t xml:space="preserve">all P07 tasks</t>
  </si>
  <si>
    <t xml:space="preserve">T-053</t>
  </si>
  <si>
    <t xml:space="preserve">Mobile / responsive parity pass</t>
  </si>
  <si>
    <t xml:space="preserve">Responsive</t>
  </si>
  <si>
    <t xml:space="preserve">Audit responsive breakpoints across phone/tablet for the core flows in both directions; fix overflow and tap-target issues; ensure the shell and tables degrade gracefully.</t>
  </si>
  <si>
    <t xml:space="preserve">phase2-responsive-multibrowser and phase9-responsive-states are extended to mobile viewports and pass; tap targets are ≥44px; there is no horizontal scroll on key pages at 360px width.</t>
  </si>
  <si>
    <t xml:space="preserve">this-phase: RTL</t>
  </si>
  <si>
    <t xml:space="preserve">T-054</t>
  </si>
  <si>
    <t xml:space="preserve">Split GenericSchemaMappingEndpoints &amp; big admin endpoints</t>
  </si>
  <si>
    <t xml:space="preserve">P08 · Backend God-File Refactor &amp; API Hygiene</t>
  </si>
  <si>
    <t xml:space="preserve">Endpoints</t>
  </si>
  <si>
    <t xml:space="preserve">GenericSchemaMappingEndpoints.cs (1,388 lines) and Phase1WorkflowTruthEndpoints.cs (1,368) are too large. Split into cohesive endpoint groups and extract handlers/services; keep the route contracts identical.</t>
  </si>
  <si>
    <t xml:space="preserve">No endpoint file exceeds ~500 lines; all integration tests for those routes pass unchanged; the OpenAPI surface is identical (contract snapshot test).</t>
  </si>
  <si>
    <t xml:space="preserve">P03 (cert tests in place)</t>
  </si>
  <si>
    <t xml:space="preserve">Code hygiene, Engine</t>
  </si>
  <si>
    <t xml:space="preserve">T-055</t>
  </si>
  <si>
    <t xml:space="preserve">Split WorkflowEndpoints &amp; ConnectorConfigurationService</t>
  </si>
  <si>
    <t xml:space="preserve">Decompose WorkflowEndpoints.cs (1,031 lines) and ConnectorConfigurationService.cs (1,246 lines) by responsibility into smaller cohesive units.</t>
  </si>
  <si>
    <t xml:space="preserve">No resulting file exceeds ~500 lines; workflow and connector tests pass; behavior is unchanged (contract tests).</t>
  </si>
  <si>
    <t xml:space="preserve">this-phase: endpoint split</t>
  </si>
  <si>
    <t xml:space="preserve">T-056</t>
  </si>
  <si>
    <t xml:space="preserve">Normalize endpoint→handler→service pattern</t>
  </si>
  <si>
    <t xml:space="preserve">Ensure endpoints are thin and delegate to application services/handlers consistently; remove data-access and business logic from endpoint bodies where present.</t>
  </si>
  <si>
    <t xml:space="preserve">An architecture test asserts Api endpoint files contain no NpgsqlDataSource use / data-access logic (heuristic); all tests are green.</t>
  </si>
  <si>
    <t xml:space="preserve">this-phase splits</t>
  </si>
  <si>
    <t xml:space="preserve">T-057</t>
  </si>
  <si>
    <t xml:space="preserve">API contract &amp; OpenAPI snapshot tests</t>
  </si>
  <si>
    <t xml:space="preserve">API</t>
  </si>
  <si>
    <t xml:space="preserve">Add a contract test that snapshots the OpenAPI/Swagger surface so refactors cannot silently change routes or DTOs.</t>
  </si>
  <si>
    <t xml:space="preserve">The snapshot test is green; a deliberate route rename fails it; CI runs it on every push.</t>
  </si>
  <si>
    <t xml:space="preserve">Engine, Code hygiene</t>
  </si>
  <si>
    <t xml:space="preserve">T-058</t>
  </si>
  <si>
    <t xml:space="preserve">Backend refactor regression</t>
  </si>
  <si>
    <t xml:space="preserve">Run the full dotnet test + integration + e2e suite, fix anything broken, and ensure coverage is maintained.</t>
  </si>
  <si>
    <t xml:space="preserve">All backend and e2e tests are green; coverage is not reduced; there are no new analyzer warnings.</t>
  </si>
  <si>
    <t xml:space="preserve">all P08 tasks</t>
  </si>
  <si>
    <t xml:space="preserve">T-059</t>
  </si>
  <si>
    <t xml:space="preserve">Code-style &amp; analyzer gate (backend)</t>
  </si>
  <si>
    <t xml:space="preserve">Enforce .editorconfig + Roslyn analyzers (nullable, async, dispose, file length) in CI with warnings-as-errors; fix violations surfaced.</t>
  </si>
  <si>
    <t xml:space="preserve">The build with warnings-as-errors is green; a planted violation fails CI.</t>
  </si>
  <si>
    <t xml:space="preserve">T-060</t>
  </si>
  <si>
    <t xml:space="preserve">Implement one GA historian connector (read-only)</t>
  </si>
  <si>
    <t xml:space="preserve">P09 · Process Historian Connector (one GA)</t>
  </si>
  <si>
    <t xml:space="preserve">Integration</t>
  </si>
  <si>
    <t xml:space="preserve">Connector</t>
  </si>
  <si>
    <t xml:space="preserve">Implement a read-only connector for one historian (recommended: AVEVA/OSIsoft PI via PI Web API, or OPC-UA HDA) implementing IDataSourceConnector/ISchemaReader/IDataSourceReader: connection test, tag/point discovery, snapshot reads and incremental time-range reads. Apply ConnectorReadOnlySession semantics, use the SecretReference env convention, and never expose a write surface. Keep it generic (not steel-specific).</t>
  </si>
  <si>
    <t xml:space="preserve">Against a historian emulator or recorded fixtures, TestConnection succeeds, discovery lists tags, and a time-range read returns the expected samples; the connector has no write surface by design; the read-only and no-egress connector tests pass.</t>
  </si>
  <si>
    <t xml:space="preserve">P03</t>
  </si>
  <si>
    <t xml:space="preserve">Features, Functionality</t>
  </si>
  <si>
    <t xml:space="preserve">T-061</t>
  </si>
  <si>
    <t xml:space="preserve">Historian per-source-version capability state</t>
  </si>
  <si>
    <t xml:space="preserve">Record and surface the connector's honest capability state per historian version (what is tested/supported vs not), feeding the Connector Truth Contract on the website and in the admin UI.</t>
  </si>
  <si>
    <t xml:space="preserve">The capability state is persisted and exposed via ConnectorAdminEndpoints; the website ConnectorHonestyBlock shows the historian as 'tested on vX' (not over-claimed); a test asserts no forbidden claim string is present.</t>
  </si>
  <si>
    <t xml:space="preserve">this-phase: connector</t>
  </si>
  <si>
    <t xml:space="preserve">Features</t>
  </si>
  <si>
    <t xml:space="preserve">T-062</t>
  </si>
  <si>
    <t xml:space="preserve">Historian mapping + genealogy integration</t>
  </si>
  <si>
    <t xml:space="preserve">Map historian tags into canonical parameters and link them to genealogy (e.g. process parameters per coil/heat via a time-window join).</t>
  </si>
  <si>
    <t xml:space="preserve">Ingesting historian fixtures yields canonical parameter rows joined to the correct coil/heat; a correlation can include a historian-sourced parameter.</t>
  </si>
  <si>
    <t xml:space="preserve">T-063</t>
  </si>
  <si>
    <t xml:space="preserve">Historian connector UI (register/test/map)</t>
  </si>
  <si>
    <t xml:space="preserve">Connector-UI</t>
  </si>
  <si>
    <t xml:space="preserve">Add the historian to the connector registration UI (V5ConnectorsIdentityPage / ConnectorAdmin) with test-connection and capability display.</t>
  </si>
  <si>
    <t xml:space="preserve">An e2e registers the historian (emulator), tests the connection and sees the capability state; there are no dead buttons and the a11y check passes.</t>
  </si>
  <si>
    <t xml:space="preserve">Features, UI/UX</t>
  </si>
  <si>
    <t xml:space="preserve">T-064</t>
  </si>
  <si>
    <t xml:space="preserve">Historian tests + docs + regression</t>
  </si>
  <si>
    <t xml:space="preserve">Add deep connector tests (connection/discovery/read/incremental/error paths), write docs for adding historian sources, and run the full regression.</t>
  </si>
  <si>
    <t xml:space="preserve">The connector test suite is green; docs/connectors/HISTORIAN.md is added; the full suite is green.</t>
  </si>
  <si>
    <t xml:space="preserve">all P09 tasks</t>
  </si>
  <si>
    <t xml:space="preserve">T-065</t>
  </si>
  <si>
    <t xml:space="preserve">OPC-UA honest beta read path</t>
  </si>
  <si>
    <t xml:space="preserve">Optional</t>
  </si>
  <si>
    <t xml:space="preserve">Provide an OPC-UA read path in an explicit beta state (basic read works against an emulator; clearly labeled beta in capability state) to satisfy the honest-beta requirement of gate G1 without over-claiming.</t>
  </si>
  <si>
    <t xml:space="preserve">A basic OPC-UA read works against an emulator; the capability state is 'beta'; the website/admin shows beta (not GA); a test asserts no forbidden claim.</t>
  </si>
  <si>
    <t xml:space="preserve">T-066</t>
  </si>
  <si>
    <t xml:space="preserve">Build the OT-safe edge agent (one-way push)</t>
  </si>
  <si>
    <t xml:space="preserve">P10 · OT-Safe Edge Collector Field Agent</t>
  </si>
  <si>
    <t xml:space="preserve">Edge-Agent</t>
  </si>
  <si>
    <t xml:space="preserve">Implement the field-side collector deployable that reads from a plant source (file/DB), batches rows, signs them and pushes ONE-WAY to the acceptance gateway consumed by OtSafeEdgeCollectorGateway. By design it has no inbound path, no control path and no OT write capability. Each batch carries a credential fingerprint, signature and capture-window metadata.</t>
  </si>
  <si>
    <t xml:space="preserve">The agent pushes a signed batch the gateway accepts; a tampered batch is rejected (bad signature); the agent has no listening socket and no write-to-source capability (verified by design + test); replays within the window dedupe.</t>
  </si>
  <si>
    <t xml:space="preserve">Features, Functionality, Security</t>
  </si>
  <si>
    <t xml:space="preserve">T-067</t>
  </si>
  <si>
    <t xml:space="preserve">Edge agent packaging &amp; deployment</t>
  </si>
  <si>
    <t xml:space="preserve">Deploy</t>
  </si>
  <si>
    <t xml:space="preserve">Package the agent (container + config) with a hardened minimal footprint, document install at a plant edge, and ensure it only egresses to the gateway endpoint.</t>
  </si>
  <si>
    <t xml:space="preserve">A deploy test runs the agent in a container; a network policy verifies it connects only to the gateway; it pushes a batch successfully; the install runbook is validated.</t>
  </si>
  <si>
    <t xml:space="preserve">this-phase: agent</t>
  </si>
  <si>
    <t xml:space="preserve">Features, Security</t>
  </si>
  <si>
    <t xml:space="preserve">T-068</t>
  </si>
  <si>
    <t xml:space="preserve">Edge collector management UX (register/monitor)</t>
  </si>
  <si>
    <t xml:space="preserve">Edge-UI</t>
  </si>
  <si>
    <t xml:space="preserve">Flesh out EdgeCollectorManagementPage: register collectors, view batch acceptance/rejection history with reasons, capture windows, and OT-safe attestation status.</t>
  </si>
  <si>
    <t xml:space="preserve">An e2e registers a collector and sees both an accepted and a rejected batch with reasons; there are no dead buttons and the a11y check passes.</t>
  </si>
  <si>
    <t xml:space="preserve">T-069</t>
  </si>
  <si>
    <t xml:space="preserve">Edge ingestion → staging → canonical flow</t>
  </si>
  <si>
    <t xml:space="preserve">Ingestion</t>
  </si>
  <si>
    <t xml:space="preserve">Wire accepted edge batches into the two-stage staging and on to canonical, tagged with provenance origin='edge'.</t>
  </si>
  <si>
    <t xml:space="preserve">An accepted batch appears in staging then canonical with origin='edge'; a rejected batch never reaches staging; tests cover both paths.</t>
  </si>
  <si>
    <t xml:space="preserve">T-070</t>
  </si>
  <si>
    <t xml:space="preserve">Edge collector security &amp; no-egress certification</t>
  </si>
  <si>
    <t xml:space="preserve">Prove the one-way doctrine: no inbound/control path exists, signature enforcement, tenant binding, capture-window enforcement, and that the agent cannot reach the OT network.</t>
  </si>
  <si>
    <t xml:space="preserve">Tests assert no control endpoint exists; bad signature/tenant/out-of-window batches are rejected; the network guard confirms the agent's only egress is the gateway. Measurable exit for gate G11.</t>
  </si>
  <si>
    <t xml:space="preserve">T-071</t>
  </si>
  <si>
    <t xml:space="preserve">Edge tests + docs + regression</t>
  </si>
  <si>
    <t xml:space="preserve">Add the deep edge tests, write docs/acquisition/EDGE_COLLECTOR.md, and run the full regression.</t>
  </si>
  <si>
    <t xml:space="preserve">The edge suite is green; the docs are added; the full suite is green.</t>
  </si>
  <si>
    <t xml:space="preserve">all P10 tasks</t>
  </si>
  <si>
    <t xml:space="preserve">T-072</t>
  </si>
  <si>
    <t xml:space="preserve">Integrate SAST + dependency + secret scanning in CI</t>
  </si>
  <si>
    <t xml:space="preserve">P11 · Security SDLC, Auth Certification &amp; Encryption</t>
  </si>
  <si>
    <t xml:space="preserve">SDLC</t>
  </si>
  <si>
    <t xml:space="preserve">Add static analysis (CodeQL or SonarQube), dependency vulnerability scanning ('dotnet list package --vulnerable' + 'npm audit' / Dependabot) and secret scanning (gitleaks) to the Jenkins pipeline as blocking gates with a documented triage policy.</t>
  </si>
  <si>
    <t xml:space="preserve">All three scanners run per push; high/critical findings block deploy; a planted vulnerable dependency and a planted secret are caught; the baseline is triaged to zero or documented.</t>
  </si>
  <si>
    <t xml:space="preserve">P01 (secret-scan task)</t>
  </si>
  <si>
    <t xml:space="preserve">T-073</t>
  </si>
  <si>
    <t xml:space="preserve">Encryption-at-rest depth &amp; key management</t>
  </si>
  <si>
    <t xml:space="preserve">Encryption</t>
  </si>
  <si>
    <t xml:space="preserve">Verify/implement encryption at rest for staging, canonical, the credential vault and backups, with keys sourced from env/secret store (never code), and document rotation.</t>
  </si>
  <si>
    <t xml:space="preserve">An inspection/test confirms sensitive stores/columns are encrypted and keys come from the secret store; a key-rotation runbook exists and is dry-run validated.</t>
  </si>
  <si>
    <t xml:space="preserve">T-074</t>
  </si>
  <si>
    <t xml:space="preserve">Bootstrap-admin removal / first-run setup</t>
  </si>
  <si>
    <t xml:space="preserve">Auth</t>
  </si>
  <si>
    <t xml:space="preserve">Replace the persistent bootstrap admin with a one-time first-run setup flow (create a real admin, then disable the bootstrap account), or enforce mandatory rotation on first login outside Development — closing the 'bootstrap admin present' finding properly rather than only validating it.</t>
  </si>
  <si>
    <t xml:space="preserve">After first-run setup the bootstrap credential no longer authenticates (test); production cannot run with the default bootstrap password; a test asserts the bootstrap account is disabled post-setup.</t>
  </si>
  <si>
    <t xml:space="preserve">Auth, Security</t>
  </si>
  <si>
    <t xml:space="preserve">T-075</t>
  </si>
  <si>
    <t xml:space="preserve">MFA enforcement-by-role certification</t>
  </si>
  <si>
    <t xml:space="preserve">Enforce and test MFA for privileged roles (Admin): a non-MFA admin session must be blocked from privileged actions, and the TOTP enrollment + verification flow must work end-to-end.</t>
  </si>
  <si>
    <t xml:space="preserve">An admin without MFA is denied privileged endpoints; the MFA enrollment + TOTP verification flow is tested end-to-end and passes.</t>
  </si>
  <si>
    <t xml:space="preserve">T-076</t>
  </si>
  <si>
    <t xml:space="preserve">SSO/SCIM runtime certification</t>
  </si>
  <si>
    <t xml:space="preserve">Stand up an OIDC/SAML test IdP and a SCIM client and certify login, JIT provisioning, group→role mapping and deprovisioning end-to-end.</t>
  </si>
  <si>
    <t xml:space="preserve">Integration/e2e: SSO login issues a correct-role session; SCIM create/update/deactivate provisions and deprovisions users; group mapping yields the correct RBAC.</t>
  </si>
  <si>
    <t xml:space="preserve">T-077</t>
  </si>
  <si>
    <t xml:space="preserve">Security regression &amp; threat-model docs</t>
  </si>
  <si>
    <t xml:space="preserve">Run the full security test pass and write a concise threat model + security-controls document mapping to gate G12.</t>
  </si>
  <si>
    <t xml:space="preserve">The security suite and auth-matrix are green; docs/security/THREAT_MODEL.md and CONTROLS.md are added; every Wave-A item is marked closed with a test reference.</t>
  </si>
  <si>
    <t xml:space="preserve">all P11 tasks</t>
  </si>
  <si>
    <t xml:space="preserve">Security, Auth</t>
  </si>
  <si>
    <t xml:space="preserve">T-078</t>
  </si>
  <si>
    <t xml:space="preserve">Frontend performance budgets + CI enforcement</t>
  </si>
  <si>
    <t xml:space="preserve">P12 · Performance Budgets &amp; Ops/Scale</t>
  </si>
  <si>
    <t xml:space="preserve">Define performance budgets per §8.5 (LCP, INP/TBT, CLS, JS bundle size per route), measure with Lighthouse CI or Playwright traces, and fail CI on regression; code-split heavy routes (widget builder, dashboards).</t>
  </si>
  <si>
    <t xml:space="preserve">Lighthouse CI runs per build with budgets enforced (e.g. LCP &lt; 2.5s on the demo VPS, main bundle below target KB); a regression fails CI; baseline numbers are documented.</t>
  </si>
  <si>
    <t xml:space="preserve">P05, P08</t>
  </si>
  <si>
    <t xml:space="preserve">UI/UX, Engine</t>
  </si>
  <si>
    <t xml:space="preserve">T-079</t>
  </si>
  <si>
    <t xml:space="preserve">Backend latency budgets &amp; load tests</t>
  </si>
  <si>
    <t xml:space="preserve">Define p95 latency budgets for hot endpoints (dashboard, correlation, materials) at realism scale and add a load test (k6 or NBomber) to CI/nightly.</t>
  </si>
  <si>
    <t xml:space="preserve">The load test asserts p95 within budget at realism scale; hot-path N+1 guards hold; results are archived per run.</t>
  </si>
  <si>
    <t xml:space="preserve">Engine, Functionality</t>
  </si>
  <si>
    <t xml:space="preserve">T-080</t>
  </si>
  <si>
    <t xml:space="preserve">Time-series store &amp; retention</t>
  </si>
  <si>
    <t xml:space="preserve">TimeSeries</t>
  </si>
  <si>
    <t xml:space="preserve">Stand up the time-series/telemetry store (the TelemetryIngestionWorker target) with retention/downsampling and confirm ingestion at scale.</t>
  </si>
  <si>
    <t xml:space="preserve">Telemetry ingests at the target rate; the retention/downsampling job runs; a query over a week of data returns within budget.</t>
  </si>
  <si>
    <t xml:space="preserve">T-081</t>
  </si>
  <si>
    <t xml:space="preserve">Backup &amp; restore drill</t>
  </si>
  <si>
    <t xml:space="preserve">Backup</t>
  </si>
  <si>
    <t xml:space="preserve">Implement automated backups (DB + config) and a documented, tested restore procedure, and verify RPO/RTO targets.</t>
  </si>
  <si>
    <t xml:space="preserve">A restore drill from backup brings up a working instance with data intact (tested end-to-end); RPO/RTO are documented; the backup job is scheduled and monitored.</t>
  </si>
  <si>
    <t xml:space="preserve">Functionality, Security</t>
  </si>
  <si>
    <t xml:space="preserve">T-082</t>
  </si>
  <si>
    <t xml:space="preserve">Ops runbooks &amp; health/alerting</t>
  </si>
  <si>
    <t xml:space="preserve">Ops</t>
  </si>
  <si>
    <t xml:space="preserve">Write runbooks (deploy, rollback, incident, restore) and wire health checks + basic alerting (uptime, error rate, queue depth), building on HealthEndpoints/DiagnosticsEndpoints.</t>
  </si>
  <si>
    <t xml:space="preserve">Health/readiness endpoints cover DB, workers and the gateway; an alert fires on a simulated outage; the runbooks are validated by a dry run.</t>
  </si>
  <si>
    <t xml:space="preserve">T-083</t>
  </si>
  <si>
    <t xml:space="preserve">Performance/ops regression</t>
  </si>
  <si>
    <t xml:space="preserve">Re-run the full suite plus the perf/load gates and ensure no functional regression from code-splitting.</t>
  </si>
  <si>
    <t xml:space="preserve">All tests and perf gates are green; e2e is green after code-splitting.</t>
  </si>
  <si>
    <t xml:space="preserve">all P12 tasks</t>
  </si>
  <si>
    <t xml:space="preserve">T-084</t>
  </si>
  <si>
    <t xml:space="preserve">Control framework mapping (SOC2 / ISO 27001)</t>
  </si>
  <si>
    <t xml:space="preserve">P13 · Compliance Controls &amp; Audit Evidence</t>
  </si>
  <si>
    <t xml:space="preserve">Compliance</t>
  </si>
  <si>
    <t xml:space="preserve">Map implemented controls (access, audit, encryption, change management, backup) to SOC 2 / ISO 27001 control IDs and flesh out V5ComplianceControlsEndpoints to expose control status and evidence.</t>
  </si>
  <si>
    <t xml:space="preserve">A controls register (doc + endpoint) lists each control, its implementation and an evidence/test reference; a coverage report is generated.</t>
  </si>
  <si>
    <t xml:space="preserve">P11</t>
  </si>
  <si>
    <t xml:space="preserve">T-085</t>
  </si>
  <si>
    <t xml:space="preserve">Audit-log export &amp; immutability proof</t>
  </si>
  <si>
    <t xml:space="preserve">Audit</t>
  </si>
  <si>
    <t xml:space="preserve">Provide a tamper-evident audit-log export (signed / hash-chained) and certify immutability (the audit-trigger tests) as a runnable CI job rather than a SkippableFact, using a dedicated trigger connection (PPIQ_AUDIT_TRIGGER_TEST_CONNECTION).</t>
  </si>
  <si>
    <t xml:space="preserve">The audit export produces a verifiable hash-chained file; an attempt to mutate an audit row is blocked at the DB trigger and tested with the trigger connection configured; the immutability test runs (not skipped) in a dedicated CI job.</t>
  </si>
  <si>
    <t xml:space="preserve">T-086</t>
  </si>
  <si>
    <t xml:space="preserve">Data retention, erasure &amp; sensitive-data catalog</t>
  </si>
  <si>
    <t xml:space="preserve">Data-Governance</t>
  </si>
  <si>
    <t xml:space="preserve">Build on 640_remaining_sensitive_data_catalog: implement retention policies and a GDPR-style data-erasure path for personal data, and complete the sensitive-field catalog.</t>
  </si>
  <si>
    <t xml:space="preserve">A retention job purges per policy (tested); an erasure request removes the subject's personal data while preserving anonymized analytics; the sensitive-data catalog is complete and queryable.</t>
  </si>
  <si>
    <t xml:space="preserve">T-087</t>
  </si>
  <si>
    <t xml:space="preserve">GxP / validation documentation (regulated plants)</t>
  </si>
  <si>
    <t xml:space="preserve">Provide validation documentation (IQ/OQ/PQ skeleton), change-control and traceability suitable for regulated environments, in case a target plant is GxP-bound.</t>
  </si>
  <si>
    <t xml:space="preserve">docs/compliance/VALIDATION.md provides IQ/OQ/PQ templates and a traceability matrix, reviewed against a GxP checklist.</t>
  </si>
  <si>
    <t xml:space="preserve">T-088</t>
  </si>
  <si>
    <t xml:space="preserve">Compliance regression + evidence pack</t>
  </si>
  <si>
    <t xml:space="preserve">Run the compliance endpoints/tests and assemble an evidence pack (controls + test results + a sample audit export).</t>
  </si>
  <si>
    <t xml:space="preserve">The compliance suite is green; an evidence-pack artifact is generated by CI; the controls register has zero unmapped critical controls.</t>
  </si>
  <si>
    <t xml:space="preserve">all P13 tasks</t>
  </si>
  <si>
    <t xml:space="preserve">T-089</t>
  </si>
  <si>
    <t xml:space="preserve">Compliance docs review</t>
  </si>
  <si>
    <t xml:space="preserve">Review and polish all compliance docs for buyer/auditor consumption.</t>
  </si>
  <si>
    <t xml:space="preserve">The docs pass an internal review checklist and are cross-linked from the gate→code traceability matrix.</t>
  </si>
  <si>
    <t xml:space="preserve">this-phase docs</t>
  </si>
  <si>
    <t xml:space="preserve">T-090</t>
  </si>
  <si>
    <t xml:space="preserve">Rewrite §21 doctrine-vs-build delta + re-derive the score</t>
  </si>
  <si>
    <t xml:space="preserve">P14 · Documentation Truth, §21 Refresh &amp; Traceability</t>
  </si>
  <si>
    <t xml:space="preserve">Doctrine</t>
  </si>
  <si>
    <t xml:space="preserve">Update Doctrine §20–§21 to reflect the certified build: replace the stale 'unstarted/partial' rows with the current status plus test references, and re-derive the maturity score from the now-green gates. Re-establish the say-do-gap discipline so §21 stays current going forward. (This is the highest narrative-value, lowest-effort document fix.)</t>
  </si>
  <si>
    <t xml:space="preserve">§21 reflects every closed gate with a test reference and the score is recomputed and justified; a reviewer cross-checking 10 random rows finds them accurate against the code/tests.</t>
  </si>
  <si>
    <t xml:space="preserve">P03,P11 (certs done)</t>
  </si>
  <si>
    <t xml:space="preserve">All</t>
  </si>
  <si>
    <t xml:space="preserve">T-091</t>
  </si>
  <si>
    <t xml:space="preserve">Gate→code→test traceability matrix</t>
  </si>
  <si>
    <t xml:space="preserve">Traceability</t>
  </si>
  <si>
    <t xml:space="preserve">Produce an in-repo matrix mapping each gate G1–G16 to the implementing files and the certifying tests (the gate-exit tests from P03/P11/P12), generated or maintained under docs/.</t>
  </si>
  <si>
    <t xml:space="preserve">docs/TRACEABILITY.md maps every gate to code + test; CI checks that the referenced tests exist; no gate row is unmapped.</t>
  </si>
  <si>
    <t xml:space="preserve">T-092</t>
  </si>
  <si>
    <t xml:space="preserve">Methodology docs (evidence-grade language)</t>
  </si>
  <si>
    <t xml:space="preserve">Methodology</t>
  </si>
  <si>
    <t xml:space="preserve">Document the analytics methodology in evidence-grade language (correlation-not-causation, FDR, stratification, bootstrap, abstain) per the §7.11 limits, for buyers and for the assistant's grounding corpus.</t>
  </si>
  <si>
    <t xml:space="preserve">docs/analytics/METHODOLOGY.md exists and uses no forbidden claim; the assistant retrieval index includes it; a grounding test answers a methodology question with citations.</t>
  </si>
  <si>
    <t xml:space="preserve">T-093</t>
  </si>
  <si>
    <t xml:space="preserve">API &amp; developer onboarding docs</t>
  </si>
  <si>
    <t xml:space="preserve">DevDocs</t>
  </si>
  <si>
    <t xml:space="preserve">Generate an API reference from OpenAPI and write a developer onboarding guide (run locally, architecture overview, how to add a connector/mapping/page).</t>
  </si>
  <si>
    <t xml:space="preserve">The API docs are published; a new developer can follow onboarding to run the stack and add a trivial feature; links are validated.</t>
  </si>
  <si>
    <t xml:space="preserve">P08 (OpenAPI snapshot)</t>
  </si>
  <si>
    <t xml:space="preserve">T-094</t>
  </si>
  <si>
    <t xml:space="preserve">Website honesty re-lint at the 100 state</t>
  </si>
  <si>
    <t xml:space="preserve">Honesty</t>
  </si>
  <si>
    <t xml:space="preserve">Re-run the website honesty-lint after the new capabilities (historian GA, OPC beta, edge, SSO) to ensure no new over-claims, and update ConnectorHonestyBlock with the now-GA historian and the OPC beta.</t>
  </si>
  <si>
    <t xml:space="preserve">The honesty-lint is green; ConnectorHonestyBlock reflects the true GA/beta states; no forbidden claim is present; dimension7-brand and a honesty test pass.</t>
  </si>
  <si>
    <t xml:space="preserve">P09,P11</t>
  </si>
  <si>
    <t xml:space="preserve">T-095</t>
  </si>
  <si>
    <t xml:space="preserve">Final full-system certification run &amp; release sign-off</t>
  </si>
  <si>
    <t xml:space="preserve">Certification</t>
  </si>
  <si>
    <t xml:space="preserve">Execute the entire suite (dotnet test + npm run test + npm run e2e + perf + a11y + security + compliance gates), produce a final certification report and tag a release.</t>
  </si>
  <si>
    <t xml:space="preserve">Every gate stage is green; the certification report is archived; the release is tagged; deploy to the server succeeds with health green and a smoke walk of the golden path + C-0044170 + the value range + the grounded assistant.</t>
  </si>
  <si>
    <t xml:space="preserve">all prior phases</t>
  </si>
  <si>
    <t xml:space="preserve">T-096</t>
  </si>
  <si>
    <t xml:space="preserve">What-if / scenario simulation engine</t>
  </si>
  <si>
    <t xml:space="preserve">P15 · Prescriptive-Advisory &amp; Value-Realization Engine</t>
  </si>
  <si>
    <t xml:space="preserve">Simulation</t>
  </si>
  <si>
    <t xml:space="preserve">Build a deterministic what-if engine: given a finding and a set of adjustable process parameters, simulate the expected outcome distribution from the fitted association/statistical model, with confidence bands that widen as inputs move outside the observed data envelope. It NEVER auto-applies anything to the process — it produces an advisory projection only. Reuse Analytics.Core models; expose via an endpoint and a simulation panel.</t>
  </si>
  <si>
    <t xml:space="preserve">A unit/integration test asserts the simulation is deterministic (fixed seed → identical output), that confidence bands widen with extrapolation distance, and that the engine ABSTAINS (returns a typed 'insufficient support' result) when asked to project beyond the data envelope. An e2e drives a what-if from a finding and shows the projected range.</t>
  </si>
  <si>
    <t xml:space="preserve">P03,P05</t>
  </si>
  <si>
    <t xml:space="preserve">Add value, Analysis, AI+ML</t>
  </si>
  <si>
    <t xml:space="preserve">T-097</t>
  </si>
  <si>
    <t xml:space="preserve">Recommendation generator with expected €-impact</t>
  </si>
  <si>
    <t xml:space="preserve">Recommendations</t>
  </si>
  <si>
    <t xml:space="preserve">For each statistically-supported finding, generate a recommended parameter window plus an expected €-impact range (reuse ValueImpactEngine), explicitly tagged 'advisory — requires human approval' and 'no OT control'. Apply the existing honesty guardrails: no causal language, confidence attached, abstain when evidence is weak or FDR-insignificant. Persist recommendations with provenance and a workflow (propose/approve/dismiss).</t>
  </si>
  <si>
    <t xml:space="preserve">A test asserts every recommendation carries a €-range + confidence + provenance handle, is blocked when the underlying finding is FDR-insignificant, and is never auto-applied. An e2e shows an engineer approving and dismissing a recommendation; a GroundingService-style check confirms no causal phrasing leaks into recommendation text.</t>
  </si>
  <si>
    <t xml:space="preserve">this-phase: simulation</t>
  </si>
  <si>
    <t xml:space="preserve">Add value, AI+ML, Features</t>
  </si>
  <si>
    <t xml:space="preserve">T-098</t>
  </si>
  <si>
    <t xml:space="preserve">Value-realization tracking (baseline vs actual)</t>
  </si>
  <si>
    <t xml:space="preserve">Value-Realization</t>
  </si>
  <si>
    <t xml:space="preserve">Implement realized-value tracking: capture a pre-change baseline KPI window, then measure post-change actuals over a comparable window, compute the realized €-savings with explicit attribution caveats (correlation-not-causation, confounder note), and store a per-customer realized-value ledger linked to the recommendation that prompted the change.</t>
  </si>
  <si>
    <t xml:space="preserve">On a seeded before/after scenario, a test asserts the realized-€ figure is computed from the actual baseline-vs-actual delta (not hardcoded), is reproducible, and surfaces an attribution caveat. Changing the seeded actuals changes the realized value. The ledger links each entry to its source recommendation.</t>
  </si>
  <si>
    <t xml:space="preserve">this-phase: recommendations</t>
  </si>
  <si>
    <t xml:space="preserve">Add value, Analysis</t>
  </si>
  <si>
    <t xml:space="preserve">T-099</t>
  </si>
  <si>
    <t xml:space="preserve">ROI / CFO value dashboard</t>
  </si>
  <si>
    <t xml:space="preserve">Value-Dashboard</t>
  </si>
  <si>
    <t xml:space="preserve">Build a buyer-facing value dashboard: potential vs realized €, payback period, savings by area/finding, and trend over time, sourced from the value-realization ledger. Exportable to PDF for procurement/finance. Dark + light themed, accessible, no dead buttons.</t>
  </si>
  <si>
    <t xml:space="preserve">An e2e renders realized-vs-potential value with numbers reconciling exactly to the ledger, exports a PDF, and passes the axe accessibility gate. Changing a ledger entry updates the dashboard.</t>
  </si>
  <si>
    <t xml:space="preserve">this-phase: value tracking</t>
  </si>
  <si>
    <t xml:space="preserve">Add value, UI/UX</t>
  </si>
  <si>
    <t xml:space="preserve">T-100</t>
  </si>
  <si>
    <t xml:space="preserve">Cross-plant &amp; industry benchmarking</t>
  </si>
  <si>
    <t xml:space="preserve">Benchmarking</t>
  </si>
  <si>
    <t xml:space="preserve">Add privacy-preserving benchmarking: compare a tenant's KPI/finding against anonymized aggregates across other tenants and against configurable industry reference bands, with strict guarantees that no other tenant's row-level data is exposed (only k-anonymized aggregates above a minimum cohort size).</t>
  </si>
  <si>
    <t xml:space="preserve">A privacy test asserts benchmarking never returns identifiable cross-tenant rows and suppresses cohorts below the minimum size; a correctness test asserts the percentile/position computed for a known dataset is right; reference bands are configurable and applied.</t>
  </si>
  <si>
    <t xml:space="preserve">T-101</t>
  </si>
  <si>
    <t xml:space="preserve">Recommendation honesty &amp; approval certification</t>
  </si>
  <si>
    <t xml:space="preserve">Governance</t>
  </si>
  <si>
    <t xml:space="preserve">Adversarial certification of the advisory layer: recommendations must never assert causation, must always carry confidence, must abstain under weak evidence or extrapolation, and must require explicit human approval before any downstream write-back (P17). Tie into the certification CI stage.</t>
  </si>
  <si>
    <t xml:space="preserve">An adversarial test suite (fabricated impact, causal phrasing, out-of-envelope projection, weak-evidence) all behave correctly; a test proves no recommendation can reach a write-back path without an approval record. CI certification stage stays green.</t>
  </si>
  <si>
    <t xml:space="preserve">Add value, AI+ML</t>
  </si>
  <si>
    <t xml:space="preserve">T-102</t>
  </si>
  <si>
    <t xml:space="preserve">Phase 15 regression</t>
  </si>
  <si>
    <t xml:space="preserve">Run the full suite (dotnet test + npm run test + npm run e2e + certification stage) and fix anything the advisory/value-realization features touched.</t>
  </si>
  <si>
    <t xml:space="preserve">All suites green; new P15 tests included; no regression in prior gate-exit tests.</t>
  </si>
  <si>
    <t xml:space="preserve">all P15 tasks</t>
  </si>
  <si>
    <t xml:space="preserve">T-103</t>
  </si>
  <si>
    <t xml:space="preserve">Quality certificate / COA generation</t>
  </si>
  <si>
    <t xml:space="preserve">P16 · Quality Certification, Reporting &amp; Sustainability (PCF/CO2) Suite</t>
  </si>
  <si>
    <t xml:space="preserve">Certificates</t>
  </si>
  <si>
    <t xml:space="preserve">Generate configurable customer-grade quality certificates / certificates-of-analysis that pull genealogy + measured chemical/mechanical/dimensional properties + spec-conformance per coil/order, rendered to PDF and digitally signed. Template-driven so customers can define their own certificate layouts.</t>
  </si>
  <si>
    <t xml:space="preserve">A test asserts the certificate's values match the source canonical data exactly and the spec pass/fail verdict is correct; the PDF renders and the signature verifies; a tampered certificate fails verification.</t>
  </si>
  <si>
    <t xml:space="preserve">Features, Add value</t>
  </si>
  <si>
    <t xml:space="preserve">T-104</t>
  </si>
  <si>
    <t xml:space="preserve">SPC control charts + Cpk/Ppk capability</t>
  </si>
  <si>
    <t xml:space="preserve">SPC</t>
  </si>
  <si>
    <t xml:space="preserve">Add Statistical Process Control: X-bar/R (and I-MR) control charts with computed control limits, process-capability indices (Cpk/Ppk) per parameter/grade, and Western-Electric rule-violation flags. Surface in an SPC panel with drill-down to the contributing material.</t>
  </si>
  <si>
    <t xml:space="preserve">Cpk/Ppk are numerically validated against a known reference dataset (within tolerance); Western-Electric rule flags fire correctly on seeded violations; the SPC chart e2e renders limits and flags.</t>
  </si>
  <si>
    <t xml:space="preserve">this-phase: certificates</t>
  </si>
  <si>
    <t xml:space="preserve">Features, Analysis</t>
  </si>
  <si>
    <t xml:space="preserve">T-105</t>
  </si>
  <si>
    <t xml:space="preserve">Automotive / regulatory report packs</t>
  </si>
  <si>
    <t xml:space="preserve">Reporting</t>
  </si>
  <si>
    <t xml:space="preserve">Produce configurable IATF 16949 / PPAP-style report packs and regulatory export templates (e.g., per-shipment quality dossiers) assembled from genealogy, SPC, and conformance data, suitable for automotive and regulated customers.</t>
  </si>
  <si>
    <t xml:space="preserve">A generated report pack contains the required sections with data traceable to source; an export validates against a documented checklist; missing data is flagged, not silently omitted.</t>
  </si>
  <si>
    <t xml:space="preserve">this-phase: SPC</t>
  </si>
  <si>
    <t xml:space="preserve">T-106</t>
  </si>
  <si>
    <t xml:space="preserve">Product Carbon Footprint (PCF) / CO2 tracking</t>
  </si>
  <si>
    <t xml:space="preserve">Sustainability</t>
  </si>
  <si>
    <t xml:space="preserve">Accumulate energy consumption and CO2 emissions along the material genealogy (configurable emission factors per process step) to a per-piece and per-order PCF, integrated into certificates and a sustainability dashboard — the green-steel reporting buyers in the EU increasingly require.</t>
  </si>
  <si>
    <t xml:space="preserve">On a seeded genealogy, a test asserts the PCF total equals the hand-computed sum of step contributions; per-coil and per-order values reconcile; changing a factor changes the result. A dashboard e2e shows the footprint with provenance.</t>
  </si>
  <si>
    <t xml:space="preserve">Sustainability, Features, Add value</t>
  </si>
  <si>
    <t xml:space="preserve">T-107</t>
  </si>
  <si>
    <t xml:space="preserve">Scheduled report distribution &amp; subscriptions</t>
  </si>
  <si>
    <t xml:space="preserve">Let users schedule and subscribe to reports/certificates (cadence, format, recipients) with per-role access; deliver via email/export. Build on the jobs scheduler.</t>
  </si>
  <si>
    <t xml:space="preserve">A scheduled report generates and delivers on its cadence (tested with a fast cadence); subscriptions respect RBAC (a user only receives reports they may see); a failed delivery is retried and logged.</t>
  </si>
  <si>
    <t xml:space="preserve">T-108</t>
  </si>
  <si>
    <t xml:space="preserve">Phase 16 regression + reporting docs</t>
  </si>
  <si>
    <t xml:space="preserve">Full suite re-run plus documentation of the certificate/SPC/PCF/reporting subsystem (how to add a template, define a factor set, add an SPC rule).</t>
  </si>
  <si>
    <t xml:space="preserve">All suites green; docs/reporting/CERTIFICATES_SPC_PCF.md added with worked examples; visual specs updated for the new panels.</t>
  </si>
  <si>
    <t xml:space="preserve">all P16 tasks</t>
  </si>
  <si>
    <t xml:space="preserve">Features, Sustainability</t>
  </si>
  <si>
    <t xml:space="preserve">T-109</t>
  </si>
  <si>
    <t xml:space="preserve">OPC-UA connector to GA</t>
  </si>
  <si>
    <t xml:space="preserve">P17 · Enterprise Integration, Interoperability &amp; Advisory Write-Back</t>
  </si>
  <si>
    <t xml:space="preserve">Promote the OPC-UA read path from beta (P09) to GA: robust subscriptions, automatic reconnection/backfill, security-mode + certificate handling, and node-browsing at scale. Update the capability state to GA.</t>
  </si>
  <si>
    <t xml:space="preserve">A sustained read against an OPC-UA emulator survives a forced disconnect (reconnect + backfill, no data loss), enforces the configured security mode, and the capability state reports GA; connector read-only/no-egress tests pass.</t>
  </si>
  <si>
    <t xml:space="preserve">P09</t>
  </si>
  <si>
    <t xml:space="preserve">Features, Integration</t>
  </si>
  <si>
    <t xml:space="preserve">T-110</t>
  </si>
  <si>
    <t xml:space="preserve">Additional historian connectors (AVEVA PI / GE Proficy / Aspen IP.21)</t>
  </si>
  <si>
    <t xml:space="preserve">Add at least one further GA historian (and others in beta) implementing the connector contracts read-only, broadening connectivity toward incumbent parity. Honest per-version capability states feed the Connector Truth Contract.</t>
  </si>
  <si>
    <t xml:space="preserve">Connection/discovery/time-range read succeed against fixtures/emulators for each added historian; capability states are honest (GA vs beta); read-only enforced; connector tests pass.</t>
  </si>
  <si>
    <t xml:space="preserve">T-111</t>
  </si>
  <si>
    <t xml:space="preserve">ERP / LIMS / MES Level-3 read connectors</t>
  </si>
  <si>
    <t xml:space="preserve">Add read-only connectors for an ERP (e.g., SAP via OData/RFC), a LIMS, and an MES Level-3 system, mapping their data into canonical (orders, lab results, production confirmations). Strictly read-only; SecretReference convention; SafeSql/allowlist where SQL-backed.</t>
  </si>
  <si>
    <t xml:space="preserve">Each connector ingests fixtures into canon read-only with no write surface; a write attempt is impossible by design; mapping to canonical is correct on seeded data; tests cover connection/read/error.</t>
  </si>
  <si>
    <t xml:space="preserve">T-112</t>
  </si>
  <si>
    <t xml:space="preserve">Human-approved advisory write-back to QA/MES</t>
  </si>
  <si>
    <t xml:space="preserve">Write-Back</t>
  </si>
  <si>
    <t xml:space="preserve">Allow APPROVED recommendations / quality holds / dispositions to be pushed as PROPOSALS to the customer's quality or MES system via its API, behind an explicit approval workflow with full audit and rollback. This is the only write path in the product and it targets the BUSINESS quality workflow — never OT/process control. Unapproved items can never be written.</t>
  </si>
  <si>
    <t xml:space="preserve">An approved recommendation posts a proposal to a mock QA/MES endpoint; an unapproved one cannot (test); every write is audited and reversible (rollback tested); the network guard confirms the only egress is the configured QA/MES endpoint; an OT-control attempt has no code path.</t>
  </si>
  <si>
    <t xml:space="preserve">P15 (approval), P03 (no-egress)</t>
  </si>
  <si>
    <t xml:space="preserve">Features, Add value, Integration</t>
  </si>
  <si>
    <t xml:space="preserve">T-113</t>
  </si>
  <si>
    <t xml:space="preserve">Public REST API + webhooks + embeddable widgets</t>
  </si>
  <si>
    <t xml:space="preserve">Platform-API</t>
  </si>
  <si>
    <t xml:space="preserve">Expose a documented public REST API (OpenAPI) with API-key auth + scopes + rate limiting, outbound webhooks on key events (new finding, certificate ready, drift detected), and embeddable widget snippets for customer portals.</t>
  </si>
  <si>
    <t xml:space="preserve">API-key auth + scope enforcement tested (unscoped call rejected); a webhook fires on a real event to a test sink; rate-limit returns 429 past the budget; an embedded widget renders in a sandbox page; OpenAPI contract test green.</t>
  </si>
  <si>
    <t xml:space="preserve">Features, Integration, Extensibility</t>
  </si>
  <si>
    <t xml:space="preserve">T-114</t>
  </si>
  <si>
    <t xml:space="preserve">Phase 17 regression + ISA-95 mapping doc</t>
  </si>
  <si>
    <t xml:space="preserve">Full suite re-run plus an ISA-95 alignment document mapping canonical entities/levels and documenting the write-back safety boundary.</t>
  </si>
  <si>
    <t xml:space="preserve">All suites green incl. write-back approval/rollback and API contract; docs/integration/ISA95_AND_WRITEBACK.md added and reviewed.</t>
  </si>
  <si>
    <t xml:space="preserve">all P17 tasks</t>
  </si>
  <si>
    <t xml:space="preserve">T-115</t>
  </si>
  <si>
    <t xml:space="preserve">Multi-node HA application tier</t>
  </si>
  <si>
    <t xml:space="preserve">P18 · High Availability, Horizontal Scale &amp; Disaster Recovery</t>
  </si>
  <si>
    <t xml:space="preserve">HA</t>
  </si>
  <si>
    <t xml:space="preserve">Run ≥2 API nodes behind a load balancer with stateless sessions (HttpOnly cookie / JWT, shared cache for any server state) so a node failure causes zero user-visible impact. Remove every single-VPS assumption from config and deploy.</t>
  </si>
  <si>
    <t xml:space="preserve">A test/drill kills one API node mid-load and asserts zero failed requests (LB reroutes) and that user sessions survive; configuration contains no single-node hardcoding; health checks drive LB membership.</t>
  </si>
  <si>
    <t xml:space="preserve">P12</t>
  </si>
  <si>
    <t xml:space="preserve">System Stable, Reliability, Deployment</t>
  </si>
  <si>
    <t xml:space="preserve">T-116</t>
  </si>
  <si>
    <t xml:space="preserve">PostgreSQL HA: replication + automatic failover</t>
  </si>
  <si>
    <t xml:space="preserve">Add streaming replication with automatic failover (e.g., Patroni or a managed HA Postgres) and route analytics reads to replicas. Eliminate the database single point of failure.</t>
  </si>
  <si>
    <t xml:space="preserve">A failover drill kills the primary and asserts a replica is promoted within the target window with no committed-data loss (RPO≈0); analytics queries are served from a replica; the procedure is documented and repeatable.</t>
  </si>
  <si>
    <t xml:space="preserve">this-phase: app HA</t>
  </si>
  <si>
    <t xml:space="preserve">System Stable, Reliability, Scalability</t>
  </si>
  <si>
    <t xml:space="preserve">T-117</t>
  </si>
  <si>
    <t xml:space="preserve">Queue-based workers + autoscaling</t>
  </si>
  <si>
    <t xml:space="preserve">Scale</t>
  </si>
  <si>
    <t xml:space="preserve">Decouple ingestion and learning jobs through a durable queue with horizontally-scalable, idempotent workers and backpressure, so load spikes scale out rather than fall over.</t>
  </si>
  <si>
    <t xml:space="preserve">Under a burst load, workers scale out and drain the queue with no lost work; a killed worker's in-flight job is retried without duplication (idempotency test); backpressure prevents unbounded memory growth.</t>
  </si>
  <si>
    <t xml:space="preserve">this-phase HA</t>
  </si>
  <si>
    <t xml:space="preserve">Scalability, System Stable</t>
  </si>
  <si>
    <t xml:space="preserve">T-118</t>
  </si>
  <si>
    <t xml:space="preserve">Zero-downtime deploys (blue-green / canary)</t>
  </si>
  <si>
    <t xml:space="preserve">Release</t>
  </si>
  <si>
    <t xml:space="preserve">Replace the recreate-with-manual-primer deploy with blue-green or canary releases, automated migration gating, health-gated cutover and automatic rollback — removing the one-time-primer and downtime risk entirely.</t>
  </si>
  <si>
    <t xml:space="preserve">A deploy under continuous synthetic traffic shows zero 5xx and no dropped requests; a deliberately-failing canary auto-rolls-back; no manual 'Build Now' primer is required.</t>
  </si>
  <si>
    <t xml:space="preserve">Deployment, System Stable</t>
  </si>
  <si>
    <t xml:space="preserve">T-119</t>
  </si>
  <si>
    <t xml:space="preserve">Multi-region disaster recovery + tested RTO/RPO</t>
  </si>
  <si>
    <t xml:space="preserve">DR</t>
  </si>
  <si>
    <t xml:space="preserve">Implement cross-region backup/replication and a documented, automated DR runbook with explicit RTO/RPO targets for the steel customer's continuity requirements.</t>
  </si>
  <si>
    <t xml:space="preserve">A DR drill brings up the secondary region within the RTO with data within the RPO, verified end-to-end (a transaction written just before the simulated outage is present after recovery); the runbook is validated by the drill.</t>
  </si>
  <si>
    <t xml:space="preserve">System Stable, Reliability</t>
  </si>
  <si>
    <t xml:space="preserve">T-120</t>
  </si>
  <si>
    <t xml:space="preserve">Phase 18 HA regression</t>
  </si>
  <si>
    <t xml:space="preserve">Run the full suite plus all HA/DR drills; ensure no functional regression from the topology changes.</t>
  </si>
  <si>
    <t xml:space="preserve">All suites + HA/failover/zero-downtime/DR drills green; no functional regression; results archived.</t>
  </si>
  <si>
    <t xml:space="preserve">all P18 tasks</t>
  </si>
  <si>
    <t xml:space="preserve">T-121</t>
  </si>
  <si>
    <t xml:space="preserve">Chaos / fault-injection testing</t>
  </si>
  <si>
    <t xml:space="preserve">P19 · Resilience, Observability &amp; SLA Operations</t>
  </si>
  <si>
    <t xml:space="preserve">Resilience</t>
  </si>
  <si>
    <t xml:space="preserve">Introduce controlled chaos in a staging clone (node kill, DB failover, queue outage, network partition/latency) and assert graceful degradation and automatic recovery within bounds.</t>
  </si>
  <si>
    <t xml:space="preserve">A defined set of chaos scenarios all pass: no data loss, degradation stays within the documented bound, and the system auto-recovers; results are archived per run and gate the release.</t>
  </si>
  <si>
    <t xml:space="preserve">P18</t>
  </si>
  <si>
    <t xml:space="preserve">T-122</t>
  </si>
  <si>
    <t xml:space="preserve">30-day soak / endurance + leak detection</t>
  </si>
  <si>
    <t xml:space="preserve">Endurance</t>
  </si>
  <si>
    <t xml:space="preserve">Run a sustained realism+ load over a long window (representative 30-day-equivalent) while monitoring memory, handles, connections and latency for drift; catch leaks and slow regressions invisible to short tests.</t>
  </si>
  <si>
    <t xml:space="preserve">The soak shows no memory/handle leak, no latency creep beyond budget, and no error accumulation; a report is archived; any regression is fixed and re-run.</t>
  </si>
  <si>
    <t xml:space="preserve">System Stable</t>
  </si>
  <si>
    <t xml:space="preserve">T-123</t>
  </si>
  <si>
    <t xml:space="preserve">Full observability (tracing / metrics / logs)</t>
  </si>
  <si>
    <t xml:space="preserve">Observability</t>
  </si>
  <si>
    <t xml:space="preserve">Add OpenTelemetry distributed tracing, RED/USE metrics, structured logs with correlation IDs end-to-end (API → worker → DB), and dashboards — so production issues are diagnosable in minutes.</t>
  </si>
  <si>
    <t xml:space="preserve">A single request is traceable end-to-end across services via its correlation ID; dashboards show latency/error/throughput; logs are queryable by correlation ID; a synthetic error is locatable from the trace.</t>
  </si>
  <si>
    <t xml:space="preserve">this-phase</t>
  </si>
  <si>
    <t xml:space="preserve">System Stable, Observability, Reliability</t>
  </si>
  <si>
    <t xml:space="preserve">T-124</t>
  </si>
  <si>
    <t xml:space="preserve">SLO dashboards + error budgets + alerting + status page</t>
  </si>
  <si>
    <t xml:space="preserve">SLA</t>
  </si>
  <si>
    <t xml:space="preserve">Define SLOs (e.g., 99.95% availability, latency objectives), error-budget burn alerts, on-call routing, and a public status page — the operating model an enterprise buyer expects.</t>
  </si>
  <si>
    <t xml:space="preserve">SLO dashboards are live; a simulated breach burns the error budget and pages on-call; the status page reflects real health; SLO targets are documented.</t>
  </si>
  <si>
    <t xml:space="preserve">this-phase: observability</t>
  </si>
  <si>
    <t xml:space="preserve">Reliability, System Stable</t>
  </si>
  <si>
    <t xml:space="preserve">T-125</t>
  </si>
  <si>
    <t xml:space="preserve">Data-integrity verification jobs</t>
  </si>
  <si>
    <t xml:space="preserve">Integrity</t>
  </si>
  <si>
    <t xml:space="preserve">Add backup-restore verification, checksum/reconciliation between staging and canonical, and drift alerts so silent data corruption or partial loads are caught automatically.</t>
  </si>
  <si>
    <t xml:space="preserve">A corrupted/incomplete backup is detected by the verification job; a seeded staging↔canonical mismatch raises an alert; passing data verifies clean; tests cover both.</t>
  </si>
  <si>
    <t xml:space="preserve">System Stable, Functionality</t>
  </si>
  <si>
    <t xml:space="preserve">T-126</t>
  </si>
  <si>
    <t xml:space="preserve">Phase 19 regression + incident runbooks + game-day</t>
  </si>
  <si>
    <t xml:space="preserve">Full suite re-run; write incident/on-call runbooks and validate them with a game-day exercise.</t>
  </si>
  <si>
    <t xml:space="preserve">All suites green; incident, on-call and recovery runbooks validated by a game-day; gaps found are remediated.</t>
  </si>
  <si>
    <t xml:space="preserve">all P19 tasks</t>
  </si>
  <si>
    <t xml:space="preserve">T-127</t>
  </si>
  <si>
    <t xml:space="preserve">Multi-plant / fleet tenancy &amp; hierarchy</t>
  </si>
  <si>
    <t xml:space="preserve">P20 · Multi-Plant Fleet, Extensibility &amp; Marketplace</t>
  </si>
  <si>
    <t xml:space="preserve">Fleet</t>
  </si>
  <si>
    <t xml:space="preserve">Introduce an org → plant → line hierarchy with fleet-level roles and cross-plant aggregation, while preserving strict per-plant isolation (a plant-scoped user must never see another plant). Enables enterprise/fleet deals.</t>
  </si>
  <si>
    <t xml:space="preserve">A fleet dashboard aggregates N plants correctly; an isolation test proves a plant-scoped user cannot read another plant's data; fleet vs plant roles are enforced; tenant RLS holds across the hierarchy.</t>
  </si>
  <si>
    <t xml:space="preserve">P03 (cross-tenant cert)</t>
  </si>
  <si>
    <t xml:space="preserve">T-128</t>
  </si>
  <si>
    <t xml:space="preserve">Cross-plant benchmarking &amp; best-practice library</t>
  </si>
  <si>
    <t xml:space="preserve">Compare plants/lines on KPIs, surface best performers, and capture reusable best-practice playbooks across the fleet — privacy-preserving across customer boundaries.</t>
  </si>
  <si>
    <t xml:space="preserve">Benchmarking ranks plants on a KPI correctly on seeded data; a playbook can be captured and reused on another plant; cross-customer privacy is preserved (test).</t>
  </si>
  <si>
    <t xml:space="preserve">this-phase: fleet</t>
  </si>
  <si>
    <t xml:space="preserve">Add value, Features</t>
  </si>
  <si>
    <t xml:space="preserve">T-129</t>
  </si>
  <si>
    <t xml:space="preserve">Plugin SDK / custom analytics (sandboxed)</t>
  </si>
  <si>
    <t xml:space="preserve">Extensibility</t>
  </si>
  <si>
    <t xml:space="preserve">Provide a sandboxed extension point with a typed contract for custom analytics, widgets and connectors, with resource limits and a security boundary so third-party code cannot reach other tenants or secrets.</t>
  </si>
  <si>
    <t xml:space="preserve">A sample plugin loads in the sandbox and runs; a security test proves it cannot access other tenants, secrets, or the host filesystem/network beyond its grant; a misbehaving plugin is isolated and does not crash the host.</t>
  </si>
  <si>
    <t xml:space="preserve">P08</t>
  </si>
  <si>
    <t xml:space="preserve">Extensibility, Features</t>
  </si>
  <si>
    <t xml:space="preserve">T-130</t>
  </si>
  <si>
    <t xml:space="preserve">Analytics / template marketplace</t>
  </si>
  <si>
    <t xml:space="preserve">Marketplace</t>
  </si>
  <si>
    <t xml:space="preserve">Build an in-app marketplace to install and share versioned analytics templates, dashboards and connector configurations.</t>
  </si>
  <si>
    <t xml:space="preserve">Installing a template applies it and produces results; version pinning works; an e2e covers browse → install → use; uninstall cleanly reverts.</t>
  </si>
  <si>
    <t xml:space="preserve">this-phase: plugin SDK</t>
  </si>
  <si>
    <t xml:space="preserve">T-131</t>
  </si>
  <si>
    <t xml:space="preserve">Industry template library + rapid onboarding</t>
  </si>
  <si>
    <t xml:space="preserve">Onboarding</t>
  </si>
  <si>
    <t xml:space="preserve">Ship pre-built flat-steel templates (canonical mappings, KPIs, dashboards, finding definitions) so a new customer reaches first insight in days, not months — a major time-to-value and add-value lever.</t>
  </si>
  <si>
    <t xml:space="preserve">Applying a template on a fresh tenant yields a working dashboard and at least one finding within a scripted, time-boxed onboarding test; the onboarding wizard guides connect → map → analyze without hand SQL.</t>
  </si>
  <si>
    <t xml:space="preserve">Time-to-Value, Add value, Features</t>
  </si>
  <si>
    <t xml:space="preserve">T-132</t>
  </si>
  <si>
    <t xml:space="preserve">Phase 20 regression</t>
  </si>
  <si>
    <t xml:space="preserve">Full suite re-run including fleet isolation and plugin-sandbox security.</t>
  </si>
  <si>
    <t xml:space="preserve">All suites green; fleet isolation and plugin sandbox security tests pass; no regression.</t>
  </si>
  <si>
    <t xml:space="preserve">all P20 tasks</t>
  </si>
  <si>
    <t xml:space="preserve">Features, Extensibility</t>
  </si>
  <si>
    <t xml:space="preserve">T-133</t>
  </si>
  <si>
    <t xml:space="preserve">SOC 2 Type II / ISO 27001 external-audit readiness</t>
  </si>
  <si>
    <t xml:space="preserve">P21 · Compliance Certification, Support &amp; Vendor-Viability</t>
  </si>
  <si>
    <t xml:space="preserve">Operate the security controls over an observation window with automated evidence collection, remediate gaps, and assemble an auditor liaison pack — moving from 'controls mapped' (P13) to externally-auditable.</t>
  </si>
  <si>
    <t xml:space="preserve">A controls-evidence pack covers the full control set across the observation window; an internal or external pre-audit readiness assessment passes with zero critical gaps; evidence is reproducible from CI artifacts.</t>
  </si>
  <si>
    <t xml:space="preserve">P13</t>
  </si>
  <si>
    <t xml:space="preserve">Compliance, Security</t>
  </si>
  <si>
    <t xml:space="preserve">T-134</t>
  </si>
  <si>
    <t xml:space="preserve">IEC 62443 (OT-security) alignment &amp; safety case</t>
  </si>
  <si>
    <t xml:space="preserve">Map the read-only / no-egress / one-way-edge architecture to IEC 62443 zones and conduits and document the OT-safety case — the standard steel/industrial buyers and their OT/security teams evaluate.</t>
  </si>
  <si>
    <t xml:space="preserve">An IEC 62443 mapping document plus a test proving there is no inbound or control path to OT (reuses the edge no-egress certification) is reviewed against the standard with no open critical items.</t>
  </si>
  <si>
    <t xml:space="preserve">P10 (edge no-egress)</t>
  </si>
  <si>
    <t xml:space="preserve">T-135</t>
  </si>
  <si>
    <t xml:space="preserve">SLA-backed support tiers + ticketing + training/certification</t>
  </si>
  <si>
    <t xml:space="preserve">Support</t>
  </si>
  <si>
    <t xml:space="preserve">Stand up support tiers with response-time SLAs, ticketing integration, a contextual in-app help center, and a customer training + certification program. (Note: scales with headcount — this builds the machinery, not the team.)</t>
  </si>
  <si>
    <t xml:space="preserve">A simulated ticket meets its SLA timer and escalation path; in-app help is contextual to the page; a training module plus a certification exam exist and are completable end-to-end.</t>
  </si>
  <si>
    <t xml:space="preserve">Support, Add value</t>
  </si>
  <si>
    <t xml:space="preserve">T-136</t>
  </si>
  <si>
    <t xml:space="preserve">Source-escrow + business-continuity + roadmap + partner enablement</t>
  </si>
  <si>
    <t xml:space="preserve">Vendor-Viability</t>
  </si>
  <si>
    <t xml:space="preserve">Reduce the vendor-risk that customers price in: a source-code escrow agreement, a business-continuity plan (for the company, not just infra), a published product roadmap, and a partner/reseller enablement kit. (Honest note: this lowers — it cannot eliminate — small-vendor risk; references and revenue do the rest over time.)</t>
  </si>
  <si>
    <t xml:space="preserve">Escrow and BCP documents exist and are validated; a partner can be onboarded using the enablement kit (dry run); the roadmap is published; the lock-in mitigations are documented for procurement.</t>
  </si>
  <si>
    <t xml:space="preserve">Vendor viability, Add value</t>
  </si>
  <si>
    <t xml:space="preserve">T-137</t>
  </si>
  <si>
    <t xml:space="preserve">Reference / case-study &amp; ROI-library pipeline</t>
  </si>
  <si>
    <t xml:space="preserve">Add-Value</t>
  </si>
  <si>
    <t xml:space="preserve">Build the machinery to convert pilots into referenceable, ROI-quantified case studies: consent capture, automated metric/€-outcome extraction from the value-realization ledger, and anonymization — the engine that compounds trust and unlocks the top of the value range over time.</t>
  </si>
  <si>
    <t xml:space="preserve">A pilot produces a structured, consented case study carrying quantified €-outcomes pulled from the realized-value ledger; the ROI library is searchable; anonymization removes identifying data (test).</t>
  </si>
  <si>
    <t xml:space="preserve">P15 (value ledger)</t>
  </si>
  <si>
    <t xml:space="preserve">Add value, Vendor viability</t>
  </si>
  <si>
    <t xml:space="preserve">T-138</t>
  </si>
  <si>
    <t xml:space="preserve">Full-program certification &amp; positioning refresh + major release</t>
  </si>
  <si>
    <t xml:space="preserve">Run everything (all gate, ops, resilience, compliance and support gates), refresh the doctrine/positioning to the full-program state, and tag + deploy a major release.</t>
  </si>
  <si>
    <t xml:space="preserve">Every gate/ops/compliance stage is green; the positioning and doctrine reflect the full program (Features/Stability/Add-value &gt; 95); a major release is tagged and deployed with health green and a full smoke walk (golden path + C-0044170 + value range + recommendation + certificate + grounded assistant).</t>
  </si>
  <si>
    <t xml:space="preserve">Theme / Track</t>
  </si>
  <si>
    <t xml:space="preserve">Modules</t>
  </si>
  <si>
    <t xml:space="preserve">Deployable Outcome (what to show)</t>
  </si>
  <si>
    <t xml:space="preserve">Tasks</t>
  </si>
  <si>
    <t xml:space="preserve">Dimensions Advanced</t>
  </si>
  <si>
    <t xml:space="preserve">Hardening / Security / Bug-fix</t>
  </si>
  <si>
    <t xml:space="preserve">DB · Infra · Backend · Frontend · Security</t>
  </si>
  <si>
    <t xml:space="preserve">Secure, clean, green baseline: all known bugs fixed, dev-seed locked, DB port private, dead/duplicate files gone, CI guards in place.</t>
  </si>
  <si>
    <t xml:space="preserve">Code+Repo hygiene, Security, Functionality</t>
  </si>
  <si>
    <t xml:space="preserve">Demo / Data</t>
  </si>
  <si>
    <t xml:space="preserve">Database · Backend</t>
  </si>
  <si>
    <t xml:space="preserve">The product alive on realistic data (~630 heats / ~5,600 coils) with the C-0044170 thread and deliberate imperfection, rebuildable from empty entirely via the HMI.</t>
  </si>
  <si>
    <t xml:space="preserve">Hardening / Testing / AI+ML</t>
  </si>
  <si>
    <t xml:space="preserve">Testing · Backend</t>
  </si>
  <si>
    <t xml:space="preserve">Proof artifacts: €-range value reproduction, C-0044170 walk, cross-tenant 403, FDR signal recovery, grounding &amp; action-matrix — all enforced in CI.</t>
  </si>
  <si>
    <t xml:space="preserve">AI+ML, Functionality, Security, Workflows</t>
  </si>
  <si>
    <t xml:space="preserve">Workflow / Backend / Frontend</t>
  </si>
  <si>
    <t xml:space="preserve">Backend · Frontend · Database</t>
  </si>
  <si>
    <t xml:space="preserve">A live Mapping Health panel showing coverage + drift findings; ingestion blocks on critical drift; analyses show population/exclusions.</t>
  </si>
  <si>
    <t xml:space="preserve">Refactor / Hardening</t>
  </si>
  <si>
    <t xml:space="preserve">Maintainable frontend: god-files split, legacy CSS retired, brand tokens centralized, file-size lint gate — nothing broken.</t>
  </si>
  <si>
    <t xml:space="preserve">Code hygiene, UI/UX, Repo hygiene</t>
  </si>
  <si>
    <t xml:space="preserve">Web / Hardening</t>
  </si>
  <si>
    <t xml:space="preserve">Accessible, theme-able UI: contrast-audited light theme + full keyboard/screen-reader support, with an axe CI gate.</t>
  </si>
  <si>
    <t xml:space="preserve">EN + Arabic with full RTL layout and locale formatting — MENA-ready, all theme/direction combinations accessible.</t>
  </si>
  <si>
    <t xml:space="preserve">Thin endpoints, decomposed services, OpenAPI snapshot guard, analyzer gate — behavior identical, all tests green.</t>
  </si>
  <si>
    <t xml:space="preserve">AI+ML / Integration</t>
  </si>
  <si>
    <t xml:space="preserve">A new GA historian connector (read-only) plus an honest OPC-UA beta — registerable and mappable in the HMI.</t>
  </si>
  <si>
    <t xml:space="preserve">Hardening / Integration</t>
  </si>
  <si>
    <t xml:space="preserve">Backend · Infrastructure · Frontend</t>
  </si>
  <si>
    <t xml:space="preserve">A deployable one-way edge agent feeding the acceptance gateway, with management UX and no-egress certification.</t>
  </si>
  <si>
    <t xml:space="preserve">Security · Infra · Backend · Testing</t>
  </si>
  <si>
    <t xml:space="preserve">Blocking SAST/dependency/secret scans, encryption-at-rest depth, bootstrap-admin removal, MFA + SSO/SCIM certified.</t>
  </si>
  <si>
    <t xml:space="preserve">Hardening / Ops</t>
  </si>
  <si>
    <t xml:space="preserve">Frontend · Backend · Infra · Testing</t>
  </si>
  <si>
    <t xml:space="preserve">Enforced perf budgets, load-tested latency at scale, time-series store, tested backup/restore + runbooks.</t>
  </si>
  <si>
    <t xml:space="preserve">UI/UX, Engine, Functionality</t>
  </si>
  <si>
    <t xml:space="preserve">Security / Documentation</t>
  </si>
  <si>
    <t xml:space="preserve">Security · Database · Documentation</t>
  </si>
  <si>
    <t xml:space="preserve">Control mapping (SOC2/ISO), tamper-evident audit export, retention/erasure, sensitive-data catalog — an auditor evidence pack.</t>
  </si>
  <si>
    <t xml:space="preserve">Documentation · Web · Testing</t>
  </si>
  <si>
    <t xml:space="preserve">Doctrine §21 rewritten to the certified build, gate→code→test traceability, methodology docs, final full-system certification + release.</t>
  </si>
  <si>
    <t xml:space="preserve">All (narrative &amp; certification)</t>
  </si>
  <si>
    <t xml:space="preserve">AI+ML / Value</t>
  </si>
  <si>
    <t xml:space="preserve">Backend · Frontend · AI+ML</t>
  </si>
  <si>
    <t xml:space="preserve">Recommended actions w/ expected €-impact + measured before/after savings + benchmarking — evidence becomes tracked, quantified value (advisory, human-approved, no OT control).</t>
  </si>
  <si>
    <t xml:space="preserve">Add value, Analysis, AI+ML, Features</t>
  </si>
  <si>
    <t xml:space="preserve">Workflow / Web</t>
  </si>
  <si>
    <t xml:space="preserve">Customer-grade quality certificates, SPC/Cpk reporting and product-carbon-footprint tracking along genealogy — green-steel &amp; automotive ready.</t>
  </si>
  <si>
    <t xml:space="preserve">Features, Add value, Sustainability</t>
  </si>
  <si>
    <t xml:space="preserve">Backend · Database · Frontend</t>
  </si>
  <si>
    <t xml:space="preserve">OPC-UA GA + more historians + ERP/LIMS/MES read + human-approved advisory write-back to QA/MES + public API/webhooks.</t>
  </si>
  <si>
    <t xml:space="preserve">Features, Integration, Add value</t>
  </si>
  <si>
    <t xml:space="preserve">Infrastructure · Backend · Deploy</t>
  </si>
  <si>
    <t xml:space="preserve">Multi-node HA + failover, horizontal scale, zero-downtime deploys, tested multi-region DR — single-VPS risk eliminated.</t>
  </si>
  <si>
    <t xml:space="preserve">System Stable, Scalability, Reliability, Deployment</t>
  </si>
  <si>
    <t xml:space="preserve">Infrastructure · Backend · Testing</t>
  </si>
  <si>
    <t xml:space="preserve">Chaos + 30-day soak, full tracing/metrics/logs, SLO dashboards + error budgets, 99.95% SLA operating model.</t>
  </si>
  <si>
    <t xml:space="preserve">System Stable, Reliability, Observability</t>
  </si>
  <si>
    <t xml:space="preserve">Features / Web</t>
  </si>
  <si>
    <t xml:space="preserve">Frontend · Backend · Database</t>
  </si>
  <si>
    <t xml:space="preserve">Fleet/multi-plant + cross-plant benchmarking, plugin SDK + marketplace, industry-template library for rapid time-to-value.</t>
  </si>
  <si>
    <t xml:space="preserve">Features, Add value, Extensibility, Time-to-Value</t>
  </si>
  <si>
    <t xml:space="preserve">Security · Documentation · Backend</t>
  </si>
  <si>
    <t xml:space="preserve">External SOC 2 Type II / ISO 27001 / IEC 62443 readiness, SLA-backed support + training, source-escrow/BCP/partner program.</t>
  </si>
  <si>
    <t xml:space="preserve">Compliance, Support, Vendor viability, Add value</t>
  </si>
  <si>
    <t xml:space="preserve">TOTAL</t>
  </si>
  <si>
    <t xml:space="preserve">Dimension</t>
  </si>
  <si>
    <t xml:space="preserve">Current /100</t>
  </si>
  <si>
    <t xml:space="preserve">Target</t>
  </si>
  <si>
    <t xml:space="preserve">Gap</t>
  </si>
  <si>
    <t xml:space="preserve">Closing Phases</t>
  </si>
  <si>
    <t xml:space="preserve">How it reaches 100</t>
  </si>
  <si>
    <t xml:space="preserve">P02, P03, P04</t>
  </si>
  <si>
    <t xml:space="preserve">Demo built end-to-end through the HMI on the realism dataset (P02); mapping-health + coverage transparency (P04); all journeys certified by gate-exit e2e (P03).</t>
  </si>
  <si>
    <t xml:space="preserve">P09, P10, P16, P17, P20</t>
  </si>
  <si>
    <t xml:space="preserve">Historian/edge breadth (P09/P10); + certification/SPC/PCF reporting (P16), OPC-UA GA + ERP/LIMS/MES + advisory write-back + public API (P17), fleet + marketplace + templates (P20) push Features &gt; 95.</t>
  </si>
  <si>
    <t xml:space="preserve">P01, P04, P10, P12</t>
  </si>
  <si>
    <t xml:space="preserve">NotImplemented bindings verified + bugs fixed (P01); schema-drift loop + coverage (P04); edge ingestion flow (P10); load/restore validation (P12).</t>
  </si>
  <si>
    <t xml:space="preserve">P01, P11, P13</t>
  </si>
  <si>
    <t xml:space="preserve">DB-port + dev-seed + secret-scan closed (P01); SDLC scanning, encryption depth, bootstrap removal (P11); compliance controls + audit immutability (P13).</t>
  </si>
  <si>
    <t xml:space="preserve">Bootstrap-admin removal/first-run (P11); MFA-by-role + SSO/SCIM runtime certification (P11).</t>
  </si>
  <si>
    <t xml:space="preserve">AI + ML</t>
  </si>
  <si>
    <t xml:space="preserve">Value-range, FDR signal-recovery, grounding adversarial and model-gateway data-boundary certifications (P03) on the realism dataset (P02).</t>
  </si>
  <si>
    <t xml:space="preserve">Engine</t>
  </si>
  <si>
    <t xml:space="preserve">P08, P03, P12</t>
  </si>
  <si>
    <t xml:space="preserve">Backend god-file refactor + OpenAPI guard (P08); engine certs (P03); time-series store + latency budgets (P12).</t>
  </si>
  <si>
    <t xml:space="preserve">UI / UX</t>
  </si>
  <si>
    <t xml:space="preserve">P05, P06, P07, P12</t>
  </si>
  <si>
    <t xml:space="preserve">Frontend refactor (P05); WCAG 2.1 AA + light theme (P06); i18n + Arabic RTL (P07); enforced performance budgets (P12).</t>
  </si>
  <si>
    <t xml:space="preserve">P01, P05, P08</t>
  </si>
  <si>
    <t xml:space="preserve">Architecture/BOM guards (P01); frontend god-file split + lint gate (P05); backend split + analyzer gate (P08).</t>
  </si>
  <si>
    <t xml:space="preserve">Dead duplicate pages removed, Jenkinsfile/worker deduped, run-once tooling archived, secrets scanned (all P01).</t>
  </si>
  <si>
    <t xml:space="preserve">Composite (weighted)</t>
  </si>
  <si>
    <t xml:space="preserve">How to use this roadmap</t>
  </si>
  <si>
    <t xml:space="preserve">Goal</t>
  </si>
  <si>
    <t xml:space="preserve">Take every one of the ten evaluation dimensions to 100/100 (current composite ≈ 80). Phases are ordered by priority + prerequisites; each phase is 45–56h and ends in a deployable, demo-able increment with nothing broken.</t>
  </si>
  <si>
    <t xml:space="preserve">Deploy cadence</t>
  </si>
  <si>
    <t xml:space="preserve">Deploy to the server at the end of each phase. Higher-value, higher-visibility work is front-loaded (P02 demo, P03 proof) so there is always something good to show.</t>
  </si>
  <si>
    <t xml:space="preserve">Grouping</t>
  </si>
  <si>
    <t xml:space="preserve">Related files are touched in the same phase (e.g. all frontend god-file refactors in P05 before theming in P06/P07) to avoid re-opening the same file across distant tasks.</t>
  </si>
  <si>
    <t xml:space="preserve">Acceptance criteria</t>
  </si>
  <si>
    <t xml:space="preserve">Every task is 'done' only when its realistic hard test passes — not when the build merely compiles. After each phase, add the phase's deep tests AND re-run the full existing suite (dotnet test + npm run test + npm run e2e) so modifications never silently break prior gates.</t>
  </si>
  <si>
    <t xml:space="preserve">Blocks safety, a demo, or a pilot; do first.</t>
  </si>
  <si>
    <t xml:space="preserve">Major capability or certification; high priority.</t>
  </si>
  <si>
    <t xml:space="preserve">Real value or quality; scheduled deliberately.</t>
  </si>
  <si>
    <t xml:space="preserve">Useful hardening/cleanup.</t>
  </si>
  <si>
    <t xml:space="preserve">Nice-to-have / regulated-only.</t>
  </si>
  <si>
    <t xml:space="preserve">Workflow / Demo / Hardening / AI+ML / Web / Integration / Security / Documentation</t>
  </si>
  <si>
    <t xml:space="preserve">Grouping by the kind of work and its delivery theme; a phase has one primary track but tasks may span modules.</t>
  </si>
  <si>
    <t xml:space="preserve">Frontend, Backend, Database, Infrastructure, Web, Documentation, Testing, Deploy, Security, AI+ML</t>
  </si>
  <si>
    <t xml:space="preserve">The part of the system the task changes.</t>
  </si>
  <si>
    <t xml:space="preserve">Builds new capability.</t>
  </si>
  <si>
    <t xml:space="preserve">Adds/strengthens automated verification.</t>
  </si>
  <si>
    <t xml:space="preserve">Improves security/robustness/ops.</t>
  </si>
  <si>
    <t xml:space="preserve">Restructures code without changing behavior.</t>
  </si>
  <si>
    <t xml:space="preserve">Corrects a defect found during the audit.</t>
  </si>
  <si>
    <t xml:space="preserve">Adjusts existing behavior/content.</t>
  </si>
  <si>
    <t xml:space="preserve">Honest limit on the Current scores</t>
  </si>
  <si>
    <t xml:space="preserve">Evidence-based, not test-run</t>
  </si>
  <si>
    <t xml:space="preserve">The 'Current /100' figures come from reading ~14 key files in full + capability analysis across all 1,241 files; the test suites were not executed. Treat ≥85 as 'built and correct on inspection'. P03/P11/P12 convert that into executed-test certification.</t>
  </si>
  <si>
    <t xml:space="preserve">Bugs folded in from the deep code scan</t>
  </si>
  <si>
    <t xml:space="preserve">PKL seed N-literal corruption</t>
  </si>
  <si>
    <t xml:space="preserve">T-001 — demo-source SQL won't run in SQL Server; fix + sweep + exporter root-cause.</t>
  </si>
  <si>
    <t xml:space="preserve">Dead duplicate pages (6)</t>
  </si>
  <si>
    <t xml:space="preserve">T-006 — flat vs foldered page twins from an unfinished refactor.</t>
  </si>
  <si>
    <t xml:space="preserve">Dev-seed gating / DB port</t>
  </si>
  <si>
    <t xml:space="preserve">T-003 / T-004 — confirm production-safety.</t>
  </si>
  <si>
    <t xml:space="preserve">NotImplemented bindings</t>
  </si>
  <si>
    <t xml:space="preserve">T-005 — verify real services are the active bindings.</t>
  </si>
  <si>
    <t xml:space="preserve">Duplicate Jenkinsfile / worker / BOM</t>
  </si>
  <si>
    <t xml:space="preserve">T-007 / T-009 — dedupe + encoding guard.</t>
  </si>
</sst>
</file>

<file path=xl/styles.xml><?xml version="1.0" encoding="utf-8"?>
<styleSheet xmlns="http://schemas.openxmlformats.org/spreadsheetml/2006/main">
  <numFmts count="2">
    <numFmt numFmtId="164" formatCode="General"/>
    <numFmt numFmtId="165" formatCode="General"/>
  </numFmts>
  <fonts count="14">
    <font>
      <sz val="11"/>
      <color theme="1"/>
      <name val="Calibri"/>
      <family val="2"/>
      <charset val="1"/>
    </font>
    <font>
      <sz val="10"/>
      <name val="Arial"/>
      <family val="0"/>
    </font>
    <font>
      <sz val="10"/>
      <name val="Arial"/>
      <family val="0"/>
    </font>
    <font>
      <sz val="10"/>
      <name val="Arial"/>
      <family val="0"/>
    </font>
    <font>
      <b val="true"/>
      <sz val="10"/>
      <color rgb="FF00D4FF"/>
      <name val="Arial"/>
      <family val="0"/>
      <charset val="1"/>
    </font>
    <font>
      <sz val="10"/>
      <name val="Arial"/>
      <family val="0"/>
      <charset val="1"/>
    </font>
    <font>
      <b val="true"/>
      <sz val="9"/>
      <color rgb="FFFFFFFF"/>
      <name val="Arial"/>
      <family val="0"/>
      <charset val="1"/>
    </font>
    <font>
      <b val="true"/>
      <sz val="10"/>
      <name val="Arial"/>
      <family val="0"/>
      <charset val="1"/>
    </font>
    <font>
      <b val="true"/>
      <sz val="9"/>
      <color rgb="FFCFE8FF"/>
      <name val="Arial"/>
      <family val="0"/>
      <charset val="1"/>
    </font>
    <font>
      <b val="true"/>
      <sz val="9"/>
      <color rgb="FF9FC3E0"/>
      <name val="Arial"/>
      <family val="0"/>
      <charset val="1"/>
    </font>
    <font>
      <b val="true"/>
      <sz val="10"/>
      <color rgb="FF0B3D66"/>
      <name val="Arial"/>
      <family val="0"/>
      <charset val="1"/>
    </font>
    <font>
      <b val="true"/>
      <sz val="11"/>
      <name val="Arial"/>
      <family val="0"/>
      <charset val="1"/>
    </font>
    <font>
      <sz val="10"/>
      <color rgb="FF0000FF"/>
      <name val="Arial"/>
      <family val="0"/>
      <charset val="1"/>
    </font>
    <font>
      <b val="true"/>
      <sz val="11"/>
      <color rgb="FF00D4FF"/>
      <name val="Arial"/>
      <family val="0"/>
      <charset val="1"/>
    </font>
  </fonts>
  <fills count="11">
    <fill>
      <patternFill patternType="none"/>
    </fill>
    <fill>
      <patternFill patternType="gray125"/>
    </fill>
    <fill>
      <patternFill patternType="solid">
        <fgColor rgb="FF050B18"/>
        <bgColor rgb="FF000000"/>
      </patternFill>
    </fill>
    <fill>
      <patternFill patternType="solid">
        <fgColor rgb="FFF2F7FB"/>
        <bgColor rgb="FFFFFFFF"/>
      </patternFill>
    </fill>
    <fill>
      <patternFill patternType="solid">
        <fgColor rgb="FF7F1D1D"/>
        <bgColor rgb="FF9A3412"/>
      </patternFill>
    </fill>
    <fill>
      <patternFill patternType="solid">
        <fgColor rgb="FF1F3A52"/>
        <bgColor rgb="FF22364A"/>
      </patternFill>
    </fill>
    <fill>
      <patternFill patternType="solid">
        <fgColor rgb="FF9A3412"/>
        <bgColor rgb="FF7F1D1D"/>
      </patternFill>
    </fill>
    <fill>
      <patternFill patternType="solid">
        <fgColor rgb="FF7A5C00"/>
        <bgColor rgb="FF9A3412"/>
      </patternFill>
    </fill>
    <fill>
      <patternFill patternType="solid">
        <fgColor rgb="FFFFFFFF"/>
        <bgColor rgb="FFF2F7FB"/>
      </patternFill>
    </fill>
    <fill>
      <patternFill patternType="solid">
        <fgColor rgb="FF30425A"/>
        <bgColor rgb="FF1F3A52"/>
      </patternFill>
    </fill>
    <fill>
      <patternFill patternType="solid">
        <fgColor rgb="FFD6ECFB"/>
        <bgColor rgb="FFCFE8FF"/>
      </patternFill>
    </fill>
  </fills>
  <borders count="2">
    <border diagonalUp="false" diagonalDown="false">
      <left/>
      <right/>
      <top/>
      <bottom/>
      <diagonal/>
    </border>
    <border diagonalUp="false" diagonalDown="false">
      <left style="thin">
        <color rgb="FF22364A"/>
      </left>
      <right style="thin">
        <color rgb="FF22364A"/>
      </right>
      <top style="thin">
        <color rgb="FF22364A"/>
      </top>
      <bottom style="thin">
        <color rgb="FF22364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8" fillId="5" borderId="1" xfId="0" applyFont="true" applyBorder="true" applyAlignment="true" applyProtection="false">
      <alignment horizontal="center" vertical="top" textRotation="0" wrapText="true" indent="0" shrinkToFit="false"/>
      <protection locked="true" hidden="false"/>
    </xf>
    <xf numFmtId="164" fontId="6" fillId="6" borderId="1" xfId="0" applyFont="true" applyBorder="true" applyAlignment="true" applyProtection="false">
      <alignment horizontal="center" vertical="top" textRotation="0" wrapText="true" indent="0" shrinkToFit="false"/>
      <protection locked="true" hidden="false"/>
    </xf>
    <xf numFmtId="164" fontId="6" fillId="7" borderId="1" xfId="0" applyFont="true" applyBorder="true" applyAlignment="true" applyProtection="false">
      <alignment horizontal="center" vertical="top" textRotation="0" wrapText="true" indent="0" shrinkToFit="false"/>
      <protection locked="true" hidden="false"/>
    </xf>
    <xf numFmtId="164" fontId="5" fillId="8" borderId="1" xfId="0" applyFont="true" applyBorder="true" applyAlignment="true" applyProtection="false">
      <alignment horizontal="center"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center" vertical="top" textRotation="0" wrapText="true" indent="0" shrinkToFit="false"/>
      <protection locked="true" hidden="false"/>
    </xf>
    <xf numFmtId="164" fontId="9" fillId="9"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5" fontId="5" fillId="0" borderId="1" xfId="0" applyFont="true" applyBorder="true" applyAlignment="true" applyProtection="false">
      <alignment horizontal="center" vertical="top" textRotation="0" wrapText="true" indent="0" shrinkToFit="false"/>
      <protection locked="true" hidden="false"/>
    </xf>
    <xf numFmtId="164" fontId="7" fillId="10" borderId="1" xfId="0" applyFont="true" applyBorder="true" applyAlignment="true" applyProtection="false">
      <alignment horizontal="left" vertical="bottom" textRotation="0" wrapText="false" indent="0" shrinkToFit="false"/>
      <protection locked="true" hidden="false"/>
    </xf>
    <xf numFmtId="164" fontId="0" fillId="10" borderId="1" xfId="0" applyFont="false" applyBorder="true" applyAlignment="true" applyProtection="false">
      <alignment horizontal="left" vertical="bottom" textRotation="0" wrapText="false" indent="0" shrinkToFit="false"/>
      <protection locked="true" hidden="false"/>
    </xf>
    <xf numFmtId="165" fontId="11" fillId="10" borderId="1" xfId="0" applyFont="true" applyBorder="tru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center" vertical="top" textRotation="0" wrapText="true" indent="0" shrinkToFit="false"/>
      <protection locked="true" hidden="false"/>
    </xf>
    <xf numFmtId="164" fontId="0" fillId="10" borderId="1" xfId="0" applyFont="false" applyBorder="true" applyAlignment="true" applyProtection="false">
      <alignment horizontal="center" vertical="bottom" textRotation="0" wrapText="false" indent="0" shrinkToFit="false"/>
      <protection locked="true" hidden="false"/>
    </xf>
    <xf numFmtId="164" fontId="13"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050B18"/>
          <bgColor rgb="FF000000"/>
        </patternFill>
      </fill>
    </dxf>
    <dxf>
      <fill>
        <patternFill patternType="solid">
          <fgColor rgb="FFF2F7FB"/>
          <bgColor rgb="FF000000"/>
        </patternFill>
      </fill>
    </dxf>
    <dxf>
      <fill>
        <patternFill patternType="solid">
          <fgColor rgb="FFFFFFFF"/>
          <bgColor rgb="FF000000"/>
        </patternFill>
      </fill>
    </dxf>
    <dxf>
      <fill>
        <patternFill patternType="solid">
          <fgColor rgb="FF00D4FF"/>
          <bgColor rgb="FF000000"/>
        </patternFill>
      </fill>
    </dxf>
    <dxf>
      <fill>
        <patternFill patternType="solid">
          <bgColor rgb="FF000000"/>
        </patternFill>
      </fill>
    </dxf>
    <dxf>
      <fill>
        <patternFill patternType="solid">
          <fgColor rgb="FF1F3A52"/>
          <bgColor rgb="FF000000"/>
        </patternFill>
      </fill>
    </dxf>
    <dxf>
      <fill>
        <patternFill patternType="solid">
          <fgColor rgb="FF30425A"/>
          <bgColor rgb="FF000000"/>
        </patternFill>
      </fill>
    </dxf>
    <dxf>
      <fill>
        <patternFill patternType="solid">
          <fgColor rgb="FF7A5C00"/>
          <bgColor rgb="FF000000"/>
        </patternFill>
      </fill>
    </dxf>
    <dxf>
      <fill>
        <patternFill patternType="solid">
          <fgColor rgb="FF7F1D1D"/>
          <bgColor rgb="FF000000"/>
        </patternFill>
      </fill>
    </dxf>
    <dxf>
      <fill>
        <patternFill patternType="solid">
          <fgColor rgb="FF9A3412"/>
          <bgColor rgb="FF000000"/>
        </patternFill>
      </fill>
    </dxf>
    <dxf>
      <fill>
        <patternFill patternType="solid">
          <fgColor rgb="FF9FC3E0"/>
          <bgColor rgb="FF000000"/>
        </patternFill>
      </fill>
    </dxf>
    <dxf>
      <fill>
        <patternFill patternType="solid">
          <fgColor rgb="FFCFE8FF"/>
          <bgColor rgb="FF000000"/>
        </patternFill>
      </fill>
    </dxf>
  </dxfs>
  <colors>
    <indexedColors>
      <rgbColor rgb="FF000000"/>
      <rgbColor rgb="FFFFFFFF"/>
      <rgbColor rgb="FFFF0000"/>
      <rgbColor rgb="FF00FF00"/>
      <rgbColor rgb="FF0000FF"/>
      <rgbColor rgb="FFFFFF00"/>
      <rgbColor rgb="FFFF00FF"/>
      <rgbColor rgb="FF00FFFF"/>
      <rgbColor rgb="FF7F1D1D"/>
      <rgbColor rgb="FF008000"/>
      <rgbColor rgb="FF000080"/>
      <rgbColor rgb="FF7A5C00"/>
      <rgbColor rgb="FF800080"/>
      <rgbColor rgb="FF008080"/>
      <rgbColor rgb="FFC0C0C0"/>
      <rgbColor rgb="FF808080"/>
      <rgbColor rgb="FF9999FF"/>
      <rgbColor rgb="FF993366"/>
      <rgbColor rgb="FFF2F7FB"/>
      <rgbColor rgb="FFD6ECFB"/>
      <rgbColor rgb="FF660066"/>
      <rgbColor rgb="FFFF8080"/>
      <rgbColor rgb="FF0066CC"/>
      <rgbColor rgb="FFCCCCFF"/>
      <rgbColor rgb="FF000080"/>
      <rgbColor rgb="FFFF00FF"/>
      <rgbColor rgb="FFFFFF00"/>
      <rgbColor rgb="FF00FFFF"/>
      <rgbColor rgb="FF800080"/>
      <rgbColor rgb="FF800000"/>
      <rgbColor rgb="FF008080"/>
      <rgbColor rgb="FF0000FF"/>
      <rgbColor rgb="FF00D4FF"/>
      <rgbColor rgb="FFCFE8FF"/>
      <rgbColor rgb="FFCCFFCC"/>
      <rgbColor rgb="FFFFFF99"/>
      <rgbColor rgb="FF9FC3E0"/>
      <rgbColor rgb="FFFF99CC"/>
      <rgbColor rgb="FFCC99FF"/>
      <rgbColor rgb="FFFFCC99"/>
      <rgbColor rgb="FF3366FF"/>
      <rgbColor rgb="FF33CCCC"/>
      <rgbColor rgb="FF99CC00"/>
      <rgbColor rgb="FFFFCC00"/>
      <rgbColor rgb="FFFF9900"/>
      <rgbColor rgb="FFFF6600"/>
      <rgbColor rgb="FF666699"/>
      <rgbColor rgb="FF969696"/>
      <rgbColor rgb="FF0B3D66"/>
      <rgbColor rgb="FF339966"/>
      <rgbColor rgb="FF050B18"/>
      <rgbColor rgb="FF1F3A52"/>
      <rgbColor rgb="FF9A3412"/>
      <rgbColor rgb="FF993366"/>
      <rgbColor rgb="FF30425A"/>
      <rgbColor rgb="FF2236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3" min="2" style="1" width="30"/>
    <col collapsed="false" customWidth="true" hidden="false" outlineLevel="0" max="4" min="4" style="1" width="12"/>
    <col collapsed="false" customWidth="true" hidden="false" outlineLevel="0" max="5" min="5" style="1" width="13"/>
    <col collapsed="false" customWidth="true" hidden="false" outlineLevel="0" max="6" min="6" style="1" width="16"/>
    <col collapsed="false" customWidth="true" hidden="false" outlineLevel="0" max="7" min="7" style="1" width="14"/>
    <col collapsed="false" customWidth="true" hidden="false" outlineLevel="0" max="8" min="8" style="1" width="82"/>
    <col collapsed="false" customWidth="true" hidden="false" outlineLevel="0" max="9" min="9" style="1" width="72"/>
    <col collapsed="false" customWidth="true" hidden="false" outlineLevel="0" max="10" min="10" style="1" width="13"/>
    <col collapsed="false" customWidth="true" hidden="false" outlineLevel="0" max="11" min="11" style="1" width="9"/>
    <col collapsed="false" customWidth="true" hidden="false" outlineLevel="0" max="12" min="12" style="1" width="17"/>
    <col collapsed="false" customWidth="true" hidden="false" outlineLevel="0" max="13" min="13" style="1" width="22"/>
  </cols>
  <sheetData>
    <row r="1" customFormat="false" ht="33.7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row>
    <row r="2" customFormat="false" ht="108" hidden="false" customHeight="true" outlineLevel="0" collapsed="false">
      <c r="A2" s="3" t="s">
        <v>13</v>
      </c>
      <c r="B2" s="4" t="s">
        <v>14</v>
      </c>
      <c r="C2" s="3" t="s">
        <v>15</v>
      </c>
      <c r="D2" s="3" t="s">
        <v>16</v>
      </c>
      <c r="E2" s="3" t="s">
        <v>17</v>
      </c>
      <c r="F2" s="4" t="s">
        <v>18</v>
      </c>
      <c r="G2" s="5" t="s">
        <v>19</v>
      </c>
      <c r="H2" s="4" t="s">
        <v>20</v>
      </c>
      <c r="I2" s="4" t="s">
        <v>21</v>
      </c>
      <c r="J2" s="3" t="s">
        <v>22</v>
      </c>
      <c r="K2" s="6" t="n">
        <v>3</v>
      </c>
      <c r="L2" s="4" t="s">
        <v>23</v>
      </c>
      <c r="M2" s="4" t="s">
        <v>24</v>
      </c>
    </row>
    <row r="3" customFormat="false" ht="55.5" hidden="false" customHeight="true" outlineLevel="0" collapsed="false">
      <c r="A3" s="3" t="s">
        <v>25</v>
      </c>
      <c r="B3" s="4" t="s">
        <v>26</v>
      </c>
      <c r="C3" s="3" t="s">
        <v>15</v>
      </c>
      <c r="D3" s="3" t="s">
        <v>16</v>
      </c>
      <c r="E3" s="3" t="s">
        <v>17</v>
      </c>
      <c r="F3" s="4" t="s">
        <v>18</v>
      </c>
      <c r="G3" s="7" t="s">
        <v>27</v>
      </c>
      <c r="H3" s="4" t="s">
        <v>28</v>
      </c>
      <c r="I3" s="4" t="s">
        <v>29</v>
      </c>
      <c r="J3" s="3" t="s">
        <v>22</v>
      </c>
      <c r="K3" s="6" t="n">
        <v>1</v>
      </c>
      <c r="L3" s="4" t="s">
        <v>23</v>
      </c>
      <c r="M3" s="4" t="s">
        <v>30</v>
      </c>
    </row>
    <row r="4" customFormat="false" ht="69" hidden="false" customHeight="true" outlineLevel="0" collapsed="false">
      <c r="A4" s="3" t="s">
        <v>31</v>
      </c>
      <c r="B4" s="4" t="s">
        <v>32</v>
      </c>
      <c r="C4" s="3" t="s">
        <v>15</v>
      </c>
      <c r="D4" s="3" t="s">
        <v>33</v>
      </c>
      <c r="E4" s="3" t="s">
        <v>34</v>
      </c>
      <c r="F4" s="4" t="s">
        <v>35</v>
      </c>
      <c r="G4" s="5" t="s">
        <v>19</v>
      </c>
      <c r="H4" s="4" t="s">
        <v>36</v>
      </c>
      <c r="I4" s="4" t="s">
        <v>37</v>
      </c>
      <c r="J4" s="3" t="s">
        <v>38</v>
      </c>
      <c r="K4" s="6" t="n">
        <v>4</v>
      </c>
      <c r="L4" s="4" t="s">
        <v>23</v>
      </c>
      <c r="M4" s="4" t="s">
        <v>39</v>
      </c>
    </row>
    <row r="5" customFormat="false" ht="55.5" hidden="false" customHeight="true" outlineLevel="0" collapsed="false">
      <c r="A5" s="3" t="s">
        <v>40</v>
      </c>
      <c r="B5" s="4" t="s">
        <v>41</v>
      </c>
      <c r="C5" s="3" t="s">
        <v>15</v>
      </c>
      <c r="D5" s="3" t="s">
        <v>33</v>
      </c>
      <c r="E5" s="3" t="s">
        <v>42</v>
      </c>
      <c r="F5" s="4" t="s">
        <v>43</v>
      </c>
      <c r="G5" s="5" t="s">
        <v>19</v>
      </c>
      <c r="H5" s="4" t="s">
        <v>44</v>
      </c>
      <c r="I5" s="4" t="s">
        <v>45</v>
      </c>
      <c r="J5" s="3" t="s">
        <v>38</v>
      </c>
      <c r="K5" s="6" t="n">
        <v>3</v>
      </c>
      <c r="L5" s="4" t="s">
        <v>23</v>
      </c>
      <c r="M5" s="4" t="s">
        <v>35</v>
      </c>
    </row>
    <row r="6" customFormat="false" ht="69" hidden="false" customHeight="true" outlineLevel="0" collapsed="false">
      <c r="A6" s="3" t="s">
        <v>46</v>
      </c>
      <c r="B6" s="4" t="s">
        <v>47</v>
      </c>
      <c r="C6" s="3" t="s">
        <v>15</v>
      </c>
      <c r="D6" s="3" t="s">
        <v>33</v>
      </c>
      <c r="E6" s="3" t="s">
        <v>34</v>
      </c>
      <c r="F6" s="4" t="s">
        <v>48</v>
      </c>
      <c r="G6" s="8" t="s">
        <v>49</v>
      </c>
      <c r="H6" s="4" t="s">
        <v>50</v>
      </c>
      <c r="I6" s="4" t="s">
        <v>51</v>
      </c>
      <c r="J6" s="3" t="s">
        <v>22</v>
      </c>
      <c r="K6" s="6" t="n">
        <v>3</v>
      </c>
      <c r="L6" s="4" t="s">
        <v>23</v>
      </c>
      <c r="M6" s="4" t="s">
        <v>30</v>
      </c>
    </row>
    <row r="7" customFormat="false" ht="55.5" hidden="false" customHeight="true" outlineLevel="0" collapsed="false">
      <c r="A7" s="3" t="s">
        <v>52</v>
      </c>
      <c r="B7" s="4" t="s">
        <v>53</v>
      </c>
      <c r="C7" s="3" t="s">
        <v>15</v>
      </c>
      <c r="D7" s="3" t="s">
        <v>33</v>
      </c>
      <c r="E7" s="3" t="s">
        <v>54</v>
      </c>
      <c r="F7" s="4" t="s">
        <v>55</v>
      </c>
      <c r="G7" s="9" t="s">
        <v>56</v>
      </c>
      <c r="H7" s="4" t="s">
        <v>57</v>
      </c>
      <c r="I7" s="4" t="s">
        <v>58</v>
      </c>
      <c r="J7" s="3" t="s">
        <v>59</v>
      </c>
      <c r="K7" s="6" t="n">
        <v>5</v>
      </c>
      <c r="L7" s="4" t="s">
        <v>23</v>
      </c>
      <c r="M7" s="4" t="s">
        <v>60</v>
      </c>
    </row>
    <row r="8" customFormat="false" ht="55.5" hidden="false" customHeight="true" outlineLevel="0" collapsed="false">
      <c r="A8" s="3" t="s">
        <v>61</v>
      </c>
      <c r="B8" s="4" t="s">
        <v>62</v>
      </c>
      <c r="C8" s="3" t="s">
        <v>15</v>
      </c>
      <c r="D8" s="3" t="s">
        <v>33</v>
      </c>
      <c r="E8" s="3" t="s">
        <v>42</v>
      </c>
      <c r="F8" s="4" t="s">
        <v>63</v>
      </c>
      <c r="G8" s="9" t="s">
        <v>56</v>
      </c>
      <c r="H8" s="4" t="s">
        <v>64</v>
      </c>
      <c r="I8" s="4" t="s">
        <v>65</v>
      </c>
      <c r="J8" s="3" t="s">
        <v>59</v>
      </c>
      <c r="K8" s="6" t="n">
        <v>3</v>
      </c>
      <c r="L8" s="4" t="s">
        <v>23</v>
      </c>
      <c r="M8" s="4" t="s">
        <v>66</v>
      </c>
    </row>
    <row r="9" customFormat="false" ht="55.5" hidden="false" customHeight="true" outlineLevel="0" collapsed="false">
      <c r="A9" s="3" t="s">
        <v>67</v>
      </c>
      <c r="B9" s="4" t="s">
        <v>68</v>
      </c>
      <c r="C9" s="3" t="s">
        <v>15</v>
      </c>
      <c r="D9" s="3" t="s">
        <v>33</v>
      </c>
      <c r="E9" s="3" t="s">
        <v>69</v>
      </c>
      <c r="F9" s="4" t="s">
        <v>70</v>
      </c>
      <c r="G9" s="9" t="s">
        <v>56</v>
      </c>
      <c r="H9" s="4" t="s">
        <v>71</v>
      </c>
      <c r="I9" s="4" t="s">
        <v>72</v>
      </c>
      <c r="J9" s="3" t="s">
        <v>73</v>
      </c>
      <c r="K9" s="6" t="n">
        <v>5</v>
      </c>
      <c r="L9" s="4" t="s">
        <v>23</v>
      </c>
      <c r="M9" s="4" t="s">
        <v>74</v>
      </c>
    </row>
    <row r="10" customFormat="false" ht="55.5" hidden="false" customHeight="true" outlineLevel="0" collapsed="false">
      <c r="A10" s="3" t="s">
        <v>75</v>
      </c>
      <c r="B10" s="4" t="s">
        <v>76</v>
      </c>
      <c r="C10" s="3" t="s">
        <v>15</v>
      </c>
      <c r="D10" s="3" t="s">
        <v>33</v>
      </c>
      <c r="E10" s="3" t="s">
        <v>42</v>
      </c>
      <c r="F10" s="4" t="s">
        <v>77</v>
      </c>
      <c r="G10" s="7" t="s">
        <v>27</v>
      </c>
      <c r="H10" s="4" t="s">
        <v>78</v>
      </c>
      <c r="I10" s="4" t="s">
        <v>79</v>
      </c>
      <c r="J10" s="3" t="s">
        <v>38</v>
      </c>
      <c r="K10" s="6" t="n">
        <v>3</v>
      </c>
      <c r="L10" s="4" t="s">
        <v>23</v>
      </c>
      <c r="M10" s="4" t="s">
        <v>80</v>
      </c>
    </row>
    <row r="11" customFormat="false" ht="69" hidden="false" customHeight="true" outlineLevel="0" collapsed="false">
      <c r="A11" s="3" t="s">
        <v>81</v>
      </c>
      <c r="B11" s="4" t="s">
        <v>82</v>
      </c>
      <c r="C11" s="3" t="s">
        <v>15</v>
      </c>
      <c r="D11" s="3" t="s">
        <v>33</v>
      </c>
      <c r="E11" s="3" t="s">
        <v>83</v>
      </c>
      <c r="F11" s="4" t="s">
        <v>84</v>
      </c>
      <c r="G11" s="7" t="s">
        <v>27</v>
      </c>
      <c r="H11" s="4" t="s">
        <v>85</v>
      </c>
      <c r="I11" s="4" t="s">
        <v>86</v>
      </c>
      <c r="J11" s="3" t="s">
        <v>59</v>
      </c>
      <c r="K11" s="6" t="n">
        <v>6</v>
      </c>
      <c r="L11" s="4" t="s">
        <v>23</v>
      </c>
      <c r="M11" s="4" t="s">
        <v>66</v>
      </c>
    </row>
    <row r="12" customFormat="false" ht="42.75" hidden="false" customHeight="true" outlineLevel="0" collapsed="false">
      <c r="A12" s="3" t="s">
        <v>87</v>
      </c>
      <c r="B12" s="4" t="s">
        <v>88</v>
      </c>
      <c r="C12" s="3" t="s">
        <v>15</v>
      </c>
      <c r="D12" s="3" t="s">
        <v>69</v>
      </c>
      <c r="E12" s="3" t="s">
        <v>69</v>
      </c>
      <c r="F12" s="4" t="s">
        <v>89</v>
      </c>
      <c r="G12" s="8" t="s">
        <v>49</v>
      </c>
      <c r="H12" s="4" t="s">
        <v>90</v>
      </c>
      <c r="I12" s="4" t="s">
        <v>91</v>
      </c>
      <c r="J12" s="3" t="s">
        <v>73</v>
      </c>
      <c r="K12" s="6" t="n">
        <v>4</v>
      </c>
      <c r="L12" s="4" t="s">
        <v>92</v>
      </c>
      <c r="M12" s="4" t="s">
        <v>30</v>
      </c>
    </row>
    <row r="13" customFormat="false" ht="55.5" hidden="false" customHeight="true" outlineLevel="0" collapsed="false">
      <c r="A13" s="3" t="s">
        <v>93</v>
      </c>
      <c r="B13" s="4" t="s">
        <v>94</v>
      </c>
      <c r="C13" s="3" t="s">
        <v>15</v>
      </c>
      <c r="D13" s="3" t="s">
        <v>33</v>
      </c>
      <c r="E13" s="3" t="s">
        <v>35</v>
      </c>
      <c r="F13" s="4" t="s">
        <v>95</v>
      </c>
      <c r="G13" s="5" t="s">
        <v>19</v>
      </c>
      <c r="H13" s="4" t="s">
        <v>96</v>
      </c>
      <c r="I13" s="4" t="s">
        <v>97</v>
      </c>
      <c r="J13" s="3" t="s">
        <v>38</v>
      </c>
      <c r="K13" s="6" t="n">
        <v>5</v>
      </c>
      <c r="L13" s="4" t="s">
        <v>23</v>
      </c>
      <c r="M13" s="4" t="s">
        <v>98</v>
      </c>
    </row>
    <row r="14" customFormat="false" ht="81.75" hidden="false" customHeight="true" outlineLevel="0" collapsed="false">
      <c r="A14" s="10" t="s">
        <v>99</v>
      </c>
      <c r="B14" s="11" t="s">
        <v>100</v>
      </c>
      <c r="C14" s="10" t="s">
        <v>101</v>
      </c>
      <c r="D14" s="10" t="s">
        <v>16</v>
      </c>
      <c r="E14" s="10" t="s">
        <v>17</v>
      </c>
      <c r="F14" s="11" t="s">
        <v>102</v>
      </c>
      <c r="G14" s="5" t="s">
        <v>19</v>
      </c>
      <c r="H14" s="11" t="s">
        <v>103</v>
      </c>
      <c r="I14" s="11" t="s">
        <v>104</v>
      </c>
      <c r="J14" s="10" t="s">
        <v>105</v>
      </c>
      <c r="K14" s="12" t="n">
        <v>12</v>
      </c>
      <c r="L14" s="11" t="s">
        <v>106</v>
      </c>
      <c r="M14" s="11" t="s">
        <v>107</v>
      </c>
    </row>
    <row r="15" customFormat="false" ht="69" hidden="false" customHeight="true" outlineLevel="0" collapsed="false">
      <c r="A15" s="10" t="s">
        <v>108</v>
      </c>
      <c r="B15" s="11" t="s">
        <v>109</v>
      </c>
      <c r="C15" s="10" t="s">
        <v>101</v>
      </c>
      <c r="D15" s="10" t="s">
        <v>16</v>
      </c>
      <c r="E15" s="10" t="s">
        <v>17</v>
      </c>
      <c r="F15" s="11" t="s">
        <v>102</v>
      </c>
      <c r="G15" s="5" t="s">
        <v>19</v>
      </c>
      <c r="H15" s="11" t="s">
        <v>110</v>
      </c>
      <c r="I15" s="11" t="s">
        <v>111</v>
      </c>
      <c r="J15" s="10" t="s">
        <v>105</v>
      </c>
      <c r="K15" s="12" t="n">
        <v>6</v>
      </c>
      <c r="L15" s="11" t="s">
        <v>112</v>
      </c>
      <c r="M15" s="11" t="s">
        <v>113</v>
      </c>
    </row>
    <row r="16" customFormat="false" ht="69" hidden="false" customHeight="true" outlineLevel="0" collapsed="false">
      <c r="A16" s="10" t="s">
        <v>114</v>
      </c>
      <c r="B16" s="11" t="s">
        <v>115</v>
      </c>
      <c r="C16" s="10" t="s">
        <v>101</v>
      </c>
      <c r="D16" s="10" t="s">
        <v>16</v>
      </c>
      <c r="E16" s="10" t="s">
        <v>17</v>
      </c>
      <c r="F16" s="11" t="s">
        <v>102</v>
      </c>
      <c r="G16" s="8" t="s">
        <v>49</v>
      </c>
      <c r="H16" s="11" t="s">
        <v>116</v>
      </c>
      <c r="I16" s="11" t="s">
        <v>117</v>
      </c>
      <c r="J16" s="10" t="s">
        <v>105</v>
      </c>
      <c r="K16" s="12" t="n">
        <v>6</v>
      </c>
      <c r="L16" s="11" t="s">
        <v>112</v>
      </c>
      <c r="M16" s="11" t="s">
        <v>118</v>
      </c>
    </row>
    <row r="17" customFormat="false" ht="69" hidden="false" customHeight="true" outlineLevel="0" collapsed="false">
      <c r="A17" s="10" t="s">
        <v>119</v>
      </c>
      <c r="B17" s="11" t="s">
        <v>120</v>
      </c>
      <c r="C17" s="10" t="s">
        <v>101</v>
      </c>
      <c r="D17" s="10" t="s">
        <v>16</v>
      </c>
      <c r="E17" s="10" t="s">
        <v>34</v>
      </c>
      <c r="F17" s="11" t="s">
        <v>121</v>
      </c>
      <c r="G17" s="5" t="s">
        <v>19</v>
      </c>
      <c r="H17" s="11" t="s">
        <v>122</v>
      </c>
      <c r="I17" s="11" t="s">
        <v>123</v>
      </c>
      <c r="J17" s="10" t="s">
        <v>105</v>
      </c>
      <c r="K17" s="12" t="n">
        <v>10</v>
      </c>
      <c r="L17" s="11" t="s">
        <v>124</v>
      </c>
      <c r="M17" s="11" t="s">
        <v>125</v>
      </c>
    </row>
    <row r="18" customFormat="false" ht="42.75" hidden="false" customHeight="true" outlineLevel="0" collapsed="false">
      <c r="A18" s="10" t="s">
        <v>126</v>
      </c>
      <c r="B18" s="11" t="s">
        <v>127</v>
      </c>
      <c r="C18" s="10" t="s">
        <v>101</v>
      </c>
      <c r="D18" s="10" t="s">
        <v>16</v>
      </c>
      <c r="E18" s="10" t="s">
        <v>34</v>
      </c>
      <c r="F18" s="11" t="s">
        <v>128</v>
      </c>
      <c r="G18" s="9" t="s">
        <v>56</v>
      </c>
      <c r="H18" s="11" t="s">
        <v>129</v>
      </c>
      <c r="I18" s="11" t="s">
        <v>130</v>
      </c>
      <c r="J18" s="10" t="s">
        <v>38</v>
      </c>
      <c r="K18" s="12" t="n">
        <v>5</v>
      </c>
      <c r="L18" s="11" t="s">
        <v>131</v>
      </c>
      <c r="M18" s="11" t="s">
        <v>118</v>
      </c>
    </row>
    <row r="19" customFormat="false" ht="55.5" hidden="false" customHeight="true" outlineLevel="0" collapsed="false">
      <c r="A19" s="10" t="s">
        <v>132</v>
      </c>
      <c r="B19" s="11" t="s">
        <v>133</v>
      </c>
      <c r="C19" s="10" t="s">
        <v>101</v>
      </c>
      <c r="D19" s="10" t="s">
        <v>16</v>
      </c>
      <c r="E19" s="10" t="s">
        <v>17</v>
      </c>
      <c r="F19" s="11" t="s">
        <v>134</v>
      </c>
      <c r="G19" s="9" t="s">
        <v>56</v>
      </c>
      <c r="H19" s="11" t="s">
        <v>135</v>
      </c>
      <c r="I19" s="11" t="s">
        <v>136</v>
      </c>
      <c r="J19" s="10" t="s">
        <v>73</v>
      </c>
      <c r="K19" s="12" t="n">
        <v>6</v>
      </c>
      <c r="L19" s="11" t="s">
        <v>124</v>
      </c>
      <c r="M19" s="11" t="s">
        <v>137</v>
      </c>
    </row>
    <row r="20" customFormat="false" ht="42.75" hidden="false" customHeight="true" outlineLevel="0" collapsed="false">
      <c r="A20" s="10" t="s">
        <v>138</v>
      </c>
      <c r="B20" s="11" t="s">
        <v>139</v>
      </c>
      <c r="C20" s="10" t="s">
        <v>101</v>
      </c>
      <c r="D20" s="10" t="s">
        <v>69</v>
      </c>
      <c r="E20" s="10" t="s">
        <v>69</v>
      </c>
      <c r="F20" s="11" t="s">
        <v>89</v>
      </c>
      <c r="G20" s="8" t="s">
        <v>49</v>
      </c>
      <c r="H20" s="11" t="s">
        <v>140</v>
      </c>
      <c r="I20" s="11" t="s">
        <v>141</v>
      </c>
      <c r="J20" s="10" t="s">
        <v>73</v>
      </c>
      <c r="K20" s="12" t="n">
        <v>6</v>
      </c>
      <c r="L20" s="11" t="s">
        <v>142</v>
      </c>
      <c r="M20" s="11" t="s">
        <v>125</v>
      </c>
    </row>
    <row r="21" customFormat="false" ht="55.5" hidden="false" customHeight="true" outlineLevel="0" collapsed="false">
      <c r="A21" s="3" t="s">
        <v>143</v>
      </c>
      <c r="B21" s="4" t="s">
        <v>144</v>
      </c>
      <c r="C21" s="3" t="s">
        <v>145</v>
      </c>
      <c r="D21" s="3" t="s">
        <v>33</v>
      </c>
      <c r="E21" s="3" t="s">
        <v>69</v>
      </c>
      <c r="F21" s="4" t="s">
        <v>146</v>
      </c>
      <c r="G21" s="8" t="s">
        <v>49</v>
      </c>
      <c r="H21" s="4" t="s">
        <v>147</v>
      </c>
      <c r="I21" s="4" t="s">
        <v>148</v>
      </c>
      <c r="J21" s="3" t="s">
        <v>73</v>
      </c>
      <c r="K21" s="6" t="n">
        <v>6</v>
      </c>
      <c r="L21" s="4" t="s">
        <v>149</v>
      </c>
      <c r="M21" s="4" t="s">
        <v>150</v>
      </c>
    </row>
    <row r="22" customFormat="false" ht="55.5" hidden="false" customHeight="true" outlineLevel="0" collapsed="false">
      <c r="A22" s="3" t="s">
        <v>151</v>
      </c>
      <c r="B22" s="4" t="s">
        <v>152</v>
      </c>
      <c r="C22" s="3" t="s">
        <v>145</v>
      </c>
      <c r="D22" s="3" t="s">
        <v>33</v>
      </c>
      <c r="E22" s="3" t="s">
        <v>69</v>
      </c>
      <c r="F22" s="4" t="s">
        <v>153</v>
      </c>
      <c r="G22" s="8" t="s">
        <v>49</v>
      </c>
      <c r="H22" s="4" t="s">
        <v>154</v>
      </c>
      <c r="I22" s="4" t="s">
        <v>155</v>
      </c>
      <c r="J22" s="3" t="s">
        <v>73</v>
      </c>
      <c r="K22" s="6" t="n">
        <v>5</v>
      </c>
      <c r="L22" s="4" t="s">
        <v>149</v>
      </c>
      <c r="M22" s="4" t="s">
        <v>125</v>
      </c>
    </row>
    <row r="23" customFormat="false" ht="55.5" hidden="false" customHeight="true" outlineLevel="0" collapsed="false">
      <c r="A23" s="3" t="s">
        <v>156</v>
      </c>
      <c r="B23" s="4" t="s">
        <v>157</v>
      </c>
      <c r="C23" s="3" t="s">
        <v>145</v>
      </c>
      <c r="D23" s="3" t="s">
        <v>33</v>
      </c>
      <c r="E23" s="3" t="s">
        <v>69</v>
      </c>
      <c r="F23" s="4" t="s">
        <v>35</v>
      </c>
      <c r="G23" s="5" t="s">
        <v>19</v>
      </c>
      <c r="H23" s="4" t="s">
        <v>158</v>
      </c>
      <c r="I23" s="4" t="s">
        <v>159</v>
      </c>
      <c r="J23" s="3" t="s">
        <v>73</v>
      </c>
      <c r="K23" s="6" t="n">
        <v>6</v>
      </c>
      <c r="L23" s="4" t="s">
        <v>149</v>
      </c>
      <c r="M23" s="4" t="s">
        <v>39</v>
      </c>
    </row>
    <row r="24" customFormat="false" ht="55.5" hidden="false" customHeight="true" outlineLevel="0" collapsed="false">
      <c r="A24" s="3" t="s">
        <v>160</v>
      </c>
      <c r="B24" s="4" t="s">
        <v>161</v>
      </c>
      <c r="C24" s="3" t="s">
        <v>145</v>
      </c>
      <c r="D24" s="3" t="s">
        <v>33</v>
      </c>
      <c r="E24" s="3" t="s">
        <v>69</v>
      </c>
      <c r="F24" s="4" t="s">
        <v>162</v>
      </c>
      <c r="G24" s="8" t="s">
        <v>49</v>
      </c>
      <c r="H24" s="4" t="s">
        <v>163</v>
      </c>
      <c r="I24" s="4" t="s">
        <v>164</v>
      </c>
      <c r="J24" s="3" t="s">
        <v>73</v>
      </c>
      <c r="K24" s="6" t="n">
        <v>6</v>
      </c>
      <c r="L24" s="4" t="s">
        <v>149</v>
      </c>
      <c r="M24" s="4" t="s">
        <v>162</v>
      </c>
    </row>
    <row r="25" customFormat="false" ht="55.5" hidden="false" customHeight="true" outlineLevel="0" collapsed="false">
      <c r="A25" s="3" t="s">
        <v>165</v>
      </c>
      <c r="B25" s="4" t="s">
        <v>166</v>
      </c>
      <c r="C25" s="3" t="s">
        <v>145</v>
      </c>
      <c r="D25" s="3" t="s">
        <v>33</v>
      </c>
      <c r="E25" s="3" t="s">
        <v>69</v>
      </c>
      <c r="F25" s="4" t="s">
        <v>162</v>
      </c>
      <c r="G25" s="8" t="s">
        <v>49</v>
      </c>
      <c r="H25" s="4" t="s">
        <v>167</v>
      </c>
      <c r="I25" s="4" t="s">
        <v>168</v>
      </c>
      <c r="J25" s="3" t="s">
        <v>73</v>
      </c>
      <c r="K25" s="6" t="n">
        <v>5</v>
      </c>
      <c r="L25" s="4" t="s">
        <v>149</v>
      </c>
      <c r="M25" s="4" t="s">
        <v>162</v>
      </c>
    </row>
    <row r="26" customFormat="false" ht="42.75" hidden="false" customHeight="true" outlineLevel="0" collapsed="false">
      <c r="A26" s="3" t="s">
        <v>169</v>
      </c>
      <c r="B26" s="4" t="s">
        <v>170</v>
      </c>
      <c r="C26" s="3" t="s">
        <v>145</v>
      </c>
      <c r="D26" s="3" t="s">
        <v>33</v>
      </c>
      <c r="E26" s="3" t="s">
        <v>69</v>
      </c>
      <c r="F26" s="4" t="s">
        <v>171</v>
      </c>
      <c r="G26" s="9" t="s">
        <v>56</v>
      </c>
      <c r="H26" s="4" t="s">
        <v>172</v>
      </c>
      <c r="I26" s="4" t="s">
        <v>173</v>
      </c>
      <c r="J26" s="3" t="s">
        <v>73</v>
      </c>
      <c r="K26" s="6" t="n">
        <v>6</v>
      </c>
      <c r="L26" s="4" t="s">
        <v>149</v>
      </c>
      <c r="M26" s="4" t="s">
        <v>174</v>
      </c>
    </row>
    <row r="27" customFormat="false" ht="55.5" hidden="false" customHeight="true" outlineLevel="0" collapsed="false">
      <c r="A27" s="3" t="s">
        <v>175</v>
      </c>
      <c r="B27" s="4" t="s">
        <v>176</v>
      </c>
      <c r="C27" s="3" t="s">
        <v>145</v>
      </c>
      <c r="D27" s="3" t="s">
        <v>33</v>
      </c>
      <c r="E27" s="3" t="s">
        <v>69</v>
      </c>
      <c r="F27" s="4" t="s">
        <v>35</v>
      </c>
      <c r="G27" s="8" t="s">
        <v>49</v>
      </c>
      <c r="H27" s="4" t="s">
        <v>177</v>
      </c>
      <c r="I27" s="4" t="s">
        <v>178</v>
      </c>
      <c r="J27" s="3" t="s">
        <v>73</v>
      </c>
      <c r="K27" s="6" t="n">
        <v>5</v>
      </c>
      <c r="L27" s="4" t="s">
        <v>149</v>
      </c>
      <c r="M27" s="4" t="s">
        <v>39</v>
      </c>
    </row>
    <row r="28" customFormat="false" ht="55.5" hidden="false" customHeight="true" outlineLevel="0" collapsed="false">
      <c r="A28" s="3" t="s">
        <v>179</v>
      </c>
      <c r="B28" s="4" t="s">
        <v>180</v>
      </c>
      <c r="C28" s="3" t="s">
        <v>145</v>
      </c>
      <c r="D28" s="3" t="s">
        <v>33</v>
      </c>
      <c r="E28" s="3" t="s">
        <v>69</v>
      </c>
      <c r="F28" s="4" t="s">
        <v>162</v>
      </c>
      <c r="G28" s="9" t="s">
        <v>56</v>
      </c>
      <c r="H28" s="4" t="s">
        <v>181</v>
      </c>
      <c r="I28" s="4" t="s">
        <v>182</v>
      </c>
      <c r="J28" s="3" t="s">
        <v>73</v>
      </c>
      <c r="K28" s="6" t="n">
        <v>5</v>
      </c>
      <c r="L28" s="4" t="s">
        <v>149</v>
      </c>
      <c r="M28" s="4" t="s">
        <v>183</v>
      </c>
    </row>
    <row r="29" customFormat="false" ht="42.75" hidden="false" customHeight="true" outlineLevel="0" collapsed="false">
      <c r="A29" s="3" t="s">
        <v>184</v>
      </c>
      <c r="B29" s="4" t="s">
        <v>185</v>
      </c>
      <c r="C29" s="3" t="s">
        <v>145</v>
      </c>
      <c r="D29" s="3" t="s">
        <v>33</v>
      </c>
      <c r="E29" s="3" t="s">
        <v>69</v>
      </c>
      <c r="F29" s="4" t="s">
        <v>77</v>
      </c>
      <c r="G29" s="9" t="s">
        <v>56</v>
      </c>
      <c r="H29" s="4" t="s">
        <v>186</v>
      </c>
      <c r="I29" s="4" t="s">
        <v>187</v>
      </c>
      <c r="J29" s="3" t="s">
        <v>73</v>
      </c>
      <c r="K29" s="6" t="n">
        <v>5</v>
      </c>
      <c r="L29" s="4" t="s">
        <v>188</v>
      </c>
      <c r="M29" s="4" t="s">
        <v>189</v>
      </c>
    </row>
    <row r="30" customFormat="false" ht="55.5" hidden="false" customHeight="true" outlineLevel="0" collapsed="false">
      <c r="A30" s="10" t="s">
        <v>190</v>
      </c>
      <c r="B30" s="11" t="s">
        <v>191</v>
      </c>
      <c r="C30" s="10" t="s">
        <v>192</v>
      </c>
      <c r="D30" s="10" t="s">
        <v>193</v>
      </c>
      <c r="E30" s="10" t="s">
        <v>17</v>
      </c>
      <c r="F30" s="11" t="s">
        <v>194</v>
      </c>
      <c r="G30" s="8" t="s">
        <v>49</v>
      </c>
      <c r="H30" s="11" t="s">
        <v>195</v>
      </c>
      <c r="I30" s="11" t="s">
        <v>196</v>
      </c>
      <c r="J30" s="10" t="s">
        <v>105</v>
      </c>
      <c r="K30" s="12" t="n">
        <v>8</v>
      </c>
      <c r="L30" s="11" t="s">
        <v>106</v>
      </c>
      <c r="M30" s="11" t="s">
        <v>125</v>
      </c>
    </row>
    <row r="31" customFormat="false" ht="55.5" hidden="false" customHeight="true" outlineLevel="0" collapsed="false">
      <c r="A31" s="10" t="s">
        <v>197</v>
      </c>
      <c r="B31" s="11" t="s">
        <v>198</v>
      </c>
      <c r="C31" s="10" t="s">
        <v>192</v>
      </c>
      <c r="D31" s="10" t="s">
        <v>193</v>
      </c>
      <c r="E31" s="10" t="s">
        <v>34</v>
      </c>
      <c r="F31" s="11" t="s">
        <v>199</v>
      </c>
      <c r="G31" s="8" t="s">
        <v>49</v>
      </c>
      <c r="H31" s="11" t="s">
        <v>200</v>
      </c>
      <c r="I31" s="11" t="s">
        <v>201</v>
      </c>
      <c r="J31" s="10" t="s">
        <v>105</v>
      </c>
      <c r="K31" s="12" t="n">
        <v>6</v>
      </c>
      <c r="L31" s="11" t="s">
        <v>202</v>
      </c>
      <c r="M31" s="11" t="s">
        <v>189</v>
      </c>
    </row>
    <row r="32" customFormat="false" ht="55.5" hidden="false" customHeight="true" outlineLevel="0" collapsed="false">
      <c r="A32" s="10" t="s">
        <v>203</v>
      </c>
      <c r="B32" s="11" t="s">
        <v>204</v>
      </c>
      <c r="C32" s="10" t="s">
        <v>192</v>
      </c>
      <c r="D32" s="10" t="s">
        <v>193</v>
      </c>
      <c r="E32" s="10" t="s">
        <v>54</v>
      </c>
      <c r="F32" s="11" t="s">
        <v>205</v>
      </c>
      <c r="G32" s="9" t="s">
        <v>56</v>
      </c>
      <c r="H32" s="11" t="s">
        <v>206</v>
      </c>
      <c r="I32" s="11" t="s">
        <v>207</v>
      </c>
      <c r="J32" s="10" t="s">
        <v>105</v>
      </c>
      <c r="K32" s="12" t="n">
        <v>10</v>
      </c>
      <c r="L32" s="11" t="s">
        <v>208</v>
      </c>
      <c r="M32" s="11" t="s">
        <v>107</v>
      </c>
    </row>
    <row r="33" customFormat="false" ht="42.75" hidden="false" customHeight="true" outlineLevel="0" collapsed="false">
      <c r="A33" s="10" t="s">
        <v>209</v>
      </c>
      <c r="B33" s="11" t="s">
        <v>210</v>
      </c>
      <c r="C33" s="10" t="s">
        <v>192</v>
      </c>
      <c r="D33" s="10" t="s">
        <v>193</v>
      </c>
      <c r="E33" s="10" t="s">
        <v>54</v>
      </c>
      <c r="F33" s="11" t="s">
        <v>211</v>
      </c>
      <c r="G33" s="9" t="s">
        <v>56</v>
      </c>
      <c r="H33" s="11" t="s">
        <v>212</v>
      </c>
      <c r="I33" s="11" t="s">
        <v>213</v>
      </c>
      <c r="J33" s="10" t="s">
        <v>214</v>
      </c>
      <c r="K33" s="12" t="n">
        <v>6</v>
      </c>
      <c r="L33" s="11" t="s">
        <v>149</v>
      </c>
      <c r="M33" s="11" t="s">
        <v>189</v>
      </c>
    </row>
    <row r="34" customFormat="false" ht="30" hidden="false" customHeight="true" outlineLevel="0" collapsed="false">
      <c r="A34" s="10" t="s">
        <v>215</v>
      </c>
      <c r="B34" s="11" t="s">
        <v>216</v>
      </c>
      <c r="C34" s="10" t="s">
        <v>192</v>
      </c>
      <c r="D34" s="10" t="s">
        <v>193</v>
      </c>
      <c r="E34" s="10" t="s">
        <v>34</v>
      </c>
      <c r="F34" s="11" t="s">
        <v>153</v>
      </c>
      <c r="G34" s="9" t="s">
        <v>56</v>
      </c>
      <c r="H34" s="11" t="s">
        <v>217</v>
      </c>
      <c r="I34" s="11" t="s">
        <v>218</v>
      </c>
      <c r="J34" s="10" t="s">
        <v>38</v>
      </c>
      <c r="K34" s="12" t="n">
        <v>6</v>
      </c>
      <c r="L34" s="11" t="s">
        <v>149</v>
      </c>
      <c r="M34" s="11" t="s">
        <v>189</v>
      </c>
    </row>
    <row r="35" customFormat="false" ht="30" hidden="false" customHeight="true" outlineLevel="0" collapsed="false">
      <c r="A35" s="10" t="s">
        <v>219</v>
      </c>
      <c r="B35" s="11" t="s">
        <v>220</v>
      </c>
      <c r="C35" s="10" t="s">
        <v>192</v>
      </c>
      <c r="D35" s="10" t="s">
        <v>69</v>
      </c>
      <c r="E35" s="10" t="s">
        <v>69</v>
      </c>
      <c r="F35" s="11" t="s">
        <v>89</v>
      </c>
      <c r="G35" s="8" t="s">
        <v>49</v>
      </c>
      <c r="H35" s="11" t="s">
        <v>221</v>
      </c>
      <c r="I35" s="11" t="s">
        <v>222</v>
      </c>
      <c r="J35" s="10" t="s">
        <v>73</v>
      </c>
      <c r="K35" s="12" t="n">
        <v>6</v>
      </c>
      <c r="L35" s="11" t="s">
        <v>223</v>
      </c>
      <c r="M35" s="11" t="s">
        <v>30</v>
      </c>
    </row>
    <row r="36" customFormat="false" ht="42.75" hidden="false" customHeight="true" outlineLevel="0" collapsed="false">
      <c r="A36" s="10" t="s">
        <v>224</v>
      </c>
      <c r="B36" s="11" t="s">
        <v>225</v>
      </c>
      <c r="C36" s="10" t="s">
        <v>192</v>
      </c>
      <c r="D36" s="10" t="s">
        <v>83</v>
      </c>
      <c r="E36" s="10" t="s">
        <v>83</v>
      </c>
      <c r="F36" s="11" t="s">
        <v>226</v>
      </c>
      <c r="G36" s="7" t="s">
        <v>27</v>
      </c>
      <c r="H36" s="11" t="s">
        <v>227</v>
      </c>
      <c r="I36" s="11" t="s">
        <v>228</v>
      </c>
      <c r="J36" s="10" t="s">
        <v>105</v>
      </c>
      <c r="K36" s="12" t="n">
        <v>5</v>
      </c>
      <c r="L36" s="11" t="s">
        <v>229</v>
      </c>
      <c r="M36" s="11" t="s">
        <v>230</v>
      </c>
    </row>
    <row r="37" customFormat="false" ht="55.5" hidden="false" customHeight="true" outlineLevel="0" collapsed="false">
      <c r="A37" s="3" t="s">
        <v>231</v>
      </c>
      <c r="B37" s="4" t="s">
        <v>232</v>
      </c>
      <c r="C37" s="3" t="s">
        <v>233</v>
      </c>
      <c r="D37" s="3" t="s">
        <v>33</v>
      </c>
      <c r="E37" s="3" t="s">
        <v>54</v>
      </c>
      <c r="F37" s="4" t="s">
        <v>234</v>
      </c>
      <c r="G37" s="9" t="s">
        <v>56</v>
      </c>
      <c r="H37" s="4" t="s">
        <v>235</v>
      </c>
      <c r="I37" s="4" t="s">
        <v>236</v>
      </c>
      <c r="J37" s="3" t="s">
        <v>59</v>
      </c>
      <c r="K37" s="6" t="n">
        <v>12</v>
      </c>
      <c r="L37" s="4" t="s">
        <v>237</v>
      </c>
      <c r="M37" s="4" t="s">
        <v>238</v>
      </c>
    </row>
    <row r="38" customFormat="false" ht="55.5" hidden="false" customHeight="true" outlineLevel="0" collapsed="false">
      <c r="A38" s="3" t="s">
        <v>239</v>
      </c>
      <c r="B38" s="4" t="s">
        <v>240</v>
      </c>
      <c r="C38" s="3" t="s">
        <v>233</v>
      </c>
      <c r="D38" s="3" t="s">
        <v>33</v>
      </c>
      <c r="E38" s="3" t="s">
        <v>54</v>
      </c>
      <c r="F38" s="4" t="s">
        <v>241</v>
      </c>
      <c r="G38" s="7" t="s">
        <v>27</v>
      </c>
      <c r="H38" s="4" t="s">
        <v>242</v>
      </c>
      <c r="I38" s="4" t="s">
        <v>243</v>
      </c>
      <c r="J38" s="3" t="s">
        <v>59</v>
      </c>
      <c r="K38" s="6" t="n">
        <v>8</v>
      </c>
      <c r="L38" s="4" t="s">
        <v>244</v>
      </c>
      <c r="M38" s="4" t="s">
        <v>238</v>
      </c>
    </row>
    <row r="39" customFormat="false" ht="42.75" hidden="false" customHeight="true" outlineLevel="0" collapsed="false">
      <c r="A39" s="3" t="s">
        <v>245</v>
      </c>
      <c r="B39" s="4" t="s">
        <v>246</v>
      </c>
      <c r="C39" s="3" t="s">
        <v>233</v>
      </c>
      <c r="D39" s="3" t="s">
        <v>33</v>
      </c>
      <c r="E39" s="3" t="s">
        <v>54</v>
      </c>
      <c r="F39" s="4" t="s">
        <v>247</v>
      </c>
      <c r="G39" s="9" t="s">
        <v>56</v>
      </c>
      <c r="H39" s="4" t="s">
        <v>248</v>
      </c>
      <c r="I39" s="4" t="s">
        <v>249</v>
      </c>
      <c r="J39" s="3" t="s">
        <v>59</v>
      </c>
      <c r="K39" s="6" t="n">
        <v>8</v>
      </c>
      <c r="L39" s="4" t="s">
        <v>23</v>
      </c>
      <c r="M39" s="4" t="s">
        <v>238</v>
      </c>
    </row>
    <row r="40" customFormat="false" ht="42.75" hidden="false" customHeight="true" outlineLevel="0" collapsed="false">
      <c r="A40" s="3" t="s">
        <v>250</v>
      </c>
      <c r="B40" s="4" t="s">
        <v>251</v>
      </c>
      <c r="C40" s="3" t="s">
        <v>233</v>
      </c>
      <c r="D40" s="3" t="s">
        <v>33</v>
      </c>
      <c r="E40" s="3" t="s">
        <v>54</v>
      </c>
      <c r="F40" s="4" t="s">
        <v>252</v>
      </c>
      <c r="G40" s="7" t="s">
        <v>27</v>
      </c>
      <c r="H40" s="4" t="s">
        <v>253</v>
      </c>
      <c r="I40" s="4" t="s">
        <v>254</v>
      </c>
      <c r="J40" s="3" t="s">
        <v>59</v>
      </c>
      <c r="K40" s="6" t="n">
        <v>6</v>
      </c>
      <c r="L40" s="4" t="s">
        <v>255</v>
      </c>
      <c r="M40" s="4" t="s">
        <v>238</v>
      </c>
    </row>
    <row r="41" customFormat="false" ht="30" hidden="false" customHeight="true" outlineLevel="0" collapsed="false">
      <c r="A41" s="3" t="s">
        <v>256</v>
      </c>
      <c r="B41" s="4" t="s">
        <v>257</v>
      </c>
      <c r="C41" s="3" t="s">
        <v>233</v>
      </c>
      <c r="D41" s="3" t="s">
        <v>69</v>
      </c>
      <c r="E41" s="3" t="s">
        <v>69</v>
      </c>
      <c r="F41" s="4" t="s">
        <v>89</v>
      </c>
      <c r="G41" s="8" t="s">
        <v>49</v>
      </c>
      <c r="H41" s="4" t="s">
        <v>258</v>
      </c>
      <c r="I41" s="4" t="s">
        <v>259</v>
      </c>
      <c r="J41" s="3" t="s">
        <v>73</v>
      </c>
      <c r="K41" s="6" t="n">
        <v>8</v>
      </c>
      <c r="L41" s="4" t="s">
        <v>260</v>
      </c>
      <c r="M41" s="4" t="s">
        <v>238</v>
      </c>
    </row>
    <row r="42" customFormat="false" ht="30" hidden="false" customHeight="true" outlineLevel="0" collapsed="false">
      <c r="A42" s="3" t="s">
        <v>261</v>
      </c>
      <c r="B42" s="4" t="s">
        <v>262</v>
      </c>
      <c r="C42" s="3" t="s">
        <v>233</v>
      </c>
      <c r="D42" s="3" t="s">
        <v>33</v>
      </c>
      <c r="E42" s="3" t="s">
        <v>54</v>
      </c>
      <c r="F42" s="4" t="s">
        <v>77</v>
      </c>
      <c r="G42" s="7" t="s">
        <v>27</v>
      </c>
      <c r="H42" s="4" t="s">
        <v>263</v>
      </c>
      <c r="I42" s="4" t="s">
        <v>264</v>
      </c>
      <c r="J42" s="3" t="s">
        <v>38</v>
      </c>
      <c r="K42" s="6" t="n">
        <v>5</v>
      </c>
      <c r="L42" s="4" t="s">
        <v>265</v>
      </c>
      <c r="M42" s="4" t="s">
        <v>74</v>
      </c>
    </row>
    <row r="43" customFormat="false" ht="42.75" hidden="false" customHeight="true" outlineLevel="0" collapsed="false">
      <c r="A43" s="10" t="s">
        <v>266</v>
      </c>
      <c r="B43" s="11" t="s">
        <v>267</v>
      </c>
      <c r="C43" s="10" t="s">
        <v>268</v>
      </c>
      <c r="D43" s="10" t="s">
        <v>269</v>
      </c>
      <c r="E43" s="10" t="s">
        <v>54</v>
      </c>
      <c r="F43" s="11" t="s">
        <v>270</v>
      </c>
      <c r="G43" s="8" t="s">
        <v>49</v>
      </c>
      <c r="H43" s="11" t="s">
        <v>271</v>
      </c>
      <c r="I43" s="11" t="s">
        <v>272</v>
      </c>
      <c r="J43" s="10" t="s">
        <v>105</v>
      </c>
      <c r="K43" s="12" t="n">
        <v>14</v>
      </c>
      <c r="L43" s="11" t="s">
        <v>273</v>
      </c>
      <c r="M43" s="11" t="s">
        <v>171</v>
      </c>
    </row>
    <row r="44" customFormat="false" ht="42.75" hidden="false" customHeight="true" outlineLevel="0" collapsed="false">
      <c r="A44" s="10" t="s">
        <v>274</v>
      </c>
      <c r="B44" s="11" t="s">
        <v>275</v>
      </c>
      <c r="C44" s="10" t="s">
        <v>268</v>
      </c>
      <c r="D44" s="10" t="s">
        <v>269</v>
      </c>
      <c r="E44" s="10" t="s">
        <v>54</v>
      </c>
      <c r="F44" s="11" t="s">
        <v>276</v>
      </c>
      <c r="G44" s="8" t="s">
        <v>49</v>
      </c>
      <c r="H44" s="11" t="s">
        <v>277</v>
      </c>
      <c r="I44" s="11" t="s">
        <v>278</v>
      </c>
      <c r="J44" s="10" t="s">
        <v>105</v>
      </c>
      <c r="K44" s="12" t="n">
        <v>10</v>
      </c>
      <c r="L44" s="11" t="s">
        <v>279</v>
      </c>
      <c r="M44" s="11" t="s">
        <v>171</v>
      </c>
    </row>
    <row r="45" customFormat="false" ht="30" hidden="false" customHeight="true" outlineLevel="0" collapsed="false">
      <c r="A45" s="10" t="s">
        <v>280</v>
      </c>
      <c r="B45" s="11" t="s">
        <v>281</v>
      </c>
      <c r="C45" s="10" t="s">
        <v>268</v>
      </c>
      <c r="D45" s="10" t="s">
        <v>269</v>
      </c>
      <c r="E45" s="10" t="s">
        <v>54</v>
      </c>
      <c r="F45" s="11" t="s">
        <v>276</v>
      </c>
      <c r="G45" s="9" t="s">
        <v>56</v>
      </c>
      <c r="H45" s="11" t="s">
        <v>282</v>
      </c>
      <c r="I45" s="11" t="s">
        <v>283</v>
      </c>
      <c r="J45" s="10" t="s">
        <v>105</v>
      </c>
      <c r="K45" s="12" t="n">
        <v>10</v>
      </c>
      <c r="L45" s="11" t="s">
        <v>284</v>
      </c>
      <c r="M45" s="11" t="s">
        <v>171</v>
      </c>
    </row>
    <row r="46" customFormat="false" ht="42.75" hidden="false" customHeight="true" outlineLevel="0" collapsed="false">
      <c r="A46" s="10" t="s">
        <v>285</v>
      </c>
      <c r="B46" s="11" t="s">
        <v>286</v>
      </c>
      <c r="C46" s="10" t="s">
        <v>268</v>
      </c>
      <c r="D46" s="10" t="s">
        <v>269</v>
      </c>
      <c r="E46" s="10" t="s">
        <v>69</v>
      </c>
      <c r="F46" s="11" t="s">
        <v>77</v>
      </c>
      <c r="G46" s="9" t="s">
        <v>56</v>
      </c>
      <c r="H46" s="11" t="s">
        <v>287</v>
      </c>
      <c r="I46" s="11" t="s">
        <v>288</v>
      </c>
      <c r="J46" s="10" t="s">
        <v>73</v>
      </c>
      <c r="K46" s="12" t="n">
        <v>6</v>
      </c>
      <c r="L46" s="11" t="s">
        <v>289</v>
      </c>
      <c r="M46" s="11" t="s">
        <v>171</v>
      </c>
    </row>
    <row r="47" customFormat="false" ht="30" hidden="false" customHeight="true" outlineLevel="0" collapsed="false">
      <c r="A47" s="10" t="s">
        <v>290</v>
      </c>
      <c r="B47" s="11" t="s">
        <v>291</v>
      </c>
      <c r="C47" s="10" t="s">
        <v>268</v>
      </c>
      <c r="D47" s="10" t="s">
        <v>269</v>
      </c>
      <c r="E47" s="10" t="s">
        <v>54</v>
      </c>
      <c r="F47" s="11" t="s">
        <v>276</v>
      </c>
      <c r="G47" s="7" t="s">
        <v>27</v>
      </c>
      <c r="H47" s="11" t="s">
        <v>292</v>
      </c>
      <c r="I47" s="11" t="s">
        <v>293</v>
      </c>
      <c r="J47" s="10" t="s">
        <v>105</v>
      </c>
      <c r="K47" s="12" t="n">
        <v>6</v>
      </c>
      <c r="L47" s="11" t="s">
        <v>279</v>
      </c>
      <c r="M47" s="11" t="s">
        <v>171</v>
      </c>
    </row>
    <row r="48" customFormat="false" ht="30" hidden="false" customHeight="true" outlineLevel="0" collapsed="false">
      <c r="A48" s="10" t="s">
        <v>294</v>
      </c>
      <c r="B48" s="11" t="s">
        <v>295</v>
      </c>
      <c r="C48" s="10" t="s">
        <v>268</v>
      </c>
      <c r="D48" s="10" t="s">
        <v>69</v>
      </c>
      <c r="E48" s="10" t="s">
        <v>83</v>
      </c>
      <c r="F48" s="11" t="s">
        <v>276</v>
      </c>
      <c r="G48" s="7" t="s">
        <v>27</v>
      </c>
      <c r="H48" s="11" t="s">
        <v>296</v>
      </c>
      <c r="I48" s="11" t="s">
        <v>297</v>
      </c>
      <c r="J48" s="10" t="s">
        <v>73</v>
      </c>
      <c r="K48" s="12" t="n">
        <v>6</v>
      </c>
      <c r="L48" s="11" t="s">
        <v>298</v>
      </c>
      <c r="M48" s="11" t="s">
        <v>171</v>
      </c>
    </row>
    <row r="49" customFormat="false" ht="42.75" hidden="false" customHeight="true" outlineLevel="0" collapsed="false">
      <c r="A49" s="3" t="s">
        <v>299</v>
      </c>
      <c r="B49" s="4" t="s">
        <v>300</v>
      </c>
      <c r="C49" s="3" t="s">
        <v>301</v>
      </c>
      <c r="D49" s="3" t="s">
        <v>269</v>
      </c>
      <c r="E49" s="3" t="s">
        <v>54</v>
      </c>
      <c r="F49" s="4" t="s">
        <v>302</v>
      </c>
      <c r="G49" s="8" t="s">
        <v>49</v>
      </c>
      <c r="H49" s="4" t="s">
        <v>303</v>
      </c>
      <c r="I49" s="4" t="s">
        <v>304</v>
      </c>
      <c r="J49" s="3" t="s">
        <v>105</v>
      </c>
      <c r="K49" s="6" t="n">
        <v>12</v>
      </c>
      <c r="L49" s="4" t="s">
        <v>305</v>
      </c>
      <c r="M49" s="4" t="s">
        <v>306</v>
      </c>
    </row>
    <row r="50" customFormat="false" ht="42.75" hidden="false" customHeight="true" outlineLevel="0" collapsed="false">
      <c r="A50" s="3" t="s">
        <v>307</v>
      </c>
      <c r="B50" s="4" t="s">
        <v>308</v>
      </c>
      <c r="C50" s="3" t="s">
        <v>301</v>
      </c>
      <c r="D50" s="3" t="s">
        <v>269</v>
      </c>
      <c r="E50" s="3" t="s">
        <v>54</v>
      </c>
      <c r="F50" s="4" t="s">
        <v>309</v>
      </c>
      <c r="G50" s="8" t="s">
        <v>49</v>
      </c>
      <c r="H50" s="4" t="s">
        <v>310</v>
      </c>
      <c r="I50" s="4" t="s">
        <v>311</v>
      </c>
      <c r="J50" s="3" t="s">
        <v>105</v>
      </c>
      <c r="K50" s="6" t="n">
        <v>12</v>
      </c>
      <c r="L50" s="4" t="s">
        <v>312</v>
      </c>
      <c r="M50" s="4" t="s">
        <v>306</v>
      </c>
    </row>
    <row r="51" customFormat="false" ht="30" hidden="false" customHeight="true" outlineLevel="0" collapsed="false">
      <c r="A51" s="3" t="s">
        <v>313</v>
      </c>
      <c r="B51" s="4" t="s">
        <v>314</v>
      </c>
      <c r="C51" s="3" t="s">
        <v>301</v>
      </c>
      <c r="D51" s="3" t="s">
        <v>269</v>
      </c>
      <c r="E51" s="3" t="s">
        <v>54</v>
      </c>
      <c r="F51" s="4" t="s">
        <v>302</v>
      </c>
      <c r="G51" s="9" t="s">
        <v>56</v>
      </c>
      <c r="H51" s="4" t="s">
        <v>315</v>
      </c>
      <c r="I51" s="4" t="s">
        <v>316</v>
      </c>
      <c r="J51" s="3" t="s">
        <v>105</v>
      </c>
      <c r="K51" s="6" t="n">
        <v>10</v>
      </c>
      <c r="L51" s="4" t="s">
        <v>312</v>
      </c>
      <c r="M51" s="4" t="s">
        <v>306</v>
      </c>
    </row>
    <row r="52" customFormat="false" ht="30" hidden="false" customHeight="true" outlineLevel="0" collapsed="false">
      <c r="A52" s="3" t="s">
        <v>317</v>
      </c>
      <c r="B52" s="4" t="s">
        <v>318</v>
      </c>
      <c r="C52" s="3" t="s">
        <v>301</v>
      </c>
      <c r="D52" s="3" t="s">
        <v>269</v>
      </c>
      <c r="E52" s="3" t="s">
        <v>69</v>
      </c>
      <c r="F52" s="4" t="s">
        <v>276</v>
      </c>
      <c r="G52" s="9" t="s">
        <v>56</v>
      </c>
      <c r="H52" s="4" t="s">
        <v>319</v>
      </c>
      <c r="I52" s="4" t="s">
        <v>320</v>
      </c>
      <c r="J52" s="3" t="s">
        <v>73</v>
      </c>
      <c r="K52" s="6" t="n">
        <v>6</v>
      </c>
      <c r="L52" s="4" t="s">
        <v>321</v>
      </c>
      <c r="M52" s="4" t="s">
        <v>171</v>
      </c>
    </row>
    <row r="53" customFormat="false" ht="30" hidden="false" customHeight="true" outlineLevel="0" collapsed="false">
      <c r="A53" s="3" t="s">
        <v>322</v>
      </c>
      <c r="B53" s="4" t="s">
        <v>323</v>
      </c>
      <c r="C53" s="3" t="s">
        <v>301</v>
      </c>
      <c r="D53" s="3" t="s">
        <v>69</v>
      </c>
      <c r="E53" s="3" t="s">
        <v>83</v>
      </c>
      <c r="F53" s="4" t="s">
        <v>302</v>
      </c>
      <c r="G53" s="7" t="s">
        <v>27</v>
      </c>
      <c r="H53" s="4" t="s">
        <v>324</v>
      </c>
      <c r="I53" s="4" t="s">
        <v>325</v>
      </c>
      <c r="J53" s="3" t="s">
        <v>73</v>
      </c>
      <c r="K53" s="6" t="n">
        <v>6</v>
      </c>
      <c r="L53" s="4" t="s">
        <v>326</v>
      </c>
      <c r="M53" s="4" t="s">
        <v>171</v>
      </c>
    </row>
    <row r="54" customFormat="false" ht="30" hidden="false" customHeight="true" outlineLevel="0" collapsed="false">
      <c r="A54" s="3" t="s">
        <v>327</v>
      </c>
      <c r="B54" s="4" t="s">
        <v>328</v>
      </c>
      <c r="C54" s="3" t="s">
        <v>301</v>
      </c>
      <c r="D54" s="3" t="s">
        <v>269</v>
      </c>
      <c r="E54" s="3" t="s">
        <v>54</v>
      </c>
      <c r="F54" s="4" t="s">
        <v>329</v>
      </c>
      <c r="G54" s="7" t="s">
        <v>27</v>
      </c>
      <c r="H54" s="4" t="s">
        <v>330</v>
      </c>
      <c r="I54" s="4" t="s">
        <v>331</v>
      </c>
      <c r="J54" s="3" t="s">
        <v>38</v>
      </c>
      <c r="K54" s="6" t="n">
        <v>10</v>
      </c>
      <c r="L54" s="4" t="s">
        <v>332</v>
      </c>
      <c r="M54" s="4" t="s">
        <v>171</v>
      </c>
    </row>
    <row r="55" customFormat="false" ht="42.75" hidden="false" customHeight="true" outlineLevel="0" collapsed="false">
      <c r="A55" s="10" t="s">
        <v>333</v>
      </c>
      <c r="B55" s="11" t="s">
        <v>334</v>
      </c>
      <c r="C55" s="10" t="s">
        <v>335</v>
      </c>
      <c r="D55" s="10" t="s">
        <v>33</v>
      </c>
      <c r="E55" s="10" t="s">
        <v>34</v>
      </c>
      <c r="F55" s="11" t="s">
        <v>336</v>
      </c>
      <c r="G55" s="9" t="s">
        <v>56</v>
      </c>
      <c r="H55" s="11" t="s">
        <v>337</v>
      </c>
      <c r="I55" s="11" t="s">
        <v>338</v>
      </c>
      <c r="J55" s="10" t="s">
        <v>59</v>
      </c>
      <c r="K55" s="12" t="n">
        <v>10</v>
      </c>
      <c r="L55" s="11" t="s">
        <v>339</v>
      </c>
      <c r="M55" s="11" t="s">
        <v>340</v>
      </c>
    </row>
    <row r="56" customFormat="false" ht="42.75" hidden="false" customHeight="true" outlineLevel="0" collapsed="false">
      <c r="A56" s="10" t="s">
        <v>341</v>
      </c>
      <c r="B56" s="11" t="s">
        <v>342</v>
      </c>
      <c r="C56" s="10" t="s">
        <v>335</v>
      </c>
      <c r="D56" s="10" t="s">
        <v>33</v>
      </c>
      <c r="E56" s="10" t="s">
        <v>34</v>
      </c>
      <c r="F56" s="11" t="s">
        <v>336</v>
      </c>
      <c r="G56" s="7" t="s">
        <v>27</v>
      </c>
      <c r="H56" s="11" t="s">
        <v>343</v>
      </c>
      <c r="I56" s="11" t="s">
        <v>344</v>
      </c>
      <c r="J56" s="10" t="s">
        <v>59</v>
      </c>
      <c r="K56" s="12" t="n">
        <v>8</v>
      </c>
      <c r="L56" s="11" t="s">
        <v>345</v>
      </c>
      <c r="M56" s="11" t="s">
        <v>340</v>
      </c>
    </row>
    <row r="57" customFormat="false" ht="30" hidden="false" customHeight="true" outlineLevel="0" collapsed="false">
      <c r="A57" s="10" t="s">
        <v>346</v>
      </c>
      <c r="B57" s="11" t="s">
        <v>347</v>
      </c>
      <c r="C57" s="10" t="s">
        <v>335</v>
      </c>
      <c r="D57" s="10" t="s">
        <v>33</v>
      </c>
      <c r="E57" s="10" t="s">
        <v>34</v>
      </c>
      <c r="F57" s="11" t="s">
        <v>70</v>
      </c>
      <c r="G57" s="7" t="s">
        <v>27</v>
      </c>
      <c r="H57" s="11" t="s">
        <v>348</v>
      </c>
      <c r="I57" s="11" t="s">
        <v>349</v>
      </c>
      <c r="J57" s="10" t="s">
        <v>59</v>
      </c>
      <c r="K57" s="12" t="n">
        <v>8</v>
      </c>
      <c r="L57" s="11" t="s">
        <v>350</v>
      </c>
      <c r="M57" s="11" t="s">
        <v>340</v>
      </c>
    </row>
    <row r="58" customFormat="false" ht="30" hidden="false" customHeight="true" outlineLevel="0" collapsed="false">
      <c r="A58" s="10" t="s">
        <v>351</v>
      </c>
      <c r="B58" s="11" t="s">
        <v>352</v>
      </c>
      <c r="C58" s="10" t="s">
        <v>335</v>
      </c>
      <c r="D58" s="10" t="s">
        <v>33</v>
      </c>
      <c r="E58" s="10" t="s">
        <v>69</v>
      </c>
      <c r="F58" s="11" t="s">
        <v>353</v>
      </c>
      <c r="G58" s="9" t="s">
        <v>56</v>
      </c>
      <c r="H58" s="11" t="s">
        <v>354</v>
      </c>
      <c r="I58" s="11" t="s">
        <v>355</v>
      </c>
      <c r="J58" s="10" t="s">
        <v>73</v>
      </c>
      <c r="K58" s="12" t="n">
        <v>6</v>
      </c>
      <c r="L58" s="11" t="s">
        <v>23</v>
      </c>
      <c r="M58" s="11" t="s">
        <v>356</v>
      </c>
    </row>
    <row r="59" customFormat="false" ht="30" hidden="false" customHeight="true" outlineLevel="0" collapsed="false">
      <c r="A59" s="10" t="s">
        <v>357</v>
      </c>
      <c r="B59" s="11" t="s">
        <v>358</v>
      </c>
      <c r="C59" s="10" t="s">
        <v>335</v>
      </c>
      <c r="D59" s="10" t="s">
        <v>69</v>
      </c>
      <c r="E59" s="10" t="s">
        <v>69</v>
      </c>
      <c r="F59" s="11" t="s">
        <v>89</v>
      </c>
      <c r="G59" s="8" t="s">
        <v>49</v>
      </c>
      <c r="H59" s="11" t="s">
        <v>359</v>
      </c>
      <c r="I59" s="11" t="s">
        <v>360</v>
      </c>
      <c r="J59" s="10" t="s">
        <v>73</v>
      </c>
      <c r="K59" s="12" t="n">
        <v>8</v>
      </c>
      <c r="L59" s="11" t="s">
        <v>361</v>
      </c>
      <c r="M59" s="11" t="s">
        <v>340</v>
      </c>
    </row>
    <row r="60" customFormat="false" ht="30" hidden="false" customHeight="true" outlineLevel="0" collapsed="false">
      <c r="A60" s="10" t="s">
        <v>362</v>
      </c>
      <c r="B60" s="11" t="s">
        <v>363</v>
      </c>
      <c r="C60" s="10" t="s">
        <v>335</v>
      </c>
      <c r="D60" s="10" t="s">
        <v>33</v>
      </c>
      <c r="E60" s="10" t="s">
        <v>34</v>
      </c>
      <c r="F60" s="11" t="s">
        <v>77</v>
      </c>
      <c r="G60" s="7" t="s">
        <v>27</v>
      </c>
      <c r="H60" s="11" t="s">
        <v>364</v>
      </c>
      <c r="I60" s="11" t="s">
        <v>365</v>
      </c>
      <c r="J60" s="10" t="s">
        <v>38</v>
      </c>
      <c r="K60" s="12" t="n">
        <v>5</v>
      </c>
      <c r="L60" s="11" t="s">
        <v>265</v>
      </c>
      <c r="M60" s="11" t="s">
        <v>74</v>
      </c>
    </row>
    <row r="61" customFormat="false" ht="69" hidden="false" customHeight="true" outlineLevel="0" collapsed="false">
      <c r="A61" s="3" t="s">
        <v>366</v>
      </c>
      <c r="B61" s="4" t="s">
        <v>367</v>
      </c>
      <c r="C61" s="3" t="s">
        <v>368</v>
      </c>
      <c r="D61" s="3" t="s">
        <v>369</v>
      </c>
      <c r="E61" s="3" t="s">
        <v>34</v>
      </c>
      <c r="F61" s="4" t="s">
        <v>370</v>
      </c>
      <c r="G61" s="8" t="s">
        <v>49</v>
      </c>
      <c r="H61" s="4" t="s">
        <v>371</v>
      </c>
      <c r="I61" s="4" t="s">
        <v>372</v>
      </c>
      <c r="J61" s="3" t="s">
        <v>105</v>
      </c>
      <c r="K61" s="6" t="n">
        <v>16</v>
      </c>
      <c r="L61" s="4" t="s">
        <v>373</v>
      </c>
      <c r="M61" s="4" t="s">
        <v>374</v>
      </c>
    </row>
    <row r="62" customFormat="false" ht="42.75" hidden="false" customHeight="true" outlineLevel="0" collapsed="false">
      <c r="A62" s="3" t="s">
        <v>375</v>
      </c>
      <c r="B62" s="4" t="s">
        <v>376</v>
      </c>
      <c r="C62" s="3" t="s">
        <v>368</v>
      </c>
      <c r="D62" s="3" t="s">
        <v>369</v>
      </c>
      <c r="E62" s="3" t="s">
        <v>34</v>
      </c>
      <c r="F62" s="4" t="s">
        <v>370</v>
      </c>
      <c r="G62" s="9" t="s">
        <v>56</v>
      </c>
      <c r="H62" s="4" t="s">
        <v>377</v>
      </c>
      <c r="I62" s="4" t="s">
        <v>378</v>
      </c>
      <c r="J62" s="3" t="s">
        <v>105</v>
      </c>
      <c r="K62" s="6" t="n">
        <v>8</v>
      </c>
      <c r="L62" s="4" t="s">
        <v>379</v>
      </c>
      <c r="M62" s="4" t="s">
        <v>380</v>
      </c>
    </row>
    <row r="63" customFormat="false" ht="30" hidden="false" customHeight="true" outlineLevel="0" collapsed="false">
      <c r="A63" s="3" t="s">
        <v>381</v>
      </c>
      <c r="B63" s="4" t="s">
        <v>382</v>
      </c>
      <c r="C63" s="3" t="s">
        <v>368</v>
      </c>
      <c r="D63" s="3" t="s">
        <v>369</v>
      </c>
      <c r="E63" s="3" t="s">
        <v>34</v>
      </c>
      <c r="F63" s="4" t="s">
        <v>226</v>
      </c>
      <c r="G63" s="9" t="s">
        <v>56</v>
      </c>
      <c r="H63" s="4" t="s">
        <v>383</v>
      </c>
      <c r="I63" s="4" t="s">
        <v>384</v>
      </c>
      <c r="J63" s="3" t="s">
        <v>105</v>
      </c>
      <c r="K63" s="6" t="n">
        <v>8</v>
      </c>
      <c r="L63" s="4" t="s">
        <v>379</v>
      </c>
      <c r="M63" s="4" t="s">
        <v>374</v>
      </c>
    </row>
    <row r="64" customFormat="false" ht="30" hidden="false" customHeight="true" outlineLevel="0" collapsed="false">
      <c r="A64" s="3" t="s">
        <v>385</v>
      </c>
      <c r="B64" s="4" t="s">
        <v>386</v>
      </c>
      <c r="C64" s="3" t="s">
        <v>368</v>
      </c>
      <c r="D64" s="3" t="s">
        <v>369</v>
      </c>
      <c r="E64" s="3" t="s">
        <v>54</v>
      </c>
      <c r="F64" s="4" t="s">
        <v>387</v>
      </c>
      <c r="G64" s="7" t="s">
        <v>27</v>
      </c>
      <c r="H64" s="4" t="s">
        <v>388</v>
      </c>
      <c r="I64" s="4" t="s">
        <v>389</v>
      </c>
      <c r="J64" s="3" t="s">
        <v>105</v>
      </c>
      <c r="K64" s="6" t="n">
        <v>8</v>
      </c>
      <c r="L64" s="4" t="s">
        <v>379</v>
      </c>
      <c r="M64" s="4" t="s">
        <v>390</v>
      </c>
    </row>
    <row r="65" customFormat="false" ht="30" hidden="false" customHeight="true" outlineLevel="0" collapsed="false">
      <c r="A65" s="3" t="s">
        <v>391</v>
      </c>
      <c r="B65" s="4" t="s">
        <v>392</v>
      </c>
      <c r="C65" s="3" t="s">
        <v>368</v>
      </c>
      <c r="D65" s="3" t="s">
        <v>69</v>
      </c>
      <c r="E65" s="3" t="s">
        <v>69</v>
      </c>
      <c r="F65" s="4" t="s">
        <v>89</v>
      </c>
      <c r="G65" s="9" t="s">
        <v>56</v>
      </c>
      <c r="H65" s="4" t="s">
        <v>393</v>
      </c>
      <c r="I65" s="4" t="s">
        <v>394</v>
      </c>
      <c r="J65" s="3" t="s">
        <v>73</v>
      </c>
      <c r="K65" s="6" t="n">
        <v>8</v>
      </c>
      <c r="L65" s="4" t="s">
        <v>395</v>
      </c>
      <c r="M65" s="4" t="s">
        <v>374</v>
      </c>
    </row>
    <row r="66" customFormat="false" ht="42.75" hidden="false" customHeight="true" outlineLevel="0" collapsed="false">
      <c r="A66" s="3" t="s">
        <v>396</v>
      </c>
      <c r="B66" s="4" t="s">
        <v>397</v>
      </c>
      <c r="C66" s="3" t="s">
        <v>368</v>
      </c>
      <c r="D66" s="3" t="s">
        <v>369</v>
      </c>
      <c r="E66" s="3" t="s">
        <v>34</v>
      </c>
      <c r="F66" s="4" t="s">
        <v>370</v>
      </c>
      <c r="G66" s="13" t="s">
        <v>398</v>
      </c>
      <c r="H66" s="4" t="s">
        <v>399</v>
      </c>
      <c r="I66" s="4" t="s">
        <v>400</v>
      </c>
      <c r="J66" s="3" t="s">
        <v>105</v>
      </c>
      <c r="K66" s="6" t="n">
        <v>6</v>
      </c>
      <c r="L66" s="4" t="s">
        <v>379</v>
      </c>
      <c r="M66" s="4" t="s">
        <v>380</v>
      </c>
    </row>
    <row r="67" customFormat="false" ht="55.5" hidden="false" customHeight="true" outlineLevel="0" collapsed="false">
      <c r="A67" s="10" t="s">
        <v>401</v>
      </c>
      <c r="B67" s="11" t="s">
        <v>402</v>
      </c>
      <c r="C67" s="10" t="s">
        <v>403</v>
      </c>
      <c r="D67" s="10" t="s">
        <v>33</v>
      </c>
      <c r="E67" s="10" t="s">
        <v>34</v>
      </c>
      <c r="F67" s="11" t="s">
        <v>404</v>
      </c>
      <c r="G67" s="8" t="s">
        <v>49</v>
      </c>
      <c r="H67" s="11" t="s">
        <v>405</v>
      </c>
      <c r="I67" s="11" t="s">
        <v>406</v>
      </c>
      <c r="J67" s="10" t="s">
        <v>105</v>
      </c>
      <c r="K67" s="12" t="n">
        <v>16</v>
      </c>
      <c r="L67" s="11" t="s">
        <v>373</v>
      </c>
      <c r="M67" s="11" t="s">
        <v>407</v>
      </c>
    </row>
    <row r="68" customFormat="false" ht="30" hidden="false" customHeight="true" outlineLevel="0" collapsed="false">
      <c r="A68" s="10" t="s">
        <v>408</v>
      </c>
      <c r="B68" s="11" t="s">
        <v>409</v>
      </c>
      <c r="C68" s="10" t="s">
        <v>403</v>
      </c>
      <c r="D68" s="10" t="s">
        <v>33</v>
      </c>
      <c r="E68" s="10" t="s">
        <v>42</v>
      </c>
      <c r="F68" s="11" t="s">
        <v>410</v>
      </c>
      <c r="G68" s="9" t="s">
        <v>56</v>
      </c>
      <c r="H68" s="11" t="s">
        <v>411</v>
      </c>
      <c r="I68" s="11" t="s">
        <v>412</v>
      </c>
      <c r="J68" s="10" t="s">
        <v>105</v>
      </c>
      <c r="K68" s="12" t="n">
        <v>8</v>
      </c>
      <c r="L68" s="11" t="s">
        <v>413</v>
      </c>
      <c r="M68" s="11" t="s">
        <v>414</v>
      </c>
    </row>
    <row r="69" customFormat="false" ht="30" hidden="false" customHeight="true" outlineLevel="0" collapsed="false">
      <c r="A69" s="10" t="s">
        <v>415</v>
      </c>
      <c r="B69" s="11" t="s">
        <v>416</v>
      </c>
      <c r="C69" s="10" t="s">
        <v>403</v>
      </c>
      <c r="D69" s="10" t="s">
        <v>33</v>
      </c>
      <c r="E69" s="10" t="s">
        <v>54</v>
      </c>
      <c r="F69" s="11" t="s">
        <v>417</v>
      </c>
      <c r="G69" s="9" t="s">
        <v>56</v>
      </c>
      <c r="H69" s="11" t="s">
        <v>418</v>
      </c>
      <c r="I69" s="11" t="s">
        <v>419</v>
      </c>
      <c r="J69" s="10" t="s">
        <v>214</v>
      </c>
      <c r="K69" s="12" t="n">
        <v>8</v>
      </c>
      <c r="L69" s="11" t="s">
        <v>413</v>
      </c>
      <c r="M69" s="11" t="s">
        <v>390</v>
      </c>
    </row>
    <row r="70" customFormat="false" ht="30" hidden="false" customHeight="true" outlineLevel="0" collapsed="false">
      <c r="A70" s="10" t="s">
        <v>420</v>
      </c>
      <c r="B70" s="11" t="s">
        <v>421</v>
      </c>
      <c r="C70" s="10" t="s">
        <v>403</v>
      </c>
      <c r="D70" s="10" t="s">
        <v>33</v>
      </c>
      <c r="E70" s="10" t="s">
        <v>34</v>
      </c>
      <c r="F70" s="11" t="s">
        <v>422</v>
      </c>
      <c r="G70" s="9" t="s">
        <v>56</v>
      </c>
      <c r="H70" s="11" t="s">
        <v>423</v>
      </c>
      <c r="I70" s="11" t="s">
        <v>424</v>
      </c>
      <c r="J70" s="10" t="s">
        <v>105</v>
      </c>
      <c r="K70" s="12" t="n">
        <v>8</v>
      </c>
      <c r="L70" s="11" t="s">
        <v>413</v>
      </c>
      <c r="M70" s="11" t="s">
        <v>374</v>
      </c>
    </row>
    <row r="71" customFormat="false" ht="42.75" hidden="false" customHeight="true" outlineLevel="0" collapsed="false">
      <c r="A71" s="10" t="s">
        <v>425</v>
      </c>
      <c r="B71" s="11" t="s">
        <v>426</v>
      </c>
      <c r="C71" s="10" t="s">
        <v>403</v>
      </c>
      <c r="D71" s="10" t="s">
        <v>69</v>
      </c>
      <c r="E71" s="10" t="s">
        <v>69</v>
      </c>
      <c r="F71" s="11" t="s">
        <v>35</v>
      </c>
      <c r="G71" s="8" t="s">
        <v>49</v>
      </c>
      <c r="H71" s="11" t="s">
        <v>427</v>
      </c>
      <c r="I71" s="11" t="s">
        <v>428</v>
      </c>
      <c r="J71" s="10" t="s">
        <v>73</v>
      </c>
      <c r="K71" s="12" t="n">
        <v>7</v>
      </c>
      <c r="L71" s="11" t="s">
        <v>229</v>
      </c>
      <c r="M71" s="11" t="s">
        <v>39</v>
      </c>
    </row>
    <row r="72" customFormat="false" ht="30" hidden="false" customHeight="true" outlineLevel="0" collapsed="false">
      <c r="A72" s="10" t="s">
        <v>429</v>
      </c>
      <c r="B72" s="11" t="s">
        <v>430</v>
      </c>
      <c r="C72" s="10" t="s">
        <v>403</v>
      </c>
      <c r="D72" s="10" t="s">
        <v>69</v>
      </c>
      <c r="E72" s="10" t="s">
        <v>83</v>
      </c>
      <c r="F72" s="11" t="s">
        <v>89</v>
      </c>
      <c r="G72" s="9" t="s">
        <v>56</v>
      </c>
      <c r="H72" s="11" t="s">
        <v>431</v>
      </c>
      <c r="I72" s="11" t="s">
        <v>432</v>
      </c>
      <c r="J72" s="10" t="s">
        <v>73</v>
      </c>
      <c r="K72" s="12" t="n">
        <v>8</v>
      </c>
      <c r="L72" s="11" t="s">
        <v>433</v>
      </c>
      <c r="M72" s="11" t="s">
        <v>374</v>
      </c>
    </row>
    <row r="73" customFormat="false" ht="42.75" hidden="false" customHeight="true" outlineLevel="0" collapsed="false">
      <c r="A73" s="3" t="s">
        <v>434</v>
      </c>
      <c r="B73" s="4" t="s">
        <v>435</v>
      </c>
      <c r="C73" s="3" t="s">
        <v>436</v>
      </c>
      <c r="D73" s="3" t="s">
        <v>35</v>
      </c>
      <c r="E73" s="3" t="s">
        <v>35</v>
      </c>
      <c r="F73" s="4" t="s">
        <v>437</v>
      </c>
      <c r="G73" s="8" t="s">
        <v>49</v>
      </c>
      <c r="H73" s="4" t="s">
        <v>438</v>
      </c>
      <c r="I73" s="4" t="s">
        <v>439</v>
      </c>
      <c r="J73" s="3" t="s">
        <v>38</v>
      </c>
      <c r="K73" s="6" t="n">
        <v>8</v>
      </c>
      <c r="L73" s="4" t="s">
        <v>440</v>
      </c>
      <c r="M73" s="4" t="s">
        <v>35</v>
      </c>
    </row>
    <row r="74" customFormat="false" ht="30" hidden="false" customHeight="true" outlineLevel="0" collapsed="false">
      <c r="A74" s="3" t="s">
        <v>441</v>
      </c>
      <c r="B74" s="4" t="s">
        <v>442</v>
      </c>
      <c r="C74" s="3" t="s">
        <v>436</v>
      </c>
      <c r="D74" s="3" t="s">
        <v>35</v>
      </c>
      <c r="E74" s="3" t="s">
        <v>42</v>
      </c>
      <c r="F74" s="4" t="s">
        <v>443</v>
      </c>
      <c r="G74" s="9" t="s">
        <v>56</v>
      </c>
      <c r="H74" s="4" t="s">
        <v>444</v>
      </c>
      <c r="I74" s="4" t="s">
        <v>445</v>
      </c>
      <c r="J74" s="3" t="s">
        <v>38</v>
      </c>
      <c r="K74" s="6" t="n">
        <v>8</v>
      </c>
      <c r="L74" s="4" t="s">
        <v>23</v>
      </c>
      <c r="M74" s="4" t="s">
        <v>35</v>
      </c>
    </row>
    <row r="75" customFormat="false" ht="55.5" hidden="false" customHeight="true" outlineLevel="0" collapsed="false">
      <c r="A75" s="3" t="s">
        <v>446</v>
      </c>
      <c r="B75" s="4" t="s">
        <v>447</v>
      </c>
      <c r="C75" s="3" t="s">
        <v>436</v>
      </c>
      <c r="D75" s="3" t="s">
        <v>35</v>
      </c>
      <c r="E75" s="3" t="s">
        <v>34</v>
      </c>
      <c r="F75" s="4" t="s">
        <v>448</v>
      </c>
      <c r="G75" s="8" t="s">
        <v>49</v>
      </c>
      <c r="H75" s="4" t="s">
        <v>449</v>
      </c>
      <c r="I75" s="4" t="s">
        <v>450</v>
      </c>
      <c r="J75" s="3" t="s">
        <v>38</v>
      </c>
      <c r="K75" s="6" t="n">
        <v>6</v>
      </c>
      <c r="L75" s="4" t="s">
        <v>23</v>
      </c>
      <c r="M75" s="4" t="s">
        <v>451</v>
      </c>
    </row>
    <row r="76" customFormat="false" ht="30" hidden="false" customHeight="true" outlineLevel="0" collapsed="false">
      <c r="A76" s="3" t="s">
        <v>452</v>
      </c>
      <c r="B76" s="4" t="s">
        <v>453</v>
      </c>
      <c r="C76" s="3" t="s">
        <v>436</v>
      </c>
      <c r="D76" s="3" t="s">
        <v>35</v>
      </c>
      <c r="E76" s="3" t="s">
        <v>69</v>
      </c>
      <c r="F76" s="4" t="s">
        <v>448</v>
      </c>
      <c r="G76" s="9" t="s">
        <v>56</v>
      </c>
      <c r="H76" s="4" t="s">
        <v>454</v>
      </c>
      <c r="I76" s="4" t="s">
        <v>455</v>
      </c>
      <c r="J76" s="3" t="s">
        <v>73</v>
      </c>
      <c r="K76" s="6" t="n">
        <v>6</v>
      </c>
      <c r="L76" s="4" t="s">
        <v>23</v>
      </c>
      <c r="M76" s="4" t="s">
        <v>451</v>
      </c>
    </row>
    <row r="77" customFormat="false" ht="30" hidden="false" customHeight="true" outlineLevel="0" collapsed="false">
      <c r="A77" s="3" t="s">
        <v>456</v>
      </c>
      <c r="B77" s="4" t="s">
        <v>457</v>
      </c>
      <c r="C77" s="3" t="s">
        <v>436</v>
      </c>
      <c r="D77" s="3" t="s">
        <v>35</v>
      </c>
      <c r="E77" s="3" t="s">
        <v>69</v>
      </c>
      <c r="F77" s="4" t="s">
        <v>448</v>
      </c>
      <c r="G77" s="9" t="s">
        <v>56</v>
      </c>
      <c r="H77" s="4" t="s">
        <v>458</v>
      </c>
      <c r="I77" s="4" t="s">
        <v>459</v>
      </c>
      <c r="J77" s="3" t="s">
        <v>73</v>
      </c>
      <c r="K77" s="6" t="n">
        <v>8</v>
      </c>
      <c r="L77" s="4" t="s">
        <v>23</v>
      </c>
      <c r="M77" s="4" t="s">
        <v>451</v>
      </c>
    </row>
    <row r="78" customFormat="false" ht="30" hidden="false" customHeight="true" outlineLevel="0" collapsed="false">
      <c r="A78" s="3" t="s">
        <v>460</v>
      </c>
      <c r="B78" s="4" t="s">
        <v>461</v>
      </c>
      <c r="C78" s="3" t="s">
        <v>436</v>
      </c>
      <c r="D78" s="3" t="s">
        <v>69</v>
      </c>
      <c r="E78" s="3" t="s">
        <v>35</v>
      </c>
      <c r="F78" s="4" t="s">
        <v>83</v>
      </c>
      <c r="G78" s="9" t="s">
        <v>56</v>
      </c>
      <c r="H78" s="4" t="s">
        <v>462</v>
      </c>
      <c r="I78" s="4" t="s">
        <v>463</v>
      </c>
      <c r="J78" s="3" t="s">
        <v>73</v>
      </c>
      <c r="K78" s="6" t="n">
        <v>9</v>
      </c>
      <c r="L78" s="4" t="s">
        <v>464</v>
      </c>
      <c r="M78" s="4" t="s">
        <v>465</v>
      </c>
    </row>
    <row r="79" customFormat="false" ht="42.75" hidden="false" customHeight="true" outlineLevel="0" collapsed="false">
      <c r="A79" s="10" t="s">
        <v>466</v>
      </c>
      <c r="B79" s="11" t="s">
        <v>467</v>
      </c>
      <c r="C79" s="10" t="s">
        <v>468</v>
      </c>
      <c r="D79" s="10" t="s">
        <v>33</v>
      </c>
      <c r="E79" s="10" t="s">
        <v>54</v>
      </c>
      <c r="F79" s="11" t="s">
        <v>134</v>
      </c>
      <c r="G79" s="9" t="s">
        <v>56</v>
      </c>
      <c r="H79" s="11" t="s">
        <v>469</v>
      </c>
      <c r="I79" s="11" t="s">
        <v>470</v>
      </c>
      <c r="J79" s="10" t="s">
        <v>38</v>
      </c>
      <c r="K79" s="12" t="n">
        <v>8</v>
      </c>
      <c r="L79" s="11" t="s">
        <v>471</v>
      </c>
      <c r="M79" s="11" t="s">
        <v>472</v>
      </c>
    </row>
    <row r="80" customFormat="false" ht="30" hidden="false" customHeight="true" outlineLevel="0" collapsed="false">
      <c r="A80" s="10" t="s">
        <v>473</v>
      </c>
      <c r="B80" s="11" t="s">
        <v>474</v>
      </c>
      <c r="C80" s="10" t="s">
        <v>468</v>
      </c>
      <c r="D80" s="10" t="s">
        <v>33</v>
      </c>
      <c r="E80" s="10" t="s">
        <v>69</v>
      </c>
      <c r="F80" s="11" t="s">
        <v>134</v>
      </c>
      <c r="G80" s="9" t="s">
        <v>56</v>
      </c>
      <c r="H80" s="11" t="s">
        <v>475</v>
      </c>
      <c r="I80" s="11" t="s">
        <v>476</v>
      </c>
      <c r="J80" s="10" t="s">
        <v>73</v>
      </c>
      <c r="K80" s="12" t="n">
        <v>8</v>
      </c>
      <c r="L80" s="11" t="s">
        <v>149</v>
      </c>
      <c r="M80" s="11" t="s">
        <v>477</v>
      </c>
    </row>
    <row r="81" customFormat="false" ht="30" hidden="false" customHeight="true" outlineLevel="0" collapsed="false">
      <c r="A81" s="10" t="s">
        <v>478</v>
      </c>
      <c r="B81" s="11" t="s">
        <v>479</v>
      </c>
      <c r="C81" s="10" t="s">
        <v>468</v>
      </c>
      <c r="D81" s="10" t="s">
        <v>33</v>
      </c>
      <c r="E81" s="10" t="s">
        <v>34</v>
      </c>
      <c r="F81" s="11" t="s">
        <v>480</v>
      </c>
      <c r="G81" s="9" t="s">
        <v>56</v>
      </c>
      <c r="H81" s="11" t="s">
        <v>481</v>
      </c>
      <c r="I81" s="11" t="s">
        <v>482</v>
      </c>
      <c r="J81" s="10" t="s">
        <v>105</v>
      </c>
      <c r="K81" s="12" t="n">
        <v>8</v>
      </c>
      <c r="L81" s="11" t="s">
        <v>23</v>
      </c>
      <c r="M81" s="11" t="s">
        <v>477</v>
      </c>
    </row>
    <row r="82" customFormat="false" ht="30" hidden="false" customHeight="true" outlineLevel="0" collapsed="false">
      <c r="A82" s="10" t="s">
        <v>483</v>
      </c>
      <c r="B82" s="11" t="s">
        <v>484</v>
      </c>
      <c r="C82" s="10" t="s">
        <v>468</v>
      </c>
      <c r="D82" s="10" t="s">
        <v>33</v>
      </c>
      <c r="E82" s="10" t="s">
        <v>42</v>
      </c>
      <c r="F82" s="11" t="s">
        <v>485</v>
      </c>
      <c r="G82" s="8" t="s">
        <v>49</v>
      </c>
      <c r="H82" s="11" t="s">
        <v>486</v>
      </c>
      <c r="I82" s="11" t="s">
        <v>487</v>
      </c>
      <c r="J82" s="10" t="s">
        <v>38</v>
      </c>
      <c r="K82" s="12" t="n">
        <v>8</v>
      </c>
      <c r="L82" s="11" t="s">
        <v>23</v>
      </c>
      <c r="M82" s="11" t="s">
        <v>488</v>
      </c>
    </row>
    <row r="83" customFormat="false" ht="30" hidden="false" customHeight="true" outlineLevel="0" collapsed="false">
      <c r="A83" s="10" t="s">
        <v>489</v>
      </c>
      <c r="B83" s="11" t="s">
        <v>490</v>
      </c>
      <c r="C83" s="10" t="s">
        <v>468</v>
      </c>
      <c r="D83" s="10" t="s">
        <v>33</v>
      </c>
      <c r="E83" s="10" t="s">
        <v>42</v>
      </c>
      <c r="F83" s="11" t="s">
        <v>491</v>
      </c>
      <c r="G83" s="9" t="s">
        <v>56</v>
      </c>
      <c r="H83" s="11" t="s">
        <v>492</v>
      </c>
      <c r="I83" s="11" t="s">
        <v>493</v>
      </c>
      <c r="J83" s="10" t="s">
        <v>105</v>
      </c>
      <c r="K83" s="12" t="n">
        <v>8</v>
      </c>
      <c r="L83" s="11" t="s">
        <v>23</v>
      </c>
      <c r="M83" s="11" t="s">
        <v>137</v>
      </c>
    </row>
    <row r="84" customFormat="false" ht="30" hidden="false" customHeight="true" outlineLevel="0" collapsed="false">
      <c r="A84" s="10" t="s">
        <v>494</v>
      </c>
      <c r="B84" s="11" t="s">
        <v>495</v>
      </c>
      <c r="C84" s="10" t="s">
        <v>468</v>
      </c>
      <c r="D84" s="10" t="s">
        <v>69</v>
      </c>
      <c r="E84" s="10" t="s">
        <v>69</v>
      </c>
      <c r="F84" s="11" t="s">
        <v>89</v>
      </c>
      <c r="G84" s="7" t="s">
        <v>27</v>
      </c>
      <c r="H84" s="11" t="s">
        <v>496</v>
      </c>
      <c r="I84" s="11" t="s">
        <v>497</v>
      </c>
      <c r="J84" s="10" t="s">
        <v>73</v>
      </c>
      <c r="K84" s="12" t="n">
        <v>6</v>
      </c>
      <c r="L84" s="11" t="s">
        <v>498</v>
      </c>
      <c r="M84" s="11" t="s">
        <v>472</v>
      </c>
    </row>
    <row r="85" customFormat="false" ht="42.75" hidden="false" customHeight="true" outlineLevel="0" collapsed="false">
      <c r="A85" s="3" t="s">
        <v>499</v>
      </c>
      <c r="B85" s="4" t="s">
        <v>500</v>
      </c>
      <c r="C85" s="3" t="s">
        <v>501</v>
      </c>
      <c r="D85" s="3" t="s">
        <v>35</v>
      </c>
      <c r="E85" s="3" t="s">
        <v>83</v>
      </c>
      <c r="F85" s="4" t="s">
        <v>502</v>
      </c>
      <c r="G85" s="9" t="s">
        <v>56</v>
      </c>
      <c r="H85" s="4" t="s">
        <v>503</v>
      </c>
      <c r="I85" s="4" t="s">
        <v>504</v>
      </c>
      <c r="J85" s="3" t="s">
        <v>105</v>
      </c>
      <c r="K85" s="6" t="n">
        <v>10</v>
      </c>
      <c r="L85" s="4" t="s">
        <v>505</v>
      </c>
      <c r="M85" s="4" t="s">
        <v>39</v>
      </c>
    </row>
    <row r="86" customFormat="false" ht="42.75" hidden="false" customHeight="true" outlineLevel="0" collapsed="false">
      <c r="A86" s="3" t="s">
        <v>506</v>
      </c>
      <c r="B86" s="4" t="s">
        <v>507</v>
      </c>
      <c r="C86" s="3" t="s">
        <v>501</v>
      </c>
      <c r="D86" s="3" t="s">
        <v>35</v>
      </c>
      <c r="E86" s="3" t="s">
        <v>34</v>
      </c>
      <c r="F86" s="4" t="s">
        <v>508</v>
      </c>
      <c r="G86" s="9" t="s">
        <v>56</v>
      </c>
      <c r="H86" s="4" t="s">
        <v>509</v>
      </c>
      <c r="I86" s="4" t="s">
        <v>510</v>
      </c>
      <c r="J86" s="3" t="s">
        <v>38</v>
      </c>
      <c r="K86" s="6" t="n">
        <v>8</v>
      </c>
      <c r="L86" s="4" t="s">
        <v>23</v>
      </c>
      <c r="M86" s="4" t="s">
        <v>39</v>
      </c>
    </row>
    <row r="87" customFormat="false" ht="42.75" hidden="false" customHeight="true" outlineLevel="0" collapsed="false">
      <c r="A87" s="3" t="s">
        <v>511</v>
      </c>
      <c r="B87" s="4" t="s">
        <v>512</v>
      </c>
      <c r="C87" s="3" t="s">
        <v>501</v>
      </c>
      <c r="D87" s="3" t="s">
        <v>35</v>
      </c>
      <c r="E87" s="3" t="s">
        <v>17</v>
      </c>
      <c r="F87" s="4" t="s">
        <v>513</v>
      </c>
      <c r="G87" s="9" t="s">
        <v>56</v>
      </c>
      <c r="H87" s="4" t="s">
        <v>514</v>
      </c>
      <c r="I87" s="4" t="s">
        <v>515</v>
      </c>
      <c r="J87" s="3" t="s">
        <v>105</v>
      </c>
      <c r="K87" s="6" t="n">
        <v>8</v>
      </c>
      <c r="L87" s="4" t="s">
        <v>23</v>
      </c>
      <c r="M87" s="4" t="s">
        <v>39</v>
      </c>
    </row>
    <row r="88" customFormat="false" ht="30" hidden="false" customHeight="true" outlineLevel="0" collapsed="false">
      <c r="A88" s="3" t="s">
        <v>516</v>
      </c>
      <c r="B88" s="4" t="s">
        <v>517</v>
      </c>
      <c r="C88" s="3" t="s">
        <v>501</v>
      </c>
      <c r="D88" s="3" t="s">
        <v>83</v>
      </c>
      <c r="E88" s="3" t="s">
        <v>83</v>
      </c>
      <c r="F88" s="4" t="s">
        <v>502</v>
      </c>
      <c r="G88" s="13" t="s">
        <v>398</v>
      </c>
      <c r="H88" s="4" t="s">
        <v>518</v>
      </c>
      <c r="I88" s="4" t="s">
        <v>519</v>
      </c>
      <c r="J88" s="3" t="s">
        <v>105</v>
      </c>
      <c r="K88" s="6" t="n">
        <v>8</v>
      </c>
      <c r="L88" s="4" t="s">
        <v>23</v>
      </c>
      <c r="M88" s="4" t="s">
        <v>35</v>
      </c>
    </row>
    <row r="89" customFormat="false" ht="30" hidden="false" customHeight="true" outlineLevel="0" collapsed="false">
      <c r="A89" s="3" t="s">
        <v>520</v>
      </c>
      <c r="B89" s="4" t="s">
        <v>521</v>
      </c>
      <c r="C89" s="3" t="s">
        <v>501</v>
      </c>
      <c r="D89" s="3" t="s">
        <v>69</v>
      </c>
      <c r="E89" s="3" t="s">
        <v>35</v>
      </c>
      <c r="F89" s="4" t="s">
        <v>502</v>
      </c>
      <c r="G89" s="7" t="s">
        <v>27</v>
      </c>
      <c r="H89" s="4" t="s">
        <v>522</v>
      </c>
      <c r="I89" s="4" t="s">
        <v>523</v>
      </c>
      <c r="J89" s="3" t="s">
        <v>73</v>
      </c>
      <c r="K89" s="6" t="n">
        <v>8</v>
      </c>
      <c r="L89" s="4" t="s">
        <v>524</v>
      </c>
      <c r="M89" s="4" t="s">
        <v>35</v>
      </c>
    </row>
    <row r="90" customFormat="false" ht="30" hidden="false" customHeight="true" outlineLevel="0" collapsed="false">
      <c r="A90" s="3" t="s">
        <v>525</v>
      </c>
      <c r="B90" s="4" t="s">
        <v>526</v>
      </c>
      <c r="C90" s="3" t="s">
        <v>501</v>
      </c>
      <c r="D90" s="3" t="s">
        <v>83</v>
      </c>
      <c r="E90" s="3" t="s">
        <v>83</v>
      </c>
      <c r="F90" s="4" t="s">
        <v>502</v>
      </c>
      <c r="G90" s="13" t="s">
        <v>398</v>
      </c>
      <c r="H90" s="4" t="s">
        <v>527</v>
      </c>
      <c r="I90" s="4" t="s">
        <v>528</v>
      </c>
      <c r="J90" s="3" t="s">
        <v>214</v>
      </c>
      <c r="K90" s="6" t="n">
        <v>8</v>
      </c>
      <c r="L90" s="4" t="s">
        <v>529</v>
      </c>
      <c r="M90" s="4" t="s">
        <v>35</v>
      </c>
    </row>
    <row r="91" customFormat="false" ht="55.5" hidden="false" customHeight="true" outlineLevel="0" collapsed="false">
      <c r="A91" s="10" t="s">
        <v>530</v>
      </c>
      <c r="B91" s="11" t="s">
        <v>531</v>
      </c>
      <c r="C91" s="10" t="s">
        <v>532</v>
      </c>
      <c r="D91" s="10" t="s">
        <v>83</v>
      </c>
      <c r="E91" s="10" t="s">
        <v>83</v>
      </c>
      <c r="F91" s="11" t="s">
        <v>533</v>
      </c>
      <c r="G91" s="8" t="s">
        <v>49</v>
      </c>
      <c r="H91" s="11" t="s">
        <v>534</v>
      </c>
      <c r="I91" s="11" t="s">
        <v>535</v>
      </c>
      <c r="J91" s="10" t="s">
        <v>214</v>
      </c>
      <c r="K91" s="12" t="n">
        <v>8</v>
      </c>
      <c r="L91" s="11" t="s">
        <v>536</v>
      </c>
      <c r="M91" s="11" t="s">
        <v>537</v>
      </c>
    </row>
    <row r="92" customFormat="false" ht="30" hidden="false" customHeight="true" outlineLevel="0" collapsed="false">
      <c r="A92" s="10" t="s">
        <v>538</v>
      </c>
      <c r="B92" s="11" t="s">
        <v>539</v>
      </c>
      <c r="C92" s="10" t="s">
        <v>532</v>
      </c>
      <c r="D92" s="10" t="s">
        <v>83</v>
      </c>
      <c r="E92" s="10" t="s">
        <v>83</v>
      </c>
      <c r="F92" s="11" t="s">
        <v>540</v>
      </c>
      <c r="G92" s="9" t="s">
        <v>56</v>
      </c>
      <c r="H92" s="11" t="s">
        <v>541</v>
      </c>
      <c r="I92" s="11" t="s">
        <v>542</v>
      </c>
      <c r="J92" s="10" t="s">
        <v>105</v>
      </c>
      <c r="K92" s="12" t="n">
        <v>8</v>
      </c>
      <c r="L92" s="11" t="s">
        <v>23</v>
      </c>
      <c r="M92" s="11" t="s">
        <v>537</v>
      </c>
    </row>
    <row r="93" customFormat="false" ht="42.75" hidden="false" customHeight="true" outlineLevel="0" collapsed="false">
      <c r="A93" s="10" t="s">
        <v>543</v>
      </c>
      <c r="B93" s="11" t="s">
        <v>544</v>
      </c>
      <c r="C93" s="10" t="s">
        <v>532</v>
      </c>
      <c r="D93" s="10" t="s">
        <v>83</v>
      </c>
      <c r="E93" s="10" t="s">
        <v>83</v>
      </c>
      <c r="F93" s="11" t="s">
        <v>545</v>
      </c>
      <c r="G93" s="9" t="s">
        <v>56</v>
      </c>
      <c r="H93" s="11" t="s">
        <v>546</v>
      </c>
      <c r="I93" s="11" t="s">
        <v>547</v>
      </c>
      <c r="J93" s="10" t="s">
        <v>105</v>
      </c>
      <c r="K93" s="12" t="n">
        <v>8</v>
      </c>
      <c r="L93" s="11" t="s">
        <v>23</v>
      </c>
      <c r="M93" s="11" t="s">
        <v>162</v>
      </c>
    </row>
    <row r="94" customFormat="false" ht="30" hidden="false" customHeight="true" outlineLevel="0" collapsed="false">
      <c r="A94" s="10" t="s">
        <v>548</v>
      </c>
      <c r="B94" s="11" t="s">
        <v>549</v>
      </c>
      <c r="C94" s="10" t="s">
        <v>532</v>
      </c>
      <c r="D94" s="10" t="s">
        <v>83</v>
      </c>
      <c r="E94" s="10" t="s">
        <v>83</v>
      </c>
      <c r="F94" s="11" t="s">
        <v>550</v>
      </c>
      <c r="G94" s="7" t="s">
        <v>27</v>
      </c>
      <c r="H94" s="11" t="s">
        <v>551</v>
      </c>
      <c r="I94" s="11" t="s">
        <v>552</v>
      </c>
      <c r="J94" s="10" t="s">
        <v>105</v>
      </c>
      <c r="K94" s="12" t="n">
        <v>8</v>
      </c>
      <c r="L94" s="11" t="s">
        <v>553</v>
      </c>
      <c r="M94" s="11" t="s">
        <v>537</v>
      </c>
    </row>
    <row r="95" customFormat="false" ht="42.75" hidden="false" customHeight="true" outlineLevel="0" collapsed="false">
      <c r="A95" s="10" t="s">
        <v>554</v>
      </c>
      <c r="B95" s="11" t="s">
        <v>555</v>
      </c>
      <c r="C95" s="10" t="s">
        <v>532</v>
      </c>
      <c r="D95" s="10" t="s">
        <v>269</v>
      </c>
      <c r="E95" s="10" t="s">
        <v>69</v>
      </c>
      <c r="F95" s="11" t="s">
        <v>556</v>
      </c>
      <c r="G95" s="9" t="s">
        <v>56</v>
      </c>
      <c r="H95" s="11" t="s">
        <v>557</v>
      </c>
      <c r="I95" s="11" t="s">
        <v>558</v>
      </c>
      <c r="J95" s="10" t="s">
        <v>73</v>
      </c>
      <c r="K95" s="12" t="n">
        <v>6</v>
      </c>
      <c r="L95" s="11" t="s">
        <v>559</v>
      </c>
      <c r="M95" s="11" t="s">
        <v>414</v>
      </c>
    </row>
    <row r="96" customFormat="false" ht="42.75" hidden="false" customHeight="true" outlineLevel="0" collapsed="false">
      <c r="A96" s="10" t="s">
        <v>560</v>
      </c>
      <c r="B96" s="11" t="s">
        <v>561</v>
      </c>
      <c r="C96" s="10" t="s">
        <v>532</v>
      </c>
      <c r="D96" s="10" t="s">
        <v>69</v>
      </c>
      <c r="E96" s="10" t="s">
        <v>69</v>
      </c>
      <c r="F96" s="11" t="s">
        <v>562</v>
      </c>
      <c r="G96" s="8" t="s">
        <v>49</v>
      </c>
      <c r="H96" s="11" t="s">
        <v>563</v>
      </c>
      <c r="I96" s="11" t="s">
        <v>564</v>
      </c>
      <c r="J96" s="10" t="s">
        <v>73</v>
      </c>
      <c r="K96" s="12" t="n">
        <v>8</v>
      </c>
      <c r="L96" s="11" t="s">
        <v>565</v>
      </c>
      <c r="M96" s="11" t="s">
        <v>537</v>
      </c>
    </row>
    <row r="97" customFormat="false" ht="69" hidden="false" customHeight="true" outlineLevel="0" collapsed="false">
      <c r="A97" s="10" t="s">
        <v>566</v>
      </c>
      <c r="B97" s="11" t="s">
        <v>567</v>
      </c>
      <c r="C97" s="10" t="s">
        <v>568</v>
      </c>
      <c r="D97" s="10" t="s">
        <v>162</v>
      </c>
      <c r="E97" s="10" t="s">
        <v>34</v>
      </c>
      <c r="F97" s="10" t="s">
        <v>569</v>
      </c>
      <c r="G97" s="9" t="s">
        <v>56</v>
      </c>
      <c r="H97" s="11" t="s">
        <v>570</v>
      </c>
      <c r="I97" s="11" t="s">
        <v>571</v>
      </c>
      <c r="J97" s="10" t="s">
        <v>105</v>
      </c>
      <c r="K97" s="12" t="n">
        <v>8</v>
      </c>
      <c r="L97" s="11" t="s">
        <v>572</v>
      </c>
      <c r="M97" s="11" t="s">
        <v>573</v>
      </c>
    </row>
    <row r="98" customFormat="false" ht="69" hidden="false" customHeight="true" outlineLevel="0" collapsed="false">
      <c r="A98" s="10" t="s">
        <v>574</v>
      </c>
      <c r="B98" s="11" t="s">
        <v>575</v>
      </c>
      <c r="C98" s="10" t="s">
        <v>568</v>
      </c>
      <c r="D98" s="10" t="s">
        <v>162</v>
      </c>
      <c r="E98" s="10" t="s">
        <v>34</v>
      </c>
      <c r="F98" s="10" t="s">
        <v>576</v>
      </c>
      <c r="G98" s="8" t="s">
        <v>49</v>
      </c>
      <c r="H98" s="11" t="s">
        <v>577</v>
      </c>
      <c r="I98" s="11" t="s">
        <v>578</v>
      </c>
      <c r="J98" s="10" t="s">
        <v>105</v>
      </c>
      <c r="K98" s="12" t="n">
        <v>10</v>
      </c>
      <c r="L98" s="11" t="s">
        <v>579</v>
      </c>
      <c r="M98" s="11" t="s">
        <v>580</v>
      </c>
    </row>
    <row r="99" customFormat="false" ht="55.5" hidden="false" customHeight="true" outlineLevel="0" collapsed="false">
      <c r="A99" s="10" t="s">
        <v>581</v>
      </c>
      <c r="B99" s="11" t="s">
        <v>582</v>
      </c>
      <c r="C99" s="10" t="s">
        <v>568</v>
      </c>
      <c r="D99" s="10" t="s">
        <v>162</v>
      </c>
      <c r="E99" s="10" t="s">
        <v>34</v>
      </c>
      <c r="F99" s="10" t="s">
        <v>583</v>
      </c>
      <c r="G99" s="8" t="s">
        <v>49</v>
      </c>
      <c r="H99" s="11" t="s">
        <v>584</v>
      </c>
      <c r="I99" s="11" t="s">
        <v>585</v>
      </c>
      <c r="J99" s="10" t="s">
        <v>105</v>
      </c>
      <c r="K99" s="12" t="n">
        <v>10</v>
      </c>
      <c r="L99" s="11" t="s">
        <v>586</v>
      </c>
      <c r="M99" s="11" t="s">
        <v>587</v>
      </c>
    </row>
    <row r="100" customFormat="false" ht="42.75" hidden="false" customHeight="true" outlineLevel="0" collapsed="false">
      <c r="A100" s="10" t="s">
        <v>588</v>
      </c>
      <c r="B100" s="11" t="s">
        <v>589</v>
      </c>
      <c r="C100" s="10" t="s">
        <v>568</v>
      </c>
      <c r="D100" s="10" t="s">
        <v>162</v>
      </c>
      <c r="E100" s="10" t="s">
        <v>54</v>
      </c>
      <c r="F100" s="10" t="s">
        <v>590</v>
      </c>
      <c r="G100" s="9" t="s">
        <v>56</v>
      </c>
      <c r="H100" s="11" t="s">
        <v>591</v>
      </c>
      <c r="I100" s="11" t="s">
        <v>592</v>
      </c>
      <c r="J100" s="10" t="s">
        <v>105</v>
      </c>
      <c r="K100" s="12" t="n">
        <v>8</v>
      </c>
      <c r="L100" s="11" t="s">
        <v>593</v>
      </c>
      <c r="M100" s="11" t="s">
        <v>594</v>
      </c>
    </row>
    <row r="101" customFormat="false" ht="55.5" hidden="false" customHeight="true" outlineLevel="0" collapsed="false">
      <c r="A101" s="10" t="s">
        <v>595</v>
      </c>
      <c r="B101" s="11" t="s">
        <v>596</v>
      </c>
      <c r="C101" s="10" t="s">
        <v>568</v>
      </c>
      <c r="D101" s="10" t="s">
        <v>162</v>
      </c>
      <c r="E101" s="10" t="s">
        <v>34</v>
      </c>
      <c r="F101" s="10" t="s">
        <v>597</v>
      </c>
      <c r="G101" s="9" t="s">
        <v>56</v>
      </c>
      <c r="H101" s="11" t="s">
        <v>598</v>
      </c>
      <c r="I101" s="11" t="s">
        <v>599</v>
      </c>
      <c r="J101" s="10" t="s">
        <v>105</v>
      </c>
      <c r="K101" s="12" t="n">
        <v>8</v>
      </c>
      <c r="L101" s="11" t="s">
        <v>373</v>
      </c>
      <c r="M101" s="11" t="s">
        <v>587</v>
      </c>
    </row>
    <row r="102" customFormat="false" ht="55.5" hidden="false" customHeight="true" outlineLevel="0" collapsed="false">
      <c r="A102" s="10" t="s">
        <v>600</v>
      </c>
      <c r="B102" s="11" t="s">
        <v>601</v>
      </c>
      <c r="C102" s="10" t="s">
        <v>568</v>
      </c>
      <c r="D102" s="10" t="s">
        <v>162</v>
      </c>
      <c r="E102" s="10" t="s">
        <v>69</v>
      </c>
      <c r="F102" s="10" t="s">
        <v>602</v>
      </c>
      <c r="G102" s="8" t="s">
        <v>49</v>
      </c>
      <c r="H102" s="11" t="s">
        <v>603</v>
      </c>
      <c r="I102" s="11" t="s">
        <v>604</v>
      </c>
      <c r="J102" s="10" t="s">
        <v>73</v>
      </c>
      <c r="K102" s="12" t="n">
        <v>6</v>
      </c>
      <c r="L102" s="11" t="s">
        <v>229</v>
      </c>
      <c r="M102" s="11" t="s">
        <v>605</v>
      </c>
    </row>
    <row r="103" customFormat="false" ht="30" hidden="false" customHeight="true" outlineLevel="0" collapsed="false">
      <c r="A103" s="10" t="s">
        <v>606</v>
      </c>
      <c r="B103" s="11" t="s">
        <v>607</v>
      </c>
      <c r="C103" s="10" t="s">
        <v>568</v>
      </c>
      <c r="D103" s="10" t="s">
        <v>162</v>
      </c>
      <c r="E103" s="10" t="s">
        <v>69</v>
      </c>
      <c r="F103" s="10" t="s">
        <v>89</v>
      </c>
      <c r="G103" s="8" t="s">
        <v>49</v>
      </c>
      <c r="H103" s="11" t="s">
        <v>608</v>
      </c>
      <c r="I103" s="11" t="s">
        <v>609</v>
      </c>
      <c r="J103" s="10" t="s">
        <v>73</v>
      </c>
      <c r="K103" s="12" t="n">
        <v>8</v>
      </c>
      <c r="L103" s="11" t="s">
        <v>610</v>
      </c>
      <c r="M103" s="11" t="s">
        <v>573</v>
      </c>
    </row>
    <row r="104" customFormat="false" ht="55.5" hidden="false" customHeight="true" outlineLevel="0" collapsed="false">
      <c r="A104" s="3" t="s">
        <v>611</v>
      </c>
      <c r="B104" s="4" t="s">
        <v>612</v>
      </c>
      <c r="C104" s="3" t="s">
        <v>613</v>
      </c>
      <c r="D104" s="3" t="s">
        <v>193</v>
      </c>
      <c r="E104" s="3" t="s">
        <v>34</v>
      </c>
      <c r="F104" s="3" t="s">
        <v>614</v>
      </c>
      <c r="G104" s="8" t="s">
        <v>49</v>
      </c>
      <c r="H104" s="4" t="s">
        <v>615</v>
      </c>
      <c r="I104" s="4" t="s">
        <v>616</v>
      </c>
      <c r="J104" s="3" t="s">
        <v>105</v>
      </c>
      <c r="K104" s="6" t="n">
        <v>10</v>
      </c>
      <c r="L104" s="4" t="s">
        <v>149</v>
      </c>
      <c r="M104" s="4" t="s">
        <v>617</v>
      </c>
    </row>
    <row r="105" customFormat="false" ht="42.75" hidden="false" customHeight="true" outlineLevel="0" collapsed="false">
      <c r="A105" s="3" t="s">
        <v>618</v>
      </c>
      <c r="B105" s="4" t="s">
        <v>619</v>
      </c>
      <c r="C105" s="3" t="s">
        <v>613</v>
      </c>
      <c r="D105" s="3" t="s">
        <v>193</v>
      </c>
      <c r="E105" s="3" t="s">
        <v>34</v>
      </c>
      <c r="F105" s="3" t="s">
        <v>620</v>
      </c>
      <c r="G105" s="9" t="s">
        <v>56</v>
      </c>
      <c r="H105" s="4" t="s">
        <v>621</v>
      </c>
      <c r="I105" s="4" t="s">
        <v>622</v>
      </c>
      <c r="J105" s="3" t="s">
        <v>105</v>
      </c>
      <c r="K105" s="6" t="n">
        <v>10</v>
      </c>
      <c r="L105" s="4" t="s">
        <v>623</v>
      </c>
      <c r="M105" s="4" t="s">
        <v>624</v>
      </c>
    </row>
    <row r="106" customFormat="false" ht="42.75" hidden="false" customHeight="true" outlineLevel="0" collapsed="false">
      <c r="A106" s="3" t="s">
        <v>625</v>
      </c>
      <c r="B106" s="4" t="s">
        <v>626</v>
      </c>
      <c r="C106" s="3" t="s">
        <v>613</v>
      </c>
      <c r="D106" s="3" t="s">
        <v>193</v>
      </c>
      <c r="E106" s="3" t="s">
        <v>34</v>
      </c>
      <c r="F106" s="3" t="s">
        <v>627</v>
      </c>
      <c r="G106" s="9" t="s">
        <v>56</v>
      </c>
      <c r="H106" s="4" t="s">
        <v>628</v>
      </c>
      <c r="I106" s="4" t="s">
        <v>629</v>
      </c>
      <c r="J106" s="3" t="s">
        <v>105</v>
      </c>
      <c r="K106" s="6" t="n">
        <v>8</v>
      </c>
      <c r="L106" s="4" t="s">
        <v>630</v>
      </c>
      <c r="M106" s="4" t="s">
        <v>617</v>
      </c>
    </row>
    <row r="107" customFormat="false" ht="55.5" hidden="false" customHeight="true" outlineLevel="0" collapsed="false">
      <c r="A107" s="3" t="s">
        <v>631</v>
      </c>
      <c r="B107" s="4" t="s">
        <v>632</v>
      </c>
      <c r="C107" s="3" t="s">
        <v>613</v>
      </c>
      <c r="D107" s="3" t="s">
        <v>193</v>
      </c>
      <c r="E107" s="3" t="s">
        <v>17</v>
      </c>
      <c r="F107" s="3" t="s">
        <v>633</v>
      </c>
      <c r="G107" s="8" t="s">
        <v>49</v>
      </c>
      <c r="H107" s="4" t="s">
        <v>634</v>
      </c>
      <c r="I107" s="4" t="s">
        <v>635</v>
      </c>
      <c r="J107" s="3" t="s">
        <v>105</v>
      </c>
      <c r="K107" s="6" t="n">
        <v>12</v>
      </c>
      <c r="L107" s="4" t="s">
        <v>149</v>
      </c>
      <c r="M107" s="4" t="s">
        <v>636</v>
      </c>
    </row>
    <row r="108" customFormat="false" ht="30" hidden="false" customHeight="true" outlineLevel="0" collapsed="false">
      <c r="A108" s="3" t="s">
        <v>637</v>
      </c>
      <c r="B108" s="4" t="s">
        <v>638</v>
      </c>
      <c r="C108" s="3" t="s">
        <v>613</v>
      </c>
      <c r="D108" s="3" t="s">
        <v>193</v>
      </c>
      <c r="E108" s="3" t="s">
        <v>34</v>
      </c>
      <c r="F108" s="3" t="s">
        <v>627</v>
      </c>
      <c r="G108" s="7" t="s">
        <v>27</v>
      </c>
      <c r="H108" s="4" t="s">
        <v>639</v>
      </c>
      <c r="I108" s="4" t="s">
        <v>640</v>
      </c>
      <c r="J108" s="3" t="s">
        <v>105</v>
      </c>
      <c r="K108" s="6" t="n">
        <v>8</v>
      </c>
      <c r="L108" s="4" t="s">
        <v>229</v>
      </c>
      <c r="M108" s="4" t="s">
        <v>380</v>
      </c>
    </row>
    <row r="109" customFormat="false" ht="30" hidden="false" customHeight="true" outlineLevel="0" collapsed="false">
      <c r="A109" s="3" t="s">
        <v>641</v>
      </c>
      <c r="B109" s="4" t="s">
        <v>642</v>
      </c>
      <c r="C109" s="3" t="s">
        <v>613</v>
      </c>
      <c r="D109" s="3" t="s">
        <v>193</v>
      </c>
      <c r="E109" s="3" t="s">
        <v>69</v>
      </c>
      <c r="F109" s="3" t="s">
        <v>89</v>
      </c>
      <c r="G109" s="7" t="s">
        <v>27</v>
      </c>
      <c r="H109" s="4" t="s">
        <v>643</v>
      </c>
      <c r="I109" s="4" t="s">
        <v>644</v>
      </c>
      <c r="J109" s="3" t="s">
        <v>73</v>
      </c>
      <c r="K109" s="6" t="n">
        <v>12</v>
      </c>
      <c r="L109" s="4" t="s">
        <v>645</v>
      </c>
      <c r="M109" s="4" t="s">
        <v>646</v>
      </c>
    </row>
    <row r="110" customFormat="false" ht="42.75" hidden="false" customHeight="true" outlineLevel="0" collapsed="false">
      <c r="A110" s="10" t="s">
        <v>647</v>
      </c>
      <c r="B110" s="11" t="s">
        <v>648</v>
      </c>
      <c r="C110" s="10" t="s">
        <v>649</v>
      </c>
      <c r="D110" s="10" t="s">
        <v>369</v>
      </c>
      <c r="E110" s="10" t="s">
        <v>34</v>
      </c>
      <c r="F110" s="10" t="s">
        <v>370</v>
      </c>
      <c r="G110" s="9" t="s">
        <v>56</v>
      </c>
      <c r="H110" s="11" t="s">
        <v>650</v>
      </c>
      <c r="I110" s="11" t="s">
        <v>651</v>
      </c>
      <c r="J110" s="10" t="s">
        <v>214</v>
      </c>
      <c r="K110" s="12" t="n">
        <v>8</v>
      </c>
      <c r="L110" s="11" t="s">
        <v>652</v>
      </c>
      <c r="M110" s="11" t="s">
        <v>653</v>
      </c>
    </row>
    <row r="111" customFormat="false" ht="42.75" hidden="false" customHeight="true" outlineLevel="0" collapsed="false">
      <c r="A111" s="10" t="s">
        <v>654</v>
      </c>
      <c r="B111" s="11" t="s">
        <v>655</v>
      </c>
      <c r="C111" s="10" t="s">
        <v>649</v>
      </c>
      <c r="D111" s="10" t="s">
        <v>369</v>
      </c>
      <c r="E111" s="10" t="s">
        <v>34</v>
      </c>
      <c r="F111" s="10" t="s">
        <v>370</v>
      </c>
      <c r="G111" s="9" t="s">
        <v>56</v>
      </c>
      <c r="H111" s="11" t="s">
        <v>656</v>
      </c>
      <c r="I111" s="11" t="s">
        <v>657</v>
      </c>
      <c r="J111" s="10" t="s">
        <v>105</v>
      </c>
      <c r="K111" s="12" t="n">
        <v>10</v>
      </c>
      <c r="L111" s="11" t="s">
        <v>652</v>
      </c>
      <c r="M111" s="11" t="s">
        <v>653</v>
      </c>
    </row>
    <row r="112" customFormat="false" ht="42.75" hidden="false" customHeight="true" outlineLevel="0" collapsed="false">
      <c r="A112" s="10" t="s">
        <v>658</v>
      </c>
      <c r="B112" s="11" t="s">
        <v>659</v>
      </c>
      <c r="C112" s="10" t="s">
        <v>649</v>
      </c>
      <c r="D112" s="10" t="s">
        <v>369</v>
      </c>
      <c r="E112" s="10" t="s">
        <v>34</v>
      </c>
      <c r="F112" s="10" t="s">
        <v>370</v>
      </c>
      <c r="G112" s="9" t="s">
        <v>56</v>
      </c>
      <c r="H112" s="11" t="s">
        <v>660</v>
      </c>
      <c r="I112" s="11" t="s">
        <v>661</v>
      </c>
      <c r="J112" s="10" t="s">
        <v>105</v>
      </c>
      <c r="K112" s="12" t="n">
        <v>10</v>
      </c>
      <c r="L112" s="11" t="s">
        <v>652</v>
      </c>
      <c r="M112" s="11" t="s">
        <v>653</v>
      </c>
    </row>
    <row r="113" customFormat="false" ht="55.5" hidden="false" customHeight="true" outlineLevel="0" collapsed="false">
      <c r="A113" s="10" t="s">
        <v>662</v>
      </c>
      <c r="B113" s="11" t="s">
        <v>663</v>
      </c>
      <c r="C113" s="10" t="s">
        <v>649</v>
      </c>
      <c r="D113" s="10" t="s">
        <v>369</v>
      </c>
      <c r="E113" s="10" t="s">
        <v>34</v>
      </c>
      <c r="F113" s="10" t="s">
        <v>664</v>
      </c>
      <c r="G113" s="8" t="s">
        <v>49</v>
      </c>
      <c r="H113" s="11" t="s">
        <v>665</v>
      </c>
      <c r="I113" s="11" t="s">
        <v>666</v>
      </c>
      <c r="J113" s="10" t="s">
        <v>105</v>
      </c>
      <c r="K113" s="12" t="n">
        <v>10</v>
      </c>
      <c r="L113" s="11" t="s">
        <v>667</v>
      </c>
      <c r="M113" s="11" t="s">
        <v>668</v>
      </c>
    </row>
    <row r="114" customFormat="false" ht="42.75" hidden="false" customHeight="true" outlineLevel="0" collapsed="false">
      <c r="A114" s="10" t="s">
        <v>669</v>
      </c>
      <c r="B114" s="11" t="s">
        <v>670</v>
      </c>
      <c r="C114" s="10" t="s">
        <v>649</v>
      </c>
      <c r="D114" s="10" t="s">
        <v>369</v>
      </c>
      <c r="E114" s="10" t="s">
        <v>34</v>
      </c>
      <c r="F114" s="10" t="s">
        <v>671</v>
      </c>
      <c r="G114" s="9" t="s">
        <v>56</v>
      </c>
      <c r="H114" s="11" t="s">
        <v>672</v>
      </c>
      <c r="I114" s="11" t="s">
        <v>673</v>
      </c>
      <c r="J114" s="10" t="s">
        <v>105</v>
      </c>
      <c r="K114" s="12" t="n">
        <v>8</v>
      </c>
      <c r="L114" s="11" t="s">
        <v>553</v>
      </c>
      <c r="M114" s="11" t="s">
        <v>674</v>
      </c>
    </row>
    <row r="115" customFormat="false" ht="30" hidden="false" customHeight="true" outlineLevel="0" collapsed="false">
      <c r="A115" s="10" t="s">
        <v>675</v>
      </c>
      <c r="B115" s="11" t="s">
        <v>676</v>
      </c>
      <c r="C115" s="10" t="s">
        <v>649</v>
      </c>
      <c r="D115" s="10" t="s">
        <v>369</v>
      </c>
      <c r="E115" s="10" t="s">
        <v>69</v>
      </c>
      <c r="F115" s="10" t="s">
        <v>89</v>
      </c>
      <c r="G115" s="7" t="s">
        <v>27</v>
      </c>
      <c r="H115" s="11" t="s">
        <v>677</v>
      </c>
      <c r="I115" s="11" t="s">
        <v>678</v>
      </c>
      <c r="J115" s="10" t="s">
        <v>73</v>
      </c>
      <c r="K115" s="12" t="n">
        <v>12</v>
      </c>
      <c r="L115" s="11" t="s">
        <v>679</v>
      </c>
      <c r="M115" s="11" t="s">
        <v>653</v>
      </c>
    </row>
    <row r="116" customFormat="false" ht="42.75" hidden="false" customHeight="true" outlineLevel="0" collapsed="false">
      <c r="A116" s="3" t="s">
        <v>680</v>
      </c>
      <c r="B116" s="4" t="s">
        <v>681</v>
      </c>
      <c r="C116" s="3" t="s">
        <v>682</v>
      </c>
      <c r="D116" s="3" t="s">
        <v>33</v>
      </c>
      <c r="E116" s="3" t="s">
        <v>42</v>
      </c>
      <c r="F116" s="3" t="s">
        <v>683</v>
      </c>
      <c r="G116" s="8" t="s">
        <v>49</v>
      </c>
      <c r="H116" s="4" t="s">
        <v>684</v>
      </c>
      <c r="I116" s="4" t="s">
        <v>685</v>
      </c>
      <c r="J116" s="3" t="s">
        <v>105</v>
      </c>
      <c r="K116" s="6" t="n">
        <v>12</v>
      </c>
      <c r="L116" s="4" t="s">
        <v>686</v>
      </c>
      <c r="M116" s="4" t="s">
        <v>687</v>
      </c>
    </row>
    <row r="117" customFormat="false" ht="30" hidden="false" customHeight="true" outlineLevel="0" collapsed="false">
      <c r="A117" s="3" t="s">
        <v>688</v>
      </c>
      <c r="B117" s="4" t="s">
        <v>689</v>
      </c>
      <c r="C117" s="3" t="s">
        <v>682</v>
      </c>
      <c r="D117" s="3" t="s">
        <v>33</v>
      </c>
      <c r="E117" s="3" t="s">
        <v>42</v>
      </c>
      <c r="F117" s="3" t="s">
        <v>683</v>
      </c>
      <c r="G117" s="8" t="s">
        <v>49</v>
      </c>
      <c r="H117" s="4" t="s">
        <v>690</v>
      </c>
      <c r="I117" s="4" t="s">
        <v>691</v>
      </c>
      <c r="J117" s="3" t="s">
        <v>105</v>
      </c>
      <c r="K117" s="6" t="n">
        <v>12</v>
      </c>
      <c r="L117" s="4" t="s">
        <v>692</v>
      </c>
      <c r="M117" s="4" t="s">
        <v>693</v>
      </c>
    </row>
    <row r="118" customFormat="false" ht="30" hidden="false" customHeight="true" outlineLevel="0" collapsed="false">
      <c r="A118" s="3" t="s">
        <v>694</v>
      </c>
      <c r="B118" s="4" t="s">
        <v>695</v>
      </c>
      <c r="C118" s="3" t="s">
        <v>682</v>
      </c>
      <c r="D118" s="3" t="s">
        <v>33</v>
      </c>
      <c r="E118" s="3" t="s">
        <v>34</v>
      </c>
      <c r="F118" s="3" t="s">
        <v>696</v>
      </c>
      <c r="G118" s="9" t="s">
        <v>56</v>
      </c>
      <c r="H118" s="4" t="s">
        <v>697</v>
      </c>
      <c r="I118" s="4" t="s">
        <v>698</v>
      </c>
      <c r="J118" s="3" t="s">
        <v>105</v>
      </c>
      <c r="K118" s="6" t="n">
        <v>8</v>
      </c>
      <c r="L118" s="4" t="s">
        <v>699</v>
      </c>
      <c r="M118" s="4" t="s">
        <v>700</v>
      </c>
    </row>
    <row r="119" customFormat="false" ht="42.75" hidden="false" customHeight="true" outlineLevel="0" collapsed="false">
      <c r="A119" s="3" t="s">
        <v>701</v>
      </c>
      <c r="B119" s="4" t="s">
        <v>702</v>
      </c>
      <c r="C119" s="3" t="s">
        <v>682</v>
      </c>
      <c r="D119" s="3" t="s">
        <v>33</v>
      </c>
      <c r="E119" s="3" t="s">
        <v>410</v>
      </c>
      <c r="F119" s="3" t="s">
        <v>703</v>
      </c>
      <c r="G119" s="8" t="s">
        <v>49</v>
      </c>
      <c r="H119" s="4" t="s">
        <v>704</v>
      </c>
      <c r="I119" s="4" t="s">
        <v>705</v>
      </c>
      <c r="J119" s="3" t="s">
        <v>105</v>
      </c>
      <c r="K119" s="6" t="n">
        <v>10</v>
      </c>
      <c r="L119" s="4" t="s">
        <v>699</v>
      </c>
      <c r="M119" s="4" t="s">
        <v>706</v>
      </c>
    </row>
    <row r="120" customFormat="false" ht="30" hidden="false" customHeight="true" outlineLevel="0" collapsed="false">
      <c r="A120" s="3" t="s">
        <v>707</v>
      </c>
      <c r="B120" s="4" t="s">
        <v>708</v>
      </c>
      <c r="C120" s="3" t="s">
        <v>682</v>
      </c>
      <c r="D120" s="3" t="s">
        <v>33</v>
      </c>
      <c r="E120" s="3" t="s">
        <v>42</v>
      </c>
      <c r="F120" s="3" t="s">
        <v>709</v>
      </c>
      <c r="G120" s="8" t="s">
        <v>49</v>
      </c>
      <c r="H120" s="4" t="s">
        <v>710</v>
      </c>
      <c r="I120" s="4" t="s">
        <v>711</v>
      </c>
      <c r="J120" s="3" t="s">
        <v>105</v>
      </c>
      <c r="K120" s="6" t="n">
        <v>10</v>
      </c>
      <c r="L120" s="4" t="s">
        <v>699</v>
      </c>
      <c r="M120" s="4" t="s">
        <v>712</v>
      </c>
    </row>
    <row r="121" customFormat="false" ht="30" hidden="false" customHeight="true" outlineLevel="0" collapsed="false">
      <c r="A121" s="3" t="s">
        <v>713</v>
      </c>
      <c r="B121" s="4" t="s">
        <v>714</v>
      </c>
      <c r="C121" s="3" t="s">
        <v>682</v>
      </c>
      <c r="D121" s="3" t="s">
        <v>33</v>
      </c>
      <c r="E121" s="3" t="s">
        <v>69</v>
      </c>
      <c r="F121" s="3" t="s">
        <v>89</v>
      </c>
      <c r="G121" s="8" t="s">
        <v>49</v>
      </c>
      <c r="H121" s="4" t="s">
        <v>715</v>
      </c>
      <c r="I121" s="4" t="s">
        <v>716</v>
      </c>
      <c r="J121" s="3" t="s">
        <v>73</v>
      </c>
      <c r="K121" s="6" t="n">
        <v>8</v>
      </c>
      <c r="L121" s="4" t="s">
        <v>717</v>
      </c>
      <c r="M121" s="4" t="s">
        <v>712</v>
      </c>
    </row>
    <row r="122" customFormat="false" ht="30" hidden="false" customHeight="true" outlineLevel="0" collapsed="false">
      <c r="A122" s="10" t="s">
        <v>718</v>
      </c>
      <c r="B122" s="11" t="s">
        <v>719</v>
      </c>
      <c r="C122" s="10" t="s">
        <v>720</v>
      </c>
      <c r="D122" s="10" t="s">
        <v>33</v>
      </c>
      <c r="E122" s="10" t="s">
        <v>69</v>
      </c>
      <c r="F122" s="10" t="s">
        <v>721</v>
      </c>
      <c r="G122" s="9" t="s">
        <v>56</v>
      </c>
      <c r="H122" s="11" t="s">
        <v>722</v>
      </c>
      <c r="I122" s="11" t="s">
        <v>723</v>
      </c>
      <c r="J122" s="10" t="s">
        <v>73</v>
      </c>
      <c r="K122" s="12" t="n">
        <v>8</v>
      </c>
      <c r="L122" s="11" t="s">
        <v>724</v>
      </c>
      <c r="M122" s="11" t="s">
        <v>712</v>
      </c>
    </row>
    <row r="123" customFormat="false" ht="42.75" hidden="false" customHeight="true" outlineLevel="0" collapsed="false">
      <c r="A123" s="10" t="s">
        <v>725</v>
      </c>
      <c r="B123" s="11" t="s">
        <v>726</v>
      </c>
      <c r="C123" s="10" t="s">
        <v>720</v>
      </c>
      <c r="D123" s="10" t="s">
        <v>33</v>
      </c>
      <c r="E123" s="10" t="s">
        <v>69</v>
      </c>
      <c r="F123" s="10" t="s">
        <v>727</v>
      </c>
      <c r="G123" s="9" t="s">
        <v>56</v>
      </c>
      <c r="H123" s="11" t="s">
        <v>728</v>
      </c>
      <c r="I123" s="11" t="s">
        <v>729</v>
      </c>
      <c r="J123" s="10" t="s">
        <v>73</v>
      </c>
      <c r="K123" s="12" t="n">
        <v>8</v>
      </c>
      <c r="L123" s="11" t="s">
        <v>724</v>
      </c>
      <c r="M123" s="11" t="s">
        <v>730</v>
      </c>
    </row>
    <row r="124" customFormat="false" ht="30" hidden="false" customHeight="true" outlineLevel="0" collapsed="false">
      <c r="A124" s="10" t="s">
        <v>731</v>
      </c>
      <c r="B124" s="11" t="s">
        <v>732</v>
      </c>
      <c r="C124" s="10" t="s">
        <v>720</v>
      </c>
      <c r="D124" s="10" t="s">
        <v>33</v>
      </c>
      <c r="E124" s="10" t="s">
        <v>42</v>
      </c>
      <c r="F124" s="10" t="s">
        <v>733</v>
      </c>
      <c r="G124" s="8" t="s">
        <v>49</v>
      </c>
      <c r="H124" s="11" t="s">
        <v>734</v>
      </c>
      <c r="I124" s="11" t="s">
        <v>735</v>
      </c>
      <c r="J124" s="10" t="s">
        <v>105</v>
      </c>
      <c r="K124" s="12" t="n">
        <v>10</v>
      </c>
      <c r="L124" s="11" t="s">
        <v>736</v>
      </c>
      <c r="M124" s="11" t="s">
        <v>737</v>
      </c>
    </row>
    <row r="125" customFormat="false" ht="42.75" hidden="false" customHeight="true" outlineLevel="0" collapsed="false">
      <c r="A125" s="10" t="s">
        <v>738</v>
      </c>
      <c r="B125" s="11" t="s">
        <v>739</v>
      </c>
      <c r="C125" s="10" t="s">
        <v>720</v>
      </c>
      <c r="D125" s="10" t="s">
        <v>33</v>
      </c>
      <c r="E125" s="10" t="s">
        <v>42</v>
      </c>
      <c r="F125" s="10" t="s">
        <v>740</v>
      </c>
      <c r="G125" s="9" t="s">
        <v>56</v>
      </c>
      <c r="H125" s="11" t="s">
        <v>741</v>
      </c>
      <c r="I125" s="11" t="s">
        <v>742</v>
      </c>
      <c r="J125" s="10" t="s">
        <v>105</v>
      </c>
      <c r="K125" s="12" t="n">
        <v>8</v>
      </c>
      <c r="L125" s="11" t="s">
        <v>743</v>
      </c>
      <c r="M125" s="11" t="s">
        <v>744</v>
      </c>
    </row>
    <row r="126" customFormat="false" ht="30" hidden="false" customHeight="true" outlineLevel="0" collapsed="false">
      <c r="A126" s="10" t="s">
        <v>745</v>
      </c>
      <c r="B126" s="11" t="s">
        <v>746</v>
      </c>
      <c r="C126" s="10" t="s">
        <v>720</v>
      </c>
      <c r="D126" s="10" t="s">
        <v>33</v>
      </c>
      <c r="E126" s="10" t="s">
        <v>34</v>
      </c>
      <c r="F126" s="10" t="s">
        <v>747</v>
      </c>
      <c r="G126" s="9" t="s">
        <v>56</v>
      </c>
      <c r="H126" s="11" t="s">
        <v>748</v>
      </c>
      <c r="I126" s="11" t="s">
        <v>749</v>
      </c>
      <c r="J126" s="10" t="s">
        <v>105</v>
      </c>
      <c r="K126" s="12" t="n">
        <v>8</v>
      </c>
      <c r="L126" s="11" t="s">
        <v>686</v>
      </c>
      <c r="M126" s="11" t="s">
        <v>750</v>
      </c>
    </row>
    <row r="127" customFormat="false" ht="30" hidden="false" customHeight="true" outlineLevel="0" collapsed="false">
      <c r="A127" s="10" t="s">
        <v>751</v>
      </c>
      <c r="B127" s="11" t="s">
        <v>752</v>
      </c>
      <c r="C127" s="10" t="s">
        <v>720</v>
      </c>
      <c r="D127" s="10" t="s">
        <v>33</v>
      </c>
      <c r="E127" s="10" t="s">
        <v>69</v>
      </c>
      <c r="F127" s="10" t="s">
        <v>89</v>
      </c>
      <c r="G127" s="7" t="s">
        <v>27</v>
      </c>
      <c r="H127" s="11" t="s">
        <v>753</v>
      </c>
      <c r="I127" s="11" t="s">
        <v>754</v>
      </c>
      <c r="J127" s="10" t="s">
        <v>73</v>
      </c>
      <c r="K127" s="12" t="n">
        <v>10</v>
      </c>
      <c r="L127" s="11" t="s">
        <v>755</v>
      </c>
      <c r="M127" s="11" t="s">
        <v>712</v>
      </c>
    </row>
    <row r="128" customFormat="false" ht="42.75" hidden="false" customHeight="true" outlineLevel="0" collapsed="false">
      <c r="A128" s="3" t="s">
        <v>756</v>
      </c>
      <c r="B128" s="4" t="s">
        <v>757</v>
      </c>
      <c r="C128" s="3" t="s">
        <v>758</v>
      </c>
      <c r="D128" s="3" t="s">
        <v>269</v>
      </c>
      <c r="E128" s="3" t="s">
        <v>34</v>
      </c>
      <c r="F128" s="3" t="s">
        <v>759</v>
      </c>
      <c r="G128" s="8" t="s">
        <v>49</v>
      </c>
      <c r="H128" s="4" t="s">
        <v>760</v>
      </c>
      <c r="I128" s="4" t="s">
        <v>761</v>
      </c>
      <c r="J128" s="3" t="s">
        <v>105</v>
      </c>
      <c r="K128" s="6" t="n">
        <v>10</v>
      </c>
      <c r="L128" s="4" t="s">
        <v>762</v>
      </c>
      <c r="M128" s="4" t="s">
        <v>617</v>
      </c>
    </row>
    <row r="129" customFormat="false" ht="30" hidden="false" customHeight="true" outlineLevel="0" collapsed="false">
      <c r="A129" s="3" t="s">
        <v>763</v>
      </c>
      <c r="B129" s="4" t="s">
        <v>764</v>
      </c>
      <c r="C129" s="3" t="s">
        <v>758</v>
      </c>
      <c r="D129" s="3" t="s">
        <v>269</v>
      </c>
      <c r="E129" s="3" t="s">
        <v>34</v>
      </c>
      <c r="F129" s="3" t="s">
        <v>597</v>
      </c>
      <c r="G129" s="9" t="s">
        <v>56</v>
      </c>
      <c r="H129" s="4" t="s">
        <v>765</v>
      </c>
      <c r="I129" s="4" t="s">
        <v>766</v>
      </c>
      <c r="J129" s="3" t="s">
        <v>105</v>
      </c>
      <c r="K129" s="6" t="n">
        <v>8</v>
      </c>
      <c r="L129" s="4" t="s">
        <v>767</v>
      </c>
      <c r="M129" s="4" t="s">
        <v>768</v>
      </c>
    </row>
    <row r="130" customFormat="false" ht="42.75" hidden="false" customHeight="true" outlineLevel="0" collapsed="false">
      <c r="A130" s="3" t="s">
        <v>769</v>
      </c>
      <c r="B130" s="4" t="s">
        <v>770</v>
      </c>
      <c r="C130" s="3" t="s">
        <v>758</v>
      </c>
      <c r="D130" s="3" t="s">
        <v>269</v>
      </c>
      <c r="E130" s="3" t="s">
        <v>34</v>
      </c>
      <c r="F130" s="3" t="s">
        <v>771</v>
      </c>
      <c r="G130" s="9" t="s">
        <v>56</v>
      </c>
      <c r="H130" s="4" t="s">
        <v>772</v>
      </c>
      <c r="I130" s="4" t="s">
        <v>773</v>
      </c>
      <c r="J130" s="3" t="s">
        <v>105</v>
      </c>
      <c r="K130" s="6" t="n">
        <v>10</v>
      </c>
      <c r="L130" s="4" t="s">
        <v>774</v>
      </c>
      <c r="M130" s="4" t="s">
        <v>775</v>
      </c>
    </row>
    <row r="131" customFormat="false" ht="30" hidden="false" customHeight="true" outlineLevel="0" collapsed="false">
      <c r="A131" s="3" t="s">
        <v>776</v>
      </c>
      <c r="B131" s="4" t="s">
        <v>777</v>
      </c>
      <c r="C131" s="3" t="s">
        <v>758</v>
      </c>
      <c r="D131" s="3" t="s">
        <v>269</v>
      </c>
      <c r="E131" s="3" t="s">
        <v>54</v>
      </c>
      <c r="F131" s="3" t="s">
        <v>778</v>
      </c>
      <c r="G131" s="7" t="s">
        <v>27</v>
      </c>
      <c r="H131" s="4" t="s">
        <v>779</v>
      </c>
      <c r="I131" s="4" t="s">
        <v>780</v>
      </c>
      <c r="J131" s="3" t="s">
        <v>105</v>
      </c>
      <c r="K131" s="6" t="n">
        <v>8</v>
      </c>
      <c r="L131" s="4" t="s">
        <v>781</v>
      </c>
      <c r="M131" s="4" t="s">
        <v>775</v>
      </c>
    </row>
    <row r="132" customFormat="false" ht="42.75" hidden="false" customHeight="true" outlineLevel="0" collapsed="false">
      <c r="A132" s="3" t="s">
        <v>782</v>
      </c>
      <c r="B132" s="4" t="s">
        <v>783</v>
      </c>
      <c r="C132" s="3" t="s">
        <v>758</v>
      </c>
      <c r="D132" s="3" t="s">
        <v>269</v>
      </c>
      <c r="E132" s="3" t="s">
        <v>54</v>
      </c>
      <c r="F132" s="3" t="s">
        <v>784</v>
      </c>
      <c r="G132" s="8" t="s">
        <v>49</v>
      </c>
      <c r="H132" s="4" t="s">
        <v>785</v>
      </c>
      <c r="I132" s="4" t="s">
        <v>786</v>
      </c>
      <c r="J132" s="3" t="s">
        <v>105</v>
      </c>
      <c r="K132" s="6" t="n">
        <v>10</v>
      </c>
      <c r="L132" s="4" t="s">
        <v>149</v>
      </c>
      <c r="M132" s="4" t="s">
        <v>787</v>
      </c>
    </row>
    <row r="133" customFormat="false" ht="30" hidden="false" customHeight="true" outlineLevel="0" collapsed="false">
      <c r="A133" s="3" t="s">
        <v>788</v>
      </c>
      <c r="B133" s="4" t="s">
        <v>789</v>
      </c>
      <c r="C133" s="3" t="s">
        <v>758</v>
      </c>
      <c r="D133" s="3" t="s">
        <v>269</v>
      </c>
      <c r="E133" s="3" t="s">
        <v>69</v>
      </c>
      <c r="F133" s="3" t="s">
        <v>89</v>
      </c>
      <c r="G133" s="7" t="s">
        <v>27</v>
      </c>
      <c r="H133" s="4" t="s">
        <v>790</v>
      </c>
      <c r="I133" s="4" t="s">
        <v>791</v>
      </c>
      <c r="J133" s="3" t="s">
        <v>73</v>
      </c>
      <c r="K133" s="6" t="n">
        <v>10</v>
      </c>
      <c r="L133" s="4" t="s">
        <v>792</v>
      </c>
      <c r="M133" s="4" t="s">
        <v>793</v>
      </c>
    </row>
    <row r="134" customFormat="false" ht="42.75" hidden="false" customHeight="true" outlineLevel="0" collapsed="false">
      <c r="A134" s="10" t="s">
        <v>794</v>
      </c>
      <c r="B134" s="11" t="s">
        <v>795</v>
      </c>
      <c r="C134" s="10" t="s">
        <v>796</v>
      </c>
      <c r="D134" s="10" t="s">
        <v>35</v>
      </c>
      <c r="E134" s="10" t="s">
        <v>35</v>
      </c>
      <c r="F134" s="10" t="s">
        <v>502</v>
      </c>
      <c r="G134" s="8" t="s">
        <v>49</v>
      </c>
      <c r="H134" s="11" t="s">
        <v>797</v>
      </c>
      <c r="I134" s="11" t="s">
        <v>798</v>
      </c>
      <c r="J134" s="10" t="s">
        <v>38</v>
      </c>
      <c r="K134" s="12" t="n">
        <v>10</v>
      </c>
      <c r="L134" s="11" t="s">
        <v>799</v>
      </c>
      <c r="M134" s="11" t="s">
        <v>800</v>
      </c>
    </row>
    <row r="135" customFormat="false" ht="42.75" hidden="false" customHeight="true" outlineLevel="0" collapsed="false">
      <c r="A135" s="10" t="s">
        <v>801</v>
      </c>
      <c r="B135" s="11" t="s">
        <v>802</v>
      </c>
      <c r="C135" s="10" t="s">
        <v>796</v>
      </c>
      <c r="D135" s="10" t="s">
        <v>35</v>
      </c>
      <c r="E135" s="10" t="s">
        <v>83</v>
      </c>
      <c r="F135" s="10" t="s">
        <v>502</v>
      </c>
      <c r="G135" s="9" t="s">
        <v>56</v>
      </c>
      <c r="H135" s="11" t="s">
        <v>803</v>
      </c>
      <c r="I135" s="11" t="s">
        <v>804</v>
      </c>
      <c r="J135" s="10" t="s">
        <v>105</v>
      </c>
      <c r="K135" s="12" t="n">
        <v>8</v>
      </c>
      <c r="L135" s="11" t="s">
        <v>805</v>
      </c>
      <c r="M135" s="11" t="s">
        <v>800</v>
      </c>
    </row>
    <row r="136" customFormat="false" ht="42.75" hidden="false" customHeight="true" outlineLevel="0" collapsed="false">
      <c r="A136" s="10" t="s">
        <v>806</v>
      </c>
      <c r="B136" s="11" t="s">
        <v>807</v>
      </c>
      <c r="C136" s="10" t="s">
        <v>796</v>
      </c>
      <c r="D136" s="10" t="s">
        <v>35</v>
      </c>
      <c r="E136" s="10" t="s">
        <v>34</v>
      </c>
      <c r="F136" s="10" t="s">
        <v>808</v>
      </c>
      <c r="G136" s="9" t="s">
        <v>56</v>
      </c>
      <c r="H136" s="11" t="s">
        <v>809</v>
      </c>
      <c r="I136" s="11" t="s">
        <v>810</v>
      </c>
      <c r="J136" s="10" t="s">
        <v>105</v>
      </c>
      <c r="K136" s="12" t="n">
        <v>10</v>
      </c>
      <c r="L136" s="11" t="s">
        <v>23</v>
      </c>
      <c r="M136" s="11" t="s">
        <v>811</v>
      </c>
    </row>
    <row r="137" customFormat="false" ht="55.5" hidden="false" customHeight="true" outlineLevel="0" collapsed="false">
      <c r="A137" s="10" t="s">
        <v>812</v>
      </c>
      <c r="B137" s="11" t="s">
        <v>813</v>
      </c>
      <c r="C137" s="10" t="s">
        <v>796</v>
      </c>
      <c r="D137" s="10" t="s">
        <v>35</v>
      </c>
      <c r="E137" s="10" t="s">
        <v>83</v>
      </c>
      <c r="F137" s="10" t="s">
        <v>814</v>
      </c>
      <c r="G137" s="9" t="s">
        <v>56</v>
      </c>
      <c r="H137" s="11" t="s">
        <v>815</v>
      </c>
      <c r="I137" s="11" t="s">
        <v>816</v>
      </c>
      <c r="J137" s="10" t="s">
        <v>105</v>
      </c>
      <c r="K137" s="12" t="n">
        <v>8</v>
      </c>
      <c r="L137" s="11" t="s">
        <v>23</v>
      </c>
      <c r="M137" s="11" t="s">
        <v>817</v>
      </c>
    </row>
    <row r="138" customFormat="false" ht="42.75" hidden="false" customHeight="true" outlineLevel="0" collapsed="false">
      <c r="A138" s="10" t="s">
        <v>818</v>
      </c>
      <c r="B138" s="11" t="s">
        <v>819</v>
      </c>
      <c r="C138" s="10" t="s">
        <v>796</v>
      </c>
      <c r="D138" s="10" t="s">
        <v>35</v>
      </c>
      <c r="E138" s="10" t="s">
        <v>34</v>
      </c>
      <c r="F138" s="10" t="s">
        <v>820</v>
      </c>
      <c r="G138" s="9" t="s">
        <v>56</v>
      </c>
      <c r="H138" s="11" t="s">
        <v>821</v>
      </c>
      <c r="I138" s="11" t="s">
        <v>822</v>
      </c>
      <c r="J138" s="10" t="s">
        <v>105</v>
      </c>
      <c r="K138" s="12" t="n">
        <v>6</v>
      </c>
      <c r="L138" s="11" t="s">
        <v>823</v>
      </c>
      <c r="M138" s="11" t="s">
        <v>824</v>
      </c>
    </row>
    <row r="139" customFormat="false" ht="42.75" hidden="false" customHeight="true" outlineLevel="0" collapsed="false">
      <c r="A139" s="10" t="s">
        <v>825</v>
      </c>
      <c r="B139" s="11" t="s">
        <v>826</v>
      </c>
      <c r="C139" s="10" t="s">
        <v>796</v>
      </c>
      <c r="D139" s="10" t="s">
        <v>35</v>
      </c>
      <c r="E139" s="10" t="s">
        <v>69</v>
      </c>
      <c r="F139" s="10" t="s">
        <v>562</v>
      </c>
      <c r="G139" s="8" t="s">
        <v>49</v>
      </c>
      <c r="H139" s="11" t="s">
        <v>827</v>
      </c>
      <c r="I139" s="11" t="s">
        <v>828</v>
      </c>
      <c r="J139" s="10" t="s">
        <v>73</v>
      </c>
      <c r="K139" s="12" t="n">
        <v>8</v>
      </c>
      <c r="L139" s="11" t="s">
        <v>565</v>
      </c>
      <c r="M139" s="11" t="s">
        <v>537</v>
      </c>
    </row>
  </sheetData>
  <autoFilter ref="A1:M13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3" min="2" style="1" width="26"/>
    <col collapsed="false" customWidth="true" hidden="false" outlineLevel="0" max="4" min="4" style="1" width="52"/>
    <col collapsed="false" customWidth="true" hidden="false" outlineLevel="0" max="5" min="5" style="1" width="9"/>
    <col collapsed="false" customWidth="true" hidden="false" outlineLevel="0" max="6" min="6" style="1" width="11"/>
    <col collapsed="false" customWidth="true" hidden="false" outlineLevel="0" max="7" min="7" style="1" width="30"/>
  </cols>
  <sheetData>
    <row r="1" customFormat="false" ht="30" hidden="false" customHeight="true" outlineLevel="0" collapsed="false">
      <c r="A1" s="2" t="s">
        <v>2</v>
      </c>
      <c r="B1" s="2" t="s">
        <v>829</v>
      </c>
      <c r="C1" s="2" t="s">
        <v>830</v>
      </c>
      <c r="D1" s="2" t="s">
        <v>831</v>
      </c>
      <c r="E1" s="2" t="s">
        <v>832</v>
      </c>
      <c r="F1" s="2" t="s">
        <v>10</v>
      </c>
      <c r="G1" s="2" t="s">
        <v>833</v>
      </c>
    </row>
    <row r="2" customFormat="false" ht="55.5" hidden="false" customHeight="true" outlineLevel="0" collapsed="false">
      <c r="A2" s="14" t="s">
        <v>15</v>
      </c>
      <c r="B2" s="15" t="s">
        <v>834</v>
      </c>
      <c r="C2" s="15" t="s">
        <v>835</v>
      </c>
      <c r="D2" s="15" t="s">
        <v>836</v>
      </c>
      <c r="E2" s="16" t="n">
        <f aca="false">COUNTIF(Roadmap!C:C,"P01 · Critical Fixes &amp; Production-Safety Baseline")</f>
        <v>12</v>
      </c>
      <c r="F2" s="16" t="n">
        <f aca="false">SUMIF(Roadmap!C:C,"P01 · Critical Fixes &amp; Production-Safety Baseline",Roadmap!K:K)</f>
        <v>45</v>
      </c>
      <c r="G2" s="15" t="s">
        <v>837</v>
      </c>
    </row>
    <row r="3" customFormat="false" ht="69" hidden="false" customHeight="true" outlineLevel="0" collapsed="false">
      <c r="A3" s="14" t="s">
        <v>101</v>
      </c>
      <c r="B3" s="15" t="s">
        <v>838</v>
      </c>
      <c r="C3" s="15" t="s">
        <v>839</v>
      </c>
      <c r="D3" s="15" t="s">
        <v>840</v>
      </c>
      <c r="E3" s="16" t="n">
        <f aca="false">COUNTIF(Roadmap!C:C,"P02 · Realism Demo Dataset Through the HMI")</f>
        <v>7</v>
      </c>
      <c r="F3" s="16" t="n">
        <f aca="false">SUMIF(Roadmap!C:C,"P02 · Realism Demo Dataset Through the HMI",Roadmap!K:K)</f>
        <v>51</v>
      </c>
      <c r="G3" s="15" t="s">
        <v>107</v>
      </c>
    </row>
    <row r="4" customFormat="false" ht="69" hidden="false" customHeight="true" outlineLevel="0" collapsed="false">
      <c r="A4" s="14" t="s">
        <v>145</v>
      </c>
      <c r="B4" s="15" t="s">
        <v>841</v>
      </c>
      <c r="C4" s="15" t="s">
        <v>842</v>
      </c>
      <c r="D4" s="15" t="s">
        <v>843</v>
      </c>
      <c r="E4" s="16" t="n">
        <f aca="false">COUNTIF(Roadmap!C:C,"P03 · Gate-Exit Certification Tests")</f>
        <v>9</v>
      </c>
      <c r="F4" s="16" t="n">
        <f aca="false">SUMIF(Roadmap!C:C,"P03 · Gate-Exit Certification Tests",Roadmap!K:K)</f>
        <v>49</v>
      </c>
      <c r="G4" s="15" t="s">
        <v>844</v>
      </c>
    </row>
    <row r="5" customFormat="false" ht="55.5" hidden="false" customHeight="true" outlineLevel="0" collapsed="false">
      <c r="A5" s="14" t="s">
        <v>192</v>
      </c>
      <c r="B5" s="15" t="s">
        <v>845</v>
      </c>
      <c r="C5" s="15" t="s">
        <v>846</v>
      </c>
      <c r="D5" s="15" t="s">
        <v>847</v>
      </c>
      <c r="E5" s="16" t="n">
        <f aca="false">COUNTIF(Roadmap!C:C,"P04 · Mapping Health &amp; Schema-Drift Full Loop")</f>
        <v>7</v>
      </c>
      <c r="F5" s="16" t="n">
        <f aca="false">SUMIF(Roadmap!C:C,"P04 · Mapping Health &amp; Schema-Drift Full Loop",Roadmap!K:K)</f>
        <v>47</v>
      </c>
      <c r="G5" s="15" t="s">
        <v>107</v>
      </c>
    </row>
    <row r="6" customFormat="false" ht="55.5" hidden="false" customHeight="true" outlineLevel="0" collapsed="false">
      <c r="A6" s="14" t="s">
        <v>233</v>
      </c>
      <c r="B6" s="15" t="s">
        <v>848</v>
      </c>
      <c r="C6" s="15" t="s">
        <v>54</v>
      </c>
      <c r="D6" s="15" t="s">
        <v>849</v>
      </c>
      <c r="E6" s="16" t="n">
        <f aca="false">COUNTIF(Roadmap!C:C,"P05 · Frontend Hygiene &amp; God-File Refactor")</f>
        <v>6</v>
      </c>
      <c r="F6" s="16" t="n">
        <f aca="false">SUMIF(Roadmap!C:C,"P05 · Frontend Hygiene &amp; God-File Refactor",Roadmap!K:K)</f>
        <v>47</v>
      </c>
      <c r="G6" s="15" t="s">
        <v>850</v>
      </c>
    </row>
    <row r="7" customFormat="false" ht="55.5" hidden="false" customHeight="true" outlineLevel="0" collapsed="false">
      <c r="A7" s="14" t="s">
        <v>268</v>
      </c>
      <c r="B7" s="15" t="s">
        <v>851</v>
      </c>
      <c r="C7" s="15" t="s">
        <v>54</v>
      </c>
      <c r="D7" s="15" t="s">
        <v>852</v>
      </c>
      <c r="E7" s="16" t="n">
        <f aca="false">COUNTIF(Roadmap!C:C,"P06 · WCAG 2.1 AA + Light Theme")</f>
        <v>6</v>
      </c>
      <c r="F7" s="16" t="n">
        <f aca="false">SUMIF(Roadmap!C:C,"P06 · WCAG 2.1 AA + Light Theme",Roadmap!K:K)</f>
        <v>52</v>
      </c>
      <c r="G7" s="15" t="s">
        <v>171</v>
      </c>
    </row>
    <row r="8" customFormat="false" ht="55.5" hidden="false" customHeight="true" outlineLevel="0" collapsed="false">
      <c r="A8" s="14" t="s">
        <v>301</v>
      </c>
      <c r="B8" s="15" t="s">
        <v>269</v>
      </c>
      <c r="C8" s="15" t="s">
        <v>54</v>
      </c>
      <c r="D8" s="15" t="s">
        <v>853</v>
      </c>
      <c r="E8" s="16" t="n">
        <f aca="false">COUNTIF(Roadmap!C:C,"P07 · Internationalization + Arabic RTL")</f>
        <v>6</v>
      </c>
      <c r="F8" s="16" t="n">
        <f aca="false">SUMIF(Roadmap!C:C,"P07 · Internationalization + Arabic RTL",Roadmap!K:K)</f>
        <v>56</v>
      </c>
      <c r="G8" s="15" t="s">
        <v>306</v>
      </c>
    </row>
    <row r="9" customFormat="false" ht="55.5" hidden="false" customHeight="true" outlineLevel="0" collapsed="false">
      <c r="A9" s="14" t="s">
        <v>335</v>
      </c>
      <c r="B9" s="15" t="s">
        <v>848</v>
      </c>
      <c r="C9" s="15" t="s">
        <v>34</v>
      </c>
      <c r="D9" s="15" t="s">
        <v>854</v>
      </c>
      <c r="E9" s="16" t="n">
        <f aca="false">COUNTIF(Roadmap!C:C,"P08 · Backend God-File Refactor &amp; API Hygiene")</f>
        <v>6</v>
      </c>
      <c r="F9" s="16" t="n">
        <f aca="false">SUMIF(Roadmap!C:C,"P08 · Backend God-File Refactor &amp; API Hygiene",Roadmap!K:K)</f>
        <v>45</v>
      </c>
      <c r="G9" s="15" t="s">
        <v>340</v>
      </c>
    </row>
    <row r="10" customFormat="false" ht="55.5" hidden="false" customHeight="true" outlineLevel="0" collapsed="false">
      <c r="A10" s="14" t="s">
        <v>368</v>
      </c>
      <c r="B10" s="15" t="s">
        <v>855</v>
      </c>
      <c r="C10" s="15" t="s">
        <v>846</v>
      </c>
      <c r="D10" s="15" t="s">
        <v>856</v>
      </c>
      <c r="E10" s="16" t="n">
        <f aca="false">COUNTIF(Roadmap!C:C,"P09 · Process Historian Connector (one GA)")</f>
        <v>6</v>
      </c>
      <c r="F10" s="16" t="n">
        <f aca="false">SUMIF(Roadmap!C:C,"P09 · Process Historian Connector (one GA)",Roadmap!K:K)</f>
        <v>54</v>
      </c>
      <c r="G10" s="15" t="s">
        <v>374</v>
      </c>
    </row>
    <row r="11" customFormat="false" ht="55.5" hidden="false" customHeight="true" outlineLevel="0" collapsed="false">
      <c r="A11" s="14" t="s">
        <v>403</v>
      </c>
      <c r="B11" s="15" t="s">
        <v>857</v>
      </c>
      <c r="C11" s="15" t="s">
        <v>858</v>
      </c>
      <c r="D11" s="15" t="s">
        <v>859</v>
      </c>
      <c r="E11" s="16" t="n">
        <f aca="false">COUNTIF(Roadmap!C:C,"P10 · OT-Safe Edge Collector Field Agent")</f>
        <v>6</v>
      </c>
      <c r="F11" s="16" t="n">
        <f aca="false">SUMIF(Roadmap!C:C,"P10 · OT-Safe Edge Collector Field Agent",Roadmap!K:K)</f>
        <v>55</v>
      </c>
      <c r="G11" s="15" t="s">
        <v>407</v>
      </c>
    </row>
    <row r="12" customFormat="false" ht="55.5" hidden="false" customHeight="true" outlineLevel="0" collapsed="false">
      <c r="A12" s="14" t="s">
        <v>436</v>
      </c>
      <c r="B12" s="15" t="s">
        <v>35</v>
      </c>
      <c r="C12" s="15" t="s">
        <v>860</v>
      </c>
      <c r="D12" s="15" t="s">
        <v>861</v>
      </c>
      <c r="E12" s="16" t="n">
        <f aca="false">COUNTIF(Roadmap!C:C,"P11 · Security SDLC, Auth Certification &amp; Encryption")</f>
        <v>6</v>
      </c>
      <c r="F12" s="16" t="n">
        <f aca="false">SUMIF(Roadmap!C:C,"P11 · Security SDLC, Auth Certification &amp; Encryption",Roadmap!K:K)</f>
        <v>45</v>
      </c>
      <c r="G12" s="15" t="s">
        <v>465</v>
      </c>
    </row>
    <row r="13" customFormat="false" ht="55.5" hidden="false" customHeight="true" outlineLevel="0" collapsed="false">
      <c r="A13" s="14" t="s">
        <v>468</v>
      </c>
      <c r="B13" s="15" t="s">
        <v>862</v>
      </c>
      <c r="C13" s="15" t="s">
        <v>863</v>
      </c>
      <c r="D13" s="15" t="s">
        <v>864</v>
      </c>
      <c r="E13" s="16" t="n">
        <f aca="false">COUNTIF(Roadmap!C:C,"P12 · Performance Budgets &amp; Ops/Scale")</f>
        <v>6</v>
      </c>
      <c r="F13" s="16" t="n">
        <f aca="false">SUMIF(Roadmap!C:C,"P12 · Performance Budgets &amp; Ops/Scale",Roadmap!K:K)</f>
        <v>46</v>
      </c>
      <c r="G13" s="15" t="s">
        <v>865</v>
      </c>
    </row>
    <row r="14" customFormat="false" ht="55.5" hidden="false" customHeight="true" outlineLevel="0" collapsed="false">
      <c r="A14" s="14" t="s">
        <v>501</v>
      </c>
      <c r="B14" s="15" t="s">
        <v>866</v>
      </c>
      <c r="C14" s="15" t="s">
        <v>867</v>
      </c>
      <c r="D14" s="15" t="s">
        <v>868</v>
      </c>
      <c r="E14" s="16" t="n">
        <f aca="false">COUNTIF(Roadmap!C:C,"P13 · Compliance Controls &amp; Audit Evidence")</f>
        <v>6</v>
      </c>
      <c r="F14" s="16" t="n">
        <f aca="false">SUMIF(Roadmap!C:C,"P13 · Compliance Controls &amp; Audit Evidence",Roadmap!K:K)</f>
        <v>50</v>
      </c>
      <c r="G14" s="15" t="s">
        <v>39</v>
      </c>
    </row>
    <row r="15" customFormat="false" ht="55.5" hidden="false" customHeight="true" outlineLevel="0" collapsed="false">
      <c r="A15" s="14" t="s">
        <v>532</v>
      </c>
      <c r="B15" s="15" t="s">
        <v>83</v>
      </c>
      <c r="C15" s="15" t="s">
        <v>869</v>
      </c>
      <c r="D15" s="15" t="s">
        <v>870</v>
      </c>
      <c r="E15" s="16" t="n">
        <f aca="false">COUNTIF(Roadmap!C:C,"P14 · Documentation Truth, §21 Refresh &amp; Traceability")</f>
        <v>6</v>
      </c>
      <c r="F15" s="16" t="n">
        <f aca="false">SUMIF(Roadmap!C:C,"P14 · Documentation Truth, §21 Refresh &amp; Traceability",Roadmap!K:K)</f>
        <v>46</v>
      </c>
      <c r="G15" s="15" t="s">
        <v>871</v>
      </c>
    </row>
    <row r="16" customFormat="false" ht="81.75" hidden="false" customHeight="true" outlineLevel="0" collapsed="false">
      <c r="A16" s="14" t="s">
        <v>568</v>
      </c>
      <c r="B16" s="15" t="s">
        <v>872</v>
      </c>
      <c r="C16" s="15" t="s">
        <v>873</v>
      </c>
      <c r="D16" s="15" t="s">
        <v>874</v>
      </c>
      <c r="E16" s="16" t="n">
        <f aca="false">COUNTIF(Roadmap!C:C,"P15 · Prescriptive-Advisory &amp; Value-Realization Engine")</f>
        <v>7</v>
      </c>
      <c r="F16" s="16" t="n">
        <f aca="false">SUMIF(Roadmap!C:C,"P15 · Prescriptive-Advisory &amp; Value-Realization Engine",Roadmap!K:K)</f>
        <v>58</v>
      </c>
      <c r="G16" s="15" t="s">
        <v>875</v>
      </c>
    </row>
    <row r="17" customFormat="false" ht="69" hidden="false" customHeight="true" outlineLevel="0" collapsed="false">
      <c r="A17" s="14" t="s">
        <v>613</v>
      </c>
      <c r="B17" s="15" t="s">
        <v>876</v>
      </c>
      <c r="C17" s="15" t="s">
        <v>846</v>
      </c>
      <c r="D17" s="15" t="s">
        <v>877</v>
      </c>
      <c r="E17" s="16" t="n">
        <f aca="false">COUNTIF(Roadmap!C:C,"P16 · Quality Certification, Reporting &amp; Sustainability (PCF/CO2) Suite")</f>
        <v>6</v>
      </c>
      <c r="F17" s="16" t="n">
        <f aca="false">SUMIF(Roadmap!C:C,"P16 · Quality Certification, Reporting &amp; Sustainability (PCF/CO2) Suite",Roadmap!K:K)</f>
        <v>60</v>
      </c>
      <c r="G17" s="15" t="s">
        <v>878</v>
      </c>
    </row>
    <row r="18" customFormat="false" ht="55.5" hidden="false" customHeight="true" outlineLevel="0" collapsed="false">
      <c r="A18" s="14" t="s">
        <v>649</v>
      </c>
      <c r="B18" s="15" t="s">
        <v>369</v>
      </c>
      <c r="C18" s="15" t="s">
        <v>879</v>
      </c>
      <c r="D18" s="15" t="s">
        <v>880</v>
      </c>
      <c r="E18" s="16" t="n">
        <f aca="false">COUNTIF(Roadmap!C:C,"P17 · Enterprise Integration, Interoperability &amp; Advisory Write-Back")</f>
        <v>6</v>
      </c>
      <c r="F18" s="16" t="n">
        <f aca="false">SUMIF(Roadmap!C:C,"P17 · Enterprise Integration, Interoperability &amp; Advisory Write-Back",Roadmap!K:K)</f>
        <v>58</v>
      </c>
      <c r="G18" s="15" t="s">
        <v>881</v>
      </c>
    </row>
    <row r="19" customFormat="false" ht="55.5" hidden="false" customHeight="true" outlineLevel="0" collapsed="false">
      <c r="A19" s="14" t="s">
        <v>682</v>
      </c>
      <c r="B19" s="15" t="s">
        <v>862</v>
      </c>
      <c r="C19" s="15" t="s">
        <v>882</v>
      </c>
      <c r="D19" s="15" t="s">
        <v>883</v>
      </c>
      <c r="E19" s="16" t="n">
        <f aca="false">COUNTIF(Roadmap!C:C,"P18 · High Availability, Horizontal Scale &amp; Disaster Recovery")</f>
        <v>6</v>
      </c>
      <c r="F19" s="16" t="n">
        <f aca="false">SUMIF(Roadmap!C:C,"P18 · High Availability, Horizontal Scale &amp; Disaster Recovery",Roadmap!K:K)</f>
        <v>60</v>
      </c>
      <c r="G19" s="15" t="s">
        <v>884</v>
      </c>
    </row>
    <row r="20" customFormat="false" ht="55.5" hidden="false" customHeight="true" outlineLevel="0" collapsed="false">
      <c r="A20" s="14" t="s">
        <v>720</v>
      </c>
      <c r="B20" s="15" t="s">
        <v>862</v>
      </c>
      <c r="C20" s="15" t="s">
        <v>885</v>
      </c>
      <c r="D20" s="15" t="s">
        <v>886</v>
      </c>
      <c r="E20" s="16" t="n">
        <f aca="false">COUNTIF(Roadmap!C:C,"P19 · Resilience, Observability &amp; SLA Operations")</f>
        <v>6</v>
      </c>
      <c r="F20" s="16" t="n">
        <f aca="false">SUMIF(Roadmap!C:C,"P19 · Resilience, Observability &amp; SLA Operations",Roadmap!K:K)</f>
        <v>52</v>
      </c>
      <c r="G20" s="15" t="s">
        <v>887</v>
      </c>
    </row>
    <row r="21" customFormat="false" ht="55.5" hidden="false" customHeight="true" outlineLevel="0" collapsed="false">
      <c r="A21" s="14" t="s">
        <v>758</v>
      </c>
      <c r="B21" s="15" t="s">
        <v>888</v>
      </c>
      <c r="C21" s="15" t="s">
        <v>889</v>
      </c>
      <c r="D21" s="15" t="s">
        <v>890</v>
      </c>
      <c r="E21" s="16" t="n">
        <f aca="false">COUNTIF(Roadmap!C:C,"P20 · Multi-Plant Fleet, Extensibility &amp; Marketplace")</f>
        <v>6</v>
      </c>
      <c r="F21" s="16" t="n">
        <f aca="false">SUMIF(Roadmap!C:C,"P20 · Multi-Plant Fleet, Extensibility &amp; Marketplace",Roadmap!K:K)</f>
        <v>56</v>
      </c>
      <c r="G21" s="15" t="s">
        <v>891</v>
      </c>
    </row>
    <row r="22" customFormat="false" ht="55.5" hidden="false" customHeight="true" outlineLevel="0" collapsed="false">
      <c r="A22" s="14" t="s">
        <v>796</v>
      </c>
      <c r="B22" s="15" t="s">
        <v>866</v>
      </c>
      <c r="C22" s="15" t="s">
        <v>892</v>
      </c>
      <c r="D22" s="15" t="s">
        <v>893</v>
      </c>
      <c r="E22" s="16" t="n">
        <f aca="false">COUNTIF(Roadmap!C:C,"P21 · Compliance Certification, Support &amp; Vendor-Viability")</f>
        <v>6</v>
      </c>
      <c r="F22" s="16" t="n">
        <f aca="false">SUMIF(Roadmap!C:C,"P21 · Compliance Certification, Support &amp; Vendor-Viability",Roadmap!K:K)</f>
        <v>50</v>
      </c>
      <c r="G22" s="15" t="s">
        <v>894</v>
      </c>
    </row>
    <row r="23" customFormat="false" ht="15" hidden="false" customHeight="false" outlineLevel="0" collapsed="false">
      <c r="A23" s="17" t="s">
        <v>895</v>
      </c>
      <c r="B23" s="18"/>
      <c r="C23" s="18"/>
      <c r="D23" s="18"/>
      <c r="E23" s="19" t="n">
        <f aca="false">SUM(E2:E22)</f>
        <v>138</v>
      </c>
      <c r="F23" s="19" t="n">
        <f aca="false">SUM(F2:F22)</f>
        <v>1082</v>
      </c>
      <c r="G23" s="1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12"/>
    <col collapsed="false" customWidth="true" hidden="false" outlineLevel="0" max="4" min="3" style="1" width="9"/>
    <col collapsed="false" customWidth="true" hidden="false" outlineLevel="0" max="5" min="5" style="1" width="26"/>
    <col collapsed="false" customWidth="true" hidden="false" outlineLevel="0" max="6" min="6" style="1" width="72"/>
  </cols>
  <sheetData>
    <row r="1" customFormat="false" ht="30" hidden="false" customHeight="true" outlineLevel="0" collapsed="false">
      <c r="A1" s="2" t="s">
        <v>896</v>
      </c>
      <c r="B1" s="2" t="s">
        <v>897</v>
      </c>
      <c r="C1" s="2" t="s">
        <v>898</v>
      </c>
      <c r="D1" s="2" t="s">
        <v>899</v>
      </c>
      <c r="E1" s="2" t="s">
        <v>900</v>
      </c>
      <c r="F1" s="2" t="s">
        <v>901</v>
      </c>
    </row>
    <row r="2" customFormat="false" ht="42.75" hidden="false" customHeight="true" outlineLevel="0" collapsed="false">
      <c r="A2" s="14" t="s">
        <v>230</v>
      </c>
      <c r="B2" s="20" t="n">
        <v>78</v>
      </c>
      <c r="C2" s="16" t="n">
        <v>100</v>
      </c>
      <c r="D2" s="16" t="n">
        <f aca="false">C2-B2</f>
        <v>22</v>
      </c>
      <c r="E2" s="15" t="s">
        <v>902</v>
      </c>
      <c r="F2" s="15" t="s">
        <v>903</v>
      </c>
    </row>
    <row r="3" customFormat="false" ht="42.75" hidden="false" customHeight="true" outlineLevel="0" collapsed="false">
      <c r="A3" s="14" t="s">
        <v>380</v>
      </c>
      <c r="B3" s="20" t="n">
        <v>80</v>
      </c>
      <c r="C3" s="16" t="n">
        <v>100</v>
      </c>
      <c r="D3" s="16" t="n">
        <f aca="false">C3-B3</f>
        <v>20</v>
      </c>
      <c r="E3" s="15" t="s">
        <v>904</v>
      </c>
      <c r="F3" s="15" t="s">
        <v>905</v>
      </c>
    </row>
    <row r="4" customFormat="false" ht="42.75" hidden="false" customHeight="true" outlineLevel="0" collapsed="false">
      <c r="A4" s="14" t="s">
        <v>30</v>
      </c>
      <c r="B4" s="20" t="n">
        <v>80</v>
      </c>
      <c r="C4" s="16" t="n">
        <v>100</v>
      </c>
      <c r="D4" s="16" t="n">
        <f aca="false">C4-B4</f>
        <v>20</v>
      </c>
      <c r="E4" s="15" t="s">
        <v>906</v>
      </c>
      <c r="F4" s="15" t="s">
        <v>907</v>
      </c>
    </row>
    <row r="5" customFormat="false" ht="42.75" hidden="false" customHeight="true" outlineLevel="0" collapsed="false">
      <c r="A5" s="14" t="s">
        <v>35</v>
      </c>
      <c r="B5" s="20" t="n">
        <v>82</v>
      </c>
      <c r="C5" s="16" t="n">
        <v>100</v>
      </c>
      <c r="D5" s="16" t="n">
        <f aca="false">C5-B5</f>
        <v>18</v>
      </c>
      <c r="E5" s="15" t="s">
        <v>908</v>
      </c>
      <c r="F5" s="15" t="s">
        <v>909</v>
      </c>
    </row>
    <row r="6" customFormat="false" ht="30" hidden="false" customHeight="true" outlineLevel="0" collapsed="false">
      <c r="A6" s="14" t="s">
        <v>448</v>
      </c>
      <c r="B6" s="20" t="n">
        <v>85</v>
      </c>
      <c r="C6" s="16" t="n">
        <v>100</v>
      </c>
      <c r="D6" s="16" t="n">
        <f aca="false">C6-B6</f>
        <v>15</v>
      </c>
      <c r="E6" s="15" t="s">
        <v>505</v>
      </c>
      <c r="F6" s="15" t="s">
        <v>910</v>
      </c>
    </row>
    <row r="7" customFormat="false" ht="42.75" hidden="false" customHeight="true" outlineLevel="0" collapsed="false">
      <c r="A7" s="14" t="s">
        <v>911</v>
      </c>
      <c r="B7" s="20" t="n">
        <v>88</v>
      </c>
      <c r="C7" s="16" t="n">
        <v>100</v>
      </c>
      <c r="D7" s="16" t="n">
        <f aca="false">C7-B7</f>
        <v>12</v>
      </c>
      <c r="E7" s="15" t="s">
        <v>373</v>
      </c>
      <c r="F7" s="15" t="s">
        <v>912</v>
      </c>
    </row>
    <row r="8" customFormat="false" ht="42.75" hidden="false" customHeight="true" outlineLevel="0" collapsed="false">
      <c r="A8" s="14" t="s">
        <v>913</v>
      </c>
      <c r="B8" s="20" t="n">
        <v>85</v>
      </c>
      <c r="C8" s="16" t="n">
        <v>100</v>
      </c>
      <c r="D8" s="16" t="n">
        <f aca="false">C8-B8</f>
        <v>15</v>
      </c>
      <c r="E8" s="15" t="s">
        <v>914</v>
      </c>
      <c r="F8" s="15" t="s">
        <v>915</v>
      </c>
    </row>
    <row r="9" customFormat="false" ht="42.75" hidden="false" customHeight="true" outlineLevel="0" collapsed="false">
      <c r="A9" s="14" t="s">
        <v>916</v>
      </c>
      <c r="B9" s="20" t="n">
        <v>70</v>
      </c>
      <c r="C9" s="16" t="n">
        <v>100</v>
      </c>
      <c r="D9" s="16" t="n">
        <f aca="false">C9-B9</f>
        <v>30</v>
      </c>
      <c r="E9" s="15" t="s">
        <v>917</v>
      </c>
      <c r="F9" s="15" t="s">
        <v>918</v>
      </c>
    </row>
    <row r="10" customFormat="false" ht="30" hidden="false" customHeight="true" outlineLevel="0" collapsed="false">
      <c r="A10" s="14" t="s">
        <v>74</v>
      </c>
      <c r="B10" s="20" t="n">
        <v>74</v>
      </c>
      <c r="C10" s="16" t="n">
        <v>100</v>
      </c>
      <c r="D10" s="16" t="n">
        <f aca="false">C10-B10</f>
        <v>26</v>
      </c>
      <c r="E10" s="15" t="s">
        <v>919</v>
      </c>
      <c r="F10" s="15" t="s">
        <v>920</v>
      </c>
    </row>
    <row r="11" customFormat="false" ht="42.75" hidden="false" customHeight="true" outlineLevel="0" collapsed="false">
      <c r="A11" s="14" t="s">
        <v>66</v>
      </c>
      <c r="B11" s="20" t="n">
        <v>68</v>
      </c>
      <c r="C11" s="16" t="n">
        <v>100</v>
      </c>
      <c r="D11" s="16" t="n">
        <f aca="false">C11-B11</f>
        <v>32</v>
      </c>
      <c r="E11" s="15" t="s">
        <v>106</v>
      </c>
      <c r="F11" s="15" t="s">
        <v>921</v>
      </c>
    </row>
    <row r="12" customFormat="false" ht="15" hidden="false" customHeight="true" outlineLevel="0" collapsed="false">
      <c r="A12" s="17" t="s">
        <v>922</v>
      </c>
      <c r="B12" s="19" t="n">
        <f aca="false">ROUND(AVERAGE(B2:B11),0)</f>
        <v>79</v>
      </c>
      <c r="C12" s="21" t="n">
        <v>100</v>
      </c>
      <c r="D12" s="19" t="n">
        <f aca="false">C12-B12</f>
        <v>21</v>
      </c>
      <c r="E12" s="18"/>
      <c r="F12" s="1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10"/>
  </cols>
  <sheetData>
    <row r="1" customFormat="false" ht="15" hidden="false" customHeight="true" outlineLevel="0" collapsed="false">
      <c r="A1" s="22" t="s">
        <v>923</v>
      </c>
      <c r="B1" s="23"/>
    </row>
    <row r="2" customFormat="false" ht="42.75" hidden="false" customHeight="true" outlineLevel="0" collapsed="false">
      <c r="A2" s="24" t="s">
        <v>924</v>
      </c>
      <c r="B2" s="25" t="s">
        <v>925</v>
      </c>
    </row>
    <row r="3" customFormat="false" ht="30" hidden="false" customHeight="true" outlineLevel="0" collapsed="false">
      <c r="A3" s="24" t="s">
        <v>926</v>
      </c>
      <c r="B3" s="25" t="s">
        <v>927</v>
      </c>
    </row>
    <row r="4" customFormat="false" ht="30" hidden="false" customHeight="true" outlineLevel="0" collapsed="false">
      <c r="A4" s="24" t="s">
        <v>928</v>
      </c>
      <c r="B4" s="25" t="s">
        <v>929</v>
      </c>
    </row>
    <row r="5" customFormat="false" ht="42.75" hidden="false" customHeight="true" outlineLevel="0" collapsed="false">
      <c r="A5" s="24" t="s">
        <v>930</v>
      </c>
      <c r="B5" s="25" t="s">
        <v>931</v>
      </c>
    </row>
    <row r="6" customFormat="false" ht="15" hidden="false" customHeight="true" outlineLevel="0" collapsed="false">
      <c r="A6" s="22" t="s">
        <v>6</v>
      </c>
      <c r="B6" s="23"/>
    </row>
    <row r="7" customFormat="false" ht="16.5" hidden="false" customHeight="true" outlineLevel="0" collapsed="false">
      <c r="A7" s="24" t="s">
        <v>19</v>
      </c>
      <c r="B7" s="25" t="s">
        <v>932</v>
      </c>
    </row>
    <row r="8" customFormat="false" ht="16.5" hidden="false" customHeight="true" outlineLevel="0" collapsed="false">
      <c r="A8" s="24" t="s">
        <v>49</v>
      </c>
      <c r="B8" s="25" t="s">
        <v>933</v>
      </c>
    </row>
    <row r="9" customFormat="false" ht="16.5" hidden="false" customHeight="true" outlineLevel="0" collapsed="false">
      <c r="A9" s="24" t="s">
        <v>56</v>
      </c>
      <c r="B9" s="25" t="s">
        <v>934</v>
      </c>
    </row>
    <row r="10" customFormat="false" ht="16.5" hidden="false" customHeight="true" outlineLevel="0" collapsed="false">
      <c r="A10" s="24" t="s">
        <v>27</v>
      </c>
      <c r="B10" s="25" t="s">
        <v>935</v>
      </c>
    </row>
    <row r="11" customFormat="false" ht="16.5" hidden="false" customHeight="true" outlineLevel="0" collapsed="false">
      <c r="A11" s="24" t="s">
        <v>398</v>
      </c>
      <c r="B11" s="25" t="s">
        <v>936</v>
      </c>
    </row>
    <row r="12" customFormat="false" ht="15" hidden="false" customHeight="true" outlineLevel="0" collapsed="false">
      <c r="A12" s="22" t="s">
        <v>3</v>
      </c>
      <c r="B12" s="23"/>
    </row>
    <row r="13" customFormat="false" ht="30" hidden="false" customHeight="true" outlineLevel="0" collapsed="false">
      <c r="A13" s="24" t="s">
        <v>937</v>
      </c>
      <c r="B13" s="25" t="s">
        <v>938</v>
      </c>
    </row>
    <row r="14" customFormat="false" ht="15" hidden="false" customHeight="true" outlineLevel="0" collapsed="false">
      <c r="A14" s="22" t="s">
        <v>4</v>
      </c>
      <c r="B14" s="23"/>
    </row>
    <row r="15" customFormat="false" ht="16.5" hidden="false" customHeight="true" outlineLevel="0" collapsed="false">
      <c r="A15" s="24" t="s">
        <v>939</v>
      </c>
      <c r="B15" s="25" t="s">
        <v>940</v>
      </c>
    </row>
    <row r="16" customFormat="false" ht="15" hidden="false" customHeight="true" outlineLevel="0" collapsed="false">
      <c r="A16" s="22" t="s">
        <v>9</v>
      </c>
      <c r="B16" s="23"/>
    </row>
    <row r="17" customFormat="false" ht="16.5" hidden="false" customHeight="true" outlineLevel="0" collapsed="false">
      <c r="A17" s="24" t="s">
        <v>105</v>
      </c>
      <c r="B17" s="25" t="s">
        <v>941</v>
      </c>
    </row>
    <row r="18" customFormat="false" ht="16.5" hidden="false" customHeight="true" outlineLevel="0" collapsed="false">
      <c r="A18" s="24" t="s">
        <v>73</v>
      </c>
      <c r="B18" s="25" t="s">
        <v>942</v>
      </c>
    </row>
    <row r="19" customFormat="false" ht="16.5" hidden="false" customHeight="true" outlineLevel="0" collapsed="false">
      <c r="A19" s="24" t="s">
        <v>38</v>
      </c>
      <c r="B19" s="25" t="s">
        <v>943</v>
      </c>
    </row>
    <row r="20" customFormat="false" ht="16.5" hidden="false" customHeight="true" outlineLevel="0" collapsed="false">
      <c r="A20" s="24" t="s">
        <v>59</v>
      </c>
      <c r="B20" s="25" t="s">
        <v>944</v>
      </c>
    </row>
    <row r="21" customFormat="false" ht="16.5" hidden="false" customHeight="true" outlineLevel="0" collapsed="false">
      <c r="A21" s="24" t="s">
        <v>22</v>
      </c>
      <c r="B21" s="25" t="s">
        <v>945</v>
      </c>
    </row>
    <row r="22" customFormat="false" ht="16.5" hidden="false" customHeight="true" outlineLevel="0" collapsed="false">
      <c r="A22" s="24" t="s">
        <v>214</v>
      </c>
      <c r="B22" s="25" t="s">
        <v>946</v>
      </c>
    </row>
    <row r="23" customFormat="false" ht="15" hidden="false" customHeight="true" outlineLevel="0" collapsed="false">
      <c r="A23" s="22" t="s">
        <v>947</v>
      </c>
      <c r="B23" s="23"/>
    </row>
    <row r="24" customFormat="false" ht="42.75" hidden="false" customHeight="true" outlineLevel="0" collapsed="false">
      <c r="A24" s="24" t="s">
        <v>948</v>
      </c>
      <c r="B24" s="25" t="s">
        <v>949</v>
      </c>
    </row>
    <row r="25" customFormat="false" ht="15" hidden="false" customHeight="true" outlineLevel="0" collapsed="false">
      <c r="A25" s="22" t="s">
        <v>950</v>
      </c>
      <c r="B25" s="23"/>
    </row>
    <row r="26" customFormat="false" ht="16.5" hidden="false" customHeight="true" outlineLevel="0" collapsed="false">
      <c r="A26" s="24" t="s">
        <v>951</v>
      </c>
      <c r="B26" s="25" t="s">
        <v>952</v>
      </c>
    </row>
    <row r="27" customFormat="false" ht="16.5" hidden="false" customHeight="true" outlineLevel="0" collapsed="false">
      <c r="A27" s="24" t="s">
        <v>953</v>
      </c>
      <c r="B27" s="25" t="s">
        <v>954</v>
      </c>
    </row>
    <row r="28" customFormat="false" ht="16.5" hidden="false" customHeight="true" outlineLevel="0" collapsed="false">
      <c r="A28" s="24" t="s">
        <v>955</v>
      </c>
      <c r="B28" s="25" t="s">
        <v>956</v>
      </c>
    </row>
    <row r="29" customFormat="false" ht="16.5" hidden="false" customHeight="true" outlineLevel="0" collapsed="false">
      <c r="A29" s="24" t="s">
        <v>957</v>
      </c>
      <c r="B29" s="25" t="s">
        <v>958</v>
      </c>
    </row>
    <row r="30" customFormat="false" ht="16.5" hidden="false" customHeight="true" outlineLevel="0" collapsed="false">
      <c r="A30" s="24" t="s">
        <v>959</v>
      </c>
      <c r="B30" s="25" t="s">
        <v>960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2026-06-05T20:17:07Z</dcterms:created>
  <dc:creator>openpyxl</dc:creator>
  <dc:description/>
  <dc:language>en-US</dc:language>
  <cp:lastModifiedBy/>
  <dcterms:modified xsi:type="dcterms:W3CDTF">2026-06-05T21:24:09Z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