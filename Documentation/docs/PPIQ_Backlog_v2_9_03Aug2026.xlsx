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Phase Summary" sheetId="2" state="visible" r:id="rId2"/>
    <sheet xmlns:r="http://schemas.openxmlformats.org/officeDocument/2006/relationships" name="Milestone Rollup" sheetId="3" state="visible" r:id="rId3"/>
    <sheet xmlns:r="http://schemas.openxmlformats.org/officeDocument/2006/relationships" name="Legend" sheetId="4" state="visible" r:id="rId4"/>
  </sheets>
  <definedNames>
    <definedName name="_xlnm._FilterDatabase" localSheetId="0" hidden="1">'Backlog'!$A$1:$K$165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EAF6FF"/>
      <sz val="10"/>
    </font>
    <font>
      <name val="Arial"/>
      <sz val="9"/>
    </font>
    <font>
      <name val="Arial"/>
      <b val="1"/>
      <sz val="9"/>
    </font>
    <font>
      <name val="Arial"/>
      <b val="1"/>
      <sz val="10"/>
    </font>
    <font>
      <name val="Arial"/>
      <b val="1"/>
    </font>
    <font>
      <name val="Arial"/>
      <b val="1"/>
      <sz val="13"/>
    </font>
  </fonts>
  <fills count="9">
    <fill>
      <patternFill/>
    </fill>
    <fill>
      <patternFill patternType="gray125"/>
    </fill>
    <fill>
      <patternFill patternType="solid">
        <fgColor rgb="000B1730"/>
      </patternFill>
    </fill>
    <fill>
      <patternFill patternType="solid">
        <fgColor rgb="0000D4FF"/>
      </patternFill>
    </fill>
    <fill>
      <patternFill patternType="solid">
        <fgColor rgb="00FF4D5E"/>
      </patternFill>
    </fill>
    <fill>
      <patternFill patternType="solid">
        <fgColor rgb="000A84FF"/>
      </patternFill>
    </fill>
    <fill>
      <patternFill patternType="solid">
        <fgColor rgb="00FFB547"/>
      </patternFill>
    </fill>
    <fill>
      <patternFill patternType="solid">
        <fgColor rgb="002CE6A2"/>
      </patternFill>
    </fill>
    <fill>
      <patternFill patternType="solid">
        <fgColor rgb="008EA7C1"/>
      </patternFill>
    </fill>
  </fills>
  <borders count="2">
    <border>
      <left/>
      <right/>
      <top/>
      <bottom/>
      <diagonal/>
    </border>
    <border>
      <left style="thin">
        <color rgb="001D3A63"/>
      </left>
      <right style="thin">
        <color rgb="001D3A63"/>
      </right>
      <top style="thin">
        <color rgb="001D3A63"/>
      </top>
      <bottom style="thin">
        <color rgb="001D3A63"/>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lef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horizontal="right" vertical="top"/>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4" fillId="0" borderId="0" pivotButton="0" quotePrefix="0" xfId="0"/>
    <xf numFmtId="0" fontId="1" fillId="2" borderId="1" pivotButton="0" quotePrefix="0" xfId="0"/>
    <xf numFmtId="0" fontId="4" fillId="3" borderId="1" applyAlignment="1" pivotButton="0" quotePrefix="0" xfId="0">
      <alignment vertical="top" wrapText="1"/>
    </xf>
    <xf numFmtId="0" fontId="4" fillId="5"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5" fillId="0" borderId="0" pivotButton="0" quotePrefix="0" xfId="0"/>
    <xf numFmtId="0" fontId="6" fillId="0"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14" customWidth="1" min="5" max="5"/>
    <col width="20" customWidth="1" min="6" max="6"/>
    <col width="15" customWidth="1" min="7" max="7"/>
    <col width="95" customWidth="1" min="8" max="8"/>
    <col width="70" customWidth="1" min="9" max="9"/>
    <col width="8" customWidth="1" min="10" max="10"/>
    <col width="13" customWidth="1" min="11" max="11"/>
  </cols>
  <sheetData>
    <row r="1" ht="30" customHeight="1">
      <c r="A1" s="1" t="inlineStr">
        <is>
          <t>Task Id</t>
        </is>
      </c>
      <c r="B1" s="1" t="inlineStr">
        <is>
          <t>Milestone Id</t>
        </is>
      </c>
      <c r="C1" s="1" t="inlineStr">
        <is>
          <t>Phase Id</t>
        </is>
      </c>
      <c r="D1" s="1" t="inlineStr">
        <is>
          <t>Task Name</t>
        </is>
      </c>
      <c r="E1" s="1" t="inlineStr">
        <is>
          <t>Module</t>
        </is>
      </c>
      <c r="F1" s="1" t="inlineStr">
        <is>
          <t>Sub-module</t>
        </is>
      </c>
      <c r="G1" s="1" t="inlineStr">
        <is>
          <t>Priority</t>
        </is>
      </c>
      <c r="H1" s="1" t="inlineStr">
        <is>
          <t>Task Description</t>
        </is>
      </c>
      <c r="I1" s="1" t="inlineStr">
        <is>
          <t>Task Validation</t>
        </is>
      </c>
      <c r="J1" s="1" t="inlineStr">
        <is>
          <t>Hours</t>
        </is>
      </c>
      <c r="K1" s="1" t="inlineStr">
        <is>
          <t>Status</t>
        </is>
      </c>
    </row>
    <row r="2" ht="96" customHeight="1">
      <c r="A2" t="inlineStr">
        <is>
          <t>T-001</t>
        </is>
      </c>
      <c r="B2" t="inlineStr">
        <is>
          <t>M1</t>
        </is>
      </c>
      <c r="C2" t="inlineStr">
        <is>
          <t>M1-P1</t>
        </is>
      </c>
      <c r="D2" t="inlineStr">
        <is>
          <t>Build the six-beat Design Traceability Matrix</t>
        </is>
      </c>
      <c r="E2" t="inlineStr">
        <is>
          <t>Documentation</t>
        </is>
      </c>
      <c r="F2" t="inlineStr">
        <is>
          <t>Design contract</t>
        </is>
      </c>
      <c r="G2" t="inlineStr">
        <is>
          <t>Critical</t>
        </is>
      </c>
      <c r="H2" t="inlineStr">
        <is>
          <t>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is>
      </c>
      <c r="I2" t="inlineStr">
        <is>
          <t>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is>
      </c>
      <c r="J2" t="n">
        <v>8</v>
      </c>
      <c r="K2" t="inlineStr">
        <is>
          <t>Done</t>
        </is>
      </c>
    </row>
    <row r="3" ht="96" customHeight="1">
      <c r="A3" t="inlineStr">
        <is>
          <t>T-002</t>
        </is>
      </c>
      <c r="B3" t="inlineStr">
        <is>
          <t>M1</t>
        </is>
      </c>
      <c r="C3" t="inlineStr">
        <is>
          <t>M1-P1</t>
        </is>
      </c>
      <c r="D3" t="inlineStr">
        <is>
          <t>Audit every presented route and control against the Chapter 3 page inventory</t>
        </is>
      </c>
      <c r="E3" t="inlineStr">
        <is>
          <t>Frontend</t>
        </is>
      </c>
      <c r="F3" t="inlineStr">
        <is>
          <t>Design contract</t>
        </is>
      </c>
      <c r="G3" t="inlineStr">
        <is>
          <t>Critical</t>
        </is>
      </c>
      <c r="H3" t="inlineStr">
        <is>
          <t>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this task's own applied pack and covers the token rule; the audit below extends it, it does not repeat it.</t>
        </is>
      </c>
      <c r="I3" t="inlineStr">
        <is>
          <t>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t>
        </is>
      </c>
      <c r="J3" t="n">
        <v>8</v>
      </c>
      <c r="K3" t="inlineStr">
        <is>
          <t>Done</t>
        </is>
      </c>
    </row>
    <row r="4" ht="96" customHeight="1">
      <c r="A4" t="inlineStr">
        <is>
          <t>T-003</t>
        </is>
      </c>
      <c r="B4" t="inlineStr">
        <is>
          <t>M1</t>
        </is>
      </c>
      <c r="C4" t="inlineStr">
        <is>
          <t>M1-P1</t>
        </is>
      </c>
      <c r="D4" t="inlineStr">
        <is>
          <t>Lock the presentation profile as a data profile, not a branch</t>
        </is>
      </c>
      <c r="E4" t="inlineStr">
        <is>
          <t>Infrastructure</t>
        </is>
      </c>
      <c r="F4" t="inlineStr">
        <is>
          <t>Environments</t>
        </is>
      </c>
      <c r="G4" t="inlineStr">
        <is>
          <t>Critical</t>
        </is>
      </c>
      <c r="H4" t="inlineStr">
        <is>
          <t>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is>
      </c>
      <c r="I4" t="inlineStr">
        <is>
          <t>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is>
      </c>
      <c r="J4" t="n">
        <v>4</v>
      </c>
      <c r="K4" t="inlineStr">
        <is>
          <t>Done</t>
        </is>
      </c>
    </row>
    <row r="5" ht="96" customHeight="1">
      <c r="A5" t="inlineStr">
        <is>
          <t>T-004</t>
        </is>
      </c>
      <c r="B5" t="inlineStr">
        <is>
          <t>M1</t>
        </is>
      </c>
      <c r="C5" t="inlineStr">
        <is>
          <t>M1-P1</t>
        </is>
      </c>
      <c r="D5" t="inlineStr">
        <is>
          <t>Create the M1 acceptance checklist and evidence folder</t>
        </is>
      </c>
      <c r="E5" t="inlineStr">
        <is>
          <t>Documentation</t>
        </is>
      </c>
      <c r="F5" t="inlineStr">
        <is>
          <t>Quality</t>
        </is>
      </c>
      <c r="G5" t="inlineStr">
        <is>
          <t>Important</t>
        </is>
      </c>
      <c r="H5" t="inlineStr">
        <is>
          <t>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is>
      </c>
      <c r="I5" t="inlineStr">
        <is>
          <t>Every screen in the traceability matrix has a checklist instance in the folder. A screen is not Green until every line is ticked with an evidence file name beside it.</t>
        </is>
      </c>
      <c r="J5" t="n">
        <v>4</v>
      </c>
      <c r="K5" t="inlineStr">
        <is>
          <t>Done</t>
        </is>
      </c>
    </row>
    <row r="6" ht="96" customHeight="1">
      <c r="A6" t="inlineStr">
        <is>
          <t>T-005</t>
        </is>
      </c>
      <c r="B6" t="inlineStr">
        <is>
          <t>M1</t>
        </is>
      </c>
      <c r="C6" t="inlineStr">
        <is>
          <t>M1-P1</t>
        </is>
      </c>
      <c r="D6" t="inlineStr">
        <is>
          <t>Rebuild ppiq_presentation into scratch and diff against live</t>
        </is>
      </c>
      <c r="E6" t="inlineStr">
        <is>
          <t>Database</t>
        </is>
      </c>
      <c r="F6" t="inlineStr">
        <is>
          <t>Presentation data</t>
        </is>
      </c>
      <c r="G6" t="inlineStr">
        <is>
          <t>Critical</t>
        </is>
      </c>
      <c r="H6" t="inlineStr">
        <is>
          <t>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is>
      </c>
      <c r="I6" t="inlineStr">
        <is>
          <t>Produce docs/m1/evidence/presentation_db_diff.txt. Acceptance is either an empty diff, or a written list of every difference. Do not proceed to the next task until that list exists, and never run the rebuild against the live database before it does.</t>
        </is>
      </c>
      <c r="J6" t="n">
        <v>6</v>
      </c>
      <c r="K6" t="inlineStr">
        <is>
          <t>Done</t>
        </is>
      </c>
    </row>
    <row r="7" ht="96" customHeight="1">
      <c r="A7" t="inlineStr">
        <is>
          <t>T-006</t>
        </is>
      </c>
      <c r="B7" t="inlineStr">
        <is>
          <t>M1</t>
        </is>
      </c>
      <c r="C7" t="inlineStr">
        <is>
          <t>M1-P1</t>
        </is>
      </c>
      <c r="D7" t="inlineStr">
        <is>
          <t>Convert every diff finding into a seed or migration script</t>
        </is>
      </c>
      <c r="E7" t="inlineStr">
        <is>
          <t>Database</t>
        </is>
      </c>
      <c r="F7" t="inlineStr">
        <is>
          <t>Presentation data</t>
        </is>
      </c>
      <c r="G7" t="inlineStr">
        <is>
          <t>Critical</t>
        </is>
      </c>
      <c r="H7" t="inlineStr">
        <is>
          <t>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is>
      </c>
      <c r="I7" t="inlineStr">
        <is>
          <t>Re-run Rebuild-PresentationDb.ps1 into a fresh scratch database and re-run the diff. It must now be empty. That output is the proof that no fix exists only as data.</t>
        </is>
      </c>
      <c r="J7" t="n">
        <v>8</v>
      </c>
      <c r="K7" t="inlineStr">
        <is>
          <t>Done</t>
        </is>
      </c>
    </row>
    <row r="8" ht="96" customHeight="1">
      <c r="A8" t="inlineStr">
        <is>
          <t>T-007</t>
        </is>
      </c>
      <c r="B8" t="inlineStr">
        <is>
          <t>M1</t>
        </is>
      </c>
      <c r="C8" t="inlineStr">
        <is>
          <t>M1-P1</t>
        </is>
      </c>
      <c r="D8" t="inlineStr">
        <is>
          <t>Presentation Phenomena and Widget Coverage Matrix, part 1: inventory and the 36-chart blueprint</t>
        </is>
      </c>
      <c r="E8" t="inlineStr">
        <is>
          <t>Documentation</t>
        </is>
      </c>
      <c r="F8" t="inlineStr">
        <is>
          <t>Presentation data</t>
        </is>
      </c>
      <c r="G8" t="inlineStr">
        <is>
          <t>Critical</t>
        </is>
      </c>
      <c r="H8" t="inlineStr">
        <is>
          <t>REOPENED IN v2.5 - source truth changed after runtime measurement. The artifacts stand, but they were written against FLEET_RELATIONS.md, and measurement proved that document describes a larger, richer emulation than the one staged: 630 heats not 1,802, 5,670 coils not 18,661, 1,987 defects not 34,312, SIX defect codes not twenty, and THREE chemistry elements at one station not twelve at three. This task does not restart, and it does NOT stay half-open until the fleet is rebuilt - a task that closes twenty tasks later violates both the ordering law and the no-PARTIAL rule. It closes HERE as a PRE-GENERATION SPECIFICATION: the measured current inventory plus the 36-chart blueprint. Post-generation re-measurement and final certification belong to the phenomenon-proof task in M1-P1b, which cites this task by name so the link is machine-checked from that end. REWRITTEN IN v2.4. The previous version documented seventeen relations; that was necessary but not sufficient. Two halves, and the ORDER IS THE POINT. First, inventory what the emulation already carries - chemistry by grade at whatever element count and sampling stations MEASUREMENT SHOWS - the v2.4 text said twelve elements across three stations and that was taken from a document; measurement found THREE elements at ONE station, so the inventory records what is there, additives by grade, sequence grouping, crew rotation, ladle reline counters, cold-furnace and maintenance reheating, downtime propagation, roll wear, lubrication windows, and the seventeen planted relations with their negative controls. Second, write the 36-CHART BLUEPRINT: six primary presentation pages times six visual stories, with the seventh dashboard kept as the technical backup page. For each chart state what it must SHOW - not which correlation it must prove. The acceptance standard for the dataset changes here: every one of the 36 widgets needs an intentional visual story, sufficient population and cardinality, realistic variation, and at least one meaningful drill or filter interaction. NOT every chart must reveal a correlation. Planting a hundred clean correlations would make the plant look fabricated, which costs more credibility than a flat chart does.</t>
        </is>
      </c>
      <c r="I8" t="inlineStr">
        <is>
          <t>Two artifacts in the evidence folder: the emulation inventory with a source and a row count per structure, and the blueprint with 36 rows each naming its page, chart type, and the visual story it must tell. A reviewer must be able to say, for each of the 36, what would make that chart boring - because that is the specification the data has to beat.</t>
        </is>
      </c>
      <c r="J8" t="n">
        <v>10</v>
      </c>
      <c r="K8" t="inlineStr">
        <is>
          <t>Done</t>
        </is>
      </c>
    </row>
    <row r="9" ht="96" customHeight="1">
      <c r="A9" t="inlineStr">
        <is>
          <t>T-008</t>
        </is>
      </c>
      <c r="B9" t="inlineStr">
        <is>
          <t>M1</t>
        </is>
      </c>
      <c r="C9" t="inlineStr">
        <is>
          <t>M1-P1</t>
        </is>
      </c>
      <c r="D9" t="inlineStr">
        <is>
          <t>Presentation Phenomena and Widget Coverage Matrix, part 2: map, classify, close</t>
        </is>
      </c>
      <c r="E9" t="inlineStr">
        <is>
          <t>Testing</t>
        </is>
      </c>
      <c r="F9" t="inlineStr">
        <is>
          <t>Dashboard</t>
        </is>
      </c>
      <c r="G9" t="inlineStr">
        <is>
          <t>Critical</t>
        </is>
      </c>
      <c r="H9" t="inlineStr">
        <is>
          <t>REOPENED IN v2.5 alongside part one, for the same reason: it cites effect sizes and defect codes that do not exist in the staged data. R1 CRACK_LONG at 9.3x, R2 INCLUSION at 4.5x and R4 SLIPPAGE_MARK at 28.9x have NO corresponding staged defect code. Aluminium, sulfur, niobium and nitrogen are absent, so four relation families cannot exist here whatever the document says. The 104 rows are kept as the SPECIFICATION OF WHAT THE FLEET MUST CARRY, and become the input to the Fleet v2 target rather than a description of what exists. This task ALSO closes here, before any generator work, and it carries one addition: PREDECLARE the expected direction, the acceptable effect band and the negative control for every phenomenon. Declaring them before the data exists is what stops the later proof from being self-fulfilling. REWRITTEN IN v2.4 as part two of the matrix. One row per phenomenon, with these columns: phenomenon; source systems; population; variables; intended effect; noise; primary chart; secondary chart; dashboard; expected analysis result; NEGATIVE CONTROL; genealogy requirement; current status EXISTING, ENRICH or NEW; and the exact automated assertion that validates it. Target roughly 85 to 110 micro-variations, distributed as 18-25 strong discoverable relationships, 20-25 moderate or conditional, 15-20 shift, crew, campaign and maintenance regimes, 8-12 temporal drifts or regime changes, 8-12 outliers or short abnormal events, and 15-20 negative controls and noise. Most of those will be extensions of the seventeen existing relation families rather than new inventions. Then map each of the 36 charts to at least one phenomenon or to a legitimate operational baseline, and give every widget a decision: KEEP, ENHANCE, REBIND, ADD WIDGET, EXTEND EMULATION, NEEDS RELATIONSHIP SLICE, or REMOVE. Weak bindings are not data shortages - Defects by Equipment returned one row in the last audit and the remedy is canonical equipment attribution or relationship resolution, never more rows.</t>
        </is>
      </c>
      <c r="I9" t="inlineStr">
        <is>
          <t>docs/m1/evidence/phenomena_widget_matrix.csv with no blank cells. Every one of the 36 charts references at least one phenomenon or a named operational baseline. Every EXTEND EMULATION row names the exact field, so the generator work has a closed list. Every phenomenon carries its automated assertion, so the statistical QA task has nothing left to invent.</t>
        </is>
      </c>
      <c r="J9" t="n">
        <v>10</v>
      </c>
      <c r="K9" t="inlineStr">
        <is>
          <t>Done</t>
        </is>
      </c>
    </row>
    <row r="10" ht="96" customHeight="1">
      <c r="A10" t="inlineStr">
        <is>
          <t>T-009</t>
        </is>
      </c>
      <c r="B10" t="inlineStr">
        <is>
          <t>M1</t>
        </is>
      </c>
      <c r="C10" t="inlineStr">
        <is>
          <t>M1-P1</t>
        </is>
      </c>
      <c r="D10" t="inlineStr">
        <is>
          <t>Downtime two-quantity contract: final schema and domain slice</t>
        </is>
      </c>
      <c r="E10" t="inlineStr">
        <is>
          <t>Backend</t>
        </is>
      </c>
      <c r="F10" t="inlineStr">
        <is>
          <t>Canonical model</t>
        </is>
      </c>
      <c r="G10" t="inlineStr">
        <is>
          <t>Critical</t>
        </is>
      </c>
      <c r="H10" t="inlineStr">
        <is>
          <t>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t>
        </is>
      </c>
      <c r="I10" t="inlineStr">
        <is>
          <t>Project a downtime batch and assert every row has both columns populated and non-negative. Attempt an insert with a null production_impact_minutes and confirm the database rejects it. Confirm no code path derives one quantity from the other.</t>
        </is>
      </c>
      <c r="J10" t="n">
        <v>6</v>
      </c>
      <c r="K10" t="inlineStr">
        <is>
          <t>Done</t>
        </is>
      </c>
    </row>
    <row r="11" ht="96" customHeight="1">
      <c r="A11" t="inlineStr">
        <is>
          <t>T-010</t>
        </is>
      </c>
      <c r="B11" t="inlineStr">
        <is>
          <t>M1</t>
        </is>
      </c>
      <c r="C11" t="inlineStr">
        <is>
          <t>M1-P1</t>
        </is>
      </c>
      <c r="D11" t="inlineStr">
        <is>
          <t>Run the canonical semantic path end to end through the M1 compatibility boundaries</t>
        </is>
      </c>
      <c r="E11" t="inlineStr">
        <is>
          <t>Engine</t>
        </is>
      </c>
      <c r="F11" t="inlineStr">
        <is>
          <t>Presentation data</t>
        </is>
      </c>
      <c r="G11" t="inlineStr">
        <is>
          <t>Critical</t>
        </is>
      </c>
      <c r="H11" t="inlineStr">
        <is>
          <t>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product's own services, never by loading a target table directly. Record row counts at every stage. Note the sequencing: the final external definition contract is built later in M1-P2, so this walk is repeated once it lands - the second walk is what proves the contract did not change behaviour.</t>
        </is>
      </c>
      <c r="I11" t="inlineStr">
        <is>
          <t>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t>
        </is>
      </c>
      <c r="J11" t="n">
        <v>8</v>
      </c>
      <c r="K11" t="inlineStr">
        <is>
          <t>Done</t>
        </is>
      </c>
    </row>
    <row r="12" ht="96" customHeight="1">
      <c r="A12" t="inlineStr">
        <is>
          <t>T-011</t>
        </is>
      </c>
      <c r="B12" t="inlineStr">
        <is>
          <t>M1</t>
        </is>
      </c>
      <c r="C12" t="inlineStr">
        <is>
          <t>M1-P1</t>
        </is>
      </c>
      <c r="D12" t="inlineStr">
        <is>
          <t>Establish and fix the architecture test pool reliability</t>
        </is>
      </c>
      <c r="E12" t="inlineStr">
        <is>
          <t>Testing</t>
        </is>
      </c>
      <c r="F12" t="inlineStr">
        <is>
          <t>CI/CD</t>
        </is>
      </c>
      <c r="G12" t="inlineStr">
        <is>
          <t>Very Important</t>
        </is>
      </c>
      <c r="H12" t="inlineStr">
        <is>
          <t>NEW IN v2.1, raised by a real failure. The navigation contract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t>
        </is>
      </c>
      <c r="I12" t="inlineStr">
        <is>
          <t>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t>
        </is>
      </c>
      <c r="J12" t="n">
        <v>6</v>
      </c>
      <c r="K12" t="inlineStr">
        <is>
          <t>Done</t>
        </is>
      </c>
    </row>
    <row r="13" ht="96" customHeight="1">
      <c r="A13" t="inlineStr">
        <is>
          <t>T-012</t>
        </is>
      </c>
      <c r="B13" t="inlineStr">
        <is>
          <t>M1</t>
        </is>
      </c>
      <c r="C13" t="inlineStr">
        <is>
          <t>M1-P1</t>
        </is>
      </c>
      <c r="D13" t="inlineStr">
        <is>
          <t>Canonicalise the JourneyRail to J1 to J15</t>
        </is>
      </c>
      <c r="E13" t="inlineStr">
        <is>
          <t>Frontend</t>
        </is>
      </c>
      <c r="F13" t="inlineStr">
        <is>
          <t>Journey</t>
        </is>
      </c>
      <c r="G13" t="inlineStr">
        <is>
          <t>Critical</t>
        </is>
      </c>
      <c r="H13" t="inlineStr">
        <is>
          <t>NEW IN v2.3, raised by the presented-surface audit and it is a Rule 3 violation that has been on every authenticated page. JourneyRail.tsx declares its OWN fifteen-stage journey in a hardcoded STAGES array and renders it as Step N of 15. It is not the canonical J1 to J15: different steps, different order, same numbering. Rule 3 says a second journey written anywhere is deleted rather than reconciled. Four further defects sit on top. Stage 4 Prepare mapping has only /data-integration/prepare as its match prefix, which stage 2 already claims, and the longest-prefix tie-break takes the first, so stage 4 can never become the current stage. Stage 5 points at /data-integration/author-mapping, which the audit rules out of inventory. Stage 8 points at AnalysisJobConfigPage, which leaves the M1 navigation. Stage 12 is labelled AI/ML jobs and points at the Jobs Monitor. Stage 15 points at /assistant, but Chapter 3 gives the assistant no route because G1 is a shell component. Rewrite STAGES to the canonical journey with the Chapter 2 3.3.1 labels, render J1 to J3 as completed commissioning so the count is honest, give each stage exactly one unambiguous match prefix, and repoint stages 5, 8 and 15.</t>
        </is>
      </c>
      <c r="I13" t="inlineStr">
        <is>
          <t>A test asserting the rail's stage count and labels equal the canonical journey, in the same shape as PPIQ-T12. Walk every presented route and confirm the rail highlights exactly one stage, and that the stage it highlights is the journey step that route serves. No stage may be unreachable.</t>
        </is>
      </c>
      <c r="J13" t="n">
        <v>6</v>
      </c>
      <c r="K13" t="inlineStr">
        <is>
          <t>Done</t>
        </is>
      </c>
    </row>
    <row r="14" ht="96" customHeight="1">
      <c r="A14" t="inlineStr">
        <is>
          <t>T-013</t>
        </is>
      </c>
      <c r="B14" t="inlineStr">
        <is>
          <t>M1</t>
        </is>
      </c>
      <c r="C14" t="inlineStr">
        <is>
          <t>M1-P1b</t>
        </is>
      </c>
      <c r="D14" t="inlineStr">
        <is>
          <t>Three-way source reconciliation: KEEP, EXTEND or ADD</t>
        </is>
      </c>
      <c r="E14" t="inlineStr">
        <is>
          <t>Database</t>
        </is>
      </c>
      <c r="F14" t="inlineStr">
        <is>
          <t>Emulated sources</t>
        </is>
      </c>
      <c r="G14" t="inlineStr">
        <is>
          <t>Critical</t>
        </is>
      </c>
      <c r="H14" t="inlineStr">
        <is>
          <t>NEW IN v2.5, and it exists because the runtime measurement proved the source-shaped donor schemas are not the plant the documents describe. Reconcile THREE things against each other, one row per source structure: what the running source-shaped donor schemas and their data actually contain, measured; what the committed generator and fixtures produce - Backend/tools/generate_demo_dataset.py is 373 lines, deterministic, and emits all eight sources, so it is a starting point rather than a problem; and what the 36-chart blueprint requires. NOTHING IS THROWN AWAY WITHOUT A RECORDED DECISION. Every row gets KEEP, EXTEND or ADD with a reason, and a KEEP is as much a decision as an ADD. The measured baseline is already in the evidence folder and is the input, not a thing to re-derive: ten staged tables, 630 heats, 630 sequences, 5,670 slabs, 5,670 coils, 39,690 stand passes, 1,987 defects across SIX codes, 210 downtime events, 17,010 QA results, and chemistry limited to carbon, manganese and silicon on heats alone.</t>
        </is>
      </c>
      <c r="I14" t="inlineStr">
        <is>
          <t>docs/m1/evidence/source_reconciliation.csv with one row per source structure and no blank cells. Every EXTEND and every ADD names the exact field or table. Every KEEP names the chart or phenomenon it already serves. A reviewer must be able to say, for any structure, why it was left alone.</t>
        </is>
      </c>
      <c r="J14" t="n">
        <v>8</v>
      </c>
      <c r="K14" t="inlineStr">
        <is>
          <t>Done</t>
        </is>
      </c>
    </row>
    <row r="15" ht="96" customHeight="1">
      <c r="A15" t="inlineStr">
        <is>
          <t>T-014</t>
        </is>
      </c>
      <c r="B15" t="inlineStr">
        <is>
          <t>M1</t>
        </is>
      </c>
      <c r="C15" t="inlineStr">
        <is>
          <t>M1-P1b</t>
        </is>
      </c>
      <c r="D15" t="inlineStr">
        <is>
          <t>Capture the current source-shaped donor schemas in a committed generator</t>
        </is>
      </c>
      <c r="E15" t="inlineStr">
        <is>
          <t>Database</t>
        </is>
      </c>
      <c r="F15" t="inlineStr">
        <is>
          <t>Emulated sources</t>
        </is>
      </c>
      <c r="G15" t="inlineStr">
        <is>
          <t>Critical</t>
        </is>
      </c>
      <c r="H15" t="inlineStr">
        <is>
          <t>NEW IN v2.8, and it exists because the emulation the whole presentation reads has no producer in source control. Backend/database/scripts/110_phase1_demo_source_shapes.sql creates the ten src_ tables EMPTY and nothing in the repository fills them - the only INSERT INTO src_ anywhere is a single one-row probe in scripts/run/Invoke-PpiqJourneyWalk.ps1. Those rows exist solely inside deploy/.ppiq-snapshots/ppiq_app_20260713_203359.dump, a 29.4 MB binary that scripts/demo/Rebuild-PresentationDb.ps1 restores. Backend/tools/generate_demo_dataset.py DOES have a producer, but it emits the CONTAINER fixtures under deploy/fixtures/demo, and those carry a DIFFERENT plant: five defect codes against the staged six with only SCALE and EDGE_CRACK shared, five downtime reason codes with NONE shared, carbon only against carbon-manganese-silicon, no lf_treatment table at all, and a QA CSV of 1,868 rows against 17,010 staged lab results. The source-shaped donor schemas received several manual enhancement passes during the run-up to the presentation and is therefore AHEAD of the committed generator, not behind it. Extending the committed generator before capturing the staged state would regress the dataset. Write ONE deterministic generator, in source control, that reproduces the CURRENT source-shaped donor schemas exactly - every table, every column, every distribution, every catalogue - from a fixed seed. DO NOT IMPROVE ANYTHING HERE. Improvement belongs to the target specification and to the generator-extension tasks that follow it. This task only makes what already exists reproducible from code rather than from a binary snapshot, which is also what the M2a clean-room rebuild depends on.</t>
        </is>
      </c>
      <c r="I15" t="inlineStr">
        <is>
          <t>Generate into an empty database and diff against the live source-shaped donor schemas with the same tool that closed the presentation reproducibility diff. All ten staged tables match on row count, on column set, and on the distribution of every categorical column: defect_code, reason_code, downtime_category, equipment_code, steel_grade, test_code. TOTAL DIFFERENCES must read 0. The generator, its seed and its outputs are committed. A second run with the same seed is byte-identical to the first. No figure in the generator is hand-copied from a document: every one derives from the measurement evidence produced by T-013.</t>
        </is>
      </c>
      <c r="J15" t="n">
        <v>8</v>
      </c>
      <c r="K15" t="inlineStr">
        <is>
          <t>Not Started</t>
        </is>
      </c>
    </row>
    <row r="16" ht="96" customHeight="1">
      <c r="A16" t="inlineStr">
        <is>
          <t>T-015</t>
        </is>
      </c>
      <c r="B16" t="inlineStr">
        <is>
          <t>M1</t>
        </is>
      </c>
      <c r="C16" t="inlineStr">
        <is>
          <t>M1-P1b</t>
        </is>
      </c>
      <c r="D16" t="inlineStr">
        <is>
          <t>Presentation Fleet v2 target specification</t>
        </is>
      </c>
      <c r="E16" t="inlineStr">
        <is>
          <t>Documentation</t>
        </is>
      </c>
      <c r="F16" t="inlineStr">
        <is>
          <t>Emulated sources</t>
        </is>
      </c>
      <c r="G16" t="inlineStr">
        <is>
          <t>Critical</t>
        </is>
      </c>
      <c r="H16" t="inlineStr">
        <is>
          <t>NEW IN v2.5. Write the dataset target the fixtures must reach, and write it FROM THE 36 CHARTS, not from FLEET_RELATIONS.md. That document has been wrong three times in one day and it is no longer executable truth. It is a source of ideas, nothing more. Chemistry elements are added because a chart needs them and for no other reason - if the conditional-format table needs sulfur, phosphorus, aluminium or niobium then those are added, and if it does not need twelve elements then twelve are not added. THE DEFECT CATALOGUE IS THE HEADLINE. The current six codes at 351, 347, 341, 335, 319 and 294 are nearly uniform, which is a flat Pareto and exactly the boring condition chart 8 was written against. The target is a real plant distribution - one dominant code, two or three meaningful, a moderate, several smaller, and a long tail of rare defects - plus pure-noise codes that exist to be REJECTED, because a correlation page with nothing to reject proves nothing. State the target scale too, and state whether the current roughly one-third scale is sufficient for the population each chart needs.</t>
        </is>
      </c>
      <c r="I16" t="inlineStr">
        <is>
          <t>docs/m1/evidence/presentation_fleet_v2_target.md naming, for every structure: target row count, target cardinality, and the chart or phenomenon that justifies it. No figure appears without the chart that needs it. The defect catalogue is a table of code, target share and role, where role is one of dominant, meaningful, moderate, rare or negative control.</t>
        </is>
      </c>
      <c r="J16" t="n">
        <v>8</v>
      </c>
      <c r="K16" t="inlineStr">
        <is>
          <t>Not Started</t>
        </is>
      </c>
    </row>
    <row r="17" ht="96" customHeight="1">
      <c r="A17" t="inlineStr">
        <is>
          <t>T-016</t>
        </is>
      </c>
      <c r="B17" t="inlineStr">
        <is>
          <t>M1</t>
        </is>
      </c>
      <c r="C17" t="inlineStr">
        <is>
          <t>M1-P1b</t>
        </is>
      </c>
      <c r="D17" t="inlineStr">
        <is>
          <t>Extend the generator: defect catalogue and chemistry elements</t>
        </is>
      </c>
      <c r="E17" t="inlineStr">
        <is>
          <t>Database</t>
        </is>
      </c>
      <c r="F17" t="inlineStr">
        <is>
          <t>Emulated sources</t>
        </is>
      </c>
      <c r="G17" t="inlineStr">
        <is>
          <t>Critical</t>
        </is>
      </c>
      <c r="H17" t="inlineStr">
        <is>
          <t>NEW IN v2.5. EXTEND T-015 into the existing generator. The word is extend: the generator already produces a coherent, deterministic, genealogy-consistent plant and that structure is kept. What changes is the defect code catalogue, its distribution shape, and the chemistry element set on the meltshop source, which today carries only carbon_pct, manganese_pct and silicon_pct. Keep the existing seed and determinism so a regeneration is reproducible. Do not renumber or restructure what already works.</t>
        </is>
      </c>
      <c r="I17" t="inlineStr">
        <is>
          <t>Regenerating with the same seed produces the same output twice. The defect distribution matches the target table within a stated tolerance, with a dominant code and a visible tail. Every chemistry element named in the target exists as a column with a plausible per-grade distribution. The existing genealogy conservation rules still hold: coil width, weight and length against their slab.</t>
        </is>
      </c>
      <c r="J17" t="n">
        <v>10</v>
      </c>
      <c r="K17" t="inlineStr">
        <is>
          <t>Not Started</t>
        </is>
      </c>
    </row>
    <row r="18" ht="96" customHeight="1">
      <c r="A18" t="inlineStr">
        <is>
          <t>T-017</t>
        </is>
      </c>
      <c r="B18" t="inlineStr">
        <is>
          <t>M1</t>
        </is>
      </c>
      <c r="C18" t="inlineStr">
        <is>
          <t>M1-P1b</t>
        </is>
      </c>
      <c r="D18" t="inlineStr">
        <is>
          <t>Extend the generator: grade specification, and shift as BEHAVIOUR</t>
        </is>
      </c>
      <c r="E18" t="inlineStr">
        <is>
          <t>Database</t>
        </is>
      </c>
      <c r="F18" t="inlineStr">
        <is>
          <t>Emulated sources</t>
        </is>
      </c>
      <c r="G18" t="inlineStr">
        <is>
          <t>Critical</t>
        </is>
      </c>
      <c r="H18" t="inlineStr">
        <is>
          <t>REWRITTEN IN v2.6. TWO ADDITIONS to the emulated customer world, never to the product. FIRST a grade_specification source table with grade_code, element_code, min_value, target_value, max_value and unit, so the conditional-format demonstration draws its limits from the customer's own data and never from a literal in PPIQ. SECOND, and this is the part v2.5 had wrong: SHIFT IS BEHAVIOUR, NOT A LABEL. Do NOT add a shift column to a source system that would not realistically record one, just because a chart wants it - that is a fabricated convenience and a customer engineer will smell it. Generate the BEHAVIOUR against a shift and crew calendar: day runs conservatively with lower parameter variance, evening sits between, night carries wider variance or a different operating bias. EXPOSE a crew or shift field ONLY in the source systems where such a field is realistic. Everywhere else the value is DERIVED IN THE TRANSFORMATION from the local timestamp plus a shift_calendar table in the EMULATED CUSTOMER WORLD carrying shift_code, start_local_time, end_local_time, crew_code, effective_from, effective_to and timezone - so the derivation reads customer configuration and never a literal buried in code or in a transformation expression - and mapped onto the existing canonical semantics - process_step_executions.crew_code already exists and no new canonical column is invented. That derivation is also the stronger demonstration: a timestamp, a no-code derived column, shift A B or C, save the transformation, in front of the customer. A ready-made shift column makes the example look easy in the wrong way. Chapter 3 already requires local time and zone handling wherever shift matters, so the derivation is on-contract.</t>
        </is>
      </c>
      <c r="I18" t="inlineStr">
        <is>
          <t>The specification table covers every element the Fleet v2 target names, with at least one heat outside its grade band and at least one inside. The three shift populations are realistic rather than exact thirds. Where a source exposes the field, it is justified in one sentence; where it does not, the derivation exists as a saved transformation and NOT as a hand-written column. The behavioural difference is present in the data before any chart is bound to it.</t>
        </is>
      </c>
      <c r="J18" t="n">
        <v>8</v>
      </c>
      <c r="K18" t="inlineStr">
        <is>
          <t>Not Started</t>
        </is>
      </c>
    </row>
    <row r="19" ht="96" customHeight="1">
      <c r="A19" t="inlineStr">
        <is>
          <t>T-018</t>
        </is>
      </c>
      <c r="B19" t="inlineStr">
        <is>
          <t>M1</t>
        </is>
      </c>
      <c r="C19" t="inlineStr">
        <is>
          <t>M1-P1b</t>
        </is>
      </c>
      <c r="D19" t="inlineStr">
        <is>
          <t>Extend the generator: downtime two quantities and buffer posture</t>
        </is>
      </c>
      <c r="E19" t="inlineStr">
        <is>
          <t>Database</t>
        </is>
      </c>
      <c r="F19" t="inlineStr">
        <is>
          <t>Emulated sources</t>
        </is>
      </c>
      <c r="G19" t="inlineStr">
        <is>
          <t>Critical</t>
        </is>
      </c>
      <c r="H19" t="inlineStr">
        <is>
          <t>NEW IN v2.5, absorbing the downtime half of the old field-gap task. The 210 staged downtime events are GOOD MATERIAL and are kept: nine equipment units with 18 to 32 events each, five reason codes across four categories, durations from 196 to 5,374 seconds. What is missing is the second quantity. The source carries only duration_seconds, so stopped_minutes derives from it, and production_impact_minutes is GENERATED INDEPENDENTLY. Both shapes must exist in the data: stopped 45 with impact 0, where a buffer absorbed it, and stopped 3 with impact 260, where a short stoppage forced a sequence rebuild. TWO DERIVED METRICS, NEITHER STORED, AND NEITHER CAN GO NEGATIVE. buffer_absorbed_minutes = MAX(stopped_minutes - production_impact_minutes, 0) and cascade_amplification_minutes = MAX(production_impact_minutes - stopped_minutes, 0). A plain subtraction was wrong: stopped 3 with impact 260 would report minus 257 minutes of buffer absorption, which is not a quantity that exists. Stopped 45 with impact 0 gives 45 absorbed and 0 cascade; stopped 3 with impact 260 gives 0 absorbed and 257 cascade. The canonical model still stores exactly TWO columns.</t>
        </is>
      </c>
      <c r="I19" t="inlineStr">
        <is>
          <t>A distribution of both quantities showing the two shapes present in meaningful numbers, not as single planted rows. At least one event has stopped minutes above zero with production impact zero. At least one has impact materially exceeding stopped. No code path computes either quantity from the other or from the timestamps.</t>
        </is>
      </c>
      <c r="J19" t="n">
        <v>6</v>
      </c>
      <c r="K19" t="inlineStr">
        <is>
          <t>Not Started</t>
        </is>
      </c>
    </row>
    <row r="20" ht="96" customHeight="1">
      <c r="A20" t="inlineStr">
        <is>
          <t>T-019</t>
        </is>
      </c>
      <c r="B20" t="inlineStr">
        <is>
          <t>M1</t>
        </is>
      </c>
      <c r="C20" t="inlineStr">
        <is>
          <t>M1-P1b</t>
        </is>
      </c>
      <c r="D20" t="inlineStr">
        <is>
          <t>Shift and crew operating-practice regimes</t>
        </is>
      </c>
      <c r="E20" t="inlineStr">
        <is>
          <t>Database</t>
        </is>
      </c>
      <c r="F20" t="inlineStr">
        <is>
          <t>Emulated sources</t>
        </is>
      </c>
      <c r="G20" t="inlineStr">
        <is>
          <t>Very Important</t>
        </is>
      </c>
      <c r="H20" t="inlineStr">
        <is>
          <t>RE-BASELINED IN v2.5: this extends the FLEET V2 generator, not the old one. The behaviour belongs in the generator and the PROOF stays here. It lands BEFORE the single regenerate-and-import cycle, so that one expensive import carries every regime rather than three separate ones. NEW IN v2.4, and it exists because correlation alone does not make 36 charts interesting. Crew rotation is structurally present but the behavioural stories are not. Give each shift an operating PERSONALITY rather than a different mean: day runs more conservatively with lower parameter variance, evening sits between, night carries wider variance or a different operating bias. The critical constraint is that the effect must NOT be global. Night shift should show a higher apparent defect rate, and conditioning on grade must reveal that a large part of the difference was night running a harder grade family - while the higher VARIANCE remains after conditioning, and that residual variance is what actually contributes to defect probability. One phenomenon, eight charts: shift bar, box plot, trend, scatter, correlation, conditioned result, defect Pareto, and an assistant question.</t>
        </is>
      </c>
      <c r="I20" t="inlineStr">
        <is>
          <t>The naive shift comparison shows a difference. The grade-conditioned comparison shrinks the mean difference materially while the variance difference survives. Both recorded in the evidence folder. If the conditioned difference vanishes entirely the confounder is too strong and the phenomenon is uninteresting; if it does not move the confounder is absent and the story does not exist. Both are failures worth naming.</t>
        </is>
      </c>
      <c r="J20" t="n">
        <v>6</v>
      </c>
      <c r="K20" t="inlineStr">
        <is>
          <t>Not Started</t>
        </is>
      </c>
    </row>
    <row r="21" ht="96" customHeight="1">
      <c r="A21" t="inlineStr">
        <is>
          <t>T-020</t>
        </is>
      </c>
      <c r="B21" t="inlineStr">
        <is>
          <t>M1</t>
        </is>
      </c>
      <c r="C21" t="inlineStr">
        <is>
          <t>M1-P1b</t>
        </is>
      </c>
      <c r="D21" t="inlineStr">
        <is>
          <t>Post-maintenance recovery and campaign-ageing regimes</t>
        </is>
      </c>
      <c r="E21" t="inlineStr">
        <is>
          <t>Database</t>
        </is>
      </c>
      <c r="F21" t="inlineStr">
        <is>
          <t>Emulated sources</t>
        </is>
      </c>
      <c r="G21" t="inlineStr">
        <is>
          <t>Very Important</t>
        </is>
      </c>
      <c r="H21" t="inlineStr">
        <is>
          <t>RE-BASELINED IN v2.5: this extends the FLEET V2 generator, not the old one. The behaviour belongs in the generator and the PROOF stays here. It lands BEFORE the single regenerate-and-import cycle, so that one expensive import carries every regime rather than three separate ones. NEW IN v2.4. Ladle reline counters and cold-furnace reheat structure exist, but an explicit post-repair recovery regime does not, and it is one of the most visually convincing behaviours available. After a maintenance event the first heat shows raised power-on time, cycle time, energy per tonne and temperature variance; the second is partly recovered; heats three to five approach normal; then the campaign runs at baseline. Not every repair produces the same effect: an EAF warm-up, a ladle refractory campaign reset, an HSM roll change that improves surface quality initially, and an ageing roll campaign that gradually raises roll-mark and wavy-edge rates are four different shapes. Campaign ageing runs the other way - roll wear, refractory age and tundish age increase gradually across a campaign. Together these make time-series charts show pattern CHANGES rather than random noise, which is the difference between a chart that looks alive and one that looks generated.</t>
        </is>
      </c>
      <c r="I21" t="inlineStr">
        <is>
          <t>A box plot of the first N heats after a maintenance event against steady-campaign heats shows a decaying difference across three to five units. A campaign-age trend shows gradual degradation, not a step. At least two repair types produce materially different recovery shapes. Every assertion is the one written in the matrix, not invented here.</t>
        </is>
      </c>
      <c r="J21" t="n">
        <v>6</v>
      </c>
      <c r="K21" t="inlineStr">
        <is>
          <t>Not Started</t>
        </is>
      </c>
    </row>
    <row r="22" ht="96" customHeight="1">
      <c r="A22" t="inlineStr">
        <is>
          <t>T-021</t>
        </is>
      </c>
      <c r="B22" t="inlineStr">
        <is>
          <t>M1</t>
        </is>
      </c>
      <c r="C22" t="inlineStr">
        <is>
          <t>M1-P1b</t>
        </is>
      </c>
      <c r="D22" t="inlineStr">
        <is>
          <t>Equipment personality and temporal regime changes</t>
        </is>
      </c>
      <c r="E22" t="inlineStr">
        <is>
          <t>Database</t>
        </is>
      </c>
      <c r="F22" t="inlineStr">
        <is>
          <t>Emulated sources</t>
        </is>
      </c>
      <c r="G22" t="inlineStr">
        <is>
          <t>Important</t>
        </is>
      </c>
      <c r="H22" t="inlineStr">
        <is>
          <t>RE-BASELINED IN v2.5: this extends the FLEET V2 generator, not the old one. The behaviour belongs in the generator and the PROOF stays here. It lands BEFORE the single regenerate-and-import cycle, so that one expensive import carries every regime rather than three separate ones. NEW IN v2.4, the remaining two variation families. EQUIPMENT PERSONALITY: the same parameter set behaves differently between two units, so an aggregate view hides a unit-level truth that appears the moment the customer filters by equipment. TEMPORAL REGIME CHANGE: a maintenance event or a change of operating practice shifts behaviour mid-period, so a trend chart shows a regime boundary rather than drift. Both are extensions of structures that already exist rather than new subsystems.</t>
        </is>
      </c>
      <c r="I22" t="inlineStr">
        <is>
          <t>Filtering by equipment changes the shape of at least two charts materially. A trend chart shows a visible regime boundary whose date matches a recorded event in the downtime or maintenance source, so the boundary is explainable rather than decorative.</t>
        </is>
      </c>
      <c r="J22" t="n">
        <v>6</v>
      </c>
      <c r="K22" t="inlineStr">
        <is>
          <t>Not Started</t>
        </is>
      </c>
    </row>
    <row r="23" ht="96" customHeight="1">
      <c r="A23" t="inlineStr">
        <is>
          <t>T-022</t>
        </is>
      </c>
      <c r="B23" t="inlineStr">
        <is>
          <t>M1</t>
        </is>
      </c>
      <c r="C23" t="inlineStr">
        <is>
          <t>M1-P1b</t>
        </is>
      </c>
      <c r="D23" t="inlineStr">
        <is>
          <t>Merge the best existing material into one Fleet v2 truth</t>
        </is>
      </c>
      <c r="E23" t="inlineStr">
        <is>
          <t>Database</t>
        </is>
      </c>
      <c r="F23" t="inlineStr">
        <is>
          <t>Emulated sources</t>
        </is>
      </c>
      <c r="G23" t="inlineStr">
        <is>
          <t>Critical</t>
        </is>
      </c>
      <c r="H23" t="inlineStr">
        <is>
          <t>NEW IN v2.9. Chapter 3 section 4.5.2a fixes the M1 fast path: the presentation database is materialised from one frozen Fleet v2 generator, Docker is connection-test only during M1, and the full external path returns as the sole authority at M2a. This is the ONE controlled merge, and it happens once. The T-013 measurement found the presentation database carrying three generations of the same plant: the enhanced source-shaped donor schemas captured by T-014, an older and roughly three times larger dump population, and canonical rows matching that older generation exactly. Take the SEMANTICS from the captured baseline - the six defect codes, the three chemistry elements, the ladle furnace stage, casting speed, superheat, the richer downtime vocabulary - and take the SCALE LESSONS from the older larger generation. Produce one reconciled Fleet v2 definition in the generator, with a written decision per conflict. DO NOT copy rows between layers to achieve this. Copying a piece here and fixing a piece there is what produced three generations in the first place; the merge is expressed in the generator or it is not expressed.</t>
        </is>
      </c>
      <c r="I23" t="inlineStr">
        <is>
          <t>One reconciled Fleet v2 definition exists in the committed generator with a recorded decision for every conflict between the captured baseline and the older generation. No row was copied between layers to reach it. The captured baseline of T-014 still regenerates byte-identically from its own seed, proving the merge added a definition rather than overwriting the capture. Every semantic element named in the source reconciliation survives the merge or carries a written reason for being dropped.</t>
        </is>
      </c>
      <c r="J23" t="n">
        <v>8</v>
      </c>
      <c r="K23" t="inlineStr">
        <is>
          <t>Not Started</t>
        </is>
      </c>
    </row>
    <row r="24" ht="96" customHeight="1">
      <c r="A24" t="inlineStr">
        <is>
          <t>T-023</t>
        </is>
      </c>
      <c r="B24" t="inlineStr">
        <is>
          <t>M1</t>
        </is>
      </c>
      <c r="C24" t="inlineStr">
        <is>
          <t>M1-P1b</t>
        </is>
      </c>
      <c r="D24" t="inlineStr">
        <is>
          <t>Scale Fleet v2 to the target plant size</t>
        </is>
      </c>
      <c r="E24" t="inlineStr">
        <is>
          <t>Database</t>
        </is>
      </c>
      <c r="F24" t="inlineStr">
        <is>
          <t>Emulated sources</t>
        </is>
      </c>
      <c r="G24" t="inlineStr">
        <is>
          <t>Critical</t>
        </is>
      </c>
      <c r="H24" t="inlineStr">
        <is>
          <t>NEW IN v2.9. The captured baseline is 630 heats and 5,670 coils. That is the size the manual enhancement work happened at, and T-014 deliberately captured it unchanged so that captured existing work stays distinguishable from newly designed enhancement. Scale is a SEPARATE, LATER and VISIBLE step for that reason. Raise the generated plant to the target size - about 2,400 heats and about 17,000 coils - carrying the full enhanced field set. Scale is a generator parameter, never a copy of the older generation's rows. A phenomenon that only appears at one size was an artefact of that size, so every planted behaviour is re-proved after scaling.</t>
        </is>
      </c>
      <c r="I24" t="inlineStr">
        <is>
          <t>The generator produces the target size from a parameter, deterministically, from the same seed family. Every planted phenomenon declared so far still holds after scaling, measured rather than assumed, and any that does not is recorded as a finding before the phase continues. Row counts, cardinalities and categorical distributions are reported at both sizes side by side. The smaller captured baseline remains reproducible, so the two sizes are two outputs of one generator rather than two datasets.</t>
        </is>
      </c>
      <c r="J24" t="n">
        <v>6</v>
      </c>
      <c r="K24" t="inlineStr">
        <is>
          <t>Not Started</t>
        </is>
      </c>
    </row>
    <row r="25" ht="96" customHeight="1">
      <c r="A25" t="inlineStr">
        <is>
          <t>T-024</t>
        </is>
      </c>
      <c r="B25" t="inlineStr">
        <is>
          <t>M1</t>
        </is>
      </c>
      <c r="C25" t="inlineStr">
        <is>
          <t>M1-P1b</t>
        </is>
      </c>
      <c r="D25" t="inlineStr">
        <is>
          <t>Emit and populate the presentation canonical operational entities</t>
        </is>
      </c>
      <c r="E25" t="inlineStr">
        <is>
          <t>Database</t>
        </is>
      </c>
      <c r="F25" t="inlineStr">
        <is>
          <t>Presentation data</t>
        </is>
      </c>
      <c r="G25" t="inlineStr">
        <is>
          <t>Critical</t>
        </is>
      </c>
      <c r="H25" t="inlineStr">
        <is>
          <t>NEW IN v2.9, replacing the import-and-project contracts that assumed a live M1 pipeline. Chapter 3 section 4.5.2a fixes the M1 fast path: the presentation database is materialised from one frozen Fleet v2 generator, Docker is connection-test only during M1, and the full external path returns as the sole authority at M2a. Materialise the canonical operational entities of the presentation database - material units, parameter observations, quality events, downtime events, genealogy edges and their identity resolution - directly from the frozen Fleet v2 generator. PREPARED ROWS ARE PERMITTED; PRESENTATION-ONLY PRODUCT BEHAVIOUR IS NOT. A surface that would refuse on real customer data refuses here too, and no code path may exist that only runs because this is the presentation database. The older canonical population and its provenance residue - the un-neutralised source system label, the unexplained baseline rows, the stale import batches and the validation-fixture and DEMO-vocabulary mappings - are replaced, not merged with, the new population, and only after the replacement rows exist.</t>
        </is>
      </c>
      <c r="I25" t="inlineStr">
        <is>
          <t>Every canonical operational entity is populated from the generator and from nothing else. No row of the older generation survives, proved by a provenance query returning zero rows outside the Fleet v2 label. Genealogy is complete and conserved: every coil resolves to a slab, a sequence and a heat, with no orphan and no cycle. The downtime two-quantity contract closed in T-009 is populated from a real source field rather than defaulted. No widget bound before this task is left pointing at a deleted row.</t>
        </is>
      </c>
      <c r="J25" t="n">
        <v>8</v>
      </c>
      <c r="K25" t="inlineStr">
        <is>
          <t>Not Started</t>
        </is>
      </c>
    </row>
    <row r="26" ht="96" customHeight="1">
      <c r="A26" t="inlineStr">
        <is>
          <t>T-025</t>
        </is>
      </c>
      <c r="B26" t="inlineStr">
        <is>
          <t>M1</t>
        </is>
      </c>
      <c r="C26" t="inlineStr">
        <is>
          <t>M1-P1b</t>
        </is>
      </c>
      <c r="D26" t="inlineStr">
        <is>
          <t>Compute and populate the presentation analysis entities with the real engines</t>
        </is>
      </c>
      <c r="E26" t="inlineStr">
        <is>
          <t>Analytics</t>
        </is>
      </c>
      <c r="F26" t="inlineStr">
        <is>
          <t>Presentation data</t>
        </is>
      </c>
      <c r="G26" t="inlineStr">
        <is>
          <t>Critical</t>
        </is>
      </c>
      <c r="H26" t="inlineStr">
        <is>
          <t>NEW IN v2.9. The analysis surfaces need correlation results, feature values, outcome values, readiness states and findings present in the presentation database before the customer meeting. THESE ARE COMPUTED, NEVER AUTHORED. Run the product's own statistical, correlation, feature and readiness engines over the canonical operational entities and persist what they return. Writing plausible-looking analysis rows by hand would make every intelligence surface in the demonstration theatre, and would break the design law that prepared data is permitted while presentation-only behaviour is not. Where an engine legitimately refuses - insufficient support, readiness not met - THE REFUSAL IS THE RESULT AND IS PERSISTED AS SUCH, because a readiness gate reporting a measured value beside its threshold is the product working rather than the product missing.</t>
        </is>
      </c>
      <c r="I26" t="inlineStr">
        <is>
          <t>Every analysis entity row carries a compute run identity that names the engine, its inputs and its version. No analysis row exists without one. Re-running the engines over the same canonical data reproduces the same results, so the analysis layer is derived rather than stored opinion. At least one genuine refusal is present and rendered honestly on its surface. No hand-authored row is present anywhere in the analysis entities, proved by the compute-run coverage query returning full coverage.</t>
        </is>
      </c>
      <c r="J26" t="n">
        <v>8</v>
      </c>
      <c r="K26" t="inlineStr">
        <is>
          <t>Not Started</t>
        </is>
      </c>
    </row>
    <row r="27" ht="96" customHeight="1">
      <c r="A27" t="inlineStr">
        <is>
          <t>T-026</t>
        </is>
      </c>
      <c r="B27" t="inlineStr">
        <is>
          <t>M1</t>
        </is>
      </c>
      <c r="C27" t="inlineStr">
        <is>
          <t>M1-P1b</t>
        </is>
      </c>
      <c r="D27" t="inlineStr">
        <is>
          <t>Phenomenon test harness: manifest schema and runner</t>
        </is>
      </c>
      <c r="E27" t="inlineStr">
        <is>
          <t>Testing</t>
        </is>
      </c>
      <c r="F27" t="inlineStr">
        <is>
          <t>Presentation data</t>
        </is>
      </c>
      <c r="G27" t="inlineStr">
        <is>
          <t>Critical</t>
        </is>
      </c>
      <c r="H27" t="inlineStr">
        <is>
          <t>NEW IN v2.6. v2.5 allowed six hours to prove roughly 104 phenomena, which is achievable ONLY if the validation is parameterised and is nowhere near enough if a junior writes sixty to a hundred bespoke SQL tests one at a time. Build the harness instead. Manifest columns: phenomenon_id, population_query, expected_direction, minimum_population, expected_effect_band, conditioning_variable, expected_after_conditioning, negative_control. The runner walks the manifest and reports per row: population met or not, direction matched, effect inside its band, conditioned result inside its band, and negative control silent. A NEGATIVE CONTROL THAT STARTS CORRELATING IS A FAILURE, not a curiosity. This is what keeps the fleet changeable later without re-doing the whole QA pass from scratch.</t>
        </is>
      </c>
      <c r="I27" t="inlineStr">
        <is>
          <t>The harness runs against a manifest of at least three hand-checked phenomena and produces a pass, a fail and a refusal, all three demonstrated. A phenomenon whose population is below its minimum reports INSUFFICIENT rather than passing quietly. The runner exits non-zero if any row fails.</t>
        </is>
      </c>
      <c r="J27" t="n">
        <v>6</v>
      </c>
      <c r="K27" t="inlineStr">
        <is>
          <t>Not Started</t>
        </is>
      </c>
    </row>
    <row r="28" ht="96" customHeight="1">
      <c r="A28" t="inlineStr">
        <is>
          <t>T-027</t>
        </is>
      </c>
      <c r="B28" t="inlineStr">
        <is>
          <t>M1</t>
        </is>
      </c>
      <c r="C28" t="inlineStr">
        <is>
          <t>M1-P1b</t>
        </is>
      </c>
      <c r="D28" t="inlineStr">
        <is>
          <t>Populate the manifest and prove every phenomenon</t>
        </is>
      </c>
      <c r="E28" t="inlineStr">
        <is>
          <t>Testing</t>
        </is>
      </c>
      <c r="F28" t="inlineStr">
        <is>
          <t>Presentation data</t>
        </is>
      </c>
      <c r="G28" t="inlineStr">
        <is>
          <t>Critical</t>
        </is>
      </c>
      <c r="H28" t="inlineStr">
        <is>
          <t>NEW IN v2.6, and it CLOSES the reopened matrix. Fill T-026 from the phenomena matrix declared in T-008, whose parts one and two closed as PRE-GENERATION SPECIFICATIONS before any generator work, one manifest row per phenomenon, and run it against the prepared presentation canonical operational and analysis entities, which under the M1 fast path of Chapter 3 section 4.5.2a are materialised from the frozen Fleet v2 generator rather than imported during M1. THE BANDS ARE NOT WRITTEN FROM THIS DATA. Expected direction, acceptable band and negative control were PREDECLARED in T-008 and refined in T-015, both before the data existed. This task MEASURES the observed effect and tests it against that predeclared target. Writing the band from the data and then testing the data against it is a self-fulfilling test and proves nothing. Where an observed effect falls outside its PREDECLARED band, the finding is recorded and the phenomenon is either fixed in the generator - triggering a corrective regeneration - or removed from the matrix with a written reason. THE BAND IS NEVER WIDENED TO MAKE A ROW PASS. Widening a predeclared band after seeing the result is the same defect as writing it from the result.</t>
        </is>
      </c>
      <c r="I28" t="inlineStr">
        <is>
          <t>Every phenomenon in the matrix has a manifest row and a result. The reopened parts one and two of the coverage matrix are rewritten against measured reality and closed. Every one of the 36 charts references at least one phenomenon that the harness proves. Every negative control is silent. A failure here may trigger a corrective rerun of T-024 and everything downstream of it; that rerun is recorded as a correction, never treated as routine.</t>
        </is>
      </c>
      <c r="J28" t="n">
        <v>6</v>
      </c>
      <c r="K28" t="inlineStr">
        <is>
          <t>Not Started</t>
        </is>
      </c>
    </row>
    <row r="29" ht="96" customHeight="1">
      <c r="A29" t="inlineStr">
        <is>
          <t>T-028</t>
        </is>
      </c>
      <c r="B29" t="inlineStr">
        <is>
          <t>M1</t>
        </is>
      </c>
      <c r="C29" t="inlineStr">
        <is>
          <t>M1-P1b</t>
        </is>
      </c>
      <c r="D29" t="inlineStr">
        <is>
          <t>Verify the confounded correlation and the insufficient-support refusal</t>
        </is>
      </c>
      <c r="E29" t="inlineStr">
        <is>
          <t>Database</t>
        </is>
      </c>
      <c r="F29" t="inlineStr">
        <is>
          <t>Emulated sources</t>
        </is>
      </c>
      <c r="G29" t="inlineStr">
        <is>
          <t>Critical</t>
        </is>
      </c>
      <c r="H29" t="inlineStr">
        <is>
          <t>RESCOPED IN v2.3 FROM 8 HOURS TO 2. Both phenomena appear to be present already: the seventeen relations include several where an aggregate association changes materially once grade or thickness is conditioned on, and the control defects SCRATCH, DENT and SEAM are deliberately uncorrelated. So the work is to PROVE both, not to plant them. Run the naive analysis, then the conditioned analysis, and record the difference. Then find or create one outcome that has genuine data but too few independent units or outcome events to pass the readiness gate - thresholds in ReadinessGate.cs are heats 60 ready and 30 partial, events 40 and 15, minority 0.10 and 0.03, completeness 0.95 and 0.85. Do not weaken any threshold to produce either result.</t>
        </is>
      </c>
      <c r="I29" t="inlineStr">
        <is>
          <t>A recorded finding that survives naive analysis and is reported as not surviving stratification, and a recorded Blocked outcome whose reason names the measured value and its threshold. Both outputs in the evidence folder. If either cannot be produced from the existing data, that is the finding, and the remedy is a small generator change with its own estimate rather than a threshold change.</t>
        </is>
      </c>
      <c r="J29" t="n">
        <v>2</v>
      </c>
      <c r="K29" t="inlineStr">
        <is>
          <t>Not Started</t>
        </is>
      </c>
    </row>
    <row r="30" ht="96" customHeight="1">
      <c r="A30" t="inlineStr">
        <is>
          <t>T-029</t>
        </is>
      </c>
      <c r="B30" t="inlineStr">
        <is>
          <t>M1</t>
        </is>
      </c>
      <c r="C30" t="inlineStr">
        <is>
          <t>M1-P1b</t>
        </is>
      </c>
      <c r="D30" t="inlineStr">
        <is>
          <t>Five-layer realism audit of the emulated plant</t>
        </is>
      </c>
      <c r="E30" t="inlineStr">
        <is>
          <t>Database</t>
        </is>
      </c>
      <c r="F30" t="inlineStr">
        <is>
          <t>Presentation data</t>
        </is>
      </c>
      <c r="G30" t="inlineStr">
        <is>
          <t>Very Important</t>
        </is>
      </c>
      <c r="H30" t="inlineStr">
        <is>
          <t>REPLACES the previous data-quality pass and is broader for the same hours. Five layers, in order. STRUCTURAL: key continuity across the eight independent sources - Meltshop PostgreSQL, Caster Oracle, HSM Oracle, PKL MSSQL, Downtime MySQL, Parsytec MySQL, Yard file and QA file - so heat to slab to coil to inspection resolves end to end. PHYSICAL: dimensions, weight, temperature, speed and chemistry plausible AND cross-field consistent, because a slab whose width, thickness and length imply a volume that contradicts its stated weight is wrong even when every single value looks industrial on its own. TEMPORAL: EAF then LF then caster then HSM then inspection then yard, with no step preceding its predecessor. STATISTICAL: natural variation, noise, outliers and shifts rather than uniform random. ANALYTICAL: every phenomenon in the manifest is discoverable through the product rather than asserted anywhere.</t>
        </is>
      </c>
      <c r="I30" t="inlineStr">
        <is>
          <t>One SQL script per layer returning zero offending rows. The physical layer must include the density cross-check: derived volume times steel density compared against stated weight, within a stated tolerance. The genealogy weight check is already enforced by a database trigger, so confirm it fires by attempting an invalid insert inside a transaction and rolling back.</t>
        </is>
      </c>
      <c r="J30" t="n">
        <v>4</v>
      </c>
      <c r="K30" t="inlineStr">
        <is>
          <t>Not Started</t>
        </is>
      </c>
    </row>
    <row r="31" ht="96" customHeight="1">
      <c r="A31" t="inlineStr">
        <is>
          <t>T-030</t>
        </is>
      </c>
      <c r="B31" t="inlineStr">
        <is>
          <t>M1</t>
        </is>
      </c>
      <c r="C31" t="inlineStr">
        <is>
          <t>M1-P2</t>
        </is>
      </c>
      <c r="D31" t="inlineStr">
        <is>
          <t>Emit and populate the presentation staging representation, source-shaped</t>
        </is>
      </c>
      <c r="E31" t="inlineStr">
        <is>
          <t>Database</t>
        </is>
      </c>
      <c r="F31" t="inlineStr">
        <is>
          <t>Presentation data</t>
        </is>
      </c>
      <c r="G31" t="inlineStr">
        <is>
          <t>Critical</t>
        </is>
      </c>
      <c r="H31" t="inlineStr">
        <is>
          <t>NEW IN v2.9, and it opens M1-P2 because it is the direct prerequisite of the authoring shell. Chapter 3 section 4.5.2a fixes the M1 fast path: the presentation database is materialised from one frozen Fleet v2 generator, Docker is connection-test only during M1, and the full external path returns as the sole authority at M2a. Materialise the staging representation of the presentation database from the same frozen Fleet v2 generator, SOURCE-SHAPED AND UNPREPARED: the selected tables and the selected columns as a customer system would expose them, before any join, derivation or linking. This is what the schema tree, the no-code canvas, the wiring surface, the SQL editor and the preview read, so it must look like customer data rather than like a finished model. Its row counts are NOT expected to equal the canonical layer, because one is source-shaped and one is canonical, and a test asserting equality would be wrong.</t>
        </is>
      </c>
      <c r="I31" t="inlineStr">
        <is>
          <t>The staging representation is populated from the generator alone and is genuinely unprepared: no derived column, no pre-joined view, no canonical vocabulary leaking into a source-shaped table. The schema tree, canvas, SQL editor and preview all read it successfully. Identities match the canonical layer exactly - a coil visible here is the same coil there - while row counts differ as expected and the difference is recorded rather than treated as a defect.</t>
        </is>
      </c>
      <c r="J31" t="n">
        <v>8</v>
      </c>
      <c r="K31" t="inlineStr">
        <is>
          <t>Not Started</t>
        </is>
      </c>
    </row>
    <row r="32" ht="96" customHeight="1">
      <c r="A32" t="inlineStr">
        <is>
          <t>T-031</t>
        </is>
      </c>
      <c r="B32" t="inlineStr">
        <is>
          <t>M1</t>
        </is>
      </c>
      <c r="C32" t="inlineStr">
        <is>
          <t>M1-P2</t>
        </is>
      </c>
      <c r="D32" t="inlineStr">
        <is>
          <t>Certify cross-layer consistency across staging, canonical and analysis</t>
        </is>
      </c>
      <c r="E32" t="inlineStr">
        <is>
          <t>Database</t>
        </is>
      </c>
      <c r="F32" t="inlineStr">
        <is>
          <t>Presentation data</t>
        </is>
      </c>
      <c r="G32" t="inlineStr">
        <is>
          <t>Critical</t>
        </is>
      </c>
      <c r="H32" t="inlineStr">
        <is>
          <t>NEW IN v2.9, and it is the gate that makes the fast path safe rather than merely fast. THE CUSTOMER MUST NEVER SEE ONE PLANT IN THE CANVAS AND ANOTHER PLANT IN THE DASHBOARD. Certify that the staging, canonical operational and analysis layers describe one Fleet v2 plant: same grades, same equipment identities, same defect vocabulary, same downtime semantics, same chemistry vocabulary, same QA definitions and units, same genealogy, same time horizon where both layers carry one, and the same planted phenomena. The certification is a TEST that fails the build, not a document. Row counts across layers are explicitly NOT compared, because the layers are shaped differently by design; what is compared is the plant universe.</t>
        </is>
      </c>
      <c r="I32" t="inlineStr">
        <is>
          <t>A named test asserts every consistency dimension above and fails the build on any divergence. A deliberate injected divergence - one defect code present in one layer only - makes it fail, proving the gate is switched on. The generator version and seed behind all three layers are identical and recorded. The certification runs in CI rather than by hand, so a later change that breaks consistency is caught by the pipeline rather than in the room.</t>
        </is>
      </c>
      <c r="J32" t="n">
        <v>6</v>
      </c>
      <c r="K32" t="inlineStr">
        <is>
          <t>Not Started</t>
        </is>
      </c>
    </row>
    <row r="33" ht="96" customHeight="1">
      <c r="A33" t="inlineStr">
        <is>
          <t>T-032</t>
        </is>
      </c>
      <c r="B33" t="inlineStr">
        <is>
          <t>M1</t>
        </is>
      </c>
      <c r="C33" t="inlineStr">
        <is>
          <t>M1-P2</t>
        </is>
      </c>
      <c r="D33" t="inlineStr">
        <is>
          <t>Shared Authoring Shell, part 1: the shell contract and the four regions</t>
        </is>
      </c>
      <c r="E33" t="inlineStr">
        <is>
          <t>Frontend</t>
        </is>
      </c>
      <c r="F33" t="inlineStr">
        <is>
          <t>UI/UX no-code frontend</t>
        </is>
      </c>
      <c r="G33" t="inlineStr">
        <is>
          <t>Critical</t>
        </is>
      </c>
      <c r="H33" t="inlineStr">
        <is>
          <t>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t>
        </is>
      </c>
      <c r="I33" t="inlineStr">
        <is>
          <t>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t>
        </is>
      </c>
      <c r="J33" t="n">
        <v>12</v>
      </c>
      <c r="K33" t="inlineStr">
        <is>
          <t>Not Started</t>
        </is>
      </c>
    </row>
    <row r="34" ht="96" customHeight="1">
      <c r="A34" t="inlineStr">
        <is>
          <t>T-033</t>
        </is>
      </c>
      <c r="B34" t="inlineStr">
        <is>
          <t>M1</t>
        </is>
      </c>
      <c r="C34" t="inlineStr">
        <is>
          <t>M1-P2</t>
        </is>
      </c>
      <c r="D34" t="inlineStr">
        <is>
          <t>Shared Authoring Shell, part 2: relational block grammar on the board</t>
        </is>
      </c>
      <c r="E34" t="inlineStr">
        <is>
          <t>Frontend</t>
        </is>
      </c>
      <c r="F34" t="inlineStr">
        <is>
          <t>UI/UX no-code frontend</t>
        </is>
      </c>
      <c r="G34" t="inlineStr">
        <is>
          <t>Critical</t>
        </is>
      </c>
      <c r="H34" t="inlineStr">
        <is>
          <t>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t>
        </is>
      </c>
      <c r="I34" t="inlineStr">
        <is>
          <t>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t>
        </is>
      </c>
      <c r="J34" t="n">
        <v>12</v>
      </c>
      <c r="K34" t="inlineStr">
        <is>
          <t>Not Started</t>
        </is>
      </c>
    </row>
    <row r="35" ht="96" customHeight="1">
      <c r="A35" t="inlineStr">
        <is>
          <t>T-034</t>
        </is>
      </c>
      <c r="B35" t="inlineStr">
        <is>
          <t>M1</t>
        </is>
      </c>
      <c r="C35" t="inlineStr">
        <is>
          <t>M1-P2</t>
        </is>
      </c>
      <c r="D35" t="inlineStr">
        <is>
          <t>Registry-driven schema, table and attribute tree</t>
        </is>
      </c>
      <c r="E35" t="inlineStr">
        <is>
          <t>Frontend</t>
        </is>
      </c>
      <c r="F35" t="inlineStr">
        <is>
          <t>UI/UX no-code frontend</t>
        </is>
      </c>
      <c r="G35" t="inlineStr">
        <is>
          <t>Very Important</t>
        </is>
      </c>
      <c r="H35" t="inlineStr">
        <is>
          <t>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t>
        </is>
      </c>
      <c r="I35" t="inlineStr">
        <is>
          <t>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t>
        </is>
      </c>
      <c r="J35" t="n">
        <v>10</v>
      </c>
      <c r="K35" t="inlineStr">
        <is>
          <t>Not Started</t>
        </is>
      </c>
    </row>
    <row r="36" ht="96" customHeight="1">
      <c r="A36" t="inlineStr">
        <is>
          <t>T-035</t>
        </is>
      </c>
      <c r="B36" t="inlineStr">
        <is>
          <t>M1</t>
        </is>
      </c>
      <c r="C36" t="inlineStr">
        <is>
          <t>M1-P2</t>
        </is>
      </c>
      <c r="D36" t="inlineStr">
        <is>
          <t>Compiled-SQL pane and debug log with rows and cost</t>
        </is>
      </c>
      <c r="E36" t="inlineStr">
        <is>
          <t>Frontend</t>
        </is>
      </c>
      <c r="F36" t="inlineStr">
        <is>
          <t>SQL Editor</t>
        </is>
      </c>
      <c r="G36" t="inlineStr">
        <is>
          <t>Very Important</t>
        </is>
      </c>
      <c r="H36" t="inlineStr">
        <is>
          <t>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is>
      </c>
      <c r="I36" t="inlineStr">
        <is>
          <t>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is>
      </c>
      <c r="J36" t="n">
        <v>8</v>
      </c>
      <c r="K36" t="inlineStr">
        <is>
          <t>Not Started</t>
        </is>
      </c>
    </row>
    <row r="37" ht="96" customHeight="1">
      <c r="A37" t="inlineStr">
        <is>
          <t>T-036</t>
        </is>
      </c>
      <c r="B37" t="inlineStr">
        <is>
          <t>M1</t>
        </is>
      </c>
      <c r="C37" t="inlineStr">
        <is>
          <t>M1-P2</t>
        </is>
      </c>
      <c r="D37" t="inlineStr">
        <is>
          <t>SQL mode: safe editor, run test, returned columns and the reconstructability rule</t>
        </is>
      </c>
      <c r="E37" t="inlineStr">
        <is>
          <t>Frontend</t>
        </is>
      </c>
      <c r="F37" t="inlineStr">
        <is>
          <t>SQL Editor</t>
        </is>
      </c>
      <c r="G37" t="inlineStr">
        <is>
          <t>Critical</t>
        </is>
      </c>
      <c r="H37" t="inlineStr">
        <is>
          <t>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t>
        </is>
      </c>
      <c r="I37" t="inlineStr">
        <is>
          <t>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t>
        </is>
      </c>
      <c r="J37" t="n">
        <v>12</v>
      </c>
      <c r="K37" t="inlineStr">
        <is>
          <t>Not Started</t>
        </is>
      </c>
    </row>
    <row r="38" ht="96" customHeight="1">
      <c r="A38" t="inlineStr">
        <is>
          <t>T-037</t>
        </is>
      </c>
      <c r="B38" t="inlineStr">
        <is>
          <t>M1</t>
        </is>
      </c>
      <c r="C38" t="inlineStr">
        <is>
          <t>M1-P2</t>
        </is>
      </c>
      <c r="D38" t="inlineStr">
        <is>
          <t>Certify returned-column role mapping inside the S2 shell</t>
        </is>
      </c>
      <c r="E38" t="inlineStr">
        <is>
          <t>Frontend</t>
        </is>
      </c>
      <c r="F38" t="inlineStr">
        <is>
          <t>UI/UX no-code frontend</t>
        </is>
      </c>
      <c r="G38" t="inlineStr">
        <is>
          <t>Important</t>
        </is>
      </c>
      <c r="H38" t="inlineStr">
        <is>
          <t>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t>
        </is>
      </c>
      <c r="I38" t="inlineStr">
        <is>
          <t>Assign roles inside the shell, re-run the query unchanged, confirm roles persist. Edit the query to drop a mapped column, re-run, and confirm the stale-role warning names the missing column.</t>
        </is>
      </c>
      <c r="J38" t="n">
        <v>3</v>
      </c>
      <c r="K38" t="inlineStr">
        <is>
          <t>Not Started</t>
        </is>
      </c>
    </row>
    <row r="39" ht="96" customHeight="1">
      <c r="A39" t="inlineStr">
        <is>
          <t>T-038</t>
        </is>
      </c>
      <c r="B39" t="inlineStr">
        <is>
          <t>M1</t>
        </is>
      </c>
      <c r="C39" t="inlineStr">
        <is>
          <t>M1-P2</t>
        </is>
      </c>
      <c r="D39" t="inlineStr">
        <is>
          <t>Add Widget and Edit Widget open the shared shell in S2 mode</t>
        </is>
      </c>
      <c r="E39" t="inlineStr">
        <is>
          <t>Frontend</t>
        </is>
      </c>
      <c r="F39" t="inlineStr">
        <is>
          <t>Dashboard</t>
        </is>
      </c>
      <c r="G39" t="inlineStr">
        <is>
          <t>Critical</t>
        </is>
      </c>
      <c r="H39" t="inlineStr">
        <is>
          <t>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t>
        </is>
      </c>
      <c r="I39" t="inlineStr">
        <is>
          <t>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t>
        </is>
      </c>
      <c r="J39" t="n">
        <v>12</v>
      </c>
      <c r="K39" t="inlineStr">
        <is>
          <t>Not Started</t>
        </is>
      </c>
    </row>
    <row r="40" ht="96" customHeight="1">
      <c r="A40" t="inlineStr">
        <is>
          <t>T-039</t>
        </is>
      </c>
      <c r="B40" t="inlineStr">
        <is>
          <t>M1</t>
        </is>
      </c>
      <c r="C40" t="inlineStr">
        <is>
          <t>M1-P2</t>
        </is>
      </c>
      <c r="D40" t="inlineStr">
        <is>
          <t>Final definition service interface with a compatibility adapter</t>
        </is>
      </c>
      <c r="E40" t="inlineStr">
        <is>
          <t>Backend</t>
        </is>
      </c>
      <c r="F40" t="inlineStr">
        <is>
          <t>Definition store</t>
        </is>
      </c>
      <c r="G40" t="inlineStr">
        <is>
          <t>Critical</t>
        </is>
      </c>
      <c r="H40" t="inlineStr">
        <is>
          <t>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M2a can replace the storage without the UI moving. Create IDefinitionService with Create, Update, GetCurrent, GetVersion, ListVersions and Publish, taking a definition kind. CORRECTED IN v2.2: the kind enum was missing S4. The one-shell contract runs S1 to S5, so the enum must carry Transformation (S1), Page, Widget (S2), Analysis (S3), Model (S4) and LogRule (S5), plus the S2 sub-kinds the design also versions - MasterDimension, MasterMeasure, Filter, Hierarchy and Bookmark. Declare the full enum now even where M1 stores only some of them: an external contract that has to gain a member in M2a was never final.</t>
        </is>
      </c>
      <c r="I40" t="inlineStr">
        <is>
          <t>An integration test that creates a widget definition through IDefinitionService, reads it back by version, updates it, and confirms two versions exist. The test must not reference any concrete table name, so that it still passes unchanged after M2a replaces the storage - that is the real acceptance criterion. A second test asserting the kind enum contains all eleven members, so the contract cannot quietly narrow.</t>
        </is>
      </c>
      <c r="J40" t="n">
        <v>12</v>
      </c>
      <c r="K40" t="inlineStr">
        <is>
          <t>Not Started</t>
        </is>
      </c>
    </row>
    <row r="41" ht="96" customHeight="1">
      <c r="A41" t="inlineStr">
        <is>
          <t>T-040</t>
        </is>
      </c>
      <c r="B41" t="inlineStr">
        <is>
          <t>M1</t>
        </is>
      </c>
      <c r="C41" t="inlineStr">
        <is>
          <t>M1-P2</t>
        </is>
      </c>
      <c r="D41" t="inlineStr">
        <is>
          <t>Authoring states, keyboard path, RTL and error wording</t>
        </is>
      </c>
      <c r="E41" t="inlineStr">
        <is>
          <t>Frontend</t>
        </is>
      </c>
      <c r="F41" t="inlineStr">
        <is>
          <t>UI/UX no-code frontend</t>
        </is>
      </c>
      <c r="G41" t="inlineStr">
        <is>
          <t>Very Important</t>
        </is>
      </c>
      <c r="H41" t="inlineStr">
        <is>
          <t>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t>
        </is>
      </c>
      <c r="I41" t="inlineStr">
        <is>
          <t>Run npm run test and the architecture suite; both green. Complete one full authoring scenario using only the keyboard. Switch the document direction to rtl and screenshot both modes.</t>
        </is>
      </c>
      <c r="J41" t="n">
        <v>8</v>
      </c>
      <c r="K41" t="inlineStr">
        <is>
          <t>Not Started</t>
        </is>
      </c>
    </row>
    <row r="42" ht="96" customHeight="1">
      <c r="A42" t="inlineStr">
        <is>
          <t>T-041</t>
        </is>
      </c>
      <c r="B42" t="inlineStr">
        <is>
          <t>M1</t>
        </is>
      </c>
      <c r="C42" t="inlineStr">
        <is>
          <t>M1-P3</t>
        </is>
      </c>
      <c r="D42" t="inlineStr">
        <is>
          <t>D2 Page Builder, part 1: create a page and reach the shared shell</t>
        </is>
      </c>
      <c r="E42" t="inlineStr">
        <is>
          <t>Frontend</t>
        </is>
      </c>
      <c r="F42" t="inlineStr">
        <is>
          <t>Dashboard</t>
        </is>
      </c>
      <c r="G42" t="inlineStr">
        <is>
          <t>Critical</t>
        </is>
      </c>
      <c r="H42" t="inlineStr">
        <is>
          <t>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CORRECTED IN v2.2: widget KINDS are structural product grammar and are FIXED, exactly like chart types and the numeric safety limits - what is customer-driven is dimensions, measures, filters and data, and the chart catalogue arrives from metadata. Serve the kinds from the metadata endpoint if you wish, but do not build an extension path for them. M1 does not need the final definition_store; the adapter from T-039 carries the persistence.</t>
        </is>
      </c>
      <c r="I42" t="inlineStr">
        <is>
          <t>From an empty state, create a page, give it a name and code, and land on an empty 12-column grid. Press Add Widget and confirm the picker offers exactly the final structural kind set returned by the metadata endpoint - no more, no fewer, and no compiled list in the reducer. VALIDATION CORRECTED IN v2.2: do not test by adding a kind through the registry, because a customer adding a structural kind is not a design contract. Test instead that the endpoint returns the final allowed kinds and that the reducer contains no hardcoded widget library.</t>
        </is>
      </c>
      <c r="J42" t="n">
        <v>6</v>
      </c>
      <c r="K42" t="inlineStr">
        <is>
          <t>Not Started</t>
        </is>
      </c>
    </row>
    <row r="43" ht="96" customHeight="1">
      <c r="A43" t="inlineStr">
        <is>
          <t>T-042</t>
        </is>
      </c>
      <c r="B43" t="inlineStr">
        <is>
          <t>M1</t>
        </is>
      </c>
      <c r="C43" t="inlineStr">
        <is>
          <t>M1-P3</t>
        </is>
      </c>
      <c r="D43" t="inlineStr">
        <is>
          <t>D2 Page Builder, part 2: arrange, save layout and publish</t>
        </is>
      </c>
      <c r="E43" t="inlineStr">
        <is>
          <t>Frontend</t>
        </is>
      </c>
      <c r="F43" t="inlineStr">
        <is>
          <t>Dashboard</t>
        </is>
      </c>
      <c r="G43" t="inlineStr">
        <is>
          <t>Critical</t>
        </is>
      </c>
      <c r="H43" t="inlineStr">
        <is>
          <t>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t>
        </is>
      </c>
      <c r="I43" t="inlineStr">
        <is>
          <t>Create a page, add two widgets through the shell, arrange them, save the layout, hard-reload, and confirm the arrangement is identical. Publish it and confirm it appears in the Workspaces navigation group. Delete the draft and confirm it does not.</t>
        </is>
      </c>
      <c r="J43" t="n">
        <v>6</v>
      </c>
      <c r="K43" t="inlineStr">
        <is>
          <t>Not Started</t>
        </is>
      </c>
    </row>
    <row r="44" ht="96" customHeight="1">
      <c r="A44" t="inlineStr">
        <is>
          <t>T-043</t>
        </is>
      </c>
      <c r="B44" t="inlineStr">
        <is>
          <t>M1</t>
        </is>
      </c>
      <c r="C44" t="inlineStr">
        <is>
          <t>M1-P3</t>
        </is>
      </c>
      <c r="D44" t="inlineStr">
        <is>
          <t>Bring the workspace to the final D1 anatomy</t>
        </is>
      </c>
      <c r="E44" t="inlineStr">
        <is>
          <t>Frontend</t>
        </is>
      </c>
      <c r="F44" t="inlineStr">
        <is>
          <t>Dashboard</t>
        </is>
      </c>
      <c r="G44" t="inlineStr">
        <is>
          <t>Critical</t>
        </is>
      </c>
      <c r="H44" t="inlineStr">
        <is>
          <t>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t>
        </is>
      </c>
      <c r="I44" t="inlineStr">
        <is>
          <t>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t>
        </is>
      </c>
      <c r="J44" t="n">
        <v>12</v>
      </c>
      <c r="K44" t="inlineStr">
        <is>
          <t>Not Started</t>
        </is>
      </c>
    </row>
    <row r="45" ht="96" customHeight="1">
      <c r="A45" t="inlineStr">
        <is>
          <t>T-044</t>
        </is>
      </c>
      <c r="B45" t="inlineStr">
        <is>
          <t>M1</t>
        </is>
      </c>
      <c r="C45" t="inlineStr">
        <is>
          <t>M1-P3</t>
        </is>
      </c>
      <c r="D45" t="inlineStr">
        <is>
          <t>Certify the three operational dashboards and fix their bindings</t>
        </is>
      </c>
      <c r="E45" t="inlineStr">
        <is>
          <t>Frontend</t>
        </is>
      </c>
      <c r="F45" t="inlineStr">
        <is>
          <t>Dashboard</t>
        </is>
      </c>
      <c r="G45" t="inlineStr">
        <is>
          <t>Critical</t>
        </is>
      </c>
      <c r="H45" t="inlineStr">
        <is>
          <t>SPLIT IN v2.3 to respect the twelve-hour rule. Part one covers the three OPERATIONAL pages: Production and Shift, Quality and Chemistry, Equipment and Downtime and Flow. The seeded set is already seven and it already matches the intended story, so this is certification, not construction. Working from the coverage matrix, fix each failing widget in this order of preference: correct the widget definition in the seed script; then the chart type; only then the code. A single-row bar chart is a binding defect, not a data shortage - the last audit found Defects by Equipment returning one row, and the remedy there is canonical equipment attribution or relationship resolution, never generating more rows.</t>
        </is>
      </c>
      <c r="I45" t="inlineStr">
        <is>
          <t>Every widget on these three pages returns rows and renders the chart type its title implies. Confirm no widget title describes something other than what it plots. The chemistry conditional format draws its limits from the grade specification source data, never from a literal in the product.</t>
        </is>
      </c>
      <c r="J45" t="n">
        <v>8</v>
      </c>
      <c r="K45" t="inlineStr">
        <is>
          <t>Not Started</t>
        </is>
      </c>
    </row>
    <row r="46" ht="96" customHeight="1">
      <c r="A46" t="inlineStr">
        <is>
          <t>T-045</t>
        </is>
      </c>
      <c r="B46" t="inlineStr">
        <is>
          <t>M1</t>
        </is>
      </c>
      <c r="C46" t="inlineStr">
        <is>
          <t>M1-P3</t>
        </is>
      </c>
      <c r="D46" t="inlineStr">
        <is>
          <t>Certify the analysis and model dashboards and choose the six shown</t>
        </is>
      </c>
      <c r="E46" t="inlineStr">
        <is>
          <t>Frontend</t>
        </is>
      </c>
      <c r="F46" t="inlineStr">
        <is>
          <t>Dashboard</t>
        </is>
      </c>
      <c r="G46" t="inlineStr">
        <is>
          <t>Critical</t>
        </is>
      </c>
      <c r="H46" t="inlineStr">
        <is>
          <t>SPLIT IN v2.3, part two. Covers Parameter Deep Analysis, Correlation and Statistical Findings, Risk Intelligence and Model Insights. Correlation is the weakest today - roughly two widgets - and it is the page that should exploit the planted relations hardest. Model Insights must stay honest: if the production model is not ready, show the five readiness dimensions with their measured values beside their thresholds rather than a fabricated prediction curve, because that refusal IS the selling point. Then record the decision: ALL SEVEN are certified, SIX are shown, and which six depends on the audience - an operations-heavy customer sees Risk and Model Insights is held back; a technical customer sees Model Insights and Risk is shortened. Nothing is deleted from the product to make a number.</t>
        </is>
      </c>
      <c r="I46" t="inlineStr">
        <is>
          <t>Every widget on these four pages returns rows. Confirm Model Insights makes no claim a live model has predicted anything unless one has. Record the primary six, the backup, and the reason for each choice, in the demonstration script.</t>
        </is>
      </c>
      <c r="J46" t="n">
        <v>6</v>
      </c>
      <c r="K46" t="inlineStr">
        <is>
          <t>Not Started</t>
        </is>
      </c>
    </row>
    <row r="47" ht="96" customHeight="1">
      <c r="A47" t="inlineStr">
        <is>
          <t>T-046</t>
        </is>
      </c>
      <c r="B47" t="inlineStr">
        <is>
          <t>M1</t>
        </is>
      </c>
      <c r="C47" t="inlineStr">
        <is>
          <t>M1-P3</t>
        </is>
      </c>
      <c r="D47" t="inlineStr">
        <is>
          <t>Register the final chart grammar and implement the presentation subset</t>
        </is>
      </c>
      <c r="E47" t="inlineStr">
        <is>
          <t>Backend</t>
        </is>
      </c>
      <c r="F47" t="inlineStr">
        <is>
          <t>Registry</t>
        </is>
      </c>
      <c r="G47" t="inlineStr">
        <is>
          <t>Critical</t>
        </is>
      </c>
      <c r="H47" t="inlineStr">
        <is>
          <t>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 ORDERED IN v2.2 to run before the six-grammar task, which selects from this registry.</t>
        </is>
      </c>
      <c r="I47" t="inlineStr">
        <is>
          <t>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t>
        </is>
      </c>
      <c r="J47" t="n">
        <v>8</v>
      </c>
      <c r="K47" t="inlineStr">
        <is>
          <t>Not Started</t>
        </is>
      </c>
    </row>
    <row r="48" ht="96" customHeight="1">
      <c r="A48" t="inlineStr">
        <is>
          <t>T-047</t>
        </is>
      </c>
      <c r="B48" t="inlineStr">
        <is>
          <t>M1</t>
        </is>
      </c>
      <c r="C48" t="inlineStr">
        <is>
          <t>M1-P3</t>
        </is>
      </c>
      <c r="D48" t="inlineStr">
        <is>
          <t>Give the seven pages distinct visual grammars from the registered grammar</t>
        </is>
      </c>
      <c r="E48" t="inlineStr">
        <is>
          <t>Frontend</t>
        </is>
      </c>
      <c r="F48" t="inlineStr">
        <is>
          <t>Dashboard</t>
        </is>
      </c>
      <c r="G48" t="inlineStr">
        <is>
          <t>Very Important</t>
        </is>
      </c>
      <c r="H48" t="inlineStr">
        <is>
          <t>Runs AFTER the chart grammar registry, because the grammars are chosen from the FINAL registered set rather than from whichever types happen to be implemented today. Seven pages that are all bar charts read as one page shown seven times. The intended languages, page by page: Production takes KPI with trend, stacked column by shift, bar by grade, area for weekly throughput and a detail table; Quality takes KPI with sparkline, Pareto by defect type, stacked bar by grade, a positional heatmap of defects along coil length and width, and a conditionally formatted chemistry table; Equipment takes bar, Pareto and a paired-column comparison of equipment stoppage against production impact; Parameter Deep Analysis takes histogram, box plot by grade and scatter; Correlation takes a parameter-by-outcome heatmap, a ranked contributor bar and a before-and-after conditioning pair; Risk takes KPI, trend, distribution and a contribution table; Model Insights takes the five readiness dimensions as status cards with coverage bars.</t>
        </is>
      </c>
      <c r="I48" t="inlineStr">
        <is>
          <t>Place the seven pages side by side as screenshots. A reviewer who has not seen the product must be able to say what each page is for from the shapes alone. Every chart type used appears in the registry as implemented. The conditional-formatting table must draw its limits from the grade specification source data, never from a literal in the product.</t>
        </is>
      </c>
      <c r="J48" t="n">
        <v>10</v>
      </c>
      <c r="K48" t="inlineStr">
        <is>
          <t>Not Started</t>
        </is>
      </c>
    </row>
    <row r="49" ht="96" customHeight="1">
      <c r="A49" t="inlineStr">
        <is>
          <t>T-048</t>
        </is>
      </c>
      <c r="B49" t="inlineStr">
        <is>
          <t>M1</t>
        </is>
      </c>
      <c r="C49" t="inlineStr">
        <is>
          <t>M1-P3</t>
        </is>
      </c>
      <c r="D49" t="inlineStr">
        <is>
          <t>Associative model, part 1: the alternative state and registry-driven fields</t>
        </is>
      </c>
      <c r="E49" t="inlineStr">
        <is>
          <t>Frontend</t>
        </is>
      </c>
      <c r="F49" t="inlineStr">
        <is>
          <t>Dashboard</t>
        </is>
      </c>
      <c r="G49" t="inlineStr">
        <is>
          <t>Very Important</t>
        </is>
      </c>
      <c r="H49" t="inlineStr">
        <is>
          <t>SPLIT IN v2.2 by dependency. Part 1 has no dependency outside this phase and runs here; part 2 needs the relationship resolver and runs in M1-P4 after it exists. Do not rebuild the excluded pivot - it already works, an excluded value can be clicked and the selection pivots. The work here is twofold: add the ALTERNATIVE state, which is the fourth state Chapter 4 5.1.3 requires and which is missing today; and make the associative field set registry-driven instead of a fixed list.</t>
        </is>
      </c>
      <c r="I49" t="inlineStr">
        <is>
          <t>All four states render distinctly - selected, possible, excluded, alternative - on the token colours, selection Electric Cyan and excluded Muted Steel. Add a dimension through the registry and confirm it appears in the strip with no code change.</t>
        </is>
      </c>
      <c r="J49" t="n">
        <v>4</v>
      </c>
      <c r="K49" t="inlineStr">
        <is>
          <t>Not Started</t>
        </is>
      </c>
    </row>
    <row r="50" ht="96" customHeight="1">
      <c r="A50" t="inlineStr">
        <is>
          <t>T-049</t>
        </is>
      </c>
      <c r="B50" t="inlineStr">
        <is>
          <t>M1</t>
        </is>
      </c>
      <c r="C50" t="inlineStr">
        <is>
          <t>M1-P3</t>
        </is>
      </c>
      <c r="D50" t="inlineStr">
        <is>
          <t>Certify layout drag, resize, save, reload and responsive behaviour</t>
        </is>
      </c>
      <c r="E50" t="inlineStr">
        <is>
          <t>Frontend</t>
        </is>
      </c>
      <c r="F50" t="inlineStr">
        <is>
          <t>Dashboard</t>
        </is>
      </c>
      <c r="G50" t="inlineStr">
        <is>
          <t>Important</t>
        </is>
      </c>
      <c r="H50" t="inlineStr">
        <is>
          <t>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t>
        </is>
      </c>
      <c r="I50" t="inlineStr">
        <is>
          <t>Move and resize three widgets, save, hard-reload, and confirm the layout is identical. Repeat at each of the three widths. Record a short screen capture into the evidence folder.</t>
        </is>
      </c>
      <c r="J50" t="n">
        <v>4</v>
      </c>
      <c r="K50" t="inlineStr">
        <is>
          <t>Not Started</t>
        </is>
      </c>
    </row>
    <row r="51" ht="96" customHeight="1">
      <c r="A51" t="inlineStr">
        <is>
          <t>T-050</t>
        </is>
      </c>
      <c r="B51" t="inlineStr">
        <is>
          <t>M1</t>
        </is>
      </c>
      <c r="C51" t="inlineStr">
        <is>
          <t>M1-P3</t>
        </is>
      </c>
      <c r="D51" t="inlineStr">
        <is>
          <t>Drill to population, provenance and evidence</t>
        </is>
      </c>
      <c r="E51" t="inlineStr">
        <is>
          <t>Frontend</t>
        </is>
      </c>
      <c r="F51" t="inlineStr">
        <is>
          <t>Dashboard</t>
        </is>
      </c>
      <c r="G51" t="inlineStr">
        <is>
          <t>Very Important</t>
        </is>
      </c>
      <c r="H51" t="inlineStr">
        <is>
          <t>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t>
        </is>
      </c>
      <c r="I51" t="inlineStr">
        <is>
          <t>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t>
        </is>
      </c>
      <c r="J51" t="n">
        <v>6</v>
      </c>
      <c r="K51" t="inlineStr">
        <is>
          <t>Not Started</t>
        </is>
      </c>
    </row>
    <row r="52" ht="96" customHeight="1">
      <c r="A52" t="inlineStr">
        <is>
          <t>T-051</t>
        </is>
      </c>
      <c r="B52" t="inlineStr">
        <is>
          <t>M1</t>
        </is>
      </c>
      <c r="C52" t="inlineStr">
        <is>
          <t>M1-P3</t>
        </is>
      </c>
      <c r="D52" t="inlineStr">
        <is>
          <t>Widget failure isolation and the seven states</t>
        </is>
      </c>
      <c r="E52" t="inlineStr">
        <is>
          <t>Frontend</t>
        </is>
      </c>
      <c r="F52" t="inlineStr">
        <is>
          <t>Dashboard</t>
        </is>
      </c>
      <c r="G52" t="inlineStr">
        <is>
          <t>Critical</t>
        </is>
      </c>
      <c r="H52" t="inlineStr">
        <is>
          <t>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is>
      </c>
      <c r="I52" t="inlineStr">
        <is>
          <t>Inject a failure into one widget query and confirm the other widgets on the page continue to render and interact. Apply a filter that returns no rows and confirm the widget says the selection returned nothing, not that there is no data.</t>
        </is>
      </c>
      <c r="J52" t="n">
        <v>6</v>
      </c>
      <c r="K52" t="inlineStr">
        <is>
          <t>Not Started</t>
        </is>
      </c>
    </row>
    <row r="53" ht="96" customHeight="1">
      <c r="A53" t="inlineStr">
        <is>
          <t>T-052</t>
        </is>
      </c>
      <c r="B53" t="inlineStr">
        <is>
          <t>M1</t>
        </is>
      </c>
      <c r="C53" t="inlineStr">
        <is>
          <t>M1-P3</t>
        </is>
      </c>
      <c r="D53" t="inlineStr">
        <is>
          <t>Remove the hardcoded parameter default from the API client</t>
        </is>
      </c>
      <c r="E53" t="inlineStr">
        <is>
          <t>Frontend</t>
        </is>
      </c>
      <c r="F53" t="inlineStr">
        <is>
          <t>Dashboard</t>
        </is>
      </c>
      <c r="G53" t="inlineStr">
        <is>
          <t>Critical</t>
        </is>
      </c>
      <c r="H53" t="inlineStr">
        <is>
          <t>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is>
      </c>
      <c r="I53" t="inlineStr">
        <is>
          <t>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is>
      </c>
      <c r="J53" t="n">
        <v>4</v>
      </c>
      <c r="K53" t="inlineStr">
        <is>
          <t>Not Started</t>
        </is>
      </c>
    </row>
    <row r="54" ht="96" customHeight="1">
      <c r="A54" t="inlineStr">
        <is>
          <t>T-053</t>
        </is>
      </c>
      <c r="B54" t="inlineStr">
        <is>
          <t>M1</t>
        </is>
      </c>
      <c r="C54" t="inlineStr">
        <is>
          <t>M1-P4</t>
        </is>
      </c>
      <c r="D54" t="inlineStr">
        <is>
          <t>Reduce the demonstration navigation and add the inventory ratchet</t>
        </is>
      </c>
      <c r="E54" t="inlineStr">
        <is>
          <t>Frontend</t>
        </is>
      </c>
      <c r="F54" t="inlineStr">
        <is>
          <t>Design contract</t>
        </is>
      </c>
      <c r="G54" t="inlineStr">
        <is>
          <t>Critical</t>
        </is>
      </c>
      <c r="H54" t="inlineStr">
        <is>
          <t>NEW IN v2.3, also from the presented-surface audit. Thirty-five navigation targets were classified and ELEVEN have no Chapter 3 contract, nine of them in the System group: the widget schema-drift diagnostic, author-mapping, four advisory pages, edge collector, historian connector, admin preview, brand, and /assistant once the dock lands. Every one is a surface the customer can open, and any surface opened is a frozen contract. Reduce the demonstration navigation to the entries backing the eighteen presented screens. HIDE the rest behind a configuration flag rather than deleting them - they are M2 retirement debt, not demo-day deletions. Then extend PPIQ-T12 with a fourth assertion: every navigation target resolves to a Chapter 3 contract id read from a checked-in inventory file. The inventory is DATA, so adding a page in M2a is a data change and not a code change.</t>
        </is>
      </c>
      <c r="I54" t="inlineStr">
        <is>
          <t>The architecture suite fails when a navigation entry is added whose target is not in the inventory file. Open every navigation group and confirm every entry maps to one of the eighteen screens. Confirm the hidden entries are still reachable by direct URL, so nothing is lost, only unlisted.</t>
        </is>
      </c>
      <c r="J54" t="n">
        <v>4</v>
      </c>
      <c r="K54" t="inlineStr">
        <is>
          <t>Not Started</t>
        </is>
      </c>
    </row>
    <row r="55" ht="96" customHeight="1">
      <c r="A55" t="inlineStr">
        <is>
          <t>T-054</t>
        </is>
      </c>
      <c r="B55" t="inlineStr">
        <is>
          <t>M1</t>
        </is>
      </c>
      <c r="C55" t="inlineStr">
        <is>
          <t>M1-P4</t>
        </is>
      </c>
      <c r="D55" t="inlineStr">
        <is>
          <t>J4 Connections: read-only proof and load budget made visible</t>
        </is>
      </c>
      <c r="E55" t="inlineStr">
        <is>
          <t>Frontend</t>
        </is>
      </c>
      <c r="F55" t="inlineStr">
        <is>
          <t>Connections</t>
        </is>
      </c>
      <c r="G55" t="inlineStr">
        <is>
          <t>Very Important</t>
        </is>
      </c>
      <c r="H55" t="inlineStr">
        <is>
          <t>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is>
      </c>
      <c r="I55" t="inlineStr">
        <is>
          <t>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is>
      </c>
      <c r="J55" t="n">
        <v>4</v>
      </c>
      <c r="K55" t="inlineStr">
        <is>
          <t>Not Started</t>
        </is>
      </c>
    </row>
    <row r="56" ht="96" customHeight="1">
      <c r="A56" t="inlineStr">
        <is>
          <t>T-055</t>
        </is>
      </c>
      <c r="B56" t="inlineStr">
        <is>
          <t>M1</t>
        </is>
      </c>
      <c r="C56" t="inlineStr">
        <is>
          <t>M1-P4</t>
        </is>
      </c>
      <c r="D56" t="inlineStr">
        <is>
          <t>J5 and J6 Dataset registry browse and watermark suggestion</t>
        </is>
      </c>
      <c r="E56" t="inlineStr">
        <is>
          <t>Frontend</t>
        </is>
      </c>
      <c r="F56" t="inlineStr">
        <is>
          <t>Data integration</t>
        </is>
      </c>
      <c r="G56" t="inlineStr">
        <is>
          <t>Very Important</t>
        </is>
      </c>
      <c r="H56" t="inlineStr">
        <is>
          <t>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src_caster_oracle_shape_cast_pieces. Decide deliberately whether to show them with an honest sentence or to present display names; do not discover this live in front of the customer.</t>
        </is>
      </c>
      <c r="I56" t="inlineStr">
        <is>
          <t>Register one dataset end to end and confirm the suggested business key and watermark are shown with reasons and can be overridden. Record which naming decision was taken in the traceability matrix.</t>
        </is>
      </c>
      <c r="J56" t="n">
        <v>6</v>
      </c>
      <c r="K56" t="inlineStr">
        <is>
          <t>Not Started</t>
        </is>
      </c>
    </row>
    <row r="57" ht="96" customHeight="1">
      <c r="A57" t="inlineStr">
        <is>
          <t>T-056</t>
        </is>
      </c>
      <c r="B57" t="inlineStr">
        <is>
          <t>M1</t>
        </is>
      </c>
      <c r="C57" t="inlineStr">
        <is>
          <t>M1-P4</t>
        </is>
      </c>
      <c r="D57" t="inlineStr">
        <is>
          <t>J6 Import progress visibility</t>
        </is>
      </c>
      <c r="E57" t="inlineStr">
        <is>
          <t>Frontend</t>
        </is>
      </c>
      <c r="F57" t="inlineStr">
        <is>
          <t>Data integration</t>
        </is>
      </c>
      <c r="G57" t="inlineStr">
        <is>
          <t>Important</t>
        </is>
      </c>
      <c r="H57" t="inlineStr">
        <is>
          <t>An import that runs with no visible progress reads as a hang. Add a named progress indication driven by the existing import batch records: batch started, rows staged, batch completed, with the dataset name. Use the activity tray pattern rather than a modal.</t>
        </is>
      </c>
      <c r="I57" t="inlineStr">
        <is>
          <t>Start an incremental import of at least 100k rows and confirm progress updates at least every few seconds and ends in a completed state with a row count that matches the staging table delta.</t>
        </is>
      </c>
      <c r="J57" t="n">
        <v>4</v>
      </c>
      <c r="K57" t="inlineStr">
        <is>
          <t>Not Started</t>
        </is>
      </c>
    </row>
    <row r="58" ht="96" customHeight="1">
      <c r="A58" t="inlineStr">
        <is>
          <t>T-057</t>
        </is>
      </c>
      <c r="B58" t="inlineStr">
        <is>
          <t>M1</t>
        </is>
      </c>
      <c r="C58" t="inlineStr">
        <is>
          <t>M1-P4</t>
        </is>
      </c>
      <c r="D58" t="inlineStr">
        <is>
          <t>J7 Relationship model vertical slice, part 1: publish one relationship</t>
        </is>
      </c>
      <c r="E58" t="inlineStr">
        <is>
          <t>Backend</t>
        </is>
      </c>
      <c r="F58" t="inlineStr">
        <is>
          <t>Relationship model</t>
        </is>
      </c>
      <c r="G58" t="inlineStr">
        <is>
          <t>Critical</t>
        </is>
      </c>
      <c r="H58" t="inlineStr">
        <is>
          <t>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t>
        </is>
      </c>
      <c r="I58" t="inlineStr">
        <is>
          <t>An integration test that publishes one relationship, reads it back, and asserts it is versioned and marked published. A second test asserting an unpublished relationship is not returned to consumers.</t>
        </is>
      </c>
      <c r="J58" t="n">
        <v>10</v>
      </c>
      <c r="K58" t="inlineStr">
        <is>
          <t>Not Started</t>
        </is>
      </c>
    </row>
    <row r="59" ht="96" customHeight="1">
      <c r="A59" t="inlineStr">
        <is>
          <t>T-058</t>
        </is>
      </c>
      <c r="B59" t="inlineStr">
        <is>
          <t>M1</t>
        </is>
      </c>
      <c r="C59" t="inlineStr">
        <is>
          <t>M1-P4</t>
        </is>
      </c>
      <c r="D59" t="inlineStr">
        <is>
          <t>J7 Relationship model vertical slice, part 2: one resolver consumer</t>
        </is>
      </c>
      <c r="E59" t="inlineStr">
        <is>
          <t>Backend</t>
        </is>
      </c>
      <c r="F59" t="inlineStr">
        <is>
          <t>Relationship model</t>
        </is>
      </c>
      <c r="G59" t="inlineStr">
        <is>
          <t>Critical</t>
        </is>
      </c>
      <c r="H59" t="inlineStr">
        <is>
          <t>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is>
      </c>
      <c r="I59" t="inlineStr">
        <is>
          <t>Point one widget at data spanning two sources, confirm it renders, then unpublish the relationship and confirm the widget refuses with a named reason instead of silently returning a partial result. Restore and confirm it renders again.</t>
        </is>
      </c>
      <c r="J59" t="n">
        <v>10</v>
      </c>
      <c r="K59" t="inlineStr">
        <is>
          <t>Not Started</t>
        </is>
      </c>
    </row>
    <row r="60" ht="96" customHeight="1">
      <c r="A60" t="inlineStr">
        <is>
          <t>T-059</t>
        </is>
      </c>
      <c r="B60" t="inlineStr">
        <is>
          <t>M1</t>
        </is>
      </c>
      <c r="C60" t="inlineStr">
        <is>
          <t>M1-P4</t>
        </is>
      </c>
      <c r="D60" t="inlineStr">
        <is>
          <t>Associative model, part 2: cross-source state through the published relationship</t>
        </is>
      </c>
      <c r="E60" t="inlineStr">
        <is>
          <t>Frontend</t>
        </is>
      </c>
      <c r="F60" t="inlineStr">
        <is>
          <t>Dashboard</t>
        </is>
      </c>
      <c r="G60" t="inlineStr">
        <is>
          <t>Very Important</t>
        </is>
      </c>
      <c r="H60" t="inlineStr">
        <is>
          <t>SPLIT IN v2.2 and placed here because it DEPENDS on the resolver built immediately above. Make the cross-source associative state resolve through the published relationship model rather than through a join a dashboard owns. Chapter 3 DF7 requires page and widget queries and associative states to resolve through the published model; a selection that spans two sources and works by a dashboard-local join proves the opposite of the product design.</t>
        </is>
      </c>
      <c r="I60" t="inlineStr">
        <is>
          <t>Apply a selection that spans two sources and confirm the strip and every widget narrow consistently. Unpublish the relationship and confirm the cross-source state refuses with a named reason rather than silently narrowing to one source.</t>
        </is>
      </c>
      <c r="J60" t="n">
        <v>4</v>
      </c>
      <c r="K60" t="inlineStr">
        <is>
          <t>Not Started</t>
        </is>
      </c>
    </row>
    <row r="61" ht="96" customHeight="1">
      <c r="A61" t="inlineStr">
        <is>
          <t>T-060</t>
        </is>
      </c>
      <c r="B61" t="inlineStr">
        <is>
          <t>M1</t>
        </is>
      </c>
      <c r="C61" t="inlineStr">
        <is>
          <t>M1-P4</t>
        </is>
      </c>
      <c r="D61" t="inlineStr">
        <is>
          <t>C6 Relationship Browser, minimal read-only slice</t>
        </is>
      </c>
      <c r="E61" t="inlineStr">
        <is>
          <t>Frontend</t>
        </is>
      </c>
      <c r="F61" t="inlineStr">
        <is>
          <t>Relationship model</t>
        </is>
      </c>
      <c r="G61" t="inlineStr">
        <is>
          <t>Very Important</t>
        </is>
      </c>
      <c r="H61" t="inlineStr">
        <is>
          <t>NEW IN v2.3. Decision taken at traceability sign-off: show it. The relationship model slice is funded and it is the mechanism that separates this product from a dashboard with joins - a join declared once, published, versioned, and resolved by every consumer. Until now nothing rendered it. Build the smallest honest C6 from Chapter 3 4.4: a read-only list of published relationships, their members, their cardinality and their resolved path, with the evidence for each path. No authoring in M1; authoring is the shared shell in S1. Four hours to make the strongest differentiator visible is the best-value decision on this surface.</t>
        </is>
      </c>
      <c r="I61" t="inlineStr">
        <is>
          <t>Open a published relationship and confirm its members, cardinality and path render with evidence. Confirm an unpublished relationship is visibly distinct from a published one. Confirm the page is read-only - no control on it can modify a relationship.</t>
        </is>
      </c>
      <c r="J61" t="n">
        <v>4</v>
      </c>
      <c r="K61" t="inlineStr">
        <is>
          <t>Not Started</t>
        </is>
      </c>
    </row>
    <row r="62" ht="96" customHeight="1">
      <c r="A62" t="inlineStr">
        <is>
          <t>T-061</t>
        </is>
      </c>
      <c r="B62" t="inlineStr">
        <is>
          <t>M1</t>
        </is>
      </c>
      <c r="C62" t="inlineStr">
        <is>
          <t>M1-P4</t>
        </is>
      </c>
      <c r="D62" t="inlineStr">
        <is>
          <t>C2 Mapping Health, part 1: the typed issue contract and the reprocess API</t>
        </is>
      </c>
      <c r="E62" t="inlineStr">
        <is>
          <t>Backend</t>
        </is>
      </c>
      <c r="F62" t="inlineStr">
        <is>
          <t>Mapping health</t>
        </is>
      </c>
      <c r="G62" t="inlineStr">
        <is>
          <t>Critical</t>
        </is>
      </c>
      <c r="H62" t="inlineStr">
        <is>
          <t>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t>
        </is>
      </c>
      <c r="I62" t="inlineStr">
        <is>
          <t>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t>
        </is>
      </c>
      <c r="J62" t="n">
        <v>6</v>
      </c>
      <c r="K62" t="inlineStr">
        <is>
          <t>Not Started</t>
        </is>
      </c>
    </row>
    <row r="63" ht="96" customHeight="1">
      <c r="A63" t="inlineStr">
        <is>
          <t>T-062</t>
        </is>
      </c>
      <c r="B63" t="inlineStr">
        <is>
          <t>M1</t>
        </is>
      </c>
      <c r="C63" t="inlineStr">
        <is>
          <t>M1-P4</t>
        </is>
      </c>
      <c r="D63" t="inlineStr">
        <is>
          <t>C2 Mapping Health, part 2: the final visible page</t>
        </is>
      </c>
      <c r="E63" t="inlineStr">
        <is>
          <t>Frontend</t>
        </is>
      </c>
      <c r="F63" t="inlineStr">
        <is>
          <t>Mapping health</t>
        </is>
      </c>
      <c r="G63" t="inlineStr">
        <is>
          <t>Critical</t>
        </is>
      </c>
      <c r="H63" t="inlineStr">
        <is>
          <t>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t>
        </is>
      </c>
      <c r="I63" t="inlineStr">
        <is>
          <t>Walk the page with three issue codes present, reprocess one, and confirm the group clears while the others remain. Confirm the empty state says the mapping is clean rather than that there is no data.</t>
        </is>
      </c>
      <c r="J63" t="n">
        <v>4</v>
      </c>
      <c r="K63" t="inlineStr">
        <is>
          <t>Not Started</t>
        </is>
      </c>
    </row>
    <row r="64" ht="96" customHeight="1">
      <c r="A64" t="inlineStr">
        <is>
          <t>T-063</t>
        </is>
      </c>
      <c r="B64" t="inlineStr">
        <is>
          <t>M1</t>
        </is>
      </c>
      <c r="C64" t="inlineStr">
        <is>
          <t>M1-P4</t>
        </is>
      </c>
      <c r="D64" t="inlineStr">
        <is>
          <t>C5 Genealogy: converge the legacy workbench onto the final two-state surface</t>
        </is>
      </c>
      <c r="E64" t="inlineStr">
        <is>
          <t>Frontend</t>
        </is>
      </c>
      <c r="F64" t="inlineStr">
        <is>
          <t>Genealogy</t>
        </is>
      </c>
      <c r="G64" t="inlineStr">
        <is>
          <t>Very Important</t>
        </is>
      </c>
      <c r="H64" t="inlineStr">
        <is>
          <t>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t>
        </is>
      </c>
      <c r="I64" t="inlineStr">
        <is>
          <t>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t>
        </is>
      </c>
      <c r="J64" t="n">
        <v>10</v>
      </c>
      <c r="K64" t="inlineStr">
        <is>
          <t>Not Started</t>
        </is>
      </c>
    </row>
    <row r="65" ht="96" customHeight="1">
      <c r="A65" t="inlineStr">
        <is>
          <t>T-064</t>
        </is>
      </c>
      <c r="B65" t="inlineStr">
        <is>
          <t>M1</t>
        </is>
      </c>
      <c r="C65" t="inlineStr">
        <is>
          <t>M1-P4</t>
        </is>
      </c>
      <c r="D65" t="inlineStr">
        <is>
          <t>Add job_definitions.target_definition_id and the JB error codes</t>
        </is>
      </c>
      <c r="E65" t="inlineStr">
        <is>
          <t>Backend</t>
        </is>
      </c>
      <c r="F65" t="inlineStr">
        <is>
          <t>Jobs</t>
        </is>
      </c>
      <c r="G65" t="inlineStr">
        <is>
          <t>Critical</t>
        </is>
      </c>
      <c r="H65" t="inlineStr">
        <is>
          <t>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t>
        </is>
      </c>
      <c r="I65" t="inlineStr">
        <is>
          <t>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t>
        </is>
      </c>
      <c r="J65" t="n">
        <v>8</v>
      </c>
      <c r="K65" t="inlineStr">
        <is>
          <t>Not Started</t>
        </is>
      </c>
    </row>
    <row r="66" ht="96" customHeight="1">
      <c r="A66" t="inlineStr">
        <is>
          <t>T-065</t>
        </is>
      </c>
      <c r="B66" t="inlineStr">
        <is>
          <t>M1</t>
        </is>
      </c>
      <c r="C66" t="inlineStr">
        <is>
          <t>M1-P4</t>
        </is>
      </c>
      <c r="D66" t="inlineStr">
        <is>
          <t>J12 Analysis authoring: converge onto D3 Analysis Toolbox in S3 mode</t>
        </is>
      </c>
      <c r="E66" t="inlineStr">
        <is>
          <t>Frontend</t>
        </is>
      </c>
      <c r="F66" t="inlineStr">
        <is>
          <t>Engine</t>
        </is>
      </c>
      <c r="G66" t="inlineStr">
        <is>
          <t>Critical</t>
        </is>
      </c>
      <c r="H66" t="inlineStr">
        <is>
          <t>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t>
        </is>
      </c>
      <c r="I66" t="inlineStr">
        <is>
          <t>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t>
        </is>
      </c>
      <c r="J66" t="n">
        <v>12</v>
      </c>
      <c r="K66" t="inlineStr">
        <is>
          <t>Not Started</t>
        </is>
      </c>
    </row>
    <row r="67" ht="96" customHeight="1">
      <c r="A67" t="inlineStr">
        <is>
          <t>T-066</t>
        </is>
      </c>
      <c r="B67" t="inlineStr">
        <is>
          <t>M1</t>
        </is>
      </c>
      <c r="C67" t="inlineStr">
        <is>
          <t>M1-P4</t>
        </is>
      </c>
      <c r="D67" t="inlineStr">
        <is>
          <t>One visible readiness authority on Home and Analysis</t>
        </is>
      </c>
      <c r="E67" t="inlineStr">
        <is>
          <t>Frontend</t>
        </is>
      </c>
      <c r="F67" t="inlineStr">
        <is>
          <t>Engine</t>
        </is>
      </c>
      <c r="G67" t="inlineStr">
        <is>
          <t>Critical</t>
        </is>
      </c>
      <c r="H67" t="inlineStr">
        <is>
          <t>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t>
        </is>
      </c>
      <c r="I67" t="inlineStr">
        <is>
          <t>Compare the panel against a direct call to GET /api/ml/foundation/readiness. Every number on screen must match the API response exactly. Change one threshold in configuration and confirm the panel moves, proving it is not a static rendering.</t>
        </is>
      </c>
      <c r="J67" t="n">
        <v>6</v>
      </c>
      <c r="K67" t="inlineStr">
        <is>
          <t>Not Started</t>
        </is>
      </c>
    </row>
    <row r="68" ht="96" customHeight="1">
      <c r="A68" t="inlineStr">
        <is>
          <t>T-067</t>
        </is>
      </c>
      <c r="B68" t="inlineStr">
        <is>
          <t>M1</t>
        </is>
      </c>
      <c r="C68" t="inlineStr">
        <is>
          <t>M1-P4</t>
        </is>
      </c>
      <c r="D68" t="inlineStr">
        <is>
          <t>Findings evidence panel, registry-driven throughout</t>
        </is>
      </c>
      <c r="E68" t="inlineStr">
        <is>
          <t>Frontend</t>
        </is>
      </c>
      <c r="F68" t="inlineStr">
        <is>
          <t>Engine</t>
        </is>
      </c>
      <c r="G68" t="inlineStr">
        <is>
          <t>Very Important</t>
        </is>
      </c>
      <c r="H68" t="inlineStr">
        <is>
          <t>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t>
        </is>
      </c>
      <c r="I68" t="inlineStr">
        <is>
          <t>Open the strongest finding and confirm all six elements are present. Confirm the ordering is by effect size and not p-value, by comparing against the API response. Change the registry's default outcome and confirm the page opens on the new one with no code change.</t>
        </is>
      </c>
      <c r="J68" t="n">
        <v>8</v>
      </c>
      <c r="K68" t="inlineStr">
        <is>
          <t>Not Started</t>
        </is>
      </c>
    </row>
    <row r="69" ht="96" customHeight="1">
      <c r="A69" t="inlineStr">
        <is>
          <t>T-068</t>
        </is>
      </c>
      <c r="B69" t="inlineStr">
        <is>
          <t>M1</t>
        </is>
      </c>
      <c r="C69" t="inlineStr">
        <is>
          <t>M1-P4</t>
        </is>
      </c>
      <c r="D69" t="inlineStr">
        <is>
          <t>Retire the hardcoded outcome and grain arrays</t>
        </is>
      </c>
      <c r="E69" t="inlineStr">
        <is>
          <t>Frontend</t>
        </is>
      </c>
      <c r="F69" t="inlineStr">
        <is>
          <t>Engine</t>
        </is>
      </c>
      <c r="G69" t="inlineStr">
        <is>
          <t>Critical</t>
        </is>
      </c>
      <c r="H69" t="inlineStr">
        <is>
          <t>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t>
        </is>
      </c>
      <c r="I69" t="inlineStr">
        <is>
          <t>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t>
        </is>
      </c>
      <c r="J69" t="n">
        <v>6</v>
      </c>
      <c r="K69" t="inlineStr">
        <is>
          <t>Not Started</t>
        </is>
      </c>
    </row>
    <row r="70" ht="96" customHeight="1">
      <c r="A70" t="inlineStr">
        <is>
          <t>T-069</t>
        </is>
      </c>
      <c r="B70" t="inlineStr">
        <is>
          <t>M1</t>
        </is>
      </c>
      <c r="C70" t="inlineStr">
        <is>
          <t>M1-P5</t>
        </is>
      </c>
      <c r="D70" t="inlineStr">
        <is>
          <t>Website, part 1: the five-product information architecture</t>
        </is>
      </c>
      <c r="E70" t="inlineStr">
        <is>
          <t>Website</t>
        </is>
      </c>
      <c r="F70" t="inlineStr">
        <is>
          <t>Public site</t>
        </is>
      </c>
      <c r="G70" t="inlineStr">
        <is>
          <t>Critical</t>
        </is>
      </c>
      <c r="H70" t="inlineStr">
        <is>
          <t>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t>
        </is>
      </c>
      <c r="I70" t="inlineStr">
        <is>
          <t>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t>
        </is>
      </c>
      <c r="J70" t="n">
        <v>8</v>
      </c>
      <c r="K70" t="inlineStr">
        <is>
          <t>Not Started</t>
        </is>
      </c>
    </row>
    <row r="71" ht="96" customHeight="1">
      <c r="A71" t="inlineStr">
        <is>
          <t>T-070</t>
        </is>
      </c>
      <c r="B71" t="inlineStr">
        <is>
          <t>M1</t>
        </is>
      </c>
      <c r="C71" t="inlineStr">
        <is>
          <t>M1-P5</t>
        </is>
      </c>
      <c r="D71" t="inlineStr">
        <is>
          <t>Website, part 2: polish the presentation routes</t>
        </is>
      </c>
      <c r="E71" t="inlineStr">
        <is>
          <t>Website</t>
        </is>
      </c>
      <c r="F71" t="inlineStr">
        <is>
          <t>Public site</t>
        </is>
      </c>
      <c r="G71" t="inlineStr">
        <is>
          <t>Important</t>
        </is>
      </c>
      <c r="H71" t="inlineStr">
        <is>
          <t>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t>
        </is>
      </c>
      <c r="I71" t="inlineStr">
        <is>
          <t>Click every link on every route you will open and confirm none is dead. Check desktop, mobile and keyboard navigation on those routes. Confirm no page shows a blocker, an unfinished item or a failed test, per the standing website honesty rule.</t>
        </is>
      </c>
      <c r="J71" t="n">
        <v>6</v>
      </c>
      <c r="K71" t="inlineStr">
        <is>
          <t>Not Started</t>
        </is>
      </c>
    </row>
    <row r="72" ht="96" customHeight="1">
      <c r="A72" t="inlineStr">
        <is>
          <t>T-071</t>
        </is>
      </c>
      <c r="B72" t="inlineStr">
        <is>
          <t>M1</t>
        </is>
      </c>
      <c r="C72" t="inlineStr">
        <is>
          <t>M1-P5</t>
        </is>
      </c>
      <c r="D72" t="inlineStr">
        <is>
          <t>Build the G1 persistent assistant dock</t>
        </is>
      </c>
      <c r="E72" t="inlineStr">
        <is>
          <t>Frontend</t>
        </is>
      </c>
      <c r="F72" t="inlineStr">
        <is>
          <t>Chatbot</t>
        </is>
      </c>
      <c r="G72" t="inlineStr">
        <is>
          <t>Critical</t>
        </is>
      </c>
      <c r="H72" t="inlineStr">
        <is>
          <t>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t>
        </is>
      </c>
      <c r="I72" t="inlineStr">
        <is>
          <t>Open the dock on at least five different pages and confirm the conversation persists across navigation. Confirm the collapsed state does not obscure any control. Add a vitest asserting the dock renders inside the authenticated layout and not as a route element.</t>
        </is>
      </c>
      <c r="J72" t="n">
        <v>8</v>
      </c>
      <c r="K72" t="inlineStr">
        <is>
          <t>Not Started</t>
        </is>
      </c>
    </row>
    <row r="73" ht="96" customHeight="1">
      <c r="A73" t="inlineStr">
        <is>
          <t>T-072</t>
        </is>
      </c>
      <c r="B73" t="inlineStr">
        <is>
          <t>M1</t>
        </is>
      </c>
      <c r="C73" t="inlineStr">
        <is>
          <t>M1-P5</t>
        </is>
      </c>
      <c r="D73" t="inlineStr">
        <is>
          <t>Page and widget context envelope</t>
        </is>
      </c>
      <c r="E73" t="inlineStr">
        <is>
          <t>Backend</t>
        </is>
      </c>
      <c r="F73" t="inlineStr">
        <is>
          <t>Chatbot</t>
        </is>
      </c>
      <c r="G73" t="inlineStr">
        <is>
          <t>Critical</t>
        </is>
      </c>
      <c r="H73" t="inlineStr">
        <is>
          <t>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is>
      </c>
      <c r="I73" t="inlineStr">
        <is>
          <t>Ask the same question on two different pages and confirm the retrieved evidence differs. Assert in an integration test that the context reaches the retrieval call and that no context field is echoed into the answer text unverified.</t>
        </is>
      </c>
      <c r="J73" t="n">
        <v>8</v>
      </c>
      <c r="K73" t="inlineStr">
        <is>
          <t>Not Started</t>
        </is>
      </c>
    </row>
    <row r="74" ht="96" customHeight="1">
      <c r="A74" t="inlineStr">
        <is>
          <t>T-073</t>
        </is>
      </c>
      <c r="B74" t="inlineStr">
        <is>
          <t>M1</t>
        </is>
      </c>
      <c r="C74" t="inlineStr">
        <is>
          <t>M1-P5</t>
        </is>
      </c>
      <c r="D74" t="inlineStr">
        <is>
          <t>Add the page and widget chunk family to the retrieval corpus</t>
        </is>
      </c>
      <c r="E74" t="inlineStr">
        <is>
          <t>AI+ML</t>
        </is>
      </c>
      <c r="F74" t="inlineStr">
        <is>
          <t>Chatbot</t>
        </is>
      </c>
      <c r="G74" t="inlineStr">
        <is>
          <t>Critical</t>
        </is>
      </c>
      <c r="H74" t="inlineStr">
        <is>
          <t>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is>
      </c>
      <c r="I74" t="inlineStr">
        <is>
          <t>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is>
      </c>
      <c r="J74" t="n">
        <v>8</v>
      </c>
      <c r="K74" t="inlineStr">
        <is>
          <t>Not Started</t>
        </is>
      </c>
    </row>
    <row r="75" ht="96" customHeight="1">
      <c r="A75" t="inlineStr">
        <is>
          <t>T-074</t>
        </is>
      </c>
      <c r="B75" t="inlineStr">
        <is>
          <t>M1</t>
        </is>
      </c>
      <c r="C75" t="inlineStr">
        <is>
          <t>M1-P5</t>
        </is>
      </c>
      <c r="D75" t="inlineStr">
        <is>
          <t>Registry-typed quantity guard on assistant answers</t>
        </is>
      </c>
      <c r="E75" t="inlineStr">
        <is>
          <t>Backend</t>
        </is>
      </c>
      <c r="F75" t="inlineStr">
        <is>
          <t>Chatbot</t>
        </is>
      </c>
      <c r="G75" t="inlineStr">
        <is>
          <t>Very Important</t>
        </is>
      </c>
      <c r="H75" t="inlineStr">
        <is>
          <t>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is>
      </c>
      <c r="I75" t="inlineStr">
        <is>
          <t>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is>
      </c>
      <c r="J75" t="n">
        <v>4</v>
      </c>
      <c r="K75" t="inlineStr">
        <is>
          <t>Not Started</t>
        </is>
      </c>
    </row>
    <row r="76" ht="96" customHeight="1">
      <c r="A76" t="inlineStr">
        <is>
          <t>T-075</t>
        </is>
      </c>
      <c r="B76" t="inlineStr">
        <is>
          <t>M1</t>
        </is>
      </c>
      <c r="C76" t="inlineStr">
        <is>
          <t>M1-P5</t>
        </is>
      </c>
      <c r="D76" t="inlineStr">
        <is>
          <t>Citation chips, evidence strip and suggested questions</t>
        </is>
      </c>
      <c r="E76" t="inlineStr">
        <is>
          <t>Frontend</t>
        </is>
      </c>
      <c r="F76" t="inlineStr">
        <is>
          <t>Chatbot</t>
        </is>
      </c>
      <c r="G76" t="inlineStr">
        <is>
          <t>Very Important</t>
        </is>
      </c>
      <c r="H76" t="inlineStr">
        <is>
          <t>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is>
      </c>
      <c r="I76" t="inlineStr">
        <is>
          <t>Click a citation chip and confirm it expands to the underlying evidence. Click Open in page and confirm it navigates to the correct surface with the relevant selection applied. Confirm suggested questions change between two different pages.</t>
        </is>
      </c>
      <c r="J76" t="n">
        <v>4</v>
      </c>
      <c r="K76" t="inlineStr">
        <is>
          <t>Not Started</t>
        </is>
      </c>
    </row>
    <row r="77" ht="96" customHeight="1">
      <c r="A77" t="inlineStr">
        <is>
          <t>T-076</t>
        </is>
      </c>
      <c r="B77" t="inlineStr">
        <is>
          <t>M1</t>
        </is>
      </c>
      <c r="C77" t="inlineStr">
        <is>
          <t>M1-P5</t>
        </is>
      </c>
      <c r="D77" t="inlineStr">
        <is>
          <t>Certified question pack and offline fallback</t>
        </is>
      </c>
      <c r="E77" t="inlineStr">
        <is>
          <t>Documentation</t>
        </is>
      </c>
      <c r="F77" t="inlineStr">
        <is>
          <t>Chatbot</t>
        </is>
      </c>
      <c r="G77" t="inlineStr">
        <is>
          <t>Very Important</t>
        </is>
      </c>
      <c r="H77" t="inlineStr">
        <is>
          <t>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is>
      </c>
      <c r="I77" t="inlineStr">
        <is>
          <t>Run all 10 to 15 twice, once online and once with the model endpoint unreachable, and record both answers. Any question that refuses in both runs is removed from the live set.</t>
        </is>
      </c>
      <c r="J77" t="n">
        <v>4</v>
      </c>
      <c r="K77" t="inlineStr">
        <is>
          <t>Not Started</t>
        </is>
      </c>
    </row>
    <row r="78" ht="96" customHeight="1">
      <c r="A78" t="inlineStr">
        <is>
          <t>T-077</t>
        </is>
      </c>
      <c r="B78" t="inlineStr">
        <is>
          <t>M1</t>
        </is>
      </c>
      <c r="C78" t="inlineStr">
        <is>
          <t>M1-P5</t>
        </is>
      </c>
      <c r="D78" t="inlineStr">
        <is>
          <t>One Playwright journey covering all six beats</t>
        </is>
      </c>
      <c r="E78" t="inlineStr">
        <is>
          <t>Testing</t>
        </is>
      </c>
      <c r="F78" t="inlineStr">
        <is>
          <t>E2E</t>
        </is>
      </c>
      <c r="G78" t="inlineStr">
        <is>
          <t>Critical</t>
        </is>
      </c>
      <c r="H78" t="inlineStr">
        <is>
          <t>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t>
        </is>
      </c>
      <c r="I78" t="inlineStr">
        <is>
          <t>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t>
        </is>
      </c>
      <c r="J78" t="n">
        <v>6</v>
      </c>
      <c r="K78" t="inlineStr">
        <is>
          <t>Not Started</t>
        </is>
      </c>
    </row>
    <row r="79" ht="96" customHeight="1">
      <c r="A79" t="inlineStr">
        <is>
          <t>T-078</t>
        </is>
      </c>
      <c r="B79" t="inlineStr">
        <is>
          <t>M1</t>
        </is>
      </c>
      <c r="C79" t="inlineStr">
        <is>
          <t>M1-P5</t>
        </is>
      </c>
      <c r="D79" t="inlineStr">
        <is>
          <t>Execute visual regression and accessibility on the presented routes</t>
        </is>
      </c>
      <c r="E79" t="inlineStr">
        <is>
          <t>Testing</t>
        </is>
      </c>
      <c r="F79" t="inlineStr">
        <is>
          <t>Visual and a11y</t>
        </is>
      </c>
      <c r="G79" t="inlineStr">
        <is>
          <t>Very Important</t>
        </is>
      </c>
      <c r="H79" t="inlineStr">
        <is>
          <t>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is>
      </c>
      <c r="I79" t="inlineStr">
        <is>
          <t>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is>
      </c>
      <c r="J79" t="n">
        <v>4</v>
      </c>
      <c r="K79" t="inlineStr">
        <is>
          <t>Not Started</t>
        </is>
      </c>
    </row>
    <row r="80" ht="96" customHeight="1">
      <c r="A80" t="inlineStr">
        <is>
          <t>T-079</t>
        </is>
      </c>
      <c r="B80" t="inlineStr">
        <is>
          <t>M1</t>
        </is>
      </c>
      <c r="C80" t="inlineStr">
        <is>
          <t>M1-P5</t>
        </is>
      </c>
      <c r="D80" t="inlineStr">
        <is>
          <t>Failure injection suite</t>
        </is>
      </c>
      <c r="E80" t="inlineStr">
        <is>
          <t>Testing</t>
        </is>
      </c>
      <c r="F80" t="inlineStr">
        <is>
          <t>E2E</t>
        </is>
      </c>
      <c r="G80" t="inlineStr">
        <is>
          <t>Very Important</t>
        </is>
      </c>
      <c r="H80" t="inlineStr">
        <is>
          <t>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is>
      </c>
      <c r="I80" t="inlineStr">
        <is>
          <t>Five scripted injections, each with a screenshot of the resulting state in the evidence folder, each showing a sentence rather than a raw error. A red outline with no sentence beside it is a failure of the specification, not an acceptable outcome.</t>
        </is>
      </c>
      <c r="J80" t="n">
        <v>3</v>
      </c>
      <c r="K80" t="inlineStr">
        <is>
          <t>Not Started</t>
        </is>
      </c>
    </row>
    <row r="81" ht="96" customHeight="1">
      <c r="A81" t="inlineStr">
        <is>
          <t>T-080</t>
        </is>
      </c>
      <c r="B81" t="inlineStr">
        <is>
          <t>M1</t>
        </is>
      </c>
      <c r="C81" t="inlineStr">
        <is>
          <t>M1-P5</t>
        </is>
      </c>
      <c r="D81" t="inlineStr">
        <is>
          <t>Capture the Customer Contract Continuity snapshots</t>
        </is>
      </c>
      <c r="E81" t="inlineStr">
        <is>
          <t>Testing</t>
        </is>
      </c>
      <c r="F81" t="inlineStr">
        <is>
          <t>Continuity</t>
        </is>
      </c>
      <c r="G81" t="inlineStr">
        <is>
          <t>Critical</t>
        </is>
      </c>
      <c r="H81" t="inlineStr">
        <is>
          <t>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is>
      </c>
      <c r="I81" t="inlineStr">
        <is>
          <t>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is>
      </c>
      <c r="J81" t="n">
        <v>4</v>
      </c>
      <c r="K81" t="inlineStr">
        <is>
          <t>Not Started</t>
        </is>
      </c>
    </row>
    <row r="82" ht="96" customHeight="1">
      <c r="A82" t="inlineStr">
        <is>
          <t>T-081</t>
        </is>
      </c>
      <c r="B82" t="inlineStr">
        <is>
          <t>M1</t>
        </is>
      </c>
      <c r="C82" t="inlineStr">
        <is>
          <t>M1-P5</t>
        </is>
      </c>
      <c r="D82" t="inlineStr">
        <is>
          <t>Write the screen-by-screen demonstration script</t>
        </is>
      </c>
      <c r="E82" t="inlineStr">
        <is>
          <t>Documentation</t>
        </is>
      </c>
      <c r="F82" t="inlineStr">
        <is>
          <t>Rehearsal</t>
        </is>
      </c>
      <c r="G82" t="inlineStr">
        <is>
          <t>Critical</t>
        </is>
      </c>
      <c r="H82" t="inlineStr">
        <is>
          <t>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src_caster_oracle_shape_cast_pieces.</t>
        </is>
      </c>
      <c r="I82" t="inlineStr">
        <is>
          <t>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is>
      </c>
      <c r="J82" t="n">
        <v>6</v>
      </c>
      <c r="K82" t="inlineStr">
        <is>
          <t>Not Started</t>
        </is>
      </c>
    </row>
    <row r="83" ht="96" customHeight="1">
      <c r="A83" t="inlineStr">
        <is>
          <t>T-082</t>
        </is>
      </c>
      <c r="B83" t="inlineStr">
        <is>
          <t>M1</t>
        </is>
      </c>
      <c r="C83" t="inlineStr">
        <is>
          <t>M1-P5</t>
        </is>
      </c>
      <c r="D83" t="inlineStr">
        <is>
          <t>Presentation environment preparation and clean-start verification</t>
        </is>
      </c>
      <c r="E83" t="inlineStr">
        <is>
          <t>Infrastructure</t>
        </is>
      </c>
      <c r="F83" t="inlineStr">
        <is>
          <t>Rehearsal</t>
        </is>
      </c>
      <c r="G83" t="inlineStr">
        <is>
          <t>Very Important</t>
        </is>
      </c>
      <c r="H83" t="inlineStr">
        <is>
          <t>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is>
      </c>
      <c r="I83" t="inlineStr">
        <is>
          <t>Cold-boot the machine and reach the first demonstration screen following only a written checklist, twice, timing both. Record both timings. If the second run needs a step that is not on the checklist, the checklist is wrong.</t>
        </is>
      </c>
      <c r="J83" t="n">
        <v>4</v>
      </c>
      <c r="K83" t="inlineStr">
        <is>
          <t>Not Started</t>
        </is>
      </c>
    </row>
    <row r="84" ht="96" customHeight="1">
      <c r="A84" t="inlineStr">
        <is>
          <t>T-083</t>
        </is>
      </c>
      <c r="B84" t="inlineStr">
        <is>
          <t>M1</t>
        </is>
      </c>
      <c r="C84" t="inlineStr">
        <is>
          <t>M1-P5</t>
        </is>
      </c>
      <c r="D84" t="inlineStr">
        <is>
          <t>Three rehearsals, hostile hands and the fallback package</t>
        </is>
      </c>
      <c r="E84" t="inlineStr">
        <is>
          <t>Documentation</t>
        </is>
      </c>
      <c r="F84" t="inlineStr">
        <is>
          <t>Rehearsal</t>
        </is>
      </c>
      <c r="G84" t="inlineStr">
        <is>
          <t>Critical</t>
        </is>
      </c>
      <c r="H84" t="inlineStr">
        <is>
          <t>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is>
      </c>
      <c r="I84" t="inlineStr">
        <is>
          <t>Two consecutive rehearsals complete with no surprise. The hostile-hands run produces a defect list that is either fixed or explicitly accepted in writing. The fallback package exists on a second device.</t>
        </is>
      </c>
      <c r="J84" t="n">
        <v>6</v>
      </c>
      <c r="K84" t="inlineStr">
        <is>
          <t>Not Started</t>
        </is>
      </c>
    </row>
    <row r="85" ht="96" customHeight="1">
      <c r="A85" t="inlineStr">
        <is>
          <t>T-084</t>
        </is>
      </c>
      <c r="B85" t="inlineStr">
        <is>
          <t>M2a</t>
        </is>
      </c>
      <c r="C85" t="inlineStr">
        <is>
          <t>M2a-P1</t>
        </is>
      </c>
      <c r="D85" t="inlineStr">
        <is>
          <t>Emit the frozen Fleet v2 into native customer-source fixtures</t>
        </is>
      </c>
      <c r="E85" t="inlineStr">
        <is>
          <t>Infrastructure</t>
        </is>
      </c>
      <c r="F85" t="inlineStr">
        <is>
          <t>Emulated sources</t>
        </is>
      </c>
      <c r="G85" t="inlineStr">
        <is>
          <t>Critical</t>
        </is>
      </c>
      <c r="H85" t="inlineStr">
        <is>
          <t>NEW IN v2.9, and it is the M1 to M2 convergence operation. The certified Fleet v2 truth must become the customer-source dataset, and the sources are heterogeneous, so THIS IS GENERATION AND NOT BACKUP AND RESTORE. A PostgreSQL dump of the presentation staging schema cannot be restored into Oracle or SQL Server, and attempting it is how a single-engine shortcut becomes an architecture. Emit native fixtures for each source from the SAME frozen generator: PostgreSQL, Oracle, SQL Server, MySQL, the QA file source and the yard file source, each in that engine's own types, identifier rules and file conventions. Estimated at 10 hours as four database emitters at about two hours each plus two file emitters at about one hour, derived from the target count rather than fitted to the phase.</t>
        </is>
      </c>
      <c r="I85" t="inlineStr">
        <is>
          <t>One frozen generator emits all six native fixture sets from one seed. Each fixture set loads cleanly into its own engine and the loaded content matches the certified Fleet v2 truth on row counts, column sets and every categorical distribution. No fixture is produced by exporting another engine's data. A second emission from the same seed is byte-identical. The emitter is committed with its fixtures, so the customer sources are reproducible from source control.</t>
        </is>
      </c>
      <c r="J85" t="n">
        <v>10</v>
      </c>
      <c r="K85" t="inlineStr">
        <is>
          <t>Not Started</t>
        </is>
      </c>
    </row>
    <row r="86" ht="96" customHeight="1">
      <c r="A86" t="inlineStr">
        <is>
          <t>T-085</t>
        </is>
      </c>
      <c r="B86" t="inlineStr">
        <is>
          <t>M2a</t>
        </is>
      </c>
      <c r="C86" t="inlineStr">
        <is>
          <t>M2a-P1</t>
        </is>
      </c>
      <c r="D86" t="inlineStr">
        <is>
          <t>Clean-room rebuild of the Fleet v2 emulator sources from source control</t>
        </is>
      </c>
      <c r="E86" t="inlineStr">
        <is>
          <t>Database</t>
        </is>
      </c>
      <c r="F86" t="inlineStr">
        <is>
          <t>Emulated sources</t>
        </is>
      </c>
      <c r="G86" t="inlineStr">
        <is>
          <t>Critical</t>
        </is>
      </c>
      <c r="H86" t="inlineStr">
        <is>
          <t>NEW IN v2.7, and it exists because the dataset changed job. Presentation Fleet v2 is not disposable presentation data that ends with the customer meeting - from here it is the CONTROLLED REFERENCE PLANT that every M2 intelligence feature is developed and benchmarked against. That only means something if it is reproducible, so this task proves it is, BEFORE substantial M2 feature work starts. Destroy the emulator state and rebuild it: recreate the emulated PostgreSQL, Oracle, MSSQL, MySQL and file-based customer sources from a CLEAN state using only the committed generator and fixtures - down with volumes, not stop - then prove their structures and key populations. NO IMPORTANT STATE MAY EXIST ONLY IN A DOCKER VOLUME OR ONLY IN ppiq_presentation. Then consume the rebuilt fleet into a FRESH PPIQ database through the product path: discovery, register, import, staging, mappings, canonical, genealogy. DIRECT CANONICAL SEEDING IS NOT A VALID PATH FOR THIS PROOF. THE T-010 READING THAT 106,272 CANONICAL AGAINST 16,640 STAGED PROVED DIRECT SEEDING IS WITHDRAWN - the T-013 measurement showed the M1 database held THREE GENERATIONS of the same fleet at once: the newer enhanced source-shaped donor schemas, an older and roughly three times larger dump population, and canonical rows corresponding to that older imported generation. This task exists to eliminate GENERATION DRIFT, so that one Fleet v2 truth reaches every layer through the one path. This task does NOT redesign the dataset; T-027 already validated it.</t>
        </is>
      </c>
      <c r="I86" t="inlineStr">
        <is>
          <t>Every emulator source comes up from nothing and reports its expected structures and populations. Every M1 source-side enhancement survives the rebuild - the enhanced defect catalogue and its Pareto shape, the required chemistry elements, the customer grade specifications, the shift and crew calendar and its behaviour, maintenance and campaign regimes, equipment personality, the downtime stopped-time and production-impact semantics, stable source identities and provenance, negative controls, confounders, temporal regimes and complete genealogy. Row counts at source, staging and canonical with every difference explained. A sampled unit resolves from canonical back to its source record.</t>
        </is>
      </c>
      <c r="J86" t="n">
        <v>10</v>
      </c>
      <c r="K86" t="inlineStr">
        <is>
          <t>Not Started</t>
        </is>
      </c>
    </row>
    <row r="87" ht="96" customHeight="1">
      <c r="A87" t="inlineStr">
        <is>
          <t>T-086</t>
        </is>
      </c>
      <c r="B87" t="inlineStr">
        <is>
          <t>M2a</t>
        </is>
      </c>
      <c r="C87" t="inlineStr">
        <is>
          <t>M2a-P1</t>
        </is>
      </c>
      <c r="D87" t="inlineStr">
        <is>
          <t>Freeze and certify Fleet v2 as the M2 reference validation dataset</t>
        </is>
      </c>
      <c r="E87" t="inlineStr">
        <is>
          <t>Testing</t>
        </is>
      </c>
      <c r="F87" t="inlineStr">
        <is>
          <t>Emulated sources</t>
        </is>
      </c>
      <c r="G87" t="inlineStr">
        <is>
          <t>Critical</t>
        </is>
      </c>
      <c r="H87" t="inlineStr">
        <is>
          <t>NEW IN v2.7, and it carries the rule that matters more than the manifest. Version and freeze the phenomenon manifest from M1 with its PREDECLARED expected direction, effect bands, minimum populations, conditioning variables and negative controls. M2 ALGORITHMS MUST DISCOVER OR HONESTLY REFUSE THESE BEHAVIOURS; THEY MUST NEVER KNOW THE ANSWERS FROM CODE. Write a machine-readable M2 baseline manifest recording dataset version, generator version and seed, source schema versions, important source row counts and cardinalities, phenomenon ids, expected population ranges, negative controls, genealogy and conservation checks, and fixture identity hashes where useful. THEN THE IMMUTABILITY CONTRACT, which is the point of the whole task: during M2 the baseline is NOT modified every time an algorithm disappoints. If a feature cannot recover a behaviour the certified dataset genuinely contains, THAT IS A PRODUCT FINDING, not permission to tune the data until the test passes. Adding correlation to the generator so the optimiser succeeds is how a benchmark stops measuring anything. If M2 later needs new scenarios, create a VERSIONED EXTENSION - Fleet v2.1 or v3 - and never silently change the certified M1 baseline.</t>
        </is>
      </c>
      <c r="I87" t="inlineStr">
        <is>
          <t>The manifest exists, is machine-readable, and a harness run against the certified fleet reproduces the M1 result. The immutability contract is written into the repository where a developer will meet it, not only in the backlog. A named test asserts the baseline fixture identity, so a silent change to the certified dataset fails rather than passing quietly. State plainly which questions this baseline is meant to answer - does the engine recover the known good operating region while accounting for grade, equipment, shift and confounding; does practice learning recover the planted behaviour and reject the negative control; does readiness answer where support is sufficient and refuse where it is not.</t>
        </is>
      </c>
      <c r="J87" t="n">
        <v>8</v>
      </c>
      <c r="K87" t="inlineStr">
        <is>
          <t>Not Started</t>
        </is>
      </c>
    </row>
    <row r="88" ht="96" customHeight="1">
      <c r="A88" t="inlineStr">
        <is>
          <t>T-087</t>
        </is>
      </c>
      <c r="B88" t="inlineStr">
        <is>
          <t>M2a</t>
        </is>
      </c>
      <c r="C88" t="inlineStr">
        <is>
          <t>M2a-P1</t>
        </is>
      </c>
      <c r="D88" t="inlineStr">
        <is>
          <t>Physical three-schema migration</t>
        </is>
      </c>
      <c r="E88" t="inlineStr">
        <is>
          <t>Database</t>
        </is>
      </c>
      <c r="F88" t="inlineStr">
        <is>
          <t>Schema</t>
        </is>
      </c>
      <c r="G88" t="inlineStr">
        <is>
          <t>Critical</t>
        </is>
      </c>
      <c r="H88" t="inlineStr">
        <is>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is>
      </c>
      <c r="I88" t="inlineStr">
        <is>
          <t>Rule 2 is provable in one query on a fresh database. All application tests pass. The canvas catalogue lists tables from the renamed schema with only a configuration change.</t>
        </is>
      </c>
      <c r="J88" t="n">
        <v>12</v>
      </c>
      <c r="K88" t="inlineStr">
        <is>
          <t>Not Started</t>
        </is>
      </c>
    </row>
    <row r="89" ht="96" customHeight="1">
      <c r="A89" t="inlineStr">
        <is>
          <t>T-088</t>
        </is>
      </c>
      <c r="B89" t="inlineStr">
        <is>
          <t>M2a</t>
        </is>
      </c>
      <c r="C89" t="inlineStr">
        <is>
          <t>M2a-P1</t>
        </is>
      </c>
      <c r="D89" t="inlineStr">
        <is>
          <t>Canonical migration order and legacy script archival</t>
        </is>
      </c>
      <c r="E89" t="inlineStr">
        <is>
          <t>Database</t>
        </is>
      </c>
      <c r="F89" t="inlineStr">
        <is>
          <t>Schema</t>
        </is>
      </c>
      <c r="G89" t="inlineStr">
        <is>
          <t>Very Important</t>
        </is>
      </c>
      <c r="H89" t="inlineStr">
        <is>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is>
      </c>
      <c r="I89" t="inlineStr">
        <is>
          <t>A fresh database builds from the canonical path with no manual step. The truth gate fails if a duplicate CREATE TABLE is introduced.</t>
        </is>
      </c>
      <c r="J89" t="n">
        <v>12</v>
      </c>
      <c r="K89" t="inlineStr">
        <is>
          <t>Not Started</t>
        </is>
      </c>
    </row>
    <row r="90" ht="96" customHeight="1">
      <c r="A90" t="inlineStr">
        <is>
          <t>T-089</t>
        </is>
      </c>
      <c r="B90" t="inlineStr">
        <is>
          <t>M2a</t>
        </is>
      </c>
      <c r="C90" t="inlineStr">
        <is>
          <t>M2a-P1</t>
        </is>
      </c>
      <c r="D90" t="inlineStr">
        <is>
          <t>definition_store, definition_versions and definition_dependencies</t>
        </is>
      </c>
      <c r="E90" t="inlineStr">
        <is>
          <t>Database</t>
        </is>
      </c>
      <c r="F90" t="inlineStr">
        <is>
          <t>Definition store</t>
        </is>
      </c>
      <c r="G90" t="inlineStr">
        <is>
          <t>Critical</t>
        </is>
      </c>
      <c r="H90" t="inlineStr">
        <is>
          <t>Create the tables specified in Chapter 3 4.5.11 with immutable versions and a dependency graph, plus a trigger that rejects a dependency cycle.</t>
        </is>
      </c>
      <c r="I90" t="inlineStr">
        <is>
          <t>Integration tests: create, version, publish, and reject a cycle. Version rows must be immutable, proved by an update attempt that fails.</t>
        </is>
      </c>
      <c r="J90" t="n">
        <v>12</v>
      </c>
      <c r="K90" t="inlineStr">
        <is>
          <t>Not Started</t>
        </is>
      </c>
    </row>
    <row r="91" ht="96" customHeight="1">
      <c r="A91" t="inlineStr">
        <is>
          <t>T-090</t>
        </is>
      </c>
      <c r="B91" t="inlineStr">
        <is>
          <t>M2a</t>
        </is>
      </c>
      <c r="C91" t="inlineStr">
        <is>
          <t>M2a-P1</t>
        </is>
      </c>
      <c r="D91" t="inlineStr">
        <is>
          <t>Move all five definition kinds onto the store</t>
        </is>
      </c>
      <c r="E91" t="inlineStr">
        <is>
          <t>Backend</t>
        </is>
      </c>
      <c r="F91" t="inlineStr">
        <is>
          <t>Definition store</t>
        </is>
      </c>
      <c r="G91" t="inlineStr">
        <is>
          <t>Critical</t>
        </is>
      </c>
      <c r="H91" t="inlineStr">
        <is>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t>
        </is>
      </c>
      <c r="I91" t="inlineStr">
        <is>
          <t>The M1 integration test written against IDefinitionService must pass unchanged, since it references no table name. That is the proof that the visible contract did not move.</t>
        </is>
      </c>
      <c r="J91" t="n">
        <v>12</v>
      </c>
      <c r="K91" t="inlineStr">
        <is>
          <t>Not Started</t>
        </is>
      </c>
    </row>
    <row r="92" ht="96" customHeight="1">
      <c r="A92" t="inlineStr">
        <is>
          <t>T-091</t>
        </is>
      </c>
      <c r="B92" t="inlineStr">
        <is>
          <t>M2a</t>
        </is>
      </c>
      <c r="C92" t="inlineStr">
        <is>
          <t>M2a-P1</t>
        </is>
      </c>
      <c r="D92" t="inlineStr">
        <is>
          <t>Impact preview, export and import</t>
        </is>
      </c>
      <c r="E92" t="inlineStr">
        <is>
          <t>Backend</t>
        </is>
      </c>
      <c r="F92" t="inlineStr">
        <is>
          <t>Definition store</t>
        </is>
      </c>
      <c r="G92" t="inlineStr">
        <is>
          <t>Very Important</t>
        </is>
      </c>
      <c r="H92" t="inlineStr">
        <is>
          <t>Add dependency impact preview before a publish, and export and import of a definition with its dependencies, per Chapter 3 4.5.11.</t>
        </is>
      </c>
      <c r="I92" t="inlineStr">
        <is>
          <t>Publish a change to a definition three others depend on and confirm the preview lists all three before the publish is confirmed. Export and reimport into an empty database and confirm equality.</t>
        </is>
      </c>
      <c r="J92" t="n">
        <v>12</v>
      </c>
      <c r="K92" t="inlineStr">
        <is>
          <t>Not Started</t>
        </is>
      </c>
    </row>
    <row r="93" ht="96" customHeight="1">
      <c r="A93" t="inlineStr">
        <is>
          <t>T-092</t>
        </is>
      </c>
      <c r="B93" t="inlineStr">
        <is>
          <t>M2a</t>
        </is>
      </c>
      <c r="C93" t="inlineStr">
        <is>
          <t>M2a-P1</t>
        </is>
      </c>
      <c r="D93" t="inlineStr">
        <is>
          <t>Registry authority: dimensions and measures as rows</t>
        </is>
      </c>
      <c r="E93" t="inlineStr">
        <is>
          <t>Backend</t>
        </is>
      </c>
      <c r="F93" t="inlineStr">
        <is>
          <t>Registry</t>
        </is>
      </c>
      <c r="G93" t="inlineStr">
        <is>
          <t>Critical</t>
        </is>
      </c>
      <c r="H93" t="inlineStr">
        <is>
          <t>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t>
        </is>
      </c>
      <c r="I93" t="inlineStr">
        <is>
          <t>Add a dimension through the registry API and confirm it becomes selectable in the authoring shell with no code change and no redeploy. Confirm chart types remain closed by attempting to add one and being refused.</t>
        </is>
      </c>
      <c r="J93" t="n">
        <v>12</v>
      </c>
      <c r="K93" t="inlineStr">
        <is>
          <t>Not Started</t>
        </is>
      </c>
    </row>
    <row r="94" ht="96" customHeight="1">
      <c r="A94" t="inlineStr">
        <is>
          <t>T-093</t>
        </is>
      </c>
      <c r="B94" t="inlineStr">
        <is>
          <t>M2a</t>
        </is>
      </c>
      <c r="C94" t="inlineStr">
        <is>
          <t>M2a-P1</t>
        </is>
      </c>
      <c r="D94" t="inlineStr">
        <is>
          <t>Plant-vocabulary sweep, part 1: build the term list and the architecture test</t>
        </is>
      </c>
      <c r="E94" t="inlineStr">
        <is>
          <t>Backend</t>
        </is>
      </c>
      <c r="F94" t="inlineStr">
        <is>
          <t>Registry</t>
        </is>
      </c>
      <c r="G94" t="inlineStr">
        <is>
          <t>Very Important</t>
        </is>
      </c>
      <c r="H94" t="inlineStr">
        <is>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is>
      </c>
      <c r="I94" t="inlineStr">
        <is>
          <t>Add a term to the list and confirm the build goes red on an existing violation, then goes green once that violation is fixed. Confirm removing a term from the list does not require a code change.</t>
        </is>
      </c>
      <c r="J94" t="n">
        <v>6</v>
      </c>
      <c r="K94" t="inlineStr">
        <is>
          <t>Not Started</t>
        </is>
      </c>
    </row>
    <row r="95" ht="96" customHeight="1">
      <c r="A95" t="inlineStr">
        <is>
          <t>T-094</t>
        </is>
      </c>
      <c r="B95" t="inlineStr">
        <is>
          <t>M2a</t>
        </is>
      </c>
      <c r="C95" t="inlineStr">
        <is>
          <t>M2a-P1</t>
        </is>
      </c>
      <c r="D95" t="inlineStr">
        <is>
          <t>Plant-vocabulary sweep, part 2: clear the violations and rename the canonical grain</t>
        </is>
      </c>
      <c r="E95" t="inlineStr">
        <is>
          <t>Backend</t>
        </is>
      </c>
      <c r="F95" t="inlineStr">
        <is>
          <t>Registry</t>
        </is>
      </c>
      <c r="G95" t="inlineStr">
        <is>
          <t>Very Important</t>
        </is>
      </c>
      <c r="H95" t="inlineStr">
        <is>
          <t>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t>
        </is>
      </c>
      <c r="I95" t="inlineStr">
        <is>
          <t>The architecture test passes with zero violations. Query the canonical layer for a non-steel product type and confirm its grain is no longer reported as 'coil'.</t>
        </is>
      </c>
      <c r="J95" t="n">
        <v>8</v>
      </c>
      <c r="K95" t="inlineStr">
        <is>
          <t>Not Started</t>
        </is>
      </c>
    </row>
    <row r="96" ht="96" customHeight="1">
      <c r="A96" t="inlineStr">
        <is>
          <t>T-095</t>
        </is>
      </c>
      <c r="B96" t="inlineStr">
        <is>
          <t>M2a</t>
        </is>
      </c>
      <c r="C96" t="inlineStr">
        <is>
          <t>M2a-P2</t>
        </is>
      </c>
      <c r="D96" t="inlineStr">
        <is>
          <t>Relationship members, cardinality, grain conversion and preferred paths</t>
        </is>
      </c>
      <c r="E96" t="inlineStr">
        <is>
          <t>Backend</t>
        </is>
      </c>
      <c r="F96" t="inlineStr">
        <is>
          <t>Relationship model</t>
        </is>
      </c>
      <c r="G96" t="inlineStr">
        <is>
          <t>Critical</t>
        </is>
      </c>
      <c r="H96" t="inlineStr">
        <is>
          <t>Extend the M1 slice to the full model in Chapter 3 4.5.10: members, cardinality, grain conversion between related entities, preferred path selection when more than one path exists, and published versions.</t>
        </is>
      </c>
      <c r="I96" t="inlineStr">
        <is>
          <t>Declare two paths between the same pair of entities, mark one preferred, and confirm the resolver chooses it. Change the preference and confirm the resolution changes with no other edit.</t>
        </is>
      </c>
      <c r="J96" t="n">
        <v>12</v>
      </c>
      <c r="K96" t="inlineStr">
        <is>
          <t>Not Started</t>
        </is>
      </c>
    </row>
    <row r="97" ht="96" customHeight="1">
      <c r="A97" t="inlineStr">
        <is>
          <t>T-096</t>
        </is>
      </c>
      <c r="B97" t="inlineStr">
        <is>
          <t>M2a</t>
        </is>
      </c>
      <c r="C97" t="inlineStr">
        <is>
          <t>M2a-P2</t>
        </is>
      </c>
      <c r="D97" t="inlineStr">
        <is>
          <t>Path resolver, part 1: resolver core and the first eight consumers</t>
        </is>
      </c>
      <c r="E97" t="inlineStr">
        <is>
          <t>Backend</t>
        </is>
      </c>
      <c r="F97" t="inlineStr">
        <is>
          <t>Relationship model</t>
        </is>
      </c>
      <c r="G97" t="inlineStr">
        <is>
          <t>Critical</t>
        </is>
      </c>
      <c r="H97" t="inlineStr">
        <is>
          <t>Chapter 2 3.15.4 names sixteen consumers of the relationship model. Build the resolver core, then route the first eight through it: canonical projection, page and widget queries, associative filtering, drill-down, drill-through, genealogy, statistics and correlation.</t>
        </is>
      </c>
      <c r="I97" t="inlineStr">
        <is>
          <t>A regression test per consumer asserting it resolves through the published model, and refuses with a named reason when the relationship is unpublished. Eight tests, no exceptions.</t>
        </is>
      </c>
      <c r="J97" t="n">
        <v>8</v>
      </c>
      <c r="K97" t="inlineStr">
        <is>
          <t>Not Started</t>
        </is>
      </c>
    </row>
    <row r="98" ht="96" customHeight="1">
      <c r="A98" t="inlineStr">
        <is>
          <t>T-097</t>
        </is>
      </c>
      <c r="B98" t="inlineStr">
        <is>
          <t>M2a</t>
        </is>
      </c>
      <c r="C98" t="inlineStr">
        <is>
          <t>M2a-P2</t>
        </is>
      </c>
      <c r="D98" t="inlineStr">
        <is>
          <t>Path resolver, part 2: the remaining eight consumers and the regression suite</t>
        </is>
      </c>
      <c r="E98" t="inlineStr">
        <is>
          <t>Backend</t>
        </is>
      </c>
      <c r="F98" t="inlineStr">
        <is>
          <t>Relationship model</t>
        </is>
      </c>
      <c r="G98" t="inlineStr">
        <is>
          <t>Critical</t>
        </is>
      </c>
      <c r="H98" t="inlineStr">
        <is>
          <t>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is>
      </c>
      <c r="I98" t="inlineStr">
        <is>
          <t>Eight further regression tests. For consumers whose engine arrives in M2b, the test asserts the seam exists and refuses when unpublished, which is what stops a later shortcut.</t>
        </is>
      </c>
      <c r="J98" t="n">
        <v>6</v>
      </c>
      <c r="K98" t="inlineStr">
        <is>
          <t>Not Started</t>
        </is>
      </c>
    </row>
    <row r="99" ht="96" customHeight="1">
      <c r="A99" t="inlineStr">
        <is>
          <t>T-098</t>
        </is>
      </c>
      <c r="B99" t="inlineStr">
        <is>
          <t>M2a</t>
        </is>
      </c>
      <c r="C99" t="inlineStr">
        <is>
          <t>M2a-P2</t>
        </is>
      </c>
      <c r="D99" t="inlineStr">
        <is>
          <t>Relationship Browser page and path evidence</t>
        </is>
      </c>
      <c r="E99" t="inlineStr">
        <is>
          <t>Frontend</t>
        </is>
      </c>
      <c r="F99" t="inlineStr">
        <is>
          <t>Relationship model</t>
        </is>
      </c>
      <c r="G99" t="inlineStr">
        <is>
          <t>Very Important</t>
        </is>
      </c>
      <c r="H99" t="inlineStr">
        <is>
          <t>Build the C6 Relationship Browser from Chapter 3 4.4 with the ten-field page contract, showing declared relationships, their members, their paths and the evidence for each path.</t>
        </is>
      </c>
      <c r="I99" t="inlineStr">
        <is>
          <t>Open a relationship and confirm its members, cardinality and path are shown with evidence. Confirm an unpublished relationship is visibly distinct from a published one.</t>
        </is>
      </c>
      <c r="J99" t="n">
        <v>12</v>
      </c>
      <c r="K99" t="inlineStr">
        <is>
          <t>Not Started</t>
        </is>
      </c>
    </row>
    <row r="100" ht="96" customHeight="1">
      <c r="A100" t="inlineStr">
        <is>
          <t>T-099</t>
        </is>
      </c>
      <c r="B100" t="inlineStr">
        <is>
          <t>M2a</t>
        </is>
      </c>
      <c r="C100" t="inlineStr">
        <is>
          <t>M2a-P2</t>
        </is>
      </c>
      <c r="D100" t="inlineStr">
        <is>
          <t>Quarantine, part 1: the table, the reprocess API and the first eight PV classes</t>
        </is>
      </c>
      <c r="E100" t="inlineStr">
        <is>
          <t>Backend</t>
        </is>
      </c>
      <c r="F100" t="inlineStr">
        <is>
          <t>Quarantine</t>
        </is>
      </c>
      <c r="G100" t="inlineStr">
        <is>
          <t>Critical</t>
        </is>
      </c>
      <c r="H100" t="inlineStr">
        <is>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is>
      </c>
      <c r="I100" t="inlineStr">
        <is>
          <t>Craft one malformed input per implemented class and assert each is quarantined under the correct code, while the good rows in the same batch still project.</t>
        </is>
      </c>
      <c r="J100" t="n">
        <v>8</v>
      </c>
      <c r="K100" t="inlineStr">
        <is>
          <t>Not Started</t>
        </is>
      </c>
    </row>
    <row r="101" ht="96" customHeight="1">
      <c r="A101" t="inlineStr">
        <is>
          <t>T-100</t>
        </is>
      </c>
      <c r="B101" t="inlineStr">
        <is>
          <t>M2a</t>
        </is>
      </c>
      <c r="C101" t="inlineStr">
        <is>
          <t>M2a-P2</t>
        </is>
      </c>
      <c r="D101" t="inlineStr">
        <is>
          <t>Quarantine, part 2: the remaining seven PV classes and per-class tests</t>
        </is>
      </c>
      <c r="E101" t="inlineStr">
        <is>
          <t>Backend</t>
        </is>
      </c>
      <c r="F101" t="inlineStr">
        <is>
          <t>Quarantine</t>
        </is>
      </c>
      <c r="G101" t="inlineStr">
        <is>
          <t>Critical</t>
        </is>
      </c>
      <c r="H101" t="inlineStr">
        <is>
          <t>Implement the remaining seven validation classes and give every class its own test fixture, so the class set is provably complete against Chapter 3 4.5.14 rather than approximately complete.</t>
        </is>
      </c>
      <c r="I101" t="inlineStr">
        <is>
          <t>Fifteen fixtures, fifteen codes, fifteen passing tests. A test that enumerates the PV enum and fails if any member has no fixture.</t>
        </is>
      </c>
      <c r="J101" t="n">
        <v>6</v>
      </c>
      <c r="K101" t="inlineStr">
        <is>
          <t>Not Started</t>
        </is>
      </c>
    </row>
    <row r="102" ht="96" customHeight="1">
      <c r="A102" t="inlineStr">
        <is>
          <t>T-101</t>
        </is>
      </c>
      <c r="B102" t="inlineStr">
        <is>
          <t>M2a</t>
        </is>
      </c>
      <c r="C102" t="inlineStr">
        <is>
          <t>M2a-P2</t>
        </is>
      </c>
      <c r="D102" t="inlineStr">
        <is>
          <t>Quarantine retry, reprocess and Mapping Health completion</t>
        </is>
      </c>
      <c r="E102" t="inlineStr">
        <is>
          <t>Frontend</t>
        </is>
      </c>
      <c r="F102" t="inlineStr">
        <is>
          <t>Quarantine</t>
        </is>
      </c>
      <c r="G102" t="inlineStr">
        <is>
          <t>Very Important</t>
        </is>
      </c>
      <c r="H102" t="inlineStr">
        <is>
          <t>Complete the C2 Mapping Health page against Chapter 3 4.4 C2: issues grouped by code, example rows, and Reprocess after the mapping is corrected. The M1 version delivered the shape; this delivers the full class set and the retry semantics.</t>
        </is>
      </c>
      <c r="I102" t="inlineStr">
        <is>
          <t>Quarantine rows under three different codes, correct one mapping, reprocess, and confirm only the affected rows clear. The M1 continuity snapshot of this page must still match.</t>
        </is>
      </c>
      <c r="J102" t="n">
        <v>12</v>
      </c>
      <c r="K102" t="inlineStr">
        <is>
          <t>Not Started</t>
        </is>
      </c>
    </row>
    <row r="103" ht="96" customHeight="1">
      <c r="A103" t="inlineStr">
        <is>
          <t>T-102</t>
        </is>
      </c>
      <c r="B103" t="inlineStr">
        <is>
          <t>M2a</t>
        </is>
      </c>
      <c r="C103" t="inlineStr">
        <is>
          <t>M2a-P2</t>
        </is>
      </c>
      <c r="D103" t="inlineStr">
        <is>
          <t>Identity resolution across sources</t>
        </is>
      </c>
      <c r="E103" t="inlineStr">
        <is>
          <t>Backend</t>
        </is>
      </c>
      <c r="F103" t="inlineStr">
        <is>
          <t>Genealogy</t>
        </is>
      </c>
      <c r="G103" t="inlineStr">
        <is>
          <t>Very Important</t>
        </is>
      </c>
      <c r="H103" t="inlineStr">
        <is>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is>
      </c>
      <c r="I103" t="inlineStr">
        <is>
          <t>Import the same material under two different source identifiers and confirm one canonical unit results with both aliases recorded. Re-run the import and confirm no duplicate appears.</t>
        </is>
      </c>
      <c r="J103" t="n">
        <v>8</v>
      </c>
      <c r="K103" t="inlineStr">
        <is>
          <t>Not Started</t>
        </is>
      </c>
    </row>
    <row r="104" ht="96" customHeight="1">
      <c r="A104" t="inlineStr">
        <is>
          <t>T-103</t>
        </is>
      </c>
      <c r="B104" t="inlineStr">
        <is>
          <t>M2a</t>
        </is>
      </c>
      <c r="C104" t="inlineStr">
        <is>
          <t>M2a-P2</t>
        </is>
      </c>
      <c r="D104" t="inlineStr">
        <is>
          <t>Genealogy bidirectional walk hardening and weight proof</t>
        </is>
      </c>
      <c r="E104" t="inlineStr">
        <is>
          <t>Backend</t>
        </is>
      </c>
      <c r="F104" t="inlineStr">
        <is>
          <t>Genealogy</t>
        </is>
      </c>
      <c r="G104" t="inlineStr">
        <is>
          <t>Very Important</t>
        </is>
      </c>
      <c r="H104" t="inlineStr">
        <is>
          <t>Confirm the genealogy layer walks both directions on the customer's own keys and that attribution weights are enforced to sum to exactly 1.0 per child by the database trigger on genealogy_edges.contribution_weight numeric(9,6).</t>
        </is>
      </c>
      <c r="I104" t="inlineStr">
        <is>
          <t>Walk a chain backward and forward and confirm the same edges are traversed. Attempt an insert whose weights sum to 0.99 inside a transaction and confirm the trigger rejects it, then roll back.</t>
        </is>
      </c>
      <c r="J104" t="n">
        <v>6</v>
      </c>
      <c r="K104" t="inlineStr">
        <is>
          <t>Not Started</t>
        </is>
      </c>
    </row>
    <row r="105" ht="96" customHeight="1">
      <c r="A105" t="inlineStr">
        <is>
          <t>T-104</t>
        </is>
      </c>
      <c r="B105" t="inlineStr">
        <is>
          <t>M2a</t>
        </is>
      </c>
      <c r="C105" t="inlineStr">
        <is>
          <t>M2a-P2</t>
        </is>
      </c>
      <c r="D105" t="inlineStr">
        <is>
          <t>Projection through the versioned mapping, with version stamping</t>
        </is>
      </c>
      <c r="E105" t="inlineStr">
        <is>
          <t>Backend</t>
        </is>
      </c>
      <c r="F105" t="inlineStr">
        <is>
          <t>Projection</t>
        </is>
      </c>
      <c r="G105" t="inlineStr">
        <is>
          <t>Critical</t>
        </is>
      </c>
      <c r="H105" t="inlineStr">
        <is>
          <t>Complete the DF5 contract: source-shaped staging projects into the canonical plant model through the customer-authored versioned mapping, and every projected row records the mapping version that produced it.</t>
        </is>
      </c>
      <c r="I105" t="inlineStr">
        <is>
          <t>Project a batch, change the mapping version, project again, and confirm each row records the version that produced it. No row may carry a null mapping version.</t>
        </is>
      </c>
      <c r="J105" t="n">
        <v>8</v>
      </c>
      <c r="K105" t="inlineStr">
        <is>
          <t>Not Started</t>
        </is>
      </c>
    </row>
    <row r="106" ht="96" customHeight="1">
      <c r="A106" t="inlineStr">
        <is>
          <t>T-105</t>
        </is>
      </c>
      <c r="B106" t="inlineStr">
        <is>
          <t>M2a</t>
        </is>
      </c>
      <c r="C106" t="inlineStr">
        <is>
          <t>M2a-P2</t>
        </is>
      </c>
      <c r="D106" t="inlineStr">
        <is>
          <t>Idempotent reprojection and mapping-version regression</t>
        </is>
      </c>
      <c r="E106" t="inlineStr">
        <is>
          <t>Backend</t>
        </is>
      </c>
      <c r="F106" t="inlineStr">
        <is>
          <t>Projection</t>
        </is>
      </c>
      <c r="G106" t="inlineStr">
        <is>
          <t>Critical</t>
        </is>
      </c>
      <c r="H106" t="inlineStr">
        <is>
          <t>Make reprojection idempotent and add the regression suite: reprojecting the same batch must not duplicate rows, and rolling a mapping back to a previous version must produce the earlier result exactly.</t>
        </is>
      </c>
      <c r="I106" t="inlineStr">
        <is>
          <t>Reproject the same batch three times and confirm row counts are unchanged. Roll a mapping back and confirm the canonical output matches the earlier snapshot byte for byte.</t>
        </is>
      </c>
      <c r="J106" t="n">
        <v>6</v>
      </c>
      <c r="K106" t="inlineStr">
        <is>
          <t>Not Started</t>
        </is>
      </c>
    </row>
    <row r="107" ht="96" customHeight="1">
      <c r="A107" t="inlineStr">
        <is>
          <t>T-106</t>
        </is>
      </c>
      <c r="B107" t="inlineStr">
        <is>
          <t>M2a</t>
        </is>
      </c>
      <c r="C107" t="inlineStr">
        <is>
          <t>M2a-P3</t>
        </is>
      </c>
      <c r="D107" t="inlineStr">
        <is>
          <t>Job target version policy and dependency DAG</t>
        </is>
      </c>
      <c r="E107" t="inlineStr">
        <is>
          <t>Backend</t>
        </is>
      </c>
      <c r="F107" t="inlineStr">
        <is>
          <t>Jobs</t>
        </is>
      </c>
      <c r="G107" t="inlineStr">
        <is>
          <t>Critical</t>
        </is>
      </c>
      <c r="H107" t="inlineStr">
        <is>
          <t>Build on the M1 target_definition_id work: add the full version policy (pinned or current published), the job dependency graph, and cycle validation.</t>
        </is>
      </c>
      <c r="I107" t="inlineStr">
        <is>
          <t>Declare a three-job chain, run it, and confirm order. Introduce a cycle and confirm it is refused at save time with a named code.</t>
        </is>
      </c>
      <c r="J107" t="n">
        <v>12</v>
      </c>
      <c r="K107" t="inlineStr">
        <is>
          <t>Not Started</t>
        </is>
      </c>
    </row>
    <row r="108" ht="96" customHeight="1">
      <c r="A108" t="inlineStr">
        <is>
          <t>T-107</t>
        </is>
      </c>
      <c r="B108" t="inlineStr">
        <is>
          <t>M2a</t>
        </is>
      </c>
      <c r="C108" t="inlineStr">
        <is>
          <t>M2a-P3</t>
        </is>
      </c>
      <c r="D108" t="inlineStr">
        <is>
          <t>Weighted pools, compute weights and admission control</t>
        </is>
      </c>
      <c r="E108" t="inlineStr">
        <is>
          <t>Backend</t>
        </is>
      </c>
      <c r="F108" t="inlineStr">
        <is>
          <t>Jobs</t>
        </is>
      </c>
      <c r="G108" t="inlineStr">
        <is>
          <t>Critical</t>
        </is>
      </c>
      <c r="H108" t="inlineStr">
        <is>
          <t>Implement mechanisms 3 and 4 from Chapter 4 5.3.2: skip-if-running, latest-only, and admission control with weighted pools per job class.</t>
        </is>
      </c>
      <c r="I108" t="inlineStr">
        <is>
          <t>Schedule more jobs than the pool allows and confirm they queue rather than degrade the machine. Confirm a second instance of a running job is skipped, not queued twice.</t>
        </is>
      </c>
      <c r="J108" t="n">
        <v>12</v>
      </c>
      <c r="K108" t="inlineStr">
        <is>
          <t>Not Started</t>
        </is>
      </c>
    </row>
    <row r="109" ht="96" customHeight="1">
      <c r="A109" t="inlineStr">
        <is>
          <t>T-108</t>
        </is>
      </c>
      <c r="B109" t="inlineStr">
        <is>
          <t>M2a</t>
        </is>
      </c>
      <c r="C109" t="inlineStr">
        <is>
          <t>M2a-P3</t>
        </is>
      </c>
      <c r="D109" t="inlineStr">
        <is>
          <t>stage_watermarks and delta-scoped projection</t>
        </is>
      </c>
      <c r="E109" t="inlineStr">
        <is>
          <t>Backend</t>
        </is>
      </c>
      <c r="F109" t="inlineStr">
        <is>
          <t>Delta propagation</t>
        </is>
      </c>
      <c r="G109" t="inlineStr">
        <is>
          <t>Critical</t>
        </is>
      </c>
      <c r="H109" t="inlineStr">
        <is>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is>
      </c>
      <c r="I109" t="inlineStr">
        <is>
          <t>Change one source row and confirm projection processes a bounded delta rather than a full scan, evidenced by rows-scanned telemetry.</t>
        </is>
      </c>
      <c r="J109" t="n">
        <v>8</v>
      </c>
      <c r="K109" t="inlineStr">
        <is>
          <t>Not Started</t>
        </is>
      </c>
    </row>
    <row r="110" ht="96" customHeight="1">
      <c r="A110" t="inlineStr">
        <is>
          <t>T-109</t>
        </is>
      </c>
      <c r="B110" t="inlineStr">
        <is>
          <t>M2a</t>
        </is>
      </c>
      <c r="C110" t="inlineStr">
        <is>
          <t>M2a-P3</t>
        </is>
      </c>
      <c r="D110" t="inlineStr">
        <is>
          <t>Delta-scoped feature refresh and analysis, with telemetry</t>
        </is>
      </c>
      <c r="E110" t="inlineStr">
        <is>
          <t>Backend</t>
        </is>
      </c>
      <c r="F110" t="inlineStr">
        <is>
          <t>Delta propagation</t>
        </is>
      </c>
      <c r="G110" t="inlineStr">
        <is>
          <t>Critical</t>
        </is>
      </c>
      <c r="H110" t="inlineStr">
        <is>
          <t>Extend the delta strategy to the feature refresh and analysis job classes, and emit rows-scanned telemetry per stage so amplification can be measured.</t>
        </is>
      </c>
      <c r="I110" t="inlineStr">
        <is>
          <t>Change one source row and confirm the feature and analysis stages each scan a bounded delta. Telemetry must report rows scanned per stage per run.</t>
        </is>
      </c>
      <c r="J110" t="n">
        <v>6</v>
      </c>
      <c r="K110" t="inlineStr">
        <is>
          <t>Not Started</t>
        </is>
      </c>
    </row>
    <row r="111" ht="96" customHeight="1">
      <c r="A111" t="inlineStr">
        <is>
          <t>T-110</t>
        </is>
      </c>
      <c r="B111" t="inlineStr">
        <is>
          <t>M2a</t>
        </is>
      </c>
      <c r="C111" t="inlineStr">
        <is>
          <t>M2a-P3</t>
        </is>
      </c>
      <c r="D111" t="inlineStr">
        <is>
          <t>Chunk manifests, checkpoint, resume and deterministic merge</t>
        </is>
      </c>
      <c r="E111" t="inlineStr">
        <is>
          <t>Backend</t>
        </is>
      </c>
      <c r="F111" t="inlineStr">
        <is>
          <t>Delta propagation</t>
        </is>
      </c>
      <c r="G111" t="inlineStr">
        <is>
          <t>Critical</t>
        </is>
      </c>
      <c r="H111" t="inlineStr">
        <is>
          <t>Implement Chapter 4 5.3.9.6a: bounded chunks with receipts, checkpoint and resume after interruption, and a deterministic merge so a resumed run produces the same result as an uninterrupted one.</t>
        </is>
      </c>
      <c r="I111" t="inlineStr">
        <is>
          <t>Kill a running job at 60 percent, restart it, and confirm the final result is byte-identical to an uninterrupted run over the same input.</t>
        </is>
      </c>
      <c r="J111" t="n">
        <v>12</v>
      </c>
      <c r="K111" t="inlineStr">
        <is>
          <t>Not Started</t>
        </is>
      </c>
    </row>
    <row r="112" ht="96" customHeight="1">
      <c r="A112" t="inlineStr">
        <is>
          <t>T-111</t>
        </is>
      </c>
      <c r="B112" t="inlineStr">
        <is>
          <t>M2a</t>
        </is>
      </c>
      <c r="C112" t="inlineStr">
        <is>
          <t>M2a-P3</t>
        </is>
      </c>
      <c r="D112" t="inlineStr">
        <is>
          <t>Scan budget and the Scan Amplification metric</t>
        </is>
      </c>
      <c r="E112" t="inlineStr">
        <is>
          <t>Infrastructure</t>
        </is>
      </c>
      <c r="F112" t="inlineStr">
        <is>
          <t>Monitoring</t>
        </is>
      </c>
      <c r="G112" t="inlineStr">
        <is>
          <t>Very Important</t>
        </is>
      </c>
      <c r="H112" t="inlineStr">
        <is>
          <t>Add scan admission and the Scan Amplification Ratio from Chapter 6 6.1.12.2a, with a baseline and a regression gate that fails the build when amplification rises beyond the baseline.</t>
        </is>
      </c>
      <c r="I112" t="inlineStr">
        <is>
          <t>Record a baseline, then deliberately remove a delta scope and confirm the gate goes red. Restore and confirm green.</t>
        </is>
      </c>
      <c r="J112" t="n">
        <v>12</v>
      </c>
      <c r="K112" t="inlineStr">
        <is>
          <t>Not Started</t>
        </is>
      </c>
    </row>
    <row r="113" ht="96" customHeight="1">
      <c r="A113" t="inlineStr">
        <is>
          <t>T-112</t>
        </is>
      </c>
      <c r="B113" t="inlineStr">
        <is>
          <t>M2a</t>
        </is>
      </c>
      <c r="C113" t="inlineStr">
        <is>
          <t>M2a-P3</t>
        </is>
      </c>
      <c r="D113" t="inlineStr">
        <is>
          <t>Force RLS on every tenant-owned table with an architecture test</t>
        </is>
      </c>
      <c r="E113" t="inlineStr">
        <is>
          <t>Database</t>
        </is>
      </c>
      <c r="F113" t="inlineStr">
        <is>
          <t>Security</t>
        </is>
      </c>
      <c r="G113" t="inlineStr">
        <is>
          <t>Critical</t>
        </is>
      </c>
      <c r="H113" t="inlineStr">
        <is>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is>
      </c>
      <c r="I113" t="inlineStr">
        <is>
          <t>A query listing tenant-owned tables without a policy returns zero rows. Add a new tenant table in a branch and confirm the architecture test goes red before it is merged.</t>
        </is>
      </c>
      <c r="J113" t="n">
        <v>12</v>
      </c>
      <c r="K113" t="inlineStr">
        <is>
          <t>Not Started</t>
        </is>
      </c>
    </row>
    <row r="114" ht="96" customHeight="1">
      <c r="A114" t="inlineStr">
        <is>
          <t>T-113</t>
        </is>
      </c>
      <c r="B114" t="inlineStr">
        <is>
          <t>M2a</t>
        </is>
      </c>
      <c r="C114" t="inlineStr">
        <is>
          <t>M2a-P3</t>
        </is>
      </c>
      <c r="D114" t="inlineStr">
        <is>
          <t>Secret and configuration hygiene</t>
        </is>
      </c>
      <c r="E114" t="inlineStr">
        <is>
          <t>Backend</t>
        </is>
      </c>
      <c r="F114" t="inlineStr">
        <is>
          <t>Security</t>
        </is>
      </c>
      <c r="G114" t="inlineStr">
        <is>
          <t>Very Important</t>
        </is>
      </c>
      <c r="H114" t="inlineStr">
        <is>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t>
        </is>
      </c>
      <c r="I114" t="inlineStr">
        <is>
          <t>A secret scan across the repository returns no live credential. Generate an audit package and confirm secrets are masked. Confirm the E2E stack still runs with credentials supplied from the environment.</t>
        </is>
      </c>
      <c r="J114" t="n">
        <v>8</v>
      </c>
      <c r="K114" t="inlineStr">
        <is>
          <t>Not Started</t>
        </is>
      </c>
    </row>
    <row r="115" ht="96" customHeight="1">
      <c r="A115" t="inlineStr">
        <is>
          <t>T-114</t>
        </is>
      </c>
      <c r="B115" t="inlineStr">
        <is>
          <t>M2a</t>
        </is>
      </c>
      <c r="C115" t="inlineStr">
        <is>
          <t>M2a-P3</t>
        </is>
      </c>
      <c r="D115" t="inlineStr">
        <is>
          <t>Tenant keys, tenant-aware uniqueness and canonical namespace on new APIs</t>
        </is>
      </c>
      <c r="E115" t="inlineStr">
        <is>
          <t>Backend</t>
        </is>
      </c>
      <c r="F115" t="inlineStr">
        <is>
          <t>Security</t>
        </is>
      </c>
      <c r="G115" t="inlineStr">
        <is>
          <t>Very Important</t>
        </is>
      </c>
      <c r="H115" t="inlineStr">
        <is>
          <t>Apply tenant keys and tenant-aware uniqueness to every table introduced in M1 and M2a, and put every new endpoint on the canonical namespace from the outset so the migration does not have to catch up with new work.</t>
        </is>
      </c>
      <c r="I115" t="inlineStr">
        <is>
          <t>Insert the same natural key for two tenants and confirm both persist. A test asserting every endpoint added after this date matches the canonical domain pattern.</t>
        </is>
      </c>
      <c r="J115" t="n">
        <v>6</v>
      </c>
      <c r="K115" t="inlineStr">
        <is>
          <t>Not Started</t>
        </is>
      </c>
    </row>
    <row r="116" ht="96" customHeight="1">
      <c r="A116" t="inlineStr">
        <is>
          <t>T-115</t>
        </is>
      </c>
      <c r="B116" t="inlineStr">
        <is>
          <t>M2a</t>
        </is>
      </c>
      <c r="C116" t="inlineStr">
        <is>
          <t>M2a-P3</t>
        </is>
      </c>
      <c r="D116" t="inlineStr">
        <is>
          <t>Fresh-install Rule 2 acceptance test, ephemeral</t>
        </is>
      </c>
      <c r="E116" t="inlineStr">
        <is>
          <t>Database</t>
        </is>
      </c>
      <c r="F116" t="inlineStr">
        <is>
          <t>Schema</t>
        </is>
      </c>
      <c r="G116" t="inlineStr">
        <is>
          <t>Very Important</t>
        </is>
      </c>
      <c r="H116" t="inlineStr">
        <is>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is>
      </c>
      <c r="I116" t="inlineStr">
        <is>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is>
      </c>
      <c r="J116" t="n">
        <v>4</v>
      </c>
      <c r="K116" t="inlineStr">
        <is>
          <t>Not Started</t>
        </is>
      </c>
    </row>
    <row r="117" ht="96" customHeight="1">
      <c r="A117" t="inlineStr">
        <is>
          <t>T-116</t>
        </is>
      </c>
      <c r="B117" t="inlineStr">
        <is>
          <t>M2a</t>
        </is>
      </c>
      <c r="C117" t="inlineStr">
        <is>
          <t>M2a-P3</t>
        </is>
      </c>
      <c r="D117" t="inlineStr">
        <is>
          <t>API namespace migration, part 1: map the 92 prefixes onto the 27 domains and stand up dual-serve</t>
        </is>
      </c>
      <c r="E117" t="inlineStr">
        <is>
          <t>Backend</t>
        </is>
      </c>
      <c r="F117" t="inlineStr">
        <is>
          <t>Namespace</t>
        </is>
      </c>
      <c r="G117" t="inlineStr">
        <is>
          <t>Very Important</t>
        </is>
      </c>
      <c r="H117" t="inlineStr">
        <is>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is>
      </c>
      <c r="I117" t="inlineStr">
        <is>
          <t>Every one of the 544 routes appears exactly once in the mapping table. Both the old and the new path return identical responses for a sample of twenty routes.</t>
        </is>
      </c>
      <c r="J117" t="n">
        <v>8</v>
      </c>
      <c r="K117" t="inlineStr">
        <is>
          <t>Not Started</t>
        </is>
      </c>
    </row>
    <row r="118" ht="96" customHeight="1">
      <c r="A118" t="inlineStr">
        <is>
          <t>T-117</t>
        </is>
      </c>
      <c r="B118" t="inlineStr">
        <is>
          <t>M2a</t>
        </is>
      </c>
      <c r="C118" t="inlineStr">
        <is>
          <t>M2a-P3</t>
        </is>
      </c>
      <c r="D118" t="inlineStr">
        <is>
          <t>API namespace migration, part 2: migrate the clients and add the token gate</t>
        </is>
      </c>
      <c r="E118" t="inlineStr">
        <is>
          <t>Backend</t>
        </is>
      </c>
      <c r="F118" t="inlineStr">
        <is>
          <t>Namespace</t>
        </is>
      </c>
      <c r="G118" t="inlineStr">
        <is>
          <t>Very Important</t>
        </is>
      </c>
      <c r="H118" t="inlineStr">
        <is>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is>
      </c>
      <c r="I118" t="inlineStr">
        <is>
          <t>A test asserting no registered route matches /phase\d+|\/v\d+\/|p\d\d/. Open the browser network tab during the golden journey and confirm no request URL carries a phase or version token.</t>
        </is>
      </c>
      <c r="J118" t="n">
        <v>6</v>
      </c>
      <c r="K118" t="inlineStr">
        <is>
          <t>Not Started</t>
        </is>
      </c>
    </row>
    <row r="119" ht="96" customHeight="1">
      <c r="A119" t="inlineStr">
        <is>
          <t>T-118</t>
        </is>
      </c>
      <c r="B119" t="inlineStr">
        <is>
          <t>M2a</t>
        </is>
      </c>
      <c r="C119" t="inlineStr">
        <is>
          <t>M2a-P4</t>
        </is>
      </c>
      <c r="D119" t="inlineStr">
        <is>
          <t>J1 to J3 commissioning built for real</t>
        </is>
      </c>
      <c r="E119" t="inlineStr">
        <is>
          <t>Backend</t>
        </is>
      </c>
      <c r="F119" t="inlineStr">
        <is>
          <t>Commissioning</t>
        </is>
      </c>
      <c r="G119" t="inlineStr">
        <is>
          <t>Critical</t>
        </is>
      </c>
      <c r="H119" t="inlineStr">
        <is>
          <t>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is>
      </c>
      <c r="I119" t="inlineStr">
        <is>
          <t>Commission a site from an empty database following only the runbook, with no developer intervention and no database console. Confirm the customer administrator is not created automatically.</t>
        </is>
      </c>
      <c r="J119" t="n">
        <v>12</v>
      </c>
      <c r="K119" t="inlineStr">
        <is>
          <t>Not Started</t>
        </is>
      </c>
    </row>
    <row r="120" ht="96" customHeight="1">
      <c r="A120" t="inlineStr">
        <is>
          <t>T-119</t>
        </is>
      </c>
      <c r="B120" t="inlineStr">
        <is>
          <t>M2a</t>
        </is>
      </c>
      <c r="C120" t="inlineStr">
        <is>
          <t>M2a-P4</t>
        </is>
      </c>
      <c r="D120" t="inlineStr">
        <is>
          <t>Eight-role catalogue with three enforcement layers</t>
        </is>
      </c>
      <c r="E120" t="inlineStr">
        <is>
          <t>Backend</t>
        </is>
      </c>
      <c r="F120" t="inlineStr">
        <is>
          <t>Users and roles</t>
        </is>
      </c>
      <c r="G120" t="inlineStr">
        <is>
          <t>Critical</t>
        </is>
      </c>
      <c r="H120" t="inlineStr">
        <is>
          <t>Implement the role catalogue as the shipped default with a three-role minimum as the smallest legal configuration, enforced at the API, the query and the UI layers. FormalRoleAccessMatrix already models capabilities including AssistantChat; extend rather than replace it.</t>
        </is>
      </c>
      <c r="I120" t="inlineStr">
        <is>
          <t>A matrix test asserting every role against every capability, at all three layers. Confirm a viewer cannot author SQL at any licence tier, which is a standing ruling.</t>
        </is>
      </c>
      <c r="J120" t="n">
        <v>12</v>
      </c>
      <c r="K120" t="inlineStr">
        <is>
          <t>Not Started</t>
        </is>
      </c>
    </row>
    <row r="121" ht="96" customHeight="1">
      <c r="A121" t="inlineStr">
        <is>
          <t>T-120</t>
        </is>
      </c>
      <c r="B121" t="inlineStr">
        <is>
          <t>M2a</t>
        </is>
      </c>
      <c r="C121" t="inlineStr">
        <is>
          <t>M2a-P4</t>
        </is>
      </c>
      <c r="D121" t="inlineStr">
        <is>
          <t>Users and Roles administration surface</t>
        </is>
      </c>
      <c r="E121" t="inlineStr">
        <is>
          <t>Frontend</t>
        </is>
      </c>
      <c r="F121" t="inlineStr">
        <is>
          <t>Users and roles</t>
        </is>
      </c>
      <c r="G121" t="inlineStr">
        <is>
          <t>Very Important</t>
        </is>
      </c>
      <c r="H121" t="inlineStr">
        <is>
          <t>Build the F1 Users and Roles page from Chapter 3 4.4 with the ten-field page contract. The code itself records that Users and Roles and System Health are missing from the UI.</t>
        </is>
      </c>
      <c r="I121" t="inlineStr">
        <is>
          <t>Create, edit, disable and re-enable a user, and change a role assignment, entirely through the interface. Confirm the audit layer records each change.</t>
        </is>
      </c>
      <c r="J121" t="n">
        <v>12</v>
      </c>
      <c r="K121" t="inlineStr">
        <is>
          <t>Not Started</t>
        </is>
      </c>
    </row>
    <row r="122" ht="96" customHeight="1">
      <c r="A122" t="inlineStr">
        <is>
          <t>T-121</t>
        </is>
      </c>
      <c r="B122" t="inlineStr">
        <is>
          <t>M2a</t>
        </is>
      </c>
      <c r="C122" t="inlineStr">
        <is>
          <t>M2a-P4</t>
        </is>
      </c>
      <c r="D122" t="inlineStr">
        <is>
          <t>Licence and entitlement enforcement</t>
        </is>
      </c>
      <c r="E122" t="inlineStr">
        <is>
          <t>Backend</t>
        </is>
      </c>
      <c r="F122" t="inlineStr">
        <is>
          <t>Licence</t>
        </is>
      </c>
      <c r="G122" t="inlineStr">
        <is>
          <t>Critical</t>
        </is>
      </c>
      <c r="H122" t="inlineStr">
        <is>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t>
        </is>
      </c>
      <c r="I122" t="inlineStr">
        <is>
          <t>Exceed a meter and confirm the import queues and the job waits for a slot rather than failing. Confirm the customer can see their own approach to each meter in the interface, since a limit the customer cannot see is a trap.</t>
        </is>
      </c>
      <c r="J122" t="n">
        <v>12</v>
      </c>
      <c r="K122" t="inlineStr">
        <is>
          <t>Not Started</t>
        </is>
      </c>
    </row>
    <row r="123" ht="96" customHeight="1">
      <c r="A123" t="inlineStr">
        <is>
          <t>T-122</t>
        </is>
      </c>
      <c r="B123" t="inlineStr">
        <is>
          <t>M2a</t>
        </is>
      </c>
      <c r="C123" t="inlineStr">
        <is>
          <t>M2a-P4</t>
        </is>
      </c>
      <c r="D123" t="inlineStr">
        <is>
          <t>Container architecture and configuration profiles</t>
        </is>
      </c>
      <c r="E123" t="inlineStr">
        <is>
          <t>Infrastructure</t>
        </is>
      </c>
      <c r="F123" t="inlineStr">
        <is>
          <t>Deployment</t>
        </is>
      </c>
      <c r="G123" t="inlineStr">
        <is>
          <t>Critical</t>
        </is>
      </c>
      <c r="H123" t="inlineStr">
        <is>
          <t>Chapter 6 6.1.2 specifies sixteen containers with one responsibility each and four configuration profiles. Infrastructure today is eight files and 856 lines. Build the container set, the image policy, health and readiness endpoints, and volume and secret segmentation.</t>
        </is>
      </c>
      <c r="I123" t="inlineStr">
        <is>
          <t>Bring up each of the four profiles from a clean machine. Every container reports healthy. Confirm no container has a responsibility that belongs to another.</t>
        </is>
      </c>
      <c r="J123" t="n">
        <v>12</v>
      </c>
      <c r="K123" t="inlineStr">
        <is>
          <t>Not Started</t>
        </is>
      </c>
    </row>
    <row r="124" ht="96" customHeight="1">
      <c r="A124" t="inlineStr">
        <is>
          <t>T-123</t>
        </is>
      </c>
      <c r="B124" t="inlineStr">
        <is>
          <t>M2a</t>
        </is>
      </c>
      <c r="C124" t="inlineStr">
        <is>
          <t>M2a-P4</t>
        </is>
      </c>
      <c r="D124" t="inlineStr">
        <is>
          <t>Install package, migration runner, upgrade and rollback</t>
        </is>
      </c>
      <c r="E124" t="inlineStr">
        <is>
          <t>Infrastructure</t>
        </is>
      </c>
      <c r="F124" t="inlineStr">
        <is>
          <t>Deployment</t>
        </is>
      </c>
      <c r="G124" t="inlineStr">
        <is>
          <t>Critical</t>
        </is>
      </c>
      <c r="H124" t="inlineStr">
        <is>
          <t>Build the fresh installation and upgrade paths from Chapter 6 6.1.4, including what an upgrade may never do, and a rollback path. Migration runs as a deployment step rather than as a manual action.</t>
        </is>
      </c>
      <c r="I124" t="inlineStr">
        <is>
          <t>Install on a clean machine, upgrade from the previous version, then roll back. All three complete without manual database intervention. Run the fourteen post-deployment acceptance checks from 6.1.4.6.</t>
        </is>
      </c>
      <c r="J124" t="n">
        <v>12</v>
      </c>
      <c r="K124" t="inlineStr">
        <is>
          <t>Not Started</t>
        </is>
      </c>
    </row>
    <row r="125" ht="96" customHeight="1">
      <c r="A125" t="inlineStr">
        <is>
          <t>T-124</t>
        </is>
      </c>
      <c r="B125" t="inlineStr">
        <is>
          <t>M2a</t>
        </is>
      </c>
      <c r="C125" t="inlineStr">
        <is>
          <t>M2a-P4</t>
        </is>
      </c>
      <c r="D125" t="inlineStr">
        <is>
          <t>Backup with a tested restore acceptance procedure</t>
        </is>
      </c>
      <c r="E125" t="inlineStr">
        <is>
          <t>Infrastructure</t>
        </is>
      </c>
      <c r="F125" t="inlineStr">
        <is>
          <t>Backup</t>
        </is>
      </c>
      <c r="G125" t="inlineStr">
        <is>
          <t>Critical</t>
        </is>
      </c>
      <c r="H125" t="inlineStr">
        <is>
          <t>Chapter 6 6.1.11 requires not just backup but a tested restore acceptance procedure with a consistency rule. Implement schedule, retention, encryption and the restore rehearsal.</t>
        </is>
      </c>
      <c r="I125" t="inlineStr">
        <is>
          <t>Perform a real restore into a clean environment and run the acceptance procedure against it. A backup that has never been restored does not count as a backup.</t>
        </is>
      </c>
      <c r="J125" t="n">
        <v>12</v>
      </c>
      <c r="K125" t="inlineStr">
        <is>
          <t>Not Started</t>
        </is>
      </c>
    </row>
    <row r="126" ht="96" customHeight="1">
      <c r="A126" t="inlineStr">
        <is>
          <t>T-125</t>
        </is>
      </c>
      <c r="B126" t="inlineStr">
        <is>
          <t>M2a</t>
        </is>
      </c>
      <c r="C126" t="inlineStr">
        <is>
          <t>M2a-P4</t>
        </is>
      </c>
      <c r="D126" t="inlineStr">
        <is>
          <t>Minimum monitoring, health and alerting</t>
        </is>
      </c>
      <c r="E126" t="inlineStr">
        <is>
          <t>Infrastructure</t>
        </is>
      </c>
      <c r="F126" t="inlineStr">
        <is>
          <t>Monitoring</t>
        </is>
      </c>
      <c r="G126" t="inlineStr">
        <is>
          <t>Very Important</t>
        </is>
      </c>
      <c r="H126" t="inlineStr">
        <is>
          <t>Implement the minimum from Chapter 6 6.1.12 required to operate a soft test: per-component metrics, alert severity and escalation, and the operational dashboard. Full observability and SLOs are M3.</t>
        </is>
      </c>
      <c r="I126" t="inlineStr">
        <is>
          <t>Trigger each alert condition deliberately and confirm it fires with the correct severity and reaches the configured channel.</t>
        </is>
      </c>
      <c r="J126" t="n">
        <v>12</v>
      </c>
      <c r="K126" t="inlineStr">
        <is>
          <t>Not Started</t>
        </is>
      </c>
    </row>
    <row r="127" ht="96" customHeight="1">
      <c r="A127" t="inlineStr">
        <is>
          <t>T-126</t>
        </is>
      </c>
      <c r="B127" t="inlineStr">
        <is>
          <t>M2a</t>
        </is>
      </c>
      <c r="C127" t="inlineStr">
        <is>
          <t>M2a-P4</t>
        </is>
      </c>
      <c r="D127" t="inlineStr">
        <is>
          <t>Support runbook and UAT dataset and configuration import</t>
        </is>
      </c>
      <c r="E127" t="inlineStr">
        <is>
          <t>Documentation</t>
        </is>
      </c>
      <c r="F127" t="inlineStr">
        <is>
          <t>Handover</t>
        </is>
      </c>
      <c r="G127" t="inlineStr">
        <is>
          <t>Very Important</t>
        </is>
      </c>
      <c r="H127" t="inlineStr">
        <is>
          <t>Write the runbook the customer's own operator will follow, and build the path to import the customer's UAT dataset and configuration. Include the operator, data engineer and administrator sections.</t>
        </is>
      </c>
      <c r="I127" t="inlineStr">
        <is>
          <t>A person who has not worked on the project commissions a site and completes one import following only the runbook. Every step they had to ask about is a defect in the runbook.</t>
        </is>
      </c>
      <c r="J127" t="n">
        <v>12</v>
      </c>
      <c r="K127" t="inlineStr">
        <is>
          <t>Not Started</t>
        </is>
      </c>
    </row>
    <row r="128" ht="96" customHeight="1">
      <c r="A128" t="inlineStr">
        <is>
          <t>T-127</t>
        </is>
      </c>
      <c r="B128" t="inlineStr">
        <is>
          <t>M2a</t>
        </is>
      </c>
      <c r="C128" t="inlineStr">
        <is>
          <t>M2a-P4</t>
        </is>
      </c>
      <c r="D128" t="inlineStr">
        <is>
          <t>Canonical journey regression and the Continuity comparison</t>
        </is>
      </c>
      <c r="E128" t="inlineStr">
        <is>
          <t>Testing</t>
        </is>
      </c>
      <c r="F128" t="inlineStr">
        <is>
          <t>Continuity</t>
        </is>
      </c>
      <c r="G128" t="inlineStr">
        <is>
          <t>Critical</t>
        </is>
      </c>
      <c r="H128" t="inlineStr">
        <is>
          <t>Run J1 to J15 against a normal ppiq_app database with no presentation shortcut and no demonstration-only code path. Then run the Customer Contract Continuity comparison against the snapshots captured at the end of M1.</t>
        </is>
      </c>
      <c r="I128" t="inlineStr">
        <is>
          <t>The journey passes on the canonical database. The continuity comparison shows no change to navigation, control placement, authoring flow, terminology or refusal semantics. Any difference is a defect in M2, not an improvement.</t>
        </is>
      </c>
      <c r="J128" t="n">
        <v>12</v>
      </c>
      <c r="K128" t="inlineStr">
        <is>
          <t>Not Started</t>
        </is>
      </c>
    </row>
    <row r="129" ht="96" customHeight="1">
      <c r="A129" t="inlineStr">
        <is>
          <t>T-128</t>
        </is>
      </c>
      <c r="B129" t="inlineStr">
        <is>
          <t>M2b</t>
        </is>
      </c>
      <c r="C129" t="inlineStr">
        <is>
          <t>M2b-P1</t>
        </is>
      </c>
      <c r="D129" t="inlineStr">
        <is>
          <t>Feature store, outcome store and snapshots</t>
        </is>
      </c>
      <c r="E129" t="inlineStr">
        <is>
          <t>AI+ML</t>
        </is>
      </c>
      <c r="F129" t="inlineStr">
        <is>
          <t>Intelligence store</t>
        </is>
      </c>
      <c r="G129" t="inlineStr">
        <is>
          <t>Critical</t>
        </is>
      </c>
      <c r="H129" t="inlineStr">
        <is>
          <t>Build the versioned feature and outcome history with snapshots, per Chapter 3 4.5.12. This is prerequisite to everything downstream, and nothing downstream may invent its own persistence.</t>
        </is>
      </c>
      <c r="I129" t="inlineStr">
        <is>
          <t>Compute a feature set, snapshot it, change the underlying data, and confirm the snapshot still reproduces the original training input exactly.</t>
        </is>
      </c>
      <c r="J129" t="n">
        <v>12</v>
      </c>
      <c r="K129" t="inlineStr">
        <is>
          <t>Not Started</t>
        </is>
      </c>
    </row>
    <row r="130" ht="96" customHeight="1">
      <c r="A130" t="inlineStr">
        <is>
          <t>T-129</t>
        </is>
      </c>
      <c r="B130" t="inlineStr">
        <is>
          <t>M2b</t>
        </is>
      </c>
      <c r="C130" t="inlineStr">
        <is>
          <t>M2b-P1</t>
        </is>
      </c>
      <c r="D130" t="inlineStr">
        <is>
          <t>Compute runs and correlation result persistence</t>
        </is>
      </c>
      <c r="E130" t="inlineStr">
        <is>
          <t>AI+ML</t>
        </is>
      </c>
      <c r="F130" t="inlineStr">
        <is>
          <t>Intelligence store</t>
        </is>
      </c>
      <c r="G130" t="inlineStr">
        <is>
          <t>Critical</t>
        </is>
      </c>
      <c r="H130" t="inlineStr">
        <is>
          <t>Unify compute run records with gate state and gate evidence, and move correlation results onto the common substrate with evidence handles.</t>
        </is>
      </c>
      <c r="I130" t="inlineStr">
        <is>
          <t>Every result row resolves to its run, its gate state and its evidence. A result with an unresolvable evidence handle fails the test.</t>
        </is>
      </c>
      <c r="J130" t="n">
        <v>12</v>
      </c>
      <c r="K130" t="inlineStr">
        <is>
          <t>Not Started</t>
        </is>
      </c>
    </row>
    <row r="131" ht="96" customHeight="1">
      <c r="A131" t="inlineStr">
        <is>
          <t>T-130</t>
        </is>
      </c>
      <c r="B131" t="inlineStr">
        <is>
          <t>M2b</t>
        </is>
      </c>
      <c r="C131" t="inlineStr">
        <is>
          <t>M2b-P1</t>
        </is>
      </c>
      <c r="D131" t="inlineStr">
        <is>
          <t>Model registry, serving identity and fallback</t>
        </is>
      </c>
      <c r="E131" t="inlineStr">
        <is>
          <t>AI+ML</t>
        </is>
      </c>
      <c r="F131" t="inlineStr">
        <is>
          <t>Model lifecycle</t>
        </is>
      </c>
      <c r="G131" t="inlineStr">
        <is>
          <t>Critical</t>
        </is>
      </c>
      <c r="H131" t="inlineStr">
        <is>
          <t>Implement serving_role and the six-condition fallback policy from Chapter 4 5.6.7a, with drift observations.</t>
        </is>
      </c>
      <c r="I131" t="inlineStr">
        <is>
          <t>Promote a model, force each of the six fallback conditions, and confirm the correct fallback occurs and is recorded. Confirm no prediction is served by a model without a serving role.</t>
        </is>
      </c>
      <c r="J131" t="n">
        <v>12</v>
      </c>
      <c r="K131" t="inlineStr">
        <is>
          <t>Not Started</t>
        </is>
      </c>
    </row>
    <row r="132" ht="96" customHeight="1">
      <c r="A132" t="inlineStr">
        <is>
          <t>T-131</t>
        </is>
      </c>
      <c r="B132" t="inlineStr">
        <is>
          <t>M2b</t>
        </is>
      </c>
      <c r="C132" t="inlineStr">
        <is>
          <t>M2b-P1</t>
        </is>
      </c>
      <c r="D132" t="inlineStr">
        <is>
          <t>Practice signature, windowing, context and cohorts</t>
        </is>
      </c>
      <c r="E132" t="inlineStr">
        <is>
          <t>AI+ML</t>
        </is>
      </c>
      <c r="F132" t="inlineStr">
        <is>
          <t>Practice learning</t>
        </is>
      </c>
      <c r="G132" t="inlineStr">
        <is>
          <t>Critical</t>
        </is>
      </c>
      <c r="H132" t="inlineStr">
        <is>
          <t>Implement the practice-learning engine core from Chapter 4 5.6.4b: signature construction, parameter windowing, context, and the comparison cohort.</t>
        </is>
      </c>
      <c r="I132" t="inlineStr">
        <is>
          <t>On the presentation dataset, confirm the engine recovers the good-practice band planted in M1-P1 and does not recover a band from the null control.</t>
        </is>
      </c>
      <c r="J132" t="n">
        <v>12</v>
      </c>
      <c r="K132" t="inlineStr">
        <is>
          <t>Not Started</t>
        </is>
      </c>
    </row>
    <row r="133" ht="96" customHeight="1">
      <c r="A133" t="inlineStr">
        <is>
          <t>T-132</t>
        </is>
      </c>
      <c r="B133" t="inlineStr">
        <is>
          <t>M2b</t>
        </is>
      </c>
      <c r="C133" t="inlineStr">
        <is>
          <t>M2b-P1</t>
        </is>
      </c>
      <c r="D133" t="inlineStr">
        <is>
          <t>Support, confidence, back-off ladder and tolerance sensitivity</t>
        </is>
      </c>
      <c r="E133" t="inlineStr">
        <is>
          <t>AI+ML</t>
        </is>
      </c>
      <c r="F133" t="inlineStr">
        <is>
          <t>Practice learning</t>
        </is>
      </c>
      <c r="G133" t="inlineStr">
        <is>
          <t>Critical</t>
        </is>
      </c>
      <c r="H133" t="inlineStr">
        <is>
          <t>Add support and confidence ranking, the back-off ladder for sparse cohorts, and the tolerance sensitivity test that flags a practice whose result depends on the tolerance chosen.</t>
        </is>
      </c>
      <c r="I133" t="inlineStr">
        <is>
          <t>A practice that survives resampling is ranked; one that does not is flagged. Widen the tolerance and confirm any practice whose result flips is marked sensitive.</t>
        </is>
      </c>
      <c r="J133" t="n">
        <v>12</v>
      </c>
      <c r="K133" t="inlineStr">
        <is>
          <t>Not Started</t>
        </is>
      </c>
    </row>
    <row r="134" ht="96" customHeight="1">
      <c r="A134" t="inlineStr">
        <is>
          <t>T-133</t>
        </is>
      </c>
      <c r="B134" t="inlineStr">
        <is>
          <t>M2b</t>
        </is>
      </c>
      <c r="C134" t="inlineStr">
        <is>
          <t>M2b-P1</t>
        </is>
      </c>
      <c r="D134" t="inlineStr">
        <is>
          <t>practice_statistics persistence, drift and D10 Practice Insights</t>
        </is>
      </c>
      <c r="E134" t="inlineStr">
        <is>
          <t>AI+ML</t>
        </is>
      </c>
      <c r="F134" t="inlineStr">
        <is>
          <t>Practice learning</t>
        </is>
      </c>
      <c r="G134" t="inlineStr">
        <is>
          <t>Very Important</t>
        </is>
      </c>
      <c r="H134" t="inlineStr">
        <is>
          <t>Persist practice statistics, implement drift detection against the plant's own demonstrated best, and build the D10 page from Chapter 3 4.4.</t>
        </is>
      </c>
      <c r="I134" t="inlineStr">
        <is>
          <t>Shift the operating data away from the learned band and confirm drift is detected and surfaced with its evidence.</t>
        </is>
      </c>
      <c r="J134" t="n">
        <v>12</v>
      </c>
      <c r="K134" t="inlineStr">
        <is>
          <t>Not Started</t>
        </is>
      </c>
    </row>
    <row r="135" ht="96" customHeight="1">
      <c r="A135" t="inlineStr">
        <is>
          <t>T-134</t>
        </is>
      </c>
      <c r="B135" t="inlineStr">
        <is>
          <t>M2b</t>
        </is>
      </c>
      <c r="C135" t="inlineStr">
        <is>
          <t>M2b-P1</t>
        </is>
      </c>
      <c r="D135" t="inlineStr">
        <is>
          <t>Bindable intelligence registry and evidence handles</t>
        </is>
      </c>
      <c r="E135" t="inlineStr">
        <is>
          <t>AI+ML</t>
        </is>
      </c>
      <c r="F135" t="inlineStr">
        <is>
          <t>Intelligence store</t>
        </is>
      </c>
      <c r="G135" t="inlineStr">
        <is>
          <t>Critical</t>
        </is>
      </c>
      <c r="H135" t="inlineStr">
        <is>
          <t>Chapter 3 4.5.13 requires intelligence to be a first-class analytical object: a prediction, a finding, a practice benchmark or a value impact must be bindable by an authored page or widget exactly like canonical data. Build the bindable-intelligence registry so those sources appear in the authoring shell alongside plant dimensions and measures, and so every bound value carries a resolvable evidence handle.</t>
        </is>
      </c>
      <c r="I135" t="inlineStr">
        <is>
          <t>Bind a prediction to a chart through the normal authoring shell with no code change, filter it, drill into it, and open its evidence. Then break one evidence handle and confirm the widget refuses rather than rendering an uncited number.</t>
        </is>
      </c>
      <c r="J135" t="n">
        <v>12</v>
      </c>
      <c r="K135" t="inlineStr">
        <is>
          <t>Not Started</t>
        </is>
      </c>
    </row>
    <row r="136" ht="96" customHeight="1">
      <c r="A136" t="inlineStr">
        <is>
          <t>T-135</t>
        </is>
      </c>
      <c r="B136" t="inlineStr">
        <is>
          <t>M2b</t>
        </is>
      </c>
      <c r="C136" t="inlineStr">
        <is>
          <t>M2b-P1</t>
        </is>
      </c>
      <c r="D136" t="inlineStr">
        <is>
          <t>Tenant-aware uniqueness across the intelligence tables</t>
        </is>
      </c>
      <c r="E136" t="inlineStr">
        <is>
          <t>Database</t>
        </is>
      </c>
      <c r="F136" t="inlineStr">
        <is>
          <t>Intelligence store</t>
        </is>
      </c>
      <c r="G136" t="inlineStr">
        <is>
          <t>Very Important</t>
        </is>
      </c>
      <c r="H136" t="inlineStr">
        <is>
          <t>Every intelligence table added in this phase is tenant-owned. Apply tenant keys and tenant-aware uniqueness consistently, so two tenants can hold the same natural key without collision, and add the tables to the RLS architecture test built in M2a-P3.</t>
        </is>
      </c>
      <c r="I136" t="inlineStr">
        <is>
          <t>Insert the same natural key for two tenants and confirm both persist. Confirm the RLS architecture test fails if one of the new tables is added without a policy.</t>
        </is>
      </c>
      <c r="J136" t="n">
        <v>10</v>
      </c>
      <c r="K136" t="inlineStr">
        <is>
          <t>Not Started</t>
        </is>
      </c>
    </row>
    <row r="137" ht="96" customHeight="1">
      <c r="A137" t="inlineStr">
        <is>
          <t>T-136</t>
        </is>
      </c>
      <c r="B137" t="inlineStr">
        <is>
          <t>M2b</t>
        </is>
      </c>
      <c r="C137" t="inlineStr">
        <is>
          <t>M2b-P1</t>
        </is>
      </c>
      <c r="D137" t="inlineStr">
        <is>
          <t>Incremental practice recomputation</t>
        </is>
      </c>
      <c r="E137" t="inlineStr">
        <is>
          <t>AI+ML</t>
        </is>
      </c>
      <c r="F137" t="inlineStr">
        <is>
          <t>Practice learning</t>
        </is>
      </c>
      <c r="G137" t="inlineStr">
        <is>
          <t>Important</t>
        </is>
      </c>
      <c r="H137" t="inlineStr">
        <is>
          <t>Make practice recomputation incremental against the stage watermarks built in M2a-P3, so a growing history does not become a full recompute.</t>
        </is>
      </c>
      <c r="I137" t="inlineStr">
        <is>
          <t>Add one day of data and confirm the recomputation scans a bounded delta, evidenced by the Scan Amplification metric staying within baseline.</t>
        </is>
      </c>
      <c r="J137" t="n">
        <v>10</v>
      </c>
      <c r="K137" t="inlineStr">
        <is>
          <t>Not Started</t>
        </is>
      </c>
    </row>
    <row r="138" ht="96" customHeight="1">
      <c r="A138" t="inlineStr">
        <is>
          <t>T-137</t>
        </is>
      </c>
      <c r="B138" t="inlineStr">
        <is>
          <t>M2b</t>
        </is>
      </c>
      <c r="C138" t="inlineStr">
        <is>
          <t>M2b-P1</t>
        </is>
      </c>
      <c r="D138" t="inlineStr">
        <is>
          <t>Wire a real model behind the assistant provider seam</t>
        </is>
      </c>
      <c r="E138" t="inlineStr">
        <is>
          <t>AI+ML</t>
        </is>
      </c>
      <c r="F138" t="inlineStr">
        <is>
          <t>Chatbot</t>
        </is>
      </c>
      <c r="G138" t="inlineStr">
        <is>
          <t>Optional</t>
        </is>
      </c>
      <c r="H138" t="inlineStr">
        <is>
          <t>MOVED FROM M1 IN v2.1 as optional and cut-first. AssistantInfrastructureExtensions.AddAssistant registers Top15RealAssistantModel when Top15ModelEndpointConfig.FromEnvironment().IsConfigured and otherwise falls back to ExtractiveAssistantModel. Five environment variables, of which PPIQ_ASSISTANT_MODEL_ENDPOINT alone also enables the path. Top15HttpAssistantModelClient POSTs {Question, ProviderKey, ModelKey, ModelVersion, Evidence[{Handle, Text, SourceKind, SourceRef}]} and reads answer or text. No commercial provider accepts that shape, so the work is a small local translating service. Only retrieved evidence is sent, never the database, and the output still passes GroundingService.</t>
        </is>
      </c>
      <c r="I138" t="inlineStr">
        <is>
          <t>With the endpoint unset the extractive model answers and the product still works. With it set, answers improve and every number is still cited. The demonstration must never depend on network access in the room, which is why this is not M1 work.</t>
        </is>
      </c>
      <c r="J138" t="n">
        <v>3</v>
      </c>
      <c r="K138" t="inlineStr">
        <is>
          <t>Not Started</t>
        </is>
      </c>
    </row>
    <row r="139" ht="96" customHeight="1">
      <c r="A139" t="inlineStr">
        <is>
          <t>T-138</t>
        </is>
      </c>
      <c r="B139" t="inlineStr">
        <is>
          <t>M2b</t>
        </is>
      </c>
      <c r="C139" t="inlineStr">
        <is>
          <t>M2b-P1</t>
        </is>
      </c>
      <c r="D139" t="inlineStr">
        <is>
          <t>Assistant finalisation on canonical sources</t>
        </is>
      </c>
      <c r="E139" t="inlineStr">
        <is>
          <t>AI+ML</t>
        </is>
      </c>
      <c r="F139" t="inlineStr">
        <is>
          <t>Chatbot</t>
        </is>
      </c>
      <c r="G139" t="inlineStr">
        <is>
          <t>Very Important</t>
        </is>
      </c>
      <c r="H139" t="inlineStr">
        <is>
          <t>Move the assistant off any M1-specific retrieval or prepared state and onto the canonical intelligence sources, keeping the M1 dock UX unchanged.</t>
        </is>
      </c>
      <c r="I139" t="inlineStr">
        <is>
          <t>The continuity snapshot of the assistant dock still matches. Every answer resolves to canonical evidence with no prepared corpus in the path.</t>
        </is>
      </c>
      <c r="J139" t="n">
        <v>12</v>
      </c>
      <c r="K139" t="inlineStr">
        <is>
          <t>Not Started</t>
        </is>
      </c>
    </row>
    <row r="140" ht="96" customHeight="1">
      <c r="A140" t="inlineStr">
        <is>
          <t>T-139</t>
        </is>
      </c>
      <c r="B140" t="inlineStr">
        <is>
          <t>M2b</t>
        </is>
      </c>
      <c r="C140" t="inlineStr">
        <is>
          <t>M2b-P2</t>
        </is>
      </c>
      <c r="D140" t="inlineStr">
        <is>
          <t>prediction_runs, predictions and prediction_current</t>
        </is>
      </c>
      <c r="E140" t="inlineStr">
        <is>
          <t>AI+ML</t>
        </is>
      </c>
      <c r="F140" t="inlineStr">
        <is>
          <t>Prediction</t>
        </is>
      </c>
      <c r="G140" t="inlineStr">
        <is>
          <t>Critical</t>
        </is>
      </c>
      <c r="H140" t="inlineStr">
        <is>
          <t>Build the operational prediction pipeline and prediction_current as the complete operational read model, per Chapter 3 4.5.12.</t>
        </is>
      </c>
      <c r="I140" t="inlineStr">
        <is>
          <t>Score a live population and confirm prediction_current reflects exactly the active predictions with no stale rows.</t>
        </is>
      </c>
      <c r="J140" t="n">
        <v>12</v>
      </c>
      <c r="K140" t="inlineStr">
        <is>
          <t>Not Started</t>
        </is>
      </c>
    </row>
    <row r="141" ht="96" customHeight="1">
      <c r="A141" t="inlineStr">
        <is>
          <t>T-140</t>
        </is>
      </c>
      <c r="B141" t="inlineStr">
        <is>
          <t>M2b</t>
        </is>
      </c>
      <c r="C141" t="inlineStr">
        <is>
          <t>M2b-P2</t>
        </is>
      </c>
      <c r="D141" t="inlineStr">
        <is>
          <t>Prediction drivers and comparables, persisted</t>
        </is>
      </c>
      <c r="E141" t="inlineStr">
        <is>
          <t>AI+ML</t>
        </is>
      </c>
      <c r="F141" t="inlineStr">
        <is>
          <t>Prediction</t>
        </is>
      </c>
      <c r="G141" t="inlineStr">
        <is>
          <t>Critical</t>
        </is>
      </c>
      <c r="H141" t="inlineStr">
        <is>
          <t>Persist the contributing drivers and comparable historical cases so explainability is drillable rather than narrated.</t>
        </is>
      </c>
      <c r="I141" t="inlineStr">
        <is>
          <t>Open a prediction and confirm its drivers and comparables come from persisted rows, not from a UI computation. Delete the rows and confirm the UI refuses rather than inventing.</t>
        </is>
      </c>
      <c r="J141" t="n">
        <v>12</v>
      </c>
      <c r="K141" t="inlineStr">
        <is>
          <t>Not Started</t>
        </is>
      </c>
    </row>
    <row r="142" ht="96" customHeight="1">
      <c r="A142" t="inlineStr">
        <is>
          <t>T-141</t>
        </is>
      </c>
      <c r="B142" t="inlineStr">
        <is>
          <t>M2b</t>
        </is>
      </c>
      <c r="C142" t="inlineStr">
        <is>
          <t>M2b-P2</t>
        </is>
      </c>
      <c r="D142" t="inlineStr">
        <is>
          <t>Actionable deadline and latency health</t>
        </is>
      </c>
      <c r="E142" t="inlineStr">
        <is>
          <t>AI+ML</t>
        </is>
      </c>
      <c r="F142" t="inlineStr">
        <is>
          <t>Prediction</t>
        </is>
      </c>
      <c r="G142" t="inlineStr">
        <is>
          <t>Very Important</t>
        </is>
      </c>
      <c r="H142" t="inlineStr">
        <is>
          <t>Implement actionable_deadline_utc and met_actionable_deadline from Chapter 4 5.8.8, so a prediction that arrives after the stage that could act on it is visibly recorded as missed.</t>
        </is>
      </c>
      <c r="I142" t="inlineStr">
        <is>
          <t>Force a late prediction and confirm it is recorded as having missed its deadline and is not presented as actionable.</t>
        </is>
      </c>
      <c r="J142" t="n">
        <v>12</v>
      </c>
      <c r="K142" t="inlineStr">
        <is>
          <t>Not Started</t>
        </is>
      </c>
    </row>
    <row r="143" ht="96" customHeight="1">
      <c r="A143" t="inlineStr">
        <is>
          <t>T-142</t>
        </is>
      </c>
      <c r="B143" t="inlineStr">
        <is>
          <t>M2b</t>
        </is>
      </c>
      <c r="C143" t="inlineStr">
        <is>
          <t>M2b-P2</t>
        </is>
      </c>
      <c r="D143" t="inlineStr">
        <is>
          <t>Remediation candidate generation from the customer's own history</t>
        </is>
      </c>
      <c r="E143" t="inlineStr">
        <is>
          <t>AI+ML</t>
        </is>
      </c>
      <c r="F143" t="inlineStr">
        <is>
          <t>Remediation</t>
        </is>
      </c>
      <c r="G143" t="inlineStr">
        <is>
          <t>Critical</t>
        </is>
      </c>
      <c r="H143" t="inlineStr">
        <is>
          <t>Search the customer's own history for comparable early conditions that later achieved a better outcome, and identify what was done differently in the remaining production stages. Persist the candidate with its proposed later-stage practice, historical support count, expected-effect range, comparable evidence and limitations.</t>
        </is>
      </c>
      <c r="I143" t="inlineStr">
        <is>
          <t>Generate candidates on the presentation dataset and confirm each carries a support count above the configured threshold, an effect range and resolvable comparable evidence. A candidate with insufficient support must not be generated at all.</t>
        </is>
      </c>
      <c r="J143" t="n">
        <v>6</v>
      </c>
      <c r="K143" t="inlineStr">
        <is>
          <t>Not Started</t>
        </is>
      </c>
    </row>
    <row r="144" ht="96" customHeight="1">
      <c r="A144" t="inlineStr">
        <is>
          <t>T-143</t>
        </is>
      </c>
      <c r="B144" t="inlineStr">
        <is>
          <t>M2b</t>
        </is>
      </c>
      <c r="C144" t="inlineStr">
        <is>
          <t>M2b-P2</t>
        </is>
      </c>
      <c r="D144" t="inlineStr">
        <is>
          <t>The per-prediction nine-check eligibility gate, can_accept and suppression</t>
        </is>
      </c>
      <c r="E144" t="inlineStr">
        <is>
          <t>AI+ML</t>
        </is>
      </c>
      <c r="F144" t="inlineStr">
        <is>
          <t>Remediation</t>
        </is>
      </c>
      <c r="G144" t="inlineStr">
        <is>
          <t>Critical</t>
        </is>
      </c>
      <c r="H144" t="inlineStr">
        <is>
          <t>Implement the nine checks from Chapter 4 5.6.4d and the can_accept authority from Chapter 3 4.5.12a. The design correction that matters most: eligibility is evaluated PER PREDICTION, not stored as a global property of the template, because the same template is actionable for one unit and not for another that has already passed the stage. Suppressed means suppressed - a failing candidate is not shown at all.</t>
        </is>
      </c>
      <c r="I144" t="inlineStr">
        <is>
          <t>Craft one input per check and confirm each fails by name. Confirm that a candidate suppressed for one prediction is still offered for another where the checks pass. Confirm a suppressed candidate does not appear anywhere in the UI, since a reader under time pressure may act on what they see.</t>
        </is>
      </c>
      <c r="J144" t="n">
        <v>8</v>
      </c>
      <c r="K144" t="inlineStr">
        <is>
          <t>Not Started</t>
        </is>
      </c>
    </row>
    <row r="145" ht="96" customHeight="1">
      <c r="A145" t="inlineStr">
        <is>
          <t>T-144</t>
        </is>
      </c>
      <c r="B145" t="inlineStr">
        <is>
          <t>M2b</t>
        </is>
      </c>
      <c r="C145" t="inlineStr">
        <is>
          <t>M2b-P2</t>
        </is>
      </c>
      <c r="D145" t="inlineStr">
        <is>
          <t>Accept, Reject and Defer with action recording</t>
        </is>
      </c>
      <c r="E145" t="inlineStr">
        <is>
          <t>AI+ML</t>
        </is>
      </c>
      <c r="F145" t="inlineStr">
        <is>
          <t>Feedback loop</t>
        </is>
      </c>
      <c r="G145" t="inlineStr">
        <is>
          <t>Critical</t>
        </is>
      </c>
      <c r="H145" t="inlineStr">
        <is>
          <t>Implement the human decision boundary from Chapter 3 DF14: Accept, Reject and Defer, each recorded with its actor, timestamp and reason, and each producing an action record. The product must never automatically control the plant.</t>
        </is>
      </c>
      <c r="I145" t="inlineStr">
        <is>
          <t>Take each of the three decisions and confirm each is recorded with actor and reason and produces the correct downstream state. Confirm no code path issues a control instruction to any source system.</t>
        </is>
      </c>
      <c r="J145" t="n">
        <v>8</v>
      </c>
      <c r="K145" t="inlineStr">
        <is>
          <t>Not Started</t>
        </is>
      </c>
    </row>
    <row r="146" ht="96" customHeight="1">
      <c r="A146" t="inlineStr">
        <is>
          <t>T-145</t>
        </is>
      </c>
      <c r="B146" t="inlineStr">
        <is>
          <t>M2b</t>
        </is>
      </c>
      <c r="C146" t="inlineStr">
        <is>
          <t>M2b-P2</t>
        </is>
      </c>
      <c r="D146" t="inlineStr">
        <is>
          <t>Outcome capture, evaluation and escalation</t>
        </is>
      </c>
      <c r="E146" t="inlineStr">
        <is>
          <t>AI+ML</t>
        </is>
      </c>
      <c r="F146" t="inlineStr">
        <is>
          <t>Feedback loop</t>
        </is>
      </c>
      <c r="G146" t="inlineStr">
        <is>
          <t>Critical</t>
        </is>
      </c>
      <c r="H146" t="inlineStr">
        <is>
          <t>Capture the observed outcome after the fact, write the evaluation that closes the loop, and implement remediation_escalations for the cases that need a human above the operator.</t>
        </is>
      </c>
      <c r="I146" t="inlineStr">
        <is>
          <t>Accept a candidate, let the outcome arrive, and confirm the evaluation is written and feeds the next governed review. Trigger an escalation condition and confirm it routes correctly.</t>
        </is>
      </c>
      <c r="J146" t="n">
        <v>6</v>
      </c>
      <c r="K146" t="inlineStr">
        <is>
          <t>Not Started</t>
        </is>
      </c>
    </row>
    <row r="147" ht="96" customHeight="1">
      <c r="A147" t="inlineStr">
        <is>
          <t>T-146</t>
        </is>
      </c>
      <c r="B147" t="inlineStr">
        <is>
          <t>M2b</t>
        </is>
      </c>
      <c r="C147" t="inlineStr">
        <is>
          <t>M2b-P2</t>
        </is>
      </c>
      <c r="D147" t="inlineStr">
        <is>
          <t>Retire the superseded correlation engine</t>
        </is>
      </c>
      <c r="E147" t="inlineStr">
        <is>
          <t>Engine</t>
        </is>
      </c>
      <c r="F147" t="inlineStr">
        <is>
          <t>Consolidation</t>
        </is>
      </c>
      <c r="G147" t="inlineStr">
        <is>
          <t>Very Important</t>
        </is>
      </c>
      <c r="H147" t="inlineStr">
        <is>
          <t>Three ICorrelationComputeEngine implementations exist plus a fourth engine key that appears in result rows but has no C# class, because those rows were written by running a Postgres function directly. The gated .NET engine is the DI default. Delete the retired Postgres engine and its SQL function, and decide whether the managed keyed service stays.</t>
        </is>
      </c>
      <c r="I147" t="inlineStr">
        <is>
          <t>One engine remains reachable. A test asserts no compute path can write a finding without passing the readiness gate.</t>
        </is>
      </c>
      <c r="J147" t="n">
        <v>12</v>
      </c>
      <c r="K147" t="inlineStr">
        <is>
          <t>Not Started</t>
        </is>
      </c>
    </row>
    <row r="148" ht="96" customHeight="1">
      <c r="A148" t="inlineStr">
        <is>
          <t>T-147</t>
        </is>
      </c>
      <c r="B148" t="inlineStr">
        <is>
          <t>M2b</t>
        </is>
      </c>
      <c r="C148" t="inlineStr">
        <is>
          <t>M2b-P2</t>
        </is>
      </c>
      <c r="D148" t="inlineStr">
        <is>
          <t>Fix the outcome namespace, grain assignment and ordinal loader</t>
        </is>
      </c>
      <c r="E148" t="inlineStr">
        <is>
          <t>Engine</t>
        </is>
      </c>
      <c r="F148" t="inlineStr">
        <is>
          <t>Consolidation</t>
        </is>
      </c>
      <c r="G148" t="inlineStr">
        <is>
          <t>Critical</t>
        </is>
      </c>
      <c r="H148" t="inlineStr">
        <is>
          <t>Three related defects: the engine and the registry use different outcome namespaces; the ML refresh routine deletes and re-inserts outcome values while assigning grain itself, so a manual grain correction is silently undone; and the ordinal loader selects only the effective sample key, numeric value, category value and heat id, never reading the severity column, so an ordinal outcome always reports a zero minority fraction.</t>
        </is>
      </c>
      <c r="I148" t="inlineStr">
        <is>
          <t>One namespace across engine and registry. Correct the grain in the refresh routine and confirm it survives a refresh. Load an ordinal outcome and confirm the minority fraction reflects the real class spread.</t>
        </is>
      </c>
      <c r="J148" t="n">
        <v>12</v>
      </c>
      <c r="K148" t="inlineStr">
        <is>
          <t>Not Started</t>
        </is>
      </c>
    </row>
    <row r="149" ht="96" customHeight="1">
      <c r="A149" t="inlineStr">
        <is>
          <t>T-148</t>
        </is>
      </c>
      <c r="B149" t="inlineStr">
        <is>
          <t>M2b</t>
        </is>
      </c>
      <c r="C149" t="inlineStr">
        <is>
          <t>M2b-P2</t>
        </is>
      </c>
      <c r="D149" t="inlineStr">
        <is>
          <t>Map the 108 page files onto the 40 target pages</t>
        </is>
      </c>
      <c r="E149" t="inlineStr">
        <is>
          <t>Frontend</t>
        </is>
      </c>
      <c r="F149" t="inlineStr">
        <is>
          <t>Namespace</t>
        </is>
      </c>
      <c r="G149" t="inlineStr">
        <is>
          <t>Very Important</t>
        </is>
      </c>
      <c r="H149" t="inlineStr">
        <is>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is>
      </c>
      <c r="I149" t="inlineStr">
        <is>
          <t>A test asserting every page file under src/pages is reachable from a declared route. The count of page files moves toward 40 and no orphan remains.</t>
        </is>
      </c>
      <c r="J149" t="n">
        <v>8</v>
      </c>
      <c r="K149" t="inlineStr">
        <is>
          <t>Not Started</t>
        </is>
      </c>
    </row>
    <row r="150" ht="96" customHeight="1">
      <c r="A150" t="inlineStr">
        <is>
          <t>T-149</t>
        </is>
      </c>
      <c r="B150" t="inlineStr">
        <is>
          <t>M2b</t>
        </is>
      </c>
      <c r="C150" t="inlineStr">
        <is>
          <t>M2b-P2</t>
        </is>
      </c>
      <c r="D150" t="inlineStr">
        <is>
          <t>Delete the legacy redirects and re-verify continuity</t>
        </is>
      </c>
      <c r="E150" t="inlineStr">
        <is>
          <t>Frontend</t>
        </is>
      </c>
      <c r="F150" t="inlineStr">
        <is>
          <t>Namespace</t>
        </is>
      </c>
      <c r="G150" t="inlineStr">
        <is>
          <t>Very Important</t>
        </is>
      </c>
      <c r="H150" t="inlineStr">
        <is>
          <t>Remove the roughly 20 legacy Navigate redirects and the live phase-token routes (/phase8/*, /phase9/*, /phase15/*) that App.tsx still declares among its 69 route paths, then re-run the Customer Contract Continuity comparison.</t>
        </is>
      </c>
      <c r="I150" t="inlineStr">
        <is>
          <t>No route path matches /phase\d+/. The continuity comparison against the M1 snapshots still shows no change to any presented page.</t>
        </is>
      </c>
      <c r="J150" t="n">
        <v>6</v>
      </c>
      <c r="K150" t="inlineStr">
        <is>
          <t>Not Started</t>
        </is>
      </c>
    </row>
    <row r="151" ht="96" customHeight="1">
      <c r="A151" t="inlineStr">
        <is>
          <t>T-150</t>
        </is>
      </c>
      <c r="B151" t="inlineStr">
        <is>
          <t>M2b</t>
        </is>
      </c>
      <c r="C151" t="inlineStr">
        <is>
          <t>M2b-P2</t>
        </is>
      </c>
      <c r="D151" t="inlineStr">
        <is>
          <t>Complete the test gates</t>
        </is>
      </c>
      <c r="E151" t="inlineStr">
        <is>
          <t>Testing</t>
        </is>
      </c>
      <c r="F151" t="inlineStr">
        <is>
          <t>CI/CD</t>
        </is>
      </c>
      <c r="G151" t="inlineStr">
        <is>
          <t>Critical</t>
        </is>
      </c>
      <c r="H151" t="inlineStr">
        <is>
          <t>Add the remaining pipeline stages from Chapter 6 6.1.3 to reach the specified twenty-two, make visual regression and accessibility blocking, and make the golden journey J1 to J15 a merge blocker.</t>
        </is>
      </c>
      <c r="I151" t="inlineStr">
        <is>
          <t>A deliberately broken golden journey blocks a merge. A deliberately introduced contrast failure blocks a merge. Both then revert to green.</t>
        </is>
      </c>
      <c r="J151" t="n">
        <v>12</v>
      </c>
      <c r="K151" t="inlineStr">
        <is>
          <t>Not Started</t>
        </is>
      </c>
    </row>
    <row r="152" ht="96" customHeight="1">
      <c r="A152" t="inlineStr">
        <is>
          <t>T-151</t>
        </is>
      </c>
      <c r="B152" t="inlineStr">
        <is>
          <t>M3</t>
        </is>
      </c>
      <c r="C152" t="inlineStr">
        <is>
          <t>M3-P1</t>
        </is>
      </c>
      <c r="D152" t="inlineStr">
        <is>
          <t>Site defect burn-down</t>
        </is>
      </c>
      <c r="E152" t="inlineStr">
        <is>
          <t>Backend</t>
        </is>
      </c>
      <c r="F152" t="inlineStr">
        <is>
          <t>Site findings</t>
        </is>
      </c>
      <c r="G152" t="inlineStr">
        <is>
          <t>Critical</t>
        </is>
      </c>
      <c r="H152" t="inlineStr">
        <is>
          <t>Fix what soft testing finds, without changing the frozen visible contract unless a formal product decision is approved and recorded.</t>
        </is>
      </c>
      <c r="I152" t="inlineStr">
        <is>
          <t>Each defect has a reproduction, a fix and a regression test. Any visible-contract change carries a written approval.</t>
        </is>
      </c>
      <c r="J152" t="n">
        <v>12</v>
      </c>
      <c r="K152" t="inlineStr">
        <is>
          <t>Not Started</t>
        </is>
      </c>
    </row>
    <row r="153" ht="96" customHeight="1">
      <c r="A153" t="inlineStr">
        <is>
          <t>T-152</t>
        </is>
      </c>
      <c r="B153" t="inlineStr">
        <is>
          <t>M3</t>
        </is>
      </c>
      <c r="C153" t="inlineStr">
        <is>
          <t>M3-P1</t>
        </is>
      </c>
      <c r="D153" t="inlineStr">
        <is>
          <t>Customer data edge cases</t>
        </is>
      </c>
      <c r="E153" t="inlineStr">
        <is>
          <t>Database</t>
        </is>
      </c>
      <c r="F153" t="inlineStr">
        <is>
          <t>Site findings</t>
        </is>
      </c>
      <c r="G153" t="inlineStr">
        <is>
          <t>Critical</t>
        </is>
      </c>
      <c r="H153" t="inlineStr">
        <is>
          <t>New source patterns, dirty data, unusual keys, timestamps, nulls, late arrivals and customer-specific mapping requirements, handled through the three doors.</t>
        </is>
      </c>
      <c r="I153" t="inlineStr">
        <is>
          <t>Each case handled through import, registry or authoring. Any case requiring a code branch is escalated as a design gap.</t>
        </is>
      </c>
      <c r="J153" t="n">
        <v>12</v>
      </c>
      <c r="K153" t="inlineStr">
        <is>
          <t>Not Started</t>
        </is>
      </c>
    </row>
    <row r="154" ht="96" customHeight="1">
      <c r="A154" t="inlineStr">
        <is>
          <t>T-153</t>
        </is>
      </c>
      <c r="B154" t="inlineStr">
        <is>
          <t>M3</t>
        </is>
      </c>
      <c r="C154" t="inlineStr">
        <is>
          <t>M3-P1</t>
        </is>
      </c>
      <c r="D154" t="inlineStr">
        <is>
          <t>Connector certification against real sources</t>
        </is>
      </c>
      <c r="E154" t="inlineStr">
        <is>
          <t>Backend</t>
        </is>
      </c>
      <c r="F154" t="inlineStr">
        <is>
          <t>Connectors</t>
        </is>
      </c>
      <c r="G154" t="inlineStr">
        <is>
          <t>Critical</t>
        </is>
      </c>
      <c r="H154" t="inlineStr">
        <is>
          <t>Enable and certify the customer's actual connectors. A catalogue row is not a connector; an unbuilt one stays dimmed and badged as planned.</t>
        </is>
      </c>
      <c r="I154" t="inlineStr">
        <is>
          <t>Each certified connector completes a read-only import against the real source with the load budget enforced.</t>
        </is>
      </c>
      <c r="J154" t="n">
        <v>12</v>
      </c>
      <c r="K154" t="inlineStr">
        <is>
          <t>Not Started</t>
        </is>
      </c>
    </row>
    <row r="155" ht="96" customHeight="1">
      <c r="A155" t="inlineStr">
        <is>
          <t>T-154</t>
        </is>
      </c>
      <c r="B155" t="inlineStr">
        <is>
          <t>M3</t>
        </is>
      </c>
      <c r="C155" t="inlineStr">
        <is>
          <t>M3-P1</t>
        </is>
      </c>
      <c r="D155" t="inlineStr">
        <is>
          <t>Query plans, indexes and partition boundaries</t>
        </is>
      </c>
      <c r="E155" t="inlineStr">
        <is>
          <t>Database</t>
        </is>
      </c>
      <c r="F155" t="inlineStr">
        <is>
          <t>Performance</t>
        </is>
      </c>
      <c r="G155" t="inlineStr">
        <is>
          <t>Very Important</t>
        </is>
      </c>
      <c r="H155" t="inlineStr">
        <is>
          <t>Tune against real measurements from the customer's volumes, not against assumptions.</t>
        </is>
      </c>
      <c r="I155" t="inlineStr">
        <is>
          <t>Before and after query plans recorded for the ten slowest queries, with the improvement measured.</t>
        </is>
      </c>
      <c r="J155" t="n">
        <v>12</v>
      </c>
      <c r="K155" t="inlineStr">
        <is>
          <t>Not Started</t>
        </is>
      </c>
    </row>
    <row r="156" ht="96" customHeight="1">
      <c r="A156" t="inlineStr">
        <is>
          <t>T-155</t>
        </is>
      </c>
      <c r="B156" t="inlineStr">
        <is>
          <t>M3</t>
        </is>
      </c>
      <c r="C156" t="inlineStr">
        <is>
          <t>M3-P1</t>
        </is>
      </c>
      <c r="D156" t="inlineStr">
        <is>
          <t>Pool weights, scan amplification and model-serving memory</t>
        </is>
      </c>
      <c r="E156" t="inlineStr">
        <is>
          <t>Infrastructure</t>
        </is>
      </c>
      <c r="F156" t="inlineStr">
        <is>
          <t>Performance</t>
        </is>
      </c>
      <c r="G156" t="inlineStr">
        <is>
          <t>Very Important</t>
        </is>
      </c>
      <c r="H156" t="inlineStr">
        <is>
          <t>Tune the concurrency and memory model to the site's measured load.</t>
        </is>
      </c>
      <c r="I156" t="inlineStr">
        <is>
          <t>Scan Amplification stays within baseline under real load. No job class starves another.</t>
        </is>
      </c>
      <c r="J156" t="n">
        <v>12</v>
      </c>
      <c r="K156" t="inlineStr">
        <is>
          <t>Not Started</t>
        </is>
      </c>
    </row>
    <row r="157" ht="96" customHeight="1">
      <c r="A157" t="inlineStr">
        <is>
          <t>T-156</t>
        </is>
      </c>
      <c r="B157" t="inlineStr">
        <is>
          <t>M3</t>
        </is>
      </c>
      <c r="C157" t="inlineStr">
        <is>
          <t>M3-P1</t>
        </is>
      </c>
      <c r="D157" t="inlineStr">
        <is>
          <t>Customer definitions built through the product</t>
        </is>
      </c>
      <c r="E157" t="inlineStr">
        <is>
          <t>Frontend</t>
        </is>
      </c>
      <c r="F157" t="inlineStr">
        <is>
          <t>Authoring</t>
        </is>
      </c>
      <c r="G157" t="inlineStr">
        <is>
          <t>Very Important</t>
        </is>
      </c>
      <c r="H157" t="inlineStr">
        <is>
          <t>Build and validate the customer's real pages, relationships, measures, analyses, models and log rules using the product's own authoring surfaces.</t>
        </is>
      </c>
      <c r="I157" t="inlineStr">
        <is>
          <t>Every customer artifact exists as a definition in the store, created through the interface, with no manual database insert.</t>
        </is>
      </c>
      <c r="J157" t="n">
        <v>12</v>
      </c>
      <c r="K157" t="inlineStr">
        <is>
          <t>Not Started</t>
        </is>
      </c>
    </row>
    <row r="158" ht="96" customHeight="1">
      <c r="A158" t="inlineStr">
        <is>
          <t>T-157</t>
        </is>
      </c>
      <c r="B158" t="inlineStr">
        <is>
          <t>M3</t>
        </is>
      </c>
      <c r="C158" t="inlineStr">
        <is>
          <t>M3-P1</t>
        </is>
      </c>
      <c r="D158" t="inlineStr">
        <is>
          <t>Practice and prediction calibration</t>
        </is>
      </c>
      <c r="E158" t="inlineStr">
        <is>
          <t>AI+ML</t>
        </is>
      </c>
      <c r="F158" t="inlineStr">
        <is>
          <t>Calibration</t>
        </is>
      </c>
      <c r="G158" t="inlineStr">
        <is>
          <t>Very Important</t>
        </is>
      </c>
      <c r="H158" t="inlineStr">
        <is>
          <t>Longer data window, retrain and validate under governance, tune thresholds, measure deadline health.</t>
        </is>
      </c>
      <c r="I158" t="inlineStr">
        <is>
          <t>A governed retraining record exists for each model, with the drift test that gated its release.</t>
        </is>
      </c>
      <c r="J158" t="n">
        <v>12</v>
      </c>
      <c r="K158" t="inlineStr">
        <is>
          <t>Not Started</t>
        </is>
      </c>
    </row>
    <row r="159" ht="96" customHeight="1">
      <c r="A159" t="inlineStr">
        <is>
          <t>T-158</t>
        </is>
      </c>
      <c r="B159" t="inlineStr">
        <is>
          <t>M3</t>
        </is>
      </c>
      <c r="C159" t="inlineStr">
        <is>
          <t>M3-P1</t>
        </is>
      </c>
      <c r="D159" t="inlineStr">
        <is>
          <t>Remediation validation against real process constraints</t>
        </is>
      </c>
      <c r="E159" t="inlineStr">
        <is>
          <t>AI+ML</t>
        </is>
      </c>
      <c r="F159" t="inlineStr">
        <is>
          <t>Remediation</t>
        </is>
      </c>
      <c r="G159" t="inlineStr">
        <is>
          <t>Very Important</t>
        </is>
      </c>
      <c r="H159" t="inlineStr">
        <is>
          <t>Validate actionability rules against the customer's real process constraints. The human approval boundary stays intact.</t>
        </is>
      </c>
      <c r="I159" t="inlineStr">
        <is>
          <t>Each of the nine checks validated against a real constraint. No path permits automatic plant control.</t>
        </is>
      </c>
      <c r="J159" t="n">
        <v>12</v>
      </c>
      <c r="K159" t="inlineStr">
        <is>
          <t>Not Started</t>
        </is>
      </c>
    </row>
    <row r="160" ht="96" customHeight="1">
      <c r="A160" t="inlineStr">
        <is>
          <t>T-159</t>
        </is>
      </c>
      <c r="B160" t="inlineStr">
        <is>
          <t>M3</t>
        </is>
      </c>
      <c r="C160" t="inlineStr">
        <is>
          <t>M3-P2</t>
        </is>
      </c>
      <c r="D160" t="inlineStr">
        <is>
          <t>C1 to C4 capacity certification</t>
        </is>
      </c>
      <c r="E160" t="inlineStr">
        <is>
          <t>Infrastructure</t>
        </is>
      </c>
      <c r="F160" t="inlineStr">
        <is>
          <t>Certification</t>
        </is>
      </c>
      <c r="G160" t="inlineStr">
        <is>
          <t>Critical</t>
        </is>
      </c>
      <c r="H160" t="inlineStr">
        <is>
          <t>Run the four capacity profiles and site benchmarks, and replace the ten REFERENCE_ASSUMPTION constants in the Chapter 6 sizing model with measured values.</t>
        </is>
      </c>
      <c r="I160" t="inlineStr">
        <is>
          <t>Every worked example in Chapter 6 6.1.9.6 recomputes correctly from measured constants. Chapter 6 is then frozen.</t>
        </is>
      </c>
      <c r="J160" t="n">
        <v>12</v>
      </c>
      <c r="K160" t="inlineStr">
        <is>
          <t>Not Started</t>
        </is>
      </c>
    </row>
    <row r="161" ht="96" customHeight="1">
      <c r="A161" t="inlineStr">
        <is>
          <t>T-160</t>
        </is>
      </c>
      <c r="B161" t="inlineStr">
        <is>
          <t>M3</t>
        </is>
      </c>
      <c r="C161" t="inlineStr">
        <is>
          <t>M3-P2</t>
        </is>
      </c>
      <c r="D161" t="inlineStr">
        <is>
          <t>HA, DR and restore rehearsal</t>
        </is>
      </c>
      <c r="E161" t="inlineStr">
        <is>
          <t>Infrastructure</t>
        </is>
      </c>
      <c r="F161" t="inlineStr">
        <is>
          <t>Resilience</t>
        </is>
      </c>
      <c r="G161" t="inlineStr">
        <is>
          <t>Critical</t>
        </is>
      </c>
      <c r="H161" t="inlineStr">
        <is>
          <t>Production topology, RPO and RTO objectives, and a real disaster-recovery rehearsal.</t>
        </is>
      </c>
      <c r="I161" t="inlineStr">
        <is>
          <t>A full recovery rehearsal completes within the stated RPO and RTO, witnessed and recorded.</t>
        </is>
      </c>
      <c r="J161" t="n">
        <v>12</v>
      </c>
      <c r="K161" t="inlineStr">
        <is>
          <t>Not Started</t>
        </is>
      </c>
    </row>
    <row r="162" ht="96" customHeight="1">
      <c r="A162" t="inlineStr">
        <is>
          <t>T-161</t>
        </is>
      </c>
      <c r="B162" t="inlineStr">
        <is>
          <t>M3</t>
        </is>
      </c>
      <c r="C162" t="inlineStr">
        <is>
          <t>M3-P2</t>
        </is>
      </c>
      <c r="D162" t="inlineStr">
        <is>
          <t>SSO and identity integration</t>
        </is>
      </c>
      <c r="E162" t="inlineStr">
        <is>
          <t>Backend</t>
        </is>
      </c>
      <c r="F162" t="inlineStr">
        <is>
          <t>Security</t>
        </is>
      </c>
      <c r="G162" t="inlineStr">
        <is>
          <t>Very Important</t>
        </is>
      </c>
      <c r="H162" t="inlineStr">
        <is>
          <t>Integrate the customer identity provider with the final role catalogue, account lifecycle and emergency access.</t>
        </is>
      </c>
      <c r="I162" t="inlineStr">
        <is>
          <t>Account provisioning, de-provisioning and emergency access all tested against the customer directory.</t>
        </is>
      </c>
      <c r="J162" t="n">
        <v>12</v>
      </c>
      <c r="K162" t="inlineStr">
        <is>
          <t>Not Started</t>
        </is>
      </c>
    </row>
    <row r="163" ht="96" customHeight="1">
      <c r="A163" t="inlineStr">
        <is>
          <t>T-162</t>
        </is>
      </c>
      <c r="B163" t="inlineStr">
        <is>
          <t>M3</t>
        </is>
      </c>
      <c r="C163" t="inlineStr">
        <is>
          <t>M3-P2</t>
        </is>
      </c>
      <c r="D163" t="inlineStr">
        <is>
          <t>Site security hardening and sign-off</t>
        </is>
      </c>
      <c r="E163" t="inlineStr">
        <is>
          <t>Infrastructure</t>
        </is>
      </c>
      <c r="F163" t="inlineStr">
        <is>
          <t>Security</t>
        </is>
      </c>
      <c r="G163" t="inlineStr">
        <is>
          <t>Critical</t>
        </is>
      </c>
      <c r="H163" t="inlineStr">
        <is>
          <t>Network rules, secrets, certificate rotation, RLS and tenant proof, audit review.</t>
        </is>
      </c>
      <c r="I163" t="inlineStr">
        <is>
          <t>A tenant-isolation proof from the database alone, plus a signed security review.</t>
        </is>
      </c>
      <c r="J163" t="n">
        <v>12</v>
      </c>
      <c r="K163" t="inlineStr">
        <is>
          <t>Not Started</t>
        </is>
      </c>
    </row>
    <row r="164" ht="96" customHeight="1">
      <c r="A164" t="inlineStr">
        <is>
          <t>T-163</t>
        </is>
      </c>
      <c r="B164" t="inlineStr">
        <is>
          <t>M3</t>
        </is>
      </c>
      <c r="C164" t="inlineStr">
        <is>
          <t>M3-P2</t>
        </is>
      </c>
      <c r="D164" t="inlineStr">
        <is>
          <t>Monitoring, SLOs and support escalation</t>
        </is>
      </c>
      <c r="E164" t="inlineStr">
        <is>
          <t>Infrastructure</t>
        </is>
      </c>
      <c r="F164" t="inlineStr">
        <is>
          <t>Monitoring</t>
        </is>
      </c>
      <c r="G164" t="inlineStr">
        <is>
          <t>Very Important</t>
        </is>
      </c>
      <c r="H164" t="inlineStr">
        <is>
          <t>Operational dashboards, alerts, queue and latency and backup and certificate health, and the escalation path.</t>
        </is>
      </c>
      <c r="I164" t="inlineStr">
        <is>
          <t>Each SLO has a measured baseline and an alert that fires before it is breached.</t>
        </is>
      </c>
      <c r="J164" t="n">
        <v>12</v>
      </c>
      <c r="K164" t="inlineStr">
        <is>
          <t>Not Started</t>
        </is>
      </c>
    </row>
    <row r="165" ht="96" customHeight="1">
      <c r="A165" t="inlineStr">
        <is>
          <t>T-164</t>
        </is>
      </c>
      <c r="B165" t="inlineStr">
        <is>
          <t>M3</t>
        </is>
      </c>
      <c r="C165" t="inlineStr">
        <is>
          <t>M3-P2</t>
        </is>
      </c>
      <c r="D165" t="inlineStr">
        <is>
          <t>The Value Engine</t>
        </is>
      </c>
      <c r="E165" t="inlineStr">
        <is>
          <t>Backend</t>
        </is>
      </c>
      <c r="F165" t="inlineStr">
        <is>
          <t>Value</t>
        </is>
      </c>
      <c r="G165" t="inlineStr">
        <is>
          <t>Critical</t>
        </is>
      </c>
      <c r="H165" t="inlineStr">
        <is>
          <t>Build value_impacts, cost_assumptions, the value realisation ledger and the D7 Value Dashboard, honouring the two-downtime-quantity rule. This is the only work that moves the economic buyer, and the pilot supplies the real numbers it needs.</t>
        </is>
      </c>
      <c r="I165" t="inlineStr">
        <is>
          <t>A euro figure is only ever shown as a bounded range with its assumptions visible and its evidence resolvable. No number without evidence.</t>
        </is>
      </c>
      <c r="J165" t="n">
        <v>12</v>
      </c>
      <c r="K165" t="inlineStr">
        <is>
          <t>Not Started</t>
        </is>
      </c>
    </row>
    <row r="166">
      <c r="A166" t="inlineStr">
        <is>
          <t>T-165</t>
        </is>
      </c>
      <c r="B166" t="inlineStr">
        <is>
          <t>M3</t>
        </is>
      </c>
      <c r="C166" t="inlineStr">
        <is>
          <t>M3-P2</t>
        </is>
      </c>
      <c r="D166" t="inlineStr">
        <is>
          <t>Commercial capacity finalisation and the sales calculator</t>
        </is>
      </c>
      <c r="E166" t="inlineStr">
        <is>
          <t>Backend</t>
        </is>
      </c>
      <c r="F166" t="inlineStr">
        <is>
          <t>Commercial</t>
        </is>
      </c>
      <c r="G166" t="inlineStr">
        <is>
          <t>Very Important</t>
        </is>
      </c>
      <c r="H166" t="inlineStr">
        <is>
          <t>Validate the real user, page, job, DB-link and data bands against measured infrastructure, and build the Sales Administration and capacity calculator from Chapter 6 6.3.8.</t>
        </is>
      </c>
      <c r="I166" t="inlineStr">
        <is>
          <t>A quote produced by the calculator matches the measured server class for the same inputs.</t>
        </is>
      </c>
      <c r="J166" t="n">
        <v>12</v>
      </c>
      <c r="K166" t="inlineStr">
        <is>
          <t>Not Started</t>
        </is>
      </c>
    </row>
    <row r="167">
      <c r="A167" t="inlineStr">
        <is>
          <t>T-166</t>
        </is>
      </c>
      <c r="B167" t="inlineStr">
        <is>
          <t>M3</t>
        </is>
      </c>
      <c r="C167" t="inlineStr">
        <is>
          <t>M3-P2</t>
        </is>
      </c>
      <c r="D167" t="inlineStr">
        <is>
          <t>Five-product website production completion</t>
        </is>
      </c>
      <c r="E167" t="inlineStr">
        <is>
          <t>Website</t>
        </is>
      </c>
      <c r="F167" t="inlineStr">
        <is>
          <t>Public site</t>
        </is>
      </c>
      <c r="G167" t="inlineStr">
        <is>
          <t>Important</t>
        </is>
      </c>
      <c r="H167" t="inlineStr">
        <is>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t>
        </is>
      </c>
      <c r="I167" t="inlineStr">
        <is>
          <t>Each of the five products has a complete page under the Golden Rule product-page contract. Every claim passes the Chapter 6 6.2.10 honesty rule and the certification is recorded. Lead flow tested end to end on each page.</t>
        </is>
      </c>
      <c r="J167" t="n">
        <v>12</v>
      </c>
      <c r="K167" t="inlineStr">
        <is>
          <t>Not Started</t>
        </is>
      </c>
    </row>
    <row r="168">
      <c r="A168" t="inlineStr">
        <is>
          <t>T-167</t>
        </is>
      </c>
      <c r="B168" t="inlineStr">
        <is>
          <t>M3</t>
        </is>
      </c>
      <c r="C168" t="inlineStr">
        <is>
          <t>M3-P2</t>
        </is>
      </c>
      <c r="D168" t="inlineStr">
        <is>
          <t>Documentation, training and production acceptance</t>
        </is>
      </c>
      <c r="E168" t="inlineStr">
        <is>
          <t>Documentation</t>
        </is>
      </c>
      <c r="F168" t="inlineStr">
        <is>
          <t>Handover</t>
        </is>
      </c>
      <c r="G168" t="inlineStr">
        <is>
          <t>Critical</t>
        </is>
      </c>
      <c r="H168" t="inlineStr">
        <is>
          <t>Runbook, operator and data-engineer and administrator guides, release notes, known limitations, rollback plan and the formal acceptance suite.</t>
        </is>
      </c>
      <c r="I168" t="inlineStr">
        <is>
          <t>The acceptance suite passes and is signed. Known limitations are written down before the customer finds them.</t>
        </is>
      </c>
      <c r="J168" t="n">
        <v>12</v>
      </c>
      <c r="K168" t="inlineStr">
        <is>
          <t>Not Started</t>
        </is>
      </c>
    </row>
  </sheetData>
  <autoFilter ref="A1:K1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6" customWidth="1" min="3" max="3"/>
    <col width="80" customWidth="1" min="4" max="4"/>
    <col width="8" customWidth="1" min="5" max="5"/>
    <col width="9" customWidth="1" min="6" max="6"/>
  </cols>
  <sheetData>
    <row r="1">
      <c r="A1" s="11" t="inlineStr">
        <is>
          <t>Phase Id</t>
        </is>
      </c>
      <c r="B1" s="11" t="inlineStr">
        <is>
          <t>Milestone</t>
        </is>
      </c>
      <c r="C1" s="11" t="inlineStr">
        <is>
          <t>Phase Title</t>
        </is>
      </c>
      <c r="D1" s="11" t="inlineStr">
        <is>
          <t>Intent</t>
        </is>
      </c>
      <c r="E1" s="11" t="inlineStr">
        <is>
          <t>Tasks</t>
        </is>
      </c>
      <c r="F1" s="11" t="inlineStr">
        <is>
          <t>Hours</t>
        </is>
      </c>
    </row>
    <row r="2" ht="60" customHeight="1">
      <c r="A2" s="4" t="inlineStr">
        <is>
          <t>M1-P1</t>
        </is>
      </c>
      <c r="B2" s="12" t="inlineStr">
        <is>
          <t>M1</t>
        </is>
      </c>
      <c r="C2" s="4" t="inlineStr">
        <is>
          <t>Presentation Truth and Dataset Foundation</t>
        </is>
      </c>
      <c r="D2" s="4" t="inlineStr">
        <is>
          <t>Establish what will be shown, prove the environment rebuilds from source control, and plant the analytical phenomena the whole demonstration feeds on. Blocks M1-P3 and M1-P5.</t>
        </is>
      </c>
      <c r="E2" s="4">
        <f>COUNTIF(Backlog!C:C,A2)</f>
        <v/>
      </c>
      <c r="F2" s="4">
        <f>SUMIF(Backlog!C:C,A2,Backlog!J:J)</f>
        <v/>
      </c>
    </row>
    <row r="3" ht="60" customHeight="1">
      <c r="A3" s="4" t="inlineStr">
        <is>
          <t>M1-P1b</t>
        </is>
      </c>
      <c r="B3" s="12" t="inlineStr">
        <is>
          <t>M1</t>
        </is>
      </c>
      <c r="C3" s="4" t="inlineStr">
        <is>
          <t>Presentation Fleet v2 - reconcile, extend, regenerate, prove</t>
        </is>
      </c>
      <c r="D3" s="4" t="inlineStr">
        <is>
          <t>Reconcile what the emulation actually contains against what the 36 charts require, extend the existing generator rather than replacing it, regenerate through the full product path, and only then re-measure and close the reopened matrix.</t>
        </is>
      </c>
      <c r="E3" s="4">
        <f>COUNTIF(Backlog!C:C,A3)</f>
        <v/>
      </c>
      <c r="F3" s="4">
        <f>SUMIF(Backlog!C:C,A3,Backlog!J:J)</f>
        <v/>
      </c>
    </row>
    <row r="4" ht="60" customHeight="1">
      <c r="A4" s="4" t="inlineStr">
        <is>
          <t>M1-P2</t>
        </is>
      </c>
      <c r="B4" s="12" t="inlineStr">
        <is>
          <t>M1</t>
        </is>
      </c>
      <c r="C4" s="4" t="inlineStr">
        <is>
          <t>No-Code Authoring Shell - wiring, SQL and widget authoring</t>
        </is>
      </c>
      <c r="D4" s="4" t="inlineStr">
        <is>
          <t>Presentation beat 1 and half of beat 2. The one shell serving five purposes, in both modes, producing one governed definition. Visible contract is final; persistence behind it may be adapted.</t>
        </is>
      </c>
      <c r="E4" s="4">
        <f>COUNTIF(Backlog!C:C,A4)</f>
        <v/>
      </c>
      <c r="F4" s="4">
        <f>SUMIF(Backlog!C:C,A4,Backlog!J:J)</f>
        <v/>
      </c>
    </row>
    <row r="5" ht="60" customHeight="1">
      <c r="A5" s="4" t="inlineStr">
        <is>
          <t>M1-P3</t>
        </is>
      </c>
      <c r="B5" s="12" t="inlineStr">
        <is>
          <t>M1</t>
        </is>
      </c>
      <c r="C5" s="4" t="inlineStr">
        <is>
          <t>BI Workspace and the Seven Showcase Pages</t>
        </is>
      </c>
      <c r="D5" s="4" t="inlineStr">
        <is>
          <t>Presentation beat 2. Seven dashboards are already seeded; this phase is certification, differentiation and interaction quality, not construction.</t>
        </is>
      </c>
      <c r="E5" s="4">
        <f>COUNTIF(Backlog!C:C,A5)</f>
        <v/>
      </c>
      <c r="F5" s="4">
        <f>SUMIF(Backlog!C:C,A5,Backlog!J:J)</f>
        <v/>
      </c>
    </row>
    <row r="6" ht="60" customHeight="1">
      <c r="A6" s="4" t="inlineStr">
        <is>
          <t>M1-P4</t>
        </is>
      </c>
      <c r="B6" s="12" t="inlineStr">
        <is>
          <t>M1</t>
        </is>
      </c>
      <c r="C6" s="4" t="inlineStr">
        <is>
          <t>Journey J4 to J15 and the Engine Slice</t>
        </is>
      </c>
      <c r="D6" s="4" t="inlineStr">
        <is>
          <t>Presentation beats 3 and 4. RENAMED IN v2.2: the website tasks live in M1-P5, so this phase no longer carries beat 6. Every visible transition credible with no dead end. J1 to J3 are commissioning per Chapter 5 and are narrated, not demonstrated.</t>
        </is>
      </c>
      <c r="E6" s="4">
        <f>COUNTIF(Backlog!C:C,A6)</f>
        <v/>
      </c>
      <c r="F6" s="4">
        <f>SUMIF(Backlog!C:C,A6,Backlog!J:J)</f>
        <v/>
      </c>
    </row>
    <row r="7" ht="60" customHeight="1">
      <c r="A7" s="4" t="inlineStr">
        <is>
          <t>M1-P5</t>
        </is>
      </c>
      <c r="B7" s="12" t="inlineStr">
        <is>
          <t>M1</t>
        </is>
      </c>
      <c r="C7" s="4" t="inlineStr">
        <is>
          <t>Assistant Dock and Presentation Certification</t>
        </is>
      </c>
      <c r="D7" s="4" t="inlineStr">
        <is>
          <t>Presentation beat 5 plus the certification gate. Deliberately smaller than the other phases because it runs in the last week and must absorb slippage from M1-P1 and M1-P3.</t>
        </is>
      </c>
      <c r="E7" s="4">
        <f>COUNTIF(Backlog!C:C,A7)</f>
        <v/>
      </c>
      <c r="F7" s="4">
        <f>SUMIF(Backlog!C:C,A7,Backlog!J:J)</f>
        <v/>
      </c>
    </row>
    <row r="8" ht="60" customHeight="1">
      <c r="A8" s="4" t="inlineStr">
        <is>
          <t>M2a-P1</t>
        </is>
      </c>
      <c r="B8" s="13" t="inlineStr">
        <is>
          <t>M2a</t>
        </is>
      </c>
      <c r="C8" s="4" t="inlineStr">
        <is>
          <t>Canonical Schema Authority and the Unified Definition Store</t>
        </is>
      </c>
      <c r="D8" s="4" t="inlineStr">
        <is>
          <t>Replace the M1 compatibility adapter with the real definition store and move the schema to its final three-schema topology, without the customer-visible contract moving.</t>
        </is>
      </c>
      <c r="E8" s="4">
        <f>COUNTIF(Backlog!C:C,A8)</f>
        <v/>
      </c>
      <c r="F8" s="4">
        <f>SUMIF(Backlog!C:C,A8,Backlog!J:J)</f>
        <v/>
      </c>
    </row>
    <row r="9" ht="60" customHeight="1">
      <c r="A9" s="4" t="inlineStr">
        <is>
          <t>M2a-P2</t>
        </is>
      </c>
      <c r="B9" s="13" t="inlineStr">
        <is>
          <t>M2a</t>
        </is>
      </c>
      <c r="C9" s="4" t="inlineStr">
        <is>
          <t>Permanent Relationship Model and Projection Quarantine</t>
        </is>
      </c>
      <c r="D9" s="4" t="inlineStr">
        <is>
          <t>Turn the M1 single-relationship slice into the permanent product mechanism, and make customer data failures visible, typed and recoverable.</t>
        </is>
      </c>
      <c r="E9" s="4">
        <f>COUNTIF(Backlog!C:C,A9)</f>
        <v/>
      </c>
      <c r="F9" s="4">
        <f>SUMIF(Backlog!C:C,A9,Backlog!J:J)</f>
        <v/>
      </c>
    </row>
    <row r="10" ht="60" customHeight="1">
      <c r="A10" s="4" t="inlineStr">
        <is>
          <t>M2a-P3</t>
        </is>
      </c>
      <c r="B10" s="13" t="inlineStr">
        <is>
          <t>M2a</t>
        </is>
      </c>
      <c r="C10" s="4" t="inlineStr">
        <is>
          <t>Job Runtime, Delta Propagation and Security Hardening</t>
        </is>
      </c>
      <c r="D10" s="4" t="inlineStr">
        <is>
          <t>Make execution bounded and tenancy real. Chapter 4 5.3.9 proves that the answer to large data is architecture, not tighter licence limits.</t>
        </is>
      </c>
      <c r="E10" s="4">
        <f>COUNTIF(Backlog!C:C,A10)</f>
        <v/>
      </c>
      <c r="F10" s="4">
        <f>SUMIF(Backlog!C:C,A10,Backlog!J:J)</f>
        <v/>
      </c>
    </row>
    <row r="11" ht="60" customHeight="1">
      <c r="A11" s="4" t="inlineStr">
        <is>
          <t>M2a-P4</t>
        </is>
      </c>
      <c r="B11" s="13" t="inlineStr">
        <is>
          <t>M2a</t>
        </is>
      </c>
      <c r="C11" s="4" t="inlineStr">
        <is>
          <t>Commissioning, Roles, Licence and the On-Site Package</t>
        </is>
      </c>
      <c r="D11" s="4" t="inlineStr">
        <is>
          <t>Everything required to install and operate at the customer site. The visible surfaces were frozen in M1; this is the backend and the operational package behind them.</t>
        </is>
      </c>
      <c r="E11" s="4">
        <f>COUNTIF(Backlog!C:C,A11)</f>
        <v/>
      </c>
      <c r="F11" s="4">
        <f>SUMIF(Backlog!C:C,A11,Backlog!J:J)</f>
        <v/>
      </c>
    </row>
    <row r="12" ht="60" customHeight="1">
      <c r="A12" s="4" t="inlineStr">
        <is>
          <t>M2b-P1</t>
        </is>
      </c>
      <c r="B12" s="14" t="inlineStr">
        <is>
          <t>M2b</t>
        </is>
      </c>
      <c r="C12" s="4" t="inlineStr">
        <is>
          <t>Intelligence Substrate and Practice Learning</t>
        </is>
      </c>
      <c r="D12" s="4" t="inlineStr">
        <is>
          <t>Shipped as a governed update during the soft-test period. The readiness gate requires 60 independent units and 40 outcome events, so these engines must not be relied upon to become statistically ready during the initial soft-test window - a high-throughput plant can reach those thresholds quickly, and the wording matters because the absolute version was corrected once already in v2.0.</t>
        </is>
      </c>
      <c r="E12" s="4">
        <f>COUNTIF(Backlog!C:C,A12)</f>
        <v/>
      </c>
      <c r="F12" s="4">
        <f>SUMIF(Backlog!C:C,A12,Backlog!J:J)</f>
        <v/>
      </c>
    </row>
    <row r="13" ht="60" customHeight="1">
      <c r="A13" s="4" t="inlineStr">
        <is>
          <t>M2b-P2</t>
        </is>
      </c>
      <c r="B13" s="14" t="inlineStr">
        <is>
          <t>M2b</t>
        </is>
      </c>
      <c r="C13" s="4" t="inlineStr">
        <is>
          <t>Prediction, Remediation, Engine Consolidation and Gates</t>
        </is>
      </c>
      <c r="D13" s="4" t="inlineStr">
        <is>
          <t>The differentiating intelligence, plus the retirement of superseded engines and the completion of the test gates.</t>
        </is>
      </c>
      <c r="E13" s="4">
        <f>COUNTIF(Backlog!C:C,A13)</f>
        <v/>
      </c>
      <c r="F13" s="4">
        <f>SUMIF(Backlog!C:C,A13,Backlog!J:J)</f>
        <v/>
      </c>
    </row>
    <row r="14" ht="60" customHeight="1">
      <c r="A14" s="4" t="inlineStr">
        <is>
          <t>M3-P1</t>
        </is>
      </c>
      <c r="B14" s="15" t="inlineStr">
        <is>
          <t>M3</t>
        </is>
      </c>
      <c r="C14" s="4" t="inlineStr">
        <is>
          <t>Site Stabilisation and Real-Data Performance</t>
        </is>
      </c>
      <c r="D14" s="4" t="inlineStr">
        <is>
          <t>Reserved capacity. Half of M3 is written by the customer during the soft test; these phases exist so that work has a home and does not become unplanned scope.</t>
        </is>
      </c>
      <c r="E14" s="4">
        <f>COUNTIF(Backlog!C:C,A14)</f>
        <v/>
      </c>
      <c r="F14" s="4">
        <f>SUMIF(Backlog!C:C,A14,Backlog!J:J)</f>
        <v/>
      </c>
    </row>
    <row r="15" ht="60" customHeight="1">
      <c r="A15" s="4" t="inlineStr">
        <is>
          <t>M3-P2</t>
        </is>
      </c>
      <c r="B15" s="15" t="inlineStr">
        <is>
          <t>M3</t>
        </is>
      </c>
      <c r="C15" s="4" t="inlineStr">
        <is>
          <t>Production Certification, Enterprise Operations and Commercial Completion</t>
        </is>
      </c>
      <c r="D15" s="4" t="inlineStr">
        <is>
          <t>What the sale depends on. Chapter 6 cannot be frozen until C1 to C4 replace the reference assumptions.</t>
        </is>
      </c>
      <c r="E15" s="4">
        <f>COUNTIF(Backlog!C:C,A15)</f>
        <v/>
      </c>
      <c r="F15" s="4">
        <f>SUMIF(Backlog!C:C,A15,Backlog!J:J)</f>
        <v/>
      </c>
    </row>
    <row r="16">
      <c r="C16" s="16" t="inlineStr">
        <is>
          <t>TOTAL</t>
        </is>
      </c>
      <c r="E16" s="16">
        <f>SUM(E2:E15)</f>
        <v/>
      </c>
      <c r="F16" s="16">
        <f>SUM(F2:F15)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2" customWidth="1" min="1" max="1"/>
    <col width="78" customWidth="1" min="2" max="2"/>
    <col width="9" customWidth="1" min="3" max="3"/>
    <col width="9" customWidth="1" min="4" max="4"/>
    <col width="10" customWidth="1" min="5" max="5"/>
    <col width="16" customWidth="1" min="6" max="6"/>
  </cols>
  <sheetData>
    <row r="1">
      <c r="A1" s="17" t="inlineStr">
        <is>
          <t>Milestone</t>
        </is>
      </c>
      <c r="B1" s="17" t="inlineStr">
        <is>
          <t>Definition</t>
        </is>
      </c>
      <c r="C1" s="17" t="inlineStr">
        <is>
          <t>Tasks</t>
        </is>
      </c>
      <c r="D1" s="17" t="inlineStr">
        <is>
          <t>Hours</t>
        </is>
      </c>
      <c r="E1" s="17" t="inlineStr">
        <is>
          <t>Critical</t>
        </is>
      </c>
      <c r="F1" s="17" t="inlineStr">
        <is>
          <t>Very Important</t>
        </is>
      </c>
    </row>
    <row r="2" ht="34" customHeight="1">
      <c r="A2" s="18" t="inlineStr">
        <is>
          <t>M1</t>
        </is>
      </c>
      <c r="B2" s="4" t="inlineStr">
        <is>
          <t>Customer presentation, 570 h of BASELINE SCOPE as corrected in v2.8. Freeze what the customer can see; adapt what sits behind it.</t>
        </is>
      </c>
      <c r="C2" s="4">
        <f>COUNTIF(Backlog!B:B,A2)</f>
        <v/>
      </c>
      <c r="D2" s="4">
        <f>SUMIF(Backlog!B:B,A2,Backlog!J:J)</f>
        <v/>
      </c>
      <c r="E2" s="4">
        <f>COUNTIFS(Backlog!B:B,A2,Backlog!G:G,"Critical")</f>
        <v/>
      </c>
      <c r="F2" s="4">
        <f>COUNTIFS(Backlog!B:B,A2,Backlog!G:G,"Very Important")</f>
        <v/>
      </c>
    </row>
    <row r="3" ht="34" customHeight="1">
      <c r="A3" s="19" t="inlineStr">
        <is>
          <t>M2a</t>
        </is>
      </c>
      <c r="B3" s="4" t="inlineStr">
        <is>
          <t>Deployable core, 432 h. Canonical journey and installability. Prediction and remediation surfaces present but legitimately readiness-blocked.</t>
        </is>
      </c>
      <c r="C3" s="4">
        <f>COUNTIF(Backlog!B:B,A3)</f>
        <v/>
      </c>
      <c r="D3" s="4">
        <f>SUMIF(Backlog!B:B,A3,Backlog!J:J)</f>
        <v/>
      </c>
      <c r="E3" s="4">
        <f>COUNTIFS(Backlog!B:B,A3,Backlog!G:G,"Critical")</f>
        <v/>
      </c>
      <c r="F3" s="4">
        <f>COUNTIFS(Backlog!B:B,A3,Backlog!G:G,"Very Important")</f>
        <v/>
      </c>
    </row>
    <row r="4" ht="34" customHeight="1">
      <c r="A4" s="20" t="inlineStr">
        <is>
          <t>M2b</t>
        </is>
      </c>
      <c r="B4" s="4" t="inlineStr">
        <is>
          <t>Intelligence completion, 233 h, shipped as a governed update during the soft test. Full functional J1-J15 acceptance happens here, not at M2a.</t>
        </is>
      </c>
      <c r="C4" s="4">
        <f>COUNTIF(Backlog!B:B,A4)</f>
        <v/>
      </c>
      <c r="D4" s="4">
        <f>SUMIF(Backlog!B:B,A4,Backlog!J:J)</f>
        <v/>
      </c>
      <c r="E4" s="4">
        <f>COUNTIFS(Backlog!B:B,A4,Backlog!G:G,"Critical")</f>
        <v/>
      </c>
      <c r="F4" s="4">
        <f>COUNTIFS(Backlog!B:B,A4,Backlog!G:G,"Very Important")</f>
        <v/>
      </c>
    </row>
    <row r="5" ht="34" customHeight="1">
      <c r="A5" s="21" t="inlineStr">
        <is>
          <t>M3</t>
        </is>
      </c>
      <c r="B5" s="4" t="inlineStr">
        <is>
          <t>Site stabilisation, real-data performance, certification and commercial completion.</t>
        </is>
      </c>
      <c r="C5" s="4">
        <f>COUNTIF(Backlog!B:B,A5)</f>
        <v/>
      </c>
      <c r="D5" s="4">
        <f>SUMIF(Backlog!B:B,A5,Backlog!J:J)</f>
        <v/>
      </c>
      <c r="E5" s="4">
        <f>COUNTIFS(Backlog!B:B,A5,Backlog!G:G,"Critical")</f>
        <v/>
      </c>
      <c r="F5" s="4">
        <f>COUNTIFS(Backlog!B:B,A5,Backlog!G:G,"Very Important")</f>
        <v/>
      </c>
    </row>
    <row r="6">
      <c r="B6" s="16" t="inlineStr">
        <is>
          <t>TOTAL</t>
        </is>
      </c>
      <c r="C6" s="22">
        <f>SUM(C2:C5)</f>
        <v/>
      </c>
      <c r="D6" s="22">
        <f>SUM(D2:D5)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10" customWidth="1" min="2" max="2"/>
  </cols>
  <sheetData>
    <row r="1">
      <c r="A1" s="23" t="inlineStr">
        <is>
          <t>PPIQ EXECUTABLE BACKLOG v2.9 - LEGEND</t>
        </is>
      </c>
    </row>
    <row r="3">
      <c r="A3" s="24" t="inlineStr">
        <is>
          <t>Edit only these columns</t>
        </is>
      </c>
      <c r="B3" s="25" t="inlineStr">
        <is>
          <t>Status (column K on the Backlog sheet). Everything else is generated from the plan.</t>
        </is>
      </c>
    </row>
    <row r="4">
      <c r="A4" s="24" t="inlineStr">
        <is>
          <t>Task Id</t>
        </is>
      </c>
      <c r="B4" s="25" t="inlineStr">
        <is>
          <t>PLANNED EXECUTION ORDER, dependency-aware. Not severity order - severity is the Priority column. Ids restart at each backlog epoch.</t>
        </is>
      </c>
    </row>
    <row r="5">
      <c r="A5" s="24" t="inlineStr">
        <is>
          <t>Milestone Id</t>
        </is>
      </c>
      <c r="B5" s="25" t="inlineStr">
        <is>
          <t>M1 presentation / M2a deployable core / M2b intelligence completion / M3 site and production.</t>
        </is>
      </c>
    </row>
    <row r="6">
      <c r="A6" s="24" t="inlineStr">
        <is>
          <t>Phase Id</t>
        </is>
      </c>
      <c r="B6" s="25" t="inlineStr">
        <is>
          <t>A group of tasks on one topic, 80 to 120 hours, no exceptions. Every phase ends pushable.</t>
        </is>
      </c>
    </row>
    <row r="7">
      <c r="A7" s="24" t="inlineStr">
        <is>
          <t>Priority</t>
        </is>
      </c>
      <c r="B7" s="25" t="inlineStr">
        <is>
          <t>Critical / Very Important / Important / Optional. This is SEVERITY, not sequence.</t>
        </is>
      </c>
    </row>
    <row r="8">
      <c r="A8" s="24" t="inlineStr">
        <is>
          <t>Hours</t>
        </is>
      </c>
      <c r="B8" s="25" t="inlineStr">
        <is>
          <t>No task exceeds 12 hours. Larger items were split.</t>
        </is>
      </c>
    </row>
    <row r="9">
      <c r="A9" s="24" t="inlineStr">
        <is>
          <t>Status values to use</t>
        </is>
      </c>
      <c r="B9" s="25" t="inlineStr">
        <is>
          <t>Not Started / In Progress / Blocked / Done. There is no Partial: a partial task is rewritten as its remainder with a fresh estimate. T-007 and T-008 were delivered and then invalidated by runtime measurement; they are REOPENED and carry Not Started, which is the no-Partial rule applied honestly rather than a claim that no work was done.</t>
        </is>
      </c>
    </row>
    <row r="10">
      <c r="A10" s="24" t="inlineStr">
        <is>
          <t>Definition of Done</t>
        </is>
      </c>
      <c r="B10" s="25" t="inlineStr">
        <is>
          <t>The Validation column passes in a browser or against a running system. Compiling is not done. Gates passing is not done.</t>
        </is>
      </c>
    </row>
    <row r="11">
      <c r="A11" s="24" t="inlineStr"/>
      <c r="B11" s="25" t="inlineStr"/>
    </row>
    <row r="12">
      <c r="A12" s="24" t="inlineStr">
        <is>
          <t>Governing law</t>
        </is>
      </c>
      <c r="B12" s="25" t="inlineStr">
        <is>
          <t>Temporary data is allowed. Temporary internal implementation is sometimes allowed. Temporary product identity, UX, workflow or behaviour is never allowed.</t>
        </is>
      </c>
    </row>
    <row r="13">
      <c r="A13" s="24" t="inlineStr">
        <is>
          <t>M1 visible contract</t>
        </is>
      </c>
      <c r="B13" s="25" t="inlineStr">
        <is>
          <t>UI appearance, UX flow, routes, terminology, control behaviour and placement, and visible state and refusal semantics are final in M1.</t>
        </is>
      </c>
    </row>
    <row r="14">
      <c r="A14" s="24" t="inlineStr">
        <is>
          <t>M1 hidden implementation</t>
        </is>
      </c>
      <c r="B14" s="25" t="inlineStr">
        <is>
          <t>May be a compatibility adapter, temporary schema, or partial algorithm, but only if replacing it later changes nothing the customer can see.</t>
        </is>
      </c>
    </row>
    <row r="15">
      <c r="A15" s="24" t="inlineStr">
        <is>
          <t>Never allowed</t>
        </is>
      </c>
      <c r="B15" s="25" t="inlineStr">
        <is>
          <t>A fake hardcoded product answer, at any milestone.</t>
        </is>
      </c>
    </row>
    <row r="16">
      <c r="A16" s="24" t="inlineStr"/>
      <c r="B16" s="25" t="inlineStr"/>
    </row>
    <row r="17">
      <c r="A17" s="24" t="inlineStr">
        <is>
          <t>Example row</t>
        </is>
      </c>
      <c r="B17" s="25" t="inlineStr">
        <is>
          <t>T-001 / M1 / M1-P1 / Build the six-beat Design Traceability Matrix / Documentation / Design contract / Critical / 8 h / Not Started</t>
        </is>
      </c>
    </row>
    <row r="18">
      <c r="A18" s="24" t="inlineStr">
        <is>
          <t>Source</t>
        </is>
      </c>
      <c r="B18" s="25" t="inlineStr">
        <is>
          <t>Estimates by Claude against Master Design Chapters 1 to 6 and the UltimateAudit_29Jul2026_233112 repository package. All hours are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2026-08-03T07:31:05Z</dcterms:created>
  <dcterms:modified xmlns:dcterms="http://purl.org/dc/terms/" xmlns:xsi="http://www.w3.org/2001/XMLSchema-instance" xsi:type="dcterms:W3CDTF">2026-08-03T15:23:57Z</dcterms:modified>
</cp:coreProperties>
</file>