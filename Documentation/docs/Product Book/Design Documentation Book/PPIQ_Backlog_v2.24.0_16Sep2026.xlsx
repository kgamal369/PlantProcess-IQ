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harts/chart5.xml" ContentType="application/vnd.openxmlformats-officedocument.drawingml.char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Workspace\PlantProcess-IQ\Documentation\docs\Product Book\Design Documentation Book\"/>
    </mc:Choice>
  </mc:AlternateContent>
  <xr:revisionPtr revIDLastSave="0" documentId="8_{4FF2BD51-37F9-4869-861E-9368004DA73A}" xr6:coauthVersionLast="47" xr6:coauthVersionMax="47" xr10:uidLastSave="{00000000-0000-0000-0000-000000000000}"/>
  <bookViews>
    <workbookView xWindow="-120" yWindow="-120" windowWidth="29040" windowHeight="15720" activeTab="1" xr2:uid="{00000000-000D-0000-FFFF-FFFF00000000}"/>
  </bookViews>
  <sheets>
    <sheet name="Current Authority" sheetId="1" r:id="rId1"/>
    <sheet name="Backlog" sheetId="2" r:id="rId2"/>
    <sheet name="Release Plan" sheetId="3" r:id="rId3"/>
    <sheet name="Worker Tracks" sheetId="4" r:id="rId4"/>
    <sheet name="Requirement Traceability" sheetId="5" r:id="rId5"/>
    <sheet name="Dependency Graph" sheetId="6" r:id="rId6"/>
    <sheet name="Prior Baseline Archive" sheetId="7" r:id="rId7"/>
    <sheet name="Governance" sheetId="8" r:id="rId8"/>
    <sheet name="Method &amp; Notes" sheetId="13" r:id="rId9"/>
    <sheet name="Commit Ledger" sheetId="14" r:id="rId10"/>
    <sheet name="Backlog Change Log" sheetId="15" r:id="rId11"/>
    <sheet name="Verified Task Ledger" sheetId="16" r:id="rId12"/>
    <sheet name="Phase Worker v220" sheetId="19" r:id="rId13"/>
    <sheet name="Dashboard v220" sheetId="20" r:id="rId14"/>
    <sheet name="Capability Map v1.1" sheetId="21" r:id="rId15"/>
    <sheet name="Retired Tasks v222" sheetId="22" r:id="rId16"/>
    <sheet name="Revision Changes v222" sheetId="23" r:id="rId17"/>
    <sheet name="Phase Worker v222" sheetId="24" r:id="rId18"/>
    <sheet name="Prior Notes v222" sheetId="25" r:id="rId19"/>
    <sheet name="Dashboard v222" sheetId="26" r:id="rId20"/>
    <sheet name="Contract Handoffs" sheetId="27" r:id="rId21"/>
    <sheet name="Estimate Review" sheetId="28" r:id="rId22"/>
    <sheet name="Repair Changes v2221" sheetId="29" r:id="rId23"/>
    <sheet name="External Prerequisites" sheetId="30" r:id="rId24"/>
    <sheet name="Secondary Capability Links" sheetId="31" r:id="rId25"/>
    <sheet name="UI Coverage v223" sheetId="32" r:id="rId26"/>
    <sheet name="UI Controls v223" sheetId="33" r:id="rId27"/>
    <sheet name="Changes v223" sheetId="34" r:id="rId28"/>
    <sheet name="UI Delivery v223" sheetId="35" r:id="rId29"/>
    <sheet name="Book Register" sheetId="36" r:id="rId30"/>
    <sheet name="Book Validation" sheetId="37" r:id="rId31"/>
    <sheet name="Task Evidence 15Sep" sheetId="38" r:id="rId32"/>
    <sheet name="M2-P2 Review" sheetId="39" r:id="rId33"/>
    <sheet name="Review 15Sep" sheetId="40" r:id="rId34"/>
    <sheet name="Cell Changes 15Sep" sheetId="41" r:id="rId35"/>
    <sheet name="Source Review" sheetId="42" r:id="rId36"/>
    <sheet name="Source Evidence" sheetId="43" r:id="rId37"/>
    <sheet name="Source Summary" sheetId="44" r:id="rId38"/>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44" l="1"/>
  <c r="C6" i="44"/>
  <c r="B6" i="44"/>
  <c r="D9" i="40"/>
  <c r="C9" i="40"/>
  <c r="B9" i="40"/>
  <c r="D8" i="40"/>
  <c r="C8" i="40"/>
  <c r="B8" i="40"/>
  <c r="D7" i="40"/>
  <c r="C7" i="40"/>
  <c r="B7" i="40"/>
  <c r="D6" i="40"/>
  <c r="C6" i="40"/>
  <c r="B6" i="40"/>
  <c r="I35" i="39"/>
  <c r="H35" i="39"/>
  <c r="G35" i="39"/>
  <c r="I34" i="39"/>
  <c r="H34" i="39"/>
  <c r="G34" i="39"/>
  <c r="I33" i="39"/>
  <c r="H33" i="39"/>
  <c r="G33" i="39"/>
  <c r="I32" i="39"/>
  <c r="H32" i="39"/>
  <c r="G32" i="39"/>
  <c r="I31" i="39"/>
  <c r="H31" i="39"/>
  <c r="G31" i="39"/>
  <c r="I30" i="39"/>
  <c r="H30" i="39"/>
  <c r="G30" i="39"/>
  <c r="I29" i="39"/>
  <c r="H29" i="39"/>
  <c r="G29" i="39"/>
  <c r="I28" i="39"/>
  <c r="H28" i="39"/>
  <c r="G28" i="39"/>
  <c r="I27" i="39"/>
  <c r="H27" i="39"/>
  <c r="G27" i="39"/>
  <c r="I26" i="39"/>
  <c r="H26" i="39"/>
  <c r="G26" i="39"/>
  <c r="I25" i="39"/>
  <c r="H25" i="39"/>
  <c r="G25" i="39"/>
  <c r="I24" i="39"/>
  <c r="H24" i="39"/>
  <c r="G24" i="39"/>
  <c r="I23" i="39"/>
  <c r="H23" i="39"/>
  <c r="G23" i="39"/>
  <c r="I22" i="39"/>
  <c r="H22" i="39"/>
  <c r="G22" i="39"/>
  <c r="I21" i="39"/>
  <c r="H21" i="39"/>
  <c r="G21" i="39"/>
  <c r="I20" i="39"/>
  <c r="H20" i="39"/>
  <c r="G20" i="39"/>
  <c r="I19" i="39"/>
  <c r="H19" i="39"/>
  <c r="G19" i="39"/>
  <c r="I18" i="39"/>
  <c r="H18" i="39"/>
  <c r="G18" i="39"/>
  <c r="I17" i="39"/>
  <c r="H17" i="39"/>
  <c r="G17" i="39"/>
  <c r="I16" i="39"/>
  <c r="H16" i="39"/>
  <c r="G16" i="39"/>
  <c r="I15" i="39"/>
  <c r="H15" i="39"/>
  <c r="G15" i="39"/>
  <c r="I14" i="39"/>
  <c r="H14" i="39"/>
  <c r="G14" i="39"/>
  <c r="I13" i="39"/>
  <c r="H13" i="39"/>
  <c r="G13" i="39"/>
  <c r="I12" i="39"/>
  <c r="H12" i="39"/>
  <c r="G12" i="39"/>
  <c r="I11" i="39"/>
  <c r="H11" i="39"/>
  <c r="G11" i="39"/>
  <c r="I10" i="39"/>
  <c r="H10" i="39"/>
  <c r="G10" i="39"/>
  <c r="I9" i="39"/>
  <c r="H9" i="39"/>
  <c r="G9" i="39"/>
  <c r="I8" i="39"/>
  <c r="H8" i="39"/>
  <c r="G8" i="39"/>
  <c r="I7" i="39"/>
  <c r="H7" i="39"/>
  <c r="G7" i="39"/>
  <c r="I6" i="39"/>
  <c r="H6" i="39"/>
  <c r="G6" i="39"/>
  <c r="I5" i="39"/>
  <c r="H5" i="39"/>
  <c r="G5" i="39"/>
  <c r="I4" i="39"/>
  <c r="H4" i="39"/>
  <c r="G4" i="39"/>
  <c r="I3" i="39"/>
  <c r="H3" i="39"/>
  <c r="G3" i="39"/>
  <c r="I2" i="39"/>
  <c r="H2" i="39"/>
  <c r="G2" i="39"/>
  <c r="G180" i="38"/>
  <c r="C180" i="38"/>
  <c r="G179" i="38"/>
  <c r="C179" i="38"/>
  <c r="I178" i="38"/>
  <c r="G178" i="38"/>
  <c r="C178" i="38"/>
  <c r="H177" i="38"/>
  <c r="C177" i="38"/>
  <c r="I176" i="38"/>
  <c r="H176" i="38"/>
  <c r="C176" i="38"/>
  <c r="G175" i="38"/>
  <c r="C175" i="38"/>
  <c r="H174" i="38"/>
  <c r="C174" i="38"/>
  <c r="H173" i="38"/>
  <c r="C173" i="38"/>
  <c r="H172" i="38"/>
  <c r="C172" i="38"/>
  <c r="H171" i="38"/>
  <c r="C171" i="38"/>
  <c r="H170" i="38"/>
  <c r="C170" i="38"/>
  <c r="H169" i="38"/>
  <c r="C169" i="38"/>
  <c r="H168" i="38"/>
  <c r="C168" i="38"/>
  <c r="H167" i="38"/>
  <c r="C167" i="38"/>
  <c r="C166" i="38"/>
  <c r="H165" i="38"/>
  <c r="C165" i="38"/>
  <c r="H164" i="38"/>
  <c r="C164" i="38"/>
  <c r="H163" i="38"/>
  <c r="C163" i="38"/>
  <c r="C162" i="38"/>
  <c r="H161" i="38"/>
  <c r="C161" i="38"/>
  <c r="H160" i="38"/>
  <c r="C160" i="38"/>
  <c r="H159" i="38"/>
  <c r="C159" i="38"/>
  <c r="I158" i="38"/>
  <c r="C158" i="38"/>
  <c r="H157" i="38"/>
  <c r="C157" i="38"/>
  <c r="I156" i="38"/>
  <c r="H156" i="38"/>
  <c r="C156" i="38"/>
  <c r="I155" i="38"/>
  <c r="H155" i="38"/>
  <c r="C155" i="38"/>
  <c r="H154" i="38"/>
  <c r="C154" i="38"/>
  <c r="C153" i="38"/>
  <c r="C152" i="38"/>
  <c r="H151" i="38"/>
  <c r="C151" i="38"/>
  <c r="H150" i="38"/>
  <c r="C150" i="38"/>
  <c r="H149" i="38"/>
  <c r="C149" i="38"/>
  <c r="H148" i="38"/>
  <c r="C148" i="38"/>
  <c r="H147" i="38"/>
  <c r="C147" i="38"/>
  <c r="H146" i="38"/>
  <c r="C146" i="38"/>
  <c r="H145" i="38"/>
  <c r="C145" i="38"/>
  <c r="H144" i="38"/>
  <c r="C144" i="38"/>
  <c r="H143" i="38"/>
  <c r="C143" i="38"/>
  <c r="H142" i="38"/>
  <c r="C142" i="38"/>
  <c r="H141" i="38"/>
  <c r="C141" i="38"/>
  <c r="H140" i="38"/>
  <c r="C140" i="38"/>
  <c r="H139" i="38"/>
  <c r="C139" i="38"/>
  <c r="H138" i="38"/>
  <c r="C138" i="38"/>
  <c r="H137" i="38"/>
  <c r="C137" i="38"/>
  <c r="H136" i="38"/>
  <c r="C136" i="38"/>
  <c r="G135" i="38"/>
  <c r="C135" i="38"/>
  <c r="C134" i="38"/>
  <c r="H133" i="38"/>
  <c r="C133" i="38"/>
  <c r="H132" i="38"/>
  <c r="C132" i="38"/>
  <c r="H131" i="38"/>
  <c r="C131" i="38"/>
  <c r="I130" i="38"/>
  <c r="H130" i="38"/>
  <c r="C130" i="38"/>
  <c r="I129" i="38"/>
  <c r="H129" i="38"/>
  <c r="C129" i="38"/>
  <c r="H128" i="38"/>
  <c r="C128" i="38"/>
  <c r="H127" i="38"/>
  <c r="C127" i="38"/>
  <c r="H126" i="38"/>
  <c r="C126" i="38"/>
  <c r="H125" i="38"/>
  <c r="C125" i="38"/>
  <c r="H124" i="38"/>
  <c r="C124" i="38"/>
  <c r="H123" i="38"/>
  <c r="C123" i="38"/>
  <c r="I122" i="38"/>
  <c r="H122" i="38"/>
  <c r="C122" i="38"/>
  <c r="I121" i="38"/>
  <c r="H121" i="38"/>
  <c r="C121" i="38"/>
  <c r="I120" i="38"/>
  <c r="H120" i="38"/>
  <c r="C120" i="38"/>
  <c r="H119" i="38"/>
  <c r="C119" i="38"/>
  <c r="I118" i="38"/>
  <c r="H118" i="38"/>
  <c r="C118" i="38"/>
  <c r="C117" i="38"/>
  <c r="I116" i="38"/>
  <c r="H116" i="38"/>
  <c r="C116" i="38"/>
  <c r="I115" i="38"/>
  <c r="H115" i="38"/>
  <c r="C115" i="38"/>
  <c r="I114" i="38"/>
  <c r="C114" i="38"/>
  <c r="I113" i="38"/>
  <c r="C113" i="38"/>
  <c r="I112" i="38"/>
  <c r="H112" i="38"/>
  <c r="C112" i="38"/>
  <c r="H111" i="38"/>
  <c r="C111" i="38"/>
  <c r="I110" i="38"/>
  <c r="H110" i="38"/>
  <c r="C110" i="38"/>
  <c r="I109" i="38"/>
  <c r="H109" i="38"/>
  <c r="C109" i="38"/>
  <c r="H108" i="38"/>
  <c r="C108" i="38"/>
  <c r="C107" i="38"/>
  <c r="H106" i="38"/>
  <c r="C106" i="38"/>
  <c r="H105" i="38"/>
  <c r="C105" i="38"/>
  <c r="H104" i="38"/>
  <c r="C104" i="38"/>
  <c r="H103" i="38"/>
  <c r="C103" i="38"/>
  <c r="I102" i="38"/>
  <c r="H102" i="38"/>
  <c r="C102" i="38"/>
  <c r="H101" i="38"/>
  <c r="C101" i="38"/>
  <c r="I100" i="38"/>
  <c r="H100" i="38"/>
  <c r="C100" i="38"/>
  <c r="I99" i="38"/>
  <c r="C99" i="38"/>
  <c r="C98" i="38"/>
  <c r="I97" i="38"/>
  <c r="H97" i="38"/>
  <c r="C97" i="38"/>
  <c r="I96" i="38"/>
  <c r="H96" i="38"/>
  <c r="C96" i="38"/>
  <c r="I95" i="38"/>
  <c r="H95" i="38"/>
  <c r="C95" i="38"/>
  <c r="H94" i="38"/>
  <c r="C94" i="38"/>
  <c r="I93" i="38"/>
  <c r="C93" i="38"/>
  <c r="H92" i="38"/>
  <c r="C92" i="38"/>
  <c r="H91" i="38"/>
  <c r="C91" i="38"/>
  <c r="H90" i="38"/>
  <c r="C90" i="38"/>
  <c r="H89" i="38"/>
  <c r="C89" i="38"/>
  <c r="H88" i="38"/>
  <c r="C88" i="38"/>
  <c r="H87" i="38"/>
  <c r="C87" i="38"/>
  <c r="H86" i="38"/>
  <c r="C86" i="38"/>
  <c r="H85" i="38"/>
  <c r="C85" i="38"/>
  <c r="H84" i="38"/>
  <c r="C84" i="38"/>
  <c r="H83" i="38"/>
  <c r="C83" i="38"/>
  <c r="H82" i="38"/>
  <c r="C82" i="38"/>
  <c r="H81" i="38"/>
  <c r="C81" i="38"/>
  <c r="I80" i="38"/>
  <c r="H80" i="38"/>
  <c r="C80" i="38"/>
  <c r="I79" i="38"/>
  <c r="H79" i="38"/>
  <c r="C79" i="38"/>
  <c r="I78" i="38"/>
  <c r="H78" i="38"/>
  <c r="C78" i="38"/>
  <c r="I77" i="38"/>
  <c r="H77" i="38"/>
  <c r="C77" i="38"/>
  <c r="I76" i="38"/>
  <c r="H76" i="38"/>
  <c r="C76" i="38"/>
  <c r="I75" i="38"/>
  <c r="H75" i="38"/>
  <c r="C75" i="38"/>
  <c r="I74" i="38"/>
  <c r="H74" i="38"/>
  <c r="C74" i="38"/>
  <c r="H73" i="38"/>
  <c r="C73" i="38"/>
  <c r="I72" i="38"/>
  <c r="H72" i="38"/>
  <c r="C72" i="38"/>
  <c r="I71" i="38"/>
  <c r="H71" i="38"/>
  <c r="C71" i="38"/>
  <c r="I70" i="38"/>
  <c r="H70" i="38"/>
  <c r="C70" i="38"/>
  <c r="I69" i="38"/>
  <c r="H69" i="38"/>
  <c r="C69" i="38"/>
  <c r="I68" i="38"/>
  <c r="H68" i="38"/>
  <c r="C68" i="38"/>
  <c r="I67" i="38"/>
  <c r="H67" i="38"/>
  <c r="C67" i="38"/>
  <c r="I66" i="38"/>
  <c r="H66" i="38"/>
  <c r="C66" i="38"/>
  <c r="I65" i="38"/>
  <c r="H65" i="38"/>
  <c r="C65" i="38"/>
  <c r="H64" i="38"/>
  <c r="C64" i="38"/>
  <c r="H63" i="38"/>
  <c r="C63" i="38"/>
  <c r="H62" i="38"/>
  <c r="C62" i="38"/>
  <c r="I61" i="38"/>
  <c r="H61" i="38"/>
  <c r="C61" i="38"/>
  <c r="G60" i="38"/>
  <c r="C60" i="38"/>
  <c r="C59" i="38"/>
  <c r="C58" i="38"/>
  <c r="C57" i="38"/>
  <c r="C56" i="38"/>
  <c r="C55" i="38"/>
  <c r="C54" i="38"/>
  <c r="C53" i="38"/>
  <c r="C52" i="38"/>
  <c r="C51" i="38"/>
  <c r="C50" i="38"/>
  <c r="C49" i="38"/>
  <c r="C48" i="38"/>
  <c r="C47" i="38"/>
  <c r="C46" i="38"/>
  <c r="C45" i="38"/>
  <c r="C44" i="38"/>
  <c r="C43" i="38"/>
  <c r="C42" i="38"/>
  <c r="C41" i="38"/>
  <c r="G40" i="38"/>
  <c r="C40" i="38"/>
  <c r="C39" i="38"/>
  <c r="C38" i="38"/>
  <c r="C37" i="38"/>
  <c r="C36" i="38"/>
  <c r="C35" i="38"/>
  <c r="C34" i="38"/>
  <c r="C33" i="38"/>
  <c r="C32" i="38"/>
  <c r="C31" i="38"/>
  <c r="C30" i="38"/>
  <c r="C29" i="38"/>
  <c r="C28" i="38"/>
  <c r="H27" i="38"/>
  <c r="C27" i="38"/>
  <c r="H26" i="38"/>
  <c r="C26" i="38"/>
  <c r="H25" i="38"/>
  <c r="C25" i="38"/>
  <c r="H24" i="38"/>
  <c r="C24" i="38"/>
  <c r="H23" i="38"/>
  <c r="C23" i="38"/>
  <c r="H22" i="38"/>
  <c r="C22" i="38"/>
  <c r="H21" i="38"/>
  <c r="C21" i="38"/>
  <c r="H20" i="38"/>
  <c r="C20" i="38"/>
  <c r="H19" i="38"/>
  <c r="C19" i="38"/>
  <c r="H18" i="38"/>
  <c r="C18" i="38"/>
  <c r="H17" i="38"/>
  <c r="C17" i="38"/>
  <c r="H16" i="38"/>
  <c r="C16" i="38"/>
  <c r="H15" i="38"/>
  <c r="C15" i="38"/>
  <c r="H14" i="38"/>
  <c r="C14" i="38"/>
  <c r="H13" i="38"/>
  <c r="C13" i="38"/>
  <c r="H12" i="38"/>
  <c r="C12" i="38"/>
  <c r="I11" i="38"/>
  <c r="H11" i="38"/>
  <c r="C11" i="38"/>
  <c r="H10" i="38"/>
  <c r="C10" i="38"/>
  <c r="H9" i="38"/>
  <c r="C9" i="38"/>
  <c r="H8" i="38"/>
  <c r="C8" i="38"/>
  <c r="H7" i="38"/>
  <c r="C7" i="38"/>
  <c r="H6" i="38"/>
  <c r="C6" i="38"/>
  <c r="H5" i="38"/>
  <c r="C5" i="38"/>
  <c r="H4" i="38"/>
  <c r="C4" i="38"/>
  <c r="H3" i="38"/>
  <c r="C3" i="38"/>
  <c r="H2" i="38"/>
  <c r="C2" i="38"/>
  <c r="I3" i="37"/>
  <c r="H3" i="37"/>
  <c r="G3" i="37"/>
  <c r="I2" i="37"/>
  <c r="H2" i="37"/>
  <c r="G2" i="37"/>
  <c r="I25" i="35"/>
  <c r="I24" i="35"/>
  <c r="E15" i="35"/>
  <c r="E14" i="35"/>
  <c r="E13" i="35"/>
  <c r="C9" i="35"/>
  <c r="I26" i="35" s="1"/>
  <c r="B9" i="35"/>
  <c r="C8" i="35"/>
  <c r="B8" i="35"/>
  <c r="D8" i="35" s="1"/>
  <c r="C7" i="35"/>
  <c r="B7" i="35"/>
  <c r="H24" i="35" s="1"/>
  <c r="C6" i="35"/>
  <c r="B6" i="35"/>
  <c r="D6" i="35" s="1"/>
  <c r="D179" i="31"/>
  <c r="C179" i="31"/>
  <c r="D178" i="31"/>
  <c r="C178" i="31"/>
  <c r="D177" i="31"/>
  <c r="C177" i="31"/>
  <c r="D176" i="31"/>
  <c r="C176" i="31"/>
  <c r="D175" i="31"/>
  <c r="C175" i="31"/>
  <c r="D174" i="31"/>
  <c r="C174" i="31"/>
  <c r="D173" i="31"/>
  <c r="C173" i="31"/>
  <c r="D172" i="31"/>
  <c r="C172" i="31"/>
  <c r="D171" i="31"/>
  <c r="C171" i="31"/>
  <c r="D170" i="31"/>
  <c r="C170" i="31"/>
  <c r="D169" i="31"/>
  <c r="C169" i="31"/>
  <c r="D168" i="31"/>
  <c r="C168" i="31"/>
  <c r="D167" i="31"/>
  <c r="C167" i="31"/>
  <c r="D166" i="31"/>
  <c r="C166" i="31"/>
  <c r="D165" i="31"/>
  <c r="C165" i="31"/>
  <c r="D164" i="31"/>
  <c r="C164" i="31"/>
  <c r="D163" i="31"/>
  <c r="C163" i="31"/>
  <c r="D162" i="31"/>
  <c r="C162" i="31"/>
  <c r="D161" i="31"/>
  <c r="C161" i="31"/>
  <c r="D160" i="31"/>
  <c r="C160" i="31"/>
  <c r="D159" i="31"/>
  <c r="C159" i="31"/>
  <c r="D158" i="31"/>
  <c r="C158" i="31"/>
  <c r="D157" i="31"/>
  <c r="C157" i="31"/>
  <c r="D156" i="31"/>
  <c r="C156" i="31"/>
  <c r="D155" i="31"/>
  <c r="C155" i="31"/>
  <c r="D154" i="31"/>
  <c r="C154" i="31"/>
  <c r="D153" i="31"/>
  <c r="C153" i="31"/>
  <c r="D152" i="31"/>
  <c r="C152" i="31"/>
  <c r="D151" i="31"/>
  <c r="C151" i="31"/>
  <c r="D150" i="31"/>
  <c r="C150" i="31"/>
  <c r="D149" i="31"/>
  <c r="C149" i="31"/>
  <c r="L80" i="21" s="1"/>
  <c r="D148" i="31"/>
  <c r="C148" i="31"/>
  <c r="D147" i="31"/>
  <c r="C147" i="31"/>
  <c r="D146" i="31"/>
  <c r="C146" i="31"/>
  <c r="D145" i="31"/>
  <c r="C145" i="31"/>
  <c r="D144" i="31"/>
  <c r="C144" i="31"/>
  <c r="D143" i="31"/>
  <c r="C143" i="31"/>
  <c r="L49" i="21" s="1"/>
  <c r="D142" i="31"/>
  <c r="C142" i="31"/>
  <c r="D141" i="31"/>
  <c r="C141" i="31"/>
  <c r="D140" i="31"/>
  <c r="C140" i="31"/>
  <c r="D139" i="31"/>
  <c r="C139" i="31"/>
  <c r="D138" i="31"/>
  <c r="C138" i="31"/>
  <c r="D137" i="31"/>
  <c r="C137" i="31"/>
  <c r="D136" i="31"/>
  <c r="C136" i="31"/>
  <c r="D135" i="31"/>
  <c r="C135" i="31"/>
  <c r="D134" i="31"/>
  <c r="C134" i="31"/>
  <c r="D133" i="31"/>
  <c r="C133" i="31"/>
  <c r="D132" i="31"/>
  <c r="C132" i="31"/>
  <c r="D131" i="31"/>
  <c r="C131" i="31"/>
  <c r="D130" i="31"/>
  <c r="C130" i="31"/>
  <c r="D129" i="31"/>
  <c r="C129" i="31"/>
  <c r="D128" i="31"/>
  <c r="C128" i="31"/>
  <c r="D127" i="31"/>
  <c r="C127" i="31"/>
  <c r="L21" i="21" s="1"/>
  <c r="D126" i="31"/>
  <c r="C126" i="31"/>
  <c r="D125" i="31"/>
  <c r="C125" i="31"/>
  <c r="D124" i="31"/>
  <c r="C124" i="31"/>
  <c r="D123" i="31"/>
  <c r="C123" i="31"/>
  <c r="D122" i="31"/>
  <c r="C122" i="31"/>
  <c r="D121" i="31"/>
  <c r="C121" i="31"/>
  <c r="D120" i="31"/>
  <c r="C120" i="31"/>
  <c r="D119" i="31"/>
  <c r="C119" i="31"/>
  <c r="D118" i="31"/>
  <c r="C118" i="31"/>
  <c r="D117" i="31"/>
  <c r="C117" i="31"/>
  <c r="D116" i="31"/>
  <c r="C116" i="31"/>
  <c r="D115" i="31"/>
  <c r="C115" i="31"/>
  <c r="D114" i="31"/>
  <c r="C114" i="31"/>
  <c r="D113" i="31"/>
  <c r="C113" i="31"/>
  <c r="L46" i="21" s="1"/>
  <c r="D112" i="31"/>
  <c r="C112" i="31"/>
  <c r="L77" i="21" s="1"/>
  <c r="D111" i="31"/>
  <c r="C111" i="31"/>
  <c r="D110" i="31"/>
  <c r="C110" i="31"/>
  <c r="D109" i="31"/>
  <c r="C109" i="31"/>
  <c r="D108" i="31"/>
  <c r="C108" i="31"/>
  <c r="D107" i="31"/>
  <c r="C107" i="31"/>
  <c r="D106" i="31"/>
  <c r="C106" i="31"/>
  <c r="D105" i="31"/>
  <c r="C105" i="31"/>
  <c r="D104" i="31"/>
  <c r="C104" i="31"/>
  <c r="D103" i="31"/>
  <c r="C103" i="31"/>
  <c r="L29" i="21" s="1"/>
  <c r="D102" i="31"/>
  <c r="C102" i="31"/>
  <c r="D101" i="31"/>
  <c r="C101" i="31"/>
  <c r="D100" i="31"/>
  <c r="C100" i="31"/>
  <c r="D99" i="31"/>
  <c r="C99" i="31"/>
  <c r="D98" i="31"/>
  <c r="C98" i="31"/>
  <c r="L59" i="21" s="1"/>
  <c r="D97" i="31"/>
  <c r="C97" i="31"/>
  <c r="D96" i="31"/>
  <c r="C96" i="31"/>
  <c r="D95" i="31"/>
  <c r="C95" i="31"/>
  <c r="D94" i="31"/>
  <c r="C94" i="31"/>
  <c r="L76" i="21" s="1"/>
  <c r="D93" i="31"/>
  <c r="C93" i="31"/>
  <c r="D92" i="31"/>
  <c r="C92" i="31"/>
  <c r="D91" i="31"/>
  <c r="C91" i="31"/>
  <c r="D90" i="31"/>
  <c r="C90" i="31"/>
  <c r="L66" i="21" s="1"/>
  <c r="D89" i="31"/>
  <c r="C89" i="31"/>
  <c r="D88" i="31"/>
  <c r="C88" i="31"/>
  <c r="D87" i="31"/>
  <c r="C87" i="31"/>
  <c r="D86" i="31"/>
  <c r="C86" i="31"/>
  <c r="D85" i="31"/>
  <c r="C85" i="31"/>
  <c r="D84" i="31"/>
  <c r="C84" i="31"/>
  <c r="D83" i="31"/>
  <c r="C83" i="31"/>
  <c r="D82" i="31"/>
  <c r="C82" i="31"/>
  <c r="L28" i="21" s="1"/>
  <c r="D81" i="31"/>
  <c r="C81" i="31"/>
  <c r="D80" i="31"/>
  <c r="C80" i="31"/>
  <c r="L24" i="21" s="1"/>
  <c r="D79" i="31"/>
  <c r="C79" i="31"/>
  <c r="D78" i="31"/>
  <c r="C78" i="31"/>
  <c r="D77" i="31"/>
  <c r="C77" i="31"/>
  <c r="L20" i="21" s="1"/>
  <c r="D76" i="31"/>
  <c r="C76" i="31"/>
  <c r="D75" i="31"/>
  <c r="C75" i="31"/>
  <c r="L57" i="21" s="1"/>
  <c r="D74" i="31"/>
  <c r="C74" i="31"/>
  <c r="L65" i="21" s="1"/>
  <c r="D73" i="31"/>
  <c r="C73" i="31"/>
  <c r="D72" i="31"/>
  <c r="C72" i="31"/>
  <c r="D71" i="31"/>
  <c r="C71" i="31"/>
  <c r="D70" i="31"/>
  <c r="C70" i="31"/>
  <c r="D69" i="31"/>
  <c r="C69" i="31"/>
  <c r="L62" i="21" s="1"/>
  <c r="D68" i="31"/>
  <c r="C68" i="31"/>
  <c r="D67" i="31"/>
  <c r="C67" i="31"/>
  <c r="D66" i="31"/>
  <c r="C66" i="31"/>
  <c r="L63" i="21" s="1"/>
  <c r="D65" i="31"/>
  <c r="C65" i="31"/>
  <c r="D64" i="31"/>
  <c r="C64" i="31"/>
  <c r="D63" i="31"/>
  <c r="C63" i="31"/>
  <c r="D62" i="31"/>
  <c r="C62" i="31"/>
  <c r="D61" i="31"/>
  <c r="C61" i="31"/>
  <c r="D60" i="31"/>
  <c r="C60" i="31"/>
  <c r="L79" i="21" s="1"/>
  <c r="D59" i="31"/>
  <c r="C59" i="31"/>
  <c r="D58" i="31"/>
  <c r="C58" i="31"/>
  <c r="D57" i="31"/>
  <c r="C57" i="31"/>
  <c r="L36" i="21" s="1"/>
  <c r="D56" i="31"/>
  <c r="C56" i="31"/>
  <c r="D55" i="31"/>
  <c r="C55" i="31"/>
  <c r="D54" i="31"/>
  <c r="C54" i="31"/>
  <c r="D53" i="31"/>
  <c r="C53" i="31"/>
  <c r="D52" i="31"/>
  <c r="C52" i="31"/>
  <c r="D51" i="31"/>
  <c r="C51" i="31"/>
  <c r="D50" i="31"/>
  <c r="C50" i="31"/>
  <c r="L25" i="21" s="1"/>
  <c r="D49" i="31"/>
  <c r="C49" i="31"/>
  <c r="D48" i="31"/>
  <c r="C48" i="31"/>
  <c r="D47" i="31"/>
  <c r="C47" i="31"/>
  <c r="L27" i="21" s="1"/>
  <c r="D46" i="31"/>
  <c r="C46" i="31"/>
  <c r="D45" i="31"/>
  <c r="C45" i="31"/>
  <c r="D44" i="31"/>
  <c r="C44" i="31"/>
  <c r="D43" i="31"/>
  <c r="C43" i="31"/>
  <c r="D42" i="31"/>
  <c r="C42" i="31"/>
  <c r="L4" i="21" s="1"/>
  <c r="D41" i="31"/>
  <c r="C41" i="31"/>
  <c r="D40" i="31"/>
  <c r="C40" i="31"/>
  <c r="L26" i="21" s="1"/>
  <c r="D39" i="31"/>
  <c r="C39" i="31"/>
  <c r="D38" i="31"/>
  <c r="C38" i="31"/>
  <c r="D37" i="31"/>
  <c r="C37" i="31"/>
  <c r="D36" i="31"/>
  <c r="C36" i="31"/>
  <c r="D35" i="31"/>
  <c r="C35" i="31"/>
  <c r="L60" i="21" s="1"/>
  <c r="D34" i="31"/>
  <c r="C34" i="31"/>
  <c r="D33" i="31"/>
  <c r="C33" i="31"/>
  <c r="D32" i="31"/>
  <c r="C32" i="31"/>
  <c r="D31" i="31"/>
  <c r="C31" i="31"/>
  <c r="D30" i="31"/>
  <c r="C30" i="31"/>
  <c r="D29" i="31"/>
  <c r="C29" i="31"/>
  <c r="D28" i="31"/>
  <c r="C28" i="31"/>
  <c r="D27" i="31"/>
  <c r="C27" i="31"/>
  <c r="D26" i="31"/>
  <c r="C26" i="31"/>
  <c r="D25" i="31"/>
  <c r="C25" i="31"/>
  <c r="L18" i="21" s="1"/>
  <c r="D24" i="31"/>
  <c r="C24" i="31"/>
  <c r="D23" i="31"/>
  <c r="C23" i="31"/>
  <c r="D22" i="31"/>
  <c r="C22" i="31"/>
  <c r="D21" i="31"/>
  <c r="C21" i="31"/>
  <c r="D20" i="31"/>
  <c r="C20" i="31"/>
  <c r="L9" i="21" s="1"/>
  <c r="D19" i="31"/>
  <c r="C19" i="31"/>
  <c r="D18" i="31"/>
  <c r="C18" i="31"/>
  <c r="D17" i="31"/>
  <c r="C17" i="31"/>
  <c r="D16" i="31"/>
  <c r="C16" i="31"/>
  <c r="D15" i="31"/>
  <c r="C15" i="31"/>
  <c r="L61" i="21" s="1"/>
  <c r="D14" i="31"/>
  <c r="C14" i="31"/>
  <c r="D13" i="31"/>
  <c r="C13" i="31"/>
  <c r="D12" i="31"/>
  <c r="C12" i="31"/>
  <c r="D11" i="31"/>
  <c r="C11" i="31"/>
  <c r="D10" i="31"/>
  <c r="C10" i="31"/>
  <c r="D9" i="31"/>
  <c r="C9" i="31"/>
  <c r="D8" i="31"/>
  <c r="C8" i="31"/>
  <c r="D7" i="31"/>
  <c r="C7" i="31"/>
  <c r="D6" i="31"/>
  <c r="C6" i="31"/>
  <c r="L16" i="21" s="1"/>
  <c r="D5" i="31"/>
  <c r="C5" i="31"/>
  <c r="L42" i="21" s="1"/>
  <c r="D4" i="31"/>
  <c r="C4" i="31"/>
  <c r="L12" i="21" s="1"/>
  <c r="D3" i="31"/>
  <c r="C3" i="31"/>
  <c r="D2" i="31"/>
  <c r="C2" i="31"/>
  <c r="E84" i="28"/>
  <c r="D84" i="28"/>
  <c r="C84" i="28"/>
  <c r="E83" i="28"/>
  <c r="D83" i="28"/>
  <c r="C83" i="28"/>
  <c r="E82" i="28"/>
  <c r="D82" i="28"/>
  <c r="C82" i="28"/>
  <c r="E81" i="28"/>
  <c r="D81" i="28"/>
  <c r="C81" i="28"/>
  <c r="E80" i="28"/>
  <c r="D80" i="28"/>
  <c r="C80" i="28"/>
  <c r="E79" i="28"/>
  <c r="D79" i="28"/>
  <c r="C79" i="28"/>
  <c r="E78" i="28"/>
  <c r="D78" i="28"/>
  <c r="C78" i="28"/>
  <c r="E77" i="28"/>
  <c r="D77" i="28"/>
  <c r="C77" i="28"/>
  <c r="E76" i="28"/>
  <c r="D76" i="28"/>
  <c r="C76" i="28"/>
  <c r="E75" i="28"/>
  <c r="D75" i="28"/>
  <c r="C75" i="28"/>
  <c r="E74" i="28"/>
  <c r="D74" i="28"/>
  <c r="C74" i="28"/>
  <c r="E73" i="28"/>
  <c r="D73" i="28"/>
  <c r="C73" i="28"/>
  <c r="E72" i="28"/>
  <c r="D72" i="28"/>
  <c r="C72" i="28"/>
  <c r="E71" i="28"/>
  <c r="D71" i="28"/>
  <c r="C71" i="28"/>
  <c r="E70" i="28"/>
  <c r="D70" i="28"/>
  <c r="C70" i="28"/>
  <c r="E69" i="28"/>
  <c r="D69" i="28"/>
  <c r="C69" i="28"/>
  <c r="E68" i="28"/>
  <c r="D68" i="28"/>
  <c r="C68" i="28"/>
  <c r="E67" i="28"/>
  <c r="D67" i="28"/>
  <c r="C67" i="28"/>
  <c r="E66" i="28"/>
  <c r="D66" i="28"/>
  <c r="C66" i="28"/>
  <c r="E65" i="28"/>
  <c r="D65" i="28"/>
  <c r="C65" i="28"/>
  <c r="E64" i="28"/>
  <c r="D64" i="28"/>
  <c r="C64" i="28"/>
  <c r="E63" i="28"/>
  <c r="D63" i="28"/>
  <c r="C63" i="28"/>
  <c r="E62" i="28"/>
  <c r="D62" i="28"/>
  <c r="C62" i="28"/>
  <c r="E61" i="28"/>
  <c r="D61" i="28"/>
  <c r="C61" i="28"/>
  <c r="E60" i="28"/>
  <c r="D60" i="28"/>
  <c r="C60" i="28"/>
  <c r="E59" i="28"/>
  <c r="D59" i="28"/>
  <c r="C59" i="28"/>
  <c r="E58" i="28"/>
  <c r="D58" i="28"/>
  <c r="C58" i="28"/>
  <c r="E57" i="28"/>
  <c r="D57" i="28"/>
  <c r="C57" i="28"/>
  <c r="E56" i="28"/>
  <c r="D56" i="28"/>
  <c r="C56" i="28"/>
  <c r="E55" i="28"/>
  <c r="D55" i="28"/>
  <c r="C55" i="28"/>
  <c r="E54" i="28"/>
  <c r="D54" i="28"/>
  <c r="C54" i="28"/>
  <c r="E53" i="28"/>
  <c r="D53" i="28"/>
  <c r="C53" i="28"/>
  <c r="E52" i="28"/>
  <c r="D52" i="28"/>
  <c r="C52" i="28"/>
  <c r="E51" i="28"/>
  <c r="D51" i="28"/>
  <c r="C51" i="28"/>
  <c r="E50" i="28"/>
  <c r="D50" i="28"/>
  <c r="C50" i="28"/>
  <c r="E49" i="28"/>
  <c r="D49" i="28"/>
  <c r="C49" i="28"/>
  <c r="E48" i="28"/>
  <c r="D48" i="28"/>
  <c r="C48" i="28"/>
  <c r="E47" i="28"/>
  <c r="D47" i="28"/>
  <c r="C47" i="28"/>
  <c r="E46" i="28"/>
  <c r="D46" i="28"/>
  <c r="C46" i="28"/>
  <c r="E45" i="28"/>
  <c r="D45" i="28"/>
  <c r="C45" i="28"/>
  <c r="E44" i="28"/>
  <c r="D44" i="28"/>
  <c r="C44" i="28"/>
  <c r="E43" i="28"/>
  <c r="D43" i="28"/>
  <c r="C43" i="28"/>
  <c r="E42" i="28"/>
  <c r="D42" i="28"/>
  <c r="C42" i="28"/>
  <c r="E41" i="28"/>
  <c r="D41" i="28"/>
  <c r="C41" i="28"/>
  <c r="E40" i="28"/>
  <c r="D40" i="28"/>
  <c r="C40" i="28"/>
  <c r="E39" i="28"/>
  <c r="D39" i="28"/>
  <c r="C39" i="28"/>
  <c r="E38" i="28"/>
  <c r="D38" i="28"/>
  <c r="C38" i="28"/>
  <c r="E37" i="28"/>
  <c r="D37" i="28"/>
  <c r="C37" i="28"/>
  <c r="E36" i="28"/>
  <c r="D36" i="28"/>
  <c r="C36" i="28"/>
  <c r="E35" i="28"/>
  <c r="D35" i="28"/>
  <c r="C35" i="28"/>
  <c r="E34" i="28"/>
  <c r="D34" i="28"/>
  <c r="C34" i="28"/>
  <c r="G28" i="28"/>
  <c r="F28" i="28"/>
  <c r="E28" i="28"/>
  <c r="G27" i="28"/>
  <c r="F27" i="28"/>
  <c r="E27" i="28"/>
  <c r="G26" i="28"/>
  <c r="F26" i="28"/>
  <c r="E26" i="28"/>
  <c r="G25" i="28"/>
  <c r="F25" i="28"/>
  <c r="E25" i="28"/>
  <c r="G24" i="28"/>
  <c r="F24" i="28"/>
  <c r="E24" i="28"/>
  <c r="G23" i="28"/>
  <c r="F23" i="28"/>
  <c r="E23" i="28"/>
  <c r="G22" i="28"/>
  <c r="F22" i="28"/>
  <c r="E22" i="28"/>
  <c r="G21" i="28"/>
  <c r="F21" i="28"/>
  <c r="E21" i="28"/>
  <c r="G20" i="28"/>
  <c r="F20" i="28"/>
  <c r="E20" i="28"/>
  <c r="G19" i="28"/>
  <c r="F19" i="28"/>
  <c r="E19" i="28"/>
  <c r="G18" i="28"/>
  <c r="F18" i="28"/>
  <c r="E18" i="28"/>
  <c r="G17" i="28"/>
  <c r="F17" i="28"/>
  <c r="E17" i="28"/>
  <c r="G16" i="28"/>
  <c r="F16" i="28"/>
  <c r="E16" i="28"/>
  <c r="G15" i="28"/>
  <c r="F15" i="28"/>
  <c r="E15" i="28"/>
  <c r="G14" i="28"/>
  <c r="F14" i="28"/>
  <c r="E14" i="28"/>
  <c r="G13" i="28"/>
  <c r="F13" i="28"/>
  <c r="E13" i="28"/>
  <c r="G12" i="28"/>
  <c r="F12" i="28"/>
  <c r="E12" i="28"/>
  <c r="G11" i="28"/>
  <c r="F11" i="28"/>
  <c r="E11" i="28"/>
  <c r="G10" i="28"/>
  <c r="F10" i="28"/>
  <c r="E10" i="28"/>
  <c r="G9" i="28"/>
  <c r="F9" i="28"/>
  <c r="G8" i="28"/>
  <c r="F8" i="28"/>
  <c r="G7" i="28"/>
  <c r="F7" i="28"/>
  <c r="G6" i="28"/>
  <c r="F6" i="28"/>
  <c r="E6" i="28"/>
  <c r="G5" i="28"/>
  <c r="F5" i="28"/>
  <c r="E5" i="28"/>
  <c r="G4" i="28"/>
  <c r="F4" i="28"/>
  <c r="E4" i="28"/>
  <c r="G3" i="28"/>
  <c r="F3" i="28"/>
  <c r="E3" i="28"/>
  <c r="G2" i="28"/>
  <c r="F2" i="28"/>
  <c r="E2" i="28"/>
  <c r="C8" i="26"/>
  <c r="D8" i="26" s="1"/>
  <c r="B8" i="26"/>
  <c r="I7" i="26"/>
  <c r="H7" i="26"/>
  <c r="C7" i="26"/>
  <c r="B7" i="26"/>
  <c r="I6" i="26"/>
  <c r="H6" i="26"/>
  <c r="C6" i="26"/>
  <c r="B6" i="26"/>
  <c r="I5" i="26"/>
  <c r="H5" i="26"/>
  <c r="C5" i="26"/>
  <c r="B5" i="26"/>
  <c r="D5" i="26" s="1"/>
  <c r="J32" i="24"/>
  <c r="H32" i="24"/>
  <c r="I32" i="24" s="1"/>
  <c r="G32" i="24"/>
  <c r="E32" i="24"/>
  <c r="D32" i="24"/>
  <c r="H31" i="24"/>
  <c r="E31" i="24"/>
  <c r="F31" i="24" s="1"/>
  <c r="D31" i="24"/>
  <c r="H30" i="24"/>
  <c r="E30" i="24"/>
  <c r="F30" i="24" s="1"/>
  <c r="D30" i="24"/>
  <c r="H29" i="24"/>
  <c r="E29" i="24"/>
  <c r="D29" i="24"/>
  <c r="F29" i="24" s="1"/>
  <c r="H28" i="24"/>
  <c r="E28" i="24"/>
  <c r="D28" i="24"/>
  <c r="F28" i="24" s="1"/>
  <c r="H27" i="24"/>
  <c r="E27" i="24"/>
  <c r="D27" i="24"/>
  <c r="H26" i="24"/>
  <c r="E26" i="24"/>
  <c r="D26" i="24"/>
  <c r="H25" i="24"/>
  <c r="E25" i="24"/>
  <c r="F25" i="24" s="1"/>
  <c r="D25" i="24"/>
  <c r="J24" i="24"/>
  <c r="H24" i="24"/>
  <c r="G24" i="24"/>
  <c r="I24" i="24" s="1"/>
  <c r="E24" i="24"/>
  <c r="F24" i="24" s="1"/>
  <c r="D24" i="24"/>
  <c r="J23" i="24"/>
  <c r="H23" i="24"/>
  <c r="G23" i="24"/>
  <c r="E23" i="24"/>
  <c r="D23" i="24"/>
  <c r="H22" i="24"/>
  <c r="E22" i="24"/>
  <c r="D22" i="24"/>
  <c r="H21" i="24"/>
  <c r="F21" i="24"/>
  <c r="E21" i="24"/>
  <c r="D21" i="24"/>
  <c r="H20" i="24"/>
  <c r="E20" i="24"/>
  <c r="D20" i="24"/>
  <c r="J19" i="24"/>
  <c r="H19" i="24"/>
  <c r="G19" i="24"/>
  <c r="E19" i="24"/>
  <c r="D19" i="24"/>
  <c r="F19" i="24" s="1"/>
  <c r="H18" i="24"/>
  <c r="F18" i="24"/>
  <c r="E18" i="24"/>
  <c r="D18" i="24"/>
  <c r="H17" i="24"/>
  <c r="E17" i="24"/>
  <c r="D17" i="24"/>
  <c r="H16" i="24"/>
  <c r="E16" i="24"/>
  <c r="D16" i="24"/>
  <c r="H15" i="24"/>
  <c r="E15" i="24"/>
  <c r="D15" i="24"/>
  <c r="E14" i="24"/>
  <c r="D14" i="24"/>
  <c r="H13" i="24"/>
  <c r="E13" i="24"/>
  <c r="F13" i="24" s="1"/>
  <c r="D13" i="24"/>
  <c r="J12" i="24"/>
  <c r="H12" i="24"/>
  <c r="G12" i="24"/>
  <c r="E12" i="24"/>
  <c r="F12" i="24" s="1"/>
  <c r="D12" i="24"/>
  <c r="J11" i="24"/>
  <c r="H11" i="24"/>
  <c r="G11" i="24"/>
  <c r="E11" i="24"/>
  <c r="D11" i="24"/>
  <c r="F11" i="24" s="1"/>
  <c r="H10" i="24"/>
  <c r="E10" i="24"/>
  <c r="D10" i="24"/>
  <c r="J9" i="24"/>
  <c r="H9" i="24"/>
  <c r="G9" i="24"/>
  <c r="E9" i="24"/>
  <c r="D9" i="24"/>
  <c r="E8" i="24"/>
  <c r="D8" i="24"/>
  <c r="E7" i="24"/>
  <c r="F7" i="24" s="1"/>
  <c r="D7" i="24"/>
  <c r="E6" i="24"/>
  <c r="F6" i="24" s="1"/>
  <c r="D6" i="24"/>
  <c r="E5" i="24"/>
  <c r="D5" i="24"/>
  <c r="F5" i="24" s="1"/>
  <c r="E4" i="24"/>
  <c r="D4" i="24"/>
  <c r="F4" i="24" s="1"/>
  <c r="E3" i="24"/>
  <c r="F3" i="24" s="1"/>
  <c r="D3" i="24"/>
  <c r="L81" i="21"/>
  <c r="K81" i="21"/>
  <c r="I81" i="21"/>
  <c r="H81" i="21"/>
  <c r="F81" i="21"/>
  <c r="E81" i="21"/>
  <c r="K80" i="21"/>
  <c r="I80" i="21"/>
  <c r="H80" i="21"/>
  <c r="F80" i="21"/>
  <c r="E80" i="21"/>
  <c r="K79" i="21"/>
  <c r="I79" i="21"/>
  <c r="H79" i="21"/>
  <c r="F79" i="21"/>
  <c r="E79" i="21"/>
  <c r="L78" i="21"/>
  <c r="K78" i="21"/>
  <c r="I78" i="21"/>
  <c r="H78" i="21"/>
  <c r="F78" i="21"/>
  <c r="G78" i="21" s="1"/>
  <c r="E78" i="21"/>
  <c r="K77" i="21"/>
  <c r="I77" i="21"/>
  <c r="H77" i="21"/>
  <c r="F77" i="21"/>
  <c r="E77" i="21"/>
  <c r="K76" i="21"/>
  <c r="I76" i="21"/>
  <c r="H76" i="21"/>
  <c r="F76" i="21"/>
  <c r="E76" i="21"/>
  <c r="L75" i="21"/>
  <c r="K75" i="21"/>
  <c r="I75" i="21"/>
  <c r="H75" i="21"/>
  <c r="F75" i="21"/>
  <c r="E75" i="21"/>
  <c r="G75" i="21" s="1"/>
  <c r="L74" i="21"/>
  <c r="K74" i="21"/>
  <c r="I74" i="21"/>
  <c r="H74" i="21"/>
  <c r="F74" i="21"/>
  <c r="E74" i="21"/>
  <c r="K73" i="21"/>
  <c r="I73" i="21"/>
  <c r="H73" i="21"/>
  <c r="F73" i="21"/>
  <c r="E73" i="21"/>
  <c r="K72" i="21"/>
  <c r="I72" i="21"/>
  <c r="H72" i="21"/>
  <c r="F72" i="21"/>
  <c r="E72" i="21"/>
  <c r="K71" i="21"/>
  <c r="I71" i="21"/>
  <c r="H71" i="21"/>
  <c r="F71" i="21"/>
  <c r="E71" i="21"/>
  <c r="G71" i="21" s="1"/>
  <c r="L70" i="21"/>
  <c r="K70" i="21"/>
  <c r="I70" i="21"/>
  <c r="H70" i="21"/>
  <c r="F70" i="21"/>
  <c r="E70" i="21"/>
  <c r="K69" i="21"/>
  <c r="I69" i="21"/>
  <c r="H69" i="21"/>
  <c r="F69" i="21"/>
  <c r="E69" i="21"/>
  <c r="K68" i="21"/>
  <c r="I68" i="21"/>
  <c r="H68" i="21"/>
  <c r="F68" i="21"/>
  <c r="G68" i="21" s="1"/>
  <c r="E68" i="21"/>
  <c r="L67" i="21"/>
  <c r="K67" i="21"/>
  <c r="I67" i="21"/>
  <c r="H67" i="21"/>
  <c r="F67" i="21"/>
  <c r="E67" i="21"/>
  <c r="K66" i="21"/>
  <c r="I66" i="21"/>
  <c r="H66" i="21"/>
  <c r="F66" i="21"/>
  <c r="E66" i="21"/>
  <c r="K65" i="21"/>
  <c r="I65" i="21"/>
  <c r="H65" i="21"/>
  <c r="F65" i="21"/>
  <c r="E65" i="21"/>
  <c r="G65" i="21" s="1"/>
  <c r="K64" i="21"/>
  <c r="I64" i="21"/>
  <c r="H64" i="21"/>
  <c r="F64" i="21"/>
  <c r="E64" i="21"/>
  <c r="G64" i="21" s="1"/>
  <c r="K63" i="21"/>
  <c r="I63" i="21"/>
  <c r="H63" i="21"/>
  <c r="G63" i="21"/>
  <c r="F63" i="21"/>
  <c r="E63" i="21"/>
  <c r="K62" i="21"/>
  <c r="I62" i="21"/>
  <c r="H62" i="21"/>
  <c r="F62" i="21"/>
  <c r="E62" i="21"/>
  <c r="G62" i="21" s="1"/>
  <c r="K61" i="21"/>
  <c r="I61" i="21"/>
  <c r="H61" i="21"/>
  <c r="G61" i="21"/>
  <c r="F61" i="21"/>
  <c r="E61" i="21"/>
  <c r="K60" i="21"/>
  <c r="I60" i="21"/>
  <c r="H60" i="21"/>
  <c r="G60" i="21"/>
  <c r="F60" i="21"/>
  <c r="E60" i="21"/>
  <c r="K59" i="21"/>
  <c r="I59" i="21"/>
  <c r="H59" i="21"/>
  <c r="F59" i="21"/>
  <c r="E59" i="21"/>
  <c r="L58" i="21"/>
  <c r="K58" i="21"/>
  <c r="I58" i="21"/>
  <c r="H58" i="21"/>
  <c r="F58" i="21"/>
  <c r="E58" i="21"/>
  <c r="K57" i="21"/>
  <c r="I57" i="21"/>
  <c r="H57" i="21"/>
  <c r="F57" i="21"/>
  <c r="E57" i="21"/>
  <c r="K56" i="21"/>
  <c r="I56" i="21"/>
  <c r="H56" i="21"/>
  <c r="F56" i="21"/>
  <c r="E56" i="21"/>
  <c r="L55" i="21"/>
  <c r="K55" i="21"/>
  <c r="I55" i="21"/>
  <c r="H55" i="21"/>
  <c r="F55" i="21"/>
  <c r="E55" i="21"/>
  <c r="L54" i="21"/>
  <c r="K54" i="21"/>
  <c r="I54" i="21"/>
  <c r="H54" i="21"/>
  <c r="F54" i="21"/>
  <c r="E54" i="21"/>
  <c r="L53" i="21"/>
  <c r="K53" i="21"/>
  <c r="I53" i="21"/>
  <c r="H53" i="21"/>
  <c r="F53" i="21"/>
  <c r="E53" i="21"/>
  <c r="L52" i="21"/>
  <c r="K52" i="21"/>
  <c r="I52" i="21"/>
  <c r="H52" i="21"/>
  <c r="F52" i="21"/>
  <c r="E52" i="21"/>
  <c r="G52" i="21" s="1"/>
  <c r="K51" i="21"/>
  <c r="I51" i="21"/>
  <c r="H51" i="21"/>
  <c r="F51" i="21"/>
  <c r="E51" i="21"/>
  <c r="L50" i="21"/>
  <c r="K50" i="21"/>
  <c r="I50" i="21"/>
  <c r="H50" i="21"/>
  <c r="G50" i="21"/>
  <c r="F50" i="21"/>
  <c r="E50" i="21"/>
  <c r="K49" i="21"/>
  <c r="I49" i="21"/>
  <c r="H49" i="21"/>
  <c r="F49" i="21"/>
  <c r="E49" i="21"/>
  <c r="G49" i="21" s="1"/>
  <c r="K48" i="21"/>
  <c r="I48" i="21"/>
  <c r="H48" i="21"/>
  <c r="F48" i="21"/>
  <c r="E48" i="21"/>
  <c r="L47" i="21"/>
  <c r="K47" i="21"/>
  <c r="I47" i="21"/>
  <c r="H47" i="21"/>
  <c r="F47" i="21"/>
  <c r="E47" i="21"/>
  <c r="K46" i="21"/>
  <c r="I46" i="21"/>
  <c r="H46" i="21"/>
  <c r="F46" i="21"/>
  <c r="E46" i="21"/>
  <c r="G46" i="21" s="1"/>
  <c r="L45" i="21"/>
  <c r="K45" i="21"/>
  <c r="I45" i="21"/>
  <c r="H45" i="21"/>
  <c r="F45" i="21"/>
  <c r="G45" i="21" s="1"/>
  <c r="E45" i="21"/>
  <c r="K44" i="21"/>
  <c r="I44" i="21"/>
  <c r="H44" i="21"/>
  <c r="F44" i="21"/>
  <c r="E44" i="21"/>
  <c r="G44" i="21" s="1"/>
  <c r="K43" i="21"/>
  <c r="I43" i="21"/>
  <c r="H43" i="21"/>
  <c r="F43" i="21"/>
  <c r="E43" i="21"/>
  <c r="G43" i="21" s="1"/>
  <c r="K42" i="21"/>
  <c r="I42" i="21"/>
  <c r="H42" i="21"/>
  <c r="G42" i="21"/>
  <c r="F42" i="21"/>
  <c r="E42" i="21"/>
  <c r="L41" i="21"/>
  <c r="K41" i="21"/>
  <c r="I41" i="21"/>
  <c r="H41" i="21"/>
  <c r="F41" i="21"/>
  <c r="G41" i="21" s="1"/>
  <c r="E41" i="21"/>
  <c r="L40" i="21"/>
  <c r="K40" i="21"/>
  <c r="I40" i="21"/>
  <c r="H40" i="21"/>
  <c r="F40" i="21"/>
  <c r="E40" i="21"/>
  <c r="K39" i="21"/>
  <c r="I39" i="21"/>
  <c r="H39" i="21"/>
  <c r="F39" i="21"/>
  <c r="E39" i="21"/>
  <c r="L38" i="21"/>
  <c r="K38" i="21"/>
  <c r="I38" i="21"/>
  <c r="H38" i="21"/>
  <c r="F38" i="21"/>
  <c r="E38" i="21"/>
  <c r="K37" i="21"/>
  <c r="I37" i="21"/>
  <c r="H37" i="21"/>
  <c r="F37" i="21"/>
  <c r="E37" i="21"/>
  <c r="K36" i="21"/>
  <c r="I36" i="21"/>
  <c r="H36" i="21"/>
  <c r="F36" i="21"/>
  <c r="E36" i="21"/>
  <c r="G36" i="21" s="1"/>
  <c r="L35" i="21"/>
  <c r="K35" i="21"/>
  <c r="I35" i="21"/>
  <c r="H35" i="21"/>
  <c r="F35" i="21"/>
  <c r="E35" i="21"/>
  <c r="L34" i="21"/>
  <c r="K34" i="21"/>
  <c r="I34" i="21"/>
  <c r="H34" i="21"/>
  <c r="F34" i="21"/>
  <c r="E34" i="21"/>
  <c r="L33" i="21"/>
  <c r="K33" i="21"/>
  <c r="I33" i="21"/>
  <c r="H33" i="21"/>
  <c r="F33" i="21"/>
  <c r="E33" i="21"/>
  <c r="G33" i="21" s="1"/>
  <c r="L32" i="21"/>
  <c r="K32" i="21"/>
  <c r="I32" i="21"/>
  <c r="H32" i="21"/>
  <c r="G32" i="21"/>
  <c r="F32" i="21"/>
  <c r="E32" i="21"/>
  <c r="K31" i="21"/>
  <c r="I31" i="21"/>
  <c r="H31" i="21"/>
  <c r="F31" i="21"/>
  <c r="E31" i="21"/>
  <c r="K30" i="21"/>
  <c r="I30" i="21"/>
  <c r="H30" i="21"/>
  <c r="F30" i="21"/>
  <c r="E30" i="21"/>
  <c r="G30" i="21" s="1"/>
  <c r="K29" i="21"/>
  <c r="I29" i="21"/>
  <c r="H29" i="21"/>
  <c r="F29" i="21"/>
  <c r="E29" i="21"/>
  <c r="K28" i="21"/>
  <c r="I28" i="21"/>
  <c r="H28" i="21"/>
  <c r="F28" i="21"/>
  <c r="E28" i="21"/>
  <c r="K27" i="21"/>
  <c r="I27" i="21"/>
  <c r="H27" i="21"/>
  <c r="F27" i="21"/>
  <c r="G27" i="21" s="1"/>
  <c r="E27" i="21"/>
  <c r="K26" i="21"/>
  <c r="I26" i="21"/>
  <c r="H26" i="21"/>
  <c r="F26" i="21"/>
  <c r="E26" i="21"/>
  <c r="G26" i="21" s="1"/>
  <c r="K25" i="21"/>
  <c r="I25" i="21"/>
  <c r="H25" i="21"/>
  <c r="F25" i="21"/>
  <c r="E25" i="21"/>
  <c r="K24" i="21"/>
  <c r="I24" i="21"/>
  <c r="H24" i="21"/>
  <c r="F24" i="21"/>
  <c r="G24" i="21" s="1"/>
  <c r="E24" i="21"/>
  <c r="K23" i="21"/>
  <c r="I23" i="21"/>
  <c r="H23" i="21"/>
  <c r="F23" i="21"/>
  <c r="E23" i="21"/>
  <c r="L22" i="21"/>
  <c r="K22" i="21"/>
  <c r="I22" i="21"/>
  <c r="H22" i="21"/>
  <c r="F22" i="21"/>
  <c r="E22" i="21"/>
  <c r="G22" i="21" s="1"/>
  <c r="K21" i="21"/>
  <c r="I21" i="21"/>
  <c r="H21" i="21"/>
  <c r="F21" i="21"/>
  <c r="E21" i="21"/>
  <c r="K20" i="21"/>
  <c r="I20" i="21"/>
  <c r="H20" i="21"/>
  <c r="F20" i="21"/>
  <c r="E20" i="21"/>
  <c r="L19" i="21"/>
  <c r="K19" i="21"/>
  <c r="I19" i="21"/>
  <c r="H19" i="21"/>
  <c r="F19" i="21"/>
  <c r="E19" i="21"/>
  <c r="K18" i="21"/>
  <c r="I18" i="21"/>
  <c r="H18" i="21"/>
  <c r="F18" i="21"/>
  <c r="E18" i="21"/>
  <c r="G18" i="21" s="1"/>
  <c r="K17" i="21"/>
  <c r="I17" i="21"/>
  <c r="H17" i="21"/>
  <c r="F17" i="21"/>
  <c r="E17" i="21"/>
  <c r="G17" i="21" s="1"/>
  <c r="K16" i="21"/>
  <c r="I16" i="21"/>
  <c r="H16" i="21"/>
  <c r="F16" i="21"/>
  <c r="E16" i="21"/>
  <c r="L15" i="21"/>
  <c r="K15" i="21"/>
  <c r="I15" i="21"/>
  <c r="H15" i="21"/>
  <c r="F15" i="21"/>
  <c r="E15" i="21"/>
  <c r="G15" i="21" s="1"/>
  <c r="K14" i="21"/>
  <c r="I14" i="21"/>
  <c r="H14" i="21"/>
  <c r="F14" i="21"/>
  <c r="E14" i="21"/>
  <c r="G14" i="21" s="1"/>
  <c r="K13" i="21"/>
  <c r="I13" i="21"/>
  <c r="H13" i="21"/>
  <c r="F13" i="21"/>
  <c r="E13" i="21"/>
  <c r="K12" i="21"/>
  <c r="I12" i="21"/>
  <c r="H12" i="21"/>
  <c r="F12" i="21"/>
  <c r="E12" i="21"/>
  <c r="L11" i="21"/>
  <c r="K11" i="21"/>
  <c r="I11" i="21"/>
  <c r="H11" i="21"/>
  <c r="F11" i="21"/>
  <c r="E11" i="21"/>
  <c r="G11" i="21" s="1"/>
  <c r="K10" i="21"/>
  <c r="I10" i="21"/>
  <c r="H10" i="21"/>
  <c r="F10" i="21"/>
  <c r="E10" i="21"/>
  <c r="G10" i="21" s="1"/>
  <c r="K9" i="21"/>
  <c r="I9" i="21"/>
  <c r="H9" i="21"/>
  <c r="F9" i="21"/>
  <c r="E9" i="21"/>
  <c r="G9" i="21" s="1"/>
  <c r="L8" i="21"/>
  <c r="K8" i="21"/>
  <c r="I8" i="21"/>
  <c r="H8" i="21"/>
  <c r="F8" i="21"/>
  <c r="E8" i="21"/>
  <c r="L7" i="21"/>
  <c r="K7" i="21"/>
  <c r="I7" i="21"/>
  <c r="H7" i="21"/>
  <c r="F7" i="21"/>
  <c r="E7" i="21"/>
  <c r="G7" i="21" s="1"/>
  <c r="L6" i="21"/>
  <c r="K6" i="21"/>
  <c r="I6" i="21"/>
  <c r="H6" i="21"/>
  <c r="F6" i="21"/>
  <c r="G6" i="21" s="1"/>
  <c r="E6" i="21"/>
  <c r="K5" i="21"/>
  <c r="I5" i="21"/>
  <c r="H5" i="21"/>
  <c r="F5" i="21"/>
  <c r="E5" i="21"/>
  <c r="K4" i="21"/>
  <c r="I4" i="21"/>
  <c r="H4" i="21"/>
  <c r="F4" i="21"/>
  <c r="E4" i="21"/>
  <c r="G4" i="21" s="1"/>
  <c r="G18" i="19"/>
  <c r="E18" i="19"/>
  <c r="G17" i="19"/>
  <c r="E17" i="19"/>
  <c r="G16" i="19"/>
  <c r="E16" i="19"/>
  <c r="G15" i="19"/>
  <c r="E15" i="19"/>
  <c r="G14" i="19"/>
  <c r="E14" i="19"/>
  <c r="G13" i="19"/>
  <c r="E13" i="19"/>
  <c r="G12" i="19"/>
  <c r="E12" i="19"/>
  <c r="G11" i="19"/>
  <c r="E11" i="19"/>
  <c r="G10" i="19"/>
  <c r="E10" i="19"/>
  <c r="G9" i="19"/>
  <c r="E9" i="19"/>
  <c r="G8" i="19"/>
  <c r="E8" i="19"/>
  <c r="G7" i="19"/>
  <c r="E7" i="19"/>
  <c r="G6" i="19"/>
  <c r="E6" i="19"/>
  <c r="G5" i="19"/>
  <c r="E5" i="19"/>
  <c r="G4" i="19"/>
  <c r="E4" i="19"/>
  <c r="J188" i="6"/>
  <c r="I188" i="6"/>
  <c r="H188" i="6"/>
  <c r="G188" i="6"/>
  <c r="F188" i="6"/>
  <c r="E188" i="6"/>
  <c r="D188" i="6"/>
  <c r="C188" i="6"/>
  <c r="B188" i="6"/>
  <c r="J187" i="6"/>
  <c r="I187" i="6"/>
  <c r="H187" i="6"/>
  <c r="G187" i="6"/>
  <c r="F187" i="6"/>
  <c r="E187" i="6"/>
  <c r="D187" i="6"/>
  <c r="C187" i="6"/>
  <c r="B187" i="6"/>
  <c r="J186" i="6"/>
  <c r="I186" i="6"/>
  <c r="H186" i="6"/>
  <c r="G186" i="6"/>
  <c r="F186" i="6"/>
  <c r="E186" i="6"/>
  <c r="D186" i="6"/>
  <c r="C186" i="6"/>
  <c r="B186" i="6"/>
  <c r="J185" i="6"/>
  <c r="I185" i="6"/>
  <c r="H185" i="6"/>
  <c r="G185" i="6"/>
  <c r="F185" i="6"/>
  <c r="E185" i="6"/>
  <c r="D185" i="6"/>
  <c r="C185" i="6"/>
  <c r="B185" i="6"/>
  <c r="J184" i="6"/>
  <c r="I184" i="6"/>
  <c r="H184" i="6"/>
  <c r="G184" i="6"/>
  <c r="F184" i="6"/>
  <c r="E184" i="6"/>
  <c r="D184" i="6"/>
  <c r="C184" i="6"/>
  <c r="B184" i="6"/>
  <c r="J183" i="6"/>
  <c r="I183" i="6"/>
  <c r="H183" i="6"/>
  <c r="G183" i="6"/>
  <c r="F183" i="6"/>
  <c r="E183" i="6"/>
  <c r="D183" i="6"/>
  <c r="C183" i="6"/>
  <c r="B183" i="6"/>
  <c r="J182" i="6"/>
  <c r="I182" i="6"/>
  <c r="H182" i="6"/>
  <c r="G182" i="6"/>
  <c r="F182" i="6"/>
  <c r="E182" i="6"/>
  <c r="D182" i="6"/>
  <c r="C182" i="6"/>
  <c r="B182" i="6"/>
  <c r="J181" i="6"/>
  <c r="I181" i="6"/>
  <c r="H181" i="6"/>
  <c r="G181" i="6"/>
  <c r="F181" i="6"/>
  <c r="E181" i="6"/>
  <c r="D181" i="6"/>
  <c r="C181" i="6"/>
  <c r="B181" i="6"/>
  <c r="J180" i="6"/>
  <c r="I180" i="6"/>
  <c r="H180" i="6"/>
  <c r="G180" i="6"/>
  <c r="E180" i="6"/>
  <c r="D180" i="6"/>
  <c r="C180" i="6"/>
  <c r="B180" i="6"/>
  <c r="J179" i="6"/>
  <c r="I179" i="6"/>
  <c r="H179" i="6"/>
  <c r="G179" i="6"/>
  <c r="E179" i="6"/>
  <c r="D179" i="6"/>
  <c r="C179" i="6"/>
  <c r="B179" i="6"/>
  <c r="J178" i="6"/>
  <c r="I178" i="6"/>
  <c r="H178" i="6"/>
  <c r="G178" i="6"/>
  <c r="E178" i="6"/>
  <c r="D178" i="6"/>
  <c r="C178" i="6"/>
  <c r="B178" i="6"/>
  <c r="J177" i="6"/>
  <c r="I177" i="6"/>
  <c r="H177" i="6"/>
  <c r="G177" i="6"/>
  <c r="E177" i="6"/>
  <c r="D177" i="6"/>
  <c r="C177" i="6"/>
  <c r="B177" i="6"/>
  <c r="J176" i="6"/>
  <c r="I176" i="6"/>
  <c r="H176" i="6"/>
  <c r="G176" i="6"/>
  <c r="E176" i="6"/>
  <c r="D176" i="6"/>
  <c r="C176" i="6"/>
  <c r="B176" i="6"/>
  <c r="J175" i="6"/>
  <c r="I175" i="6"/>
  <c r="H175" i="6"/>
  <c r="G175" i="6"/>
  <c r="E175" i="6"/>
  <c r="D175" i="6"/>
  <c r="C175" i="6"/>
  <c r="B175" i="6"/>
  <c r="J174" i="6"/>
  <c r="I174" i="6"/>
  <c r="H174" i="6"/>
  <c r="G174" i="6"/>
  <c r="E174" i="6"/>
  <c r="D174" i="6"/>
  <c r="C174" i="6"/>
  <c r="B174" i="6"/>
  <c r="J173" i="6"/>
  <c r="I173" i="6"/>
  <c r="H173" i="6"/>
  <c r="G173" i="6"/>
  <c r="E173" i="6"/>
  <c r="D173" i="6"/>
  <c r="C173" i="6"/>
  <c r="B173" i="6"/>
  <c r="J172" i="6"/>
  <c r="I172" i="6"/>
  <c r="H172" i="6"/>
  <c r="G172" i="6"/>
  <c r="E172" i="6"/>
  <c r="D172" i="6"/>
  <c r="C172" i="6"/>
  <c r="B172" i="6"/>
  <c r="J171" i="6"/>
  <c r="I171" i="6"/>
  <c r="H171" i="6"/>
  <c r="G171" i="6"/>
  <c r="E171" i="6"/>
  <c r="D171" i="6"/>
  <c r="C171" i="6"/>
  <c r="B171" i="6"/>
  <c r="J170" i="6"/>
  <c r="I170" i="6"/>
  <c r="H170" i="6"/>
  <c r="G170" i="6"/>
  <c r="E170" i="6"/>
  <c r="D170" i="6"/>
  <c r="C170" i="6"/>
  <c r="B170" i="6"/>
  <c r="J169" i="6"/>
  <c r="I169" i="6"/>
  <c r="H169" i="6"/>
  <c r="G169" i="6"/>
  <c r="E169" i="6"/>
  <c r="D169" i="6"/>
  <c r="C169" i="6"/>
  <c r="B169" i="6"/>
  <c r="J168" i="6"/>
  <c r="I168" i="6"/>
  <c r="H168" i="6"/>
  <c r="G168" i="6"/>
  <c r="E168" i="6"/>
  <c r="D168" i="6"/>
  <c r="C168" i="6"/>
  <c r="B168" i="6"/>
  <c r="J167" i="6"/>
  <c r="I167" i="6"/>
  <c r="H167" i="6"/>
  <c r="G167" i="6"/>
  <c r="E167" i="6"/>
  <c r="D167" i="6"/>
  <c r="C167" i="6"/>
  <c r="B167" i="6"/>
  <c r="J166" i="6"/>
  <c r="I166" i="6"/>
  <c r="H166" i="6"/>
  <c r="G166" i="6"/>
  <c r="E166" i="6"/>
  <c r="D166" i="6"/>
  <c r="C166" i="6"/>
  <c r="B166" i="6"/>
  <c r="J165" i="6"/>
  <c r="I165" i="6"/>
  <c r="H165" i="6"/>
  <c r="G165" i="6"/>
  <c r="E165" i="6"/>
  <c r="D165" i="6"/>
  <c r="C165" i="6"/>
  <c r="B165" i="6"/>
  <c r="J164" i="6"/>
  <c r="I164" i="6"/>
  <c r="H164" i="6"/>
  <c r="G164" i="6"/>
  <c r="E164" i="6"/>
  <c r="D164" i="6"/>
  <c r="C164" i="6"/>
  <c r="B164" i="6"/>
  <c r="J163" i="6"/>
  <c r="I163" i="6"/>
  <c r="H163" i="6"/>
  <c r="G163" i="6"/>
  <c r="E163" i="6"/>
  <c r="D163" i="6"/>
  <c r="C163" i="6"/>
  <c r="B163" i="6"/>
  <c r="J162" i="6"/>
  <c r="I162" i="6"/>
  <c r="H162" i="6"/>
  <c r="G162" i="6"/>
  <c r="E162" i="6"/>
  <c r="D162" i="6"/>
  <c r="C162" i="6"/>
  <c r="B162" i="6"/>
  <c r="J161" i="6"/>
  <c r="I161" i="6"/>
  <c r="H161" i="6"/>
  <c r="G161" i="6"/>
  <c r="E161" i="6"/>
  <c r="D161" i="6"/>
  <c r="C161" i="6"/>
  <c r="B161" i="6"/>
  <c r="J160" i="6"/>
  <c r="I160" i="6"/>
  <c r="H160" i="6"/>
  <c r="G160" i="6"/>
  <c r="E160" i="6"/>
  <c r="D160" i="6"/>
  <c r="C160" i="6"/>
  <c r="B160" i="6"/>
  <c r="J159" i="6"/>
  <c r="I159" i="6"/>
  <c r="H159" i="6"/>
  <c r="G159" i="6"/>
  <c r="E159" i="6"/>
  <c r="D159" i="6"/>
  <c r="C159" i="6"/>
  <c r="B159" i="6"/>
  <c r="J158" i="6"/>
  <c r="I158" i="6"/>
  <c r="H158" i="6"/>
  <c r="G158" i="6"/>
  <c r="E158" i="6"/>
  <c r="D158" i="6"/>
  <c r="C158" i="6"/>
  <c r="B158" i="6"/>
  <c r="J157" i="6"/>
  <c r="I157" i="6"/>
  <c r="H157" i="6"/>
  <c r="G157" i="6"/>
  <c r="E157" i="6"/>
  <c r="D157" i="6"/>
  <c r="C157" i="6"/>
  <c r="B157" i="6"/>
  <c r="J156" i="6"/>
  <c r="I156" i="6"/>
  <c r="H156" i="6"/>
  <c r="G156" i="6"/>
  <c r="E156" i="6"/>
  <c r="D156" i="6"/>
  <c r="C156" i="6"/>
  <c r="B156" i="6"/>
  <c r="J155" i="6"/>
  <c r="I155" i="6"/>
  <c r="H155" i="6"/>
  <c r="G155" i="6"/>
  <c r="E155" i="6"/>
  <c r="D155" i="6"/>
  <c r="C155" i="6"/>
  <c r="B155" i="6"/>
  <c r="J154" i="6"/>
  <c r="I154" i="6"/>
  <c r="H154" i="6"/>
  <c r="G154" i="6"/>
  <c r="E154" i="6"/>
  <c r="D154" i="6"/>
  <c r="C154" i="6"/>
  <c r="B154" i="6"/>
  <c r="J153" i="6"/>
  <c r="I153" i="6"/>
  <c r="H153" i="6"/>
  <c r="G153" i="6"/>
  <c r="E153" i="6"/>
  <c r="D153" i="6"/>
  <c r="C153" i="6"/>
  <c r="B153" i="6"/>
  <c r="J152" i="6"/>
  <c r="I152" i="6"/>
  <c r="H152" i="6"/>
  <c r="G152" i="6"/>
  <c r="E152" i="6"/>
  <c r="D152" i="6"/>
  <c r="C152" i="6"/>
  <c r="B152" i="6"/>
  <c r="J151" i="6"/>
  <c r="I151" i="6"/>
  <c r="H151" i="6"/>
  <c r="G151" i="6"/>
  <c r="E151" i="6"/>
  <c r="D151" i="6"/>
  <c r="C151" i="6"/>
  <c r="B151" i="6"/>
  <c r="J150" i="6"/>
  <c r="I150" i="6"/>
  <c r="H150" i="6"/>
  <c r="G150" i="6"/>
  <c r="E150" i="6"/>
  <c r="D150" i="6"/>
  <c r="C150" i="6"/>
  <c r="B150" i="6"/>
  <c r="J149" i="6"/>
  <c r="I149" i="6"/>
  <c r="H149" i="6"/>
  <c r="G149" i="6"/>
  <c r="E149" i="6"/>
  <c r="D149" i="6"/>
  <c r="C149" i="6"/>
  <c r="B149" i="6"/>
  <c r="J148" i="6"/>
  <c r="I148" i="6"/>
  <c r="H148" i="6"/>
  <c r="G148" i="6"/>
  <c r="E148" i="6"/>
  <c r="D148" i="6"/>
  <c r="C148" i="6"/>
  <c r="B148" i="6"/>
  <c r="J147" i="6"/>
  <c r="I147" i="6"/>
  <c r="H147" i="6"/>
  <c r="G147" i="6"/>
  <c r="E147" i="6"/>
  <c r="D147" i="6"/>
  <c r="C147" i="6"/>
  <c r="B147" i="6"/>
  <c r="J146" i="6"/>
  <c r="I146" i="6"/>
  <c r="H146" i="6"/>
  <c r="G146" i="6"/>
  <c r="E146" i="6"/>
  <c r="D146" i="6"/>
  <c r="C146" i="6"/>
  <c r="B146" i="6"/>
  <c r="J145" i="6"/>
  <c r="I145" i="6"/>
  <c r="H145" i="6"/>
  <c r="G145" i="6"/>
  <c r="E145" i="6"/>
  <c r="D145" i="6"/>
  <c r="C145" i="6"/>
  <c r="B145" i="6"/>
  <c r="J144" i="6"/>
  <c r="I144" i="6"/>
  <c r="H144" i="6"/>
  <c r="G144" i="6"/>
  <c r="E144" i="6"/>
  <c r="D144" i="6"/>
  <c r="C144" i="6"/>
  <c r="B144" i="6"/>
  <c r="J143" i="6"/>
  <c r="I143" i="6"/>
  <c r="H143" i="6"/>
  <c r="G143" i="6"/>
  <c r="E143" i="6"/>
  <c r="D143" i="6"/>
  <c r="C143" i="6"/>
  <c r="B143" i="6"/>
  <c r="J142" i="6"/>
  <c r="I142" i="6"/>
  <c r="H142" i="6"/>
  <c r="G142" i="6"/>
  <c r="E142" i="6"/>
  <c r="D142" i="6"/>
  <c r="C142" i="6"/>
  <c r="B142" i="6"/>
  <c r="J141" i="6"/>
  <c r="I141" i="6"/>
  <c r="H141" i="6"/>
  <c r="G141" i="6"/>
  <c r="E141" i="6"/>
  <c r="D141" i="6"/>
  <c r="C141" i="6"/>
  <c r="B141" i="6"/>
  <c r="J140" i="6"/>
  <c r="I140" i="6"/>
  <c r="H140" i="6"/>
  <c r="G140" i="6"/>
  <c r="E140" i="6"/>
  <c r="D140" i="6"/>
  <c r="C140" i="6"/>
  <c r="B140" i="6"/>
  <c r="J139" i="6"/>
  <c r="I139" i="6"/>
  <c r="H139" i="6"/>
  <c r="G139" i="6"/>
  <c r="E139" i="6"/>
  <c r="D139" i="6"/>
  <c r="C139" i="6"/>
  <c r="B139" i="6"/>
  <c r="J138" i="6"/>
  <c r="I138" i="6"/>
  <c r="H138" i="6"/>
  <c r="G138" i="6"/>
  <c r="E138" i="6"/>
  <c r="D138" i="6"/>
  <c r="C138" i="6"/>
  <c r="B138" i="6"/>
  <c r="J137" i="6"/>
  <c r="I137" i="6"/>
  <c r="H137" i="6"/>
  <c r="G137" i="6"/>
  <c r="E137" i="6"/>
  <c r="D137" i="6"/>
  <c r="C137" i="6"/>
  <c r="B137" i="6"/>
  <c r="J136" i="6"/>
  <c r="I136" i="6"/>
  <c r="H136" i="6"/>
  <c r="G136" i="6"/>
  <c r="E136" i="6"/>
  <c r="D136" i="6"/>
  <c r="C136" i="6"/>
  <c r="B136" i="6"/>
  <c r="J135" i="6"/>
  <c r="I135" i="6"/>
  <c r="H135" i="6"/>
  <c r="G135" i="6"/>
  <c r="E135" i="6"/>
  <c r="D135" i="6"/>
  <c r="C135" i="6"/>
  <c r="B135" i="6"/>
  <c r="J134" i="6"/>
  <c r="I134" i="6"/>
  <c r="H134" i="6"/>
  <c r="G134" i="6"/>
  <c r="E134" i="6"/>
  <c r="D134" i="6"/>
  <c r="C134" i="6"/>
  <c r="B134" i="6"/>
  <c r="J133" i="6"/>
  <c r="I133" i="6"/>
  <c r="H133" i="6"/>
  <c r="G133" i="6"/>
  <c r="E133" i="6"/>
  <c r="D133" i="6"/>
  <c r="C133" i="6"/>
  <c r="B133" i="6"/>
  <c r="J132" i="6"/>
  <c r="I132" i="6"/>
  <c r="H132" i="6"/>
  <c r="G132" i="6"/>
  <c r="E132" i="6"/>
  <c r="D132" i="6"/>
  <c r="C132" i="6"/>
  <c r="B132" i="6"/>
  <c r="J131" i="6"/>
  <c r="I131" i="6"/>
  <c r="H131" i="6"/>
  <c r="G131" i="6"/>
  <c r="E131" i="6"/>
  <c r="D131" i="6"/>
  <c r="C131" i="6"/>
  <c r="B131" i="6"/>
  <c r="J130" i="6"/>
  <c r="I130" i="6"/>
  <c r="H130" i="6"/>
  <c r="G130" i="6"/>
  <c r="E130" i="6"/>
  <c r="D130" i="6"/>
  <c r="C130" i="6"/>
  <c r="B130" i="6"/>
  <c r="J129" i="6"/>
  <c r="I129" i="6"/>
  <c r="H129" i="6"/>
  <c r="G129" i="6"/>
  <c r="E129" i="6"/>
  <c r="D129" i="6"/>
  <c r="C129" i="6"/>
  <c r="B129" i="6"/>
  <c r="J128" i="6"/>
  <c r="I128" i="6"/>
  <c r="H128" i="6"/>
  <c r="G128" i="6"/>
  <c r="E128" i="6"/>
  <c r="D128" i="6"/>
  <c r="C128" i="6"/>
  <c r="B128" i="6"/>
  <c r="J127" i="6"/>
  <c r="I127" i="6"/>
  <c r="H127" i="6"/>
  <c r="G127" i="6"/>
  <c r="E127" i="6"/>
  <c r="D127" i="6"/>
  <c r="C127" i="6"/>
  <c r="B127" i="6"/>
  <c r="J126" i="6"/>
  <c r="I126" i="6"/>
  <c r="H126" i="6"/>
  <c r="G126" i="6"/>
  <c r="E126" i="6"/>
  <c r="D126" i="6"/>
  <c r="C126" i="6"/>
  <c r="B126" i="6"/>
  <c r="J125" i="6"/>
  <c r="I125" i="6"/>
  <c r="H125" i="6"/>
  <c r="G125" i="6"/>
  <c r="E125" i="6"/>
  <c r="D125" i="6"/>
  <c r="C125" i="6"/>
  <c r="B125" i="6"/>
  <c r="J124" i="6"/>
  <c r="I124" i="6"/>
  <c r="H124" i="6"/>
  <c r="G124" i="6"/>
  <c r="E124" i="6"/>
  <c r="D124" i="6"/>
  <c r="C124" i="6"/>
  <c r="B124" i="6"/>
  <c r="J123" i="6"/>
  <c r="I123" i="6"/>
  <c r="H123" i="6"/>
  <c r="G123" i="6"/>
  <c r="E123" i="6"/>
  <c r="D123" i="6"/>
  <c r="C123" i="6"/>
  <c r="B123" i="6"/>
  <c r="J122" i="6"/>
  <c r="I122" i="6"/>
  <c r="H122" i="6"/>
  <c r="G122" i="6"/>
  <c r="E122" i="6"/>
  <c r="D122" i="6"/>
  <c r="C122" i="6"/>
  <c r="B122" i="6"/>
  <c r="J121" i="6"/>
  <c r="I121" i="6"/>
  <c r="H121" i="6"/>
  <c r="G121" i="6"/>
  <c r="E121" i="6"/>
  <c r="D121" i="6"/>
  <c r="C121" i="6"/>
  <c r="B121" i="6"/>
  <c r="J120" i="6"/>
  <c r="I120" i="6"/>
  <c r="H120" i="6"/>
  <c r="G120" i="6"/>
  <c r="E120" i="6"/>
  <c r="D120" i="6"/>
  <c r="C120" i="6"/>
  <c r="B120" i="6"/>
  <c r="J119" i="6"/>
  <c r="I119" i="6"/>
  <c r="H119" i="6"/>
  <c r="G119" i="6"/>
  <c r="E119" i="6"/>
  <c r="D119" i="6"/>
  <c r="C119" i="6"/>
  <c r="B119" i="6"/>
  <c r="J118" i="6"/>
  <c r="I118" i="6"/>
  <c r="H118" i="6"/>
  <c r="G118" i="6"/>
  <c r="E118" i="6"/>
  <c r="D118" i="6"/>
  <c r="C118" i="6"/>
  <c r="B118" i="6"/>
  <c r="J117" i="6"/>
  <c r="I117" i="6"/>
  <c r="H117" i="6"/>
  <c r="G117" i="6"/>
  <c r="E117" i="6"/>
  <c r="D117" i="6"/>
  <c r="C117" i="6"/>
  <c r="B117" i="6"/>
  <c r="J116" i="6"/>
  <c r="I116" i="6"/>
  <c r="H116" i="6"/>
  <c r="G116" i="6"/>
  <c r="E116" i="6"/>
  <c r="D116" i="6"/>
  <c r="C116" i="6"/>
  <c r="B116" i="6"/>
  <c r="J115" i="6"/>
  <c r="I115" i="6"/>
  <c r="H115" i="6"/>
  <c r="G115" i="6"/>
  <c r="E115" i="6"/>
  <c r="D115" i="6"/>
  <c r="C115" i="6"/>
  <c r="B115" i="6"/>
  <c r="J114" i="6"/>
  <c r="I114" i="6"/>
  <c r="H114" i="6"/>
  <c r="G114" i="6"/>
  <c r="E114" i="6"/>
  <c r="D114" i="6"/>
  <c r="C114" i="6"/>
  <c r="B114" i="6"/>
  <c r="J113" i="6"/>
  <c r="I113" i="6"/>
  <c r="H113" i="6"/>
  <c r="G113" i="6"/>
  <c r="E113" i="6"/>
  <c r="D113" i="6"/>
  <c r="C113" i="6"/>
  <c r="B113" i="6"/>
  <c r="J112" i="6"/>
  <c r="I112" i="6"/>
  <c r="H112" i="6"/>
  <c r="G112" i="6"/>
  <c r="E112" i="6"/>
  <c r="D112" i="6"/>
  <c r="C112" i="6"/>
  <c r="B112" i="6"/>
  <c r="J111" i="6"/>
  <c r="I111" i="6"/>
  <c r="H111" i="6"/>
  <c r="G111" i="6"/>
  <c r="E111" i="6"/>
  <c r="D111" i="6"/>
  <c r="C111" i="6"/>
  <c r="B111" i="6"/>
  <c r="J110" i="6"/>
  <c r="I110" i="6"/>
  <c r="H110" i="6"/>
  <c r="G110" i="6"/>
  <c r="E110" i="6"/>
  <c r="D110" i="6"/>
  <c r="C110" i="6"/>
  <c r="B110" i="6"/>
  <c r="J109" i="6"/>
  <c r="I109" i="6"/>
  <c r="H109" i="6"/>
  <c r="G109" i="6"/>
  <c r="E109" i="6"/>
  <c r="D109" i="6"/>
  <c r="C109" i="6"/>
  <c r="B109" i="6"/>
  <c r="J108" i="6"/>
  <c r="I108" i="6"/>
  <c r="H108" i="6"/>
  <c r="G108" i="6"/>
  <c r="E108" i="6"/>
  <c r="D108" i="6"/>
  <c r="C108" i="6"/>
  <c r="B108" i="6"/>
  <c r="J107" i="6"/>
  <c r="I107" i="6"/>
  <c r="H107" i="6"/>
  <c r="G107" i="6"/>
  <c r="E107" i="6"/>
  <c r="D107" i="6"/>
  <c r="C107" i="6"/>
  <c r="B107" i="6"/>
  <c r="J106" i="6"/>
  <c r="I106" i="6"/>
  <c r="H106" i="6"/>
  <c r="G106" i="6"/>
  <c r="E106" i="6"/>
  <c r="D106" i="6"/>
  <c r="C106" i="6"/>
  <c r="B106" i="6"/>
  <c r="J105" i="6"/>
  <c r="I105" i="6"/>
  <c r="H105" i="6"/>
  <c r="G105" i="6"/>
  <c r="E105" i="6"/>
  <c r="D105" i="6"/>
  <c r="C105" i="6"/>
  <c r="B105" i="6"/>
  <c r="J104" i="6"/>
  <c r="I104" i="6"/>
  <c r="H104" i="6"/>
  <c r="G104" i="6"/>
  <c r="E104" i="6"/>
  <c r="D104" i="6"/>
  <c r="C104" i="6"/>
  <c r="B104" i="6"/>
  <c r="J103" i="6"/>
  <c r="I103" i="6"/>
  <c r="H103" i="6"/>
  <c r="G103" i="6"/>
  <c r="E103" i="6"/>
  <c r="D103" i="6"/>
  <c r="C103" i="6"/>
  <c r="B103" i="6"/>
  <c r="J102" i="6"/>
  <c r="I102" i="6"/>
  <c r="H102" i="6"/>
  <c r="G102" i="6"/>
  <c r="E102" i="6"/>
  <c r="D102" i="6"/>
  <c r="C102" i="6"/>
  <c r="B102" i="6"/>
  <c r="J101" i="6"/>
  <c r="I101" i="6"/>
  <c r="H101" i="6"/>
  <c r="G101" i="6"/>
  <c r="E101" i="6"/>
  <c r="D101" i="6"/>
  <c r="C101" i="6"/>
  <c r="B101" i="6"/>
  <c r="J100" i="6"/>
  <c r="I100" i="6"/>
  <c r="H100" i="6"/>
  <c r="G100" i="6"/>
  <c r="E100" i="6"/>
  <c r="D100" i="6"/>
  <c r="C100" i="6"/>
  <c r="B100" i="6"/>
  <c r="J99" i="6"/>
  <c r="I99" i="6"/>
  <c r="H99" i="6"/>
  <c r="G99" i="6"/>
  <c r="E99" i="6"/>
  <c r="D99" i="6"/>
  <c r="C99" i="6"/>
  <c r="B99" i="6"/>
  <c r="J98" i="6"/>
  <c r="I98" i="6"/>
  <c r="H98" i="6"/>
  <c r="G98" i="6"/>
  <c r="E98" i="6"/>
  <c r="D98" i="6"/>
  <c r="C98" i="6"/>
  <c r="B98" i="6"/>
  <c r="J97" i="6"/>
  <c r="I97" i="6"/>
  <c r="H97" i="6"/>
  <c r="G97" i="6"/>
  <c r="E97" i="6"/>
  <c r="D97" i="6"/>
  <c r="C97" i="6"/>
  <c r="B97" i="6"/>
  <c r="J96" i="6"/>
  <c r="I96" i="6"/>
  <c r="H96" i="6"/>
  <c r="G96" i="6"/>
  <c r="E96" i="6"/>
  <c r="D96" i="6"/>
  <c r="C96" i="6"/>
  <c r="B96" i="6"/>
  <c r="J95" i="6"/>
  <c r="I95" i="6"/>
  <c r="H95" i="6"/>
  <c r="G95" i="6"/>
  <c r="E95" i="6"/>
  <c r="D95" i="6"/>
  <c r="C95" i="6"/>
  <c r="B95" i="6"/>
  <c r="J94" i="6"/>
  <c r="I94" i="6"/>
  <c r="H94" i="6"/>
  <c r="G94" i="6"/>
  <c r="E94" i="6"/>
  <c r="D94" i="6"/>
  <c r="C94" i="6"/>
  <c r="B94" i="6"/>
  <c r="J93" i="6"/>
  <c r="I93" i="6"/>
  <c r="H93" i="6"/>
  <c r="G93" i="6"/>
  <c r="E93" i="6"/>
  <c r="D93" i="6"/>
  <c r="C93" i="6"/>
  <c r="B93" i="6"/>
  <c r="J92" i="6"/>
  <c r="I92" i="6"/>
  <c r="H92" i="6"/>
  <c r="G92" i="6"/>
  <c r="E92" i="6"/>
  <c r="D92" i="6"/>
  <c r="C92" i="6"/>
  <c r="B92" i="6"/>
  <c r="J91" i="6"/>
  <c r="I91" i="6"/>
  <c r="H91" i="6"/>
  <c r="G91" i="6"/>
  <c r="E91" i="6"/>
  <c r="D91" i="6"/>
  <c r="C91" i="6"/>
  <c r="B91" i="6"/>
  <c r="J90" i="6"/>
  <c r="I90" i="6"/>
  <c r="H90" i="6"/>
  <c r="G90" i="6"/>
  <c r="E90" i="6"/>
  <c r="D90" i="6"/>
  <c r="C90" i="6"/>
  <c r="B90" i="6"/>
  <c r="J89" i="6"/>
  <c r="I89" i="6"/>
  <c r="H89" i="6"/>
  <c r="G89" i="6"/>
  <c r="E89" i="6"/>
  <c r="D89" i="6"/>
  <c r="C89" i="6"/>
  <c r="B89" i="6"/>
  <c r="J88" i="6"/>
  <c r="I88" i="6"/>
  <c r="H88" i="6"/>
  <c r="G88" i="6"/>
  <c r="E88" i="6"/>
  <c r="D88" i="6"/>
  <c r="C88" i="6"/>
  <c r="B88" i="6"/>
  <c r="J87" i="6"/>
  <c r="I87" i="6"/>
  <c r="H87" i="6"/>
  <c r="G87" i="6"/>
  <c r="E87" i="6"/>
  <c r="D87" i="6"/>
  <c r="C87" i="6"/>
  <c r="B87" i="6"/>
  <c r="J86" i="6"/>
  <c r="I86" i="6"/>
  <c r="H86" i="6"/>
  <c r="G86" i="6"/>
  <c r="E86" i="6"/>
  <c r="D86" i="6"/>
  <c r="C86" i="6"/>
  <c r="B86" i="6"/>
  <c r="J85" i="6"/>
  <c r="I85" i="6"/>
  <c r="H85" i="6"/>
  <c r="G85" i="6"/>
  <c r="E85" i="6"/>
  <c r="D85" i="6"/>
  <c r="C85" i="6"/>
  <c r="B85" i="6"/>
  <c r="J84" i="6"/>
  <c r="I84" i="6"/>
  <c r="H84" i="6"/>
  <c r="G84" i="6"/>
  <c r="E84" i="6"/>
  <c r="D84" i="6"/>
  <c r="C84" i="6"/>
  <c r="B84" i="6"/>
  <c r="J83" i="6"/>
  <c r="I83" i="6"/>
  <c r="H83" i="6"/>
  <c r="G83" i="6"/>
  <c r="E83" i="6"/>
  <c r="D83" i="6"/>
  <c r="C83" i="6"/>
  <c r="B83" i="6"/>
  <c r="J82" i="6"/>
  <c r="I82" i="6"/>
  <c r="H82" i="6"/>
  <c r="G82" i="6"/>
  <c r="E82" i="6"/>
  <c r="D82" i="6"/>
  <c r="C82" i="6"/>
  <c r="B82" i="6"/>
  <c r="J81" i="6"/>
  <c r="I81" i="6"/>
  <c r="H81" i="6"/>
  <c r="G81" i="6"/>
  <c r="E81" i="6"/>
  <c r="D81" i="6"/>
  <c r="C81" i="6"/>
  <c r="B81" i="6"/>
  <c r="J80" i="6"/>
  <c r="I80" i="6"/>
  <c r="H80" i="6"/>
  <c r="G80" i="6"/>
  <c r="E80" i="6"/>
  <c r="D80" i="6"/>
  <c r="C80" i="6"/>
  <c r="B80" i="6"/>
  <c r="J79" i="6"/>
  <c r="I79" i="6"/>
  <c r="H79" i="6"/>
  <c r="G79" i="6"/>
  <c r="E79" i="6"/>
  <c r="D79" i="6"/>
  <c r="C79" i="6"/>
  <c r="B79" i="6"/>
  <c r="J78" i="6"/>
  <c r="I78" i="6"/>
  <c r="H78" i="6"/>
  <c r="G78" i="6"/>
  <c r="E78" i="6"/>
  <c r="D78" i="6"/>
  <c r="C78" i="6"/>
  <c r="B78" i="6"/>
  <c r="J77" i="6"/>
  <c r="I77" i="6"/>
  <c r="H77" i="6"/>
  <c r="G77" i="6"/>
  <c r="E77" i="6"/>
  <c r="D77" i="6"/>
  <c r="C77" i="6"/>
  <c r="B77" i="6"/>
  <c r="J76" i="6"/>
  <c r="I76" i="6"/>
  <c r="H76" i="6"/>
  <c r="G76" i="6"/>
  <c r="E76" i="6"/>
  <c r="D76" i="6"/>
  <c r="C76" i="6"/>
  <c r="B76" i="6"/>
  <c r="J75" i="6"/>
  <c r="I75" i="6"/>
  <c r="H75" i="6"/>
  <c r="G75" i="6"/>
  <c r="E75" i="6"/>
  <c r="D75" i="6"/>
  <c r="C75" i="6"/>
  <c r="B75" i="6"/>
  <c r="J74" i="6"/>
  <c r="I74" i="6"/>
  <c r="H74" i="6"/>
  <c r="G74" i="6"/>
  <c r="E74" i="6"/>
  <c r="D74" i="6"/>
  <c r="C74" i="6"/>
  <c r="B74" i="6"/>
  <c r="J73" i="6"/>
  <c r="I73" i="6"/>
  <c r="H73" i="6"/>
  <c r="G73" i="6"/>
  <c r="E73" i="6"/>
  <c r="D73" i="6"/>
  <c r="C73" i="6"/>
  <c r="B73" i="6"/>
  <c r="J72" i="6"/>
  <c r="I72" i="6"/>
  <c r="H72" i="6"/>
  <c r="G72" i="6"/>
  <c r="E72" i="6"/>
  <c r="D72" i="6"/>
  <c r="C72" i="6"/>
  <c r="B72" i="6"/>
  <c r="J71" i="6"/>
  <c r="I71" i="6"/>
  <c r="H71" i="6"/>
  <c r="G71" i="6"/>
  <c r="E71" i="6"/>
  <c r="D71" i="6"/>
  <c r="C71" i="6"/>
  <c r="B71" i="6"/>
  <c r="J70" i="6"/>
  <c r="I70" i="6"/>
  <c r="H70" i="6"/>
  <c r="G70" i="6"/>
  <c r="E70" i="6"/>
  <c r="D70" i="6"/>
  <c r="C70" i="6"/>
  <c r="B70" i="6"/>
  <c r="J69" i="6"/>
  <c r="I69" i="6"/>
  <c r="H69" i="6"/>
  <c r="G69" i="6"/>
  <c r="E69" i="6"/>
  <c r="D69" i="6"/>
  <c r="C69" i="6"/>
  <c r="B69" i="6"/>
  <c r="J68" i="6"/>
  <c r="I68" i="6"/>
  <c r="H68" i="6"/>
  <c r="G68" i="6"/>
  <c r="E68" i="6"/>
  <c r="D68" i="6"/>
  <c r="C68" i="6"/>
  <c r="B68" i="6"/>
  <c r="J67" i="6"/>
  <c r="I67" i="6"/>
  <c r="H67" i="6"/>
  <c r="G67" i="6"/>
  <c r="E67" i="6"/>
  <c r="D67" i="6"/>
  <c r="C67" i="6"/>
  <c r="B67" i="6"/>
  <c r="J66" i="6"/>
  <c r="I66" i="6"/>
  <c r="H66" i="6"/>
  <c r="G66" i="6"/>
  <c r="E66" i="6"/>
  <c r="D66" i="6"/>
  <c r="C66" i="6"/>
  <c r="B66" i="6"/>
  <c r="J65" i="6"/>
  <c r="I65" i="6"/>
  <c r="H65" i="6"/>
  <c r="G65" i="6"/>
  <c r="E65" i="6"/>
  <c r="D65" i="6"/>
  <c r="C65" i="6"/>
  <c r="B65" i="6"/>
  <c r="J64" i="6"/>
  <c r="I64" i="6"/>
  <c r="H64" i="6"/>
  <c r="G64" i="6"/>
  <c r="E64" i="6"/>
  <c r="D64" i="6"/>
  <c r="C64" i="6"/>
  <c r="B64" i="6"/>
  <c r="J63" i="6"/>
  <c r="I63" i="6"/>
  <c r="H63" i="6"/>
  <c r="G63" i="6"/>
  <c r="E63" i="6"/>
  <c r="D63" i="6"/>
  <c r="C63" i="6"/>
  <c r="B63" i="6"/>
  <c r="J62" i="6"/>
  <c r="I62" i="6"/>
  <c r="H62" i="6"/>
  <c r="G62" i="6"/>
  <c r="E62" i="6"/>
  <c r="D62" i="6"/>
  <c r="C62" i="6"/>
  <c r="B62" i="6"/>
  <c r="J61" i="6"/>
  <c r="I61" i="6"/>
  <c r="H61" i="6"/>
  <c r="G61" i="6"/>
  <c r="E61" i="6"/>
  <c r="D61" i="6"/>
  <c r="C61" i="6"/>
  <c r="B61" i="6"/>
  <c r="J60" i="6"/>
  <c r="I60" i="6"/>
  <c r="H60" i="6"/>
  <c r="G60" i="6"/>
  <c r="E60" i="6"/>
  <c r="D60" i="6"/>
  <c r="C60" i="6"/>
  <c r="B60" i="6"/>
  <c r="J59" i="6"/>
  <c r="I59" i="6"/>
  <c r="H59" i="6"/>
  <c r="G59" i="6"/>
  <c r="E59" i="6"/>
  <c r="D59" i="6"/>
  <c r="C59" i="6"/>
  <c r="B59" i="6"/>
  <c r="J58" i="6"/>
  <c r="I58" i="6"/>
  <c r="H58" i="6"/>
  <c r="G58" i="6"/>
  <c r="E58" i="6"/>
  <c r="D58" i="6"/>
  <c r="C58" i="6"/>
  <c r="B58" i="6"/>
  <c r="J57" i="6"/>
  <c r="I57" i="6"/>
  <c r="H57" i="6"/>
  <c r="G57" i="6"/>
  <c r="E57" i="6"/>
  <c r="D57" i="6"/>
  <c r="C57" i="6"/>
  <c r="B57" i="6"/>
  <c r="J56" i="6"/>
  <c r="I56" i="6"/>
  <c r="H56" i="6"/>
  <c r="G56" i="6"/>
  <c r="E56" i="6"/>
  <c r="D56" i="6"/>
  <c r="C56" i="6"/>
  <c r="B56" i="6"/>
  <c r="J55" i="6"/>
  <c r="I55" i="6"/>
  <c r="H55" i="6"/>
  <c r="G55" i="6"/>
  <c r="E55" i="6"/>
  <c r="D55" i="6"/>
  <c r="C55" i="6"/>
  <c r="B55" i="6"/>
  <c r="J54" i="6"/>
  <c r="I54" i="6"/>
  <c r="H54" i="6"/>
  <c r="G54" i="6"/>
  <c r="E54" i="6"/>
  <c r="D54" i="6"/>
  <c r="C54" i="6"/>
  <c r="B54" i="6"/>
  <c r="J53" i="6"/>
  <c r="I53" i="6"/>
  <c r="H53" i="6"/>
  <c r="G53" i="6"/>
  <c r="E53" i="6"/>
  <c r="D53" i="6"/>
  <c r="C53" i="6"/>
  <c r="B53" i="6"/>
  <c r="J52" i="6"/>
  <c r="I52" i="6"/>
  <c r="H52" i="6"/>
  <c r="G52" i="6"/>
  <c r="E52" i="6"/>
  <c r="D52" i="6"/>
  <c r="C52" i="6"/>
  <c r="B52" i="6"/>
  <c r="J51" i="6"/>
  <c r="I51" i="6"/>
  <c r="H51" i="6"/>
  <c r="G51" i="6"/>
  <c r="E51" i="6"/>
  <c r="D51" i="6"/>
  <c r="C51" i="6"/>
  <c r="B51" i="6"/>
  <c r="J50" i="6"/>
  <c r="I50" i="6"/>
  <c r="H50" i="6"/>
  <c r="G50" i="6"/>
  <c r="E50" i="6"/>
  <c r="D50" i="6"/>
  <c r="C50" i="6"/>
  <c r="B50" i="6"/>
  <c r="J49" i="6"/>
  <c r="I49" i="6"/>
  <c r="H49" i="6"/>
  <c r="G49" i="6"/>
  <c r="E49" i="6"/>
  <c r="D49" i="6"/>
  <c r="C49" i="6"/>
  <c r="B49" i="6"/>
  <c r="J48" i="6"/>
  <c r="I48" i="6"/>
  <c r="H48" i="6"/>
  <c r="G48" i="6"/>
  <c r="E48" i="6"/>
  <c r="D48" i="6"/>
  <c r="C48" i="6"/>
  <c r="B48" i="6"/>
  <c r="J47" i="6"/>
  <c r="I47" i="6"/>
  <c r="H47" i="6"/>
  <c r="G47" i="6"/>
  <c r="E47" i="6"/>
  <c r="D47" i="6"/>
  <c r="C47" i="6"/>
  <c r="B47" i="6"/>
  <c r="J46" i="6"/>
  <c r="I46" i="6"/>
  <c r="H46" i="6"/>
  <c r="G46" i="6"/>
  <c r="E46" i="6"/>
  <c r="D46" i="6"/>
  <c r="C46" i="6"/>
  <c r="B46" i="6"/>
  <c r="J45" i="6"/>
  <c r="I45" i="6"/>
  <c r="H45" i="6"/>
  <c r="G45" i="6"/>
  <c r="E45" i="6"/>
  <c r="D45" i="6"/>
  <c r="C45" i="6"/>
  <c r="B45" i="6"/>
  <c r="J44" i="6"/>
  <c r="I44" i="6"/>
  <c r="H44" i="6"/>
  <c r="G44" i="6"/>
  <c r="E44" i="6"/>
  <c r="D44" i="6"/>
  <c r="C44" i="6"/>
  <c r="B44" i="6"/>
  <c r="J43" i="6"/>
  <c r="I43" i="6"/>
  <c r="H43" i="6"/>
  <c r="G43" i="6"/>
  <c r="E43" i="6"/>
  <c r="D43" i="6"/>
  <c r="C43" i="6"/>
  <c r="B43" i="6"/>
  <c r="J42" i="6"/>
  <c r="I42" i="6"/>
  <c r="H42" i="6"/>
  <c r="G42" i="6"/>
  <c r="E42" i="6"/>
  <c r="D42" i="6"/>
  <c r="C42" i="6"/>
  <c r="B42" i="6"/>
  <c r="J41" i="6"/>
  <c r="I41" i="6"/>
  <c r="H41" i="6"/>
  <c r="G41" i="6"/>
  <c r="E41" i="6"/>
  <c r="D41" i="6"/>
  <c r="C41" i="6"/>
  <c r="B41" i="6"/>
  <c r="J40" i="6"/>
  <c r="I40" i="6"/>
  <c r="H40" i="6"/>
  <c r="G40" i="6"/>
  <c r="E40" i="6"/>
  <c r="D40" i="6"/>
  <c r="C40" i="6"/>
  <c r="B40" i="6"/>
  <c r="J39" i="6"/>
  <c r="I39" i="6"/>
  <c r="H39" i="6"/>
  <c r="G39" i="6"/>
  <c r="E39" i="6"/>
  <c r="D39" i="6"/>
  <c r="C39" i="6"/>
  <c r="B39" i="6"/>
  <c r="J38" i="6"/>
  <c r="I38" i="6"/>
  <c r="H38" i="6"/>
  <c r="G38" i="6"/>
  <c r="E38" i="6"/>
  <c r="D38" i="6"/>
  <c r="C38" i="6"/>
  <c r="B38" i="6"/>
  <c r="J37" i="6"/>
  <c r="I37" i="6"/>
  <c r="H37" i="6"/>
  <c r="G37" i="6"/>
  <c r="E37" i="6"/>
  <c r="D37" i="6"/>
  <c r="C37" i="6"/>
  <c r="B37" i="6"/>
  <c r="J36" i="6"/>
  <c r="I36" i="6"/>
  <c r="H36" i="6"/>
  <c r="G36" i="6"/>
  <c r="E36" i="6"/>
  <c r="D36" i="6"/>
  <c r="C36" i="6"/>
  <c r="B36" i="6"/>
  <c r="J35" i="6"/>
  <c r="I35" i="6"/>
  <c r="H35" i="6"/>
  <c r="G35" i="6"/>
  <c r="E35" i="6"/>
  <c r="D35" i="6"/>
  <c r="C35" i="6"/>
  <c r="B35" i="6"/>
  <c r="J34" i="6"/>
  <c r="I34" i="6"/>
  <c r="H34" i="6"/>
  <c r="G34" i="6"/>
  <c r="E34" i="6"/>
  <c r="D34" i="6"/>
  <c r="C34" i="6"/>
  <c r="B34" i="6"/>
  <c r="J33" i="6"/>
  <c r="I33" i="6"/>
  <c r="H33" i="6"/>
  <c r="G33" i="6"/>
  <c r="E33" i="6"/>
  <c r="D33" i="6"/>
  <c r="C33" i="6"/>
  <c r="B33" i="6"/>
  <c r="J32" i="6"/>
  <c r="I32" i="6"/>
  <c r="H32" i="6"/>
  <c r="G32" i="6"/>
  <c r="E32" i="6"/>
  <c r="D32" i="6"/>
  <c r="C32" i="6"/>
  <c r="B32" i="6"/>
  <c r="J31" i="6"/>
  <c r="I31" i="6"/>
  <c r="H31" i="6"/>
  <c r="G31" i="6"/>
  <c r="E31" i="6"/>
  <c r="D31" i="6"/>
  <c r="C31" i="6"/>
  <c r="B31" i="6"/>
  <c r="J30" i="6"/>
  <c r="I30" i="6"/>
  <c r="H30" i="6"/>
  <c r="G30" i="6"/>
  <c r="E30" i="6"/>
  <c r="D30" i="6"/>
  <c r="C30" i="6"/>
  <c r="B30" i="6"/>
  <c r="J29" i="6"/>
  <c r="I29" i="6"/>
  <c r="H29" i="6"/>
  <c r="G29" i="6"/>
  <c r="E29" i="6"/>
  <c r="D29" i="6"/>
  <c r="C29" i="6"/>
  <c r="B29" i="6"/>
  <c r="J28" i="6"/>
  <c r="I28" i="6"/>
  <c r="H28" i="6"/>
  <c r="G28" i="6"/>
  <c r="E28" i="6"/>
  <c r="D28" i="6"/>
  <c r="C28" i="6"/>
  <c r="B28" i="6"/>
  <c r="J27" i="6"/>
  <c r="I27" i="6"/>
  <c r="H27" i="6"/>
  <c r="G27" i="6"/>
  <c r="E27" i="6"/>
  <c r="D27" i="6"/>
  <c r="C27" i="6"/>
  <c r="B27" i="6"/>
  <c r="J26" i="6"/>
  <c r="I26" i="6"/>
  <c r="H26" i="6"/>
  <c r="G26" i="6"/>
  <c r="E26" i="6"/>
  <c r="D26" i="6"/>
  <c r="C26" i="6"/>
  <c r="B26" i="6"/>
  <c r="J25" i="6"/>
  <c r="I25" i="6"/>
  <c r="H25" i="6"/>
  <c r="G25" i="6"/>
  <c r="E25" i="6"/>
  <c r="D25" i="6"/>
  <c r="C25" i="6"/>
  <c r="B25" i="6"/>
  <c r="J24" i="6"/>
  <c r="I24" i="6"/>
  <c r="H24" i="6"/>
  <c r="G24" i="6"/>
  <c r="E24" i="6"/>
  <c r="D24" i="6"/>
  <c r="C24" i="6"/>
  <c r="B24" i="6"/>
  <c r="J23" i="6"/>
  <c r="I23" i="6"/>
  <c r="H23" i="6"/>
  <c r="G23" i="6"/>
  <c r="E23" i="6"/>
  <c r="D23" i="6"/>
  <c r="C23" i="6"/>
  <c r="B23" i="6"/>
  <c r="J22" i="6"/>
  <c r="I22" i="6"/>
  <c r="H22" i="6"/>
  <c r="G22" i="6"/>
  <c r="E22" i="6"/>
  <c r="D22" i="6"/>
  <c r="C22" i="6"/>
  <c r="B22" i="6"/>
  <c r="J21" i="6"/>
  <c r="I21" i="6"/>
  <c r="H21" i="6"/>
  <c r="G21" i="6"/>
  <c r="E21" i="6"/>
  <c r="D21" i="6"/>
  <c r="C21" i="6"/>
  <c r="B21" i="6"/>
  <c r="J20" i="6"/>
  <c r="I20" i="6"/>
  <c r="H20" i="6"/>
  <c r="G20" i="6"/>
  <c r="E20" i="6"/>
  <c r="D20" i="6"/>
  <c r="C20" i="6"/>
  <c r="B20" i="6"/>
  <c r="J19" i="6"/>
  <c r="I19" i="6"/>
  <c r="H19" i="6"/>
  <c r="G19" i="6"/>
  <c r="E19" i="6"/>
  <c r="D19" i="6"/>
  <c r="C19" i="6"/>
  <c r="B19" i="6"/>
  <c r="J18" i="6"/>
  <c r="I18" i="6"/>
  <c r="H18" i="6"/>
  <c r="G18" i="6"/>
  <c r="E18" i="6"/>
  <c r="D18" i="6"/>
  <c r="C18" i="6"/>
  <c r="B18" i="6"/>
  <c r="J17" i="6"/>
  <c r="I17" i="6"/>
  <c r="H17" i="6"/>
  <c r="G17" i="6"/>
  <c r="E17" i="6"/>
  <c r="D17" i="6"/>
  <c r="C17" i="6"/>
  <c r="B17" i="6"/>
  <c r="J16" i="6"/>
  <c r="I16" i="6"/>
  <c r="H16" i="6"/>
  <c r="G16" i="6"/>
  <c r="E16" i="6"/>
  <c r="D16" i="6"/>
  <c r="C16" i="6"/>
  <c r="B16" i="6"/>
  <c r="J15" i="6"/>
  <c r="I15" i="6"/>
  <c r="H15" i="6"/>
  <c r="G15" i="6"/>
  <c r="E15" i="6"/>
  <c r="D15" i="6"/>
  <c r="C15" i="6"/>
  <c r="B15" i="6"/>
  <c r="J14" i="6"/>
  <c r="I14" i="6"/>
  <c r="H14" i="6"/>
  <c r="G14" i="6"/>
  <c r="E14" i="6"/>
  <c r="D14" i="6"/>
  <c r="C14" i="6"/>
  <c r="B14" i="6"/>
  <c r="J13" i="6"/>
  <c r="I13" i="6"/>
  <c r="H13" i="6"/>
  <c r="G13" i="6"/>
  <c r="E13" i="6"/>
  <c r="D13" i="6"/>
  <c r="C13" i="6"/>
  <c r="B13" i="6"/>
  <c r="J12" i="6"/>
  <c r="I12" i="6"/>
  <c r="H12" i="6"/>
  <c r="G12" i="6"/>
  <c r="E12" i="6"/>
  <c r="D12" i="6"/>
  <c r="C12" i="6"/>
  <c r="B12" i="6"/>
  <c r="J11" i="6"/>
  <c r="I11" i="6"/>
  <c r="H11" i="6"/>
  <c r="G11" i="6"/>
  <c r="E11" i="6"/>
  <c r="D11" i="6"/>
  <c r="C11" i="6"/>
  <c r="B11" i="6"/>
  <c r="J10" i="6"/>
  <c r="I10" i="6"/>
  <c r="H10" i="6"/>
  <c r="G10" i="6"/>
  <c r="E10" i="6"/>
  <c r="D10" i="6"/>
  <c r="C10" i="6"/>
  <c r="B10" i="6"/>
  <c r="J9" i="6"/>
  <c r="I9" i="6"/>
  <c r="H9" i="6"/>
  <c r="G9" i="6"/>
  <c r="E9" i="6"/>
  <c r="D9" i="6"/>
  <c r="C9" i="6"/>
  <c r="B9" i="6"/>
  <c r="J8" i="6"/>
  <c r="I8" i="6"/>
  <c r="H8" i="6"/>
  <c r="G8" i="6"/>
  <c r="E8" i="6"/>
  <c r="D8" i="6"/>
  <c r="C8" i="6"/>
  <c r="B8" i="6"/>
  <c r="J7" i="6"/>
  <c r="I7" i="6"/>
  <c r="H7" i="6"/>
  <c r="G7" i="6"/>
  <c r="E7" i="6"/>
  <c r="D7" i="6"/>
  <c r="C7" i="6"/>
  <c r="B7" i="6"/>
  <c r="J6" i="6"/>
  <c r="I6" i="6"/>
  <c r="H6" i="6"/>
  <c r="G6" i="6"/>
  <c r="E6" i="6"/>
  <c r="D6" i="6"/>
  <c r="C6" i="6"/>
  <c r="B6" i="6"/>
  <c r="J5" i="6"/>
  <c r="I5" i="6"/>
  <c r="H5" i="6"/>
  <c r="G5" i="6"/>
  <c r="E5" i="6"/>
  <c r="D5" i="6"/>
  <c r="C5" i="6"/>
  <c r="B5" i="6"/>
  <c r="J4" i="6"/>
  <c r="I4" i="6"/>
  <c r="H4" i="6"/>
  <c r="G4" i="6"/>
  <c r="E4" i="6"/>
  <c r="D4" i="6"/>
  <c r="C4" i="6"/>
  <c r="B4" i="6"/>
  <c r="J3" i="6"/>
  <c r="I3" i="6"/>
  <c r="H3" i="6"/>
  <c r="G3" i="6"/>
  <c r="E3" i="6"/>
  <c r="D3" i="6"/>
  <c r="C3" i="6"/>
  <c r="B3" i="6"/>
  <c r="J2" i="6"/>
  <c r="I2" i="6"/>
  <c r="H2" i="6"/>
  <c r="G2" i="6"/>
  <c r="E2" i="6"/>
  <c r="D2" i="6"/>
  <c r="C2" i="6"/>
  <c r="B2" i="6"/>
  <c r="N189" i="4"/>
  <c r="M189" i="4"/>
  <c r="L189" i="4"/>
  <c r="K189" i="4"/>
  <c r="J189" i="4"/>
  <c r="I189" i="4"/>
  <c r="H189" i="4"/>
  <c r="G189" i="4"/>
  <c r="F189" i="4"/>
  <c r="E189" i="4"/>
  <c r="C189" i="4"/>
  <c r="B189" i="4"/>
  <c r="A189" i="4"/>
  <c r="N188" i="4"/>
  <c r="M188" i="4"/>
  <c r="L188" i="4"/>
  <c r="K188" i="4"/>
  <c r="J188" i="4"/>
  <c r="I188" i="4"/>
  <c r="H188" i="4"/>
  <c r="G188" i="4"/>
  <c r="F188" i="4"/>
  <c r="E188" i="4"/>
  <c r="C188" i="4"/>
  <c r="B188" i="4"/>
  <c r="A188" i="4"/>
  <c r="N187" i="4"/>
  <c r="M187" i="4"/>
  <c r="L187" i="4"/>
  <c r="K187" i="4"/>
  <c r="J187" i="4"/>
  <c r="I187" i="4"/>
  <c r="H187" i="4"/>
  <c r="G187" i="4"/>
  <c r="F187" i="4"/>
  <c r="E187" i="4"/>
  <c r="C187" i="4"/>
  <c r="B187" i="4"/>
  <c r="A187" i="4"/>
  <c r="N186" i="4"/>
  <c r="M186" i="4"/>
  <c r="L186" i="4"/>
  <c r="K186" i="4"/>
  <c r="J186" i="4"/>
  <c r="I186" i="4"/>
  <c r="H186" i="4"/>
  <c r="G186" i="4"/>
  <c r="F186" i="4"/>
  <c r="E186" i="4"/>
  <c r="C186" i="4"/>
  <c r="B186" i="4"/>
  <c r="A186" i="4"/>
  <c r="N185" i="4"/>
  <c r="M185" i="4"/>
  <c r="L185" i="4"/>
  <c r="K185" i="4"/>
  <c r="J185" i="4"/>
  <c r="I185" i="4"/>
  <c r="H185" i="4"/>
  <c r="G185" i="4"/>
  <c r="F185" i="4"/>
  <c r="E185" i="4"/>
  <c r="C185" i="4"/>
  <c r="B185" i="4"/>
  <c r="A185" i="4"/>
  <c r="N184" i="4"/>
  <c r="M184" i="4"/>
  <c r="L184" i="4"/>
  <c r="K184" i="4"/>
  <c r="J184" i="4"/>
  <c r="I184" i="4"/>
  <c r="H184" i="4"/>
  <c r="G184" i="4"/>
  <c r="F184" i="4"/>
  <c r="E184" i="4"/>
  <c r="C184" i="4"/>
  <c r="B184" i="4"/>
  <c r="A184" i="4"/>
  <c r="N183" i="4"/>
  <c r="M183" i="4"/>
  <c r="L183" i="4"/>
  <c r="K183" i="4"/>
  <c r="J183" i="4"/>
  <c r="I183" i="4"/>
  <c r="H183" i="4"/>
  <c r="G183" i="4"/>
  <c r="F183" i="4"/>
  <c r="E183" i="4"/>
  <c r="C183" i="4"/>
  <c r="B183" i="4"/>
  <c r="A183" i="4"/>
  <c r="N182" i="4"/>
  <c r="M182" i="4"/>
  <c r="L182" i="4"/>
  <c r="K182" i="4"/>
  <c r="J182" i="4"/>
  <c r="I182" i="4"/>
  <c r="H182" i="4"/>
  <c r="G182" i="4"/>
  <c r="F182" i="4"/>
  <c r="E182" i="4"/>
  <c r="C182" i="4"/>
  <c r="B182" i="4"/>
  <c r="A182" i="4"/>
  <c r="N181" i="4"/>
  <c r="M181" i="4"/>
  <c r="L181" i="4"/>
  <c r="K181" i="4"/>
  <c r="J181" i="4"/>
  <c r="I181" i="4"/>
  <c r="F181" i="4"/>
  <c r="E181" i="4"/>
  <c r="C181" i="4"/>
  <c r="B181" i="4"/>
  <c r="A181" i="4"/>
  <c r="N180" i="4"/>
  <c r="M180" i="4"/>
  <c r="L180" i="4"/>
  <c r="K180" i="4"/>
  <c r="J180" i="4"/>
  <c r="I180" i="4"/>
  <c r="F180" i="4"/>
  <c r="E180" i="4"/>
  <c r="C180" i="4"/>
  <c r="B180" i="4"/>
  <c r="A180" i="4"/>
  <c r="N179" i="4"/>
  <c r="M179" i="4"/>
  <c r="L179" i="4"/>
  <c r="K179" i="4"/>
  <c r="J179" i="4"/>
  <c r="I179" i="4"/>
  <c r="F179" i="4"/>
  <c r="E179" i="4"/>
  <c r="C179" i="4"/>
  <c r="B179" i="4"/>
  <c r="A179" i="4"/>
  <c r="N178" i="4"/>
  <c r="M178" i="4"/>
  <c r="L178" i="4"/>
  <c r="K178" i="4"/>
  <c r="J178" i="4"/>
  <c r="I178" i="4"/>
  <c r="F178" i="4"/>
  <c r="E178" i="4"/>
  <c r="C178" i="4"/>
  <c r="B178" i="4"/>
  <c r="A178" i="4"/>
  <c r="N177" i="4"/>
  <c r="M177" i="4"/>
  <c r="L177" i="4"/>
  <c r="K177" i="4"/>
  <c r="J177" i="4"/>
  <c r="I177" i="4"/>
  <c r="F177" i="4"/>
  <c r="E177" i="4"/>
  <c r="C177" i="4"/>
  <c r="B177" i="4"/>
  <c r="A177" i="4"/>
  <c r="N176" i="4"/>
  <c r="M176" i="4"/>
  <c r="L176" i="4"/>
  <c r="K176" i="4"/>
  <c r="J176" i="4"/>
  <c r="I176" i="4"/>
  <c r="F176" i="4"/>
  <c r="E176" i="4"/>
  <c r="C176" i="4"/>
  <c r="B176" i="4"/>
  <c r="A176" i="4"/>
  <c r="N175" i="4"/>
  <c r="M175" i="4"/>
  <c r="L175" i="4"/>
  <c r="K175" i="4"/>
  <c r="J175" i="4"/>
  <c r="I175" i="4"/>
  <c r="F175" i="4"/>
  <c r="E175" i="4"/>
  <c r="C175" i="4"/>
  <c r="B175" i="4"/>
  <c r="A175" i="4"/>
  <c r="N174" i="4"/>
  <c r="M174" i="4"/>
  <c r="L174" i="4"/>
  <c r="K174" i="4"/>
  <c r="J174" i="4"/>
  <c r="I174" i="4"/>
  <c r="F174" i="4"/>
  <c r="E174" i="4"/>
  <c r="C174" i="4"/>
  <c r="B174" i="4"/>
  <c r="A174" i="4"/>
  <c r="N173" i="4"/>
  <c r="M173" i="4"/>
  <c r="L173" i="4"/>
  <c r="K173" i="4"/>
  <c r="J173" i="4"/>
  <c r="I173" i="4"/>
  <c r="F173" i="4"/>
  <c r="E173" i="4"/>
  <c r="C173" i="4"/>
  <c r="B173" i="4"/>
  <c r="A173" i="4"/>
  <c r="N172" i="4"/>
  <c r="M172" i="4"/>
  <c r="L172" i="4"/>
  <c r="K172" i="4"/>
  <c r="J172" i="4"/>
  <c r="I172" i="4"/>
  <c r="F172" i="4"/>
  <c r="E172" i="4"/>
  <c r="C172" i="4"/>
  <c r="B172" i="4"/>
  <c r="A172" i="4"/>
  <c r="N171" i="4"/>
  <c r="M171" i="4"/>
  <c r="L171" i="4"/>
  <c r="K171" i="4"/>
  <c r="J171" i="4"/>
  <c r="I171" i="4"/>
  <c r="F171" i="4"/>
  <c r="E171" i="4"/>
  <c r="C171" i="4"/>
  <c r="B171" i="4"/>
  <c r="A171" i="4"/>
  <c r="N170" i="4"/>
  <c r="M170" i="4"/>
  <c r="L170" i="4"/>
  <c r="K170" i="4"/>
  <c r="J170" i="4"/>
  <c r="I170" i="4"/>
  <c r="F170" i="4"/>
  <c r="E170" i="4"/>
  <c r="C170" i="4"/>
  <c r="B170" i="4"/>
  <c r="A170" i="4"/>
  <c r="N169" i="4"/>
  <c r="M169" i="4"/>
  <c r="L169" i="4"/>
  <c r="K169" i="4"/>
  <c r="J169" i="4"/>
  <c r="I169" i="4"/>
  <c r="F169" i="4"/>
  <c r="E169" i="4"/>
  <c r="C169" i="4"/>
  <c r="B169" i="4"/>
  <c r="A169" i="4"/>
  <c r="N168" i="4"/>
  <c r="M168" i="4"/>
  <c r="L168" i="4"/>
  <c r="K168" i="4"/>
  <c r="J168" i="4"/>
  <c r="I168" i="4"/>
  <c r="F168" i="4"/>
  <c r="E168" i="4"/>
  <c r="C168" i="4"/>
  <c r="B168" i="4"/>
  <c r="A168" i="4"/>
  <c r="N167" i="4"/>
  <c r="M167" i="4"/>
  <c r="L167" i="4"/>
  <c r="K167" i="4"/>
  <c r="J167" i="4"/>
  <c r="I167" i="4"/>
  <c r="F167" i="4"/>
  <c r="E167" i="4"/>
  <c r="C167" i="4"/>
  <c r="B167" i="4"/>
  <c r="A167" i="4"/>
  <c r="N166" i="4"/>
  <c r="M166" i="4"/>
  <c r="L166" i="4"/>
  <c r="K166" i="4"/>
  <c r="J166" i="4"/>
  <c r="I166" i="4"/>
  <c r="F166" i="4"/>
  <c r="E166" i="4"/>
  <c r="C166" i="4"/>
  <c r="B166" i="4"/>
  <c r="A166" i="4"/>
  <c r="N165" i="4"/>
  <c r="M165" i="4"/>
  <c r="L165" i="4"/>
  <c r="K165" i="4"/>
  <c r="J165" i="4"/>
  <c r="I165" i="4"/>
  <c r="F165" i="4"/>
  <c r="E165" i="4"/>
  <c r="C165" i="4"/>
  <c r="B165" i="4"/>
  <c r="A165" i="4"/>
  <c r="N164" i="4"/>
  <c r="M164" i="4"/>
  <c r="L164" i="4"/>
  <c r="K164" i="4"/>
  <c r="J164" i="4"/>
  <c r="I164" i="4"/>
  <c r="F164" i="4"/>
  <c r="E164" i="4"/>
  <c r="C164" i="4"/>
  <c r="B164" i="4"/>
  <c r="A164" i="4"/>
  <c r="N163" i="4"/>
  <c r="M163" i="4"/>
  <c r="L163" i="4"/>
  <c r="K163" i="4"/>
  <c r="J163" i="4"/>
  <c r="I163" i="4"/>
  <c r="F163" i="4"/>
  <c r="E163" i="4"/>
  <c r="C163" i="4"/>
  <c r="B163" i="4"/>
  <c r="A163" i="4"/>
  <c r="N162" i="4"/>
  <c r="M162" i="4"/>
  <c r="L162" i="4"/>
  <c r="K162" i="4"/>
  <c r="J162" i="4"/>
  <c r="I162" i="4"/>
  <c r="F162" i="4"/>
  <c r="E162" i="4"/>
  <c r="C162" i="4"/>
  <c r="B162" i="4"/>
  <c r="A162" i="4"/>
  <c r="N161" i="4"/>
  <c r="M161" i="4"/>
  <c r="L161" i="4"/>
  <c r="K161" i="4"/>
  <c r="J161" i="4"/>
  <c r="I161" i="4"/>
  <c r="F161" i="4"/>
  <c r="E161" i="4"/>
  <c r="C161" i="4"/>
  <c r="B161" i="4"/>
  <c r="A161" i="4"/>
  <c r="N160" i="4"/>
  <c r="M160" i="4"/>
  <c r="L160" i="4"/>
  <c r="K160" i="4"/>
  <c r="J160" i="4"/>
  <c r="I160" i="4"/>
  <c r="F160" i="4"/>
  <c r="E160" i="4"/>
  <c r="C160" i="4"/>
  <c r="B160" i="4"/>
  <c r="A160" i="4"/>
  <c r="N159" i="4"/>
  <c r="M159" i="4"/>
  <c r="L159" i="4"/>
  <c r="K159" i="4"/>
  <c r="J159" i="4"/>
  <c r="I159" i="4"/>
  <c r="F159" i="4"/>
  <c r="E159" i="4"/>
  <c r="C159" i="4"/>
  <c r="B159" i="4"/>
  <c r="A159" i="4"/>
  <c r="N158" i="4"/>
  <c r="M158" i="4"/>
  <c r="L158" i="4"/>
  <c r="K158" i="4"/>
  <c r="J158" i="4"/>
  <c r="I158" i="4"/>
  <c r="F158" i="4"/>
  <c r="E158" i="4"/>
  <c r="C158" i="4"/>
  <c r="B158" i="4"/>
  <c r="A158" i="4"/>
  <c r="N157" i="4"/>
  <c r="M157" i="4"/>
  <c r="L157" i="4"/>
  <c r="K157" i="4"/>
  <c r="J157" i="4"/>
  <c r="I157" i="4"/>
  <c r="F157" i="4"/>
  <c r="E157" i="4"/>
  <c r="C157" i="4"/>
  <c r="B157" i="4"/>
  <c r="A157" i="4"/>
  <c r="N156" i="4"/>
  <c r="M156" i="4"/>
  <c r="L156" i="4"/>
  <c r="K156" i="4"/>
  <c r="J156" i="4"/>
  <c r="I156" i="4"/>
  <c r="F156" i="4"/>
  <c r="E156" i="4"/>
  <c r="C156" i="4"/>
  <c r="B156" i="4"/>
  <c r="A156" i="4"/>
  <c r="N155" i="4"/>
  <c r="M155" i="4"/>
  <c r="L155" i="4"/>
  <c r="K155" i="4"/>
  <c r="J155" i="4"/>
  <c r="I155" i="4"/>
  <c r="F155" i="4"/>
  <c r="E155" i="4"/>
  <c r="C155" i="4"/>
  <c r="B155" i="4"/>
  <c r="A155" i="4"/>
  <c r="N154" i="4"/>
  <c r="M154" i="4"/>
  <c r="L154" i="4"/>
  <c r="K154" i="4"/>
  <c r="J154" i="4"/>
  <c r="I154" i="4"/>
  <c r="F154" i="4"/>
  <c r="E154" i="4"/>
  <c r="C154" i="4"/>
  <c r="B154" i="4"/>
  <c r="A154" i="4"/>
  <c r="N153" i="4"/>
  <c r="M153" i="4"/>
  <c r="L153" i="4"/>
  <c r="K153" i="4"/>
  <c r="J153" i="4"/>
  <c r="I153" i="4"/>
  <c r="F153" i="4"/>
  <c r="E153" i="4"/>
  <c r="C153" i="4"/>
  <c r="B153" i="4"/>
  <c r="A153" i="4"/>
  <c r="N152" i="4"/>
  <c r="M152" i="4"/>
  <c r="L152" i="4"/>
  <c r="K152" i="4"/>
  <c r="J152" i="4"/>
  <c r="I152" i="4"/>
  <c r="F152" i="4"/>
  <c r="E152" i="4"/>
  <c r="C152" i="4"/>
  <c r="B152" i="4"/>
  <c r="A152" i="4"/>
  <c r="N151" i="4"/>
  <c r="M151" i="4"/>
  <c r="L151" i="4"/>
  <c r="K151" i="4"/>
  <c r="J151" i="4"/>
  <c r="I151" i="4"/>
  <c r="F151" i="4"/>
  <c r="E151" i="4"/>
  <c r="C151" i="4"/>
  <c r="B151" i="4"/>
  <c r="A151" i="4"/>
  <c r="N150" i="4"/>
  <c r="M150" i="4"/>
  <c r="L150" i="4"/>
  <c r="K150" i="4"/>
  <c r="J150" i="4"/>
  <c r="I150" i="4"/>
  <c r="F150" i="4"/>
  <c r="E150" i="4"/>
  <c r="C150" i="4"/>
  <c r="B150" i="4"/>
  <c r="A150" i="4"/>
  <c r="N149" i="4"/>
  <c r="M149" i="4"/>
  <c r="L149" i="4"/>
  <c r="K149" i="4"/>
  <c r="J149" i="4"/>
  <c r="I149" i="4"/>
  <c r="F149" i="4"/>
  <c r="E149" i="4"/>
  <c r="C149" i="4"/>
  <c r="B149" i="4"/>
  <c r="A149" i="4"/>
  <c r="N148" i="4"/>
  <c r="M148" i="4"/>
  <c r="L148" i="4"/>
  <c r="K148" i="4"/>
  <c r="J148" i="4"/>
  <c r="I148" i="4"/>
  <c r="F148" i="4"/>
  <c r="E148" i="4"/>
  <c r="C148" i="4"/>
  <c r="B148" i="4"/>
  <c r="A148" i="4"/>
  <c r="N147" i="4"/>
  <c r="M147" i="4"/>
  <c r="L147" i="4"/>
  <c r="K147" i="4"/>
  <c r="J147" i="4"/>
  <c r="I147" i="4"/>
  <c r="F147" i="4"/>
  <c r="E147" i="4"/>
  <c r="C147" i="4"/>
  <c r="B147" i="4"/>
  <c r="A147" i="4"/>
  <c r="N146" i="4"/>
  <c r="M146" i="4"/>
  <c r="L146" i="4"/>
  <c r="K146" i="4"/>
  <c r="J146" i="4"/>
  <c r="I146" i="4"/>
  <c r="F146" i="4"/>
  <c r="E146" i="4"/>
  <c r="C146" i="4"/>
  <c r="B146" i="4"/>
  <c r="A146" i="4"/>
  <c r="N145" i="4"/>
  <c r="M145" i="4"/>
  <c r="L145" i="4"/>
  <c r="K145" i="4"/>
  <c r="J145" i="4"/>
  <c r="I145" i="4"/>
  <c r="F145" i="4"/>
  <c r="E145" i="4"/>
  <c r="C145" i="4"/>
  <c r="B145" i="4"/>
  <c r="A145" i="4"/>
  <c r="N144" i="4"/>
  <c r="M144" i="4"/>
  <c r="L144" i="4"/>
  <c r="K144" i="4"/>
  <c r="J144" i="4"/>
  <c r="I144" i="4"/>
  <c r="F144" i="4"/>
  <c r="E144" i="4"/>
  <c r="C144" i="4"/>
  <c r="B144" i="4"/>
  <c r="A144" i="4"/>
  <c r="N143" i="4"/>
  <c r="M143" i="4"/>
  <c r="L143" i="4"/>
  <c r="K143" i="4"/>
  <c r="J143" i="4"/>
  <c r="I143" i="4"/>
  <c r="F143" i="4"/>
  <c r="E143" i="4"/>
  <c r="C143" i="4"/>
  <c r="B143" i="4"/>
  <c r="A143" i="4"/>
  <c r="N142" i="4"/>
  <c r="M142" i="4"/>
  <c r="L142" i="4"/>
  <c r="K142" i="4"/>
  <c r="J142" i="4"/>
  <c r="I142" i="4"/>
  <c r="F142" i="4"/>
  <c r="E142" i="4"/>
  <c r="C142" i="4"/>
  <c r="B142" i="4"/>
  <c r="A142" i="4"/>
  <c r="N141" i="4"/>
  <c r="M141" i="4"/>
  <c r="L141" i="4"/>
  <c r="K141" i="4"/>
  <c r="J141" i="4"/>
  <c r="I141" i="4"/>
  <c r="F141" i="4"/>
  <c r="E141" i="4"/>
  <c r="C141" i="4"/>
  <c r="B141" i="4"/>
  <c r="A141" i="4"/>
  <c r="N140" i="4"/>
  <c r="M140" i="4"/>
  <c r="L140" i="4"/>
  <c r="K140" i="4"/>
  <c r="J140" i="4"/>
  <c r="I140" i="4"/>
  <c r="F140" i="4"/>
  <c r="E140" i="4"/>
  <c r="C140" i="4"/>
  <c r="B140" i="4"/>
  <c r="A140" i="4"/>
  <c r="N139" i="4"/>
  <c r="M139" i="4"/>
  <c r="L139" i="4"/>
  <c r="K139" i="4"/>
  <c r="J139" i="4"/>
  <c r="I139" i="4"/>
  <c r="F139" i="4"/>
  <c r="E139" i="4"/>
  <c r="C139" i="4"/>
  <c r="B139" i="4"/>
  <c r="A139" i="4"/>
  <c r="N138" i="4"/>
  <c r="M138" i="4"/>
  <c r="L138" i="4"/>
  <c r="K138" i="4"/>
  <c r="J138" i="4"/>
  <c r="I138" i="4"/>
  <c r="F138" i="4"/>
  <c r="E138" i="4"/>
  <c r="C138" i="4"/>
  <c r="B138" i="4"/>
  <c r="A138" i="4"/>
  <c r="N137" i="4"/>
  <c r="M137" i="4"/>
  <c r="L137" i="4"/>
  <c r="K137" i="4"/>
  <c r="J137" i="4"/>
  <c r="I137" i="4"/>
  <c r="F137" i="4"/>
  <c r="E137" i="4"/>
  <c r="C137" i="4"/>
  <c r="B137" i="4"/>
  <c r="A137" i="4"/>
  <c r="N136" i="4"/>
  <c r="M136" i="4"/>
  <c r="L136" i="4"/>
  <c r="K136" i="4"/>
  <c r="J136" i="4"/>
  <c r="I136" i="4"/>
  <c r="F136" i="4"/>
  <c r="E136" i="4"/>
  <c r="C136" i="4"/>
  <c r="B136" i="4"/>
  <c r="A136" i="4"/>
  <c r="N135" i="4"/>
  <c r="M135" i="4"/>
  <c r="L135" i="4"/>
  <c r="K135" i="4"/>
  <c r="J135" i="4"/>
  <c r="I135" i="4"/>
  <c r="F135" i="4"/>
  <c r="E135" i="4"/>
  <c r="C135" i="4"/>
  <c r="B135" i="4"/>
  <c r="A135" i="4"/>
  <c r="N134" i="4"/>
  <c r="M134" i="4"/>
  <c r="L134" i="4"/>
  <c r="K134" i="4"/>
  <c r="J134" i="4"/>
  <c r="I134" i="4"/>
  <c r="F134" i="4"/>
  <c r="E134" i="4"/>
  <c r="C134" i="4"/>
  <c r="B134" i="4"/>
  <c r="A134" i="4"/>
  <c r="N133" i="4"/>
  <c r="M133" i="4"/>
  <c r="L133" i="4"/>
  <c r="K133" i="4"/>
  <c r="J133" i="4"/>
  <c r="I133" i="4"/>
  <c r="F133" i="4"/>
  <c r="E133" i="4"/>
  <c r="C133" i="4"/>
  <c r="B133" i="4"/>
  <c r="A133" i="4"/>
  <c r="N132" i="4"/>
  <c r="M132" i="4"/>
  <c r="L132" i="4"/>
  <c r="K132" i="4"/>
  <c r="J132" i="4"/>
  <c r="I132" i="4"/>
  <c r="F132" i="4"/>
  <c r="E132" i="4"/>
  <c r="C132" i="4"/>
  <c r="B132" i="4"/>
  <c r="A132" i="4"/>
  <c r="N131" i="4"/>
  <c r="M131" i="4"/>
  <c r="L131" i="4"/>
  <c r="K131" i="4"/>
  <c r="J131" i="4"/>
  <c r="I131" i="4"/>
  <c r="F131" i="4"/>
  <c r="E131" i="4"/>
  <c r="C131" i="4"/>
  <c r="B131" i="4"/>
  <c r="A131" i="4"/>
  <c r="N130" i="4"/>
  <c r="M130" i="4"/>
  <c r="L130" i="4"/>
  <c r="K130" i="4"/>
  <c r="J130" i="4"/>
  <c r="I130" i="4"/>
  <c r="F130" i="4"/>
  <c r="E130" i="4"/>
  <c r="C130" i="4"/>
  <c r="B130" i="4"/>
  <c r="A130" i="4"/>
  <c r="N129" i="4"/>
  <c r="M129" i="4"/>
  <c r="L129" i="4"/>
  <c r="K129" i="4"/>
  <c r="J129" i="4"/>
  <c r="I129" i="4"/>
  <c r="F129" i="4"/>
  <c r="E129" i="4"/>
  <c r="C129" i="4"/>
  <c r="B129" i="4"/>
  <c r="A129" i="4"/>
  <c r="N128" i="4"/>
  <c r="M128" i="4"/>
  <c r="L128" i="4"/>
  <c r="K128" i="4"/>
  <c r="J128" i="4"/>
  <c r="I128" i="4"/>
  <c r="F128" i="4"/>
  <c r="E128" i="4"/>
  <c r="C128" i="4"/>
  <c r="B128" i="4"/>
  <c r="A128" i="4"/>
  <c r="N127" i="4"/>
  <c r="M127" i="4"/>
  <c r="L127" i="4"/>
  <c r="K127" i="4"/>
  <c r="J127" i="4"/>
  <c r="I127" i="4"/>
  <c r="F127" i="4"/>
  <c r="E127" i="4"/>
  <c r="C127" i="4"/>
  <c r="B127" i="4"/>
  <c r="A127" i="4"/>
  <c r="N126" i="4"/>
  <c r="M126" i="4"/>
  <c r="L126" i="4"/>
  <c r="K126" i="4"/>
  <c r="J126" i="4"/>
  <c r="I126" i="4"/>
  <c r="F126" i="4"/>
  <c r="E126" i="4"/>
  <c r="C126" i="4"/>
  <c r="B126" i="4"/>
  <c r="A126" i="4"/>
  <c r="N125" i="4"/>
  <c r="M125" i="4"/>
  <c r="L125" i="4"/>
  <c r="K125" i="4"/>
  <c r="J125" i="4"/>
  <c r="I125" i="4"/>
  <c r="F125" i="4"/>
  <c r="E125" i="4"/>
  <c r="C125" i="4"/>
  <c r="B125" i="4"/>
  <c r="A125" i="4"/>
  <c r="N124" i="4"/>
  <c r="M124" i="4"/>
  <c r="L124" i="4"/>
  <c r="K124" i="4"/>
  <c r="J124" i="4"/>
  <c r="I124" i="4"/>
  <c r="F124" i="4"/>
  <c r="E124" i="4"/>
  <c r="C124" i="4"/>
  <c r="B124" i="4"/>
  <c r="A124" i="4"/>
  <c r="N123" i="4"/>
  <c r="M123" i="4"/>
  <c r="L123" i="4"/>
  <c r="K123" i="4"/>
  <c r="J123" i="4"/>
  <c r="I123" i="4"/>
  <c r="F123" i="4"/>
  <c r="E123" i="4"/>
  <c r="C123" i="4"/>
  <c r="B123" i="4"/>
  <c r="A123" i="4"/>
  <c r="N122" i="4"/>
  <c r="M122" i="4"/>
  <c r="L122" i="4"/>
  <c r="K122" i="4"/>
  <c r="J122" i="4"/>
  <c r="I122" i="4"/>
  <c r="G122" i="4"/>
  <c r="F122" i="4"/>
  <c r="E122" i="4"/>
  <c r="C122" i="4"/>
  <c r="B122" i="4"/>
  <c r="A122" i="4"/>
  <c r="N121" i="4"/>
  <c r="M121" i="4"/>
  <c r="L121" i="4"/>
  <c r="K121" i="4"/>
  <c r="J121" i="4"/>
  <c r="I121" i="4"/>
  <c r="F121" i="4"/>
  <c r="E121" i="4"/>
  <c r="C121" i="4"/>
  <c r="B121" i="4"/>
  <c r="A121" i="4"/>
  <c r="N120" i="4"/>
  <c r="M120" i="4"/>
  <c r="L120" i="4"/>
  <c r="K120" i="4"/>
  <c r="J120" i="4"/>
  <c r="I120" i="4"/>
  <c r="F120" i="4"/>
  <c r="E120" i="4"/>
  <c r="C120" i="4"/>
  <c r="B120" i="4"/>
  <c r="A120" i="4"/>
  <c r="N119" i="4"/>
  <c r="M119" i="4"/>
  <c r="L119" i="4"/>
  <c r="K119" i="4"/>
  <c r="J119" i="4"/>
  <c r="I119" i="4"/>
  <c r="F119" i="4"/>
  <c r="E119" i="4"/>
  <c r="C119" i="4"/>
  <c r="B119" i="4"/>
  <c r="A119" i="4"/>
  <c r="N118" i="4"/>
  <c r="M118" i="4"/>
  <c r="L118" i="4"/>
  <c r="K118" i="4"/>
  <c r="J118" i="4"/>
  <c r="I118" i="4"/>
  <c r="F118" i="4"/>
  <c r="E118" i="4"/>
  <c r="C118" i="4"/>
  <c r="B118" i="4"/>
  <c r="A118" i="4"/>
  <c r="N117" i="4"/>
  <c r="M117" i="4"/>
  <c r="L117" i="4"/>
  <c r="K117" i="4"/>
  <c r="J117" i="4"/>
  <c r="I117" i="4"/>
  <c r="F117" i="4"/>
  <c r="E117" i="4"/>
  <c r="C117" i="4"/>
  <c r="B117" i="4"/>
  <c r="A117" i="4"/>
  <c r="N116" i="4"/>
  <c r="M116" i="4"/>
  <c r="L116" i="4"/>
  <c r="K116" i="4"/>
  <c r="J116" i="4"/>
  <c r="I116" i="4"/>
  <c r="F116" i="4"/>
  <c r="E116" i="4"/>
  <c r="C116" i="4"/>
  <c r="B116" i="4"/>
  <c r="A116" i="4"/>
  <c r="N115" i="4"/>
  <c r="M115" i="4"/>
  <c r="L115" i="4"/>
  <c r="K115" i="4"/>
  <c r="J115" i="4"/>
  <c r="I115" i="4"/>
  <c r="F115" i="4"/>
  <c r="E115" i="4"/>
  <c r="C115" i="4"/>
  <c r="B115" i="4"/>
  <c r="A115" i="4"/>
  <c r="N114" i="4"/>
  <c r="M114" i="4"/>
  <c r="L114" i="4"/>
  <c r="K114" i="4"/>
  <c r="J114" i="4"/>
  <c r="I114" i="4"/>
  <c r="F114" i="4"/>
  <c r="E114" i="4"/>
  <c r="C114" i="4"/>
  <c r="B114" i="4"/>
  <c r="A114" i="4"/>
  <c r="N113" i="4"/>
  <c r="M113" i="4"/>
  <c r="L113" i="4"/>
  <c r="K113" i="4"/>
  <c r="J113" i="4"/>
  <c r="I113" i="4"/>
  <c r="F113" i="4"/>
  <c r="E113" i="4"/>
  <c r="C113" i="4"/>
  <c r="B113" i="4"/>
  <c r="A113" i="4"/>
  <c r="N112" i="4"/>
  <c r="M112" i="4"/>
  <c r="L112" i="4"/>
  <c r="K112" i="4"/>
  <c r="J112" i="4"/>
  <c r="I112" i="4"/>
  <c r="F112" i="4"/>
  <c r="E112" i="4"/>
  <c r="C112" i="4"/>
  <c r="B112" i="4"/>
  <c r="A112" i="4"/>
  <c r="N111" i="4"/>
  <c r="M111" i="4"/>
  <c r="L111" i="4"/>
  <c r="K111" i="4"/>
  <c r="J111" i="4"/>
  <c r="I111" i="4"/>
  <c r="F111" i="4"/>
  <c r="E111" i="4"/>
  <c r="C111" i="4"/>
  <c r="B111" i="4"/>
  <c r="A111" i="4"/>
  <c r="N110" i="4"/>
  <c r="M110" i="4"/>
  <c r="L110" i="4"/>
  <c r="K110" i="4"/>
  <c r="J110" i="4"/>
  <c r="I110" i="4"/>
  <c r="F110" i="4"/>
  <c r="E110" i="4"/>
  <c r="C110" i="4"/>
  <c r="B110" i="4"/>
  <c r="A110" i="4"/>
  <c r="N109" i="4"/>
  <c r="M109" i="4"/>
  <c r="L109" i="4"/>
  <c r="K109" i="4"/>
  <c r="J109" i="4"/>
  <c r="I109" i="4"/>
  <c r="F109" i="4"/>
  <c r="E109" i="4"/>
  <c r="C109" i="4"/>
  <c r="B109" i="4"/>
  <c r="A109" i="4"/>
  <c r="N108" i="4"/>
  <c r="M108" i="4"/>
  <c r="L108" i="4"/>
  <c r="K108" i="4"/>
  <c r="J108" i="4"/>
  <c r="I108" i="4"/>
  <c r="F108" i="4"/>
  <c r="E108" i="4"/>
  <c r="C108" i="4"/>
  <c r="B108" i="4"/>
  <c r="A108" i="4"/>
  <c r="N107" i="4"/>
  <c r="M107" i="4"/>
  <c r="L107" i="4"/>
  <c r="K107" i="4"/>
  <c r="J107" i="4"/>
  <c r="I107" i="4"/>
  <c r="F107" i="4"/>
  <c r="E107" i="4"/>
  <c r="C107" i="4"/>
  <c r="B107" i="4"/>
  <c r="A107" i="4"/>
  <c r="N106" i="4"/>
  <c r="M106" i="4"/>
  <c r="L106" i="4"/>
  <c r="K106" i="4"/>
  <c r="J106" i="4"/>
  <c r="I106" i="4"/>
  <c r="F106" i="4"/>
  <c r="E106" i="4"/>
  <c r="C106" i="4"/>
  <c r="B106" i="4"/>
  <c r="A106" i="4"/>
  <c r="N105" i="4"/>
  <c r="M105" i="4"/>
  <c r="L105" i="4"/>
  <c r="K105" i="4"/>
  <c r="J105" i="4"/>
  <c r="I105" i="4"/>
  <c r="F105" i="4"/>
  <c r="E105" i="4"/>
  <c r="C105" i="4"/>
  <c r="B105" i="4"/>
  <c r="A105" i="4"/>
  <c r="N104" i="4"/>
  <c r="M104" i="4"/>
  <c r="L104" i="4"/>
  <c r="K104" i="4"/>
  <c r="J104" i="4"/>
  <c r="I104" i="4"/>
  <c r="F104" i="4"/>
  <c r="E104" i="4"/>
  <c r="C104" i="4"/>
  <c r="B104" i="4"/>
  <c r="A104" i="4"/>
  <c r="N103" i="4"/>
  <c r="M103" i="4"/>
  <c r="L103" i="4"/>
  <c r="K103" i="4"/>
  <c r="J103" i="4"/>
  <c r="I103" i="4"/>
  <c r="F103" i="4"/>
  <c r="E103" i="4"/>
  <c r="C103" i="4"/>
  <c r="B103" i="4"/>
  <c r="A103" i="4"/>
  <c r="N102" i="4"/>
  <c r="M102" i="4"/>
  <c r="L102" i="4"/>
  <c r="K102" i="4"/>
  <c r="J102" i="4"/>
  <c r="I102" i="4"/>
  <c r="F102" i="4"/>
  <c r="E102" i="4"/>
  <c r="C102" i="4"/>
  <c r="B102" i="4"/>
  <c r="A102" i="4"/>
  <c r="N101" i="4"/>
  <c r="M101" i="4"/>
  <c r="L101" i="4"/>
  <c r="K101" i="4"/>
  <c r="J101" i="4"/>
  <c r="I101" i="4"/>
  <c r="F101" i="4"/>
  <c r="E101" i="4"/>
  <c r="C101" i="4"/>
  <c r="B101" i="4"/>
  <c r="A101" i="4"/>
  <c r="N100" i="4"/>
  <c r="M100" i="4"/>
  <c r="L100" i="4"/>
  <c r="K100" i="4"/>
  <c r="J100" i="4"/>
  <c r="I100" i="4"/>
  <c r="F100" i="4"/>
  <c r="E100" i="4"/>
  <c r="C100" i="4"/>
  <c r="B100" i="4"/>
  <c r="A100" i="4"/>
  <c r="N99" i="4"/>
  <c r="M99" i="4"/>
  <c r="L99" i="4"/>
  <c r="K99" i="4"/>
  <c r="J99" i="4"/>
  <c r="I99" i="4"/>
  <c r="F99" i="4"/>
  <c r="E99" i="4"/>
  <c r="C99" i="4"/>
  <c r="B99" i="4"/>
  <c r="A99" i="4"/>
  <c r="N98" i="4"/>
  <c r="M98" i="4"/>
  <c r="L98" i="4"/>
  <c r="K98" i="4"/>
  <c r="J98" i="4"/>
  <c r="I98" i="4"/>
  <c r="F98" i="4"/>
  <c r="E98" i="4"/>
  <c r="C98" i="4"/>
  <c r="B98" i="4"/>
  <c r="A98" i="4"/>
  <c r="N97" i="4"/>
  <c r="M97" i="4"/>
  <c r="L97" i="4"/>
  <c r="K97" i="4"/>
  <c r="J97" i="4"/>
  <c r="I97" i="4"/>
  <c r="F97" i="4"/>
  <c r="E97" i="4"/>
  <c r="C97" i="4"/>
  <c r="B97" i="4"/>
  <c r="A97" i="4"/>
  <c r="N96" i="4"/>
  <c r="M96" i="4"/>
  <c r="L96" i="4"/>
  <c r="K96" i="4"/>
  <c r="J96" i="4"/>
  <c r="I96" i="4"/>
  <c r="F96" i="4"/>
  <c r="E96" i="4"/>
  <c r="C96" i="4"/>
  <c r="B96" i="4"/>
  <c r="A96" i="4"/>
  <c r="N95" i="4"/>
  <c r="M95" i="4"/>
  <c r="L95" i="4"/>
  <c r="K95" i="4"/>
  <c r="J95" i="4"/>
  <c r="I95" i="4"/>
  <c r="F95" i="4"/>
  <c r="E95" i="4"/>
  <c r="C95" i="4"/>
  <c r="B95" i="4"/>
  <c r="A95" i="4"/>
  <c r="N94" i="4"/>
  <c r="M94" i="4"/>
  <c r="L94" i="4"/>
  <c r="K94" i="4"/>
  <c r="J94" i="4"/>
  <c r="I94" i="4"/>
  <c r="F94" i="4"/>
  <c r="E94" i="4"/>
  <c r="C94" i="4"/>
  <c r="B94" i="4"/>
  <c r="A94" i="4"/>
  <c r="N93" i="4"/>
  <c r="M93" i="4"/>
  <c r="L93" i="4"/>
  <c r="K93" i="4"/>
  <c r="J93" i="4"/>
  <c r="I93" i="4"/>
  <c r="F93" i="4"/>
  <c r="E93" i="4"/>
  <c r="C93" i="4"/>
  <c r="B93" i="4"/>
  <c r="A93" i="4"/>
  <c r="N92" i="4"/>
  <c r="M92" i="4"/>
  <c r="L92" i="4"/>
  <c r="K92" i="4"/>
  <c r="J92" i="4"/>
  <c r="I92" i="4"/>
  <c r="F92" i="4"/>
  <c r="E92" i="4"/>
  <c r="C92" i="4"/>
  <c r="B92" i="4"/>
  <c r="A92" i="4"/>
  <c r="N91" i="4"/>
  <c r="M91" i="4"/>
  <c r="L91" i="4"/>
  <c r="K91" i="4"/>
  <c r="J91" i="4"/>
  <c r="I91" i="4"/>
  <c r="F91" i="4"/>
  <c r="E91" i="4"/>
  <c r="C91" i="4"/>
  <c r="B91" i="4"/>
  <c r="A91" i="4"/>
  <c r="N90" i="4"/>
  <c r="M90" i="4"/>
  <c r="L90" i="4"/>
  <c r="K90" i="4"/>
  <c r="J90" i="4"/>
  <c r="I90" i="4"/>
  <c r="F90" i="4"/>
  <c r="E90" i="4"/>
  <c r="C90" i="4"/>
  <c r="B90" i="4"/>
  <c r="A90" i="4"/>
  <c r="N89" i="4"/>
  <c r="M89" i="4"/>
  <c r="L89" i="4"/>
  <c r="K89" i="4"/>
  <c r="J89" i="4"/>
  <c r="I89" i="4"/>
  <c r="F89" i="4"/>
  <c r="E89" i="4"/>
  <c r="C89" i="4"/>
  <c r="B89" i="4"/>
  <c r="A89" i="4"/>
  <c r="N88" i="4"/>
  <c r="M88" i="4"/>
  <c r="L88" i="4"/>
  <c r="K88" i="4"/>
  <c r="J88" i="4"/>
  <c r="I88" i="4"/>
  <c r="F88" i="4"/>
  <c r="E88" i="4"/>
  <c r="C88" i="4"/>
  <c r="B88" i="4"/>
  <c r="A88" i="4"/>
  <c r="N87" i="4"/>
  <c r="M87" i="4"/>
  <c r="L87" i="4"/>
  <c r="K87" i="4"/>
  <c r="J87" i="4"/>
  <c r="I87" i="4"/>
  <c r="F87" i="4"/>
  <c r="E87" i="4"/>
  <c r="C87" i="4"/>
  <c r="B87" i="4"/>
  <c r="A87" i="4"/>
  <c r="N86" i="4"/>
  <c r="M86" i="4"/>
  <c r="L86" i="4"/>
  <c r="K86" i="4"/>
  <c r="J86" i="4"/>
  <c r="I86" i="4"/>
  <c r="F86" i="4"/>
  <c r="E86" i="4"/>
  <c r="C86" i="4"/>
  <c r="B86" i="4"/>
  <c r="A86" i="4"/>
  <c r="N85" i="4"/>
  <c r="M85" i="4"/>
  <c r="L85" i="4"/>
  <c r="K85" i="4"/>
  <c r="J85" i="4"/>
  <c r="I85" i="4"/>
  <c r="F85" i="4"/>
  <c r="E85" i="4"/>
  <c r="C85" i="4"/>
  <c r="B85" i="4"/>
  <c r="A85" i="4"/>
  <c r="N84" i="4"/>
  <c r="M84" i="4"/>
  <c r="L84" i="4"/>
  <c r="K84" i="4"/>
  <c r="J84" i="4"/>
  <c r="I84" i="4"/>
  <c r="F84" i="4"/>
  <c r="E84" i="4"/>
  <c r="C84" i="4"/>
  <c r="B84" i="4"/>
  <c r="A84" i="4"/>
  <c r="N83" i="4"/>
  <c r="M83" i="4"/>
  <c r="L83" i="4"/>
  <c r="K83" i="4"/>
  <c r="J83" i="4"/>
  <c r="I83" i="4"/>
  <c r="F83" i="4"/>
  <c r="E83" i="4"/>
  <c r="C83" i="4"/>
  <c r="B83" i="4"/>
  <c r="A83" i="4"/>
  <c r="N82" i="4"/>
  <c r="M82" i="4"/>
  <c r="L82" i="4"/>
  <c r="K82" i="4"/>
  <c r="J82" i="4"/>
  <c r="I82" i="4"/>
  <c r="F82" i="4"/>
  <c r="E82" i="4"/>
  <c r="C82" i="4"/>
  <c r="B82" i="4"/>
  <c r="A82" i="4"/>
  <c r="N81" i="4"/>
  <c r="M81" i="4"/>
  <c r="L81" i="4"/>
  <c r="K81" i="4"/>
  <c r="J81" i="4"/>
  <c r="I81" i="4"/>
  <c r="F81" i="4"/>
  <c r="E81" i="4"/>
  <c r="C81" i="4"/>
  <c r="B81" i="4"/>
  <c r="A81" i="4"/>
  <c r="N80" i="4"/>
  <c r="M80" i="4"/>
  <c r="L80" i="4"/>
  <c r="K80" i="4"/>
  <c r="J80" i="4"/>
  <c r="I80" i="4"/>
  <c r="F80" i="4"/>
  <c r="E80" i="4"/>
  <c r="C80" i="4"/>
  <c r="B80" i="4"/>
  <c r="A80" i="4"/>
  <c r="N79" i="4"/>
  <c r="M79" i="4"/>
  <c r="L79" i="4"/>
  <c r="K79" i="4"/>
  <c r="J79" i="4"/>
  <c r="I79" i="4"/>
  <c r="F79" i="4"/>
  <c r="E79" i="4"/>
  <c r="C79" i="4"/>
  <c r="B79" i="4"/>
  <c r="A79" i="4"/>
  <c r="N78" i="4"/>
  <c r="M78" i="4"/>
  <c r="L78" i="4"/>
  <c r="K78" i="4"/>
  <c r="J78" i="4"/>
  <c r="I78" i="4"/>
  <c r="F78" i="4"/>
  <c r="E78" i="4"/>
  <c r="C78" i="4"/>
  <c r="B78" i="4"/>
  <c r="A78" i="4"/>
  <c r="N77" i="4"/>
  <c r="M77" i="4"/>
  <c r="L77" i="4"/>
  <c r="K77" i="4"/>
  <c r="J77" i="4"/>
  <c r="I77" i="4"/>
  <c r="F77" i="4"/>
  <c r="E77" i="4"/>
  <c r="C77" i="4"/>
  <c r="B77" i="4"/>
  <c r="A77" i="4"/>
  <c r="N76" i="4"/>
  <c r="M76" i="4"/>
  <c r="L76" i="4"/>
  <c r="K76" i="4"/>
  <c r="J76" i="4"/>
  <c r="I76" i="4"/>
  <c r="F76" i="4"/>
  <c r="E76" i="4"/>
  <c r="C76" i="4"/>
  <c r="B76" i="4"/>
  <c r="A76" i="4"/>
  <c r="N75" i="4"/>
  <c r="M75" i="4"/>
  <c r="L75" i="4"/>
  <c r="K75" i="4"/>
  <c r="J75" i="4"/>
  <c r="I75" i="4"/>
  <c r="F75" i="4"/>
  <c r="E75" i="4"/>
  <c r="C75" i="4"/>
  <c r="B75" i="4"/>
  <c r="A75" i="4"/>
  <c r="N74" i="4"/>
  <c r="M74" i="4"/>
  <c r="L74" i="4"/>
  <c r="K74" i="4"/>
  <c r="J74" i="4"/>
  <c r="I74" i="4"/>
  <c r="F74" i="4"/>
  <c r="E74" i="4"/>
  <c r="C74" i="4"/>
  <c r="B74" i="4"/>
  <c r="A74" i="4"/>
  <c r="N73" i="4"/>
  <c r="M73" i="4"/>
  <c r="L73" i="4"/>
  <c r="K73" i="4"/>
  <c r="J73" i="4"/>
  <c r="I73" i="4"/>
  <c r="F73" i="4"/>
  <c r="E73" i="4"/>
  <c r="C73" i="4"/>
  <c r="B73" i="4"/>
  <c r="A73" i="4"/>
  <c r="N72" i="4"/>
  <c r="M72" i="4"/>
  <c r="L72" i="4"/>
  <c r="K72" i="4"/>
  <c r="J72" i="4"/>
  <c r="I72" i="4"/>
  <c r="F72" i="4"/>
  <c r="E72" i="4"/>
  <c r="C72" i="4"/>
  <c r="B72" i="4"/>
  <c r="A72" i="4"/>
  <c r="N71" i="4"/>
  <c r="M71" i="4"/>
  <c r="L71" i="4"/>
  <c r="K71" i="4"/>
  <c r="J71" i="4"/>
  <c r="I71" i="4"/>
  <c r="F71" i="4"/>
  <c r="E71" i="4"/>
  <c r="C71" i="4"/>
  <c r="B71" i="4"/>
  <c r="A71" i="4"/>
  <c r="N70" i="4"/>
  <c r="M70" i="4"/>
  <c r="L70" i="4"/>
  <c r="K70" i="4"/>
  <c r="J70" i="4"/>
  <c r="I70" i="4"/>
  <c r="F70" i="4"/>
  <c r="E70" i="4"/>
  <c r="C70" i="4"/>
  <c r="B70" i="4"/>
  <c r="A70" i="4"/>
  <c r="N69" i="4"/>
  <c r="M69" i="4"/>
  <c r="L69" i="4"/>
  <c r="K69" i="4"/>
  <c r="J69" i="4"/>
  <c r="I69" i="4"/>
  <c r="F69" i="4"/>
  <c r="E69" i="4"/>
  <c r="C69" i="4"/>
  <c r="B69" i="4"/>
  <c r="A69" i="4"/>
  <c r="N68" i="4"/>
  <c r="M68" i="4"/>
  <c r="L68" i="4"/>
  <c r="K68" i="4"/>
  <c r="J68" i="4"/>
  <c r="I68" i="4"/>
  <c r="F68" i="4"/>
  <c r="E68" i="4"/>
  <c r="C68" i="4"/>
  <c r="B68" i="4"/>
  <c r="A68" i="4"/>
  <c r="N67" i="4"/>
  <c r="M67" i="4"/>
  <c r="L67" i="4"/>
  <c r="K67" i="4"/>
  <c r="J67" i="4"/>
  <c r="I67" i="4"/>
  <c r="F67" i="4"/>
  <c r="E67" i="4"/>
  <c r="C67" i="4"/>
  <c r="B67" i="4"/>
  <c r="A67" i="4"/>
  <c r="N66" i="4"/>
  <c r="M66" i="4"/>
  <c r="L66" i="4"/>
  <c r="K66" i="4"/>
  <c r="J66" i="4"/>
  <c r="I66" i="4"/>
  <c r="F66" i="4"/>
  <c r="E66" i="4"/>
  <c r="C66" i="4"/>
  <c r="B66" i="4"/>
  <c r="A66" i="4"/>
  <c r="N65" i="4"/>
  <c r="M65" i="4"/>
  <c r="L65" i="4"/>
  <c r="K65" i="4"/>
  <c r="J65" i="4"/>
  <c r="I65" i="4"/>
  <c r="F65" i="4"/>
  <c r="E65" i="4"/>
  <c r="C65" i="4"/>
  <c r="B65" i="4"/>
  <c r="A65" i="4"/>
  <c r="N64" i="4"/>
  <c r="M64" i="4"/>
  <c r="L64" i="4"/>
  <c r="K64" i="4"/>
  <c r="J64" i="4"/>
  <c r="I64" i="4"/>
  <c r="F64" i="4"/>
  <c r="E64" i="4"/>
  <c r="C64" i="4"/>
  <c r="B64" i="4"/>
  <c r="A64" i="4"/>
  <c r="N63" i="4"/>
  <c r="M63" i="4"/>
  <c r="L63" i="4"/>
  <c r="K63" i="4"/>
  <c r="J63" i="4"/>
  <c r="I63" i="4"/>
  <c r="F63" i="4"/>
  <c r="E63" i="4"/>
  <c r="C63" i="4"/>
  <c r="B63" i="4"/>
  <c r="A63" i="4"/>
  <c r="N62" i="4"/>
  <c r="M62" i="4"/>
  <c r="L62" i="4"/>
  <c r="K62" i="4"/>
  <c r="J62" i="4"/>
  <c r="I62" i="4"/>
  <c r="F62" i="4"/>
  <c r="E62" i="4"/>
  <c r="C62" i="4"/>
  <c r="B62" i="4"/>
  <c r="A62" i="4"/>
  <c r="N61" i="4"/>
  <c r="M61" i="4"/>
  <c r="L61" i="4"/>
  <c r="K61" i="4"/>
  <c r="J61" i="4"/>
  <c r="I61" i="4"/>
  <c r="F61" i="4"/>
  <c r="E61" i="4"/>
  <c r="C61" i="4"/>
  <c r="B61" i="4"/>
  <c r="A61" i="4"/>
  <c r="N60" i="4"/>
  <c r="M60" i="4"/>
  <c r="L60" i="4"/>
  <c r="K60" i="4"/>
  <c r="J60" i="4"/>
  <c r="I60" i="4"/>
  <c r="F60" i="4"/>
  <c r="E60" i="4"/>
  <c r="C60" i="4"/>
  <c r="B60" i="4"/>
  <c r="A60" i="4"/>
  <c r="N59" i="4"/>
  <c r="M59" i="4"/>
  <c r="L59" i="4"/>
  <c r="K59" i="4"/>
  <c r="J59" i="4"/>
  <c r="I59" i="4"/>
  <c r="F59" i="4"/>
  <c r="E59" i="4"/>
  <c r="C59" i="4"/>
  <c r="B59" i="4"/>
  <c r="A59" i="4"/>
  <c r="N58" i="4"/>
  <c r="M58" i="4"/>
  <c r="L58" i="4"/>
  <c r="K58" i="4"/>
  <c r="J58" i="4"/>
  <c r="I58" i="4"/>
  <c r="F58" i="4"/>
  <c r="E58" i="4"/>
  <c r="C58" i="4"/>
  <c r="B58" i="4"/>
  <c r="A58" i="4"/>
  <c r="N57" i="4"/>
  <c r="M57" i="4"/>
  <c r="L57" i="4"/>
  <c r="K57" i="4"/>
  <c r="J57" i="4"/>
  <c r="I57" i="4"/>
  <c r="F57" i="4"/>
  <c r="E57" i="4"/>
  <c r="C57" i="4"/>
  <c r="B57" i="4"/>
  <c r="A57" i="4"/>
  <c r="N56" i="4"/>
  <c r="M56" i="4"/>
  <c r="L56" i="4"/>
  <c r="K56" i="4"/>
  <c r="J56" i="4"/>
  <c r="I56" i="4"/>
  <c r="F56" i="4"/>
  <c r="E56" i="4"/>
  <c r="C56" i="4"/>
  <c r="B56" i="4"/>
  <c r="A56" i="4"/>
  <c r="N55" i="4"/>
  <c r="M55" i="4"/>
  <c r="L55" i="4"/>
  <c r="K55" i="4"/>
  <c r="J55" i="4"/>
  <c r="I55" i="4"/>
  <c r="F55" i="4"/>
  <c r="E55" i="4"/>
  <c r="C55" i="4"/>
  <c r="B55" i="4"/>
  <c r="A55" i="4"/>
  <c r="N54" i="4"/>
  <c r="M54" i="4"/>
  <c r="L54" i="4"/>
  <c r="K54" i="4"/>
  <c r="J54" i="4"/>
  <c r="I54" i="4"/>
  <c r="F54" i="4"/>
  <c r="E54" i="4"/>
  <c r="C54" i="4"/>
  <c r="B54" i="4"/>
  <c r="A54" i="4"/>
  <c r="N53" i="4"/>
  <c r="M53" i="4"/>
  <c r="L53" i="4"/>
  <c r="K53" i="4"/>
  <c r="J53" i="4"/>
  <c r="I53" i="4"/>
  <c r="F53" i="4"/>
  <c r="E53" i="4"/>
  <c r="C53" i="4"/>
  <c r="B53" i="4"/>
  <c r="A53" i="4"/>
  <c r="N52" i="4"/>
  <c r="M52" i="4"/>
  <c r="L52" i="4"/>
  <c r="K52" i="4"/>
  <c r="J52" i="4"/>
  <c r="I52" i="4"/>
  <c r="F52" i="4"/>
  <c r="E52" i="4"/>
  <c r="C52" i="4"/>
  <c r="B52" i="4"/>
  <c r="A52" i="4"/>
  <c r="N51" i="4"/>
  <c r="M51" i="4"/>
  <c r="L51" i="4"/>
  <c r="K51" i="4"/>
  <c r="J51" i="4"/>
  <c r="I51" i="4"/>
  <c r="F51" i="4"/>
  <c r="E51" i="4"/>
  <c r="C51" i="4"/>
  <c r="B51" i="4"/>
  <c r="A51" i="4"/>
  <c r="N50" i="4"/>
  <c r="M50" i="4"/>
  <c r="L50" i="4"/>
  <c r="K50" i="4"/>
  <c r="J50" i="4"/>
  <c r="I50" i="4"/>
  <c r="F50" i="4"/>
  <c r="E50" i="4"/>
  <c r="C50" i="4"/>
  <c r="B50" i="4"/>
  <c r="A50" i="4"/>
  <c r="N49" i="4"/>
  <c r="M49" i="4"/>
  <c r="L49" i="4"/>
  <c r="K49" i="4"/>
  <c r="J49" i="4"/>
  <c r="I49" i="4"/>
  <c r="F49" i="4"/>
  <c r="E49" i="4"/>
  <c r="C49" i="4"/>
  <c r="B49" i="4"/>
  <c r="A49" i="4"/>
  <c r="N48" i="4"/>
  <c r="M48" i="4"/>
  <c r="L48" i="4"/>
  <c r="K48" i="4"/>
  <c r="J48" i="4"/>
  <c r="I48" i="4"/>
  <c r="F48" i="4"/>
  <c r="E48" i="4"/>
  <c r="C48" i="4"/>
  <c r="B48" i="4"/>
  <c r="A48" i="4"/>
  <c r="N47" i="4"/>
  <c r="M47" i="4"/>
  <c r="L47" i="4"/>
  <c r="K47" i="4"/>
  <c r="J47" i="4"/>
  <c r="I47" i="4"/>
  <c r="F47" i="4"/>
  <c r="E47" i="4"/>
  <c r="C47" i="4"/>
  <c r="B47" i="4"/>
  <c r="A47" i="4"/>
  <c r="N46" i="4"/>
  <c r="M46" i="4"/>
  <c r="L46" i="4"/>
  <c r="K46" i="4"/>
  <c r="J46" i="4"/>
  <c r="I46" i="4"/>
  <c r="F46" i="4"/>
  <c r="E46" i="4"/>
  <c r="C46" i="4"/>
  <c r="B46" i="4"/>
  <c r="A46" i="4"/>
  <c r="N45" i="4"/>
  <c r="M45" i="4"/>
  <c r="L45" i="4"/>
  <c r="K45" i="4"/>
  <c r="J45" i="4"/>
  <c r="I45" i="4"/>
  <c r="F45" i="4"/>
  <c r="E45" i="4"/>
  <c r="C45" i="4"/>
  <c r="B45" i="4"/>
  <c r="A45" i="4"/>
  <c r="N44" i="4"/>
  <c r="M44" i="4"/>
  <c r="L44" i="4"/>
  <c r="K44" i="4"/>
  <c r="J44" i="4"/>
  <c r="I44" i="4"/>
  <c r="F44" i="4"/>
  <c r="E44" i="4"/>
  <c r="C44" i="4"/>
  <c r="B44" i="4"/>
  <c r="A44" i="4"/>
  <c r="N43" i="4"/>
  <c r="M43" i="4"/>
  <c r="L43" i="4"/>
  <c r="K43" i="4"/>
  <c r="J43" i="4"/>
  <c r="I43" i="4"/>
  <c r="F43" i="4"/>
  <c r="E43" i="4"/>
  <c r="C43" i="4"/>
  <c r="B43" i="4"/>
  <c r="A43" i="4"/>
  <c r="N42" i="4"/>
  <c r="M42" i="4"/>
  <c r="L42" i="4"/>
  <c r="K42" i="4"/>
  <c r="J42" i="4"/>
  <c r="I42" i="4"/>
  <c r="F42" i="4"/>
  <c r="E42" i="4"/>
  <c r="C42" i="4"/>
  <c r="B42" i="4"/>
  <c r="A42" i="4"/>
  <c r="N41" i="4"/>
  <c r="M41" i="4"/>
  <c r="L41" i="4"/>
  <c r="K41" i="4"/>
  <c r="J41" i="4"/>
  <c r="I41" i="4"/>
  <c r="F41" i="4"/>
  <c r="E41" i="4"/>
  <c r="C41" i="4"/>
  <c r="B41" i="4"/>
  <c r="A41" i="4"/>
  <c r="N40" i="4"/>
  <c r="M40" i="4"/>
  <c r="L40" i="4"/>
  <c r="K40" i="4"/>
  <c r="J40" i="4"/>
  <c r="I40" i="4"/>
  <c r="F40" i="4"/>
  <c r="E40" i="4"/>
  <c r="C40" i="4"/>
  <c r="B40" i="4"/>
  <c r="A40" i="4"/>
  <c r="N39" i="4"/>
  <c r="M39" i="4"/>
  <c r="L39" i="4"/>
  <c r="K39" i="4"/>
  <c r="J39" i="4"/>
  <c r="I39" i="4"/>
  <c r="F39" i="4"/>
  <c r="E39" i="4"/>
  <c r="C39" i="4"/>
  <c r="B39" i="4"/>
  <c r="A39" i="4"/>
  <c r="N38" i="4"/>
  <c r="M38" i="4"/>
  <c r="L38" i="4"/>
  <c r="K38" i="4"/>
  <c r="J38" i="4"/>
  <c r="I38" i="4"/>
  <c r="F38" i="4"/>
  <c r="E38" i="4"/>
  <c r="C38" i="4"/>
  <c r="B38" i="4"/>
  <c r="A38" i="4"/>
  <c r="N37" i="4"/>
  <c r="M37" i="4"/>
  <c r="L37" i="4"/>
  <c r="K37" i="4"/>
  <c r="J37" i="4"/>
  <c r="I37" i="4"/>
  <c r="F37" i="4"/>
  <c r="E37" i="4"/>
  <c r="C37" i="4"/>
  <c r="B37" i="4"/>
  <c r="A37" i="4"/>
  <c r="N36" i="4"/>
  <c r="M36" i="4"/>
  <c r="L36" i="4"/>
  <c r="K36" i="4"/>
  <c r="J36" i="4"/>
  <c r="I36" i="4"/>
  <c r="F36" i="4"/>
  <c r="E36" i="4"/>
  <c r="C36" i="4"/>
  <c r="B36" i="4"/>
  <c r="A36" i="4"/>
  <c r="N35" i="4"/>
  <c r="M35" i="4"/>
  <c r="L35" i="4"/>
  <c r="K35" i="4"/>
  <c r="J35" i="4"/>
  <c r="I35" i="4"/>
  <c r="F35" i="4"/>
  <c r="E35" i="4"/>
  <c r="C35" i="4"/>
  <c r="B35" i="4"/>
  <c r="A35" i="4"/>
  <c r="N34" i="4"/>
  <c r="M34" i="4"/>
  <c r="L34" i="4"/>
  <c r="K34" i="4"/>
  <c r="J34" i="4"/>
  <c r="I34" i="4"/>
  <c r="F34" i="4"/>
  <c r="E34" i="4"/>
  <c r="C34" i="4"/>
  <c r="B34" i="4"/>
  <c r="A34" i="4"/>
  <c r="N33" i="4"/>
  <c r="M33" i="4"/>
  <c r="L33" i="4"/>
  <c r="K33" i="4"/>
  <c r="J33" i="4"/>
  <c r="I33" i="4"/>
  <c r="F33" i="4"/>
  <c r="E33" i="4"/>
  <c r="C33" i="4"/>
  <c r="B33" i="4"/>
  <c r="A33" i="4"/>
  <c r="N32" i="4"/>
  <c r="M32" i="4"/>
  <c r="L32" i="4"/>
  <c r="K32" i="4"/>
  <c r="J32" i="4"/>
  <c r="I32" i="4"/>
  <c r="F32" i="4"/>
  <c r="E32" i="4"/>
  <c r="C32" i="4"/>
  <c r="B32" i="4"/>
  <c r="A32" i="4"/>
  <c r="N31" i="4"/>
  <c r="M31" i="4"/>
  <c r="L31" i="4"/>
  <c r="K31" i="4"/>
  <c r="J31" i="4"/>
  <c r="I31" i="4"/>
  <c r="F31" i="4"/>
  <c r="E31" i="4"/>
  <c r="C31" i="4"/>
  <c r="B31" i="4"/>
  <c r="A31" i="4"/>
  <c r="N30" i="4"/>
  <c r="M30" i="4"/>
  <c r="L30" i="4"/>
  <c r="K30" i="4"/>
  <c r="J30" i="4"/>
  <c r="I30" i="4"/>
  <c r="F30" i="4"/>
  <c r="E30" i="4"/>
  <c r="C30" i="4"/>
  <c r="B30" i="4"/>
  <c r="A30" i="4"/>
  <c r="N29" i="4"/>
  <c r="M29" i="4"/>
  <c r="L29" i="4"/>
  <c r="K29" i="4"/>
  <c r="J29" i="4"/>
  <c r="I29" i="4"/>
  <c r="F29" i="4"/>
  <c r="E29" i="4"/>
  <c r="C29" i="4"/>
  <c r="B29" i="4"/>
  <c r="A29" i="4"/>
  <c r="N28" i="4"/>
  <c r="M28" i="4"/>
  <c r="L28" i="4"/>
  <c r="K28" i="4"/>
  <c r="J28" i="4"/>
  <c r="I28" i="4"/>
  <c r="F28" i="4"/>
  <c r="E28" i="4"/>
  <c r="C28" i="4"/>
  <c r="B28" i="4"/>
  <c r="A28" i="4"/>
  <c r="N27" i="4"/>
  <c r="M27" i="4"/>
  <c r="L27" i="4"/>
  <c r="K27" i="4"/>
  <c r="J27" i="4"/>
  <c r="I27" i="4"/>
  <c r="F27" i="4"/>
  <c r="E27" i="4"/>
  <c r="C27" i="4"/>
  <c r="B27" i="4"/>
  <c r="A27" i="4"/>
  <c r="N26" i="4"/>
  <c r="M26" i="4"/>
  <c r="L26" i="4"/>
  <c r="K26" i="4"/>
  <c r="J26" i="4"/>
  <c r="I26" i="4"/>
  <c r="F26" i="4"/>
  <c r="E26" i="4"/>
  <c r="C26" i="4"/>
  <c r="B26" i="4"/>
  <c r="A26" i="4"/>
  <c r="N25" i="4"/>
  <c r="M25" i="4"/>
  <c r="L25" i="4"/>
  <c r="K25" i="4"/>
  <c r="J25" i="4"/>
  <c r="I25" i="4"/>
  <c r="F25" i="4"/>
  <c r="E25" i="4"/>
  <c r="C25" i="4"/>
  <c r="B25" i="4"/>
  <c r="A25" i="4"/>
  <c r="N24" i="4"/>
  <c r="M24" i="4"/>
  <c r="L24" i="4"/>
  <c r="K24" i="4"/>
  <c r="J24" i="4"/>
  <c r="I24" i="4"/>
  <c r="F24" i="4"/>
  <c r="E24" i="4"/>
  <c r="C24" i="4"/>
  <c r="B24" i="4"/>
  <c r="A24" i="4"/>
  <c r="N23" i="4"/>
  <c r="M23" i="4"/>
  <c r="L23" i="4"/>
  <c r="K23" i="4"/>
  <c r="J23" i="4"/>
  <c r="I23" i="4"/>
  <c r="F23" i="4"/>
  <c r="E23" i="4"/>
  <c r="C23" i="4"/>
  <c r="B23" i="4"/>
  <c r="A23" i="4"/>
  <c r="N22" i="4"/>
  <c r="M22" i="4"/>
  <c r="L22" i="4"/>
  <c r="K22" i="4"/>
  <c r="J22" i="4"/>
  <c r="I22" i="4"/>
  <c r="F22" i="4"/>
  <c r="E22" i="4"/>
  <c r="C22" i="4"/>
  <c r="B22" i="4"/>
  <c r="A22" i="4"/>
  <c r="N21" i="4"/>
  <c r="M21" i="4"/>
  <c r="L21" i="4"/>
  <c r="K21" i="4"/>
  <c r="J21" i="4"/>
  <c r="I21" i="4"/>
  <c r="F21" i="4"/>
  <c r="E21" i="4"/>
  <c r="C21" i="4"/>
  <c r="B21" i="4"/>
  <c r="A21" i="4"/>
  <c r="N20" i="4"/>
  <c r="M20" i="4"/>
  <c r="L20" i="4"/>
  <c r="K20" i="4"/>
  <c r="J20" i="4"/>
  <c r="I20" i="4"/>
  <c r="F20" i="4"/>
  <c r="E20" i="4"/>
  <c r="C20" i="4"/>
  <c r="B20" i="4"/>
  <c r="A20" i="4"/>
  <c r="N19" i="4"/>
  <c r="M19" i="4"/>
  <c r="L19" i="4"/>
  <c r="K19" i="4"/>
  <c r="J19" i="4"/>
  <c r="I19" i="4"/>
  <c r="F19" i="4"/>
  <c r="E19" i="4"/>
  <c r="C19" i="4"/>
  <c r="B19" i="4"/>
  <c r="A19" i="4"/>
  <c r="N18" i="4"/>
  <c r="M18" i="4"/>
  <c r="L18" i="4"/>
  <c r="K18" i="4"/>
  <c r="J18" i="4"/>
  <c r="I18" i="4"/>
  <c r="F18" i="4"/>
  <c r="E18" i="4"/>
  <c r="C18" i="4"/>
  <c r="B18" i="4"/>
  <c r="A18" i="4"/>
  <c r="N17" i="4"/>
  <c r="M17" i="4"/>
  <c r="L17" i="4"/>
  <c r="K17" i="4"/>
  <c r="J17" i="4"/>
  <c r="I17" i="4"/>
  <c r="F17" i="4"/>
  <c r="E17" i="4"/>
  <c r="C17" i="4"/>
  <c r="B17" i="4"/>
  <c r="A17" i="4"/>
  <c r="N16" i="4"/>
  <c r="M16" i="4"/>
  <c r="L16" i="4"/>
  <c r="K16" i="4"/>
  <c r="J16" i="4"/>
  <c r="I16" i="4"/>
  <c r="F16" i="4"/>
  <c r="E16" i="4"/>
  <c r="C16" i="4"/>
  <c r="B16" i="4"/>
  <c r="A16" i="4"/>
  <c r="N15" i="4"/>
  <c r="M15" i="4"/>
  <c r="L15" i="4"/>
  <c r="K15" i="4"/>
  <c r="J15" i="4"/>
  <c r="I15" i="4"/>
  <c r="F15" i="4"/>
  <c r="E15" i="4"/>
  <c r="C15" i="4"/>
  <c r="B15" i="4"/>
  <c r="A15" i="4"/>
  <c r="N14" i="4"/>
  <c r="M14" i="4"/>
  <c r="L14" i="4"/>
  <c r="K14" i="4"/>
  <c r="J14" i="4"/>
  <c r="I14" i="4"/>
  <c r="F14" i="4"/>
  <c r="E14" i="4"/>
  <c r="C14" i="4"/>
  <c r="B14" i="4"/>
  <c r="A14" i="4"/>
  <c r="N13" i="4"/>
  <c r="M13" i="4"/>
  <c r="L13" i="4"/>
  <c r="K13" i="4"/>
  <c r="J13" i="4"/>
  <c r="I13" i="4"/>
  <c r="F13" i="4"/>
  <c r="E13" i="4"/>
  <c r="C13" i="4"/>
  <c r="B13" i="4"/>
  <c r="A13" i="4"/>
  <c r="N12" i="4"/>
  <c r="M12" i="4"/>
  <c r="L12" i="4"/>
  <c r="K12" i="4"/>
  <c r="J12" i="4"/>
  <c r="I12" i="4"/>
  <c r="F12" i="4"/>
  <c r="E12" i="4"/>
  <c r="C12" i="4"/>
  <c r="B12" i="4"/>
  <c r="A12" i="4"/>
  <c r="N11" i="4"/>
  <c r="M11" i="4"/>
  <c r="L11" i="4"/>
  <c r="K11" i="4"/>
  <c r="J11" i="4"/>
  <c r="I11" i="4"/>
  <c r="F11" i="4"/>
  <c r="E11" i="4"/>
  <c r="C11" i="4"/>
  <c r="B11" i="4"/>
  <c r="A11" i="4"/>
  <c r="N10" i="4"/>
  <c r="M10" i="4"/>
  <c r="L10" i="4"/>
  <c r="K10" i="4"/>
  <c r="J10" i="4"/>
  <c r="I10" i="4"/>
  <c r="F10" i="4"/>
  <c r="E10" i="4"/>
  <c r="C10" i="4"/>
  <c r="B10" i="4"/>
  <c r="A10" i="4"/>
  <c r="N9" i="4"/>
  <c r="M9" i="4"/>
  <c r="L9" i="4"/>
  <c r="K9" i="4"/>
  <c r="J9" i="4"/>
  <c r="I9" i="4"/>
  <c r="F9" i="4"/>
  <c r="E9" i="4"/>
  <c r="C9" i="4"/>
  <c r="B9" i="4"/>
  <c r="A9" i="4"/>
  <c r="N8" i="4"/>
  <c r="M8" i="4"/>
  <c r="L8" i="4"/>
  <c r="K8" i="4"/>
  <c r="J8" i="4"/>
  <c r="I8" i="4"/>
  <c r="F8" i="4"/>
  <c r="E8" i="4"/>
  <c r="C8" i="4"/>
  <c r="B8" i="4"/>
  <c r="A8" i="4"/>
  <c r="N7" i="4"/>
  <c r="M7" i="4"/>
  <c r="L7" i="4"/>
  <c r="K7" i="4"/>
  <c r="J7" i="4"/>
  <c r="I7" i="4"/>
  <c r="F7" i="4"/>
  <c r="E7" i="4"/>
  <c r="C7" i="4"/>
  <c r="B7" i="4"/>
  <c r="A7" i="4"/>
  <c r="N6" i="4"/>
  <c r="M6" i="4"/>
  <c r="L6" i="4"/>
  <c r="K6" i="4"/>
  <c r="J6" i="4"/>
  <c r="I6" i="4"/>
  <c r="F6" i="4"/>
  <c r="E6" i="4"/>
  <c r="C6" i="4"/>
  <c r="B6" i="4"/>
  <c r="A6" i="4"/>
  <c r="N5" i="4"/>
  <c r="M5" i="4"/>
  <c r="L5" i="4"/>
  <c r="K5" i="4"/>
  <c r="J5" i="4"/>
  <c r="I5" i="4"/>
  <c r="F5" i="4"/>
  <c r="E5" i="4"/>
  <c r="C5" i="4"/>
  <c r="B5" i="4"/>
  <c r="A5" i="4"/>
  <c r="N4" i="4"/>
  <c r="M4" i="4"/>
  <c r="L4" i="4"/>
  <c r="K4" i="4"/>
  <c r="J4" i="4"/>
  <c r="I4" i="4"/>
  <c r="F4" i="4"/>
  <c r="E4" i="4"/>
  <c r="C4" i="4"/>
  <c r="B4" i="4"/>
  <c r="A4" i="4"/>
  <c r="N3" i="4"/>
  <c r="M3" i="4"/>
  <c r="L3" i="4"/>
  <c r="K3" i="4"/>
  <c r="J3" i="4"/>
  <c r="I3" i="4"/>
  <c r="F3" i="4"/>
  <c r="E3" i="4"/>
  <c r="C3" i="4"/>
  <c r="B3" i="4"/>
  <c r="A3" i="4"/>
  <c r="H13" i="3"/>
  <c r="F13" i="3"/>
  <c r="E13" i="3"/>
  <c r="H12" i="3"/>
  <c r="F12" i="3"/>
  <c r="E12" i="3"/>
  <c r="H11" i="3"/>
  <c r="F11" i="3"/>
  <c r="E11" i="3"/>
  <c r="H10" i="3"/>
  <c r="F10" i="3"/>
  <c r="E10" i="3"/>
  <c r="H9" i="3"/>
  <c r="F9" i="3"/>
  <c r="E9" i="3"/>
  <c r="H8" i="3"/>
  <c r="G8" i="3"/>
  <c r="F8" i="3"/>
  <c r="E8" i="3"/>
  <c r="H7" i="3"/>
  <c r="F7" i="3"/>
  <c r="E7" i="3"/>
  <c r="G7" i="3" s="1"/>
  <c r="H6" i="3"/>
  <c r="F6" i="3"/>
  <c r="E6" i="3"/>
  <c r="G6" i="3" s="1"/>
  <c r="H5" i="3"/>
  <c r="F5" i="3"/>
  <c r="E5" i="3"/>
  <c r="G5" i="3" s="1"/>
  <c r="J4" i="3"/>
  <c r="H4" i="3"/>
  <c r="F4" i="3"/>
  <c r="E4" i="3"/>
  <c r="BB180" i="2"/>
  <c r="BA180" i="2"/>
  <c r="AZ180" i="2"/>
  <c r="AY180" i="2"/>
  <c r="AX180" i="2"/>
  <c r="AW180" i="2"/>
  <c r="AV180" i="2"/>
  <c r="AU180" i="2"/>
  <c r="AT180" i="2"/>
  <c r="H120" i="4" s="1"/>
  <c r="AS180" i="2"/>
  <c r="G120" i="4" s="1"/>
  <c r="AM180" i="2"/>
  <c r="AM179" i="2"/>
  <c r="AS179" i="2" s="1"/>
  <c r="G100" i="4" s="1"/>
  <c r="BB178" i="2"/>
  <c r="BA178" i="2"/>
  <c r="AZ178" i="2"/>
  <c r="AY178" i="2"/>
  <c r="AX178" i="2"/>
  <c r="AW178" i="2"/>
  <c r="AV178" i="2"/>
  <c r="AU178" i="2"/>
  <c r="AT178" i="2"/>
  <c r="H105" i="4" s="1"/>
  <c r="AM178" i="2"/>
  <c r="AS178" i="2" s="1"/>
  <c r="G105" i="4" s="1"/>
  <c r="BB177" i="2"/>
  <c r="BA177" i="2"/>
  <c r="AZ177" i="2"/>
  <c r="AY177" i="2"/>
  <c r="AX177" i="2"/>
  <c r="AW177" i="2"/>
  <c r="AV177" i="2"/>
  <c r="AU177" i="2"/>
  <c r="AM177" i="2"/>
  <c r="K13" i="3" s="1"/>
  <c r="BB176" i="2"/>
  <c r="BA176" i="2"/>
  <c r="AZ176" i="2"/>
  <c r="AY176" i="2"/>
  <c r="AX176" i="2"/>
  <c r="AW176" i="2"/>
  <c r="AV176" i="2"/>
  <c r="AU176" i="2"/>
  <c r="AS176" i="2"/>
  <c r="G31" i="24" s="1"/>
  <c r="I31" i="24" s="1"/>
  <c r="AM176" i="2"/>
  <c r="AT176" i="2" s="1"/>
  <c r="F176" i="6" s="1"/>
  <c r="AI176" i="2"/>
  <c r="BB175" i="2"/>
  <c r="BA175" i="2"/>
  <c r="AZ175" i="2"/>
  <c r="AY175" i="2"/>
  <c r="AX175" i="2"/>
  <c r="AW175" i="2"/>
  <c r="AV175" i="2"/>
  <c r="AU175" i="2"/>
  <c r="AM175" i="2"/>
  <c r="AT175" i="2" s="1"/>
  <c r="AI175" i="2"/>
  <c r="BB174" i="2"/>
  <c r="BA174" i="2"/>
  <c r="AZ174" i="2"/>
  <c r="AY174" i="2"/>
  <c r="AX174" i="2"/>
  <c r="AW174" i="2"/>
  <c r="AV174" i="2"/>
  <c r="AU174" i="2"/>
  <c r="AT174" i="2"/>
  <c r="F174" i="6" s="1"/>
  <c r="AM174" i="2"/>
  <c r="AS174" i="2" s="1"/>
  <c r="G28" i="24" s="1"/>
  <c r="AI174" i="2"/>
  <c r="BB173" i="2"/>
  <c r="BA173" i="2"/>
  <c r="AZ173" i="2"/>
  <c r="AY173" i="2"/>
  <c r="AX173" i="2"/>
  <c r="AW173" i="2"/>
  <c r="AV173" i="2"/>
  <c r="AU173" i="2"/>
  <c r="AT173" i="2"/>
  <c r="F173" i="6" s="1"/>
  <c r="AM173" i="2"/>
  <c r="G173" i="38" s="1"/>
  <c r="AI173" i="2"/>
  <c r="BB172" i="2"/>
  <c r="BA172" i="2"/>
  <c r="AZ172" i="2"/>
  <c r="AY172" i="2"/>
  <c r="AX172" i="2"/>
  <c r="AW172" i="2"/>
  <c r="AV172" i="2"/>
  <c r="AU172" i="2"/>
  <c r="AM172" i="2"/>
  <c r="G172" i="38" s="1"/>
  <c r="AI172" i="2"/>
  <c r="BB171" i="2"/>
  <c r="BA171" i="2"/>
  <c r="AZ171" i="2"/>
  <c r="AY171" i="2"/>
  <c r="AX171" i="2"/>
  <c r="AW171" i="2"/>
  <c r="AV171" i="2"/>
  <c r="AU171" i="2"/>
  <c r="AM171" i="2"/>
  <c r="G171" i="38" s="1"/>
  <c r="AI171" i="2"/>
  <c r="BB170" i="2"/>
  <c r="BA170" i="2"/>
  <c r="AZ170" i="2"/>
  <c r="AY170" i="2"/>
  <c r="AX170" i="2"/>
  <c r="AW170" i="2"/>
  <c r="AV170" i="2"/>
  <c r="AU170" i="2"/>
  <c r="AT170" i="2"/>
  <c r="F170" i="6" s="1"/>
  <c r="AS170" i="2"/>
  <c r="G178" i="4" s="1"/>
  <c r="AM170" i="2"/>
  <c r="G170" i="38" s="1"/>
  <c r="AI170" i="2"/>
  <c r="BB169" i="2"/>
  <c r="BA169" i="2"/>
  <c r="AZ169" i="2"/>
  <c r="AY169" i="2"/>
  <c r="AX169" i="2"/>
  <c r="AW169" i="2"/>
  <c r="AV169" i="2"/>
  <c r="AU169" i="2"/>
  <c r="AM169" i="2"/>
  <c r="G169" i="38" s="1"/>
  <c r="AI169" i="2"/>
  <c r="BB168" i="2"/>
  <c r="BA168" i="2"/>
  <c r="AZ168" i="2"/>
  <c r="AY168" i="2"/>
  <c r="AX168" i="2"/>
  <c r="AW168" i="2"/>
  <c r="AV168" i="2"/>
  <c r="AU168" i="2"/>
  <c r="AS168" i="2"/>
  <c r="G176" i="4" s="1"/>
  <c r="AM168" i="2"/>
  <c r="G168" i="38" s="1"/>
  <c r="AI168" i="2"/>
  <c r="BB167" i="2"/>
  <c r="BA167" i="2"/>
  <c r="AZ167" i="2"/>
  <c r="AY167" i="2"/>
  <c r="AX167" i="2"/>
  <c r="AW167" i="2"/>
  <c r="AV167" i="2"/>
  <c r="AU167" i="2"/>
  <c r="AM167" i="2"/>
  <c r="G167" i="38" s="1"/>
  <c r="AI167" i="2"/>
  <c r="BB166" i="2"/>
  <c r="BA166" i="2"/>
  <c r="AZ166" i="2"/>
  <c r="AY166" i="2"/>
  <c r="AX166" i="2"/>
  <c r="AW166" i="2"/>
  <c r="AV166" i="2"/>
  <c r="AU166" i="2"/>
  <c r="AM166" i="2"/>
  <c r="G166" i="38" s="1"/>
  <c r="AI166" i="2"/>
  <c r="BB165" i="2"/>
  <c r="BA165" i="2"/>
  <c r="AZ165" i="2"/>
  <c r="AY165" i="2"/>
  <c r="AX165" i="2"/>
  <c r="AW165" i="2"/>
  <c r="AV165" i="2"/>
  <c r="AU165" i="2"/>
  <c r="AS165" i="2"/>
  <c r="G173" i="4" s="1"/>
  <c r="AM165" i="2"/>
  <c r="G165" i="38" s="1"/>
  <c r="AI165" i="2"/>
  <c r="BB164" i="2"/>
  <c r="BA164" i="2"/>
  <c r="AZ164" i="2"/>
  <c r="AY164" i="2"/>
  <c r="AX164" i="2"/>
  <c r="AW164" i="2"/>
  <c r="AV164" i="2"/>
  <c r="AU164" i="2"/>
  <c r="AT164" i="2"/>
  <c r="F164" i="6" s="1"/>
  <c r="AS164" i="2"/>
  <c r="G172" i="4" s="1"/>
  <c r="AM164" i="2"/>
  <c r="G164" i="38" s="1"/>
  <c r="AI164" i="2"/>
  <c r="BB163" i="2"/>
  <c r="BA163" i="2"/>
  <c r="AZ163" i="2"/>
  <c r="AY163" i="2"/>
  <c r="AX163" i="2"/>
  <c r="AW163" i="2"/>
  <c r="AV163" i="2"/>
  <c r="AU163" i="2"/>
  <c r="AM163" i="2"/>
  <c r="G163" i="38" s="1"/>
  <c r="AI163" i="2"/>
  <c r="BB162" i="2"/>
  <c r="BA162" i="2"/>
  <c r="AZ162" i="2"/>
  <c r="AY162" i="2"/>
  <c r="AX162" i="2"/>
  <c r="AW162" i="2"/>
  <c r="AV162" i="2"/>
  <c r="AU162" i="2"/>
  <c r="AM162" i="2"/>
  <c r="G162" i="38" s="1"/>
  <c r="AI162" i="2"/>
  <c r="BB161" i="2"/>
  <c r="BA161" i="2"/>
  <c r="AZ161" i="2"/>
  <c r="AY161" i="2"/>
  <c r="AX161" i="2"/>
  <c r="AW161" i="2"/>
  <c r="AV161" i="2"/>
  <c r="AU161" i="2"/>
  <c r="AM161" i="2"/>
  <c r="G161" i="38" s="1"/>
  <c r="AI161" i="2"/>
  <c r="BB160" i="2"/>
  <c r="BA160" i="2"/>
  <c r="AZ160" i="2"/>
  <c r="AY160" i="2"/>
  <c r="AX160" i="2"/>
  <c r="AW160" i="2"/>
  <c r="AV160" i="2"/>
  <c r="AU160" i="2"/>
  <c r="AM160" i="2"/>
  <c r="AT160" i="2" s="1"/>
  <c r="AI160" i="2"/>
  <c r="BB159" i="2"/>
  <c r="BA159" i="2"/>
  <c r="AZ159" i="2"/>
  <c r="AY159" i="2"/>
  <c r="AX159" i="2"/>
  <c r="AW159" i="2"/>
  <c r="AV159" i="2"/>
  <c r="AU159" i="2"/>
  <c r="AM159" i="2"/>
  <c r="G159" i="38" s="1"/>
  <c r="AI159" i="2"/>
  <c r="BB158" i="2"/>
  <c r="BA158" i="2"/>
  <c r="AZ158" i="2"/>
  <c r="AY158" i="2"/>
  <c r="AX158" i="2"/>
  <c r="AW158" i="2"/>
  <c r="AV158" i="2"/>
  <c r="AU158" i="2"/>
  <c r="AT158" i="2"/>
  <c r="H78" i="4" s="1"/>
  <c r="AS158" i="2"/>
  <c r="G78" i="4" s="1"/>
  <c r="AM158" i="2"/>
  <c r="G158" i="38" s="1"/>
  <c r="AI158" i="2"/>
  <c r="BB157" i="2"/>
  <c r="BA157" i="2"/>
  <c r="AZ157" i="2"/>
  <c r="AY157" i="2"/>
  <c r="AX157" i="2"/>
  <c r="AW157" i="2"/>
  <c r="AV157" i="2"/>
  <c r="AU157" i="2"/>
  <c r="AM157" i="2"/>
  <c r="G157" i="38" s="1"/>
  <c r="AI157" i="2"/>
  <c r="BB156" i="2"/>
  <c r="BA156" i="2"/>
  <c r="AZ156" i="2"/>
  <c r="AY156" i="2"/>
  <c r="AX156" i="2"/>
  <c r="AW156" i="2"/>
  <c r="AV156" i="2"/>
  <c r="AU156" i="2"/>
  <c r="AM156" i="2"/>
  <c r="G156" i="38" s="1"/>
  <c r="AI156" i="2"/>
  <c r="BB155" i="2"/>
  <c r="BA155" i="2"/>
  <c r="AZ155" i="2"/>
  <c r="AY155" i="2"/>
  <c r="AX155" i="2"/>
  <c r="AW155" i="2"/>
  <c r="AV155" i="2"/>
  <c r="AU155" i="2"/>
  <c r="AT155" i="2"/>
  <c r="F155" i="6" s="1"/>
  <c r="AS155" i="2"/>
  <c r="G165" i="4" s="1"/>
  <c r="AM155" i="2"/>
  <c r="G155" i="38" s="1"/>
  <c r="AI155" i="2"/>
  <c r="BB154" i="2"/>
  <c r="BA154" i="2"/>
  <c r="AZ154" i="2"/>
  <c r="AY154" i="2"/>
  <c r="AX154" i="2"/>
  <c r="AW154" i="2"/>
  <c r="AV154" i="2"/>
  <c r="AU154" i="2"/>
  <c r="AM154" i="2"/>
  <c r="G154" i="38" s="1"/>
  <c r="AI154" i="2"/>
  <c r="BB153" i="2"/>
  <c r="BA153" i="2"/>
  <c r="AZ153" i="2"/>
  <c r="AY153" i="2"/>
  <c r="AX153" i="2"/>
  <c r="AW153" i="2"/>
  <c r="AV153" i="2"/>
  <c r="AU153" i="2"/>
  <c r="AM153" i="2"/>
  <c r="G153" i="38" s="1"/>
  <c r="AI153" i="2"/>
  <c r="BB152" i="2"/>
  <c r="BA152" i="2"/>
  <c r="AZ152" i="2"/>
  <c r="AY152" i="2"/>
  <c r="AX152" i="2"/>
  <c r="AW152" i="2"/>
  <c r="AV152" i="2"/>
  <c r="AU152" i="2"/>
  <c r="AM152" i="2"/>
  <c r="G152" i="38" s="1"/>
  <c r="AI152" i="2"/>
  <c r="BB151" i="2"/>
  <c r="BA151" i="2"/>
  <c r="AZ151" i="2"/>
  <c r="AY151" i="2"/>
  <c r="AX151" i="2"/>
  <c r="AW151" i="2"/>
  <c r="AV151" i="2"/>
  <c r="AU151" i="2"/>
  <c r="AM151" i="2"/>
  <c r="G151" i="38" s="1"/>
  <c r="AI151" i="2"/>
  <c r="BB150" i="2"/>
  <c r="BA150" i="2"/>
  <c r="AZ150" i="2"/>
  <c r="AY150" i="2"/>
  <c r="AX150" i="2"/>
  <c r="AW150" i="2"/>
  <c r="AV150" i="2"/>
  <c r="AU150" i="2"/>
  <c r="AM150" i="2"/>
  <c r="G150" i="38" s="1"/>
  <c r="AI150" i="2"/>
  <c r="BB149" i="2"/>
  <c r="BA149" i="2"/>
  <c r="AZ149" i="2"/>
  <c r="AY149" i="2"/>
  <c r="AX149" i="2"/>
  <c r="AW149" i="2"/>
  <c r="AV149" i="2"/>
  <c r="AU149" i="2"/>
  <c r="AM149" i="2"/>
  <c r="G149" i="38" s="1"/>
  <c r="AI149" i="2"/>
  <c r="BB148" i="2"/>
  <c r="BA148" i="2"/>
  <c r="AZ148" i="2"/>
  <c r="AY148" i="2"/>
  <c r="AX148" i="2"/>
  <c r="AW148" i="2"/>
  <c r="AV148" i="2"/>
  <c r="AU148" i="2"/>
  <c r="AM148" i="2"/>
  <c r="AS148" i="2" s="1"/>
  <c r="G158" i="4" s="1"/>
  <c r="AI148" i="2"/>
  <c r="BB147" i="2"/>
  <c r="BA147" i="2"/>
  <c r="AZ147" i="2"/>
  <c r="AY147" i="2"/>
  <c r="AX147" i="2"/>
  <c r="AW147" i="2"/>
  <c r="AV147" i="2"/>
  <c r="AU147" i="2"/>
  <c r="AM147" i="2"/>
  <c r="G147" i="38" s="1"/>
  <c r="AI147" i="2"/>
  <c r="BB146" i="2"/>
  <c r="BA146" i="2"/>
  <c r="AZ146" i="2"/>
  <c r="AY146" i="2"/>
  <c r="AX146" i="2"/>
  <c r="AW146" i="2"/>
  <c r="AV146" i="2"/>
  <c r="AU146" i="2"/>
  <c r="AM146" i="2"/>
  <c r="G146" i="38" s="1"/>
  <c r="AI146" i="2"/>
  <c r="BB145" i="2"/>
  <c r="BA145" i="2"/>
  <c r="AZ145" i="2"/>
  <c r="AY145" i="2"/>
  <c r="AX145" i="2"/>
  <c r="AW145" i="2"/>
  <c r="AV145" i="2"/>
  <c r="AU145" i="2"/>
  <c r="AM145" i="2"/>
  <c r="G145" i="38" s="1"/>
  <c r="AI145" i="2"/>
  <c r="BB144" i="2"/>
  <c r="BA144" i="2"/>
  <c r="AZ144" i="2"/>
  <c r="AY144" i="2"/>
  <c r="AX144" i="2"/>
  <c r="AW144" i="2"/>
  <c r="AV144" i="2"/>
  <c r="AU144" i="2"/>
  <c r="AM144" i="2"/>
  <c r="G144" i="38" s="1"/>
  <c r="AI144" i="2"/>
  <c r="BB143" i="2"/>
  <c r="BA143" i="2"/>
  <c r="AZ143" i="2"/>
  <c r="AY143" i="2"/>
  <c r="AX143" i="2"/>
  <c r="AW143" i="2"/>
  <c r="AV143" i="2"/>
  <c r="AU143" i="2"/>
  <c r="AT143" i="2"/>
  <c r="F143" i="6" s="1"/>
  <c r="AM143" i="2"/>
  <c r="G143" i="38" s="1"/>
  <c r="AI143" i="2"/>
  <c r="BB142" i="2"/>
  <c r="BA142" i="2"/>
  <c r="AZ142" i="2"/>
  <c r="AY142" i="2"/>
  <c r="AX142" i="2"/>
  <c r="AW142" i="2"/>
  <c r="AV142" i="2"/>
  <c r="AU142" i="2"/>
  <c r="AM142" i="2"/>
  <c r="AT142" i="2" s="1"/>
  <c r="AI142" i="2"/>
  <c r="BB141" i="2"/>
  <c r="BA141" i="2"/>
  <c r="AZ141" i="2"/>
  <c r="AY141" i="2"/>
  <c r="AX141" i="2"/>
  <c r="AW141" i="2"/>
  <c r="AV141" i="2"/>
  <c r="AU141" i="2"/>
  <c r="AM141" i="2"/>
  <c r="G141" i="38" s="1"/>
  <c r="AI141" i="2"/>
  <c r="BB140" i="2"/>
  <c r="BA140" i="2"/>
  <c r="AZ140" i="2"/>
  <c r="AY140" i="2"/>
  <c r="AX140" i="2"/>
  <c r="AW140" i="2"/>
  <c r="AV140" i="2"/>
  <c r="AU140" i="2"/>
  <c r="AM140" i="2"/>
  <c r="G140" i="38" s="1"/>
  <c r="AI140" i="2"/>
  <c r="BB139" i="2"/>
  <c r="BA139" i="2"/>
  <c r="AZ139" i="2"/>
  <c r="AY139" i="2"/>
  <c r="AX139" i="2"/>
  <c r="AW139" i="2"/>
  <c r="AV139" i="2"/>
  <c r="AU139" i="2"/>
  <c r="AM139" i="2"/>
  <c r="G139" i="38" s="1"/>
  <c r="AI139" i="2"/>
  <c r="BB138" i="2"/>
  <c r="BA138" i="2"/>
  <c r="AZ138" i="2"/>
  <c r="AY138" i="2"/>
  <c r="AX138" i="2"/>
  <c r="AW138" i="2"/>
  <c r="AV138" i="2"/>
  <c r="AU138" i="2"/>
  <c r="AM138" i="2"/>
  <c r="G138" i="38" s="1"/>
  <c r="AI138" i="2"/>
  <c r="BB137" i="2"/>
  <c r="BA137" i="2"/>
  <c r="AZ137" i="2"/>
  <c r="AY137" i="2"/>
  <c r="AX137" i="2"/>
  <c r="AW137" i="2"/>
  <c r="AV137" i="2"/>
  <c r="AU137" i="2"/>
  <c r="AM137" i="2"/>
  <c r="G137" i="38" s="1"/>
  <c r="AI137" i="2"/>
  <c r="BB136" i="2"/>
  <c r="BA136" i="2"/>
  <c r="AZ136" i="2"/>
  <c r="AY136" i="2"/>
  <c r="AX136" i="2"/>
  <c r="AW136" i="2"/>
  <c r="AV136" i="2"/>
  <c r="AU136" i="2"/>
  <c r="AM136" i="2"/>
  <c r="AI136" i="2"/>
  <c r="BB135" i="2"/>
  <c r="BA135" i="2"/>
  <c r="AZ135" i="2"/>
  <c r="AY135" i="2"/>
  <c r="AX135" i="2"/>
  <c r="AW135" i="2"/>
  <c r="AV135" i="2"/>
  <c r="AU135" i="2"/>
  <c r="AM135" i="2"/>
  <c r="AT135" i="2" s="1"/>
  <c r="AI135" i="2"/>
  <c r="BB134" i="2"/>
  <c r="BA134" i="2"/>
  <c r="AZ134" i="2"/>
  <c r="AY134" i="2"/>
  <c r="AX134" i="2"/>
  <c r="AW134" i="2"/>
  <c r="AV134" i="2"/>
  <c r="AU134" i="2"/>
  <c r="AT134" i="2"/>
  <c r="F134" i="6" s="1"/>
  <c r="AM134" i="2"/>
  <c r="G134" i="38" s="1"/>
  <c r="AI134" i="2"/>
  <c r="BB133" i="2"/>
  <c r="BA133" i="2"/>
  <c r="AZ133" i="2"/>
  <c r="AY133" i="2"/>
  <c r="AX133" i="2"/>
  <c r="AW133" i="2"/>
  <c r="AV133" i="2"/>
  <c r="AU133" i="2"/>
  <c r="AM133" i="2"/>
  <c r="G133" i="38" s="1"/>
  <c r="AI133" i="2"/>
  <c r="BB132" i="2"/>
  <c r="BA132" i="2"/>
  <c r="AZ132" i="2"/>
  <c r="AY132" i="2"/>
  <c r="AX132" i="2"/>
  <c r="AW132" i="2"/>
  <c r="AV132" i="2"/>
  <c r="AU132" i="2"/>
  <c r="AM132" i="2"/>
  <c r="G132" i="38" s="1"/>
  <c r="AI132" i="2"/>
  <c r="BB131" i="2"/>
  <c r="BA131" i="2"/>
  <c r="AZ131" i="2"/>
  <c r="AY131" i="2"/>
  <c r="AX131" i="2"/>
  <c r="AW131" i="2"/>
  <c r="AV131" i="2"/>
  <c r="AU131" i="2"/>
  <c r="AT131" i="2"/>
  <c r="F131" i="6" s="1"/>
  <c r="AM131" i="2"/>
  <c r="AI131" i="2"/>
  <c r="BB130" i="2"/>
  <c r="BA130" i="2"/>
  <c r="AZ130" i="2"/>
  <c r="AY130" i="2"/>
  <c r="AX130" i="2"/>
  <c r="AW130" i="2"/>
  <c r="AV130" i="2"/>
  <c r="AU130" i="2"/>
  <c r="AM130" i="2"/>
  <c r="G130" i="38" s="1"/>
  <c r="AI130" i="2"/>
  <c r="BB129" i="2"/>
  <c r="BA129" i="2"/>
  <c r="AZ129" i="2"/>
  <c r="AY129" i="2"/>
  <c r="AX129" i="2"/>
  <c r="AW129" i="2"/>
  <c r="AV129" i="2"/>
  <c r="AU129" i="2"/>
  <c r="AM129" i="2"/>
  <c r="AI129" i="2"/>
  <c r="BB128" i="2"/>
  <c r="BA128" i="2"/>
  <c r="AZ128" i="2"/>
  <c r="AY128" i="2"/>
  <c r="AX128" i="2"/>
  <c r="AW128" i="2"/>
  <c r="AV128" i="2"/>
  <c r="AU128" i="2"/>
  <c r="AT128" i="2"/>
  <c r="F128" i="6" s="1"/>
  <c r="AM128" i="2"/>
  <c r="G128" i="38" s="1"/>
  <c r="AI128" i="2"/>
  <c r="BB127" i="2"/>
  <c r="BA127" i="2"/>
  <c r="AZ127" i="2"/>
  <c r="AY127" i="2"/>
  <c r="AX127" i="2"/>
  <c r="AW127" i="2"/>
  <c r="AV127" i="2"/>
  <c r="AU127" i="2"/>
  <c r="AM127" i="2"/>
  <c r="G127" i="38" s="1"/>
  <c r="AI127" i="2"/>
  <c r="BB126" i="2"/>
  <c r="BA126" i="2"/>
  <c r="AZ126" i="2"/>
  <c r="AY126" i="2"/>
  <c r="AX126" i="2"/>
  <c r="AW126" i="2"/>
  <c r="AV126" i="2"/>
  <c r="AU126" i="2"/>
  <c r="AM126" i="2"/>
  <c r="G126" i="38" s="1"/>
  <c r="AI126" i="2"/>
  <c r="BB125" i="2"/>
  <c r="BA125" i="2"/>
  <c r="AZ125" i="2"/>
  <c r="AY125" i="2"/>
  <c r="AX125" i="2"/>
  <c r="AW125" i="2"/>
  <c r="AV125" i="2"/>
  <c r="AU125" i="2"/>
  <c r="AT125" i="2"/>
  <c r="F125" i="6" s="1"/>
  <c r="AM125" i="2"/>
  <c r="G125" i="38" s="1"/>
  <c r="AI125" i="2"/>
  <c r="BB124" i="2"/>
  <c r="BA124" i="2"/>
  <c r="AZ124" i="2"/>
  <c r="AY124" i="2"/>
  <c r="AX124" i="2"/>
  <c r="AW124" i="2"/>
  <c r="AV124" i="2"/>
  <c r="AU124" i="2"/>
  <c r="AM124" i="2"/>
  <c r="G124" i="38" s="1"/>
  <c r="AI124" i="2"/>
  <c r="BB123" i="2"/>
  <c r="BA123" i="2"/>
  <c r="AZ123" i="2"/>
  <c r="AY123" i="2"/>
  <c r="AX123" i="2"/>
  <c r="AW123" i="2"/>
  <c r="AV123" i="2"/>
  <c r="AU123" i="2"/>
  <c r="AM123" i="2"/>
  <c r="G123" i="38" s="1"/>
  <c r="AI123" i="2"/>
  <c r="BB122" i="2"/>
  <c r="BA122" i="2"/>
  <c r="AZ122" i="2"/>
  <c r="AY122" i="2"/>
  <c r="AX122" i="2"/>
  <c r="AW122" i="2"/>
  <c r="AV122" i="2"/>
  <c r="AU122" i="2"/>
  <c r="AM122" i="2"/>
  <c r="G122" i="38" s="1"/>
  <c r="AI122" i="2"/>
  <c r="BB121" i="2"/>
  <c r="BA121" i="2"/>
  <c r="AZ121" i="2"/>
  <c r="AY121" i="2"/>
  <c r="AX121" i="2"/>
  <c r="AW121" i="2"/>
  <c r="AV121" i="2"/>
  <c r="AU121" i="2"/>
  <c r="AM121" i="2"/>
  <c r="G121" i="38" s="1"/>
  <c r="AI121" i="2"/>
  <c r="BB120" i="2"/>
  <c r="BA120" i="2"/>
  <c r="AZ120" i="2"/>
  <c r="AY120" i="2"/>
  <c r="AX120" i="2"/>
  <c r="AW120" i="2"/>
  <c r="AV120" i="2"/>
  <c r="AU120" i="2"/>
  <c r="AM120" i="2"/>
  <c r="G120" i="38" s="1"/>
  <c r="AI120" i="2"/>
  <c r="BB119" i="2"/>
  <c r="BA119" i="2"/>
  <c r="AZ119" i="2"/>
  <c r="AY119" i="2"/>
  <c r="AX119" i="2"/>
  <c r="AW119" i="2"/>
  <c r="AV119" i="2"/>
  <c r="AU119" i="2"/>
  <c r="AT119" i="2"/>
  <c r="F119" i="6" s="1"/>
  <c r="AM119" i="2"/>
  <c r="AS119" i="2" s="1"/>
  <c r="AI119" i="2"/>
  <c r="BB118" i="2"/>
  <c r="BA118" i="2"/>
  <c r="AZ118" i="2"/>
  <c r="AY118" i="2"/>
  <c r="AX118" i="2"/>
  <c r="AW118" i="2"/>
  <c r="AV118" i="2"/>
  <c r="AU118" i="2"/>
  <c r="AM118" i="2"/>
  <c r="G118" i="38" s="1"/>
  <c r="AI118" i="2"/>
  <c r="BB117" i="2"/>
  <c r="BA117" i="2"/>
  <c r="AZ117" i="2"/>
  <c r="AY117" i="2"/>
  <c r="AX117" i="2"/>
  <c r="AW117" i="2"/>
  <c r="AV117" i="2"/>
  <c r="AU117" i="2"/>
  <c r="AM117" i="2"/>
  <c r="AS117" i="2" s="1"/>
  <c r="AI117" i="2"/>
  <c r="BB116" i="2"/>
  <c r="BA116" i="2"/>
  <c r="AZ116" i="2"/>
  <c r="AY116" i="2"/>
  <c r="AX116" i="2"/>
  <c r="AW116" i="2"/>
  <c r="AV116" i="2"/>
  <c r="AU116" i="2"/>
  <c r="AM116" i="2"/>
  <c r="G116" i="38" s="1"/>
  <c r="AI116" i="2"/>
  <c r="BB115" i="2"/>
  <c r="BA115" i="2"/>
  <c r="AZ115" i="2"/>
  <c r="AY115" i="2"/>
  <c r="AX115" i="2"/>
  <c r="AW115" i="2"/>
  <c r="AV115" i="2"/>
  <c r="AU115" i="2"/>
  <c r="AM115" i="2"/>
  <c r="G115" i="38" s="1"/>
  <c r="AI115" i="2"/>
  <c r="BB114" i="2"/>
  <c r="BA114" i="2"/>
  <c r="AZ114" i="2"/>
  <c r="AY114" i="2"/>
  <c r="AX114" i="2"/>
  <c r="AW114" i="2"/>
  <c r="AV114" i="2"/>
  <c r="AU114" i="2"/>
  <c r="AM114" i="2"/>
  <c r="G114" i="38" s="1"/>
  <c r="AI114" i="2"/>
  <c r="BB113" i="2"/>
  <c r="BA113" i="2"/>
  <c r="AZ113" i="2"/>
  <c r="AY113" i="2"/>
  <c r="AX113" i="2"/>
  <c r="AW113" i="2"/>
  <c r="AV113" i="2"/>
  <c r="AU113" i="2"/>
  <c r="AT113" i="2"/>
  <c r="AM113" i="2"/>
  <c r="AI113" i="2"/>
  <c r="BB112" i="2"/>
  <c r="BA112" i="2"/>
  <c r="AZ112" i="2"/>
  <c r="AY112" i="2"/>
  <c r="AX112" i="2"/>
  <c r="AW112" i="2"/>
  <c r="AV112" i="2"/>
  <c r="AU112" i="2"/>
  <c r="AM112" i="2"/>
  <c r="G112" i="38" s="1"/>
  <c r="AI112" i="2"/>
  <c r="BB111" i="2"/>
  <c r="BA111" i="2"/>
  <c r="AZ111" i="2"/>
  <c r="AY111" i="2"/>
  <c r="AX111" i="2"/>
  <c r="AW111" i="2"/>
  <c r="AV111" i="2"/>
  <c r="AU111" i="2"/>
  <c r="AM111" i="2"/>
  <c r="G111" i="38" s="1"/>
  <c r="AI111" i="2"/>
  <c r="BB110" i="2"/>
  <c r="BA110" i="2"/>
  <c r="AZ110" i="2"/>
  <c r="AY110" i="2"/>
  <c r="AX110" i="2"/>
  <c r="AW110" i="2"/>
  <c r="AV110" i="2"/>
  <c r="AU110" i="2"/>
  <c r="AT110" i="2"/>
  <c r="H67" i="4" s="1"/>
  <c r="AM110" i="2"/>
  <c r="G110" i="38" s="1"/>
  <c r="AI110" i="2"/>
  <c r="BB109" i="2"/>
  <c r="BA109" i="2"/>
  <c r="AZ109" i="2"/>
  <c r="AY109" i="2"/>
  <c r="AX109" i="2"/>
  <c r="AW109" i="2"/>
  <c r="AV109" i="2"/>
  <c r="AU109" i="2"/>
  <c r="AM109" i="2"/>
  <c r="G109" i="38" s="1"/>
  <c r="AI109" i="2"/>
  <c r="BB108" i="2"/>
  <c r="BA108" i="2"/>
  <c r="AZ108" i="2"/>
  <c r="AY108" i="2"/>
  <c r="AX108" i="2"/>
  <c r="AW108" i="2"/>
  <c r="AV108" i="2"/>
  <c r="AU108" i="2"/>
  <c r="AM108" i="2"/>
  <c r="G108" i="38" s="1"/>
  <c r="AI108" i="2"/>
  <c r="BB107" i="2"/>
  <c r="BA107" i="2"/>
  <c r="AZ107" i="2"/>
  <c r="AY107" i="2"/>
  <c r="AX107" i="2"/>
  <c r="AW107" i="2"/>
  <c r="AV107" i="2"/>
  <c r="AU107" i="2"/>
  <c r="AT107" i="2"/>
  <c r="F107" i="6" s="1"/>
  <c r="AM107" i="2"/>
  <c r="AI107" i="2"/>
  <c r="BB106" i="2"/>
  <c r="BA106" i="2"/>
  <c r="AZ106" i="2"/>
  <c r="AY106" i="2"/>
  <c r="AX106" i="2"/>
  <c r="AW106" i="2"/>
  <c r="AV106" i="2"/>
  <c r="AU106" i="2"/>
  <c r="AM106" i="2"/>
  <c r="G106" i="38" s="1"/>
  <c r="AI106" i="2"/>
  <c r="BB105" i="2"/>
  <c r="BA105" i="2"/>
  <c r="AZ105" i="2"/>
  <c r="AY105" i="2"/>
  <c r="AX105" i="2"/>
  <c r="AW105" i="2"/>
  <c r="AV105" i="2"/>
  <c r="AU105" i="2"/>
  <c r="AM105" i="2"/>
  <c r="AI105" i="2"/>
  <c r="BB104" i="2"/>
  <c r="BA104" i="2"/>
  <c r="AZ104" i="2"/>
  <c r="AY104" i="2"/>
  <c r="AX104" i="2"/>
  <c r="AW104" i="2"/>
  <c r="AV104" i="2"/>
  <c r="AU104" i="2"/>
  <c r="AM104" i="2"/>
  <c r="G104" i="38" s="1"/>
  <c r="AI104" i="2"/>
  <c r="BB103" i="2"/>
  <c r="BA103" i="2"/>
  <c r="AZ103" i="2"/>
  <c r="AY103" i="2"/>
  <c r="AX103" i="2"/>
  <c r="AW103" i="2"/>
  <c r="AV103" i="2"/>
  <c r="AU103" i="2"/>
  <c r="AM103" i="2"/>
  <c r="G103" i="38" s="1"/>
  <c r="AI103" i="2"/>
  <c r="BB102" i="2"/>
  <c r="BA102" i="2"/>
  <c r="AZ102" i="2"/>
  <c r="AY102" i="2"/>
  <c r="AX102" i="2"/>
  <c r="AW102" i="2"/>
  <c r="AV102" i="2"/>
  <c r="AU102" i="2"/>
  <c r="AM102" i="2"/>
  <c r="G102" i="38" s="1"/>
  <c r="AI102" i="2"/>
  <c r="BB101" i="2"/>
  <c r="BA101" i="2"/>
  <c r="AZ101" i="2"/>
  <c r="AY101" i="2"/>
  <c r="AX101" i="2"/>
  <c r="AW101" i="2"/>
  <c r="AV101" i="2"/>
  <c r="AU101" i="2"/>
  <c r="AM101" i="2"/>
  <c r="G101" i="38" s="1"/>
  <c r="AI101" i="2"/>
  <c r="BB100" i="2"/>
  <c r="BA100" i="2"/>
  <c r="AZ100" i="2"/>
  <c r="AY100" i="2"/>
  <c r="AX100" i="2"/>
  <c r="AW100" i="2"/>
  <c r="AV100" i="2"/>
  <c r="AU100" i="2"/>
  <c r="AM100" i="2"/>
  <c r="G100" i="38" s="1"/>
  <c r="AI100" i="2"/>
  <c r="BB99" i="2"/>
  <c r="BA99" i="2"/>
  <c r="AZ99" i="2"/>
  <c r="AY99" i="2"/>
  <c r="AX99" i="2"/>
  <c r="AW99" i="2"/>
  <c r="AV99" i="2"/>
  <c r="AU99" i="2"/>
  <c r="AM99" i="2"/>
  <c r="G99" i="38" s="1"/>
  <c r="AI99" i="2"/>
  <c r="BB98" i="2"/>
  <c r="BA98" i="2"/>
  <c r="AZ98" i="2"/>
  <c r="AY98" i="2"/>
  <c r="AX98" i="2"/>
  <c r="AW98" i="2"/>
  <c r="AV98" i="2"/>
  <c r="AU98" i="2"/>
  <c r="AM98" i="2"/>
  <c r="G98" i="38" s="1"/>
  <c r="AI98" i="2"/>
  <c r="BB97" i="2"/>
  <c r="BA97" i="2"/>
  <c r="AZ97" i="2"/>
  <c r="AY97" i="2"/>
  <c r="AX97" i="2"/>
  <c r="AW97" i="2"/>
  <c r="AV97" i="2"/>
  <c r="AU97" i="2"/>
  <c r="AM97" i="2"/>
  <c r="AI97" i="2"/>
  <c r="BB96" i="2"/>
  <c r="BA96" i="2"/>
  <c r="AZ96" i="2"/>
  <c r="AY96" i="2"/>
  <c r="AX96" i="2"/>
  <c r="AW96" i="2"/>
  <c r="AV96" i="2"/>
  <c r="AU96" i="2"/>
  <c r="AM96" i="2"/>
  <c r="G96" i="38" s="1"/>
  <c r="AI96" i="2"/>
  <c r="BB95" i="2"/>
  <c r="BA95" i="2"/>
  <c r="AZ95" i="2"/>
  <c r="AY95" i="2"/>
  <c r="AX95" i="2"/>
  <c r="AW95" i="2"/>
  <c r="AV95" i="2"/>
  <c r="AU95" i="2"/>
  <c r="AM95" i="2"/>
  <c r="G95" i="38" s="1"/>
  <c r="AI95" i="2"/>
  <c r="BB94" i="2"/>
  <c r="BA94" i="2"/>
  <c r="AZ94" i="2"/>
  <c r="AY94" i="2"/>
  <c r="AX94" i="2"/>
  <c r="AW94" i="2"/>
  <c r="AV94" i="2"/>
  <c r="AU94" i="2"/>
  <c r="AM94" i="2"/>
  <c r="G94" i="38" s="1"/>
  <c r="AI94" i="2"/>
  <c r="BB93" i="2"/>
  <c r="BA93" i="2"/>
  <c r="AZ93" i="2"/>
  <c r="AY93" i="2"/>
  <c r="AX93" i="2"/>
  <c r="AW93" i="2"/>
  <c r="AV93" i="2"/>
  <c r="AU93" i="2"/>
  <c r="AM93" i="2"/>
  <c r="G93" i="38" s="1"/>
  <c r="AI93" i="2"/>
  <c r="BB92" i="2"/>
  <c r="BA92" i="2"/>
  <c r="AZ92" i="2"/>
  <c r="AY92" i="2"/>
  <c r="AX92" i="2"/>
  <c r="AW92" i="2"/>
  <c r="AV92" i="2"/>
  <c r="AU92" i="2"/>
  <c r="AM92" i="2"/>
  <c r="AT92" i="2" s="1"/>
  <c r="F92" i="6" s="1"/>
  <c r="AI92" i="2"/>
  <c r="BB91" i="2"/>
  <c r="BA91" i="2"/>
  <c r="AZ91" i="2"/>
  <c r="AY91" i="2"/>
  <c r="AX91" i="2"/>
  <c r="AW91" i="2"/>
  <c r="AV91" i="2"/>
  <c r="AU91" i="2"/>
  <c r="AM91" i="2"/>
  <c r="AI91" i="2"/>
  <c r="BB90" i="2"/>
  <c r="BA90" i="2"/>
  <c r="AZ90" i="2"/>
  <c r="AY90" i="2"/>
  <c r="AX90" i="2"/>
  <c r="AW90" i="2"/>
  <c r="AV90" i="2"/>
  <c r="AU90" i="2"/>
  <c r="AM90" i="2"/>
  <c r="G90" i="38" s="1"/>
  <c r="AI90" i="2"/>
  <c r="BB89" i="2"/>
  <c r="BA89" i="2"/>
  <c r="AZ89" i="2"/>
  <c r="AY89" i="2"/>
  <c r="AX89" i="2"/>
  <c r="AW89" i="2"/>
  <c r="AV89" i="2"/>
  <c r="AU89" i="2"/>
  <c r="AT89" i="2"/>
  <c r="F89" i="6" s="1"/>
  <c r="AM89" i="2"/>
  <c r="G89" i="38" s="1"/>
  <c r="AI89" i="2"/>
  <c r="BB88" i="2"/>
  <c r="BA88" i="2"/>
  <c r="AZ88" i="2"/>
  <c r="AY88" i="2"/>
  <c r="AX88" i="2"/>
  <c r="AW88" i="2"/>
  <c r="AV88" i="2"/>
  <c r="AU88" i="2"/>
  <c r="AM88" i="2"/>
  <c r="G88" i="38" s="1"/>
  <c r="AI88" i="2"/>
  <c r="BB87" i="2"/>
  <c r="BA87" i="2"/>
  <c r="AZ87" i="2"/>
  <c r="AY87" i="2"/>
  <c r="AX87" i="2"/>
  <c r="AW87" i="2"/>
  <c r="AV87" i="2"/>
  <c r="AU87" i="2"/>
  <c r="AM87" i="2"/>
  <c r="G87" i="38" s="1"/>
  <c r="AI87" i="2"/>
  <c r="BB86" i="2"/>
  <c r="BA86" i="2"/>
  <c r="AZ86" i="2"/>
  <c r="AY86" i="2"/>
  <c r="AX86" i="2"/>
  <c r="AW86" i="2"/>
  <c r="AV86" i="2"/>
  <c r="AU86" i="2"/>
  <c r="AM86" i="2"/>
  <c r="G86" i="38" s="1"/>
  <c r="AI86" i="2"/>
  <c r="BB85" i="2"/>
  <c r="BA85" i="2"/>
  <c r="AZ85" i="2"/>
  <c r="AY85" i="2"/>
  <c r="AX85" i="2"/>
  <c r="AW85" i="2"/>
  <c r="AV85" i="2"/>
  <c r="AU85" i="2"/>
  <c r="AM85" i="2"/>
  <c r="G85" i="38" s="1"/>
  <c r="AI85" i="2"/>
  <c r="BB84" i="2"/>
  <c r="BA84" i="2"/>
  <c r="AZ84" i="2"/>
  <c r="AY84" i="2"/>
  <c r="AX84" i="2"/>
  <c r="AW84" i="2"/>
  <c r="AV84" i="2"/>
  <c r="AU84" i="2"/>
  <c r="AM84" i="2"/>
  <c r="G84" i="38" s="1"/>
  <c r="AI84" i="2"/>
  <c r="BB83" i="2"/>
  <c r="BA83" i="2"/>
  <c r="AZ83" i="2"/>
  <c r="AY83" i="2"/>
  <c r="AX83" i="2"/>
  <c r="AW83" i="2"/>
  <c r="AV83" i="2"/>
  <c r="AU83" i="2"/>
  <c r="AM83" i="2"/>
  <c r="G83" i="38" s="1"/>
  <c r="AI83" i="2"/>
  <c r="BB82" i="2"/>
  <c r="BA82" i="2"/>
  <c r="AZ82" i="2"/>
  <c r="AY82" i="2"/>
  <c r="AX82" i="2"/>
  <c r="AW82" i="2"/>
  <c r="AV82" i="2"/>
  <c r="AU82" i="2"/>
  <c r="AM82" i="2"/>
  <c r="G82" i="38" s="1"/>
  <c r="AI82" i="2"/>
  <c r="BB81" i="2"/>
  <c r="BA81" i="2"/>
  <c r="AZ81" i="2"/>
  <c r="AY81" i="2"/>
  <c r="AX81" i="2"/>
  <c r="AW81" i="2"/>
  <c r="AV81" i="2"/>
  <c r="AU81" i="2"/>
  <c r="AM81" i="2"/>
  <c r="AT81" i="2" s="1"/>
  <c r="AI81" i="2"/>
  <c r="BB80" i="2"/>
  <c r="BA80" i="2"/>
  <c r="AZ80" i="2"/>
  <c r="AY80" i="2"/>
  <c r="AX80" i="2"/>
  <c r="AW80" i="2"/>
  <c r="AV80" i="2"/>
  <c r="AU80" i="2"/>
  <c r="AM80" i="2"/>
  <c r="AS80" i="2" s="1"/>
  <c r="G18" i="4" s="1"/>
  <c r="AI80" i="2"/>
  <c r="BB79" i="2"/>
  <c r="BA79" i="2"/>
  <c r="AZ79" i="2"/>
  <c r="AY79" i="2"/>
  <c r="AX79" i="2"/>
  <c r="AW79" i="2"/>
  <c r="AV79" i="2"/>
  <c r="AU79" i="2"/>
  <c r="AM79" i="2"/>
  <c r="G79" i="38" s="1"/>
  <c r="AI79" i="2"/>
  <c r="BB78" i="2"/>
  <c r="BA78" i="2"/>
  <c r="AZ78" i="2"/>
  <c r="AY78" i="2"/>
  <c r="AX78" i="2"/>
  <c r="AW78" i="2"/>
  <c r="AV78" i="2"/>
  <c r="AU78" i="2"/>
  <c r="AM78" i="2"/>
  <c r="G78" i="38" s="1"/>
  <c r="AI78" i="2"/>
  <c r="BB77" i="2"/>
  <c r="BA77" i="2"/>
  <c r="AZ77" i="2"/>
  <c r="AY77" i="2"/>
  <c r="AX77" i="2"/>
  <c r="AW77" i="2"/>
  <c r="AV77" i="2"/>
  <c r="AU77" i="2"/>
  <c r="AT77" i="2"/>
  <c r="F77" i="6" s="1"/>
  <c r="AM77" i="2"/>
  <c r="G77" i="38" s="1"/>
  <c r="AI77" i="2"/>
  <c r="BB76" i="2"/>
  <c r="BA76" i="2"/>
  <c r="AZ76" i="2"/>
  <c r="AY76" i="2"/>
  <c r="AX76" i="2"/>
  <c r="AW76" i="2"/>
  <c r="AV76" i="2"/>
  <c r="AU76" i="2"/>
  <c r="AM76" i="2"/>
  <c r="G76" i="38" s="1"/>
  <c r="AI76" i="2"/>
  <c r="BB75" i="2"/>
  <c r="BA75" i="2"/>
  <c r="AZ75" i="2"/>
  <c r="AY75" i="2"/>
  <c r="AX75" i="2"/>
  <c r="AW75" i="2"/>
  <c r="AV75" i="2"/>
  <c r="AU75" i="2"/>
  <c r="AM75" i="2"/>
  <c r="G75" i="38" s="1"/>
  <c r="AI75" i="2"/>
  <c r="BB74" i="2"/>
  <c r="BA74" i="2"/>
  <c r="AZ74" i="2"/>
  <c r="AY74" i="2"/>
  <c r="AX74" i="2"/>
  <c r="AW74" i="2"/>
  <c r="AV74" i="2"/>
  <c r="AU74" i="2"/>
  <c r="AT74" i="2"/>
  <c r="F74" i="6" s="1"/>
  <c r="AM74" i="2"/>
  <c r="G74" i="38" s="1"/>
  <c r="AI74" i="2"/>
  <c r="BB73" i="2"/>
  <c r="BA73" i="2"/>
  <c r="AZ73" i="2"/>
  <c r="AY73" i="2"/>
  <c r="AX73" i="2"/>
  <c r="AW73" i="2"/>
  <c r="AV73" i="2"/>
  <c r="AU73" i="2"/>
  <c r="AM73" i="2"/>
  <c r="G73" i="38" s="1"/>
  <c r="AI73" i="2"/>
  <c r="BB72" i="2"/>
  <c r="BA72" i="2"/>
  <c r="AZ72" i="2"/>
  <c r="AY72" i="2"/>
  <c r="AX72" i="2"/>
  <c r="AW72" i="2"/>
  <c r="AV72" i="2"/>
  <c r="AU72" i="2"/>
  <c r="AM72" i="2"/>
  <c r="G72" i="38" s="1"/>
  <c r="AI72" i="2"/>
  <c r="BB71" i="2"/>
  <c r="BA71" i="2"/>
  <c r="AZ71" i="2"/>
  <c r="AY71" i="2"/>
  <c r="AX71" i="2"/>
  <c r="AW71" i="2"/>
  <c r="AV71" i="2"/>
  <c r="AU71" i="2"/>
  <c r="AT71" i="2"/>
  <c r="F71" i="6" s="1"/>
  <c r="AM71" i="2"/>
  <c r="G71" i="38" s="1"/>
  <c r="AI71" i="2"/>
  <c r="BB70" i="2"/>
  <c r="BA70" i="2"/>
  <c r="AZ70" i="2"/>
  <c r="AY70" i="2"/>
  <c r="AX70" i="2"/>
  <c r="AW70" i="2"/>
  <c r="AV70" i="2"/>
  <c r="AU70" i="2"/>
  <c r="AM70" i="2"/>
  <c r="G70" i="38" s="1"/>
  <c r="AI70" i="2"/>
  <c r="BB69" i="2"/>
  <c r="BA69" i="2"/>
  <c r="AZ69" i="2"/>
  <c r="AY69" i="2"/>
  <c r="AX69" i="2"/>
  <c r="AW69" i="2"/>
  <c r="AV69" i="2"/>
  <c r="AU69" i="2"/>
  <c r="AM69" i="2"/>
  <c r="G69" i="38" s="1"/>
  <c r="AI69" i="2"/>
  <c r="BB68" i="2"/>
  <c r="BA68" i="2"/>
  <c r="AZ68" i="2"/>
  <c r="AY68" i="2"/>
  <c r="AX68" i="2"/>
  <c r="AW68" i="2"/>
  <c r="AV68" i="2"/>
  <c r="AU68" i="2"/>
  <c r="AM68" i="2"/>
  <c r="G68" i="38" s="1"/>
  <c r="AI68" i="2"/>
  <c r="BB67" i="2"/>
  <c r="BA67" i="2"/>
  <c r="AZ67" i="2"/>
  <c r="AY67" i="2"/>
  <c r="AX67" i="2"/>
  <c r="AW67" i="2"/>
  <c r="AV67" i="2"/>
  <c r="AU67" i="2"/>
  <c r="AM67" i="2"/>
  <c r="G67" i="38" s="1"/>
  <c r="AI67" i="2"/>
  <c r="BB66" i="2"/>
  <c r="BA66" i="2"/>
  <c r="AZ66" i="2"/>
  <c r="AY66" i="2"/>
  <c r="AX66" i="2"/>
  <c r="AW66" i="2"/>
  <c r="AV66" i="2"/>
  <c r="AU66" i="2"/>
  <c r="AM66" i="2"/>
  <c r="G66" i="38" s="1"/>
  <c r="AI66" i="2"/>
  <c r="BB65" i="2"/>
  <c r="BA65" i="2"/>
  <c r="AZ65" i="2"/>
  <c r="AY65" i="2"/>
  <c r="AX65" i="2"/>
  <c r="AW65" i="2"/>
  <c r="AV65" i="2"/>
  <c r="AU65" i="2"/>
  <c r="AT65" i="2"/>
  <c r="F65" i="6" s="1"/>
  <c r="AM65" i="2"/>
  <c r="G65" i="38" s="1"/>
  <c r="AI65" i="2"/>
  <c r="BB64" i="2"/>
  <c r="BA64" i="2"/>
  <c r="AZ64" i="2"/>
  <c r="AY64" i="2"/>
  <c r="AX64" i="2"/>
  <c r="AW64" i="2"/>
  <c r="AV64" i="2"/>
  <c r="AU64" i="2"/>
  <c r="AM64" i="2"/>
  <c r="G64" i="38" s="1"/>
  <c r="AI64" i="2"/>
  <c r="BB63" i="2"/>
  <c r="BA63" i="2"/>
  <c r="AZ63" i="2"/>
  <c r="AY63" i="2"/>
  <c r="AX63" i="2"/>
  <c r="AW63" i="2"/>
  <c r="AV63" i="2"/>
  <c r="AU63" i="2"/>
  <c r="AM63" i="2"/>
  <c r="G63" i="38" s="1"/>
  <c r="AI63" i="2"/>
  <c r="BB62" i="2"/>
  <c r="BA62" i="2"/>
  <c r="AZ62" i="2"/>
  <c r="AY62" i="2"/>
  <c r="AX62" i="2"/>
  <c r="AW62" i="2"/>
  <c r="AV62" i="2"/>
  <c r="AU62" i="2"/>
  <c r="AM62" i="2"/>
  <c r="G62" i="38" s="1"/>
  <c r="AI62" i="2"/>
  <c r="BB61" i="2"/>
  <c r="BA61" i="2"/>
  <c r="AZ61" i="2"/>
  <c r="AY61" i="2"/>
  <c r="AX61" i="2"/>
  <c r="AW61" i="2"/>
  <c r="AV61" i="2"/>
  <c r="AU61" i="2"/>
  <c r="AM61" i="2"/>
  <c r="AI61" i="2"/>
  <c r="BB60" i="2"/>
  <c r="BA60" i="2"/>
  <c r="AZ60" i="2"/>
  <c r="AY60" i="2"/>
  <c r="AX60" i="2"/>
  <c r="AW60" i="2"/>
  <c r="AV60" i="2"/>
  <c r="AU60" i="2"/>
  <c r="AM60" i="2"/>
  <c r="AS60" i="2" s="1"/>
  <c r="G99" i="4" s="1"/>
  <c r="AI60" i="2"/>
  <c r="BB59" i="2"/>
  <c r="BA59" i="2"/>
  <c r="AZ59" i="2"/>
  <c r="AY59" i="2"/>
  <c r="AX59" i="2"/>
  <c r="AW59" i="2"/>
  <c r="AV59" i="2"/>
  <c r="AU59" i="2"/>
  <c r="AT59" i="2"/>
  <c r="F59" i="6" s="1"/>
  <c r="AM59" i="2"/>
  <c r="G59" i="38" s="1"/>
  <c r="AI59" i="2"/>
  <c r="BB58" i="2"/>
  <c r="BA58" i="2"/>
  <c r="AZ58" i="2"/>
  <c r="AY58" i="2"/>
  <c r="AX58" i="2"/>
  <c r="AW58" i="2"/>
  <c r="AV58" i="2"/>
  <c r="AU58" i="2"/>
  <c r="AM58" i="2"/>
  <c r="G58" i="38" s="1"/>
  <c r="AI58" i="2"/>
  <c r="BB57" i="2"/>
  <c r="BA57" i="2"/>
  <c r="AZ57" i="2"/>
  <c r="AY57" i="2"/>
  <c r="AX57" i="2"/>
  <c r="AW57" i="2"/>
  <c r="AV57" i="2"/>
  <c r="AU57" i="2"/>
  <c r="AM57" i="2"/>
  <c r="G57" i="38" s="1"/>
  <c r="AI57" i="2"/>
  <c r="BB56" i="2"/>
  <c r="BA56" i="2"/>
  <c r="AZ56" i="2"/>
  <c r="AY56" i="2"/>
  <c r="AX56" i="2"/>
  <c r="AW56" i="2"/>
  <c r="AV56" i="2"/>
  <c r="AU56" i="2"/>
  <c r="AT56" i="2"/>
  <c r="F56" i="6" s="1"/>
  <c r="AM56" i="2"/>
  <c r="G56" i="38" s="1"/>
  <c r="AI56" i="2"/>
  <c r="BB55" i="2"/>
  <c r="BA55" i="2"/>
  <c r="AZ55" i="2"/>
  <c r="AY55" i="2"/>
  <c r="AX55" i="2"/>
  <c r="AW55" i="2"/>
  <c r="AV55" i="2"/>
  <c r="AU55" i="2"/>
  <c r="AM55" i="2"/>
  <c r="G55" i="38" s="1"/>
  <c r="AI55" i="2"/>
  <c r="BB54" i="2"/>
  <c r="BA54" i="2"/>
  <c r="AZ54" i="2"/>
  <c r="AY54" i="2"/>
  <c r="AX54" i="2"/>
  <c r="AW54" i="2"/>
  <c r="AV54" i="2"/>
  <c r="AU54" i="2"/>
  <c r="AM54" i="2"/>
  <c r="G54" i="38" s="1"/>
  <c r="AI54" i="2"/>
  <c r="BB53" i="2"/>
  <c r="BA53" i="2"/>
  <c r="AZ53" i="2"/>
  <c r="AY53" i="2"/>
  <c r="AX53" i="2"/>
  <c r="AW53" i="2"/>
  <c r="AV53" i="2"/>
  <c r="AU53" i="2"/>
  <c r="AT53" i="2"/>
  <c r="H92" i="4" s="1"/>
  <c r="AM53" i="2"/>
  <c r="G53" i="38" s="1"/>
  <c r="AI53" i="2"/>
  <c r="BB52" i="2"/>
  <c r="BA52" i="2"/>
  <c r="AZ52" i="2"/>
  <c r="AY52" i="2"/>
  <c r="AX52" i="2"/>
  <c r="AW52" i="2"/>
  <c r="AV52" i="2"/>
  <c r="AU52" i="2"/>
  <c r="AM52" i="2"/>
  <c r="AT52" i="2" s="1"/>
  <c r="AI52" i="2"/>
  <c r="BB51" i="2"/>
  <c r="BA51" i="2"/>
  <c r="AZ51" i="2"/>
  <c r="AY51" i="2"/>
  <c r="AX51" i="2"/>
  <c r="AW51" i="2"/>
  <c r="AV51" i="2"/>
  <c r="AU51" i="2"/>
  <c r="AM51" i="2"/>
  <c r="G51" i="38" s="1"/>
  <c r="AI51" i="2"/>
  <c r="BB50" i="2"/>
  <c r="BA50" i="2"/>
  <c r="AZ50" i="2"/>
  <c r="AY50" i="2"/>
  <c r="AX50" i="2"/>
  <c r="AW50" i="2"/>
  <c r="AV50" i="2"/>
  <c r="AU50" i="2"/>
  <c r="AM50" i="2"/>
  <c r="G50" i="38" s="1"/>
  <c r="AI50" i="2"/>
  <c r="BB49" i="2"/>
  <c r="BA49" i="2"/>
  <c r="AZ49" i="2"/>
  <c r="AY49" i="2"/>
  <c r="AX49" i="2"/>
  <c r="AW49" i="2"/>
  <c r="AV49" i="2"/>
  <c r="AU49" i="2"/>
  <c r="AM49" i="2"/>
  <c r="G49" i="38" s="1"/>
  <c r="AI49" i="2"/>
  <c r="BB48" i="2"/>
  <c r="BA48" i="2"/>
  <c r="AZ48" i="2"/>
  <c r="AY48" i="2"/>
  <c r="AX48" i="2"/>
  <c r="AW48" i="2"/>
  <c r="AV48" i="2"/>
  <c r="AU48" i="2"/>
  <c r="AM48" i="2"/>
  <c r="G48" i="38" s="1"/>
  <c r="AI48" i="2"/>
  <c r="AM47" i="2"/>
  <c r="G47" i="38" s="1"/>
  <c r="AI47" i="2"/>
  <c r="AM46" i="2"/>
  <c r="G46" i="38" s="1"/>
  <c r="AI46" i="2"/>
  <c r="AT45" i="2"/>
  <c r="H46" i="4" s="1"/>
  <c r="AM45" i="2"/>
  <c r="G45" i="38" s="1"/>
  <c r="AI45" i="2"/>
  <c r="BB44" i="2"/>
  <c r="BA44" i="2"/>
  <c r="AZ44" i="2"/>
  <c r="AY44" i="2"/>
  <c r="AX44" i="2"/>
  <c r="AW44" i="2"/>
  <c r="AV44" i="2"/>
  <c r="AU44" i="2"/>
  <c r="AM44" i="2"/>
  <c r="G44" i="38" s="1"/>
  <c r="AI44" i="2"/>
  <c r="BB43" i="2"/>
  <c r="BA43" i="2"/>
  <c r="AZ43" i="2"/>
  <c r="AY43" i="2"/>
  <c r="AX43" i="2"/>
  <c r="AW43" i="2"/>
  <c r="AV43" i="2"/>
  <c r="AU43" i="2"/>
  <c r="AM43" i="2"/>
  <c r="G43" i="38" s="1"/>
  <c r="AI43" i="2"/>
  <c r="BB42" i="2"/>
  <c r="BA42" i="2"/>
  <c r="AZ42" i="2"/>
  <c r="AY42" i="2"/>
  <c r="AX42" i="2"/>
  <c r="AW42" i="2"/>
  <c r="AV42" i="2"/>
  <c r="AU42" i="2"/>
  <c r="AM42" i="2"/>
  <c r="G42" i="38" s="1"/>
  <c r="AI42" i="2"/>
  <c r="BB41" i="2"/>
  <c r="BA41" i="2"/>
  <c r="AZ41" i="2"/>
  <c r="AY41" i="2"/>
  <c r="AX41" i="2"/>
  <c r="AW41" i="2"/>
  <c r="AV41" i="2"/>
  <c r="AU41" i="2"/>
  <c r="AM41" i="2"/>
  <c r="G41" i="38" s="1"/>
  <c r="AI41" i="2"/>
  <c r="BB40" i="2"/>
  <c r="BA40" i="2"/>
  <c r="AZ40" i="2"/>
  <c r="AY40" i="2"/>
  <c r="AX40" i="2"/>
  <c r="AW40" i="2"/>
  <c r="AV40" i="2"/>
  <c r="AU40" i="2"/>
  <c r="AM40" i="2"/>
  <c r="AT40" i="2" s="1"/>
  <c r="AI40" i="2"/>
  <c r="BB39" i="2"/>
  <c r="BA39" i="2"/>
  <c r="AZ39" i="2"/>
  <c r="AY39" i="2"/>
  <c r="AX39" i="2"/>
  <c r="AW39" i="2"/>
  <c r="AV39" i="2"/>
  <c r="AU39" i="2"/>
  <c r="AM39" i="2"/>
  <c r="G39" i="38" s="1"/>
  <c r="AI39" i="2"/>
  <c r="BB38" i="2"/>
  <c r="BA38" i="2"/>
  <c r="AZ38" i="2"/>
  <c r="AY38" i="2"/>
  <c r="AX38" i="2"/>
  <c r="AW38" i="2"/>
  <c r="AV38" i="2"/>
  <c r="AU38" i="2"/>
  <c r="AM38" i="2"/>
  <c r="AI38" i="2"/>
  <c r="BB37" i="2"/>
  <c r="BA37" i="2"/>
  <c r="AZ37" i="2"/>
  <c r="AY37" i="2"/>
  <c r="AX37" i="2"/>
  <c r="AW37" i="2"/>
  <c r="AV37" i="2"/>
  <c r="AU37" i="2"/>
  <c r="AM37" i="2"/>
  <c r="G37" i="38" s="1"/>
  <c r="AI37" i="2"/>
  <c r="BB36" i="2"/>
  <c r="BA36" i="2"/>
  <c r="AZ36" i="2"/>
  <c r="AY36" i="2"/>
  <c r="AX36" i="2"/>
  <c r="AW36" i="2"/>
  <c r="AV36" i="2"/>
  <c r="AU36" i="2"/>
  <c r="AM36" i="2"/>
  <c r="G36" i="38" s="1"/>
  <c r="AI36" i="2"/>
  <c r="BB35" i="2"/>
  <c r="BA35" i="2"/>
  <c r="AZ35" i="2"/>
  <c r="AY35" i="2"/>
  <c r="AX35" i="2"/>
  <c r="AW35" i="2"/>
  <c r="AV35" i="2"/>
  <c r="AU35" i="2"/>
  <c r="AM35" i="2"/>
  <c r="G35" i="38" s="1"/>
  <c r="AI35" i="2"/>
  <c r="BB34" i="2"/>
  <c r="BA34" i="2"/>
  <c r="AZ34" i="2"/>
  <c r="AY34" i="2"/>
  <c r="AX34" i="2"/>
  <c r="AW34" i="2"/>
  <c r="AV34" i="2"/>
  <c r="AU34" i="2"/>
  <c r="AM34" i="2"/>
  <c r="AT34" i="2" s="1"/>
  <c r="AI34" i="2"/>
  <c r="BA33" i="2"/>
  <c r="AZ33" i="2"/>
  <c r="AX33" i="2"/>
  <c r="AW33" i="2"/>
  <c r="AV33" i="2"/>
  <c r="AU33" i="2"/>
  <c r="AM33" i="2"/>
  <c r="G33" i="38" s="1"/>
  <c r="AI33" i="2"/>
  <c r="BB32" i="2"/>
  <c r="BA32" i="2"/>
  <c r="AZ32" i="2"/>
  <c r="AY32" i="2"/>
  <c r="AX32" i="2"/>
  <c r="AW32" i="2"/>
  <c r="AV32" i="2"/>
  <c r="AU32" i="2"/>
  <c r="AM32" i="2"/>
  <c r="G32" i="38" s="1"/>
  <c r="AI32" i="2"/>
  <c r="BB31" i="2"/>
  <c r="BA31" i="2"/>
  <c r="AZ31" i="2"/>
  <c r="AY31" i="2"/>
  <c r="AX31" i="2"/>
  <c r="AW31" i="2"/>
  <c r="AV31" i="2"/>
  <c r="AU31" i="2"/>
  <c r="AM31" i="2"/>
  <c r="AS31" i="2" s="1"/>
  <c r="AI31" i="2"/>
  <c r="BB30" i="2"/>
  <c r="BA30" i="2"/>
  <c r="AZ30" i="2"/>
  <c r="AY30" i="2"/>
  <c r="AX30" i="2"/>
  <c r="AW30" i="2"/>
  <c r="AV30" i="2"/>
  <c r="AU30" i="2"/>
  <c r="AM30" i="2"/>
  <c r="G30" i="38" s="1"/>
  <c r="AI30" i="2"/>
  <c r="BB29" i="2"/>
  <c r="BA29" i="2"/>
  <c r="AZ29" i="2"/>
  <c r="AY29" i="2"/>
  <c r="AX29" i="2"/>
  <c r="AW29" i="2"/>
  <c r="AV29" i="2"/>
  <c r="AU29" i="2"/>
  <c r="AM29" i="2"/>
  <c r="G29" i="38" s="1"/>
  <c r="AI29" i="2"/>
  <c r="BB28" i="2"/>
  <c r="BA28" i="2"/>
  <c r="AZ28" i="2"/>
  <c r="AY28" i="2"/>
  <c r="AX28" i="2"/>
  <c r="AW28" i="2"/>
  <c r="AV28" i="2"/>
  <c r="AU28" i="2"/>
  <c r="AM28" i="2"/>
  <c r="AI28" i="2"/>
  <c r="BB27" i="2"/>
  <c r="BA27" i="2"/>
  <c r="AZ27" i="2"/>
  <c r="AY27" i="2"/>
  <c r="AX27" i="2"/>
  <c r="AW27" i="2"/>
  <c r="AV27" i="2"/>
  <c r="AU27" i="2"/>
  <c r="AM27" i="2"/>
  <c r="G27" i="38" s="1"/>
  <c r="AI27" i="2"/>
  <c r="BB26" i="2"/>
  <c r="BA26" i="2"/>
  <c r="AZ26" i="2"/>
  <c r="AY26" i="2"/>
  <c r="AX26" i="2"/>
  <c r="AW26" i="2"/>
  <c r="AV26" i="2"/>
  <c r="AU26" i="2"/>
  <c r="AM26" i="2"/>
  <c r="G26" i="38" s="1"/>
  <c r="AI26" i="2"/>
  <c r="BB25" i="2"/>
  <c r="BA25" i="2"/>
  <c r="AZ25" i="2"/>
  <c r="AY25" i="2"/>
  <c r="AX25" i="2"/>
  <c r="AW25" i="2"/>
  <c r="AV25" i="2"/>
  <c r="AU25" i="2"/>
  <c r="AM25" i="2"/>
  <c r="G25" i="38" s="1"/>
  <c r="AI25" i="2"/>
  <c r="BB24" i="2"/>
  <c r="BA24" i="2"/>
  <c r="AZ24" i="2"/>
  <c r="AY24" i="2"/>
  <c r="AX24" i="2"/>
  <c r="AW24" i="2"/>
  <c r="AV24" i="2"/>
  <c r="AU24" i="2"/>
  <c r="AM24" i="2"/>
  <c r="G24" i="38" s="1"/>
  <c r="AI24" i="2"/>
  <c r="BB23" i="2"/>
  <c r="BA23" i="2"/>
  <c r="AZ23" i="2"/>
  <c r="AY23" i="2"/>
  <c r="AX23" i="2"/>
  <c r="AW23" i="2"/>
  <c r="AV23" i="2"/>
  <c r="AU23" i="2"/>
  <c r="AM23" i="2"/>
  <c r="G23" i="38" s="1"/>
  <c r="AI23" i="2"/>
  <c r="BB22" i="2"/>
  <c r="BA22" i="2"/>
  <c r="AZ22" i="2"/>
  <c r="AY22" i="2"/>
  <c r="AX22" i="2"/>
  <c r="AW22" i="2"/>
  <c r="AV22" i="2"/>
  <c r="AU22" i="2"/>
  <c r="AM22" i="2"/>
  <c r="G22" i="38" s="1"/>
  <c r="AI22" i="2"/>
  <c r="BB21" i="2"/>
  <c r="BA21" i="2"/>
  <c r="AZ21" i="2"/>
  <c r="AY21" i="2"/>
  <c r="AX21" i="2"/>
  <c r="AW21" i="2"/>
  <c r="AV21" i="2"/>
  <c r="AU21" i="2"/>
  <c r="AM21" i="2"/>
  <c r="G21" i="38" s="1"/>
  <c r="AI21" i="2"/>
  <c r="BB20" i="2"/>
  <c r="BA20" i="2"/>
  <c r="AZ20" i="2"/>
  <c r="AY20" i="2"/>
  <c r="AX20" i="2"/>
  <c r="AW20" i="2"/>
  <c r="AV20" i="2"/>
  <c r="AU20" i="2"/>
  <c r="AM20" i="2"/>
  <c r="G20" i="38" s="1"/>
  <c r="AI20" i="2"/>
  <c r="BB19" i="2"/>
  <c r="BA19" i="2"/>
  <c r="AZ19" i="2"/>
  <c r="AY19" i="2"/>
  <c r="AX19" i="2"/>
  <c r="AW19" i="2"/>
  <c r="AV19" i="2"/>
  <c r="AU19" i="2"/>
  <c r="AM19" i="2"/>
  <c r="G19" i="38" s="1"/>
  <c r="AI19" i="2"/>
  <c r="BB18" i="2"/>
  <c r="BA18" i="2"/>
  <c r="AZ18" i="2"/>
  <c r="AY18" i="2"/>
  <c r="AX18" i="2"/>
  <c r="AW18" i="2"/>
  <c r="AV18" i="2"/>
  <c r="AU18" i="2"/>
  <c r="AM18" i="2"/>
  <c r="G18" i="38" s="1"/>
  <c r="AI18" i="2"/>
  <c r="BB17" i="2"/>
  <c r="BA17" i="2"/>
  <c r="AZ17" i="2"/>
  <c r="AY17" i="2"/>
  <c r="AX17" i="2"/>
  <c r="AW17" i="2"/>
  <c r="AV17" i="2"/>
  <c r="AU17" i="2"/>
  <c r="AM17" i="2"/>
  <c r="G17" i="38" s="1"/>
  <c r="AI17" i="2"/>
  <c r="BB16" i="2"/>
  <c r="BA16" i="2"/>
  <c r="AZ16" i="2"/>
  <c r="AY16" i="2"/>
  <c r="AX16" i="2"/>
  <c r="AW16" i="2"/>
  <c r="AV16" i="2"/>
  <c r="AU16" i="2"/>
  <c r="AM16" i="2"/>
  <c r="AS16" i="2" s="1"/>
  <c r="AI16" i="2"/>
  <c r="BB15" i="2"/>
  <c r="BA15" i="2"/>
  <c r="AZ15" i="2"/>
  <c r="AY15" i="2"/>
  <c r="AX15" i="2"/>
  <c r="AW15" i="2"/>
  <c r="AV15" i="2"/>
  <c r="AU15" i="2"/>
  <c r="AM15" i="2"/>
  <c r="G15" i="38" s="1"/>
  <c r="AI15" i="2"/>
  <c r="BB14" i="2"/>
  <c r="BA14" i="2"/>
  <c r="AZ14" i="2"/>
  <c r="AY14" i="2"/>
  <c r="AX14" i="2"/>
  <c r="AW14" i="2"/>
  <c r="AV14" i="2"/>
  <c r="AU14" i="2"/>
  <c r="AM14" i="2"/>
  <c r="AT14" i="2" s="1"/>
  <c r="AI14" i="2"/>
  <c r="BB13" i="2"/>
  <c r="BA13" i="2"/>
  <c r="AZ13" i="2"/>
  <c r="AY13" i="2"/>
  <c r="AX13" i="2"/>
  <c r="AW13" i="2"/>
  <c r="AV13" i="2"/>
  <c r="AU13" i="2"/>
  <c r="AM13" i="2"/>
  <c r="G13" i="38" s="1"/>
  <c r="AI13" i="2"/>
  <c r="BB12" i="2"/>
  <c r="BA12" i="2"/>
  <c r="AZ12" i="2"/>
  <c r="AY12" i="2"/>
  <c r="AX12" i="2"/>
  <c r="AW12" i="2"/>
  <c r="AV12" i="2"/>
  <c r="AU12" i="2"/>
  <c r="AM12" i="2"/>
  <c r="G12" i="38" s="1"/>
  <c r="AI12" i="2"/>
  <c r="BB11" i="2"/>
  <c r="BA11" i="2"/>
  <c r="AZ11" i="2"/>
  <c r="AY11" i="2"/>
  <c r="AX11" i="2"/>
  <c r="AW11" i="2"/>
  <c r="AV11" i="2"/>
  <c r="AU11" i="2"/>
  <c r="AM11" i="2"/>
  <c r="G11" i="38" s="1"/>
  <c r="AI11" i="2"/>
  <c r="BB10" i="2"/>
  <c r="BA10" i="2"/>
  <c r="AZ10" i="2"/>
  <c r="AY10" i="2"/>
  <c r="AX10" i="2"/>
  <c r="AW10" i="2"/>
  <c r="AV10" i="2"/>
  <c r="AU10" i="2"/>
  <c r="AM10" i="2"/>
  <c r="G10" i="38" s="1"/>
  <c r="AI10" i="2"/>
  <c r="BB9" i="2"/>
  <c r="BA9" i="2"/>
  <c r="AZ9" i="2"/>
  <c r="AY9" i="2"/>
  <c r="AX9" i="2"/>
  <c r="AW9" i="2"/>
  <c r="AV9" i="2"/>
  <c r="AU9" i="2"/>
  <c r="AM9" i="2"/>
  <c r="G9" i="38" s="1"/>
  <c r="AI9" i="2"/>
  <c r="BB8" i="2"/>
  <c r="BA8" i="2"/>
  <c r="AZ8" i="2"/>
  <c r="AY8" i="2"/>
  <c r="AX8" i="2"/>
  <c r="AW8" i="2"/>
  <c r="AV8" i="2"/>
  <c r="AU8" i="2"/>
  <c r="AM8" i="2"/>
  <c r="AT8" i="2" s="1"/>
  <c r="AI8" i="2"/>
  <c r="BB7" i="2"/>
  <c r="BA7" i="2"/>
  <c r="AZ7" i="2"/>
  <c r="AY7" i="2"/>
  <c r="AX7" i="2"/>
  <c r="AW7" i="2"/>
  <c r="AV7" i="2"/>
  <c r="AU7" i="2"/>
  <c r="AM7" i="2"/>
  <c r="G7" i="38" s="1"/>
  <c r="AI7" i="2"/>
  <c r="BB6" i="2"/>
  <c r="BA6" i="2"/>
  <c r="AZ6" i="2"/>
  <c r="AY6" i="2"/>
  <c r="AX6" i="2"/>
  <c r="AW6" i="2"/>
  <c r="AV6" i="2"/>
  <c r="AU6" i="2"/>
  <c r="AM6" i="2"/>
  <c r="G6" i="38" s="1"/>
  <c r="AI6" i="2"/>
  <c r="BB5" i="2"/>
  <c r="BA5" i="2"/>
  <c r="AZ5" i="2"/>
  <c r="AY5" i="2"/>
  <c r="AX5" i="2"/>
  <c r="AW5" i="2"/>
  <c r="AV5" i="2"/>
  <c r="AU5" i="2"/>
  <c r="AM5" i="2"/>
  <c r="G5" i="38" s="1"/>
  <c r="AI5" i="2"/>
  <c r="BB4" i="2"/>
  <c r="BA4" i="2"/>
  <c r="AZ4" i="2"/>
  <c r="AY4" i="2"/>
  <c r="AX4" i="2"/>
  <c r="AW4" i="2"/>
  <c r="AV4" i="2"/>
  <c r="AU4" i="2"/>
  <c r="AM4" i="2"/>
  <c r="G4" i="38" s="1"/>
  <c r="AI4" i="2"/>
  <c r="BB3" i="2"/>
  <c r="BA3" i="2"/>
  <c r="AZ3" i="2"/>
  <c r="AY3" i="2"/>
  <c r="AX3" i="2"/>
  <c r="AW3" i="2"/>
  <c r="AV3" i="2"/>
  <c r="AU3" i="2"/>
  <c r="AM3" i="2"/>
  <c r="G3" i="38" s="1"/>
  <c r="AI3" i="2"/>
  <c r="BB2" i="2"/>
  <c r="BA2" i="2"/>
  <c r="AZ2" i="2"/>
  <c r="AY2" i="2"/>
  <c r="AX2" i="2"/>
  <c r="AW2" i="2"/>
  <c r="AV2" i="2"/>
  <c r="AU2" i="2"/>
  <c r="AM2" i="2"/>
  <c r="AT2" i="2" s="1"/>
  <c r="AI2" i="2"/>
  <c r="I12" i="24" l="1"/>
  <c r="L23" i="21"/>
  <c r="L69" i="21"/>
  <c r="L37" i="21"/>
  <c r="L14" i="21"/>
  <c r="L30" i="21"/>
  <c r="G31" i="21"/>
  <c r="G53" i="21"/>
  <c r="L10" i="21"/>
  <c r="L64" i="21"/>
  <c r="L68" i="21"/>
  <c r="G12" i="21"/>
  <c r="G28" i="21"/>
  <c r="G79" i="21"/>
  <c r="G25" i="21"/>
  <c r="G47" i="21"/>
  <c r="D7" i="26"/>
  <c r="I28" i="24"/>
  <c r="G9" i="3"/>
  <c r="G4" i="3"/>
  <c r="L56" i="21"/>
  <c r="L44" i="21"/>
  <c r="L71" i="21"/>
  <c r="F17" i="24"/>
  <c r="G10" i="3"/>
  <c r="G13" i="21"/>
  <c r="G51" i="21"/>
  <c r="G67" i="21"/>
  <c r="G80" i="21"/>
  <c r="L5" i="21"/>
  <c r="L13" i="21"/>
  <c r="L48" i="21"/>
  <c r="L73" i="21"/>
  <c r="D9" i="35"/>
  <c r="G39" i="21"/>
  <c r="G66" i="21"/>
  <c r="G72" i="21"/>
  <c r="G34" i="38"/>
  <c r="G21" i="21"/>
  <c r="G48" i="21"/>
  <c r="G54" i="21"/>
  <c r="G57" i="21"/>
  <c r="G69" i="21"/>
  <c r="F9" i="24"/>
  <c r="I23" i="24"/>
  <c r="G14" i="38"/>
  <c r="H115" i="4"/>
  <c r="AS46" i="2"/>
  <c r="G47" i="4" s="1"/>
  <c r="AT98" i="2"/>
  <c r="F98" i="6" s="1"/>
  <c r="AS167" i="2"/>
  <c r="G175" i="4" s="1"/>
  <c r="H172" i="4"/>
  <c r="AS152" i="2"/>
  <c r="G162" i="4" s="1"/>
  <c r="AT167" i="2"/>
  <c r="H112" i="4"/>
  <c r="I9" i="24"/>
  <c r="F14" i="24"/>
  <c r="I19" i="24"/>
  <c r="AT46" i="2"/>
  <c r="H47" i="4" s="1"/>
  <c r="AT42" i="2"/>
  <c r="H45" i="4" s="1"/>
  <c r="AT86" i="2"/>
  <c r="K9" i="3"/>
  <c r="AT140" i="2"/>
  <c r="F140" i="6" s="1"/>
  <c r="AT152" i="2"/>
  <c r="F152" i="6" s="1"/>
  <c r="G40" i="21"/>
  <c r="G58" i="21"/>
  <c r="G70" i="21"/>
  <c r="G73" i="21"/>
  <c r="F10" i="24"/>
  <c r="F15" i="24"/>
  <c r="D6" i="26"/>
  <c r="G19" i="21"/>
  <c r="G34" i="21"/>
  <c r="G37" i="21"/>
  <c r="G55" i="21"/>
  <c r="F20" i="24"/>
  <c r="G16" i="21"/>
  <c r="AT95" i="2"/>
  <c r="AS149" i="2"/>
  <c r="G159" i="4" s="1"/>
  <c r="AT62" i="2"/>
  <c r="F62" i="6" s="1"/>
  <c r="AT149" i="2"/>
  <c r="AT137" i="2"/>
  <c r="AT179" i="2"/>
  <c r="F179" i="6" s="1"/>
  <c r="G77" i="21"/>
  <c r="F16" i="24"/>
  <c r="AT116" i="2"/>
  <c r="H71" i="4" s="1"/>
  <c r="AT39" i="2"/>
  <c r="H128" i="4" s="1"/>
  <c r="AT83" i="2"/>
  <c r="F83" i="6" s="1"/>
  <c r="J16" i="24"/>
  <c r="AS161" i="2"/>
  <c r="G169" i="4" s="1"/>
  <c r="K10" i="3"/>
  <c r="AT50" i="2"/>
  <c r="H51" i="4" s="1"/>
  <c r="AT104" i="2"/>
  <c r="F104" i="6" s="1"/>
  <c r="AT161" i="2"/>
  <c r="F161" i="6" s="1"/>
  <c r="G11" i="3"/>
  <c r="H98" i="4"/>
  <c r="G74" i="21"/>
  <c r="I11" i="24"/>
  <c r="F158" i="6"/>
  <c r="AT146" i="2"/>
  <c r="H156" i="4" s="1"/>
  <c r="AS171" i="2"/>
  <c r="G179" i="4" s="1"/>
  <c r="G38" i="21"/>
  <c r="G59" i="21"/>
  <c r="AT171" i="2"/>
  <c r="G12" i="3"/>
  <c r="G5" i="21"/>
  <c r="G8" i="21"/>
  <c r="G20" i="21"/>
  <c r="G23" i="21"/>
  <c r="G29" i="21"/>
  <c r="G35" i="21"/>
  <c r="G56" i="21"/>
  <c r="F22" i="24"/>
  <c r="F26" i="24"/>
  <c r="F32" i="24"/>
  <c r="K8" i="3"/>
  <c r="H165" i="4"/>
  <c r="AT80" i="2"/>
  <c r="H18" i="4" s="1"/>
  <c r="J10" i="24"/>
  <c r="AT101" i="2"/>
  <c r="F101" i="6" s="1"/>
  <c r="AT36" i="2"/>
  <c r="H42" i="4" s="1"/>
  <c r="AT168" i="2"/>
  <c r="H176" i="4" s="1"/>
  <c r="AT68" i="2"/>
  <c r="H6" i="4" s="1"/>
  <c r="AT122" i="2"/>
  <c r="AS173" i="2"/>
  <c r="G180" i="4" s="1"/>
  <c r="G13" i="3"/>
  <c r="H12" i="4"/>
  <c r="G81" i="21"/>
  <c r="F8" i="24"/>
  <c r="F23" i="24"/>
  <c r="F27" i="24"/>
  <c r="L31" i="21"/>
  <c r="L39" i="21"/>
  <c r="G86" i="4"/>
  <c r="H44" i="4"/>
  <c r="F40" i="6"/>
  <c r="H19" i="4"/>
  <c r="F2" i="6"/>
  <c r="G109" i="4"/>
  <c r="H25" i="4"/>
  <c r="F8" i="6"/>
  <c r="F175" i="6"/>
  <c r="H181" i="4"/>
  <c r="F81" i="6"/>
  <c r="H130" i="4"/>
  <c r="F135" i="6"/>
  <c r="H119" i="4"/>
  <c r="H152" i="4"/>
  <c r="F142" i="6"/>
  <c r="H83" i="4"/>
  <c r="F14" i="6"/>
  <c r="H87" i="4"/>
  <c r="F34" i="6"/>
  <c r="G123" i="4"/>
  <c r="H91" i="4"/>
  <c r="F52" i="6"/>
  <c r="G72" i="4"/>
  <c r="H168" i="4"/>
  <c r="F160" i="6"/>
  <c r="J8" i="24"/>
  <c r="G38" i="38"/>
  <c r="J29" i="24"/>
  <c r="H141" i="4"/>
  <c r="F113" i="6"/>
  <c r="H159" i="4"/>
  <c r="F149" i="6"/>
  <c r="K7" i="3"/>
  <c r="H95" i="4"/>
  <c r="H162" i="4"/>
  <c r="H169" i="4"/>
  <c r="F42" i="6"/>
  <c r="F46" i="6"/>
  <c r="F50" i="6"/>
  <c r="G142" i="38"/>
  <c r="AS85" i="2"/>
  <c r="G134" i="4" s="1"/>
  <c r="AS169" i="2"/>
  <c r="G177" i="4" s="1"/>
  <c r="D11" i="44"/>
  <c r="AS3" i="2"/>
  <c r="G20" i="4" s="1"/>
  <c r="AS9" i="2"/>
  <c r="G26" i="4" s="1"/>
  <c r="AS15" i="2"/>
  <c r="G84" i="4" s="1"/>
  <c r="AS21" i="2"/>
  <c r="G30" i="4" s="1"/>
  <c r="AS33" i="2"/>
  <c r="G40" i="4" s="1"/>
  <c r="H9" i="4"/>
  <c r="H102" i="4"/>
  <c r="H109" i="4"/>
  <c r="G61" i="38"/>
  <c r="G119" i="38"/>
  <c r="AS38" i="2"/>
  <c r="AS52" i="2"/>
  <c r="G91" i="4" s="1"/>
  <c r="AS115" i="2"/>
  <c r="G70" i="4" s="1"/>
  <c r="AS118" i="2"/>
  <c r="G73" i="4" s="1"/>
  <c r="AS124" i="2"/>
  <c r="G111" i="4" s="1"/>
  <c r="AS157" i="2"/>
  <c r="AS172" i="2"/>
  <c r="G79" i="4" s="1"/>
  <c r="AS6" i="2"/>
  <c r="G23" i="4" s="1"/>
  <c r="AS12" i="2"/>
  <c r="AS18" i="2"/>
  <c r="G125" i="4" s="1"/>
  <c r="AS24" i="2"/>
  <c r="G32" i="4" s="1"/>
  <c r="AS27" i="2"/>
  <c r="G35" i="4" s="1"/>
  <c r="AS30" i="2"/>
  <c r="G38" i="4" s="1"/>
  <c r="AT3" i="2"/>
  <c r="AT6" i="2"/>
  <c r="AT9" i="2"/>
  <c r="AT12" i="2"/>
  <c r="AT15" i="2"/>
  <c r="AT18" i="2"/>
  <c r="AT21" i="2"/>
  <c r="AT24" i="2"/>
  <c r="AT27" i="2"/>
  <c r="AT30" i="2"/>
  <c r="AT33" i="2"/>
  <c r="H52" i="4"/>
  <c r="G80" i="38"/>
  <c r="G160" i="38"/>
  <c r="G97" i="38"/>
  <c r="AS160" i="2"/>
  <c r="G168" i="4" s="1"/>
  <c r="AS35" i="2"/>
  <c r="G41" i="4" s="1"/>
  <c r="AS64" i="2"/>
  <c r="G104" i="4" s="1"/>
  <c r="AT103" i="2"/>
  <c r="AT139" i="2"/>
  <c r="AS41" i="2"/>
  <c r="G129" i="4" s="1"/>
  <c r="AS76" i="2"/>
  <c r="G14" i="4" s="1"/>
  <c r="AS136" i="2"/>
  <c r="AS139" i="2"/>
  <c r="G149" i="4" s="1"/>
  <c r="AS142" i="2"/>
  <c r="G152" i="4" s="1"/>
  <c r="G136" i="38"/>
  <c r="AT55" i="2"/>
  <c r="AT58" i="2"/>
  <c r="AT61" i="2"/>
  <c r="AT64" i="2"/>
  <c r="AT67" i="2"/>
  <c r="AT73" i="2"/>
  <c r="AT79" i="2"/>
  <c r="AS2" i="2"/>
  <c r="AS5" i="2"/>
  <c r="G22" i="4" s="1"/>
  <c r="AS8" i="2"/>
  <c r="G25" i="4" s="1"/>
  <c r="AS11" i="2"/>
  <c r="G28" i="4" s="1"/>
  <c r="AS14" i="2"/>
  <c r="G83" i="4" s="1"/>
  <c r="AS17" i="2"/>
  <c r="G124" i="4" s="1"/>
  <c r="AS20" i="2"/>
  <c r="G126" i="4" s="1"/>
  <c r="AS23" i="2"/>
  <c r="G31" i="4" s="1"/>
  <c r="AS26" i="2"/>
  <c r="G34" i="4" s="1"/>
  <c r="AS29" i="2"/>
  <c r="G37" i="4" s="1"/>
  <c r="AS32" i="2"/>
  <c r="G39" i="4" s="1"/>
  <c r="AS47" i="2"/>
  <c r="G48" i="4" s="1"/>
  <c r="H15" i="4"/>
  <c r="H122" i="4"/>
  <c r="H143" i="4"/>
  <c r="H150" i="4"/>
  <c r="AS97" i="2"/>
  <c r="AT106" i="2"/>
  <c r="AT112" i="2"/>
  <c r="AT145" i="2"/>
  <c r="AT151" i="2"/>
  <c r="AT169" i="2"/>
  <c r="H178" i="4"/>
  <c r="F80" i="6"/>
  <c r="G8" i="38"/>
  <c r="G52" i="38"/>
  <c r="K5" i="3"/>
  <c r="AS73" i="2"/>
  <c r="G11" i="4" s="1"/>
  <c r="AS82" i="2"/>
  <c r="G131" i="4" s="1"/>
  <c r="AS106" i="2"/>
  <c r="G108" i="4" s="1"/>
  <c r="AS109" i="2"/>
  <c r="G66" i="4" s="1"/>
  <c r="AS112" i="2"/>
  <c r="G69" i="4" s="1"/>
  <c r="AS121" i="2"/>
  <c r="G74" i="4" s="1"/>
  <c r="AS130" i="2"/>
  <c r="G117" i="4" s="1"/>
  <c r="AS175" i="2"/>
  <c r="G181" i="4" s="1"/>
  <c r="AT109" i="2"/>
  <c r="AT115" i="2"/>
  <c r="AT148" i="2"/>
  <c r="AT11" i="2"/>
  <c r="AT17" i="2"/>
  <c r="D2811" i="41"/>
  <c r="C7" i="44"/>
  <c r="C8" i="44" s="1"/>
  <c r="B7" i="44"/>
  <c r="G177" i="38"/>
  <c r="J30" i="24"/>
  <c r="H118" i="4"/>
  <c r="H132" i="4"/>
  <c r="F39" i="6"/>
  <c r="F45" i="6"/>
  <c r="F53" i="6"/>
  <c r="G91" i="38"/>
  <c r="J13" i="24"/>
  <c r="AS88" i="2"/>
  <c r="G137" i="4" s="1"/>
  <c r="AS94" i="2"/>
  <c r="G54" i="4" s="1"/>
  <c r="AS166" i="2"/>
  <c r="G174" i="4" s="1"/>
  <c r="AT41" i="2"/>
  <c r="AT82" i="2"/>
  <c r="AT91" i="2"/>
  <c r="AT166" i="2"/>
  <c r="AT29" i="2"/>
  <c r="G129" i="38"/>
  <c r="J25" i="24"/>
  <c r="J28" i="24"/>
  <c r="G174" i="38"/>
  <c r="AS177" i="2"/>
  <c r="K11" i="3"/>
  <c r="H153" i="4"/>
  <c r="G76" i="21"/>
  <c r="AS44" i="2"/>
  <c r="AT49" i="2"/>
  <c r="AS40" i="2"/>
  <c r="G44" i="4" s="1"/>
  <c r="AS43" i="2"/>
  <c r="G88" i="4" s="1"/>
  <c r="AS66" i="2"/>
  <c r="G4" i="4" s="1"/>
  <c r="AS69" i="2"/>
  <c r="G7" i="4" s="1"/>
  <c r="AS81" i="2"/>
  <c r="AS90" i="2"/>
  <c r="G139" i="4" s="1"/>
  <c r="AS96" i="2"/>
  <c r="G56" i="4" s="1"/>
  <c r="AS99" i="2"/>
  <c r="G58" i="4" s="1"/>
  <c r="AS111" i="2"/>
  <c r="G68" i="4" s="1"/>
  <c r="AS120" i="2"/>
  <c r="G110" i="4" s="1"/>
  <c r="AS123" i="2"/>
  <c r="G76" i="4" s="1"/>
  <c r="AS126" i="2"/>
  <c r="G113" i="4" s="1"/>
  <c r="AS129" i="2"/>
  <c r="AS132" i="2"/>
  <c r="G144" i="4" s="1"/>
  <c r="AS135" i="2"/>
  <c r="G119" i="4" s="1"/>
  <c r="AS138" i="2"/>
  <c r="G148" i="4" s="1"/>
  <c r="AS141" i="2"/>
  <c r="G151" i="4" s="1"/>
  <c r="AS144" i="2"/>
  <c r="G154" i="4" s="1"/>
  <c r="AS147" i="2"/>
  <c r="G157" i="4" s="1"/>
  <c r="AS150" i="2"/>
  <c r="G160" i="4" s="1"/>
  <c r="AS153" i="2"/>
  <c r="G163" i="4" s="1"/>
  <c r="AS156" i="2"/>
  <c r="G166" i="4" s="1"/>
  <c r="AS159" i="2"/>
  <c r="G167" i="4" s="1"/>
  <c r="AS162" i="2"/>
  <c r="G170" i="4" s="1"/>
  <c r="AT177" i="2"/>
  <c r="K6" i="3"/>
  <c r="H100" i="4"/>
  <c r="G121" i="4"/>
  <c r="F110" i="6"/>
  <c r="F146" i="6"/>
  <c r="AS100" i="2"/>
  <c r="G59" i="4" s="1"/>
  <c r="AS103" i="2"/>
  <c r="G62" i="4" s="1"/>
  <c r="AS127" i="2"/>
  <c r="G114" i="4" s="1"/>
  <c r="AS133" i="2"/>
  <c r="G145" i="4" s="1"/>
  <c r="AS154" i="2"/>
  <c r="G164" i="4" s="1"/>
  <c r="AT70" i="2"/>
  <c r="AT76" i="2"/>
  <c r="AT88" i="2"/>
  <c r="AT121" i="2"/>
  <c r="AT124" i="2"/>
  <c r="AT133" i="2"/>
  <c r="AT163" i="2"/>
  <c r="AT23" i="2"/>
  <c r="AT26" i="2"/>
  <c r="AT32" i="2"/>
  <c r="G117" i="38"/>
  <c r="J21" i="24"/>
  <c r="AS34" i="2"/>
  <c r="G87" i="4" s="1"/>
  <c r="AS48" i="2"/>
  <c r="G49" i="4" s="1"/>
  <c r="AS63" i="2"/>
  <c r="G103" i="4" s="1"/>
  <c r="AS75" i="2"/>
  <c r="G13" i="4" s="1"/>
  <c r="AS78" i="2"/>
  <c r="G16" i="4" s="1"/>
  <c r="AT48" i="2"/>
  <c r="AT54" i="2"/>
  <c r="AT60" i="2"/>
  <c r="AT63" i="2"/>
  <c r="AT78" i="2"/>
  <c r="AT90" i="2"/>
  <c r="AT99" i="2"/>
  <c r="AT108" i="2"/>
  <c r="AT117" i="2"/>
  <c r="AT120" i="2"/>
  <c r="AT129" i="2"/>
  <c r="AT138" i="2"/>
  <c r="AT147" i="2"/>
  <c r="AT153" i="2"/>
  <c r="AT159" i="2"/>
  <c r="AT165" i="2"/>
  <c r="H121" i="4"/>
  <c r="F180" i="6"/>
  <c r="J22" i="24"/>
  <c r="L72" i="21"/>
  <c r="D12" i="44"/>
  <c r="C12" i="44"/>
  <c r="B12" i="44"/>
  <c r="I4" i="37"/>
  <c r="G4" i="37"/>
  <c r="B10" i="35"/>
  <c r="C10" i="40"/>
  <c r="J3" i="24"/>
  <c r="B10" i="40"/>
  <c r="B11" i="26"/>
  <c r="AT38" i="2"/>
  <c r="AT85" i="2"/>
  <c r="AT118" i="2"/>
  <c r="AT127" i="2"/>
  <c r="AT5" i="2"/>
  <c r="J14" i="24"/>
  <c r="G81" i="38"/>
  <c r="J17" i="24"/>
  <c r="G105" i="38"/>
  <c r="C10" i="44"/>
  <c r="B10" i="44"/>
  <c r="AS54" i="2"/>
  <c r="G93" i="4" s="1"/>
  <c r="AS57" i="2"/>
  <c r="G96" i="4" s="1"/>
  <c r="AS72" i="2"/>
  <c r="G10" i="4" s="1"/>
  <c r="AS84" i="2"/>
  <c r="G133" i="4" s="1"/>
  <c r="AS108" i="2"/>
  <c r="G65" i="4" s="1"/>
  <c r="C11" i="44"/>
  <c r="B11" i="44"/>
  <c r="AT37" i="2"/>
  <c r="AT43" i="2"/>
  <c r="AT51" i="2"/>
  <c r="AT69" i="2"/>
  <c r="AT72" i="2"/>
  <c r="AT75" i="2"/>
  <c r="AT87" i="2"/>
  <c r="AT96" i="2"/>
  <c r="AT105" i="2"/>
  <c r="AT114" i="2"/>
  <c r="AT123" i="2"/>
  <c r="AT126" i="2"/>
  <c r="AT150" i="2"/>
  <c r="AT156" i="2"/>
  <c r="AT162" i="2"/>
  <c r="AS7" i="2"/>
  <c r="G24" i="4" s="1"/>
  <c r="AS13" i="2"/>
  <c r="G82" i="4" s="1"/>
  <c r="AS22" i="2"/>
  <c r="G85" i="4" s="1"/>
  <c r="F178" i="6"/>
  <c r="G2" i="38"/>
  <c r="G148" i="38"/>
  <c r="AS58" i="2"/>
  <c r="G97" i="4" s="1"/>
  <c r="AS91" i="2"/>
  <c r="AT94" i="2"/>
  <c r="AT97" i="2"/>
  <c r="AT100" i="2"/>
  <c r="AT136" i="2"/>
  <c r="AT20" i="2"/>
  <c r="C9" i="44"/>
  <c r="B9" i="44"/>
  <c r="AS37" i="2"/>
  <c r="G43" i="4" s="1"/>
  <c r="AS51" i="2"/>
  <c r="G90" i="4" s="1"/>
  <c r="AS87" i="2"/>
  <c r="G136" i="4" s="1"/>
  <c r="AS93" i="2"/>
  <c r="G53" i="4" s="1"/>
  <c r="AS102" i="2"/>
  <c r="G61" i="4" s="1"/>
  <c r="AS105" i="2"/>
  <c r="AS114" i="2"/>
  <c r="G142" i="4" s="1"/>
  <c r="J5" i="24"/>
  <c r="G16" i="38"/>
  <c r="J6" i="24"/>
  <c r="D10" i="40"/>
  <c r="G28" i="38"/>
  <c r="G31" i="38"/>
  <c r="J7" i="24"/>
  <c r="AT57" i="2"/>
  <c r="AT66" i="2"/>
  <c r="AT84" i="2"/>
  <c r="AT93" i="2"/>
  <c r="AT102" i="2"/>
  <c r="AT111" i="2"/>
  <c r="AT132" i="2"/>
  <c r="AT141" i="2"/>
  <c r="AT144" i="2"/>
  <c r="AS4" i="2"/>
  <c r="G21" i="4" s="1"/>
  <c r="AS10" i="2"/>
  <c r="G27" i="4" s="1"/>
  <c r="AS19" i="2"/>
  <c r="G29" i="4" s="1"/>
  <c r="AS25" i="2"/>
  <c r="G33" i="4" s="1"/>
  <c r="AS28" i="2"/>
  <c r="H3" i="4"/>
  <c r="AT4" i="2"/>
  <c r="AT7" i="2"/>
  <c r="AT10" i="2"/>
  <c r="AT13" i="2"/>
  <c r="AT16" i="2"/>
  <c r="AT19" i="2"/>
  <c r="AT22" i="2"/>
  <c r="AT25" i="2"/>
  <c r="AT28" i="2"/>
  <c r="AT31" i="2"/>
  <c r="H64" i="4"/>
  <c r="F68" i="6"/>
  <c r="AS67" i="2"/>
  <c r="G5" i="4" s="1"/>
  <c r="AS70" i="2"/>
  <c r="G8" i="4" s="1"/>
  <c r="AS79" i="2"/>
  <c r="G17" i="4" s="1"/>
  <c r="AS145" i="2"/>
  <c r="G155" i="4" s="1"/>
  <c r="AS151" i="2"/>
  <c r="G161" i="4" s="1"/>
  <c r="AS163" i="2"/>
  <c r="G171" i="4" s="1"/>
  <c r="AT44" i="2"/>
  <c r="AT130" i="2"/>
  <c r="AT172" i="2"/>
  <c r="AT47" i="2"/>
  <c r="D7" i="44"/>
  <c r="D8" i="44" s="1"/>
  <c r="K4" i="3"/>
  <c r="H138" i="4"/>
  <c r="B8" i="44"/>
  <c r="AT35" i="2"/>
  <c r="AT154" i="2"/>
  <c r="AT157" i="2"/>
  <c r="J26" i="24"/>
  <c r="G131" i="38"/>
  <c r="G176" i="38"/>
  <c r="J31" i="24"/>
  <c r="H60" i="4"/>
  <c r="H180" i="4"/>
  <c r="L43" i="21"/>
  <c r="L51" i="21"/>
  <c r="L17" i="21"/>
  <c r="AS49" i="2"/>
  <c r="G50" i="4" s="1"/>
  <c r="AS55" i="2"/>
  <c r="G94" i="4" s="1"/>
  <c r="AS61" i="2"/>
  <c r="D9" i="44"/>
  <c r="G92" i="38"/>
  <c r="J15" i="24"/>
  <c r="G107" i="38"/>
  <c r="H4" i="37"/>
  <c r="C10" i="35"/>
  <c r="J18" i="24"/>
  <c r="C11" i="26"/>
  <c r="G113" i="38"/>
  <c r="J20" i="24"/>
  <c r="D10" i="44"/>
  <c r="AS36" i="2"/>
  <c r="G42" i="4" s="1"/>
  <c r="AS39" i="2"/>
  <c r="G128" i="4" s="1"/>
  <c r="AS42" i="2"/>
  <c r="G45" i="4" s="1"/>
  <c r="AS45" i="2"/>
  <c r="G46" i="4" s="1"/>
  <c r="AS50" i="2"/>
  <c r="G51" i="4" s="1"/>
  <c r="AS53" i="2"/>
  <c r="G92" i="4" s="1"/>
  <c r="AS56" i="2"/>
  <c r="G95" i="4" s="1"/>
  <c r="AS59" i="2"/>
  <c r="G98" i="4" s="1"/>
  <c r="AS62" i="2"/>
  <c r="G102" i="4" s="1"/>
  <c r="AS65" i="2"/>
  <c r="AS68" i="2"/>
  <c r="G6" i="4" s="1"/>
  <c r="AS71" i="2"/>
  <c r="G9" i="4" s="1"/>
  <c r="AS74" i="2"/>
  <c r="G12" i="4" s="1"/>
  <c r="AS77" i="2"/>
  <c r="G15" i="4" s="1"/>
  <c r="AS83" i="2"/>
  <c r="AS86" i="2"/>
  <c r="G135" i="4" s="1"/>
  <c r="AS89" i="2"/>
  <c r="G138" i="4" s="1"/>
  <c r="AS92" i="2"/>
  <c r="AS95" i="2"/>
  <c r="G55" i="4" s="1"/>
  <c r="AS98" i="2"/>
  <c r="G57" i="4" s="1"/>
  <c r="AS101" i="2"/>
  <c r="G60" i="4" s="1"/>
  <c r="AS104" i="2"/>
  <c r="G63" i="4" s="1"/>
  <c r="AS107" i="2"/>
  <c r="AS110" i="2"/>
  <c r="G67" i="4" s="1"/>
  <c r="AS113" i="2"/>
  <c r="AS116" i="2"/>
  <c r="G71" i="4" s="1"/>
  <c r="AS122" i="2"/>
  <c r="G75" i="4" s="1"/>
  <c r="AS125" i="2"/>
  <c r="G112" i="4" s="1"/>
  <c r="AS128" i="2"/>
  <c r="G115" i="4" s="1"/>
  <c r="AS131" i="2"/>
  <c r="AS134" i="2"/>
  <c r="G118" i="4" s="1"/>
  <c r="AS137" i="2"/>
  <c r="G147" i="4" s="1"/>
  <c r="AS140" i="2"/>
  <c r="G150" i="4" s="1"/>
  <c r="AS143" i="2"/>
  <c r="G153" i="4" s="1"/>
  <c r="AS146" i="2"/>
  <c r="G156" i="4" s="1"/>
  <c r="K12" i="3"/>
  <c r="J4" i="24"/>
  <c r="J27" i="24"/>
  <c r="H25" i="35"/>
  <c r="H26" i="35"/>
  <c r="D7" i="35"/>
  <c r="H75" i="4" l="1"/>
  <c r="F122" i="6"/>
  <c r="H57" i="4"/>
  <c r="F137" i="6"/>
  <c r="H147" i="4"/>
  <c r="F116" i="6"/>
  <c r="F36" i="6"/>
  <c r="H135" i="4"/>
  <c r="F86" i="6"/>
  <c r="H63" i="4"/>
  <c r="F95" i="6"/>
  <c r="H55" i="4"/>
  <c r="F171" i="6"/>
  <c r="H179" i="4"/>
  <c r="F168" i="6"/>
  <c r="F167" i="6"/>
  <c r="H175" i="4"/>
  <c r="F33" i="6"/>
  <c r="H40" i="4"/>
  <c r="F51" i="6"/>
  <c r="H90" i="4"/>
  <c r="H73" i="4"/>
  <c r="F118" i="6"/>
  <c r="F159" i="6"/>
  <c r="H167" i="4"/>
  <c r="G25" i="24"/>
  <c r="I25" i="24" s="1"/>
  <c r="J11" i="3"/>
  <c r="I11" i="3"/>
  <c r="G116" i="4"/>
  <c r="J13" i="3"/>
  <c r="G30" i="24"/>
  <c r="I30" i="24" s="1"/>
  <c r="I13" i="3"/>
  <c r="G80" i="4"/>
  <c r="H94" i="4"/>
  <c r="F55" i="6"/>
  <c r="H35" i="4"/>
  <c r="F27" i="6"/>
  <c r="F69" i="6"/>
  <c r="H7" i="4"/>
  <c r="F165" i="6"/>
  <c r="H173" i="4"/>
  <c r="F85" i="6"/>
  <c r="H134" i="4"/>
  <c r="G17" i="24"/>
  <c r="I17" i="24" s="1"/>
  <c r="G140" i="4"/>
  <c r="H43" i="4"/>
  <c r="F37" i="6"/>
  <c r="H127" i="4"/>
  <c r="F38" i="6"/>
  <c r="F147" i="6"/>
  <c r="H157" i="4"/>
  <c r="F21" i="6"/>
  <c r="H30" i="4"/>
  <c r="J10" i="3"/>
  <c r="H97" i="4"/>
  <c r="F58" i="6"/>
  <c r="F30" i="6"/>
  <c r="H38" i="4"/>
  <c r="H125" i="4"/>
  <c r="F18" i="6"/>
  <c r="H8" i="24"/>
  <c r="G8" i="24"/>
  <c r="G127" i="4"/>
  <c r="H10" i="4"/>
  <c r="F72" i="6"/>
  <c r="D11" i="26"/>
  <c r="H148" i="4"/>
  <c r="F138" i="6"/>
  <c r="G26" i="24"/>
  <c r="I26" i="24" s="1"/>
  <c r="G143" i="4"/>
  <c r="F141" i="6"/>
  <c r="H151" i="4"/>
  <c r="F129" i="6"/>
  <c r="H116" i="4"/>
  <c r="H39" i="4"/>
  <c r="F32" i="6"/>
  <c r="G29" i="24"/>
  <c r="I29" i="24" s="1"/>
  <c r="J12" i="3"/>
  <c r="I12" i="3"/>
  <c r="G146" i="4"/>
  <c r="F15" i="6"/>
  <c r="H84" i="4"/>
  <c r="G21" i="24"/>
  <c r="I21" i="24" s="1"/>
  <c r="G15" i="24"/>
  <c r="I15" i="24" s="1"/>
  <c r="J8" i="3"/>
  <c r="I8" i="3"/>
  <c r="G52" i="4"/>
  <c r="H164" i="4"/>
  <c r="F154" i="6"/>
  <c r="H86" i="4"/>
  <c r="F31" i="6"/>
  <c r="H144" i="4"/>
  <c r="F132" i="6"/>
  <c r="H110" i="4"/>
  <c r="F120" i="6"/>
  <c r="H34" i="4"/>
  <c r="F26" i="6"/>
  <c r="F29" i="6"/>
  <c r="H37" i="4"/>
  <c r="F12" i="6"/>
  <c r="H81" i="4"/>
  <c r="D11" i="40"/>
  <c r="H6" i="24"/>
  <c r="G6" i="24"/>
  <c r="G36" i="4"/>
  <c r="I5" i="3"/>
  <c r="F127" i="6"/>
  <c r="H114" i="4"/>
  <c r="H154" i="4"/>
  <c r="F144" i="6"/>
  <c r="I7" i="3"/>
  <c r="G3" i="4"/>
  <c r="F117" i="6"/>
  <c r="H72" i="4"/>
  <c r="H31" i="4"/>
  <c r="F23" i="6"/>
  <c r="F177" i="6"/>
  <c r="H80" i="4"/>
  <c r="H174" i="4"/>
  <c r="F166" i="6"/>
  <c r="H26" i="4"/>
  <c r="F9" i="6"/>
  <c r="F43" i="6"/>
  <c r="H88" i="4"/>
  <c r="F153" i="6"/>
  <c r="H163" i="4"/>
  <c r="H32" i="4"/>
  <c r="F24" i="6"/>
  <c r="H41" i="4"/>
  <c r="F35" i="6"/>
  <c r="F111" i="6"/>
  <c r="H68" i="4"/>
  <c r="H170" i="4"/>
  <c r="F162" i="6"/>
  <c r="F25" i="6"/>
  <c r="H33" i="4"/>
  <c r="F102" i="6"/>
  <c r="H61" i="4"/>
  <c r="H166" i="4"/>
  <c r="F156" i="6"/>
  <c r="D10" i="35"/>
  <c r="F108" i="6"/>
  <c r="H65" i="4"/>
  <c r="F163" i="6"/>
  <c r="H171" i="4"/>
  <c r="F91" i="6"/>
  <c r="H106" i="4"/>
  <c r="H124" i="4"/>
  <c r="F17" i="6"/>
  <c r="F139" i="6"/>
  <c r="H149" i="4"/>
  <c r="H23" i="4"/>
  <c r="F6" i="6"/>
  <c r="G22" i="24"/>
  <c r="I22" i="24" s="1"/>
  <c r="H36" i="4"/>
  <c r="F28" i="6"/>
  <c r="H85" i="4"/>
  <c r="F22" i="6"/>
  <c r="F93" i="6"/>
  <c r="H53" i="4"/>
  <c r="H160" i="4"/>
  <c r="F150" i="6"/>
  <c r="F99" i="6"/>
  <c r="H58" i="4"/>
  <c r="F133" i="6"/>
  <c r="H145" i="4"/>
  <c r="G14" i="24"/>
  <c r="G130" i="4"/>
  <c r="J7" i="3"/>
  <c r="H131" i="4"/>
  <c r="F82" i="6"/>
  <c r="H28" i="4"/>
  <c r="F11" i="6"/>
  <c r="H177" i="4"/>
  <c r="F169" i="6"/>
  <c r="F103" i="6"/>
  <c r="H62" i="4"/>
  <c r="F3" i="6"/>
  <c r="H20" i="4"/>
  <c r="G5" i="24"/>
  <c r="G20" i="24"/>
  <c r="I20" i="24" s="1"/>
  <c r="G141" i="4"/>
  <c r="F19" i="6"/>
  <c r="H29" i="4"/>
  <c r="H133" i="4"/>
  <c r="F84" i="6"/>
  <c r="H113" i="4"/>
  <c r="F126" i="6"/>
  <c r="H139" i="4"/>
  <c r="F90" i="6"/>
  <c r="F124" i="6"/>
  <c r="H111" i="4"/>
  <c r="F41" i="6"/>
  <c r="H129" i="4"/>
  <c r="H158" i="4"/>
  <c r="F148" i="6"/>
  <c r="F151" i="6"/>
  <c r="H161" i="4"/>
  <c r="H5" i="24"/>
  <c r="F157" i="6"/>
  <c r="H77" i="4"/>
  <c r="G10" i="24"/>
  <c r="I10" i="24" s="1"/>
  <c r="G101" i="4"/>
  <c r="J6" i="3"/>
  <c r="I6" i="3"/>
  <c r="H123" i="4"/>
  <c r="F16" i="6"/>
  <c r="F66" i="6"/>
  <c r="H4" i="4"/>
  <c r="H126" i="4"/>
  <c r="F20" i="6"/>
  <c r="F123" i="6"/>
  <c r="H76" i="4"/>
  <c r="F78" i="6"/>
  <c r="H16" i="4"/>
  <c r="F121" i="6"/>
  <c r="H74" i="4"/>
  <c r="F115" i="6"/>
  <c r="H70" i="4"/>
  <c r="F145" i="6"/>
  <c r="H155" i="4"/>
  <c r="G18" i="24"/>
  <c r="I18" i="24" s="1"/>
  <c r="C10" i="26"/>
  <c r="C9" i="26"/>
  <c r="J9" i="3"/>
  <c r="G64" i="4"/>
  <c r="I9" i="3"/>
  <c r="H48" i="4"/>
  <c r="F47" i="6"/>
  <c r="H82" i="4"/>
  <c r="F13" i="6"/>
  <c r="H96" i="4"/>
  <c r="F57" i="6"/>
  <c r="F136" i="6"/>
  <c r="H146" i="4"/>
  <c r="H142" i="4"/>
  <c r="F114" i="6"/>
  <c r="F63" i="6"/>
  <c r="H103" i="4"/>
  <c r="F88" i="6"/>
  <c r="H137" i="4"/>
  <c r="F109" i="6"/>
  <c r="H66" i="4"/>
  <c r="F112" i="6"/>
  <c r="H69" i="4"/>
  <c r="C11" i="40"/>
  <c r="B11" i="40"/>
  <c r="H3" i="24"/>
  <c r="G3" i="24"/>
  <c r="B9" i="26"/>
  <c r="D9" i="26" s="1"/>
  <c r="I4" i="3"/>
  <c r="G19" i="4"/>
  <c r="F172" i="6"/>
  <c r="H79" i="4"/>
  <c r="H27" i="4"/>
  <c r="F10" i="6"/>
  <c r="F100" i="6"/>
  <c r="H59" i="4"/>
  <c r="F105" i="6"/>
  <c r="H140" i="4"/>
  <c r="H99" i="4"/>
  <c r="F60" i="6"/>
  <c r="H14" i="4"/>
  <c r="F76" i="6"/>
  <c r="F106" i="6"/>
  <c r="H108" i="4"/>
  <c r="F79" i="6"/>
  <c r="H17" i="4"/>
  <c r="G7" i="24"/>
  <c r="I7" i="24" s="1"/>
  <c r="F61" i="6"/>
  <c r="H101" i="4"/>
  <c r="G27" i="24"/>
  <c r="I27" i="24" s="1"/>
  <c r="G77" i="4"/>
  <c r="H14" i="24"/>
  <c r="G132" i="4"/>
  <c r="I10" i="3"/>
  <c r="H117" i="4"/>
  <c r="F130" i="6"/>
  <c r="H24" i="4"/>
  <c r="F7" i="6"/>
  <c r="F97" i="6"/>
  <c r="H107" i="4"/>
  <c r="F96" i="6"/>
  <c r="H56" i="4"/>
  <c r="H93" i="4"/>
  <c r="F54" i="6"/>
  <c r="F70" i="6"/>
  <c r="H8" i="4"/>
  <c r="H50" i="4"/>
  <c r="F49" i="6"/>
  <c r="G16" i="24"/>
  <c r="I16" i="24" s="1"/>
  <c r="G107" i="4"/>
  <c r="F73" i="6"/>
  <c r="H11" i="4"/>
  <c r="H4" i="24"/>
  <c r="G4" i="24"/>
  <c r="G81" i="4"/>
  <c r="F5" i="6"/>
  <c r="H22" i="4"/>
  <c r="H89" i="4"/>
  <c r="F44" i="6"/>
  <c r="H21" i="4"/>
  <c r="F4" i="6"/>
  <c r="H54" i="4"/>
  <c r="F94" i="6"/>
  <c r="F87" i="6"/>
  <c r="H136" i="4"/>
  <c r="H49" i="4"/>
  <c r="F48" i="6"/>
  <c r="H7" i="24"/>
  <c r="G89" i="4"/>
  <c r="F67" i="6"/>
  <c r="H5" i="4"/>
  <c r="J5" i="3"/>
  <c r="G13" i="24"/>
  <c r="I13" i="24" s="1"/>
  <c r="G106" i="4"/>
  <c r="F75" i="6"/>
  <c r="H13" i="4"/>
  <c r="F64" i="6"/>
  <c r="H104" i="4"/>
  <c r="B10" i="26"/>
  <c r="D10" i="26" s="1"/>
  <c r="I6" i="24" l="1"/>
  <c r="I4" i="24"/>
  <c r="I3" i="24"/>
  <c r="I8" i="24"/>
  <c r="I14" i="24"/>
  <c r="I5" i="24"/>
</calcChain>
</file>

<file path=xl/sharedStrings.xml><?xml version="1.0" encoding="utf-8"?>
<sst xmlns="http://schemas.openxmlformats.org/spreadsheetml/2006/main" count="44215" uniqueCount="12755">
  <si>
    <t>Authority</t>
  </si>
  <si>
    <t>Current value</t>
  </si>
  <si>
    <t>As of</t>
  </si>
  <si>
    <t>Meaning</t>
  </si>
  <si>
    <t>Release 1</t>
  </si>
  <si>
    <t>M2 — approx. one month from owner planning checkpoint</t>
  </si>
  <si>
    <t>Owner planning basis</t>
  </si>
  <si>
    <t>No new absolute delivery date.</t>
  </si>
  <si>
    <t>Release 2</t>
  </si>
  <si>
    <t>M3 — 45 days after M2 completion</t>
  </si>
  <si>
    <t>45 days after M2 completion; prior approved release allocation retained.</t>
  </si>
  <si>
    <t>T-099 closure</t>
  </si>
  <si>
    <t>ca02b40ea1b69050a45cb35a3e1d64f15b1f66af</t>
  </si>
  <si>
    <t>Final14Sep terminal transcript inspected15Sep</t>
  </si>
  <si>
    <t>CLOSED GREEN/COMMITTED; exact transcript corroborated. DefinitionKind known-red remains; not release-wideGREEN.</t>
  </si>
  <si>
    <t>T-262 evidence</t>
  </si>
  <si>
    <t>CONTRACT GREEN COMMIT86e1b677; INTEGRATION UNVERIFIED</t>
  </si>
  <si>
    <t>Evidence from12Sep; reviewed15Sep</t>
  </si>
  <si>
    <t>Producer declaration is committed with backend24/24, catalogue8/8, content39/39 and authoring404/404; parent36de9370 (short). Live definition-store integration is explicitly not executed. Current row asks for needed integration closure: retain In Progress pending that disposition, but withdraw the false 'no accepted SHA/run supplied' statement. No producer rewrite. Pasted text(20260912-074928).txt | lines1229-1243; T-262 GREEN committed86e1b677212195f191697ecdca7e9441b3dbde33; parent36de9370; live definition-store integration explicitly unexecuted. Later 14-Sep coordination explicitly allocates live definition-store Gate 0 to T-261 Runner 2. Reconcile that integration gate separately; no producer rewrite.</t>
  </si>
  <si>
    <t>Scope of validation</t>
  </si>
  <si>
    <t>51 scoped source reviews; all 34 M2-P2 + 17 other changed-estimate tasks</t>
  </si>
  <si>
    <t>2026-09-15</t>
  </si>
  <si>
    <t>Current implementation inspected from 14-Sep snapshot. 128 task scopes and all ten full session transcripts remain unreviewed/unrecovered. No live Git HEAD, product database or .NET test execution claimed. See Source Summary, Source Review, Source Evidence.</t>
  </si>
  <si>
    <t>15Sep detailed review</t>
  </si>
  <si>
    <t>Source Summary — current source, remaining effort and validation</t>
  </si>
  <si>
    <t>One workbook only. New Source Review and Source Evidence tabs supplement M2-P2 Review, Task Evidence 15Sep and the preserved session ledger.</t>
  </si>
  <si>
    <t>Current mutation order</t>
  </si>
  <si>
    <t>T-099 → T-100 → T-261 → T-245</t>
  </si>
  <si>
    <t>Latest owner update /15-Sep-2026</t>
  </si>
  <si>
    <t>Supersedes T-099→T-261→T-100; Worker 2 held pending final T-100 SHA.</t>
  </si>
  <si>
    <t>T-100 stage</t>
  </si>
  <si>
    <t>RUNNER 1 GREEN REPORTED / DB BUILD PASSED / LIVE HARNESS BLOCKED / UNCOMMITTED</t>
  </si>
  <si>
    <t>USER-REPORTED</t>
  </si>
  <si>
    <t>Not independently rerun or source-verified; no T-100 commit recorded.</t>
  </si>
  <si>
    <t>T-261 permission</t>
  </si>
  <si>
    <t>HELD PENDING T-100 COMMIT</t>
  </si>
  <si>
    <t>Worker 2</t>
  </si>
  <si>
    <t>No host mutation/final anchors/migration number. One bounded delta only after SHA.</t>
  </si>
  <si>
    <t>Latest issued recovery artifact</t>
  </si>
  <si>
    <t>Resume-ProjectionQuarantineCompletion_1.0.1.ps1</t>
  </si>
  <si>
    <t>Not executed/verified here</t>
  </si>
  <si>
    <t>5F6668258E8CAC517793B825AF712C8D8C9355F8CE9C0C69FBC5CAFCBDCB80E6</t>
  </si>
  <si>
    <t>T-100 expected closure parent</t>
  </si>
  <si>
    <t>4e0f1219ddbac3163bafe7ce510b62520683a77c</t>
  </si>
  <si>
    <t>EXPECTED, NOT OBSERVED</t>
  </si>
  <si>
    <t>Verify against Runner-1 handoff/current HEAD. Do not overwrite an actual commit/parent ledger until commit occurs.</t>
  </si>
  <si>
    <t>Evidence distinction</t>
  </si>
  <si>
    <t>DB bootstrap/constraint is not live classification</t>
  </si>
  <si>
    <t>110/110 SQL and 264 tables reported; harness stopped before live fixtures. Cleanup means certification DB must be rebuilt by recovery runner.</t>
  </si>
  <si>
    <t>Controlled book</t>
  </si>
  <si>
    <t>12 document families / 14 physical files</t>
  </si>
  <si>
    <t>Owner direction — 2026-09-14</t>
  </si>
  <si>
    <t>PPIQ_Definition.md registers the allowed files. The Backlog holds coverage, acceptance, validation and handoffs; no new status/JSON/README/atlas files.</t>
  </si>
  <si>
    <t>Task Id</t>
  </si>
  <si>
    <t>Milestone Id</t>
  </si>
  <si>
    <t>Phase Id</t>
  </si>
  <si>
    <t>Task Name</t>
  </si>
  <si>
    <t>Module</t>
  </si>
  <si>
    <t>Sub-module</t>
  </si>
  <si>
    <t>Priority</t>
  </si>
  <si>
    <t>Task Description</t>
  </si>
  <si>
    <t>Task Validation</t>
  </si>
  <si>
    <t>Hours</t>
  </si>
  <si>
    <t>Status</t>
  </si>
  <si>
    <t>AI Agent Owner</t>
  </si>
  <si>
    <t>Depends On (IDs only)</t>
  </si>
  <si>
    <t>Must Precede (IDs only)</t>
  </si>
  <si>
    <t>Delivery Target</t>
  </si>
  <si>
    <t>Release Criticality</t>
  </si>
  <si>
    <t>AI Execution Class</t>
  </si>
  <si>
    <t>AI Guarded Time P80 (h)</t>
  </si>
  <si>
    <t>AI Sequence Wave</t>
  </si>
  <si>
    <t>AI Start / Dependency Gate</t>
  </si>
  <si>
    <t>File / Subsystem Lock</t>
  </si>
  <si>
    <t>No-Rework Handoff Ruling</t>
  </si>
  <si>
    <t>Product Track</t>
  </si>
  <si>
    <t>Tech-Lead Ruling</t>
  </si>
  <si>
    <t>Commit String</t>
  </si>
  <si>
    <t>Commit Date</t>
  </si>
  <si>
    <t>Primary Capability ID</t>
  </si>
  <si>
    <t>Primary Capability Name</t>
  </si>
  <si>
    <t>Secondary Capability IDs</t>
  </si>
  <si>
    <t>Capability Contribution</t>
  </si>
  <si>
    <t>Completeness Dimensions Targeted</t>
  </si>
  <si>
    <t>Capability Requirement Class</t>
  </si>
  <si>
    <t>Release Scope</t>
  </si>
  <si>
    <t>Capability Closure Effect</t>
  </si>
  <si>
    <t>Capability Evidence</t>
  </si>
  <si>
    <t>Estimate Basis</t>
  </si>
  <si>
    <t>Design Package</t>
  </si>
  <si>
    <t>UI Companion Reference</t>
  </si>
  <si>
    <t>Usable scope estimate (1/0)</t>
  </si>
  <si>
    <t>Contract-ready predecessors (not completion)</t>
  </si>
  <si>
    <t>Evidence State</t>
  </si>
  <si>
    <t>Closure Evidence Basis</t>
  </si>
  <si>
    <t>Parent Commit</t>
  </si>
  <si>
    <t>Estimate Status</t>
  </si>
  <si>
    <t>Usable planning hours</t>
  </si>
  <si>
    <t>Usable planning P80 h</t>
  </si>
  <si>
    <t>Source review coverage</t>
  </si>
  <si>
    <t>Proposed remaining LOW h</t>
  </si>
  <si>
    <t>Proposed remaining BASE h</t>
  </si>
  <si>
    <t>Proposed remaining HIGH h</t>
  </si>
  <si>
    <t>Remaining estimate confidence</t>
  </si>
  <si>
    <t>Remaining estimate basis</t>
  </si>
  <si>
    <t>Source locations</t>
  </si>
  <si>
    <t>Source as-of / evidence boundary</t>
  </si>
  <si>
    <t>T-086</t>
  </si>
  <si>
    <t>M2</t>
  </si>
  <si>
    <t>P1</t>
  </si>
  <si>
    <t>Freeze the legacy Fleet v2 controlled regression oracle</t>
  </si>
  <si>
    <t>Testing</t>
  </si>
  <si>
    <t>Emulated sources</t>
  </si>
  <si>
    <t>Critical</t>
  </si>
  <si>
    <t>Freeze and certify the existing Fleet v2 dataset only as a legacy discrete-manufacturing regression oracle with predeclared known answers/negative controls. It is not the canonical product vocabulary, not the generic M2 fixture authority and not the source of customer schema semantics. T-208 owns new generic controlled fixtures, including the continuous-process known-answer pack.</t>
  </si>
  <si>
    <t>Fleet v2 is immutable and its declared phenomena/negative controls are reproducible. An architecture check proves no generic runtime/Layer-B/registry contract derives vocabulary or universal grain from Fleet. T-208 can run independently with neutral/continuous fixtures.</t>
  </si>
  <si>
    <t>Done</t>
  </si>
  <si>
    <t>Worker 1</t>
  </si>
  <si>
    <t>T-201</t>
  </si>
  <si>
    <t>T-087; T-088; T-131</t>
  </si>
  <si>
    <t>M2: ~1 month from owner planning checkpoint; exact date not committed</t>
  </si>
  <si>
    <t>Release 1 MUST</t>
  </si>
  <si>
    <t>Integration/E2E/certification</t>
  </si>
  <si>
    <t>M2-P1</t>
  </si>
  <si>
    <t>CLOSED BASELINE — no new start gate and no re-execution implied. Preserve accepted closure and clean owned scope; reopen only on a concrete, separately recorded regression. Downstream consumes the frozen contract.</t>
  </si>
  <si>
    <t>Own canonical DB/backend/security/API/infra. No W2-owned UI/admin task files and no W3 ML/Assistant runtime.</t>
  </si>
  <si>
    <t>Commit before downstream consumer starts; consumer must use the contract, not redesign producer-owned semantics.</t>
  </si>
  <si>
    <t>Product Foundation &amp; Release Truth</t>
  </si>
  <si>
    <t>M2 P1 — Product Foundation &amp; Release Truth. Release 1 is genuine early production / first-week customer work.</t>
  </si>
  <si>
    <t>77a8ea4f — T-086: freeze the legacy regression oracle and gate generic surfaces against its vocabulary</t>
  </si>
  <si>
    <t>L8.8</t>
  </si>
  <si>
    <t>C1–C4 performance certification and golden-journey release gate</t>
  </si>
  <si>
    <t>Validate</t>
  </si>
  <si>
    <t>D5</t>
  </si>
  <si>
    <t>Core</t>
  </si>
  <si>
    <t>R1</t>
  </si>
  <si>
    <t>Advances</t>
  </si>
  <si>
    <t>Inherited baseline estimate</t>
  </si>
  <si>
    <t>v4.10.3</t>
  </si>
  <si>
    <t>Chapters 3/4 v4.10.3 — MD + illustrated Word; UI Coverage / UI Controls in this workbook</t>
  </si>
  <si>
    <t>Recorded closed — inherited evidence</t>
  </si>
  <si>
    <t>Inherited v2.22.0 intended record; no new runtime certification in this repair.</t>
  </si>
  <si>
    <t>INHERITED ESTIMATE</t>
  </si>
  <si>
    <t>T-087</t>
  </si>
  <si>
    <t>Physical three-schema migration</t>
  </si>
  <si>
    <t>Database</t>
  </si>
  <si>
    <t>Schema</t>
  </si>
  <si>
    <t>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t>
  </si>
  <si>
    <t>Rule 2 is provable in one query on a fresh database. All application tests pass. The canvas catalogue lists tables from the renamed schema with only a configuration change. AND THE BENCHMARK SURVIVES THE MOVE: the phenomenon and benchmark harness frozen in T-086 is re-run UNCHANGED after the schema migration and produces identical results. A migration that silently alters the reference dataset destroys every comparison made against it.</t>
  </si>
  <si>
    <t>T-086; T-088</t>
  </si>
  <si>
    <t>T-089; T-099; T-102; T-112; T-114; T-128; T-196; T-233; T-251; T-252</t>
  </si>
  <si>
    <t>DB/schema/migration</t>
  </si>
  <si>
    <t>e7d82f078d7dfa4c1ca4ec6e88d0dbc7e1ecd6ba — subject not recovered</t>
  </si>
  <si>
    <t>L2.1</t>
  </si>
  <si>
    <t>Three-schema platform and placement law</t>
  </si>
  <si>
    <t>L5.7</t>
  </si>
  <si>
    <t>Converge</t>
  </si>
  <si>
    <t>D4; D5</t>
  </si>
  <si>
    <t>T-088</t>
  </si>
  <si>
    <t>Canonical migration order and legacy script archival</t>
  </si>
  <si>
    <t>Very Important</t>
  </si>
  <si>
    <t>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t>
  </si>
  <si>
    <t>A fresh database builds from the canonical path with no manual step. The truth gate fails if a duplicate CREATE TABLE is introduced.</t>
  </si>
  <si>
    <t>T-087; T-089; T-112; T-128; T-251; T-252; T-256; T-260</t>
  </si>
  <si>
    <t>6a62c9d6 — Establish canonical database migration authority</t>
  </si>
  <si>
    <t>L8.1</t>
  </si>
  <si>
    <t>Fresh install and upgrade authority</t>
  </si>
  <si>
    <t>L5.7; L2.1</t>
  </si>
  <si>
    <t>T-089</t>
  </si>
  <si>
    <t>definition_store, definition_versions and definition_dependencies</t>
  </si>
  <si>
    <t>Definition store</t>
  </si>
  <si>
    <t>Create the tables specified in Chapter 3 4.5.11 with immutable versions and a dependency graph, plus a trigger that rejects a dependency cycle.</t>
  </si>
  <si>
    <t>Integration tests: create, version, publish, and reject a cycle. Version rows must be immutable, proved by an update attempt that fails.</t>
  </si>
  <si>
    <t>T-087; T-088</t>
  </si>
  <si>
    <t>T-090; T-092; T-095; T-099; T-106; T-114; T-128; T-183; T-243; T-244</t>
  </si>
  <si>
    <t>0fd79e5e3516cdfd0ab5a73a02e16638fd02693a — subject not recovered</t>
  </si>
  <si>
    <t>L2.5</t>
  </si>
  <si>
    <t>Unified definition store and immutable target/version governance</t>
  </si>
  <si>
    <t>L5.6</t>
  </si>
  <si>
    <t>Build</t>
  </si>
  <si>
    <t>T-090</t>
  </si>
  <si>
    <t>Move all five definition kinds onto the store</t>
  </si>
  <si>
    <t>Backend</t>
  </si>
  <si>
    <t>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 v2.10.1 OUTCOME SEMANTICS BINDING. As part of canonical definition convergence, bind the already-frozen SM-06 OutcomeDefinition to the canonical immutable versioned definition authority; do not design a second outcome authority. The canonical binding preserves outcome_code, outcome_type, class_taxonomy_ref, ordinal_rank_map, grain_code, detection_position_code, detection_timestamp_field, direction, unit_code, censoring_policy and definition/version identity. Any legacy ml_outcome_definitions representation may remain only as a compatibility projection during convergence and must not remain an independent semantic authority.</t>
  </si>
  <si>
    <t>The M1 integration test written against IDefinitionService must pass unchanged, since it references no table name. That is the proof that the visible contract did not move. Publish an SM-06 OutcomeDefinition and resolve it back by exact immutable version. Changing detection_position_code, detection_timestamp_field, grain, taxonomy, ordinal map, direction, unit or censoring policy creates a new definition version rather than silently mutating published meaning. If a compatibility outcome representation remains during convergence, prove it resolves to the same canonical definition/version and cannot diverge into a second authority.</t>
  </si>
  <si>
    <t>T-091; T-092; T-095; T-099; T-104; T-106; T-114; T-128; T-134; T-147; T-183; T-195; T-210; T-221; T-228; T-231; T-232; T-233; T-235; T-239; T-243; T-244</t>
  </si>
  <si>
    <t>Backend/domain contract</t>
  </si>
  <si>
    <t>Downstream consumers wait for the committed T-090 authority. Handover/progress notes do not substitute for closure; the pack must apply, build, test, replay and commit on the user machine.</t>
  </si>
  <si>
    <t>CENTRAL 30-Aug-2026: canonical definition convergence remains full scope. Deliver the standard executable PowerShell pack; no Task-ID-less changes.</t>
  </si>
  <si>
    <t>a6399d9c — subject not recovered</t>
  </si>
  <si>
    <t>Unified definition-store semantics</t>
  </si>
  <si>
    <t>D3; D4; D5</t>
  </si>
  <si>
    <t>T-091</t>
  </si>
  <si>
    <t>Impact preview, export and import</t>
  </si>
  <si>
    <t>Add dependency impact preview before a publish, and export and import of a definition with its dependencies, per Chapter 3 4.5.11.</t>
  </si>
  <si>
    <t>Publish a change to a definition three others depend on and confirm the preview lists all three before the publish is confirmed. Export and reimport into an empty database and confirm equality.</t>
  </si>
  <si>
    <t>T-128; T-183</t>
  </si>
  <si>
    <t>c6d64289 — subject not recovered</t>
  </si>
  <si>
    <t>D3; D5</t>
  </si>
  <si>
    <t>T-092</t>
  </si>
  <si>
    <t>Registry authority: dimensions and measures as rows</t>
  </si>
  <si>
    <t>Registry</t>
  </si>
  <si>
    <t>Replace compiled dimension/measure catalogues with canonical registry projections over published definition versions. Registry rows must support customer-defined dimensions/measures without rebuild, plus analysis-grain metadata, signal/aggregation semantics and reference-derived measure roles. It remains a projection/serving authority, not a competing mutable definition store.</t>
  </si>
  <si>
    <t>Using the same binary, add a customer-shaped dimension and measure through definitions/registry data only and use them in an authored widget. No C#/React/product-SQL edit. Registry exposes declared grain and aggregation/reference metadata and rejects unresolved semantics.</t>
  </si>
  <si>
    <t>T-089; T-090; T-210; T-231</t>
  </si>
  <si>
    <t>T-093; T-094; T-128; T-183; T-212; T-215; T-228; T-237; T-247</t>
  </si>
  <si>
    <t>ab2962a4; 7cad36e4 — registry authority closure commits</t>
  </si>
  <si>
    <t>L3.9</t>
  </si>
  <si>
    <t>Master items, bookmarks and saved views</t>
  </si>
  <si>
    <t>L5.1</t>
  </si>
  <si>
    <t>D1; D3; D5</t>
  </si>
  <si>
    <t>T-093</t>
  </si>
  <si>
    <t>Plant-vocabulary sweep, part 1: build the term list and the architecture test</t>
  </si>
  <si>
    <t>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t>
  </si>
  <si>
    <t>Add a term to the list and confirm the build goes red on an existing violation, then goes green once that violation is fixed. Confirm removing a term from the list does not require a code change.</t>
  </si>
  <si>
    <t>T-092; T-206</t>
  </si>
  <si>
    <t>T-094; T-128; T-183</t>
  </si>
  <si>
    <t>4e2e0f654b93ceed2ecdfbce4d3c1768550b3079 — T-093 govern plant vocabulary as data-driven genericity debt</t>
  </si>
  <si>
    <t>Canonical entity catalogue</t>
  </si>
  <si>
    <t>T-094</t>
  </si>
  <si>
    <t>Plant-vocabulary sweep, part 2: remove hardcoded universal grain and industry vocabulary</t>
  </si>
  <si>
    <t>Clear generic-runtime/demo-vocabulary violations without replacing one industry noun with another. Complete the declared-dimension execution path on BOTH runtime wire surfaces: (A) persisted widget execution via DashboardWidgetFiltersDto/declared keyed dimensions and (B) workspace/global dashboard query execution via DashboardQueryDto and the overview/quality/risk/data-quality/materials routes. Remove fixed universal grain/industry vocabulary from DashboardReferenceDataDto and the frontend consumers by resolving published registry definitions, canonical members and governed Analysis Subject/relationship authority. The target contract is definition/registry member -&gt; relationship/path resolution -&gt; Analysis Subject -&gt; typed refusal; the current direct single-reference resolver is an interim implementation until T-095/T-096 path authority lands. No presentation vocabulary becomes product authority.</t>
  </si>
  <si>
    <t>Using the same binary, author a foreign/customer-shaped dimension and prove it filters both a persisted widget and the workspace/global route surface through the same published definition/member identity. Both surfaces must return the same typed refusal when the dimension is undeclared, inactive, unmapped, has no subject path, or becomes ambiguous. No compiled fallback to defectType/riskClass/shiftCode or a universal material grain. Frontend consumers use the keyed contract. Wave-C genericity arithmetic remains exact: every known fingerprint is retired or explicitly lawful; unknown=0.</t>
  </si>
  <si>
    <t>T-092; T-093; T-209</t>
  </si>
  <si>
    <t>T-095; T-128; T-183; T-196; T-253; T-256; T-258</t>
  </si>
  <si>
    <t>CENTRAL 04-Sep-2026: T-094 remains open. Scope is formally amended from one wire to both declared-dimension execution surfaces. No new task is created while T-094 is open; after closure any new surface requires a new Task ID.</t>
  </si>
  <si>
    <t>377aabdffb27d651d30537ce5228ee4afe268526; 6ab97ee2; e74ecd1c; 5a967f1b0ab45961c8b8a880bb4fdec53a783134 — final: T-094 close keyed declared-dimension cutover and genericity reconciliation</t>
  </si>
  <si>
    <t>L5.3</t>
  </si>
  <si>
    <t>Freeze the successful M1 presentation baseline and transfer programme authority to M2</t>
  </si>
  <si>
    <t>Programme</t>
  </si>
  <si>
    <t>Release baseline</t>
  </si>
  <si>
    <t>Resolve the shared dirty tree, keep/revert the associative change on evidence, commit exact owned files, tag/freeze the successful presentation baseline, and formally stop presentation-only feature/page/data work. Remaining generic defects move to M2-P0 owners rather than being completed as M1 content.</t>
  </si>
  <si>
    <t>Clean index and explicit foreign-file inventory; immutable release/tag or equivalent frozen artifact; presentation profile still launches; one ledger lists every unclosed M1 item as frozen, superseded, or consumed by a named M2 task. No customer-demo-only task remains on the September critical path.</t>
  </si>
  <si>
    <t>T-086; T-202; T-203; T-204; T-205; T-206; T-207; T-208; T-213; T-241</t>
  </si>
  <si>
    <t>Release / governance</t>
  </si>
  <si>
    <t>Git/worktree ownership + release/tag only.</t>
  </si>
  <si>
    <t>After commit/tag, all workers consume the frozen baseline; nobody reopens M1 presentation scope without a proven regression.</t>
  </si>
  <si>
    <t>BASELINE HEAD 7da9d46ed29545f1c4f4686fa82c117c08b9fc86; TAG m1-presentation-baseline-2026-08-21 — no task commit; tag is closure artifact</t>
  </si>
  <si>
    <t>D1; D5</t>
  </si>
  <si>
    <t>T-202</t>
  </si>
  <si>
    <t>Persisted page/widget definition replay gate</t>
  </si>
  <si>
    <t>Quality</t>
  </si>
  <si>
    <t>Release Truth</t>
  </si>
  <si>
    <t>Enumerate every active customer-facing page/widget definition from the real database and execute its actual query contract against the release API/database. Validate declared terminal semantics, row/population evidence and compatibility. This gate tests the product as persisted, not merely source-code paths.</t>
  </si>
  <si>
    <t>Every active persisted widget executes with 2xx plus Populated/Empty/Blocked/Refused as documented; unexpected 4xx/5xx is a failure. Deliberately corrupt one dimension/measure combination and prove the gate fails. Restore and prove green. Emit machine-readable report naming definition/page/widget.</t>
  </si>
  <si>
    <t>T-212; T-248</t>
  </si>
  <si>
    <t>E2E / integration gate</t>
  </si>
  <si>
    <t>Frontend E2E + dashboard query test harness; no canonical schema edits.</t>
  </si>
  <si>
    <t>T-150 later consumes this gate; it does not redesign it.</t>
  </si>
  <si>
    <t>ad37c324 — Add persisted definition replay gate for release truth</t>
  </si>
  <si>
    <t>L3.1; L3.4</t>
  </si>
  <si>
    <t>D2; D5</t>
  </si>
  <si>
    <t>T-203</t>
  </si>
  <si>
    <t>Customer-route network, console and widget-state invariant</t>
  </si>
  <si>
    <t>For every customer-reachable route, navigate and settle against the real API; fail on unexpected HTTP &gt;=400, failed required request, uncaught JS exception, unhandled console error, error toast, or widget Failed state. Record route/request/widget evidence.</t>
  </si>
  <si>
    <t>Inject one failing API response and one uncaught render error and prove the route gate fails for the named cause. With faults removed, every customer route settles with zero unexpected network/console/widget failures.</t>
  </si>
  <si>
    <t>T-222; T-248</t>
  </si>
  <si>
    <t>Playwright / session</t>
  </si>
  <si>
    <t>Frontend E2E/session harness.</t>
  </si>
  <si>
    <t>All later customer-facing feature tasks must add their route to this gate before close.</t>
  </si>
  <si>
    <t>cd1a450e — Add customer route invariant gate with durable evidence</t>
  </si>
  <si>
    <t>L6.7</t>
  </si>
  <si>
    <t>T-204</t>
  </si>
  <si>
    <t>Associative cross-filter state-machine certification</t>
  </si>
  <si>
    <t>Frontend</t>
  </si>
  <si>
    <t>Associative BI</t>
  </si>
  <si>
    <t>Replace click-smoke acceptance with a state-machine proof: capture widgets A/B/C, click X in A, assert selection state, assert B/C re-query with X, assert returned populations and visible results change, clear X and assert restoration. Execute across interactive renderer families.</t>
  </si>
  <si>
    <t>Bar, line, scatter, heatmap, table-row and interactive KPI families each prove selection propagation, dependent request mutation, population/result change, and restoration. A deliberate broken dependency-array/bridge falsification must fail the test.</t>
  </si>
  <si>
    <t>Frontend behavioural E2E</t>
  </si>
  <si>
    <t>AssociativeContext/filter bridge + E2E tests; no unrelated chart redesign.</t>
  </si>
  <si>
    <t>This task supersedes using browser walking as the acceptance of cross-filtering.</t>
  </si>
  <si>
    <t>c6491e2d — closure-state HEAD; exact task commit subject not independently recovered</t>
  </si>
  <si>
    <t>L3.2</t>
  </si>
  <si>
    <t>Associative engine and selection strip</t>
  </si>
  <si>
    <t>T-205</t>
  </si>
  <si>
    <t>Frontend global suite termination and machine-readable gate</t>
  </si>
  <si>
    <t>Test infrastructure</t>
  </si>
  <si>
    <t>Make the global frontend unit/component suite terminate deterministically, produce a machine-readable result, and fail the pipeline on non-termination, timeout, skipped mandatory tests or leaked handles.</t>
  </si>
  <si>
    <t>Run the full suite twice from clean processes under the declared timeout; both terminate with identical pass/fail/skip counts and machine-readable output. Inject a leaked handle/non-terminating test and prove the gate goes red.</t>
  </si>
  <si>
    <t>T-150; T-248; T-250; T-255; T-257</t>
  </si>
  <si>
    <t>Frontend test infrastructure</t>
  </si>
  <si>
    <t>Frontend test runner/config only.</t>
  </si>
  <si>
    <t>T-205 remains closed. Deterministic suite-truth mutations are owned by T-250; do not amend or reopen T-205 for product/test corrections.</t>
  </si>
  <si>
    <t>CENTRAL 30-Aug-2026: T-205 CLOSED GREEN at b7fcc890. The gate correctly reports suite truth; bounded corrections are a separate explicit task.</t>
  </si>
  <si>
    <t>b7fcc890 — Gate the frontend suite on deterministic termination and machine-readable evidence</t>
  </si>
  <si>
    <t>L8.2</t>
  </si>
  <si>
    <t>Test architecture with disposable isolated databases</t>
  </si>
  <si>
    <t>T-206</t>
  </si>
  <si>
    <t>Scope-aware genericity architecture gate</t>
  </si>
  <si>
    <t>Architecture</t>
  </si>
  <si>
    <t>Genericity</t>
  </si>
  <si>
    <t>Create a scope-aware architecture test that forbids customer/demo/industry vocabulary and compiled customer dimension/grain authorities inside generic runtime/engine/API contracts while allowing that vocabulary in explicitly classified fixtures, mappings and documentation. Include detection of compiled dimension arrays and implicit grain defaults.</t>
  </si>
  <si>
    <t>Falsify the gate with a generic-runtime 'coil' fallback, a compiled customer dimension, and an industry-specific class; each fails. The same terms in approved fixture paths remain allowed. Gate consumes configured path/authority classes, not a naive whole-repo negative text scan.</t>
  </si>
  <si>
    <t>Worker 3</t>
  </si>
  <si>
    <t>T-093; T-213</t>
  </si>
  <si>
    <t>Architecture/test</t>
  </si>
  <si>
    <t>Architecture/genericity tests only; no W1 schema or W2 UI mutation.</t>
  </si>
  <si>
    <t>Violations are routed to the owning task/file; Worker 3 does not fix foreign files.</t>
  </si>
  <si>
    <t>Not recovered from reviewed sessions</t>
  </si>
  <si>
    <t>T-208</t>
  </si>
  <si>
    <t>Generic controlled validation fixture authority and continuous-process known-answer pack</t>
  </si>
  <si>
    <t>Test data</t>
  </si>
  <si>
    <t>Create the dataset-neutral controlled fixture authority separate from product vocabulary. Keep Fleet v2 as legacy discrete regression oracle only; continuous-process fixture includes irregular analog samples, state intervals, counters, alarms, process windows, independent manual/business records, PLUS a declared transition/stabilisation event and conflicting multi-objective practice vectors with predeclared known answers.</t>
  </si>
  <si>
    <t>Fixture manifests are machine-readable, immutable by version, inaccessible as planted truth to runtime, and include SampleMean vs TimeWeightedMean, StateDuration, Delta, interval overlap, transition/stabilisation regime truth, a pooled-vs-steady-state confounding case, a known Pareto frontier, negative controls and refusal cases. Product code contains no fixture vocabulary.</t>
  </si>
  <si>
    <t>T-209; T-211; T-216; T-217; T-218; T-234; T-238</t>
  </si>
  <si>
    <t>Test fixture / kernel</t>
  </si>
  <si>
    <t>New generic fixture/test assets only.</t>
  </si>
  <si>
    <t>T-211/T-217/T-219 consume this fixture; they never read planted expected answers at runtime.</t>
  </si>
  <si>
    <t>969c767c — T-208: generic controlled validation fixture and continuous-process known answers</t>
  </si>
  <si>
    <t>T-209</t>
  </si>
  <si>
    <t>Analysis Subject and Grain contract + schema-independent resolution kernel</t>
  </si>
  <si>
    <t>Architecture / Analytics Engine</t>
  </si>
  <si>
    <t>Generic subject/grain contract</t>
  </si>
  <si>
    <t>Freeze the generic AnalysisSubject/GrainDefinition contract and a schema-independent resolver/kernel. It defines subject kinds, grain identity, time-window semantics, typed GR01 refusal and the rule that no analytical result requires a material identifier. No production migration, DI registration or canonical table edit in this task.</t>
  </si>
  <si>
    <t>Known-answer tests resolve discrete, equipment-window and flow-interval subjects; missing grain refuses GR01; no industry noun/material-only assumption appears in the public contract. Runs without production DB access.</t>
  </si>
  <si>
    <t>T-094; T-210; T-214; T-231; T-234; T-253</t>
  </si>
  <si>
    <t>Kernel/contract</t>
  </si>
  <si>
    <t>New generic contract/kernel/tests only.</t>
  </si>
  <si>
    <t>T-231 persists this contract; downstream consumers bind to contract, not table shape.</t>
  </si>
  <si>
    <t>f2bafdb4 — subject not recovered</t>
  </si>
  <si>
    <t>Analysis Subject, grain and signal aggregation authority</t>
  </si>
  <si>
    <t>D1; D3; D4; D5</t>
  </si>
  <si>
    <t>T-210</t>
  </si>
  <si>
    <t>Canonical signal and aggregation semantics authority</t>
  </si>
  <si>
    <t>Semantic measurement authority</t>
  </si>
  <si>
    <t>Extend parameter definitions and KPI bindings with signal_kind, aggregation_kind, interpolation, weight basis, maximum gap, quality policy, counter-reset and time basis. Remove any silent DEFAULT 'Average'. Store grammar as product-owned enums/registry; customer parameters select it.</t>
  </si>
  <si>
    <t>Create Analog/State/Counter definitions and prove no aggregate can execute from data_type alone. Parameter or KPI binding may declare a valid method; absent semantics returns AG01. Invalid method for signal returns AG02. Fresh DB/replay green and no default Average in canonical schema.</t>
  </si>
  <si>
    <t>T-090; T-209</t>
  </si>
  <si>
    <t>T-092; T-128; T-211; T-212; T-242</t>
  </si>
  <si>
    <t>DB/schema authority</t>
  </si>
  <si>
    <t>Parameter definitions/KPI bindings/migrations/definition contract.</t>
  </si>
  <si>
    <t>T-211 executes exactly this contract; no second aggregation registry.</t>
  </si>
  <si>
    <t>92a655e1ddc4becedbaf89a3db96dc0d0f1eaf94 — subject not recovered</t>
  </si>
  <si>
    <t>L4.2</t>
  </si>
  <si>
    <t>T-216</t>
  </si>
  <si>
    <t>Source Time Authority contract and timestamp-semantics kernel</t>
  </si>
  <si>
    <t>Temporal authority contract</t>
  </si>
  <si>
    <t>Freeze the per-source time contract: timezone, timestamp basis/origin, DST policy, clock reference, observed skew, maximum tolerated skew, and source/server/ingest timestamp semantics. No production persistence in this task.</t>
  </si>
  <si>
    <t>Known-answer contract tests distinguish source/server/ingest timestamps and prove skew beyond tolerance yields TemporalUncertain rather than conflict. Runs without production DB access.</t>
  </si>
  <si>
    <t>T-200; T-217; T-233</t>
  </si>
  <si>
    <t>Temporal contract/tests only.</t>
  </si>
  <si>
    <t>T-233 persists source-time authority; T-217 consumes contract without waiting for persistence.</t>
  </si>
  <si>
    <t>ea9103fd — Establish source time authority for plant timestamps</t>
  </si>
  <si>
    <t>L1.5</t>
  </si>
  <si>
    <t>Acquisition provenance and source lineage</t>
  </si>
  <si>
    <t>L5.5</t>
  </si>
  <si>
    <t>T-231</t>
  </si>
  <si>
    <t>Persist Analysis Subject and Grain authority in canonical definition store</t>
  </si>
  <si>
    <t>Backend / Database</t>
  </si>
  <si>
    <t>Canonical subject/grain persistence</t>
  </si>
  <si>
    <t>Persist the frozen T-209 AnalysisSubject/GrainDefinition contract through canonical definitions and analysis_subjects/grain-definition tables. This task owns migration, tenant-safe keys, version binding and canonical APIs only; it does not redesign the contract.</t>
  </si>
  <si>
    <t>Fresh migration/replay green. Persist discrete, equipment-window and flow-interval grains; same binary resolves all via API. GR01 preserved. Tenant isolation and definition-version replay pass.</t>
  </si>
  <si>
    <t>T-092; T-128; T-139; T-232; T-235</t>
  </si>
  <si>
    <t>analysis_subjects/grain definitions + API/migrations.</t>
  </si>
  <si>
    <t>T-092/T-128/T-139/T-213 consume committed persistence; they do not invent subject identity.</t>
  </si>
  <si>
    <t>c930af079502aa1660ef2bd5c50756d3fc3cf8f3 — Persist-T231-canonical-analysis-subject-grain-authority</t>
  </si>
  <si>
    <t>T-250</t>
  </si>
  <si>
    <t>Frontend suite truth convergence: Journey routing and design-system corrections</t>
  </si>
  <si>
    <t>Release truth / design system</t>
  </si>
  <si>
    <t>Resolve only the six deterministic findings exposed by T-205 without reopening T-205: correct stale JourneyRail certification for Connections=J4 and Supervisor=J15; map the real /assistant/configuration route directly to J15 and guard redirect aliases; move constant MetricCard inline styles to CSS; retain HeatmapChart only as an exact-file semantic-matrix exception; convert SpecificationTable to StandardTable while preserving observed-state semantics. No broad frontend cleanup.</t>
  </si>
  <si>
    <t>Narrow affected tests GREEN first: Connections=J4, Supervisor=J15, /assistant/configuration=J15, redirect-alias guard GREEN, MetricCard D2 violations=0, Heatmap exact-file exception only, SpecificationTable uses StandardTable and existing component tests stay GREEN. Then run the ordinary complete frontend suite once with failed=0 and skipped=0. Do not rerun T-205 Certify unless T-205 gate code changes.</t>
  </si>
  <si>
    <t>T-150; T-255; T-257; T-258</t>
  </si>
  <si>
    <t>Frontend bounded correction</t>
  </si>
  <si>
    <t>Own only the bounded JourneyRail/Journey tests, MetricCard styling, exact Heatmap architecture exception and SpecificationTable convergence. No edits to T-205 runner/validator and no unrelated frontend cleanup.</t>
  </si>
  <si>
    <t>T-205 remains closed. After T-250 GREEN, move directly to the next eligible existing Worker-2 task. No unnamed corrective work and no repeated expensive certification loop.</t>
  </si>
  <si>
    <t>CENTRAL 30-Aug-2026: no Task ID = no repository mutation. T-250 is the sole owner of these six findings; bounded correction only, narrow tests first, one final normal suite.</t>
  </si>
  <si>
    <t>6615481b — Converge frontend journey and design-system truth</t>
  </si>
  <si>
    <t>D1; D2; D5</t>
  </si>
  <si>
    <t>T-251</t>
  </si>
  <si>
    <t>Physical database catalogue, naming authority and zero-unknown schema dictionary</t>
  </si>
  <si>
    <t>Schema governance</t>
  </si>
  <si>
    <t>Create the generated physical database catalogue required by Master Design v4.10.1. Reconcile canonical migration/EF authority with fresh canonical certification database `ppiq_acceptance_empty` and long-lived `ppiq_app`. Every table/view and every column in ppiq_meta, ppiq_plant, ppiq_staging and permitted public infrastructure receives schema, logical family, lifecycle class, owner, purpose, creator, readers/writers, keys/FKs, design clause, backlog owner, retention/RLS policy and naming-conformance state. Generate the relation graph. Define/enforce the forward snake_case/no-customer-vocabulary naming standard without mass-renaming grandfathered objects. Read-only census first; deletion/rename is outside this task.</t>
  </si>
  <si>
    <t>Fresh canonical certification DB `ppiq_acceptance_empty`: 100% tables/views/columns represented; zero unknown product objects; every table has logical family + lifecycle + owner + design clause; physical FK graph generated; public contains platform infrastructure only. Long-lived ppiq_app: every extra object classified, never auto-deleted. Generator reruns deterministically from executable schema authority. A new DDL object without catalogue classification makes the gate red.</t>
  </si>
  <si>
    <t>T-087; T-088; T-260</t>
  </si>
  <si>
    <t>T-112; T-150; T-252; T-256; T-259</t>
  </si>
  <si>
    <t>Own generated DB catalogue tooling/documentation and read-only pg_catalog queries. No product table deletion, rename or unrelated DDL.</t>
  </si>
  <si>
    <t>Publish semantic-named catalogue artifacts only; no task-number repository filename. Hand off the generated dictionary to T-115/T-123/T-150.</t>
  </si>
  <si>
    <t>CENTRAL 04-Sep-2026: table count is not a defect; unknown authority is. This task establishes zero-unknown physical schema governance before any cleanup.</t>
  </si>
  <si>
    <t>7ba31f96f3810bdac734bd1850275a601503d34d</t>
  </si>
  <si>
    <t>Physical database governance and zero-unknown catalogue</t>
  </si>
  <si>
    <t>Original catalogue closure explicitly frozen by CENTRAL. Retain Done; later catalogue/build changes do not retroactively erase this producer closure. Pasted text(20260910-064052).txt lines139-146: CENTRAL states T-251 CLOSED GREEN7ba31f96f3810bdac734bd1850275a601503d34d; later T-245 preflight observes its catalogue changes.</t>
  </si>
  <si>
    <t>T-252</t>
  </si>
  <si>
    <t>Disposable database lifecycle and integration-test database isolation</t>
  </si>
  <si>
    <t>Database isolation</t>
  </si>
  <si>
    <t>Remove shared-live-database mutation from certification/test infrastructure. Integration suites and corrective packs create or clone a dedicated disposable database/template, record its name, execute against it, and drop it in an unconditional finally path on success/failure. Never flip or mutate live ppiq_app/ppiq_presentation as a test fixture. Add bounded cleanup for current orphan probe/backup/scratch databases after evidence-retention adjudication.
v2.20.0 PROMOTION — this is now M2-P1 foundation scope, not late P5 hardening. Every DB-dependent certification path must either receive a dedicated disposable database/template from this authority or explicitly declare that it is a read-only external probe. Local developer runs may skip an external-probe-only test with a named reason when the probe is absent; Release-1 CI/certification provisions its own disposable target and permits zero DB-fixture skips.
v2.20.1 DEPENDENCY CORRECTION — T-251 is an explicit prerequisite, not only a handover convention. T-251 classifies current/fresh physical database authority before T-252 changes certification/test database lifecycle.</t>
  </si>
  <si>
    <t>Induced test failure, PowerShell/native-command failure and timeout each leave zero newly orphaned databases. Captured database names are gone after cleanup; ppiq_app, ppiq_acceptance_empty, ppiq_presentation and postgres are untouched. Two parallel suites use distinct DBs. A post-run orphan query is green. Current retained backups/probes are classified and removed only after retention proof. A release-profile certification provisions its own disposable DB and records zero database-fixture skips. A developer-local run with an intentionally absent external probe may skip only the named probe test and must emit the exact reason; it may not fail by mutating or assuming a shared live database.
Emit the DB-fixture execution result using the canonical T-259 Release Evidence Envelope v1 fields. T-252 owns DB skip semantics and database_fixture_mode/name values; it does not invent a second envelope format.
Producer contract is T-259 Release Evidence Envelope v1. T-252 may add DB-specific extension fields but may not rename/redefine common fields.
For Release-1 DB-fixture certification specifically, `skipped_count` must be 0. A local approved external-probe skip is allowed only outside the Release-1 certification profile and still counts in total_count, not executed_count.</t>
  </si>
  <si>
    <t>T-087; T-088; T-251; T-259</t>
  </si>
  <si>
    <t>T-106; T-112; T-150; T-256</t>
  </si>
  <si>
    <t>Own integration-test DB fixture/runner and disposable-DB lifecycle tooling only. Do not change product schema semantics.</t>
  </si>
  <si>
    <t>Every pack that CREATE DATABASEs owns DROP in finally. Persistent DB roles are explicit and protected.</t>
  </si>
  <si>
    <t>CENTRAL v2.20.0 08-Sep-2026: promoted from P5 to P1. Certification DB isolation is foundational; Worker-1 sequence is T-251 → T-252 → T-256.</t>
  </si>
  <si>
    <t>Harden</t>
  </si>
  <si>
    <t>T-256</t>
  </si>
  <si>
    <t>Runtime genericity and three-schema consumer convergence</t>
  </si>
  <si>
    <t>Genericity / physical-consumer convergence</t>
  </si>
  <si>
    <t>After T-251 classifies the physical catalogue and T-252 stabilises test DBs, converge runtime consumers onto the three-schema/generic product authority. Every runtime `public.*` product reference is either migrated to ppiq_meta/ppiq_plant/ppiq_staging/definition authority or explicitly catalogued as permitted platform compatibility with a bounded retirement owner. Material/heat/coil-specific endpoint/service families in the generic binary are retired, moved behind an explicit presentation/demo compatibility boundary, or replaced by Analysis Subject/relationship/registry-driven surfaces. Do not mass-rename blindly and do not break the retained presentation database.
v2.20.1 OWNERSHIP BOUNDARY — T-256 is BACKEND/API/DB-RUNTIME convergence only. Do not edit Worker-2 frontend MaterialAnalytics pages, frontend route ownership, or productApiClient frontend types. Where backend convergence would otherwise break an existing frontend material surface, preserve a bounded typed compatibility contract long enough for T-258 to migrate/retire that frontend consumer; do not leave the generic build red.
v2.20.2 RECORDED T-253 HANDOFF — `MappingDefinitionService.AllowedTargetEntities` is a measured hardcoded 12-name target vocabulary and is NOT T-253 scope. T-256 owns its backend convergence: consume the canonical projection-target capability and catalog authority established by T-253, remove the duplicate plant-vocabulary list as runtime authority, and preserve only any explicitly justified compatibility mapping.
v2.20.3 DEPENDENCY RULING — T-253 remains a HARD dependency for T-256 because T-256 must replace MappingDefinitionService.AllowedTargetEntities with the exact canonical projection-target predicate created by T-253. Starting T-256 without that contract would either duplicate classification or broaden eligibility incorrectly. Phase IDs are product/outcome groupings, not chronological barriers; the dependency graph governs execution.</t>
  </si>
  <si>
    <t>Runtime-project scan reports zero unapproved `public.` product reference; every permitted public object exists in the T-251 platform/compatibility catalogue with owner and retirement state. Genericity gate explicitly covers material endpoint/service and generic API composition paths and has unknown=0. A foreign customer-shaped backend/API/query journey runs on the same binary with no material/heat/coil backend product dependency. If a presentation-only compatibility route remains, it is disabled outside the explicit presentation profile and is not required by canonical product paths.
Backend/API acceptance is green without editing Worker-2 frontend files. Enumerate every remaining frontend material-specific consumer discovered by the backend convergence and hand it to T-258 as machine-readable evidence. The current generic frontend build remains green through the compatibility handoff.
Static/runtime proof shows MappingDefinitionService no longer owns an independent hardcoded AllowedTargetEntities plant vocabulary; valid target eligibility resolves from canonical catalog/registry authority and foreign-shaped targets require no source-code list edit.
MappingDefinitionService target validation consumes the same T-253 projection-target predicate used by the authoring picker. Positive/negative eligibility decisions are identical across Canvas authoring and MappingDefinitionService; no second list or schema-only rule survives.</t>
  </si>
  <si>
    <t>T-088; T-094; T-251; T-252; T-253</t>
  </si>
  <si>
    <t>T-116; T-150; T-247; T-258</t>
  </si>
  <si>
    <t>Backend runtime consumers, API composition, DB-facing services and backend architecture/genericity guards only. NO Frontend/PlantProcess.Web mutation. T-258 exclusively owns frontend material/genericity convergence.</t>
  </si>
  <si>
    <t>Publish a bounded compatibility/consumer handoff manifest to T-258. Do not solve frontend Material pages/types/routes inside T-256; do not leave generic frontend red.</t>
  </si>
  <si>
    <t>New P1 convergence task; closed T-093/T-094 stay closed and act as regression authorities.</t>
  </si>
  <si>
    <t>36de9370</t>
  </si>
  <si>
    <t>L5.1; L5.7</t>
  </si>
  <si>
    <t>Inherited accepted Done state retained. T-262's terminal summary identifies parent36de9370 as T-256. This corroborates a commit anchor, not a rerun of T-256 gates. Pasted text(20260912-074928).txt | lines1229-1243; T-262 GREEN committed86e1b677212195f191697ecdca7e9441b3dbde33; parent36de9370; live definition-store integration explicitly unexecuted.</t>
  </si>
  <si>
    <t>T-259</t>
  </si>
  <si>
    <t>Release evidence envelope v1 machine-readable contract</t>
  </si>
  <si>
    <t>Evidence contract</t>
  </si>
  <si>
    <t>Freeze the small representation-independent machine-readable Release Evidence Envelope contract before DB/frontend producers implement it. This task owns ONLY the shared schema/validator contract, not the T-227 production scorecard and not producer execution. Contract version `1.0` defines required common fields: contract_version, task_id, gate_id/suite_id, environment, profile, started_at, completed_at, total_count, executed_count, passed_count, failed_count, skipped_count, unapproved_skip_count, structured skip_reasons, commit_sha, artifact/evidence paths and final verdict. Optional producer extensions include database_fixture_mode/database_name and other namespaced evidence details. Count semantics are explicit: `total_count = executed_count + skipped_count`; `executed_count = passed_count + failed_count`; `0 &lt;= unapproved_skip_count &lt;= skipped_count`. A skipped case is discovered/total but NOT executed. GREEN is impossible when failed_count&gt;0 or unapproved_skip_count&gt;0. Producer-specific release policy may be stricter (for example T-252 Release-1 DB-fixture acceptance requires skipped_count=0). Use semantic repository filenames, never a task-number filename.</t>
  </si>
  <si>
    <t>Validate one DB-fixture example shaped for T-252 and one frontend/E2E example shaped for T-257 against the same contract. Required invariants: total_count=executed_count+skipped_count; executed_count=passed_count+failed_count; unapproved_skip_count&lt;=skipped_count. Negative controls reject: wrong contract version, inconsistent totals, a skipped case counted as executed, GREEN with failed_count&gt;0, GREEN with unapproved_skip_count&gt;0, unapproved_skip_count greater than skipped_count, and malformed skip-reason classification. Include an all-skipped fixture and prove executed_count=0 rather than total_count. The schema/validator is consumable from PowerShell/CI and application/test tooling without either producer redefining fields. No scorecard thresholds, DB lifecycle or frontend runner behavior is implemented here.</t>
  </si>
  <si>
    <t>T-150; T-227; T-252; T-257</t>
  </si>
  <si>
    <t>Shared release-evidence schema/validator + focused contract tests only. No DB fixture implementation, frontend test runner, scorecard, feature code or release aggregation.</t>
  </si>
  <si>
    <t>T-252/T-257 are producers. T-227 owns production acceptance scorecard/policy. T-150 aggregates. None may redefine the v1 envelope.</t>
  </si>
  <si>
    <t>v2.20.2 Option-A ruling from Worker-1 consistency review: split schema contract ahead of producers rather than pulling full T-227 P5 scorecard into P1.</t>
  </si>
  <si>
    <t>T-260</t>
  </si>
  <si>
    <t>Canonical acceptance database builder convergence</t>
  </si>
  <si>
    <t>Database / release infrastructure</t>
  </si>
  <si>
    <t>Fresh certification database build path</t>
  </si>
  <si>
    <t>Correct the governed builder for `ppiq_acceptance_empty` so a fresh NO-SEED certification database is created by the complete canonical migration authority rather than a partial EF+scripts subset. The builder must consume `canonical-migration-order.json` (or the same single canonical ordering authority) and execute every required tier in declared order, including topology/storage convergence and declared views, while excluding demonstration/seed/test content. Trace the creator authority for `dump_store.src_caster_oracle_shape_cast_pieces`; if it enters through demo/seed/test content incorrectly present on the canonical fresh path, remove that path defect. If it is an explicitly required legacy compatibility migration, report it for T-256 rather than silently deleting product data. This task may rebuild the empty certification database as a governed certification operation; it must not mutate `ppiq_app` or `ppiq_presentation` and must not use them as fixtures.</t>
  </si>
  <si>
    <t>One semantic PowerShell runner performs non-writing preflight, backs up owned builder/order files, builds a uniquely named disposable candidate from the canonical order, proves required topology convergence + declared views are present and demo/seed/test content is absent, then replaces/recreates `ppiq_acceptance_empty` only after the candidate is GREEN and the previous certification DB can be restored on failure. Prove the canonical-order consumer executed all declared required entries exactly once in order, with zero undeclared execution. Prove `ppiq_app` and `ppiq_presentation` are untouched. After rebuild, rerun the T-251 catalogue and record before/after counts; do not classify the old 106/81 queue. The `dump_store.src_caster_oracle_shape_cast_pieces` creator is identified exactly and ruled as canonical compatibility or excluded demo/seed/test path. Negative control: omit one terminal canonical tier in a disposable candidate and the build-path gate must go RED.</t>
  </si>
  <si>
    <t>Database infrastructure corrective</t>
  </si>
  <si>
    <t>Fresh acceptance DB builder, canonical migration-order consumer/validation, focused builder tests and T-251 rerun orchestration only. No product runtime/API/frontend changes; no mutation of ppiq_app or ppiq_presentation; no broad migration rewrite.</t>
  </si>
  <si>
    <t>T-260 corrects how the fresh certification DB is constructed; T-251 remains the physical catalogue owner and resumes only on the corrected DB. T-256 later owns genuine runtime/schema compatibility residue that remains after a correct fresh build.</t>
  </si>
  <si>
    <t>Created from T-251 runtime evidence on 09-Sep-2026. The catalogue machine is valid, but the designated fresh certification DB is built from an incomplete canonical path, so classifying its current queue would create false governance work. Narrow corrective task; closed T-088 is not reopened.</t>
  </si>
  <si>
    <t>L5.7; L8.2</t>
  </si>
  <si>
    <t>T-095</t>
  </si>
  <si>
    <t>P2</t>
  </si>
  <si>
    <t>Relationship members, cardinality, grain conversion and preferred paths</t>
  </si>
  <si>
    <t>Relationship model</t>
  </si>
  <si>
    <t>Extend the M1 slice to the full model in Chapter 3 4.5.10: members, cardinality, grain conversion between related entities, preferred path selection when more than one path exists, and published versions.
v2.10.2 CONVERGENCE CORRECTION — T-095 does not merely 'extend' M1 physical tables. It converges the M1 relationship service/compatibility persistence onto the canonical Chapter 3 4.5.10 tables after definition_store exists, including source_definition_id/version, grain conversion, preferred paths, ambiguity/validation state and retirement semantics, while keeping the M1 external contract stable.</t>
  </si>
  <si>
    <t>Declare two paths between the same pair of entities, mark one preferred, and confirm the resolver chooses it. Change the preference and confirm the resolution changes with no other edit.</t>
  </si>
  <si>
    <t>T-057; T-089; T-090; T-094</t>
  </si>
  <si>
    <t>T-096; T-098; T-102; T-103; T-104; T-107; T-109; T-114; T-128; T-134; T-183; T-196; T-221</t>
  </si>
  <si>
    <t>M2-P2</t>
  </si>
  <si>
    <t>Day-1 Data Workbench — DB Link, Canvas, Jobs &amp; OPC</t>
  </si>
  <si>
    <t>M2 P2 — Day-1 Data Workbench — DB Link, Canvas, Jobs &amp; OPC. Release 1 is genuine early production / first-week customer work.</t>
  </si>
  <si>
    <t>554d1ac02af122fdeb7ca54b1dd35bac0c76f23e — subject not recovered</t>
  </si>
  <si>
    <t>L5.2</t>
  </si>
  <si>
    <t>Permanent relationship model</t>
  </si>
  <si>
    <t>T-096</t>
  </si>
  <si>
    <t>Path resolver, part 1: resolver core and the first eight consumers</t>
  </si>
  <si>
    <t>Chapter 2 3.15.4 names sixteen consumers of the relationship model. Build the resolver core, then route the first eight through it: canonical projection, page and widget queries, associative filtering, drill-down, drill-through, genealogy, statistics and correlation.</t>
  </si>
  <si>
    <t>A regression test per consumer asserting it resolves through the published model, and refuses with a named reason when the relationship is unpublished. Eight tests, no exceptions.</t>
  </si>
  <si>
    <t>T-097; T-098; T-107; T-109; T-128; T-134; T-183; T-221</t>
  </si>
  <si>
    <t>de243027073fc5e492d65e9f9845255342517510 — T-096 relationship resolver consumer convergence</t>
  </si>
  <si>
    <t>T-097</t>
  </si>
  <si>
    <t>Path resolver, part 2: the remaining eight consumers and the regression suite</t>
  </si>
  <si>
    <t>Route the remaining eight through the resolver: feature engineering, model training, prediction, practice learning, remediation search, value calculation, assistant retrieval and evidence. Some of these are built in Release 2; add the resolver seam now so they cannot be written against an ad-hoc join later.</t>
  </si>
  <si>
    <t>Eight further regression tests. For consumers whose engine arrives in Release 2, the test asserts the seam exists and refuses when unpublished, which is what stops a later shortcut.</t>
  </si>
  <si>
    <t>T-098; T-107; T-109; T-128; T-183</t>
  </si>
  <si>
    <t>95220d1804493f8e7b80347fe3ed4de24741f9ec — T-097 relationship consumer barrier across all sixteen families</t>
  </si>
  <si>
    <t>T-098</t>
  </si>
  <si>
    <t>Relationship Browser page and path evidence</t>
  </si>
  <si>
    <t>Build the C6 Relationship Browser from Chapter 3 4.4 with the ten-field page contract, showing declared relationships, their members, their paths and the evidence for each path.
v2.10.2 CONTINUITY CORRECTION — complete the existing T-060 /relationships page in place. Do not create a second C6 surface. Preserve the route, layout and M1 control contract while replacing/extending the hidden relationship authority and path evidence.</t>
  </si>
  <si>
    <t>Open a relationship and confirm its members, cardinality and path are shown with evidence. Confirm an unpublished relationship is visibly distinct from a published one.
Run the M1 C6 continuity snapshot before/after canonical cutover and prove no visible-contract regression.</t>
  </si>
  <si>
    <t>Not Started</t>
  </si>
  <si>
    <t>T-095; T-096; T-097</t>
  </si>
  <si>
    <t>T-107; T-109; T-128; T-183</t>
  </si>
  <si>
    <t>Frontend/UI feature</t>
  </si>
  <si>
    <t>Use the accepted M1 regression baseline; require empty index and clean owned paths, preserving unrelated user work. Then: T-060 M1 C6 surface + T-095 + T-096 + T-097.</t>
  </si>
  <si>
    <t>Own named UI/admin task end-to-end only after producer APIs/security are committed.</t>
  </si>
  <si>
    <t>Chapters 3/4 v4.10.3 — MD + illustrated Word; UI Coverage / UI Controls in this workbook
v2.23.0 — Use T-265 C6 relationship list/detail/member/cardinality/path-validation handoffs. Trace every applicable Chapter 3 control to a reachable UI variant and keep resolver behavior under its existing authority.</t>
  </si>
  <si>
    <t>Not started — no completion claimed</t>
  </si>
  <si>
    <t>T-099</t>
  </si>
  <si>
    <t>Quarantine, part 1: the table, the reprocess API and the first eight PV classes</t>
  </si>
  <si>
    <t>Quarantine</t>
  </si>
  <si>
    <t>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t>
  </si>
  <si>
    <t>Craft one malformed input per implemented class and assert each is quarantined under the correct code, while the good rows in the same batch still project.</t>
  </si>
  <si>
    <t>T-087; T-089; T-090</t>
  </si>
  <si>
    <t>T-100; T-101; T-104; T-107; T-108; T-109; T-114; T-128; T-183; T-261</t>
  </si>
  <si>
    <t>M2 P2 — Day-1 Data Workbench — DB Link, Canvas, Jobs &amp; OPC. Release 1 is genuine early production / first-week customer work.
v2.22.1 — CLOSED GREEN / COMMITTED at ca02b40ea1b69050a45cb35a3e1d64f15b1f66af (parent 86e1b677212195f191697ecdca7e9441b3dbde33). Preserve this closure unless a concrete later regression is demonstrated. Gate O has one exact inherited DefinitionKind RED and canonical replay limitations remain; this is not Release-wide GREEN.</t>
  </si>
  <si>
    <t>L2.3</t>
  </si>
  <si>
    <t>Canonical projection with validation, quarantine and reprocessing</t>
  </si>
  <si>
    <t>CLOSED GREEN / COMMITTED — FINAL TRANSCRIPT CORROBORATED</t>
  </si>
  <si>
    <t>Final executed terminal transcript corroborates the owner-reported closure: 49/49 live,5/5 catalogue,19/19 owned;6/6 disposable DBs dropped;0survivors. GateO900=899passed+1exact inheritedDefinitionKindRED. Exact staging and one semantic commit proven. No live rerun performed in this review; no release-wideGREEN. Pasted text(20260914-134548).txt | lines430-450; final gatesQ/R; COMMITca02b40ea1b69050a45cb35a3e1d64f15b1f66af; PARENT86e1b677212195f191697ecdca7e9441b3dbde33; live49/49, catalogue5/5, owned19/19; not release-wideGREEN.</t>
  </si>
  <si>
    <t>86e1b677212195f191697ecdca7e9441b3dbde33</t>
  </si>
  <si>
    <t>T-100</t>
  </si>
  <si>
    <t>Quarantine, part 2: the remaining seven PV classes and per-class tests</t>
  </si>
  <si>
    <t>Implement the remaining seven validation classes and give every class its own test fixture, so the class set is provably complete against Chapter 3 4.5.14 rather than approximately complete.</t>
  </si>
  <si>
    <t>Distinct governed validation codes and fixture coverage must equal PV01..PV15 exactly. At least 15 classification fixtures; additional regression fixtures for an existing code are allowed. The completeness ratchet fails for an unproved enum member, not for duplicate display names or extra same-code tests. Live PostgreSQL proof executes every PV class; PV15 quarantine→cross-batch reference arrival→bounded reprocess passes; PV13 .60+.40=1.00 must not be quarantined. Exact live constraint, canonical migration order, disposable cleanup and exact single-commit closure required.</t>
  </si>
  <si>
    <t>T-101; T-107; T-109; T-128; T-183; T-261</t>
  </si>
  <si>
    <t>RUNNER-1 CANDIDATE IS PRESENT; DO NOT RERUN RUNNER 1 or require a clean owned tree relative to HEAD. Resume from the exact handoff/postimages. Resume v1.0.1 is issued; success is not yet reported. Validate HEAD against the handoff and all owned postimage hashes before continuing. Expected parent supplied for closure is 4e0f1219ddbac3163bafe7ce510b62520683a77c; do not substitute the older T-099-only HEAD. If the exact gates fail, stop and report without manual resets, cleanup of unrelated work, or a fresh mutation pack. Worker 1/CENTRAL retains the execution lock through T-100 final commit; Worker 2 remains held.</t>
  </si>
  <si>
    <t>Worker 1 is the recorded execution owner; CENTRAL-assisted delivery. Preserve the existing T-100 candidate and unrelated dirty work. Exclusive shared repository mutation lock until T-100 is committed.</t>
  </si>
  <si>
    <t>Release Worker 2 only after T-100 final commit SHA and closure evidence. The successor consumes PROJECTION_* declaration, PV01..PV15 row-validation and JOB_EXEC_* runtime boundaries without duplication.</t>
  </si>
  <si>
    <t>SUPERSEDED: prior remaining LOW/BASE/HIGH 6/10/16 h included validators and unit tests now reported complete. Do not charge that implementation again. Closure-only remaining effort (harness recovery, live certification, cleanup, commit proof) is UNCONFIRMED, not zero; no invented elapsed time or calibrated P80. Preserve J/R as historical scope values, excluded from usable totals.</t>
  </si>
  <si>
    <t>Latest owner-supplied conversation update, received 15-Sep-2026; runner/host logs and script bytes were not independently inspected in this workbook update. This supersedes the earlier 14-Sep source-only T-100 estimate, not the frozen Design.
Reported Runner 1 v1.0.5 completed: Backend build GREEN, integration-project build GREEN, 20/20 targeted unit tests, PPIQ_T100_RUNNER1_HANDOFF.json written; no staging, commit or DB mutation in Runner 1. Later certification reportedly executed 110/110 canonical SQL scripts, built a fresh disposable DB with 264 tables, and verified the constraint is exactly PV01..PV15. That run failed in harness setup BEFORE live classification; its disposable certification DB was cleaned up. No T-100 commit or live PV01..PV15 pass has been supplied.
USER-REPORTED: Runner1_1.0.5 SHA256 75B6C7DE78E0A677701BFEDF1EC70D4D1499C8168193B35D503CF26DF76DC7AA; Runner2_1.0.0 SHA256 9C29E607B52114DE680131A0FDE0F840D7CC56D3642FA09F73FD2AB5A7B3D493; Resume-ProjectionQuarantineCompletion_1.0.1.ps1 SHA256 5F6668258E8CAC517793B825AF712C8D8C9355F8CE9C0C69FBC5CAFCBDCB80E6. Names/hashes recorded as supplied, NOT locally verified. Script hashes are not commit IDs.
Expected Runner-2 parent (not an observed commit parent): 4e0f1219ddbac3163bafe7ce510b62520683a77c</t>
  </si>
  <si>
    <t>RE-ESTIMATE REQUIRED</t>
  </si>
  <si>
    <t>UNCONFIRMED — closure-only remaining effort; prior 6/10/16 h superseded</t>
  </si>
  <si>
    <t>14-Sep snapshot supplemented by latest 15-Sep user-reported runner progress; no current-HEAD or runner-byte verification</t>
  </si>
  <si>
    <t>T-101</t>
  </si>
  <si>
    <t>Quarantine retry, reprocess and Mapping Health completion</t>
  </si>
  <si>
    <t>Complete the C2 Mapping Health page against Chapter 3 4.4 C2: issues grouped by code, example rows, and Reprocess after the mapping is corrected. The M1 version delivered the shape; this delivers the full class set and the retry semantics.
v2.22.0 — Quarantine inspection API/UI and schema-drift enforcement. Keep one drift event authority and reuse current schemas/compatibility safely.
v2.22.1 — Own the M2 B4 Importing monitoring surface as well as C2 quarantine/Mapping Health: show each real batch status, failure code/reason, progress/counts, last committed cursor and its watermark range; drill into durable batch/run evidence. Use the existing canonical import/job contracts. T-106 owns terminal-status truth; T-108 owns durable cursor/replay; T-125 owns operational metrics/API observability. No second status or cursor authority and no advanced M3 recovery UI is introduced.</t>
  </si>
  <si>
    <t>Quarantine rows under three different codes, correct one mapping, reprocess, and confirm only the affected rows clear. The M1 continuity snapshot of this page must still match.
v2.22.0 — GET quarantine list/detail filtered by code, dataset and batch with staging lineage/correction hint; tenant denial; remove mapped source object/field -&gt; typed execution refusal and persisted C2 event; corrected reprocess uses declared version and records outcome.
v2.22.1 — Drive B4 against a successful batch, a failed batch and a capped/partial batch; displayed outcome, counts, error and last committed cursor equal the canonical response after reload. A failed batch is never green; a retry/correction links to the same durable evidence. Tenant denial and empty/loading/failure states are asserted. Consume frozen T-106/T-108/T-125 response contracts for parallel UI work; final live integration is certified by T-247/T-150, not by a mock-only result.</t>
  </si>
  <si>
    <t>T-099; T-100</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</si>
  <si>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T-061 final M1 API/page contract + T-099 + T-100 canonical quarantine impleme...</t>
  </si>
  <si>
    <t>L1.6; L1.2; L1.7</t>
  </si>
  <si>
    <t>RE-ESTIMATE REQUIRED — J/R retain the prior-scope figures for traceability; excluded from usable planning totals. New full-scope and remaining-work estimates are not supplied.</t>
  </si>
  <si>
    <t>Chapters 3/4 v4.10.3 — MD + illustrated Word; UI Coverage / UI Controls in this workbook
v2.23.0 — T-265 owns B4/C2/C3 visual depth. Implement its applicable batch outcome/error/committed cursor and catalogue-driven quarantine list/detail/refusal/reprocess states under the existing T-101 scope; all row actions and counts use canonical tenant-scoped payloads. Do not limit the renderer to eight PV codes.</t>
  </si>
  <si>
    <t>T-102</t>
  </si>
  <si>
    <t>Identity resolution across sources</t>
  </si>
  <si>
    <t>Genealogy</t>
  </si>
  <si>
    <t>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t>
  </si>
  <si>
    <t>Import the same material under two different source identifiers and confirm one canonical unit results with both aliases recorded. Re-run the import and confirm no duplicate appears.</t>
  </si>
  <si>
    <t>T-087; T-095</t>
  </si>
  <si>
    <t>T-103; T-107; T-109; T-128; T-183</t>
  </si>
  <si>
    <t>Use the accepted M1 regression baseline; require empty index and clean owned paths, preserving unrelated user work. Then: T-087 canonical plant schema + T-095 relationship/material identity authority.</t>
  </si>
  <si>
    <t>L2.4</t>
  </si>
  <si>
    <t>Genealogy resolution and attribution</t>
  </si>
  <si>
    <t>T-103</t>
  </si>
  <si>
    <t>Genealogy bidirectional walk hardening and weight proof</t>
  </si>
  <si>
    <t>Confirm the genealogy layer walks both directions on the customer's own keys and that attribution weights are enforced to sum to exactly 1.0 per child by the database trigger on genealogy_edges.contribution_weight numeric(9,6).
v2.22.0 — Retain genealogy semantics and add explicit cyclic/self-edge protection at service and database boundaries.</t>
  </si>
  <si>
    <t>Walk a chain backward and forward and confirm the same edges are traversed. Attempt an insert whose weights sum to 0.99 inside a transaction and confirm the trigger rejects it, then roll back.
v2.22.0 — Negative controls: self-edge, two-node and longer cycles refused; ordered weighted genealogy valid paths remain accepted; no silent deletion of lineage.</t>
  </si>
  <si>
    <t>T-095; T-102</t>
  </si>
  <si>
    <t>Use the accepted M1 regression baseline; require empty index and clean owned paths, preserving unrelated user work. Then: T-095 + T-102 canonical relationship/identity authority.</t>
  </si>
  <si>
    <t>T-104</t>
  </si>
  <si>
    <t>Projection provenance, exact-version stamping and idempotent reprojection</t>
  </si>
  <si>
    <t>Projection</t>
  </si>
  <si>
    <t>Complete the DF5 contract: source-shaped staging projects into the canonical plant model through the customer-authored versioned mapping, and every projected row records the mapping version that produced it.
v2.22.0 — Absorbs T-105: Make reprojection idempotent and add the regression suite: reprojecting the same batch must not duplicate rows, and rolling a mapping back to a previous version must produce the earlier result exactly. T-261 owns the executor. This task owns canonical row-level definition/version provenance and replay effects, using that executor; it does not implement a competing MappingDefinition runtime.</t>
  </si>
  <si>
    <t>Project a batch, change the mapping version, project again, and confirm each row records the version that produced it. No row may carry a null mapping version.
v2.22.0 — Reproject the same batch three times and confirm row counts are unchanged. Roll a mapping back and confirm the canonical output matches the earlier snapshot byte for byte. Assert exact resolved Transformation version/hash per run and row, tenant/dataset/batch source lineage, no duplicate accepted effect and byte-identical deterministic business output on rollback. Clock/run metadata is compared separately from business-result equivalence.</t>
  </si>
  <si>
    <t>T-090; T-095; T-099; T-261</t>
  </si>
  <si>
    <t>T-107; T-108; T-109; T-128; T-183; T-247</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</si>
  <si>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T-090 canonical versioned mapping definitions + T-095 relationship authority ...</t>
  </si>
  <si>
    <t>T-106</t>
  </si>
  <si>
    <t>Canonical jobs: target/version, scheduling, dependencies, cancellation and outcome truth</t>
  </si>
  <si>
    <t>Jobs</t>
  </si>
  <si>
    <t>Build on the M1 target_definition_id work: add the full version policy (pinned or current published), the job dependency graph, and cycle validation.
v2.10.2 BOUNDARY CORRECTION — the pinned/current-published PUBLIC semantics are already frozen by T-064. This task performs canonical physical convergence: job_definitions FK -&gt; definition_store(id) ON DELETE RESTRICT, target-version policy CHECKs/target-surface trigger against the canonical store, target_parameters persistence, plus job_dependencies DAG/cycle validation. Do not redesign T-064's visible contract.
v2.20.0 EXECUTION-PLANE EXPANSION — replace the central job-type switch as the authority for manual execution. Each executable job family registers an executor capability through DI/registry metadata: supported/unsupported state, target definition kind, version policy, input contract and run capability. A new executor family must be addable without editing a central switch. Unsupported families refuse at definition/save or capability discovery with a typed reason rather than surviving until RunNow.
v2.20.0 LAYER-B PLACEMENT RULING — scheduling count, repetition, iteration windows and control flow belong to governed Job orchestration. Do not add new FOR/WHILE-style board execution semantics. Existing T-242 saved definitions remain readable through compatibility handling, but new orchestration authority is the Job plane.
v2.22.0 — Deliver one canonical Job authority for target/version/capability, schedule grammar and occurrence identity, due scheduling, dependency resolution, cooperative cancellation and terminal-status truth. Implement Design v4.10.3 Ch4 5.3.2a / 5.3.6. The scheduler produces due requests; existing admission admits them. T-107 owns bounded pools; T-261 owns the actual Transformation executor. Keep these as separately testable sub-deliverables inside T-106 rather than additional task IDs. An executor supplied by tests proves orchestration before T-261 is commissioned, so T-106 must not depend on T-261 or T-107 closure.</t>
  </si>
  <si>
    <t>Declare a three-job chain, run it, and confirm order. Introduce a cycle and confirm it is refused at save time with a named code. Enumerate every job family exposed by the product and prove each is either backed by a registered executor or explicitly unavailable by typed reason. Register a test executor through DI and prove it runs without editing the orchestrator switch. The current 'no manual executor'/'not implemented yet' runtime fall-through is no longer reachable for an advertised executable job.
Newly authored execution schedules express repetition/window/control-flow in the Job contract rather than creating a new Canvas FOR/WHILE node. A compatibility fixture for an existing T-242 loop definition remains readable and produces an explicit compatibility interpretation rather than data loss.
v2.22.0 — Prove canonical schedule parsing/normalisation and UI next-occurrence parity; UTC/timezone and DST gap/fold rules; one atomic admission per tenant/job/schedule-revision/occurrence under racing workers; restart/missed ticks; invalid or unsupported schedule typed refusal; paused state persists. Cancel API is tenant/role-scoped, idempotent, reaches executor and records exactly one final outcome. Cancellation request is not completion acknowledgement. Define all-success, mixed, all-failed, no-work, cancelled and interrupted outcomes; one failed import batch cannot be hidden in an Ok run in either manual or worker path. Current-cycle and earlier-success reuse follow explicit allow_stale_reuse and age ceiling, with timestamps, policy and watermark in job_run_dependencies. Trigger-fires, wrong-kind/surface and actual orchestration evidence use disposable DB fixtures. Keep existing historical closure evidence; certify newly widened obligations separately.</t>
  </si>
  <si>
    <t>T-064; T-089; T-090; T-252</t>
  </si>
  <si>
    <t>T-107; T-122; T-125; T-245; T-261; T-263</t>
  </si>
  <si>
    <t>Consume accepted producer contracts; remaining dependencies: T-064; T-089; T-090; T-252. No private scheduler/definition authority. Source-present is not closure proof.</t>
  </si>
  <si>
    <t>Own T-106/T-107/T-109 only after W1 producer contracts; no schema authority rewrites.</t>
  </si>
  <si>
    <t>v2.22.0 owner-approved scope and release disposition; original evidence remains in change log/archive.</t>
  </si>
  <si>
    <t>8b3eb5c89352a2779d87f9205700f19e7c9b3e25; a5451dbaf6b55183fe65e2c626c49fdef85bd986</t>
  </si>
  <si>
    <t>L2.6</t>
  </si>
  <si>
    <t>Job definition, scheduling, execution monitor and history</t>
  </si>
  <si>
    <t>L2.5; L2.7; L1.7</t>
  </si>
  <si>
    <t>RE-ESTIMATE REQUIRED — prior Hours/P80 preserved in Estimate Review; not zero remaining effort.</t>
  </si>
  <si>
    <t>BASELINE COMMITS PROVEN; CURRENT WIDENED ACCEPTANCE OPEN</t>
  </si>
  <si>
    <t>Original corrective run returned GREEN with22 corrective,26 foundation,84 target-regression and15 architecture tests in24 owned paths;CENTRAL freeze after review. Later v2.22 schedule/cancel/freshness/outcome-truth scope is not closed by a10Sep run. Pasted text(20260910-102642).txt | lines244-261, T-106 FINAL RESULT: corrective COMMITTED GREEN a5451dbaf6b55183fe65e2c626c49fdef85bd986; foundation8b3eb5c89352a2779d87f9205700f19e7c9b3e25;22corrective,26foundation,84target-regression,15architecture tests;24owned paths;CENTRAL freeze after review.</t>
  </si>
  <si>
    <t>T-107</t>
  </si>
  <si>
    <t>Dual-predicate admission, bounded worker pools and the three ML execution lanes</t>
  </si>
  <si>
    <t>Replace the old single weighted-pool assumption with the frozen resource contract. Each lane has max_concurrency and resource_capacity; admission requires both running_count &lt; max_concurrency and sum(compute_weight)+candidate &lt;= resource_capacity. The logical ml class resolves to ml.training, ml.batch_scoring and ml.online_scoring. Online capacity is hard-reserved and unavailable to training or batch. Keep this platform-level scheduler generic; Worker 3 supplies the ML job classes and later integration tests, but this task must not wire any new AI runtime into the M1 presentation path.
v2.10.2 MEASUREMENT RULING — this task implements the configurable dual-predicate admission mechanism and three-lane isolation. Test values may prove satisfiability, but no max_concurrency/resource_capacity/reserved fraction is a production-selected value here. Site values remain benchmark outputs owned by T-155/T-159.
v2.20.0 BOUNDED-PARALLELISM EXPANSION — the same admission authority owns bounded parallel execution for eligible non-ML job families. The current serial import-loop behavior is replaced by queue/admission scheduling that respects both max_concurrency and resource_capacity. Do not implement unbounded Task.WhenAll/Parallel.ForEach. Per-family limits, cancellation, fair queueing and hard online reservation remain explicit.</t>
  </si>
  <si>
    <t>Prove a declared job can be admitted under a satisfiable configuration and a too-heavy job is refused by name. Saturate training and batch and prove an online-scoring job still admits inside its reservation. Prove batch never enters the online lane and the same compute_weight is never used as a concurrency count. Existing import/projection/analysis/report behaviour remains green.
The acceptance report labels resource values as TEST_CONFIGURATION unless they come from the named production/site benchmark manifest. No code default is presented as the final capacity decision. Run multiple slow import/analysis jobs and prove concurrency rises above one only up to the configured bound, then queues. Queueing must not increase memory without bound; cancellation frees capacity; a too-heavy job remains queued/refused by named policy. A negative-control implementation using unbounded fan-out must make the gate red.</t>
  </si>
  <si>
    <t>T-095; T-096; T-097; T-098; T-099; T-100; T-101; T-102; T-103; T-104; T-106</t>
  </si>
  <si>
    <t>T-122; T-125; T-141; T-187; T-192</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</si>
  <si>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T-106 canonical job contract + T-095..T-105 canonical data/relationship path;...</t>
  </si>
  <si>
    <t>L8.4</t>
  </si>
  <si>
    <t>Execution lanes, admission and resource isolation</t>
  </si>
  <si>
    <t>T-108</t>
  </si>
  <si>
    <t>End-to-end delta correctness: source cursor, load protection, replay and projection watermark</t>
  </si>
  <si>
    <t>Delta propagation</t>
  </si>
  <si>
    <t>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
v2.22.0 — Own acquisition-to-projection delta correctness: typed total-order cursor with source-stable tie-break for non-unique watermarks; one invariant provider-native ordering contract; durable cursor/staging/receipt atomicity; replay-safe accepted effects; per-dataset/profile budget resolution constrained by installation/source ceilings; apply pre-read budget/window/rate/concurrency/timeout checks on incremental as well as preview reads. Do not replace a stricter parent ceiling with a looser child override. Source native ordering and source-version identity govern legitimate updates. Retain existing stage-watermark and delta-projection duties; T-110 owns the advanced M3 parallel chunk engine.</t>
  </si>
  <si>
    <t>Change one source row and confirm projection processes a bounded delta rather than a full scan, evidenced by rows-scanned telemetry.
v2.22.0 — Use more equal-watermark records than three page limits, numeric/timestamp/composite cursors, declared key changes, source updates, no change, de-DE/en-US serialization, crash before and after commit and racing workers. Prove no missed rows/no duplicate accepted source revision, and checkpoint advanced only with durable effects. Over-budget incremental reads issue no source query. Replay of a partially failed import preserves legitimate later versions of the same business key. One changed source row produces bounded downstream work with recorded counts.</t>
  </si>
  <si>
    <t>T-099; T-104</t>
  </si>
  <si>
    <t>T-109; T-110; T-247</t>
  </si>
  <si>
    <t>Consume accepted producer contracts; remaining dependencies: T-099; T-104. No private scheduler/definition authority. Source-present is not closure proof.</t>
  </si>
  <si>
    <t>L2.8</t>
  </si>
  <si>
    <t>Delta propagation law</t>
  </si>
  <si>
    <t>L1.3; L1.1; L1.7</t>
  </si>
  <si>
    <t>T-109</t>
  </si>
  <si>
    <t>Delta-scoped feature refresh and analysis, with telemetry and ML hand-off</t>
  </si>
  <si>
    <t>Extend the stage-watermark mechanism into the canonical feature refresh and analysis path. The task owns delta discovery, dirty-feature identification and telemetry only; training must never read feature_store directly. Expose a bounded changed-population contract that Worker 3's Snapshot Materialiser consumes later. Do not add temporary M1/presentation schema dependencies.</t>
  </si>
  <si>
    <t>Insert one bounded delta and prove only affected feature rows and analyses are recomputed. Record rows scanned, rows changed and Scan Amplification. Assert no training/encoding component is reachable from this task and the output contract contains no customer table name.</t>
  </si>
  <si>
    <t>T-095; T-096; T-097; T-098; T-099; T-100; T-101; T-102; T-103; T-104; T-108</t>
  </si>
  <si>
    <t>T-110; T-136; T-187</t>
  </si>
  <si>
    <t>Use the accepted M1 regression baseline; require empty index and clean owned paths, preserving unrelated user work. Then: T-095..T-105; T-108</t>
  </si>
  <si>
    <t>L4.3</t>
  </si>
  <si>
    <t>T-207</t>
  </si>
  <si>
    <t>Connector capability truth: stop advertising unimplemented browse/read/subscription</t>
  </si>
  <si>
    <t>Acquisition</t>
  </si>
  <si>
    <t>Connector truth</t>
  </si>
  <si>
    <t>Make connector capability metadata executable truth. Current OPC/historian configuration validation or deterministic sample generation must not advertise live browse/bounded-read/subscription unless the connector build executes and tests that operation.</t>
  </si>
  <si>
    <t>Against the current implementation, unsupported browse/read/subscription report false/unavailable and attempts return typed OT01 rather than fabricated data. Add a contract test that makes any future advertised capability fail until an executable implementation passes.</t>
  </si>
  <si>
    <t>T-150; T-224; T-247; T-254; T-266</t>
  </si>
  <si>
    <t>Backend contract</t>
  </si>
  <si>
    <t>Connector metadata/API contract and tests.</t>
  </si>
  <si>
    <t>T-224..T-226 later may flip capabilities to true only by passing this contract.</t>
  </si>
  <si>
    <t>L1.4</t>
  </si>
  <si>
    <t>Connector capability truth</t>
  </si>
  <si>
    <t>T-212</t>
  </si>
  <si>
    <t>Integrate aggregation semantics into Layer-A widget/query execution</t>
  </si>
  <si>
    <t>Backend/Frontend</t>
  </si>
  <si>
    <t>Dashboard query semantics</t>
  </si>
  <si>
    <t>Make dashboard/query aggregation resolve the canonical KPI/parameter semantics and certified kernel/database implementation. Remove raw-cap-before-aggregate and implicit average fallbacks in all customer-facing measures touched by this contract.</t>
  </si>
  <si>
    <t>Persisted-definition replay on discrete and continuous fixtures proves exact known answers; no raw row limit is applied before aggregate; AG01/AG02 render typed Blocked/Refused rather than API 500. Query plan performs bounded server-side aggregation.</t>
  </si>
  <si>
    <t>T-202; T-210; T-211; T-092; T-234; T-235; T-236</t>
  </si>
  <si>
    <t>T-150; T-247</t>
  </si>
  <si>
    <t>Cross-layer integration</t>
  </si>
  <si>
    <t>T-202 + T-210/T-211 + T-092 + committed T-234/T-235/T-236.</t>
  </si>
  <si>
    <t>Dashboard query service/executor + focused frontend state mapping.</t>
  </si>
  <si>
    <t>Consumes W1 semantics and W3 kernel; no independent aggregation rules.</t>
  </si>
  <si>
    <t>L3.4</t>
  </si>
  <si>
    <t>Widget catalogue and intelligence visualisation</t>
  </si>
  <si>
    <t>L5.3; L4.2</t>
  </si>
  <si>
    <t>D1; D2; D3; D5</t>
  </si>
  <si>
    <t>T-213</t>
  </si>
  <si>
    <t>Customer Data Intake and Capability Assessment authority</t>
  </si>
  <si>
    <t>Onboarding</t>
  </si>
  <si>
    <t>Customer data assessment</t>
  </si>
  <si>
    <t>Create a versioned assessment workflow/report for an unknown customer: source inventory, entity/equipment map, time model, identity/join strategy, parameter catalogue, KPI candidates, references, aggregation gaps, data quality, historical coverage, reconciliation/ML eligibility, OT trial requirements and missing information. The intake MUST also capture same-calendar-window manual vs machine history availability, transition/changeover definitions and stabilisation rules, sequence/campaign boundaries, setup/preparation evidence, and customer objective sets/trade-off preferences. Accepted results become normal definitions/mappings; the assessment is not a second authority.</t>
  </si>
  <si>
    <t>Run against one foreign/customer-shaped fixture and produce a complete report with explicit UNKNOWN/MISSING states, including regime-context readiness and multi-objective readiness. Same-window reconciliation evidence is separately reported. No product-code change is made for customer vocabulary. Re-run after one new source/field creates a new assessment version and diff.</t>
  </si>
  <si>
    <t>T-201; T-206</t>
  </si>
  <si>
    <t>T-227; T-247</t>
  </si>
  <si>
    <t>Backend / product workflow</t>
  </si>
  <si>
    <t>Onboarding assessment service/report; no customer-specific schema code.</t>
  </si>
  <si>
    <t>Mappings/definitions become canonical through existing authorities; report does not become a shadow registry.</t>
  </si>
  <si>
    <t>2748c7fba8a5c4763bc19112ce57e484cea5b9bb — subject not recovered</t>
  </si>
  <si>
    <t>L1.2</t>
  </si>
  <si>
    <t>Dataset registration and source selection</t>
  </si>
  <si>
    <t>L1.1; L7.8</t>
  </si>
  <si>
    <t>T-224</t>
  </si>
  <si>
    <t>Production OPC UA edge runtime: endpoint security, certificates and session lifecycle</t>
  </si>
  <si>
    <t>OPC UA edge</t>
  </si>
  <si>
    <t>T-153; T-225</t>
  </si>
  <si>
    <t>External/site + backend</t>
  </si>
  <si>
    <t>Release 1 MUST — start after T-207 connector-truth authority. Site/customer OT certification may require customer access, but the executable production OPC UA runtime itself cannot be deferred past M2.</t>
  </si>
  <si>
    <t>Customer-side edge agent/OPC adapter only.</t>
  </si>
  <si>
    <t>T-225 consumes session adapter; site certification remains T-153/T-227-like acceptance, not hidden in code.</t>
  </si>
  <si>
    <t>CENTRAL 04-Sep-2026: remove the contradictory 'after 30-Sep demo' gate. M2 is genuine early production and its P2 outcome includes real read-only OPC UA runtime.</t>
  </si>
  <si>
    <t>L1.8</t>
  </si>
  <si>
    <t>OPC-UA / historian / edge acquisition</t>
  </si>
  <si>
    <t>Chapters 3/4 v4.10.3 — MD + illustrated Word; UI Coverage / UI Controls in this workbook
v2.23.0 — T-266 supplies OPC profile/session/trust target and refusal designs, with Worker 1 technical review. This is a contract handoff, not a full-design completion prerequisite for backend implementation.</t>
  </si>
  <si>
    <t>T-225</t>
  </si>
  <si>
    <t>Production OPC UA edge runtime: browse, tag registration, subscription and monitored items</t>
  </si>
  <si>
    <t>T-153; T-226</t>
  </si>
  <si>
    <t>T-224.</t>
  </si>
  <si>
    <t>Edge OPC adapter + tag registry integration.</t>
  </si>
  <si>
    <t>T-226 consumes typed acquired values; no core API direct OPC connection.</t>
  </si>
  <si>
    <t>Chapters 3/4 v4.10.3 — MD + illustrated Word; UI Coverage / UI Controls in this workbook
v2.23.0 — T-266 supplies browse tree, tag registration, bounded-read/subscription and keyboard/validation designs. Backend development follows frozen contracts in parallel; capability flags still require runtime proof.</t>
  </si>
  <si>
    <t>T-226</t>
  </si>
  <si>
    <t>Production OPC UA edge runtime: quality/timestamps, recovery and spool-to-canonical proof</t>
  </si>
  <si>
    <t>T-150; T-153</t>
  </si>
  <si>
    <t>T-225 + T-216 Source Time Authority.</t>
  </si>
  <si>
    <t>Edge spool/acquisition mapper + canonical ingest contract.</t>
  </si>
  <si>
    <t>T-153 real-source connector certification consumes this implementation; do not call implementation itself site-certified.</t>
  </si>
  <si>
    <t>Chapters 3/4 v4.10.3 — MD + illustrated Word; UI Coverage / UI Controls in this workbook
v2.23.0 — T-266 supplies quality/time/spool/reconnect/replay evidence presentation. The source-time and idempotency rules are unchanged; labelled design fixtures are not test-server proof.</t>
  </si>
  <si>
    <t>T-232</t>
  </si>
  <si>
    <t>Persist Performance Reference authority and projections</t>
  </si>
  <si>
    <t>Reference persistence</t>
  </si>
  <si>
    <t>Persist the frozen T-214 Performance Reference contract, including declared standards/targets/envelopes, deterministic scope precedence, effective dating, directionality, provenance and projections from existing specifications/operating limits. No second reference authority.</t>
  </si>
  <si>
    <t>Migration/replay green; Global/Site/Equipment reference precedence and effective-date replay pass; equal-authority ambiguity remains RF01; existing specification/limit projections resolve through one read authority.</t>
  </si>
  <si>
    <t>T-090; T-231; T-214</t>
  </si>
  <si>
    <t>T-215</t>
  </si>
  <si>
    <t>T-090 + T-231 + committed T-214 contract.</t>
  </si>
  <si>
    <t>performance reference tables/projections/API.</t>
  </si>
  <si>
    <t>T-215 consumes persistence; no local reference math.</t>
  </si>
  <si>
    <t>L9.1</t>
  </si>
  <si>
    <t>Performance Reference</t>
  </si>
  <si>
    <t>T-233</t>
  </si>
  <si>
    <t>Persist Source Time Authority and observation timestamp provenance</t>
  </si>
  <si>
    <t>Temporal authority persistence</t>
  </si>
  <si>
    <t>Persist the frozen T-216 Source Time Authority contract per source/site and preserve source/server/ingest timestamp provenance on observations. Own migrations, tenant-safe keys and canonical read API; no settings UI and no alignment algorithm here.</t>
  </si>
  <si>
    <t>Two sources with different declared timestamp origins and known skew persist/replay correctly; source/server/ingest timestamps survive ingestion; tenant isolation passes; the API exposes exactly the T-216 contract.</t>
  </si>
  <si>
    <t>In Progress</t>
  </si>
  <si>
    <t>T-087; T-090; T-216</t>
  </si>
  <si>
    <t>T-221; T-226</t>
  </si>
  <si>
    <t>T-087 + T-090 + committed T-216 contract.</t>
  </si>
  <si>
    <t>source_time_authorities/observation timestamp provenance/API.</t>
  </si>
  <si>
    <t>T-221/T-226 consume canonical persistence; T-217 kernel does not wait.</t>
  </si>
  <si>
    <t>T-235</t>
  </si>
  <si>
    <t>Persist transition/stabilisation authority and regime context</t>
  </si>
  <si>
    <t>Process regime persistence</t>
  </si>
  <si>
    <t>Persist process_transition_definitions and process_transition_events plus effective-dated stabilisation policy, provenance and query API under the canonical definition/tenant authority. Do not model changeover as downtime by default; overlap is allowed and explicit.
v2.22.0 — Wire existing TransitionAwarePoolingGuard into production statistics/correlation using persisted regime authority. This is M2 correctness, not a claim that every customer necessarily has transitions.</t>
  </si>
  <si>
    <t>Fresh migration/replay green. A customer-authored transition definition and event round-trip with scope/from-to context/stabilisation rule; no shipped industry values. Querying an interval returns exact transition/stabilisation overlaps and evidence.
v2.22.0 — Declared transitions/stabilisation are excluded or stratified per policy; undefined required regime context refuses rather than pooling; declared no-transition case supported with evidence; known-answer production-path test and provenance.</t>
  </si>
  <si>
    <t>T-090; T-231; T-234</t>
  </si>
  <si>
    <t>T-164; T-212; T-237; T-247</t>
  </si>
  <si>
    <t>T-090 + T-231 + committed T-234 contract.</t>
  </si>
  <si>
    <t>process transition tables/API/migrations.</t>
  </si>
  <si>
    <t>T-237/customer onboarding consume committed persistence; do not redesign contract.</t>
  </si>
  <si>
    <t>L5.4</t>
  </si>
  <si>
    <t>Regime correctness</t>
  </si>
  <si>
    <t>T-241</t>
  </si>
  <si>
    <t>Canvas executable block contract, typed ports and graph validation</t>
  </si>
  <si>
    <t>No-code authoring</t>
  </si>
  <si>
    <t>Important</t>
  </si>
  <si>
    <t>Generalise the typed-port and graph semantics already proven in the M1 SharedAuthoringShell/VisualJoinCanvas slice into the production canvas contract. Reuse the existing shell and ports; do not create a second canvas. Define executable block kinds, typed input/output ports, required-port rules, graph validation and genericity constraints. No block or port may carry industry vocabulary.</t>
  </si>
  <si>
    <t>Architecture test proves one shared canvas contract. Typed-port known answers pass; an unconnected required port returns a typed refusal; incompatible ports refuse before execution; no industry noun/default grain appears in the generic block contract.</t>
  </si>
  <si>
    <t>T-032; T-201</t>
  </si>
  <si>
    <t>T-242; T-243; T-247; T-248; T-253; T-261</t>
  </si>
  <si>
    <t>Post-Sep product completion</t>
  </si>
  <si>
    <t>Frontend shared authoring shell, canvas graph/ports only.</t>
  </si>
  <si>
    <t>Reuse M1 SharedAuthoringShell and existing typed-port assets. No second canvas component.</t>
  </si>
  <si>
    <t>eb7fb2ab — subject not recovered</t>
  </si>
  <si>
    <t>L3.6</t>
  </si>
  <si>
    <t>Board semantics, typed ports and property inspection</t>
  </si>
  <si>
    <t>D1; D2; D4; D5</t>
  </si>
  <si>
    <t>T-242</t>
  </si>
  <si>
    <t>Canvas production block library: relational, arithmetic, logic, window and governed aggregate</t>
  </si>
  <si>
    <t>Complete the executable block library behind the existing catalogue: source/filter/join, arithmetic, comparison, boolean logic, branch/window and governed aggregate blocks. Aggregate blocks resolve the canonical aggregation semantics authority and never default to Average. Include production arithmetic/comparison/Boolean blocks, IF/ELSE, ForEach, RepeatN and WhileBounded. WhileBounded requires max_iterations, runtime budget and cancellation; unbounded loops cannot publish.</t>
  </si>
  <si>
    <t>Every executable block has deterministic known-answer and type-mismatch tests. Aggregate blocks consume the canonical aggregation contract and refuse AG01 when semantics are undeclared. Unsupported catalogue entries remain visibly unavailable rather than silently no-op. Known-answer graphs prove +,-,*,/, comparisons, AND/OR/NOT, IF/ELSE, ForEach, RepeatN and bounded While. A graph with no finite loop bound refuses validation.</t>
  </si>
  <si>
    <t>T-241; T-210</t>
  </si>
  <si>
    <t>T-243; T-247; T-261</t>
  </si>
  <si>
    <t>Canvas block registry and executable block nodes.</t>
  </si>
  <si>
    <t>Do not duplicate analytics kernels; blocks call governed Layer-A/Layer-B contracts.</t>
  </si>
  <si>
    <t>CENTRAL 04-Sep-2026: remove 'After 30-Sep MUST lane'. A Release-1-MUST task cannot be scheduled after its own release date.</t>
  </si>
  <si>
    <t>b93c7a58; fc029aa44ac0079be05d623c73414b7fd9f05590; aa57a503411abeeff38ef346ba8801c7742c7926 — final: T-242 close governed aggregate and window block contracts</t>
  </si>
  <si>
    <t>T-243</t>
  </si>
  <si>
    <t>Canvas persistence, immutable versioning and reopen/edit round-trip</t>
  </si>
  <si>
    <t>Persist the shared canvas graph through the unified definition_store/definition_versions authority. Save block positions, typed connections, parameters and purpose; reopen and edit a published/draft version under the existing lifecycle. No canvas-specific shadow store.
v2.22.0 — Extend the existing saved-board lifecycle to transactional relationship publication. Publish via existing IRelationshipPublicationService; derive only customer-declared joins/grains/attribution, not every arbitrary join inferred as a business relation. No shadow store. Legacy VisualMapper must route through canonical lifecycle or be retired compatibility-safely.</t>
  </si>
  <si>
    <t>Create/save/reopen/edit round-trip preserves semantic graph content; version history is immutable; rollback selects an existing version; no second definition lifecycle/table is introduced. The governed output target/Analysis Subject identity introduced by T-253 is part of the semantic round-trip and cannot collapse to a hardcoded material target.
v2.22.0 — Publish a declared multi-member relationship and verify resolver consumption; republish supersedes not deletes; rollback/history remains explainable; simulated failure leaves neither a partially published definition nor a partially retired/emitted relationship set. Retain existing board/hash/Graph-SQL/reopen evidence; unproven new requirements do not erase previous implementation.</t>
  </si>
  <si>
    <t>T-241; T-242; T-089; T-090; T-253</t>
  </si>
  <si>
    <t>T-245; T-246; T-247; T-248; T-261; T-262</t>
  </si>
  <si>
    <t>Consume accepted producer contracts; remaining dependencies: T-241; T-242; T-089; T-090; T-253. No private scheduler/definition authority. Source-present is not closure proof.</t>
  </si>
  <si>
    <t>Frontend canvas persistence + definition-store client contracts.</t>
  </si>
  <si>
    <t>No canvas-specific persistence schema.</t>
  </si>
  <si>
    <t>6f65bba1</t>
  </si>
  <si>
    <t>L3.5; L3.6; L2.2</t>
  </si>
  <si>
    <t>Chapters 3/4 v4.10.3 — MD + illustrated Word; UI Coverage / UI Controls in this workbook
v2.23.0 — Use T-265 C1/S1 selected-block, inspector, typed-port, validation/publish/reopen and SQL-mode handoffs. Shared C1/S1 shell is valid; prove semantic mode behavior rather than arbitrary visual differences. No change to canonical definition/relationship authorities.</t>
  </si>
  <si>
    <t>BASELINE CLOSED; RELATIONSHIP-PUBLICATION EXTENSION UNPROVEN</t>
  </si>
  <si>
    <t>Executed ancestry proves the original board/history/reopen closure. Later v2.22 transactional relationship publication remains a separate outstanding acceptance slice. Do not reimplement the saved-board baseline. Exact full SHA/date not recovered. Pasted text(20260910-105308).txt | executed preflight at 2026-09-10 13:30:05, lines39-58; T-243 closure 6f65bba1 is an ancestor; T-106 a5451dba and 8b3eb5c8 also ancestors.</t>
  </si>
  <si>
    <t>T-244</t>
  </si>
  <si>
    <t>SQL-mode production convergence: compile, validate, bounded dry-run and definition persistence</t>
  </si>
  <si>
    <t>Converge the SQL mode already delivered in T-035/T-036 onto the canonical M2 definition store and production query budgets. Reuse SafeSqlValidator and the existing editor; do not rebuild them. Add compile/validate-before-run, bounded dry-run/result preview, row/scan/cost telemetry and canonical persisted definition/version identity.</t>
  </si>
  <si>
    <t>The existing SQL safety suite remains green. An unvalidated or unbounded statement never executes. Dry-run returns bounded rows plus telemetry. Save/reopen uses the unified definition store. No duplicate SQL editor or validator is introduced.</t>
  </si>
  <si>
    <t>T-035; T-036; T-089; T-090</t>
  </si>
  <si>
    <t>T-245; T-247; T-248; T-253</t>
  </si>
  <si>
    <t>SharedAuthoringShell SQL mode + canonical definition API.</t>
  </si>
  <si>
    <t>Preserve SafeSqlValidator/editor behaviour and tests.</t>
  </si>
  <si>
    <t>4d32c6b10b4605aeb6e0705ad03537d563125652 — T-244 close canonical Canvas lifecycle and selection model</t>
  </si>
  <si>
    <t>L3.5</t>
  </si>
  <si>
    <t>One authoring shell, five purposes, two modes</t>
  </si>
  <si>
    <t>L3.7</t>
  </si>
  <si>
    <t>D2; D4; D5</t>
  </si>
  <si>
    <t>T-245</t>
  </si>
  <si>
    <t>Canvas-to-job compilation, binding, run monitor and per-block evidence</t>
  </si>
  <si>
    <t>Compile a validated canvas definition into the governed job/runtime contract, bind the declared target/version, launch it, monitor progress and correlate per-block diagnostics/evidence to the run id. Job target/version and dependency policy remain owned by the canonical job authority. Bind to the already accepted job runtime; do not wait for Release-2 advanced orchestration.</t>
  </si>
  <si>
    <t>A validated canvas runs through the normal job API; each block is traceable to run diagnostics/evidence; a block failure is isolated and typed; target/version follows T-106; no private canvas scheduler is created. Capability discovery refuses compilation when the target job family has no registered executor; there is no late RunNow surprise.</t>
  </si>
  <si>
    <t>T-243; T-244; T-106; T-261; T-262</t>
  </si>
  <si>
    <t>T-247; T-248</t>
  </si>
  <si>
    <t>QUEUED after T-261 closure; current mutation sequence is T-099 → T-100 → T-261 → T-245. T-245 consumes the proven executor/runtime and per-block evidence, never recreates them. Retain all listed canonical prerequisite contracts.</t>
  </si>
  <si>
    <t>Canvas compiler/job binding + run monitor only.</t>
  </si>
  <si>
    <t>T-106 remains job policy authority.</t>
  </si>
  <si>
    <t>L3.8</t>
  </si>
  <si>
    <t>Canvas → compile → governed job → run → per-block evidence</t>
  </si>
  <si>
    <t>D2; D3; D5</t>
  </si>
  <si>
    <t>Chapters 3/4 v4.10.3 — MD + illustrated Word; UI Coverage / UI Controls in this workbook
v2.23.0 — Use T-265 run/schedule/cancellation UI handoffs; cancellation acknowledgement is not a terminal Cancelled result until the executor/runtime records it. Render exact resolved version, failure counts and evidence, not a browser-derived success.</t>
  </si>
  <si>
    <t>QUEUED — T-261 NOT CLOSED; NO NEW IMPLEMENTATION OR LIVE RUN CLAIM</t>
  </si>
  <si>
    <t>T-247</t>
  </si>
  <si>
    <t>First-customer Day-1 Golden Journey and same-binary onboarding proof</t>
  </si>
  <si>
    <t>Data Integration</t>
  </si>
  <si>
    <t>Customer onboarding</t>
  </si>
  <si>
    <t>Using the customer's own source shape/configuration, prove the same compiled product can create/test a DB Link, browse/preview, map/configure, prepare in Canvas, validate/dry-run, save/version, compile/bind to a Job, run/monitor/log, project canonical data and open a working BI result with zero customer-specific product code.</t>
  </si>
  <si>
    <t>One end-to-end evidence pack proves zero C# diff, zero TypeScript diff and zero product-SQL diff; configuration/metadata only. The customer-shaped journey completes through product surfaces and replays deterministically. The evidence pack also proves the customer-facing connector availability text comes from executable capability truth, the authored output target is customer-shaped/governed, and no unapproved material-specific/public-schema runtime dependency is required.
v2.23.0 — T-265/T-266 designs are accepted before the release walkthrough. Re-run the same-binary customer journey against real governed services after UI integration: source test/cursor/import, authored field map and relationship publish, exact version execution/cancel/failure, quarantine evidence and reprocess, selected/possible/excluded propagation, applicable table navigation/export and grounded Assistant. Screenshots must identify actual runtime versus prototype. Live acceptance cannot be satisfied by a Figma import, label-presence script or template count.</t>
  </si>
  <si>
    <t>T-150</t>
  </si>
  <si>
    <t>Customer configuration / integration</t>
  </si>
  <si>
    <t>T-213 complete + T-092 green.
v2.22.1 — Completion prerequisites are the task IDs in column M; contract-only predecessors, if any, are exclusively in column AN. Do not use the rejected v2.22.0 positional columns.</t>
  </si>
  <si>
    <t>Configuration/mapping/registry definitions and customer-shaped demo profile; no product source files unless a generic defect is found.</t>
  </si>
  <si>
    <t>If onboarding requires C#/TypeScript/product-SQL changes, stop and raise a generic product gap; do not patch around it.</t>
  </si>
  <si>
    <t>L1.1; L1.2; L2.3; L3.8</t>
  </si>
  <si>
    <t>T-253</t>
  </si>
  <si>
    <t>Shared authoring governed output-target canonical-content contract</t>
  </si>
  <si>
    <t>Correct the shared Canvas/SQL authoring output-target contract across both representations. The governed output identity is the CANONICAL ENTITY NAME from ICanonicalEntityCatalog (for example `QualityEvent`), never a physical relation name such as `canonical_material_units` and never an overloaded Analysis Subject key. Add a representation-independent root `outputTarget` to hashed Canvas canonical content for new Graph and SQL saves. For Graph, retain `graph.targetEntity` for T-242/backward compatibility but require it to equal the root outputTarget on new writes. For pre-T-253 Graph content lacking the root key, Read may derive outputTarget from the existing graph.targetEntity; for pre-T-253 SQL content lacking it, return null and do not fabricate a target. Re-saving an old definition after selecting/deriving the governed target creates a new immutable version because the canonical hash legitimately changes; previous versions remain untouched. Expose a minimal read-only enumeration from ICanonicalEntityCatalog through the existing AuthoringSupport endpoint group so the shell can populate a governed target picker without using MappingDefinitionService.AllowedTargetEntities. Server-side save validates the supplied outputTarget against the canonical catalog. Use StandardP2Select and conforming accessible caption/control semantics; SharedAuthoringShell currently has zero raw-control baseline. Do not change DB topology, mapping AllowedTargetEntities, Analysis Subject persistence, job runtime or unrelated charts.
v2.20.3 TARGET-ELIGIBILITY RULING — enumeration of every mapped canonical entity is NOT a valid picker authority. Introduce one explicit model/type-sourced capability predicate for entities that are legal canonical projection/authoring targets: the marker interface `ICanonicalProjectionTarget` on the canonical entity type. This is the exact v2.20.3 implementation ruling; do not substitute an EF annotation or schema heuristic. ICanonicalEntityCatalog enumerates only mapped, uniquely named entities carrying that capability when serving the output-target picker, and exposes an `IsProjectionTarget`/equivalent validation path. Do not infer eligibility from schema alone: current legitimate targets include configuration/reference entities such as ParameterDefinition and DefectCatalog that are not in ppiq_plant, while ppiq_plant also contains analytical/result entities that must not become import/authoring targets automatically. The capability is the authority; physical schema/logical family is a consistency check, not the eligibility rule.</t>
  </si>
  <si>
    <t>1) Current-source preflight first verifies T-244 (`4d32c6b10b4605aeb6e0705ad03537d563125652`) is an ancestor of current HEAD; if not, STOP and return to CENTRAL. 2) New Graph save: selected canonical entity appears as root outputTarget and graph.targetEntity, values match, save/reopen preserves it. 3) New SQL save: selected canonical entity is hashed root outputTarget and save/reopen preserves it. 4) Existing pre-T-253 Graph with no root outputTarget reopens by compatibility derivation from graph.targetEntity; when re-saved it creates a new immutable version and leaves old content/hash untouched. 5) Existing pre-T-253 SQL with no target reopens with null target and cannot fabricate one; user must select a governed target before a target-required save. 6) Invalid/non-catalog output target is refused server-side with a typed reason. 7) Picker values come from ICanonicalEntityCatalog enumeration/read endpoint; no AllowedTargetEntities dependency. 8) Path-scoped architecture guard scans production shared-authoring/API-adapter source (comments stripped, tests and the guard itself excluded) and refuses both `MaterialUnit` and `canonical_material_units` literals; no new global UA-08 term is added. 9) `tsc -b`, focused frontend authoring tests, focused backend Canvas/lifecycle tests and the architecture guard are GREEN. 10) Negative controls: mismatched graph.targetEntity/root outputTarget, invalid target, and reintroduced material literal each make the correct gate red.
Target-eligibility tests prove the picker/catalog does NOT enumerate every mapped CLR entity. Positive representatives include at least `QualityEvent`, `ParameterDefinition` and `DefectCatalog`; negative representatives include `ImportBatch`, `JobRunHistory`, `DashboardWidgetDefinition` and `SourceSystemDefinition`. A newly mapped entity without the explicit projection-target capability is unavailable/refused until intentionally classified. No standalone hardcoded string allowlist is introduced. The current 12-name MappingDefinitionService list remains untouched in T-253 and is later replaced by T-256 consuming this same predicate.</t>
  </si>
  <si>
    <t>T-094; T-209; T-241; T-244</t>
  </si>
  <si>
    <t>T-150; T-243; T-247; T-256; T-262</t>
  </si>
  <si>
    <t>Frontend/backend integration</t>
  </si>
  <si>
    <t>Owned T-253 surfaces only: Frontend shared authoring shell + canvas API adapter + focused authoring tests; Backend CanvasDefinitionContent / Canvas lifecycle contracts+implementation/response path; ICanonicalEntityCatalog interface+implementation; the semantic `ICanonicalProjectionTarget` marker interface and the minimum existing canonical entity declarations needed to mark current legitimate targets; existing AuthoringSupport read endpoint group; focused backend/architecture tests. No DB topology/migrations, no MappingDefinitionService.AllowedTargetEntities edit, no Analysis Subject redesign, no Job runtime, no chart/page styling.</t>
  </si>
  <si>
    <t>Canonical outputTarget namespace is canonical entity name, but picker eligibility is a separate explicit model-sourced capability. Root outputTarget is hashed representation-independent authority; graph.targetEntity is compatibility data and must agree on new writes. Do not expose all mapped entities and do not use schema as the sole eligibility predicate. T-243 consumes this contract; T-256 later removes the old MappingDefinitionService string allowlist by consuming the same capability.</t>
  </si>
  <si>
    <t>CENTRAL v2.20.3: canonical output identity = ICanonicalEntityCatalog CLR canonical name. Projection-target eligibility is separate and MUST use the `ICanonicalProjectionTarget` marker interface on mapped entity types; do not enumerate all mapped entities, do not use schema-only eligibility, and do not add a new string allowlist. New root outputTarget is hashed for Graph+SQL; legacy Graph derives from graph.targetEntity, legacy SQL missing target stays null; minimal catalog enumeration/read endpoint allowed; path-scoped comment-stripped guard only. T-243 remains Not Started.</t>
  </si>
  <si>
    <t>T-254</t>
  </si>
  <si>
    <t>Customer-facing connector capability truth convergence</t>
  </si>
  <si>
    <t>DB Link / capability truth</t>
  </si>
  <si>
    <t>Eliminate independent frontend/website capability claims for connectors and source systems. Availability, browse/read/subscription/import certification, Planned/Unavailable/Certified state and descriptive capability text are rendered from the backend connector truth snapshot or a generated artifact derived from it. Remove static 'live source' counts/claims that are not backed by current executed certification evidence.
v2.22.0 — Converge backend provider validation and customer-facing truth on one authority; no independent provider capability list. Unimplemented SAP/REST remain explicitly non-executable; OPC metadata must equal runtime facts. This is bounded newly reviewed scope, not blanket reopening of earlier closures.</t>
  </si>
  <si>
    <t>Change a connector capability/certification state in a backend fixture and prove the DB Configuration UI and generated website proof change without editing frontend/website source. Unsupported/planned connectors remain dimmed and attempts retain the typed refusal from T-207. Static gate finds no second provider-capability availability registry and no unqualified '6 live source systems' claim.
v2.22.0 — Profile create validation, /provider-types, UI, website and execution capability agree; architecture and behavioral test enumerate unsupported families; changing one authority is reflected by all consumers; preserve valid T-207/T-254 historical proof.</t>
  </si>
  <si>
    <t>T-150; T-153; T-247</t>
  </si>
  <si>
    <t>Original UI/website convergence is frozen at f8a35725. Only the v2.22 backend-provider-authority delta is outstanding. Consume T-207 and existing contracts on disjoint paths; column M remains the completion-prerequisite list. This is not permission to redo the closed UI/website scope.</t>
  </si>
  <si>
    <t>Frontend DB configuration capability rendering + generated website proof adapter/content only. No connector protocol implementation.</t>
  </si>
  <si>
    <t>T-153 later changes certification state by executed real-source evidence; UI/website consume the same truth automatically.</t>
  </si>
  <si>
    <t>Narrow truth-regression task; T-207 remains closed.</t>
  </si>
  <si>
    <t>f8a35725c9b0d7fb5a0515c0103a72807a704a97</t>
  </si>
  <si>
    <t>BASELINE CLOSED GREEN / FROZEN; LATER BACKEND EXTENSION UNPROVEN</t>
  </si>
  <si>
    <t>Original customer-facing connector convergence closed in 5 paths. Website typecheck not independently re-claimed in handover, not RED. v2.22 backend-provider-list extension has no new completion evidence; certify that delta only. Pasted text(20260910-064052).txt | T-254 CLOSED GREEN/FROZEN section; f8a35725c9b0d7fb5a0515c0103a72807a704a97. Historical frontend/website scope, not later backend-list extension.</t>
  </si>
  <si>
    <t>T-261</t>
  </si>
  <si>
    <t>Governed Transformation/Projection job executor and per-block runtime evidence seam</t>
  </si>
  <si>
    <t>Backend / Jobs</t>
  </si>
  <si>
    <t>Governed projection runtime</t>
  </si>
  <si>
    <t>Commission the real governed executor for the existing CanonicalRefresh job family so a resolved DefinitionKind.Transformation target/version is actually executed through the governed Transformation/projection machinery. Preserve T-106 as the single job capability/target/version authority. The runtime must execute the exact resolved immutable Transformation version, never route to generic pending_import, and expose deterministic per-block progress/evidence using stable authored board.nodes[].id correlated to the genuine JobRunHistoryId. Reuse existing run-history/evidence/provenance authorities; do not create a second scheduler, run-history store, capability registry or block-identity model.</t>
  </si>
  <si>
    <t>Known-answer proof: a published Transformation resolves through T-106 and CanonicalRefresh executes that exact version through the real projection runtime; genuine JobRun exists only after admission; run evidence records exact definition/version; stable authored block IDs receive deterministic progress/evidence; measured row/result/runtime facts are tied to the real run and existing provenance; typed block failure is isolated; cancellation is honoured; unsupported job families still refuse JX01 pre-admission; pending_import is not used; no second execution/evidence authority exists.</t>
  </si>
  <si>
    <t>T-106; T-241; T-242; T-243; T-099; T-262; T-100</t>
  </si>
  <si>
    <t>T-104; T-245</t>
  </si>
  <si>
    <t>Backend/runtime execution</t>
  </si>
  <si>
    <t>HELD PENDING T-100 COMMIT. Latest CENTRAL reset supersedes T-099→T-261→T-100. Current mutation order: T-099 → T-100 → T-261 → T-245. T-099 is closed frozen ancestry at ca02b40ea1b69050a45cb35a3e1d64f15b1f66af. No Worker-2 host mutation, staging, commit, final preimage hashes, final migration number, census, interim runner or re-anchoring before CENTRAL supplies the final T-100 SHA. After it arrives, one bounded delta over changed owned paths, shared DI/DbContext/topology/manifest, committed projection-validation contracts, current runtime surfaces and actual migration frontier; then re-anchor T-261. Other prerequisite acceptance remains applicable; receipt of the SHA does not itself prove runtime acceptance.</t>
  </si>
  <si>
    <t>Worker 2 owns executor/runtime work, but holds no mutation permission until T-100 commits. Preserve the shared producer frontier; one bounded delta only after the final SHA.</t>
  </si>
  <si>
    <t>After T-100 commits: one bounded delta, then T-261 Runner 1/2; after T-261 closes proceed to T-245. No second compiler, capability policy, run store or block-evidence authority.</t>
  </si>
  <si>
    <t>L3.8; L2.6</t>
  </si>
  <si>
    <t>SEMANTIC CONTRACT/PACKAGE IN PROGRESS; HOST MUTATION HELD PENDING T-100 COMMIT</t>
  </si>
  <si>
    <t>Latest owner-supplied conversation update, received 15-Sep-2026; runner/host logs and script bytes were not independently inspected in this workbook update. This supersedes the earlier 14-Sep source-only T-100 estimate, not the frozen Design.
HELD PENDING T-100 COMMIT. Latest CENTRAL reset supersedes T-099→T-261→T-100. Current mutation order: T-099 → T-100 → T-261 → T-245. T-099 is closed frozen ancestry at ca02b40ea1b69050a45cb35a3e1d64f15b1f66af. No Worker-2 host mutation, staging, commit, final preimage hashes, final migration number, census, interim runner or re-anchoring before CENTRAL supplies the final T-100 SHA. After it arrives, one bounded delta over changed owned paths, shared DI/DbContext/topology/manifest, committed projection-validation contracts, current runtime surfaces and actual migration frontier; then re-anchor T-261. Other prerequisite acceptance remains applicable; receipt of the SHA does not itself prove runtime acceptance.</t>
  </si>
  <si>
    <t>T-262</t>
  </si>
  <si>
    <t>Governed projection declaration and canonical field-binding contract</t>
  </si>
  <si>
    <t>Product / Integration</t>
  </si>
  <si>
    <t>Reconcile the source-present T-262 work as an official task: one immutable outputTarget/field-binding declaration with shared Graph/SQL semantics and one server type-compatibility authority. T-261 consumes it; do not reimplement current source.</t>
  </si>
  <si>
    <t>Required business fields bound once; system-owned fields not authorable; unknown/ambiguous sources refused; no inferred mapping by name/position/type; declaration changes hash; old versions reopen unchanged and refuse governed execution until explicitly upgraded; source tests plus needed integration closure.</t>
  </si>
  <si>
    <t>T-253; T-243</t>
  </si>
  <si>
    <t>T-245; T-247; T-261</t>
  </si>
  <si>
    <t>Governed product integration</t>
  </si>
  <si>
    <t>Consume accepted producer contracts; remaining dependencies: T-253; T-243. No private scheduler/definition authority. Source-present is not closure proof.
v2.22.1 — Completion prerequisites are the task IDs in column M; contract-only predecessors, if any, are exclusively in column AN. Do not use the rejected v2.22.0 positional columns.</t>
  </si>
  <si>
    <t>Semantic product filenames only. CENTRAL assigns shared file locks before overlapping worker writes.</t>
  </si>
  <si>
    <t>Reuse current canonical authorities; no shadow lifecycle/registry/scheduler.</t>
  </si>
  <si>
    <t>L2.2</t>
  </si>
  <si>
    <t>Transformation authoring and relationship publication</t>
  </si>
  <si>
    <t>L2.3; L3.6</t>
  </si>
  <si>
    <t>D2; D3; D4; D5</t>
  </si>
  <si>
    <t>UNESTIMATED — new/recognized task; owner calibration pending.</t>
  </si>
  <si>
    <t>COMMITTED CONTRACT GREEN; CURRENT INTEGRATION ACCEPTANCE UNVERIFIED</t>
  </si>
  <si>
    <t>Producer declaration is committed with backend24/24, catalogue8/8, content39/39 and authoring404/404; parent36de9370 (short). Live definition-store integration is explicitly not executed. Current row asks for needed integration closure: retain In Progress pending that disposition, but withdraw the false 'no accepted SHA/run supplied' statement. No producer rewrite. Pasted text(20260912-074928).txt | lines1229-1243; T-262 GREEN committed86e1b677212195f191697ecdca7e9441b3dbde33; parent36de9370; live definition-store integration explicitly unexecuted.</t>
  </si>
  <si>
    <t>UNESTIMATED</t>
  </si>
  <si>
    <t>T-148</t>
  </si>
  <si>
    <t>P3</t>
  </si>
  <si>
    <t>Map the 108 page files onto the 40 target pages</t>
  </si>
  <si>
    <t>Namespace</t>
  </si>
  <si>
    <t>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t>
  </si>
  <si>
    <t>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
v2.22.1 —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
v2.23.0 — Consume per-surface approved route/control/state handoffs from T-265/T-266; do not wait for entire backend tasks merely to draft UI. Bind chapter control IDs to actual reachable controls and screen variants. Shared shell/component geometry is required consistency, not a defect. A control-label match alone is not a workflow test. Complete all current M2 route content and record explicitly deferred M3 behavior under its named implementation owner.</t>
  </si>
  <si>
    <t>T-248</t>
  </si>
  <si>
    <t>M2-P3</t>
  </si>
  <si>
    <t>R1 route inventory and six shell contracts frozen. Contract-ready handoffs from T-196/T-197/T-198/T-199/T-200 are recorded separately in column AN. Do not wait for the entire M3 implementation or ship a simulated M3 page.</t>
  </si>
  <si>
    <t>Own route inventory/redirect cleanup only; do not touch W3 intelligence surfaces.</t>
  </si>
  <si>
    <t>Commit before downstream consumer starts; consumer must use the contract, not redesign producer-owned semantics.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t>
  </si>
  <si>
    <t>Enterprise BI &amp; Customer Experience</t>
  </si>
  <si>
    <t>M2 P3 — Enterprise BI &amp; Customer Experience. Release 1 is genuine early production / first-week customer work.</t>
  </si>
  <si>
    <t>L3.1</t>
  </si>
  <si>
    <t>Analysis page anatomy, layout and visual standard</t>
  </si>
  <si>
    <t>T-196; T-197; T-198; T-199; T-200; T-265; T-266</t>
  </si>
  <si>
    <t>Reference gap, attainment and envelope measures in registry/BI</t>
  </si>
  <si>
    <t>Frontend/Backend</t>
  </si>
  <si>
    <t>Reference analytics</t>
  </si>
  <si>
    <t>Expose governed derived measures: GapToReference, NormalizedDeviation, InEnvelope, DistanceToBoundary and Attainment where mathematically valid. Bind them as registry measures without creating a second reference authority.</t>
  </si>
  <si>
    <t>Top reference cases higher-is-better, lower-is-better and inside-range produce known answers and correct labels/provenance. An inapplicable attainment formula refuses rather than displaying a misleading percentage. Measures are usable in Page Builder without code per customer reference.</t>
  </si>
  <si>
    <t>T-092; T-214; T-232</t>
  </si>
  <si>
    <t>T-150; T-222</t>
  </si>
  <si>
    <t>T-092 + T-214.</t>
  </si>
  <si>
    <t>Registry projection + query measures + widget labels.</t>
  </si>
  <si>
    <t>Consume reference ID/version and scoring semantics; no local UI formula.</t>
  </si>
  <si>
    <t>Chapters 3/4 v4.10.3 — MD + illustrated Word; UI Coverage / UI Controls in this workbook
v2.23.0 — T-265 provides the active M2 reference/measure direction and bound-result UI; T-267 expands the deferred authoring depth. Do not introduce a second Performance Reference authority.</t>
  </si>
  <si>
    <t>T-222</t>
  </si>
  <si>
    <t>D1/D4 reconciliation evidence surface and reference overlay</t>
  </si>
  <si>
    <t>Reconciliation UI</t>
  </si>
  <si>
    <t>Render reconciliation cases through existing Findings/Interactive Workspace paths with reference overlays, causal-confidence level and transition/stabilisation regime evidence from T-236. No oil-specific page. September surface consumes the governed kernel result seam; canonical reconciliation tables remain post-demo.</t>
  </si>
  <si>
    <t>Customer-shaped historical fixture shows one case end-to-end; all values/evidence open; TemporalUncertain and MissingEvidence have distinct wording; no person/lie wording; cross-filtering remains functional and route/session gates stay green.</t>
  </si>
  <si>
    <t>T-219; T-220; T-215; T-203; T-204</t>
  </si>
  <si>
    <t>Frontend integration</t>
  </si>
  <si>
    <t>T-219/T-220 result contract + T-215 + T-203/T-204. Do not create a demo-only store.</t>
  </si>
  <si>
    <t>D1/D4 generic components only; no new oil route.</t>
  </si>
  <si>
    <t>Use existing governed evidence/result contract. T-221 later changes persistence behind the contract without UI redesign.</t>
  </si>
  <si>
    <t>L10.3</t>
  </si>
  <si>
    <t>Operational evidence reconciliation</t>
  </si>
  <si>
    <t>Advanced</t>
  </si>
  <si>
    <t>Chapters 3/4 v4.10.3 — MD + illustrated Word; UI Coverage / UI Controls in this workbook
v2.23.0 — T-265 provides the Release-1 reconciliation evidence/result/refusal surfaces. Use the canonical result envelope and citation references, not local display calculations.</t>
  </si>
  <si>
    <t>T-258</t>
  </si>
  <si>
    <t>Frontend material-surface genericity convergence and presentation compatibility</t>
  </si>
  <si>
    <t>HMI / genericity compatibility</t>
  </si>
  <si>
    <t>Consume the T-256 backend compatibility/consumer handoff and remove material/heat/coil-specific frontend surfaces from the generic customer product path without breaking the retained presentation profile. Own frontend consumers including MaterialAnalytics pages/routes, material-specific DTO/type assumptions such as DashboardMaterialRow, navigation and UI labels that make a material plant universal. Replace them with Analysis Subject/registry-driven generic surfaces where they are valid product capability, or isolate them behind an explicit presentation compatibility profile when they exist only for the retained demonstration. Do not change backend/API semantics owned by T-256 and do not redesign Page Builder/Canvas.</t>
  </si>
  <si>
    <t>Start from the machine-readable T-256 frontend-consumer handoff and close every row. Generic build/navigation has zero required Material/Heat/Coil-specific page, route, DTO or label dependency for a foreign customer-shaped configuration. The retained ppiq_presentation/presentation profile still renders any explicitly retained presentation-only material surface through the bounded compatibility path. Static genericity test covers frontend MaterialAnalytics routes/pages/types and reports unknown=0. No backend file is modified by T-258. T-247 same-binary journey consumes the generic result.</t>
  </si>
  <si>
    <t>T-094; T-250; T-256</t>
  </si>
  <si>
    <t>WAIT for T-256 CLOSED and its frontend-consumer handoff manifest. Then perform bounded frontend-only convergence; do not re-investigate backend genericity.</t>
  </si>
  <si>
    <t>Frontend MaterialAnalytics/generic navigation/types/tests only. No Backend/API/DB mutation and no Canvas/Job implementation.</t>
  </si>
  <si>
    <t>T-256 defines backend semantic/compatibility truth; T-258 consumes it. T-247 validates the same-binary customer journey and does not redesign either side.</t>
  </si>
  <si>
    <t>v2.20.1 ownership split: created to prevent Worker 1 T-256 from crossing into Worker-2 frontend ownership while still closing generic-binary material residue.</t>
  </si>
  <si>
    <t>T-137</t>
  </si>
  <si>
    <t>P4</t>
  </si>
  <si>
    <t>ModelServingRuntime and model-gateway adapter, isolated from the presentation dock</t>
  </si>
  <si>
    <t>AI+ML</t>
  </si>
  <si>
    <t>LLM runtime</t>
  </si>
  <si>
    <t>Replace the obsolete provider-specific POST assumption with a replaceable ModelServingRuntime plus model-gateway adapter. Support self-hosted/private/BYOM endpoints, minimum-scoped evidence payloads, provider/model release identity, timeout/cancellation and no-unapproved-fallback. IMPLEMENT NOW ONLY AS AN ISOLATED MODULE: do not register it into the current assistant DI or change the M1 dock/runtime. Canonical wiring happens in T-138.</t>
  </si>
  <si>
    <t>Standalone contract tests run against a deterministic fake runtime and an HTTP translating stub. They prove minimum-scoped payload, timeout/cancel, governed provider/model identity, and refusal on unapproved fallback. A repository dependency test proves no production assistant registration or M1 route/file changed in this task.</t>
  </si>
  <si>
    <t>CLOSED</t>
  </si>
  <si>
    <t>T-122; T-138; T-246</t>
  </si>
  <si>
    <t>Closed</t>
  </si>
  <si>
    <t>M2-P4</t>
  </si>
  <si>
    <t>No active lock.</t>
  </si>
  <si>
    <t>None — preserve evidence.</t>
  </si>
  <si>
    <t>Industrial Intelligence — References, Reconciliation &amp; Assistant</t>
  </si>
  <si>
    <t>M2 P4 — Industrial Intelligence — Reference, Reconciliation &amp; Assistant. Release 1 is genuine early production / first-week customer work.</t>
  </si>
  <si>
    <t>L4.8</t>
  </si>
  <si>
    <t>Model registry, promotion, serving and fallback</t>
  </si>
  <si>
    <t>T-168</t>
  </si>
  <si>
    <t>Versioned C#↔Python ML job protocol and isolated runtime harness</t>
  </si>
  <si>
    <t>ML runtime</t>
  </si>
  <si>
    <t>Build the schema-independent execution protocol between the .NET job runner and Python ML processes. A versioned job spec carries job/tenant/site identity, model family, semantic manifest handle when available, snapshot/artifact URI+hash, seed, code identity, resource/cancellation/checkpoint settings and output location. Python returns a versioned result manifest with terminal state, metrics, artifact hashes, warnings/refusal and checkpoint identity. This task is deliberately NOT registered into production DI, scheduler or presentation runtime.</t>
  </si>
  <si>
    <t>Run deterministic fake trainers through success, honest refusal, crash, timeout, cancellation and checkpoint/resume. C# must preserve stdout/stderr and exit identity without parsing free-form text as truth. Re-running the same seeded fixture yields the same result-manifest content hashes. A dependency test proves no current M1 runtime registration changed.</t>
  </si>
  <si>
    <t>T-122; T-175; T-187</t>
  </si>
  <si>
    <t>16ea041a; 94ab4e40; 723b9434; 6aef283f; ef588f0c — multi-commit runtime/protocol/CI closure</t>
  </si>
  <si>
    <t>L4.4</t>
  </si>
  <si>
    <t>Learned models MF-01 / MF-03 / MF-04</t>
  </si>
  <si>
    <t>T-169</t>
  </si>
  <si>
    <t>Typed columnar training-artifact library and B-03 harness</t>
  </si>
  <si>
    <t>Data artifacts</t>
  </si>
  <si>
    <t>Implement a typed columnar artifact abstraction used by sealed feature snapshots. Parquet/Arrow/equivalent remain implementation candidates behind the contract. Own schema/type mapping, column projection, content hash, byte/row counts, deterministic read order, corruption detection and a benchmark hook for B-03. No database table is the training read path and this task does not create final persistence.</t>
  </si>
  <si>
    <t>Write and read the same representative fixture through each enabled candidate. Assert stable row/schema/content identity, projected-column reads, bounded memory and explicit refusal for unsupported/corrupt schemas. Produce B-03 benchmark output format without choosing a winner or guessing a production threshold.</t>
  </si>
  <si>
    <t>T-175; T-184; T-187</t>
  </si>
  <si>
    <t>a887c554 — T-169 Pack 1: typed columnar artifact contract, Parquet and Arrow IPC adapters, two hashes, B-03 hook</t>
  </si>
  <si>
    <t>Feature engineering and incremental feature refresh</t>
  </si>
  <si>
    <t>T-170</t>
  </si>
  <si>
    <t>Chunked sequence-artifact library and bounded loader</t>
  </si>
  <si>
    <t>Implement the schema-independent sequence payload contract: immutable chunked typed numeric arrays, compression seam, chunk index, content hashes and bounded streaming/memory-mapped reads where supported. PostgreSQL array payloads are forbidden; final sequence_manifests persistence is T-185. Include the B-04 benchmark hook.</t>
  </si>
  <si>
    <t>Generate a large synthetic multi-channel sequence fixture, read it without whole-payload materialisation, verify chunk order/content hash and detect a corrupted/missing chunk. Compare at least two chunk/compression settings and emit B-04 measurements without hardcoding the selected values.</t>
  </si>
  <si>
    <t>T-185; T-187</t>
  </si>
  <si>
    <t>5a216483 — T-170 Chunked sequence-artifact library and bounded loader</t>
  </si>
  <si>
    <t>T-171</t>
  </si>
  <si>
    <t>Capability Profiler and eligibility/refusal kernel</t>
  </si>
  <si>
    <t>Engine</t>
  </si>
  <si>
    <t>Readiness</t>
  </si>
  <si>
    <t>Implement a pure, industry-neutral Capability Profiler that converts declared semantic/data-product facts into measured capability states for statistics, similarity, novelty, supervised prediction, practice and remediation. Include collapsed-dimension handling, genealogy strength, outcome/label availability, population sufficiency and the canonical terminal/refusal taxonomy. No database access or presentation wiring.</t>
  </si>
  <si>
    <t>Table-driven fixtures cover a rich plant, a sparse plant, no-genealogy, single-level context, missing labels and unsupported method cases. The same input produces the same capability profile; a collapsed single-level dimension is removed rather than treated as an error; method absence is NOT_APPLICABLE rather than a false zero-variance claim.</t>
  </si>
  <si>
    <t>T-131; T-186; T-187</t>
  </si>
  <si>
    <t>95cc019c — Capability Profiler Pack 2</t>
  </si>
  <si>
    <t>L4.1</t>
  </si>
  <si>
    <t>Readiness gate and statistical discipline chain</t>
  </si>
  <si>
    <t>T-172</t>
  </si>
  <si>
    <t>MF-01 Process Encoder runtime behind a replaceable contract</t>
  </si>
  <si>
    <t>MF-01 Encoder</t>
  </si>
  <si>
    <t>Implement ProcessEncoder as a replaceable runtime with a PyTorch candidate, channel_set_version, deterministic seed/environment manifest, train/encode/artifact contracts and serving-cost telemetry. The encoder is optional and no production promotion decision is made here. It consumes only sealed typed sequence/snapshot artifacts and never live feature_store.</t>
  </si>
  <si>
    <t>Train/encode a deterministic fixture twice and compare artifact/embedding reproducibility within declared tolerance. Change channel_set_version and prove the prior encoder is incompatible. Measure metric-lift input hooks, p95 cost and artifact size for B-05; no task declares the encoder deployable merely because it trains.</t>
  </si>
  <si>
    <t>T-187</t>
  </si>
  <si>
    <t>d4321856 — T-172 MF-01 Process Encoder runtime behind a replaceable contract</t>
  </si>
  <si>
    <t>T-173</t>
  </si>
  <si>
    <t>MF-02 VectorSimilarityIndex with exact-Flat recall baseline</t>
  </si>
  <si>
    <t>MF-02 Similarity</t>
  </si>
  <si>
    <t>Implement the VectorSimilarityIndex product contract: build, seal, extend/new-generation, search and recall_probe. Exact Flat remains the permanent benchmark on a representative sample; ANN families such as HNSW/IVF/PQ/FAISS are candidates only. Index generations are immutable and identified by content/generation manifest.</t>
  </si>
  <si>
    <t>Build Exact Flat and at least one approximate candidate on synthetic vectors. Measure recall@k, p95 search, build time and memory; deliberately degrade the ANN and prove a build below recall_floor is not eligible to serve. Repeating a sealed generation yields stable identity and search evidence handles.</t>
  </si>
  <si>
    <t>T-140; T-187</t>
  </si>
  <si>
    <t>00a14286 — T-173 MF-02 VectorSimilarityIndex with exact-Flat recall baseline</t>
  </si>
  <si>
    <t>L4.5</t>
  </si>
  <si>
    <t>Retrieval and similarity index MF-02</t>
  </si>
  <si>
    <t>T-174</t>
  </si>
  <si>
    <t>MF-03 novelty-model runtime and honest refusal semantics</t>
  </si>
  <si>
    <t>MF-03 Novelty</t>
  </si>
  <si>
    <t>Implement the novelty/anomaly family behind a replaceable contract with a simple baseline first and an isolation/density candidate only where eligible. Persistable outputs must separate score, threshold/calibration identity, population context and refusal state. No source-schema or industry vocabulary is allowed.</t>
  </si>
  <si>
    <t>Known synthetic normal/outlier populations produce expected ranking; a too-small or degenerate population returns the correct refusal instead of a fabricated score. Run deterministic seed/environment checks and export artifact/metrics in the common T-168 result-manifest shape.</t>
  </si>
  <si>
    <t>db033796 — T-174 MF-03 novelty runtime and honest refusal semantics</t>
  </si>
  <si>
    <t>T-175</t>
  </si>
  <si>
    <t>MF-04 supervised-outcome training runtime and mandatory simple baseline</t>
  </si>
  <si>
    <t>MF-04 Supervised</t>
  </si>
  <si>
    <t>Implement SupervisedOutcomeModel behind the common runtime: train a mandatory simple baseline first, then a LightGBM tabular candidate for supported binary/multiclass/ordinal/continuous outcomes. Enforce prediction_cutoff/feature availability before training and emit reproducible artifact, holdout and performance metadata. Do not wire registry activation in this task. v2.10.1 SAFE-NOW OUTCOME RULE. During SAFE-NOW work, outcome definitions, prediction points and detection cutoffs are fixture-declared typed contracts only. Do not bind this task to ppiq_app tables, current ml_outcome_definitions rows, presentation outcomes or any physical production schema. Production supervised training consumes the canonical published SM-06 OutcomeDefinition only after its Release 1 binding is certified.</t>
  </si>
  <si>
    <t>Known-answer fixtures cover at least binary and multiclass/ordinal outcomes. Inject a post-cutoff feature and prove training is blocked. The candidate and baseline train on the same sealed snapshot and report comparable metrics plus environment/artifact hashes; no candidate is called champion here. Leakage tests derive cutoff/detection semantics from the typed fixture OutcomeDefinition contract rather than hardcoded product/plant constants. No SAFE-NOW model code contains a production outcome code, canonical grain literal or production detection anchor. The runtime executes completely against sealed in-memory/file fixtures.</t>
  </si>
  <si>
    <t>T-168; T-169</t>
  </si>
  <si>
    <t>2413c6e1 — T-175 MF-04 supervised training runtime and mandatory simple baseline</t>
  </si>
  <si>
    <t>T-176</t>
  </si>
  <si>
    <t>Calibration, explanation stability and three-dimensional promotion kernel</t>
  </si>
  <si>
    <t>Model governance</t>
  </si>
  <si>
    <t>Implement the pure evaluation/promotion decision used by learned models. QUALITY covers discrimination/error, calibration, out-of-time, subgroup/regime stability, missingness robustness and explanation stability. SERVING covers p50/p95/p99, throughput, artifact size, RAM/VRAM and warm-up. TRAINING covers duration, peak memory and snapshot throughput. Include the encoder promotion inequality and TreeSHAP as an initial explanation candidate, not a product contract.</t>
  </si>
  <si>
    <t>A better-discriminating but worse-calibrated challenger is rejected. A model with unstable explanations is rejected. A simpler baseline that falls within the declared lift threshold defeats a costly encoder. Every promotion decision is reproducible from a frozen metrics document and names the failed dimension.</t>
  </si>
  <si>
    <t>T-140; T-187; T-191</t>
  </si>
  <si>
    <t>08b54b61; 0a61ccfb — Calibration/explanation stability/promotion kernel + real TreeSHAP Pack 2</t>
  </si>
  <si>
    <t>T-177</t>
  </si>
  <si>
    <t>Production statistical-method kernel, including Numeric×Categorical</t>
  </si>
  <si>
    <t>Statistics</t>
  </si>
  <si>
    <t>Build the schema-independent statistical kernel that T-146 will later wire into production. Preserve the proven Numeric×Numeric, Binary×Numeric and Categorical×Categorical paths and implement Numeric×Categorical with assumption-aware one-way ANOVA and Kruskal-Wallis fallback. Produce aligned population/group counts, effect size, p-value, q/FDR and explicit exclusion taxonomy. v2.10.1 TRACEABILITY TIGHTENING. Before replacing, retiring or reimplementing any existing statistical path, inspect the current reachable statistical implementations and their behavioural tests/source trace and record the proven behaviour that must be preserved. Known-answer fixtures may be authored first because they are mathematics-only and database-independent; fixture construction does not authorise replacement of an existing path before that source/test trace is available.</t>
  </si>
  <si>
    <t>Known-answer fixtures select the expected method and effect-size family. Assumption violation switches ANOVA to Kruskal-Wallis. Constant input, unsupported pairing and insufficient groups/sample are three distinct terminal reasons. The kernel has no DI registration, DB write or M1 presentation dependency. Existing proven Numeric×Numeric, Binary×Numeric and Categorical×Categorical behaviours are regression-compared against the new kernel after the current implementation/test trace is inspected. Known-answer fixtures independently certify the mathematics. T-177 may begin with fixture construction before source trace is available, but may not close, retire or replace an existing reachable statistical path until the source/test trace has been inspected and parity is evidenced.</t>
  </si>
  <si>
    <t>T-146; T-147</t>
  </si>
  <si>
    <t>502f8ca3; 502e0da9; bb4c5686 — T-177 multi-commit statistical-kernel closure</t>
  </si>
  <si>
    <t>Statistical engines MF-05 / MF-06</t>
  </si>
  <si>
    <t>T-178</t>
  </si>
  <si>
    <t>Pure remediation eligibility and can_accept decision kernel</t>
  </si>
  <si>
    <t>Remediation</t>
  </si>
  <si>
    <t>Implement the nine-check remediation eligibility logic and the complete seven-condition can_accept authority as a pure, table-driven domain service. Return actionable, evidence_only, exploratory or suppressed plus named failed checks. No persistence, UI wiring or plant-control client in this task.</t>
  </si>
  <si>
    <t>One deterministic case fails each check by name; combinations produce the correct final class. can_accept cannot be reconstructed from fewer fields. A safety-check failure always produces suppressed. Static/dependency tests prove the kernel has no customer-source write/control dependency.</t>
  </si>
  <si>
    <t>T-143</t>
  </si>
  <si>
    <t>b8792516; b5dbf232 — remediation eligibility/can_accept kernel + corrective canonical precedence</t>
  </si>
  <si>
    <t>L4.7</t>
  </si>
  <si>
    <t>Prediction, drivers, explainability and remediation candidates</t>
  </si>
  <si>
    <t>T-179</t>
  </si>
  <si>
    <t>Deterministic Assistant tool planner</t>
  </si>
  <si>
    <t>LLM orchestration</t>
  </si>
  <si>
    <t>Implement the deterministic planner between resolved intent/entity context and declared Layer A/Layer B tools. The LLM never chooses tools. The planner is tenant/permission aware, asks on ambiguity, prioritises structured tools for facts and emits an auditable plan object. Build in a new isolated namespace with no current dock wiring.</t>
  </si>
  <si>
    <t>A fixed probe set covers paraphrases, ambiguous entities, permission differences and unsupported intents. Equivalent intents select the same tool set; ambiguity asks rather than guesses; a forbidden tool is never planned. No LLM call occurs during planning.</t>
  </si>
  <si>
    <t>T-138; T-223; T-228</t>
  </si>
  <si>
    <t>d2bf1834 — T-179: deterministic Assistant tool planner</t>
  </si>
  <si>
    <t>L6.2</t>
  </si>
  <si>
    <t>Governed Assistant runtime</t>
  </si>
  <si>
    <t>T-180</t>
  </si>
  <si>
    <t>Permission-first hybrid retrieval and evidence packer</t>
  </si>
  <si>
    <t>LLM grounding</t>
  </si>
  <si>
    <t>Implement hybrid lexical+semantic retrieval/fusion with permission filtering BEFORE ranking, deduplication, tool-result priority, evidence-handle retention and a hard token budget with reserved answer allowance. Truncation is recorded/disclosed. Re-ranking stays behind an optional benchmarked seam for B-08. Isolated module only; no current presentation corpus cutover.</t>
  </si>
  <si>
    <t>A forbidden high-scoring chunk cannot displace an allowed chunk. Duplicate evidence is collapsed without losing handles. A token-overflow fixture records truncation and still preserves higher-priority structured evidence. Run with and without the reranker seam and emit B-07/B-08 measurements.</t>
  </si>
  <si>
    <t>87428c512c6d6d1ca2bf70a6a8b04aadc7a4cc3b — T-180: permission-first hybrid retrieval and deterministic evidence packer</t>
  </si>
  <si>
    <t>T-181</t>
  </si>
  <si>
    <t>Deterministic answer verifier and Q-01..Q-11 evaluation harness</t>
  </si>
  <si>
    <t>LLM verification</t>
  </si>
  <si>
    <t>Implement the post-LLM deterministic verifier plus a fixed Assistant quality harness. Verify numeric claims against supplied evidence handles, forbid claim-class upgrade, preserve engine refusal, distinguish transport failure from abstention and reject unsupported claims without another LLM call. Encode Q-01..Q-11 measurements including tool selection, groundedness, citation correctness, refusal and causal-overreach.</t>
  </si>
  <si>
    <t>Probe answers deliberately contain an uncited number, upgraded causal wording, erased refusal, fabricated handle and transport failure; each is blocked or classified correctly. A valid cited answer passes. Q-01..Q-11 results are machine-readable and reproducible on the fixed probe set.</t>
  </si>
  <si>
    <t>eaa82b8b45fb1fdb4b406abfbe2809c5f6fc9cd5 — T-181: deterministic answer verifier and Q-01..Q-11 evaluation harness</t>
  </si>
  <si>
    <t>L5.8</t>
  </si>
  <si>
    <t>T-182</t>
  </si>
  <si>
    <t>Benchmark harness and result manifest for B-01..B-09</t>
  </si>
  <si>
    <t>AI/ML benchmarks</t>
  </si>
  <si>
    <t>Create the common benchmark runner/result schema for B-01 through B-09. Record hardware/runtime identity, commit, dataset/snapshot hash, parameters, warm-up, repetitions and p50/p95/p99/throughput/memory metrics as applicable. This task creates measurement machinery only; it must not guess production values.</t>
  </si>
  <si>
    <t>Run at least one synthetic smoke benchmark for each B-ID and produce a complete machine-readable result manifest. The harness refuses to publish a 'selected' value without the benchmark inputs/results that justify it. Re-running the same fixture preserves experiment identity and traceability.</t>
  </si>
  <si>
    <t>L8.5</t>
  </si>
  <si>
    <t>Sizing model and calibrated performance constants</t>
  </si>
  <si>
    <t>L4.5; L4.8</t>
  </si>
  <si>
    <t>T-211</t>
  </si>
  <si>
    <t>Aggregation semantics execution kernel with continuous known answers</t>
  </si>
  <si>
    <t>Analytics Engine</t>
  </si>
  <si>
    <t>Aggregation kernel</t>
  </si>
  <si>
    <t>Implement schema-independent aggregation kernels for SampleMean, TimeWeightedMean, Integral, Delta, StateDuration, Count, Min, Max and Last with quality/gap/reset rules and typed refusal. Use controlled fixtures, including irregular sampling, states and counters.</t>
  </si>
  <si>
    <t>Known answers match analytical construction; deliberately irregular data proves SampleMean and TimeWeightedMean differ where expected; state duration and counter reset cases pass; undeclared/invalid semantics refuse AG01/AG02. Zero industry vocabulary and no DB access.</t>
  </si>
  <si>
    <t>T-208; T-210</t>
  </si>
  <si>
    <t>T-212; T-247</t>
  </si>
  <si>
    <t>Kernel isolated</t>
  </si>
  <si>
    <t>T-208 fixture + T-210 frozen contract. No production DI/persistence until consumer hand-off.</t>
  </si>
  <si>
    <t>New analytics kernel/tests only.</t>
  </si>
  <si>
    <t>T-212 consumes this kernel unchanged; W3 does not edit dashboard query files.</t>
  </si>
  <si>
    <t>T-214</t>
  </si>
  <si>
    <t>Performance Reference contract, precedence and scoring-semantics kernel</t>
  </si>
  <si>
    <t>Reference contract</t>
  </si>
  <si>
    <t>Freeze declared Performance Reference kinds, scope precedence, directionality/scoring semantics, effective dating, ambiguity refusal RF01 and deterministic resolution as a schema-independent contract/kernel. No production persistence in this task.</t>
  </si>
  <si>
    <t>Known-answer contract tests cover HigherIsBetter, LowerIsBetter, InsideRange, ClosestToTarget, effective-date resolution and equal-authority ambiguity -&gt; RF01. Runs without production DB access.</t>
  </si>
  <si>
    <t>T-215; T-223; T-232; T-238; T-239; T-264</t>
  </si>
  <si>
    <t>T-209 frozen generic subject contract.</t>
  </si>
  <si>
    <t>Reference contract/resolver tests only.</t>
  </si>
  <si>
    <t>T-232 persists reference authority; consumers do not redefine scoring semantics.</t>
  </si>
  <si>
    <t>T-217</t>
  </si>
  <si>
    <t>Temporal evidence alignment kernel</t>
  </si>
  <si>
    <t>Temporal alignment</t>
  </si>
  <si>
    <t>Build an isolated kernel for source clock adjustment, interval overlap, tolerance windows, incomplete interval handling and TemporalUncertain refusal. It consumes Source Time Authority, not raw timezone assumptions.</t>
  </si>
  <si>
    <t>Known-answer skew/overlap fixtures pass; DST/local-vs-UTC case is aligned only with declared authority; skew beyond tolerance returns TM01/TemporalUncertain rather than conflict. Deterministic repeatability and no DB access.</t>
  </si>
  <si>
    <t>T-208; T-216</t>
  </si>
  <si>
    <t>T-219; T-236</t>
  </si>
  <si>
    <t>New temporal kernel/tests only.</t>
  </si>
  <si>
    <t>T-219 consumes alignment output; does not reimplement clock logic.</t>
  </si>
  <si>
    <t>Provenance, evidence chain, claim guard and refusal integrity</t>
  </si>
  <si>
    <t>T-218</t>
  </si>
  <si>
    <t>Fact Evidence Authority resolution kernel</t>
  </si>
  <si>
    <t>Evidence authority</t>
  </si>
  <si>
    <t>Define/implement fact-specific evidence authority resolution: for each semantic fact, resolve Primary/Supporting/Corroborating sources, quality floor and effective date. No global source ranking and no PLC-is-truth shortcut.</t>
  </si>
  <si>
    <t>Known-answer cases distinguish valve command vs valve feedback, motor electrical state vs production-order fact, and manual declared reason. Same source may be primary for one fact and irrelevant for another. Ambiguous/missing primary authority returns typed evidence-unavailable state.</t>
  </si>
  <si>
    <t>T-219</t>
  </si>
  <si>
    <t>New evidence-authority contracts/kernel/tests.</t>
  </si>
  <si>
    <t>T-219 consumes authority result; no source priority duplicated elsewhere.</t>
  </si>
  <si>
    <t>Operational Evidence Reconciliation kernel and seven-state taxonomy</t>
  </si>
  <si>
    <t>Reconciliation</t>
  </si>
  <si>
    <t>Reconcile independently sourced assertions over the same aligned interval using temporal result, evidence quality and fact authority. Output Aligned, PartiallyAligned, MissingEvidence, TemporalUncertain, ConflictingEvidence, LikelyMisclassified or Unresolved with discrepancy evidence. For September, the kernel also emits the standard governed Finding/analysis-result projection with evidence handles so existing generic surfaces can consume it without a new persistence schema.</t>
  </si>
  <si>
    <t>Historical manual/business/machine fixture for the same calendar window produces predeclared states; missing machine/business evidence refuses classification; temporal-uncertain case never becomes conflict. No operator/person identity or intent field exists. The standard governed result projection is deterministic and carries the reconciliation state, evidence handles and causal-confidence input required by T-222/T-223.</t>
  </si>
  <si>
    <t>T-217; T-218; T-236</t>
  </si>
  <si>
    <t>T-220; T-221; T-222; T-223</t>
  </si>
  <si>
    <t>New reconciliation kernel/tests only.</t>
  </si>
  <si>
    <t>T-220 adds claim confidence; T-221 persists output after canonical/security hand-off.</t>
  </si>
  <si>
    <t>T-220</t>
  </si>
  <si>
    <t>Causal Confidence Ladder and root-cause hypothesis evaluator</t>
  </si>
  <si>
    <t>Claim governance</t>
  </si>
  <si>
    <t>Implement L0 Observed Fact, L1 Discrepancy, L2 Statistical Association, L3 Temporally Supported Hypothesis, L4 Mechanistically Supported Hypothesis, L5 Confirmed Cause. L5 requires governed external/human confirmation; language cannot upgrade level.</t>
  </si>
  <si>
    <t>Known cases land at each level for the exact evidence reasons. Removing confirmation downgrades L5. A test fails any phrase/API mapping that calls L2-L4 'confirmed root cause'. Output carries what evidence is missing for the next level.</t>
  </si>
  <si>
    <t>T-221; T-222; T-223</t>
  </si>
  <si>
    <t>Claim-confidence kernel/tests only.</t>
  </si>
  <si>
    <t>T-221/T-223 consume stored level; UI/LLM never re-derive it.</t>
  </si>
  <si>
    <t>Truth contracts and claim boundaries</t>
  </si>
  <si>
    <t>T-221</t>
  </si>
  <si>
    <t>Canonical reconciliation persistence, evidence handles and bindable source</t>
  </si>
  <si>
    <t>Reconciliation persistence</t>
  </si>
  <si>
    <t>Persist reconciliation_cases/reconciliation_evidence under tenant/RLS authority, semantic manifest and evidence handles; register reconciliation as a bindable intelligence source so D1/D4/Assistant use the same evidence path.</t>
  </si>
  <si>
    <t>Insert/replay a case with two evidence sources, time state and L0-L5 level; tenant isolation/RLS passes; evidence handles resolve; registry binding returns typed columns; history is immutable when a later case/version is computed.</t>
  </si>
  <si>
    <t>T-112; T-114; T-090; T-095; T-096; T-219; T-220; T-233</t>
  </si>
  <si>
    <t>DB/integration</t>
  </si>
  <si>
    <t>T-112 + T-114 + T-090 + T-095/T-096 + T-219 + T-220. If security hand-off is not green, remain on pure-kernel evidence and do not create insecure tables.</t>
  </si>
  <si>
    <t>Reconciliation persistence/registry/evidence only.</t>
  </si>
  <si>
    <t>Post-demo canonical convergence. T-222/T-223 must not wait for this table and must not invent a temporary persistence schema.</t>
  </si>
  <si>
    <t>T-223</t>
  </si>
  <si>
    <t>Grounded Assistant tool for reconciliation and Performance Reference explanation</t>
  </si>
  <si>
    <t>Assistant</t>
  </si>
  <si>
    <t>Industrial investigation</t>
  </si>
  <si>
    <t>Add deterministic Assistant tool/result contracts that retrieve reconciliation, Performance Reference and transition/stabilisation evidence, state the strongest supported hypothesis and its causal-confidence level, and explain what evidence is missing. Consume CompareOperationalPeriods from T-237 when available, without making T-237 a blocker for the core reconciliation answer.
v2.20.0 ASSISTANT CONVERGENCE — retire/replace any legacy tool that derives a material-specific KPI directly from public.canonical_material_units. KPI/measure tools resolve governed registry measures, Analysis Subject and evidence handles. Page context binds to canonical Page Definition identity when available, and snapshot/tool evidence carries the active governed filter context rather than an unconditional empty object.</t>
  </si>
  <si>
    <t>Golden questions include 'why was equipment unavailable?', 'what conflicts with the recorded reason?', 'how far are we from the declared reference?'. Numeric claims resolve to evidence; missing evidence refuses; causal overreach and 'operator lied' language fail deterministic verification. Ask the same KPI/explanation question against two customer-shaped subjects with no product-code edit; both resolve through governed measure/subject authority. Static/runtime checks show no material-specific table in Assistant tool contracts. A nested/detail route resolves the correct Page Definition identity, and an active filter is present in the resulting evidence context.</t>
  </si>
  <si>
    <t>T-179; T-180; T-181; T-214; T-219; T-220</t>
  </si>
  <si>
    <t>Assistant integration</t>
  </si>
  <si>
    <t>T-179/T-180/T-181 CLOSED + T-214 + T-219/T-220. No canonical persistence dependency for September explanation.</t>
  </si>
  <si>
    <t>Assistant tool/evidence pack/verifier only; current dock UI remains Worker-2 owned.</t>
  </si>
  <si>
    <t>T-221 later swaps persistence behind the same evidence contract; Assistant tool does not redesign.</t>
  </si>
  <si>
    <t>L10.3; L9.1</t>
  </si>
  <si>
    <t>T-234</t>
  </si>
  <si>
    <t>Operational Transition and Stabilisation contract/kernel</t>
  </si>
  <si>
    <t>Analytics Core</t>
  </si>
  <si>
    <t>Process regime semantics</t>
  </si>
  <si>
    <t>Define the generic transition/stabilisation contract used by all industries: customer-declared transition kind/scope, from/to context, stabilisation basis (Time/SubjectCount/Condition/None), regime classification Stable/Transition/Stabilising/Mixed/Unknown and RG01 refusal. No industry vocabulary and no production DB migration.</t>
  </si>
  <si>
    <t>Known-answer fixture contains a transition, a declared stabilisation window and stable operation. The kernel classifies all five regime states, boundary cases and RG01 deterministically. Removing or moving the declared stabilisation boundary changes only the expected governed classification, never hidden heuristics.</t>
  </si>
  <si>
    <t>T-208; T-209</t>
  </si>
  <si>
    <t>T-212; T-235; T-236</t>
  </si>
  <si>
    <t>New generic transition/stabilisation contract/tests only.</t>
  </si>
  <si>
    <t>T-235 persists unchanged contract; T-236 consumes it without redefining semantics.</t>
  </si>
  <si>
    <t>T-236</t>
  </si>
  <si>
    <t>Transition-aware aggregation, statistics and reconciliation guard</t>
  </si>
  <si>
    <t>Implement the schema-independent regime segmentation/eligibility guard consumed by interval aggregation, statistics, practice and reconciliation. Given governed interval segments + T-234 transition context, steady-state analysis partitions/excludes Transition/Stabilising; Mixed without authored policy refuses RG01; every guarded result carries regime state and overlap evidence. Production widget integration is T-212; this kernel does not wait for canonical persistence.</t>
  </si>
  <si>
    <t>Controlled fixture proves naive pooled analysis sees the planted ramp-up effect while governed steady-state analysis does not misattribute it. TimeWeightedMean clips at regime boundaries where required. Reconciliation sees transition context as evidence, never as automatic cause.</t>
  </si>
  <si>
    <t>T-217; T-234</t>
  </si>
  <si>
    <t>T-212; T-219</t>
  </si>
  <si>
    <t>Kernel/integration</t>
  </si>
  <si>
    <t>Analytics/reconciliation kernels only.</t>
  </si>
  <si>
    <t>T-219 consumes the guard; consumers must not bypass RG01.</t>
  </si>
  <si>
    <t>L4.2; L10.3</t>
  </si>
  <si>
    <t>T-237</t>
  </si>
  <si>
    <t>Operational Period Driver Decomposition exact API and evidence tool</t>
  </si>
  <si>
    <t>Backend / BI</t>
  </si>
  <si>
    <t>Exact period comparison</t>
  </si>
  <si>
    <t>Implement Layer-A CompareOperationalPeriods over two governed periods/scopes. Return exact A/B/delta metrics plus transition count/duration, stabilisation exposure, stable-run/sequence length, stopped and production-impact minutes, yield/scrap, energy and any further registry-backed exact measures with evidence handles. No causal claim and no assumption-based money.</t>
  </si>
  <si>
    <t>Known-answer periods reproduce exact deltas from source rows. Every numeric field has evidence; missing metrics are explicit unavailable/refused. The same query works for discrete and continuous fixtures. The Assistant tool adapter consumes this result without recalculating values.</t>
  </si>
  <si>
    <t>T-092; T-235</t>
  </si>
  <si>
    <t>T-164</t>
  </si>
  <si>
    <t>Backend/API integration</t>
  </si>
  <si>
    <t>T-092 + T-235; can run in parallel with T-222 on separate files.</t>
  </si>
  <si>
    <t>Layer-A period comparison API/evidence only.</t>
  </si>
  <si>
    <t>T-138/T-164 may consume the stable contract; neither may duplicate calculations.</t>
  </si>
  <si>
    <t>L10.2</t>
  </si>
  <si>
    <t>Period driver decomposition</t>
  </si>
  <si>
    <t>T-112</t>
  </si>
  <si>
    <t>P5</t>
  </si>
  <si>
    <t>Force RLS on every tenant-owned table with an architecture test</t>
  </si>
  <si>
    <t>Security</t>
  </si>
  <si>
    <t>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
v2.20.0 EVIDENCE CORRECTION — T-251's generated catalogue defines the tenant-owned table set; T-252 supplies the disposable certification database. Retire any vacuous tenant-isolation 'proof' that does not execute database behavior.</t>
  </si>
  <si>
    <t>A query listing tenant-owned tables without a policy returns zero rows. Add a new tenant table in a branch and confirm the architecture test goes red before it is merged. Execute a two-tenant behavioral proof from the database layer alone: tenant A can read/write its allowed row, cannot read/write tenant B, and an unscoped session is refused according to policy. The existing Assert.True(true)-style proof is removed or excluded from release evidence. The test must fail under a deliberate RLS-policy removal negative control.</t>
  </si>
  <si>
    <t>T-087; T-088; T-251; T-252</t>
  </si>
  <si>
    <t>T-122; T-128; T-129; T-130; T-135; T-183; T-184; T-185; T-187; T-195; T-198; T-221; T-230</t>
  </si>
  <si>
    <t>M2-P5</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</si>
  <si>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T-087/T-088 canonical migration authority available; establish FORCE RLS guar...</t>
  </si>
  <si>
    <t>Critical hand-off: after T-089..T-105 + T-112/T-114 are committed, W3 may open T-183/T-195/T-128 lane.</t>
  </si>
  <si>
    <t>Release Hardening &amp; Week-1 Production Acceptance</t>
  </si>
  <si>
    <t>M2 P5 — Release Hardening &amp; Week-1 Production Acceptance. Release 1 is genuine early production / first-week customer work.</t>
  </si>
  <si>
    <t>L7.2</t>
  </si>
  <si>
    <t>Tenant isolation</t>
  </si>
  <si>
    <t>T-113</t>
  </si>
  <si>
    <t>Secret and configuration hygiene</t>
  </si>
  <si>
    <t>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 AUDIT HARDENING IN v2.9.2. Do not stop at deleting today's literals. Make environment separation structural: Production must reject demo/test/bootstrap users, development signing keys, presentation-only source/database defaults and hardcoded host fallbacks. Local, test and presentation conveniences remain available only through explicitly selected non-Production profiles; the same deployable artifact moves environments.
v2.20.0 REVIEW ADDENDUM — remove the dead PPIQ_RUN_E2E runtime-env knob now that canonical Jenkins E2E is unconditionally blocking. Production administration must require MFA by default (or require an explicit, auditable production exception); Release-1 evidence must include one MFA-enabled admin path.
v2.22.0 — Enforce release-profile secret/configuration and unsafe legacy route boundary. Secrets only through references; reject/migrate secret-bearing options, protect logs/backups; release profile disables bootstrap defaults, seeds/dev minting and hand-entered-outcome runtime exposure.</t>
  </si>
  <si>
    <t>A secret scan across the repository returns no live credential. Generate an audit package and confirm secrets are masked. Confirm the E2E stack still runs with credentials supplied from the environment. Add a fail-closed Production configuration test that deliberately injects a bootstrap admin, a known demo/test credential marker, a development signing key and a presentation/local host fallback one at a time; each must stop startup or fail the configuration gate by name. A clean Production profile passes with all required values externally supplied. Confirm no executable production/runtime script supplies the retired server IP as a fallback. Confirm PPIQ_RUN_E2E is absent from runtime profile generation. A Production profile with privileged-admin MFA disabled fails the configuration gate unless an explicit governed exception fixture is supplied. Run one privileged-admin E2E path with MFA enabled.
v2.22.0 — Harmless sentinel round trip on create/update/get/list and logs; test setup failures fail tests; no secrets in profile row/response/log; no demo seed on production path; release-profile negative probes for dev/legacy routes; secret-scan evidence without printing secrets.</t>
  </si>
  <si>
    <t>T-122; T-200</t>
  </si>
  <si>
    <t>Use the accepted M1 regression baseline; require empty index and clean owned paths, preserving unrelated user work. Then: Release 1 dependency order</t>
  </si>
  <si>
    <t>L7.5</t>
  </si>
  <si>
    <t>Secret and credential management</t>
  </si>
  <si>
    <t>T-114</t>
  </si>
  <si>
    <t>Tenant keys, tenant-aware uniqueness and canonical namespace on new APIs</t>
  </si>
  <si>
    <t>Apply tenant keys and tenant-aware uniqueness to every table introduced in M1 and Release 1, and put every new endpoint on the canonical namespace from the outset so the migration does not have to catch up with new work.</t>
  </si>
  <si>
    <t>Insert the same natural key for two tenants and confirm both persist. A test asserting every endpoint added after this date matches the canonical domain pattern.</t>
  </si>
  <si>
    <t>T-087; T-089; T-090; T-095; T-099</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</si>
  <si>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T-087 + T-089/T-090 + T-095/T-099 canonical Release 1 tables available; establish t...</t>
  </si>
  <si>
    <t>T-115</t>
  </si>
  <si>
    <t>Fresh-install Rule 2 acceptance test, ephemeral</t>
  </si>
  <si>
    <t>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
v2.22.1 — Own the bounded backend acceptance-hygiene follow-up reported in the 04-Sep audit: first inspect the current T-210 fixture and the named migration byte-order marks, then fix only reproduced issues. Reuse T-252 disposable-DB policy and T-259 evidence envelope; do not reopen their proven closures. The inherited DefinitionKind mismatch reported with T-099 is a separate test-authority convergence obligation, not a T-099 regression.</t>
  </si>
  <si>
    <t>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
v2.22.1 — Verify actual current file bytes before calling the historical five-BOM finding still present; keep before/after hashes when a byte repair is required. A local intentionally absent external probe may skip only with the approved named reason; Release-1 certification provisions its own disposable database and a missing fixture is RED, never a passing skip. Reconcile the inherited DefinitionKind assertion with the current canonical kind authority and assert all required members rather than merely deleting or weakening the test. Keep T-099 closed; full-release GREEN remains forbidden while its independently tracked known-red or canonical replay limitations remain unresolved.</t>
  </si>
  <si>
    <t>Inherited baseline estimate v2.22.1 acceptance/ownership clarification; owner to review planning impact.</t>
  </si>
  <si>
    <t>T-119</t>
  </si>
  <si>
    <t>Eight-role catalogue convergence, one-to-one wire mapping and three enforcement layers</t>
  </si>
  <si>
    <t>Users and roles</t>
  </si>
  <si>
    <t>FormalPlantRole already contains the enterprise catalogue. Converge the shipped contract rather than rebuilding the model: one canonical external identity per formal role, fail-closed parsing of unknown values, generated/typed frontend role vocabulary, and enforcement at API, query/data and UI layers. Preserve the three-role minimum as the smallest legal customer configuration. Extend FormalRoleAccessMatrix rather than creating a second role list. Unknown roles must never silently downgrade to Viewer.</t>
  </si>
  <si>
    <t>A matrix test asserts every formal role against every capability at API, query/data and UI layers. Every enum member has one stable wire identity; round-trip role→wire→role is lossless. Unknown role text is refused, not mapped to Viewer. The frontend compiles against a closed/generated role union rather than '| string'. Confirm a viewer cannot author SQL at any licence tier, and CEO/Executive distinctions remain explicit where the catalogue defines them.</t>
  </si>
  <si>
    <t>T-121; T-197; T-198; T-200</t>
  </si>
  <si>
    <t>L7.1</t>
  </si>
  <si>
    <t>Users, roles, permissions, MFA and enterprise identity</t>
  </si>
  <si>
    <t>T-120</t>
  </si>
  <si>
    <t>Users and Roles administration surface</t>
  </si>
  <si>
    <t>Build the F1 Users and Roles page from Chapter 3 4.4 with the ten-field page contract. The code itself records that Users and Roles and System Health are missing from the UI.</t>
  </si>
  <si>
    <t>Create, edit, disable and re-enable a user, and change a role assignment, entirely through the interface. Confirm the audit layer records each change.</t>
  </si>
  <si>
    <t>Chapters 3/4 v4.10.3 — MD + illustrated Word; UI Coverage / UI Controls in this workbook
v2.23.0 — T-265 covers only the existing M2 user/role safety slice; T-267 covers deferred administration depth. Render permissions/refusals from the current canonical role contract.</t>
  </si>
  <si>
    <t>T-121</t>
  </si>
  <si>
    <t>Licence and entitlement enforcement</t>
  </si>
  <si>
    <t>Licence</t>
  </si>
  <si>
    <t>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
v2.10.2 PAGE-COVERAGE EXPANSION — this owner also delivers the required F3 Authoring Quota and Limits route /admin/quota. F2 shows licence/entitlement and total meters; F3 allocates authoring quotas by role/user with current consumption, Amber at &gt;=80%, create disabled at 100%, and no lost draft.
v2.20.0 TRUST-ROOT RULING — production licence issuance/signing authority is vendor-side. Customer databases contain verification/public-key material and licence artifacts, not a production private signing key capable of minting a valid licence. Any development-only local signing key is explicitly non-production and either truly encrypted at rest or stored under a truthful non-encrypted name; an `_encrypted` column may not contain raw PEM.
v2.22.0 — Preserve vendor-only signing and existing F2/F3 quota ownership. Remove shadow ILicenseService registrations; dev signing storage/naming truthful and non-production.</t>
  </si>
  <si>
    <t>Exceed a meter and confirm the import queues and the job waits for a slot rather than failing. Confirm the customer can see their own approach to each meter in the interface, since a limit the customer cannot see is a trap.
In addition to licence-meter tests, open /admin/quota, change one role quota and one user override, approach 80% and 100%, and prove warning/disable semantics plus audit. Non-admin roles are denied by the final page contract. Issue a production-shaped licence outside the customer database, verify it on the customer installation, tamper and prove refusal. Prove the customer database alone cannot mint a valid production licence. Inspect signing-key persistence and prove no raw private PEM is stored in a field/schema claiming encryption.
v2.22.0 — Exactly one effective registration; valid/tampered/expired licenses; no production signing secret; dev mint endpoint denied/unmapped in release profile; keep quota 80%/100%, role/user override and no lost draft acceptance.</t>
  </si>
  <si>
    <t>T-127</t>
  </si>
  <si>
    <t>Use the accepted M1 regression baseline; require empty index and clean owned paths, preserving unrelated user work. Then: T-119 role catalogue/enforcement + licence authority.</t>
  </si>
  <si>
    <t>L7.3</t>
  </si>
  <si>
    <t>Licence and feature entitlement</t>
  </si>
  <si>
    <t>L7.4</t>
  </si>
  <si>
    <t>Chapters 3/4 v4.10.3 — MD + illustrated Word; UI Coverage / UI Controls in this workbook
v2.23.0 — Use T-265 for existing M2 licence/quota states and T-267 for full administration depth. Entitlement, role and runtime capability are different inputs; no drawing enables a capability.</t>
  </si>
  <si>
    <t>T-123</t>
  </si>
  <si>
    <t>Install package, migration runner, upgrade and rollback</t>
  </si>
  <si>
    <t>Infrastructure</t>
  </si>
  <si>
    <t>Deployment</t>
  </si>
  <si>
    <t>Build the fresh installation and upgrade paths from Chapter 6 6.1.4, including what an upgrade may never do, and a rollback path. Migration runs as a deployment step rather than as a manual action. Explicitly own in-place upgrade of a long-lived installation: canonical migration ledger/watermark continuity, upgrade from an older valid schema without rebuild, rollback boundary, and reconciliation of a development DB whose migration ledger is missing/stale. Do not conflate populated plant data with migration-ledger correctness.
v2.20.0 DEPLOYMENT HARDENING — Release-1 production containers run with explicit non-root runtime users, and customer/public hostnames/IPs come from selected configuration profiles; executable install/smoke scripts have no legacy-server IP fallback. Do not wait for M3 isolated-ML container work to establish these minimum production properties.
v2.22.0 — Keep deterministic install/upgrade/rollback. Production schema migration and demo/presentation seed authorities are separated; operational profile values are external to product source.</t>
  </si>
  <si>
    <t>Install on a clean machine, upgrade from the previous version, then roll back. All three complete without manual database intervention. Run the fourteen post-deployment acceptance checks from 6.1.4.6. Clone an older populated installation, upgrade it in place through the canonical runner, prove schema_migrations/EF history records the executed path, preserve customer rows, and prove rollback/failed-upgrade recovery without substituting a fresh empty database. Inspect every Release-1 runtime image and prove its effective UID is non-root. Provision two different host/domain profiles without editing repository files and complete install/upgrade/smoke on both. A missing required production host value fails configuration rather than falling back to the historical server.
v2.22.0 — Fresh production install has no demo/customer facts, no automatic presentation seed, external host/secret config, and restart/upgrade/rollback proof. Non-root process/container checks apply to the deployment profile actually shipped.</t>
  </si>
  <si>
    <t>T-122; T-150</t>
  </si>
  <si>
    <t>Infrastructure/deployment</t>
  </si>
  <si>
    <t>L8.3</t>
  </si>
  <si>
    <t>T-124</t>
  </si>
  <si>
    <t>Backup with a tested restore acceptance procedure</t>
  </si>
  <si>
    <t>Backup</t>
  </si>
  <si>
    <t>Chapter 6 6.1.11 requires not just backup but a tested restore acceptance procedure with a consistency rule. Implement schedule, retention, encryption and the restore rehearsal.</t>
  </si>
  <si>
    <t>Perform a real restore into a clean environment and run the acceptance procedure against it. A backup that has never been restored does not count as a backup.</t>
  </si>
  <si>
    <t>T-150; T-199</t>
  </si>
  <si>
    <t>L8.7</t>
  </si>
  <si>
    <t>Backup, restore, PITR, DR and HA</t>
  </si>
  <si>
    <t>T-125</t>
  </si>
  <si>
    <t>Minimum monitoring, health and alerting</t>
  </si>
  <si>
    <t>Monitoring</t>
  </si>
  <si>
    <t>Implement the minimum from Chapter 6 6.1.12 required to operate a soft test: per-component metrics, alert severity and escalation, and the operational dashboard. Full observability and SLOs are M3.
v2.20.0 OPERABILITY FLOOR — establish one named health-check/operational status authority for API, database and job execution rather than proliferating ad-hoc health routes. Every executable job family emits a non-null run/correlation identity. Minimum Release-1 metrics include running/queued count, oldest queue age, wait time, runtime, failure/refusal count and configured worker-pool utilisation. Full SLO/OpenTelemetry-scale observability remains T-163.</t>
  </si>
  <si>
    <t>Trigger each alert condition deliberately and confirm it fires with the correct severity and reaches the configured channel. Execute jobs through at least two families and prove every log/diagnostic row carries the same non-null run identity end-to-end. Induce queue saturation and show queued count/oldest age/wait time and pool utilisation change predictably. A component failure changes the canonical health state and alert; duplicate feature-specific /health routes are not required as separate authorities.
v2.22.1 — The existing operational API/log projection exposes durable batch outcome, error/code, progress/counts and last committed cursor for B4, with run/batch correlation and tenant scoping. T-101 owns the consuming UI. No view computes a replacement status from message text. Final T-247/T-150 evidence joins UI observation to these source facts.</t>
  </si>
  <si>
    <t>T-106; T-107</t>
  </si>
  <si>
    <t>L8.6</t>
  </si>
  <si>
    <t>Monitoring, observability, health and readiness</t>
  </si>
  <si>
    <t>L1.7</t>
  </si>
  <si>
    <t>Chapters 3/4 v4.10.3 — MD + illustrated Word; UI Coverage / UI Controls in this workbook
v2.23.0 — T-265 receives the frozen B4/B5 operational payload. Preserve T-101 UI versus T-125 API/metrics ownership already assigned in v2.22.1; prototype figures never replace persisted evidence.</t>
  </si>
  <si>
    <t>T-126</t>
  </si>
  <si>
    <t>Support runbook and UAT dataset and configuration import</t>
  </si>
  <si>
    <t>Documentation</t>
  </si>
  <si>
    <t>Handover</t>
  </si>
  <si>
    <t>Write the runbook the customer's own operator will follow, and build the path to import the customer's UAT dataset and configuration. Include the operator, data engineer and administrator sections.</t>
  </si>
  <si>
    <t>A person who has not worked on the project commissions a site and completes one import following only the runbook. Every step they had to ask about is a defect in the runbook.</t>
  </si>
  <si>
    <t>AI documentation/static analysis</t>
  </si>
  <si>
    <t>L7.8</t>
  </si>
  <si>
    <t>Sales Administration and sales-to-engineering handover</t>
  </si>
  <si>
    <t>Release 1 final production gate: Day-1 workbench, BI, OPC, intelligence and hardening</t>
  </si>
  <si>
    <t>CI/CD</t>
  </si>
  <si>
    <t>Final Release-1 production gate. It does not rely on a hand-maintained dependency closure as the completeness definition. At execution time enumerate every Backlog row with Milestone Id=M2 and Release Criticality='Release 1 MUST'; require each to have current closure evidence and its owning acceptance green/replayable. Then execute Day-1 workbench, enterprise BI, production OPC, industrial intelligence, security/admin/install/recovery and clean frontend/CI truth gates. The Depends-On column remains sequencing hints, not the authoritative Release-1 completeness set.</t>
  </si>
  <si>
    <t>Gate fails if ANY M2 Release-1-MUST task is not closed with evidence, even when it is absent from the direct dependency list. Prove the enumerated task count equals the workbook's current Release-1-MUST count. Execute real frontend/backend gates: enumeration-only --list commands cannot satisfy execution acceptance; no catchError/forced-success path may turn a failing required suite green. Day-1 Golden Journey, fresh-install/upgrade, RLS/roles/licence, OPC runtime, BI interaction, evidence/Assistant, backup/recovery and database zero-unknown catalogue checks must all be green before Release 1 is certified. The single machine-readable current-HEAD artifact records executed test counts and skipped counts; Release-1 required suites have zero unapproved skips. Any script named or consumed as a gate/validator executes its tests rather than merely enumerating them. If an audit package is attached to release evidence, it is generated in external-safe masked mode.</t>
  </si>
  <si>
    <t>T-115; T-123; T-124; T-125; T-126; T-205; T-207; T-212; T-215; T-222; T-223; T-226; T-227; T-247; T-250; T-251; T-252; T-253; T-254; T-255; T-256; T-257; T-258; T-259</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</si>
  <si>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T-192 + T-148 exact route/shell inventory + T-194 API-alias retirement + all ...</t>
  </si>
  <si>
    <t>T-150 only after W2/W3 component freeze; route failures back to owning agent.</t>
  </si>
  <si>
    <t>Final Release 1 gate. Fixes go back to the exclusive owning task/agent; T-150 owner does not edit other agents' feature files.</t>
  </si>
  <si>
    <t>CENTRAL 04-Sep-2026: T-150 release completeness is generated from Release Criticality, not inferred from transitive Depends-On. A green T-150 with any Release-1-MUST row unproven is mechanically impossible.</t>
  </si>
  <si>
    <t>Certify</t>
  </si>
  <si>
    <t>T-227</t>
  </si>
  <si>
    <t>Release 1 production acceptance scorecard and evidence policy</t>
  </si>
  <si>
    <t>Pilot governance</t>
  </si>
  <si>
    <t>Define the Release-1 production acceptance scorecard before final certification: Day-1 workbench completion, source truth, Canvas/Job usability, BI reliability, OPC read-only proof, evidence/Assistant correctness, minimum security, recovery and support criteria. Consume the frozen T-259 Release Evidence Envelope v1 contract. T-227 owns acceptance criteria, evidence ownership, measurement definitions, approved/not-applicable skip policy and release pass/fail policy; it does NOT own or redefine the common envelope schema.</t>
  </si>
  <si>
    <t>The scorecard is versioned before final certification and every criterion has an evidence owner, measurement and pass/fail rule. Validate that T-252-shaped DB evidence and T-257-shaped frontend evidence conform directly to T-259 envelope v1 without field translation. The scorecard may impose stricter policy on producer fields, but it must not rename common fields, change contract_version or alter T-259 count invariants.</t>
  </si>
  <si>
    <t>T-213; T-259</t>
  </si>
  <si>
    <t>Documentation / governance</t>
  </si>
  <si>
    <t>Prepare before installation; can start after customer data assessment T-213.</t>
  </si>
  <si>
    <t>Pilot documentation/evidence scorecard only.</t>
  </si>
  <si>
    <t>Site/engineering teams later fill measured values; criteria are not rewritten after results are known without an audited amendment.</t>
  </si>
  <si>
    <t>T-255</t>
  </si>
  <si>
    <t>Repository authority and audit-truth hygiene ratchet</t>
  </si>
  <si>
    <t>Tooling</t>
  </si>
  <si>
    <t>Repository governance / audit truth</t>
  </si>
  <si>
    <t>Establish a forward-clean source authority without mass-renaming historical implementation. Create a root allowlist; remove tracked transient pack payload/run-state files; normalise accidental blank-line-inflated source files; retain one current audit-generator authority and archive older generations; classify runtime/current vs test/tool/backup/generated scanner hits so executive severity is not self-referential. Add a forward filename gate that rejects new task-ID-named implementation/test/tool files while grandfathering the measured legacy set for opportunistic semantic rename.</t>
  </si>
  <si>
    <t>Root allowlist returns zero unexpected tracked artifacts. No tracked *_state.json or stale pack payload remains. No ordinary source file exceeds 60% blank lines unless explicitly fixture/generated-allowlisted. Audit rerun does not count its own regex definitions, backup Jenkinsfiles or generated Playwright assets as current runtime CRIT. Negative control adding a new task-ID implementation filename makes the hygiene gate red.</t>
  </si>
  <si>
    <t>T-205; T-250</t>
  </si>
  <si>
    <t>Run after T-106 or on a disjoint tooling-only lane; no runtime feature mutation.</t>
  </si>
  <si>
    <t>Root/tooling/audit generator/architecture hygiene tests only. Do not rename or edit Worker-1/2 runtime feature files.</t>
  </si>
  <si>
    <t>Legacy task-ID filenames are grandfathered, not mass-renamed. Future tasks consume the forward gate.</t>
  </si>
  <si>
    <t>Created from merged v1/v2 Developer-persona review; source authority, not cosmetic cleanup.</t>
  </si>
  <si>
    <t>NO-CAP — Execution Tooling</t>
  </si>
  <si>
    <t>Execution tooling / implementation instrument — no product capability</t>
  </si>
  <si>
    <t>No Capability</t>
  </si>
  <si>
    <t>No maturity change</t>
  </si>
  <si>
    <t>T-257</t>
  </si>
  <si>
    <t>Frontend execution-truth and release-profile skip-zero gate</t>
  </si>
  <si>
    <t>Test / release truth</t>
  </si>
  <si>
    <t>Close the remaining frontend test-truth gap without reopening T-205/T-250. Any script named/used as a gate or validator executes the relevant tests; enumeration-only `--list` commands are named inventory tools and cannot satisfy acceptance. The Release-1 profile records executed/skipped counts and permits zero unapproved runtime-conditional skips. Generated Playwright report assets are not tracked as source/audit inputs.</t>
  </si>
  <si>
    <t>Induce a failing frontend/visual/accessibility/E2E test and prove every configured release gate returns non-zero. Static gate finds no `--list` in scripts classified as gate/validate/acceptance. Release profile produces machine-readable executed and skipped counts with zero unapproved skips; deliberately missing seed/env causes a red prerequisite, not a green skipped spec. Generated report directories are ignored/excluded and do not contribute audit TODO/CRIT signals.
Emit frontend/unit/E2E execution and skip counts using the canonical T-259 Release Evidence Envelope v1 fields. T-257 owns frontend skip policy and producer implementation only; it does not redefine the shared envelope.
Producer contract is T-259 Release Evidence Envelope v1. T-257 may add frontend/E2E-specific extension fields but may not rename/redefine common fields.</t>
  </si>
  <si>
    <t>T-205; T-250; T-259</t>
  </si>
  <si>
    <t>T-150; T-248</t>
  </si>
  <si>
    <t>Run on frontend test/config/report files only after current authoring lane reaches a clean handoff; no product feature scope.</t>
  </si>
  <si>
    <t>Frontend package/test configs/gate scripts/generated-report hygiene only.</t>
  </si>
  <si>
    <t>T-150 consumes this machine-readable release truth; T-248 later extends enterprise visual parity, not test-runner semantics.</t>
  </si>
  <si>
    <t>Created because the 08-Sep audit still has real --list enumeration signals outside the canonical blocking Jenkins stages.</t>
  </si>
  <si>
    <t>T-110</t>
  </si>
  <si>
    <t>M3</t>
  </si>
  <si>
    <t>Bounded delta execution: chunks, resume, deterministic merge and scan budgets</t>
  </si>
  <si>
    <t>Implement Chapter 4 5.3.9.6a: bounded chunks with receipts, checkpoint and resume after interruption, and a deterministic merge so a resumed run produces the same result as an uninterrupted one.
v2.22.0 — Absorb T-111 runtime scan-budget enforcement: bounded row/byte chunks, receipts, checkpoint/resume, deterministic merge, explicit scan mode, cumulative scan budget and abort/finding. T-155 owns calibrated constants/Scan Amplification bands; T-159 owns C1-C4 certification. M2 T-108/T-109 must still deliver safe bounded delta execution and replay; moving advanced chunk machinery does not waive Day-1 source limits or safe cancellation.</t>
  </si>
  <si>
    <t>Kill a running job at 60 percent, restart it, and confirm the final result is byte-identical to an uninterrupted run over the same input.
v2.22.0 — Record a baseline, then deliberately remove a delta scope and confirm the gate goes red. Restore and confirm green. Prove chunk parallelism 1 vs 8 business output parity; abort above cumulative scan budget; uncommitted chunk rolls back; resumes exactly from committed receipts; preserved input/version pins.</t>
  </si>
  <si>
    <t>T-108; T-109</t>
  </si>
  <si>
    <t>T-249</t>
  </si>
  <si>
    <t>M3: 45 days after M2 completion</t>
  </si>
  <si>
    <t>Release 2 MUST</t>
  </si>
  <si>
    <t>M3-P1</t>
  </si>
  <si>
    <t>Consume accepted producer contracts; remaining dependencies: T-108; T-109. No private scheduler/definition authority. Source-present is not closure proof.</t>
  </si>
  <si>
    <t>Scale &amp; OT Resilience</t>
  </si>
  <si>
    <t>R2</t>
  </si>
  <si>
    <t>T-122</t>
  </si>
  <si>
    <t>Container architecture and configuration profiles, including isolated ML runtimes</t>
  </si>
  <si>
    <t>Implement the Chapter 6 container/profile architecture and include the frozen AI runtime split: ppiq-worker for ordinary batch work including ml.batch_scoring, ppiq-ml-train for ml.training, and ppiq-ml-online for hard-reserved online scoring only. Keep assistant serving behind ModelServingRuntime/model gateway. No training module may be imported by the online container. Preserve the same signed application artifact and profile-driven deployment.
v2.20.0 CONTAINER BASELINE — all production runtime images, including isolated ML images, inherit/retain explicit non-root runtime users and profile-only secret/config injection. No training/online image bakes customer credentials or signing material.</t>
  </si>
  <si>
    <t>Bring up each profile from a clean machine. Prove ppiq-ml-online admits online scoring only, has a warm-model readiness check, and fails a dependency test if a trainer module is imported. Prove training/batch saturation cannot consume the online reservation. All existing non-ML containers remain healthy. Inspect effective UID/GID for every production image and prove non-root. Scan built images for known runtime secret markers and fail on a match.</t>
  </si>
  <si>
    <t>T-106; T-107; T-112; T-113; T-114; T-117; T-137; T-168; T-123</t>
  </si>
  <si>
    <t>T-141; T-185; T-192</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</si>
  <si>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T-106 + T-107 + T-112 + T-113 + T-114 + T-117; T-137/T-168 runtime contracts ...</t>
  </si>
  <si>
    <t>M3 P1 — Scale &amp; OT Resilience. Release 2 is heavy production / scale / deeper enterprise use.</t>
  </si>
  <si>
    <t>Deployment topologies</t>
  </si>
  <si>
    <t>T-151</t>
  </si>
  <si>
    <t>Site defect burn-down</t>
  </si>
  <si>
    <t>Site findings</t>
  </si>
  <si>
    <t>Fix what soft testing finds, without changing the frozen visible contract unless a formal product decision is approved and recorded.</t>
  </si>
  <si>
    <t>Each defect has a reproduction, a fix and a regression test. Any visible-contract change carries a written approval.</t>
  </si>
  <si>
    <t>External/site certification</t>
  </si>
  <si>
    <t>WAIT for deployed Release 1 + real customer/site evidence. M3 sequence</t>
  </si>
  <si>
    <t>Own site/platform/backend/infra. No AI/ML calibration or customer UX docs.</t>
  </si>
  <si>
    <t>T-152</t>
  </si>
  <si>
    <t>Customer data edge cases</t>
  </si>
  <si>
    <t>New source patterns, dirty data, unusual keys, timestamps, nulls, late arrivals and customer-specific mapping requirements, handled through the three doors.</t>
  </si>
  <si>
    <t>Each case handled through import, registry or authoring. Any case requiring a code branch is escalated as a design gap.</t>
  </si>
  <si>
    <t>T-153</t>
  </si>
  <si>
    <t>Connector certification against real sources</t>
  </si>
  <si>
    <t>Connectors</t>
  </si>
  <si>
    <t>Enable and certify the customer's actual connectors. A catalogue row is not a connector; an unbuilt one stays dimmed and badged as planned.</t>
  </si>
  <si>
    <t>Each certified connector completes a read-only import against the real source with the load budget enforced. The customer-facing capability state changes to Certified only from the executed certification result; no frontend or website code edit is required.</t>
  </si>
  <si>
    <t>T-224; T-225; T-226; T-254</t>
  </si>
  <si>
    <t>L1.1</t>
  </si>
  <si>
    <t>Read-only connection and source access</t>
  </si>
  <si>
    <t>T-154</t>
  </si>
  <si>
    <t>Query plans, indexes and partition boundaries</t>
  </si>
  <si>
    <t>Performance</t>
  </si>
  <si>
    <t>Tune against real measurements from the customer's volumes, not against assumptions.</t>
  </si>
  <si>
    <t>Before and after query plans recorded for the ten slowest queries, with the improvement measured.</t>
  </si>
  <si>
    <t>T-155</t>
  </si>
  <si>
    <t>B-01/B-02 capacity tuning, scan amplification and model-serving memory</t>
  </si>
  <si>
    <t>On site hardware, jointly execute resource measurements for lane max_concurrency/resource_capacity/compute_weight and the hard online reservation, plus scan-amplification and warm-model/assistant memory. This task supplies measured capacity values; it does not redesign the architecture.
v2.22.0 — Absorb T-111 measured Scan Amplification baseline/calibrated bands. T-110 owns runtime enforcement.</t>
  </si>
  <si>
    <t>Record hardware, commit and load profile. Saturate training/batch and prove online p95 remains inside the actionable budget. Publish measured lane values and before/after Scan Amplification with no starvation.
v2.22.0 — Measure under declared profiles and record formula, numerator/denominator and scope; known missing delta predicate triggers breach, not a tuned threshold.</t>
  </si>
  <si>
    <t>Real-data AI/ML/site measurement</t>
  </si>
  <si>
    <t>WAIT for deployed Release 1 + real customer/site evidence. Release 2 accepted + site hardware</t>
  </si>
  <si>
    <t>Own AI/ML calibration/capacity evidence only.</t>
  </si>
  <si>
    <t>T-159</t>
  </si>
  <si>
    <t>C1 to C4 capacity certification</t>
  </si>
  <si>
    <t>Certification</t>
  </si>
  <si>
    <t>Run the four Chapter 6 capacity profiles and site certification, consuming the measured benchmark outputs from B-01..B-09 where they affect sizing. Replace only CALIBRATION_REQUIRED/REFERENCE_ASSUMPTION constants with measured values and freeze Chapter 6 when all certification gates pass.
v2.22.0 — Absorb T-111 capacity/regression certification; verify T-110 runtime scan guard using C1-C4 proofs.</t>
  </si>
  <si>
    <t>Every worked sizing example recomputes from measured constants; C1-C4 profiles pass their promised envelope. The certification bundle records hardware, commit, dataset, benchmark outputs and sign-off.
v2.22.0 — Known negative control exceeds scan band/aborts; restored predicate passes; results, workload, topology and sampled period pinned.</t>
  </si>
  <si>
    <t>T-160</t>
  </si>
  <si>
    <t>HA, DR and restore rehearsal</t>
  </si>
  <si>
    <t>Resilience</t>
  </si>
  <si>
    <t>Production topology, RPO and RTO objectives, and a real disaster-recovery rehearsal.</t>
  </si>
  <si>
    <t>A full recovery rehearsal completes within the stated RPO and RTO, witnessed and recorded.</t>
  </si>
  <si>
    <t>T-163</t>
  </si>
  <si>
    <t>Monitoring, SLOs and support escalation</t>
  </si>
  <si>
    <t>Operational dashboards, alerts, queue and latency and backup and certificate health, and the escalation path.</t>
  </si>
  <si>
    <t>Each SLO has a measured baseline and an alert that fires before it is breached.</t>
  </si>
  <si>
    <t>T-116</t>
  </si>
  <si>
    <t>API namespace migration, part 1: map the 92 prefixes onto the 27 domains and stand up dual-serve</t>
  </si>
  <si>
    <t>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
v2.20.0 ORDERING — perform namespace renaming after T-256 has decided which material/legacy runtime surfaces remain legitimate compatibility surfaces. Do not preserve a semantically invalid endpoint merely to give it a cleaner URL.
v2.22.0 — Maintain bounded-compatibility consumer register. Move live canon/public consumers to governed authorities before retiring compatibility objects; no delete-probes-first hotfix.</t>
  </si>
  <si>
    <t>Every one of the 544 routes appears exactly once in the mapping table. Both the old and the new path return identical responses for a sample of twenty routes.
v2.22.0 — Inventory each consumer/object, positive and negative parity tests, old history remains readable, retirement only after no active dependency remains; upgrade/fresh install agree.</t>
  </si>
  <si>
    <t>M3-P2</t>
  </si>
  <si>
    <t>Multi-user Enterprise Operations</t>
  </si>
  <si>
    <t>M3 P2 — Multi-user Enterprise Operations. Release 2 is heavy production / scale / deeper enterprise use.</t>
  </si>
  <si>
    <t>T-117</t>
  </si>
  <si>
    <t>API namespace migration, part 2: migrate the clients and add the token gate</t>
  </si>
  <si>
    <t>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
v2.20.0 CLIENT-CONTRACT CONVERGENCE — retire the dynamic `productApi as legacyApi` dispatch slices while migrating paths. Migrated client modules use typed exported methods/contracts; do not retain `any` escape hatches as the permanent compatibility seam.</t>
  </si>
  <si>
    <t>A test asserting no registered route matches /phase\d+|\/v\d+\/|p\d\d/. Open the browser network tab during the golden journey and confirm no request URL carries a phase or version token. Static gate: zero `productApi as legacyApi` in migrated API slices and no new `any`-typed escape for canonical clients. A deliberately removed client method fails TypeScript compilation rather than failing only at runtime.</t>
  </si>
  <si>
    <t>T-122; T-194</t>
  </si>
  <si>
    <t>Canonical journey regression and the Continuity comparison</t>
  </si>
  <si>
    <t>Continuity</t>
  </si>
  <si>
    <t>Run J1 to J15 against a normal ppiq_app database with no presentation shortcut and no demonstration-only code path. Then run the Customer Contract Continuity comparison against the snapshots captured at the end of M1.</t>
  </si>
  <si>
    <t>The journey passes on the canonical database. The continuity comparison shows no change to navigation, control placement, authoring flow, terminology or refusal semantics. Any difference is a defect in M2, not an improvement.</t>
  </si>
  <si>
    <t>T-196; T-197; T-198; T-199; T-200; T-121</t>
  </si>
  <si>
    <t>T-194</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</si>
  <si>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All Release 1 canonical-core/user-visible owners complete, including T-196/T-197/T-...</t>
  </si>
  <si>
    <t>Continuity green → W1 executes T-194; Release 1 release gate may close.</t>
  </si>
  <si>
    <t>T-149</t>
  </si>
  <si>
    <t>Delete the legacy redirects and re-verify continuity</t>
  </si>
  <si>
    <t>Remove the roughly 20 legacy Navigate redirects and the live phase-token routes (/phase8/*, /phase9/*, /phase15/*) that App.tsx still declares among its 69 route paths, then re-run the Customer Contract Continuity comparison.</t>
  </si>
  <si>
    <t>No route path matches /phase\d+/. The continuity comparison against the M1 snapshots still shows no change to any presented page.</t>
  </si>
  <si>
    <t>M1 continuity frozen</t>
  </si>
  <si>
    <t>T-161</t>
  </si>
  <si>
    <t>SSO and identity integration</t>
  </si>
  <si>
    <t>Integrate the customer identity provider with the final role catalogue, account lifecycle and emergency access.</t>
  </si>
  <si>
    <t>Account provisioning, de-provisioning and emergency access all tested against the customer directory.</t>
  </si>
  <si>
    <t>T-162</t>
  </si>
  <si>
    <t>Site security hardening and sign-off</t>
  </si>
  <si>
    <t>Network rules, secrets, certificate rotation, RLS and tenant proof, audit review.</t>
  </si>
  <si>
    <t>A tenant-isolation proof from the database alone, plus a signed security review.</t>
  </si>
  <si>
    <t>Retire legacy API dual-serve aliases after canonical-client continuity proof</t>
  </si>
  <si>
    <t>API namespace</t>
  </si>
  <si>
    <t>T-117 deliberately introduces a dual-serve transition while clients migrate. Close that transition explicitly after T-127 proves the canonical journey and continuity. Remove every legacy phase/version/task-token API alias, preserve only canonical /api/{domain} routes, and keep a machine-readable mapping artifact so support can interpret old logs without keeping old endpoints alive.</t>
  </si>
  <si>
    <t>After T-127 is green, enumerate the route table and prove zero legacy alias remains. A representative old path returns the governed retired-route response or 404 according to the API policy, while the canonical path remains green. Re-run the route-token gate and a bounded canonical-journey regression. No frontend client calls an old alias.</t>
  </si>
  <si>
    <t>T-117; T-127</t>
  </si>
  <si>
    <t>Use the accepted M1 regression baseline; require empty index and clean owned paths, preserving unrelated user work. Then: T-117 + T-127</t>
  </si>
  <si>
    <t>T-196</t>
  </si>
  <si>
    <t>C4 Plant Model Explorer canonical route and structural evidence surface</t>
  </si>
  <si>
    <t>Plant model</t>
  </si>
  <si>
    <t>Implement the missing Chapter 3 C4 /plant-model surface on the canonical plant authority. Show site/area/equipment hierarchy, search, unmapped-only state, selected-node details and the routes/operations that reference it. Unmapped equipment is explicit Amber evidence rather than silently dropped. The page is generic and uses imported plant vocabulary only.</t>
  </si>
  <si>
    <t>Route /plant-model exists exactly once. Load a canonical reference plant and prove hierarchy/details match GET /api/plant/layout and /api/plant/equipment/{id}. Introduce one unmapped equipment reference and prove it is visible with its source object. Empty install renders the designed no-projection state. Keyboard tree traversal and RTL contract pass.</t>
  </si>
  <si>
    <t>T-087; T-094; T-095</t>
  </si>
  <si>
    <t>Use the accepted M1 regression baseline; require empty index and clean owned paths, preserving unrelated user work. Then: T-087 + T-094 + T-095</t>
  </si>
  <si>
    <t>T-197</t>
  </si>
  <si>
    <t>E6 Alert Routing and Escalation with delivery, retry and dead-letter evidence</t>
  </si>
  <si>
    <t>Backend + Frontend</t>
  </si>
  <si>
    <t>Alert routing</t>
  </si>
  <si>
    <t>Implement Chapter 3 E6 /alert-routing: routing rules over log/plant-data channels, severity, recipients, delivery channels, escalation delay, working hours/quiet periods, deduplication, grouping key, rate limit, suppression, test delivery, retry and dead-letter visibility. Entries are held during quiet periods, never silently lost.</t>
  </si>
  <si>
    <t>Create and test a routing rule, force one delivery failure through its retry ceiling and prove it appears in dead letters with reason. Prove a rule with no recipient and an escalation with no escalation recipient are refused. Quiet-period traffic is held and later delivered. Role enforcement and audit evidence pass.</t>
  </si>
  <si>
    <t>T-119; T-198</t>
  </si>
  <si>
    <t>Full-stack governed feature</t>
  </si>
  <si>
    <t>Use the accepted M1 regression baseline; require empty index and clean owned paths, preserving unrelated user work. Then: T-119 + T-198</t>
  </si>
  <si>
    <t>L6.4</t>
  </si>
  <si>
    <t>Alert routing and escalation</t>
  </si>
  <si>
    <t>T-198</t>
  </si>
  <si>
    <t>F5 Logging and Audit plus F6 Log Channel Configuration</t>
  </si>
  <si>
    <t>Logging administration</t>
  </si>
  <si>
    <t>Implement the Chapter 3 canonical logging administration contract: /admin/logs with role-scoped System/Job/Data/Audit/Assistant/Plant Data families, filtering, live tail/replay, run correlation and export; plus /admin/log-channels for channel identity, severity mapping, routing/export target and reading roles. Built-in/audit channels are locked as specified; retention is read-only here and owned by F9.</t>
  </si>
  <si>
    <t>Every permitted family is queryable and a forbidden family is absent for the role. Drop and resume the live stream and prove replay. Correlate one run across families. Audit has no edit/delete control. Create a custom channel, prove built-ins remain locked, and refuse an attempt to create/retarget the audit family. Canonical log tables and audit trail are used.</t>
  </si>
  <si>
    <t>T-112; T-114; T-119</t>
  </si>
  <si>
    <t>T-127; T-197; T-199</t>
  </si>
  <si>
    <t>Use the accepted M1 regression baseline; require empty index and clean owned paths, preserving unrelated user work. Then: T-112 + T-114 + T-119</t>
  </si>
  <si>
    <t>L6.6</t>
  </si>
  <si>
    <t>Plant data log, audit, log channels, retention and archival</t>
  </si>
  <si>
    <t>T-199</t>
  </si>
  <si>
    <t>F9 Log Retention and Archival with dry-run, legal hold and no-delete-on-archive-failure</t>
  </si>
  <si>
    <t>Log retention</t>
  </si>
  <si>
    <t>Implement Chapter 3 F9 /admin/log-retention as the sole destructive log-history policy surface. Persist per-channel retention policy, archive-before-delete, destination, cleanup schedule/batch size, governed audit minimum and legal hold. Require pre-save dry-run impact. Cleanup history records cutoff, examined/archived/deleted rows, reclaimed storage, duration and failure reason.</t>
  </si>
  <si>
    <t>Attempt audit retention below the governed minimum and refuse it. Save without preview and refuse it. Put a channel on legal hold and prove cleanup is blocked. Make the archive destination fail and prove zero rows are deleted. Complete one successful preview+cleanup and reconcile counts/history. Only Administrator can access the page.</t>
  </si>
  <si>
    <t>T-124; T-198</t>
  </si>
  <si>
    <t>Use the accepted M1 regression baseline; require empty index and clean owned paths, preserving unrelated user work. Then: T-124 + T-198</t>
  </si>
  <si>
    <t>T-200</t>
  </si>
  <si>
    <t>F7 System Settings and F8 Translation/Language canonical administration</t>
  </si>
  <si>
    <t>System administration</t>
  </si>
  <si>
    <t>Implement Chapter 3 F7 /admin/settings and F8 /admin/translation. System settings own site identity, units/formats, plant time zone, documented retention defaults and per-tenant no-egress data boundary. Translation owns language packs, review/mirror-verification state, context-aware labels, import/export and fallback language. Presentation-era hardcoded translation tables become compatibility data only.</t>
  </si>
  <si>
    <t>Change plant time zone through a confirmed action and prove the resulting setting is audited and used by a shift-aware display; toggle no-egress and prove affected capabilities report the new boundary. Add/edit a translation, mark review/mirror state, export and reimport a pack, and verify RTL rendering for Arabic. No machine-locale fallback silently changes formats.</t>
  </si>
  <si>
    <t>T-113; T-119; T-216</t>
  </si>
  <si>
    <t>Use the accepted M1 regression baseline; require empty index and clean owned paths, preserving unrelated user work. Then: T-113 + T-119</t>
  </si>
  <si>
    <t>L6.8</t>
  </si>
  <si>
    <t>Settings, time zone, units, localisation and translation</t>
  </si>
  <si>
    <t>T-156</t>
  </si>
  <si>
    <t>Customer definitions built through the product</t>
  </si>
  <si>
    <t>Authoring</t>
  </si>
  <si>
    <t>Build and validate the customer's real pages, relationships, measures, analyses, models and log rules using the product's own authoring surfaces.</t>
  </si>
  <si>
    <t>Every customer artifact exists as a definition in the store, created through the interface, with no manual database insert.</t>
  </si>
  <si>
    <t>M3-P3</t>
  </si>
  <si>
    <t>Own customer-facing UX/docs/website only.</t>
  </si>
  <si>
    <t>Advanced BI, Authoring &amp; Insight Boards</t>
  </si>
  <si>
    <t>M3 P3 — Advanced BI, Authoring &amp; Insight Boards. Release 2 is heavy production / scale / deeper enterprise use.</t>
  </si>
  <si>
    <t>T-166</t>
  </si>
  <si>
    <t>Five-product website production completion</t>
  </si>
  <si>
    <t>Website</t>
  </si>
  <si>
    <t>Public site</t>
  </si>
  <si>
    <t>CORRECTED IN v2.2. The redirect replacement, the portfolio page and the mega-menu are now M1 work, because the customer sees the company architecture in the room. What remains here is production completion of the five product pages: full content, proof sections, SEO and metadata, analytics, lead flows, localization, and the final honesty certification across every claim. AUDIT HARDENING IN v2.9.2. Production completion also certifies one coherent visual identity across all five product pages and shared public-site sections. Typography, UI primitives, graphical language, motion, responsive hierarchy and accessibility must come from the same design system used by the strongest PPIQ sections. Remove mojibake, visible HTML entities and locally invented low-quality box/flowchart styling; motion must reinforce meaning and degrade cleanly under reduced-motion preferences.</t>
  </si>
  <si>
    <t>Each of the five products has a complete page under the Golden Rule product-page contract. Every claim passes the Chapter 6 6.2.10 honesty rule and the certification is recorded. Lead flow tested end to end on each page. Run a five-product visual-system audit at desktop, tablet and mobile. Zero mojibake/visible entities, text overflow, disconnected graphical connectors or page-local font/control systems. Automated visual/a11y checks are green, reduced-motion is honoured, and a reviewer comparison against the strongest PPIQ reference section records no page as visually less sophisticated.</t>
  </si>
  <si>
    <t>BOUNDARY — SOU Website</t>
  </si>
  <si>
    <t>SOU public website / portfolio boundary — not a PPIQ product capability</t>
  </si>
  <si>
    <t>Boundary</t>
  </si>
  <si>
    <t>T-228</t>
  </si>
  <si>
    <t>Versioned InsightBoardPlan contract and deterministic validator</t>
  </si>
  <si>
    <t>Insight composition</t>
  </si>
  <si>
    <t>Define a versioned, reproducible InsightBoardPlan containing question, context snapshot, filters, evidence requirements, widget specs, planner version, definition versions and data-as-of. Deterministically validate registry, relationships, permissions, chart grammar and query safety. LLM cannot emit executable SQL/React authority.</t>
  </si>
  <si>
    <t>Known valid plans validate; fabricated dimension, unsafe expression, unavailable relationship and permission violation refuse with typed reasons. Identical historical plan snapshot replays; asking later may produce a new version without mutating history.</t>
  </si>
  <si>
    <t>T-090; T-092; T-134; T-179; T-180; T-181</t>
  </si>
  <si>
    <t>T-229; T-248</t>
  </si>
  <si>
    <t>After September customer RC; T-090/T-092 + T-134 + T-179..181.</t>
  </si>
  <si>
    <t>New Assistant plan contract/tests only.</t>
  </si>
  <si>
    <t>T-229 consumes validator; no direct UI generation.</t>
  </si>
  <si>
    <t>L10.5</t>
  </si>
  <si>
    <t>Insight Board Composer</t>
  </si>
  <si>
    <t>T-229</t>
  </si>
  <si>
    <t>Governed Assistant plan-to-widget Investigation Board composition</t>
  </si>
  <si>
    <t>Assistant/Frontend</t>
  </si>
  <si>
    <t>Execute validated InsightBoardPlan through existing Page Builder/widget/query contracts to create an ephemeral Investigation Board of KPIs/charts/tables/evidence without React/customer code generation.</t>
  </si>
  <si>
    <t>Question -&gt; validated plan -&gt; real widget queries -&gt; evidence-backed board. Every value resolves evidence, invalid chart grammar refuses, and ordinary authored pages remain unchanged. Board runs on both discrete and continuous fixtures.</t>
  </si>
  <si>
    <t>T-228; T-134</t>
  </si>
  <si>
    <t>T-230</t>
  </si>
  <si>
    <t>T-228 + T-134 + stable Page Builder contract; coordinate UI consumption with Worker 2.</t>
  </si>
  <si>
    <t>Assistant composition service; UI host changes require explicit W2 hand-off.</t>
  </si>
  <si>
    <t>T-230 adds persistence; no separate rendering engine.</t>
  </si>
  <si>
    <t>Persisted Investigation Board version, replay and Save-as-Page handoff</t>
  </si>
  <si>
    <t>Insight governance</t>
  </si>
  <si>
    <t>Persist Investigation Board plan/result versions with question, context, filters, data-as-of, tool executions, definition versions, evidence handles and result snapshot. Add explicit Save-as-Page conversion into canonical definitions without mutating historical investigation evidence.</t>
  </si>
  <si>
    <t>Historical board replays exactly as known at its data-as-of/version. Re-asking today creates a new version. Save-as-Page creates a normal Page Builder definition whose future refresh is independent while the original investigation remains immutable.</t>
  </si>
  <si>
    <t>T-229; T-112; T-114</t>
  </si>
  <si>
    <t>Persistence/integration</t>
  </si>
  <si>
    <t>T-229 + canonical definition/evidence persistence + T-112/T-114.</t>
  </si>
  <si>
    <t>Investigation board persistence and conversion contract.</t>
  </si>
  <si>
    <t>Page Builder owns resulting page definitions; Assistant owns historical investigation artifact only.</t>
  </si>
  <si>
    <t>Advanced enterprise BI and authoring parity closure against the 75-item outcome matrix</t>
  </si>
  <si>
    <t>Enterprise BI / Authoring</t>
  </si>
  <si>
    <t>Close the Release-2 remainder of the founder-approved F01-F15, S01-S30 and E01-E30 outcome matrix using native PPIQ semantics. Explicitly include Scoped Measure Context, Named Comparison State, pending lasso/range confirm-cancel, story/live-source return, complete current-state export matrix, advanced exploration, mini-overview navigation where applicable, and reusable versioned subflows as the PPIQ equivalent of script Include/Must_Include.
v2.20.0 ENTERPRISE-BI PARITY EXPANSION — the 75-item matrix explicitly includes context-sensitive property inspection, named selections/bookmarks, pivot/crosstab or governed PPIQ-equivalent, conditional formatting, export/print fidelity, design-token/theme governance, accessibility/keyboard authoring, and removal of localStorage as a fallback for server-owned page/widget layout state.
v2.20.0 AUTHORING-SEMANTICS CONVERGENCE — close the historical T-242/Layer-B placement contradiction without reopening T-242. For newly authored definitions, arithmetic/comparison/logic are expression configuration inside the block they configure, while FOR/WHILE-style control flow is Job orchestration. Existing persisted T-242 definitions remain reopenable through an explicit compatibility translation/representation; do not strand customer-authored history.
v2.22.0 — Add G3 global search/command palette and G6 activity tray, preserving role/tenant scope, keyboard/focus, cross-page progress and reconnection. Use UI/Figma companion frames as visual implementation reference, not new behavior authority.</t>
  </si>
  <si>
    <t>A 75-row acceptance matrix has no Unowned or Missing row. Every row is Implemented or PPIQ-Equivalent, has an automated/visual acceptance or an explicit non-applicability proof, and no proprietary Qlik syntax is required. Comparative acceptance against the defined PPIQ outcomes demonstrates no missing enterprise authoring row for inspector/style, bookmark/selection, pivot/crosstab, formatting, export and accessibility. Server-owned layouts survive a clean browser profile with localStorage cleared. Raw component colour literals are within an explicit design-token allowlist.
A new definition authors arithmetic/logic through expression configuration and schedules repetition/control flow through the Job authority. A persisted legacy T-242 board definition reopens with semantic equivalence and an explicit compatibility marker; save-as-new converges to the current representation without losing history.
v2.22.0 — Search scopes results/actions correctly; keyboard select/escape; tray shows run identity/state/progress with polling fallback and no fake percent; empty/failed/denied variants; existing 75-item authoring/BI acceptance retained.
v2.23.0 — Use the accepted T-267 semantic/interaction matrix and per-scene handoffs for the existing 75-item parity contract. Do not reimplement or defer the M2 associative engine/selection behavior already accepted under T-204. A visual omission creates a design obligation, not a reopened product task without regression.</t>
  </si>
  <si>
    <t>T-148; T-202; T-203; T-204; T-205; T-228; T-241; T-243; T-244; T-245; T-257; T-267</t>
  </si>
  <si>
    <t>T-249; T-263</t>
  </si>
  <si>
    <t>Bounded product convergence</t>
  </si>
  <si>
    <t>After M2 Release 1 and InsightBoard authoring base</t>
  </si>
  <si>
    <t>Frontend BI / authoring only</t>
  </si>
  <si>
    <t>Reuse the existing BI engine, Page Builder, Canvas, export and selection contracts; do not build a second dashboard engine.</t>
  </si>
  <si>
    <t>M3 P3 — advanced enterprise parity. M2 ships the Day-1 enterprise core; M3 closes the advanced authoring matrix.</t>
  </si>
  <si>
    <t>Authoring professionalism</t>
  </si>
  <si>
    <t>L3.1; L3.3; L3.4; L3.5; L3.6; L3.9; L6.7</t>
  </si>
  <si>
    <t>T-263</t>
  </si>
  <si>
    <t>Governed reports, export and scheduled delivery</t>
  </si>
  <si>
    <t>Deliver E5 report definitions, sections, period, recipients, scheduled generation and output/delivery history using definition_store, the shared Job scheduler and permission/evidence boundaries.</t>
  </si>
  <si>
    <t>Create/reopen versioned report; generate by manual/scheduled run; empty-section refusal; tenant/role-scoped download; light report rendering; delivery retry/audit; same source evidence and filters survive export; no private report scheduler.</t>
  </si>
  <si>
    <t>T-106; T-248</t>
  </si>
  <si>
    <t>Consume accepted producer contracts; remaining dependencies: T-106; T-248. No private scheduler/definition authority. Source-present is not closure proof.</t>
  </si>
  <si>
    <t>L6.5</t>
  </si>
  <si>
    <t>Reports, export and scheduled delivery</t>
  </si>
  <si>
    <t>L2.6; L6.4</t>
  </si>
  <si>
    <t>Chapters 3/4 v4.10.3 — MD + illustrated Word; UI Coverage / UI Controls in this workbook
v2.23.0 — T-267 supplies E5 report-definition/generation/history/delivery interaction design. Generation remains a governed job; preserve period/filter/permission context and the existing source-evidence boundary.</t>
  </si>
  <si>
    <t>T-128</t>
  </si>
  <si>
    <t>Feature store, outcome store and immutable snapshot metadata</t>
  </si>
  <si>
    <t>Intelligence store</t>
  </si>
  <si>
    <t>Implement canonical feature/outcome stores and immutable snapshot metadata using generic analysis_subject_id + grain_code identity, never a universal material_unit_id. Persist semantic-manifest lineage, feature-set/outcome definitions and dirty/incremental state. Training still consumes sealed typed snapshot artifacts, not live JSONB.</t>
  </si>
  <si>
    <t>Persist features/outcomes for at least one discrete subject and one equipment/process-window subject using the same schema/runtime. No material-unit FK is mandatory for non-material subjects. Snapshot/hash/reproducibility and tenant/RLS gates pass.</t>
  </si>
  <si>
    <t>T-087; T-088; T-089; T-090; T-091; T-092; T-093; T-094; T-095; T-096; T-097; T-098; T-099; T-100; T-101; T-102; T-103; T-104; T-112; T-114; T-231; T-210</t>
  </si>
  <si>
    <t>T-129; T-130; T-131; T-135; T-146; T-147; T-184; T-186</t>
  </si>
  <si>
    <t>AI/ML production integration</t>
  </si>
  <si>
    <t>M3-P4</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</si>
  <si>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T-087..T-105 + T-112 + T-114 security/tenant hand-off. Outcome semantics from...</t>
  </si>
  <si>
    <t>Own intelligence/ML/Assistant and named intelligence surfaces. W1/W2 forbidden after hand-off.</t>
  </si>
  <si>
    <t>Advanced ML, Optimisation &amp; Value</t>
  </si>
  <si>
    <t>M3 P4 — Advanced ML, Optimisation &amp; Value. Release 2 is heavy production / scale / deeper enterprise use.</t>
  </si>
  <si>
    <t>L9.5</t>
  </si>
  <si>
    <t>T-129</t>
  </si>
  <si>
    <t>Compute runs, findings and common evidence persistence</t>
  </si>
  <si>
    <t>Unify compute run records, terminal refusal states, gate state/evidence, correlation/findings persistence and evidence handles on the common intelligence substrate. Every new governed run carries semantic_manifest_id once T-183 is present. A refusal is a persisted result state, never an exception-shaped blank screen.</t>
  </si>
  <si>
    <t>For FINDING and each refusal class, resolve the row to run, manifest, gate evidence and source evidence. Break an evidence handle and prove the result is rejected. Break manifest coverage and prove G-55 refuses the new governed run.</t>
  </si>
  <si>
    <t>T-128; T-183; T-112; T-114</t>
  </si>
  <si>
    <t>T-134; T-135; T-146; T-147; T-186; T-188</t>
  </si>
  <si>
    <t>T-128 + T-183 + T-112 + T-114.</t>
  </si>
  <si>
    <t>L4.2; L4.4</t>
  </si>
  <si>
    <t>T-130</t>
  </si>
  <si>
    <t>Model registry, serving identity, activation and fallback</t>
  </si>
  <si>
    <t>Model lifecycle</t>
  </si>
  <si>
    <t>Implement ppiq_plant.model_registry per serving identity (tenant_id, model_code, outcome_code, grain_code) plus model_version. status and serving_role are independent; at most one active and one approved fallback exist per serving identity, and one version can never be both. There is no ModelBundle. Store artifact identity, semantic_manifest_id, acceptance floors, quality/serving/training metrics and drift observations. Promotion policy itself is implemented by T-176 and wired by T-187.</t>
  </si>
  <si>
    <t>Create two serving identities with identical model_code but different outcome/grain and prove independent activation. Attempt duplicate active/fallback rows and primary=fallback and prove the database refuses them. Activate, retire and fall back atomically with every transition audited and manifest-resolvable.</t>
  </si>
  <si>
    <t>T-134; T-135; T-139; T-188; T-191; T-193; T-246</t>
  </si>
  <si>
    <t>T-131</t>
  </si>
  <si>
    <t>Practice signature, windowing, context and cohorts</t>
  </si>
  <si>
    <t>Practice learning</t>
  </si>
  <si>
    <t>Implement the production practice-learning core: canonical signature construction, parameter windowing, declared context and comparison cohort. The engine consumes governed data-product contracts only and contains no source table/industry vocabulary. Persistence and the D10 surface remain T-133.</t>
  </si>
  <si>
    <t>Against the certified M2 reference dataset, recover the planted good-practice band and refuse/avoid the null control. Run a genericity test showing the kernel receives only semantic codes/data-product fields, never source identifiers.</t>
  </si>
  <si>
    <t>T-086; T-128; T-171</t>
  </si>
  <si>
    <t>T-132; T-133; T-136; T-142; T-240</t>
  </si>
  <si>
    <t>T-086 + T-128 + T-171</t>
  </si>
  <si>
    <t>L4.6</t>
  </si>
  <si>
    <t>Practice learning MF-07</t>
  </si>
  <si>
    <t>T-132</t>
  </si>
  <si>
    <t>Support, confidence, back-off ladder and tolerance sensitivity</t>
  </si>
  <si>
    <t>Add support/confidence ranking, sparse-cohort back-off, resampling stability and tolerance sensitivity to practice learning. A result that changes materially under reasonable tolerance changes is explicitly marked sensitive rather than promoted as stable.</t>
  </si>
  <si>
    <t>A stable practice survives resampling and is ranked with support. A sparse cohort walks the declared back-off ladder. Widen tolerance and prove a flipping practice is marked sensitive with the tested settings persisted.</t>
  </si>
  <si>
    <t>T-133; T-136; T-142; T-240</t>
  </si>
  <si>
    <t>T-133</t>
  </si>
  <si>
    <t>Practice persistence, drift and canonical D10 Practice Insights</t>
  </si>
  <si>
    <t>Persist practice_statistics/signatures with semantic_manifest_id and evidence, implement practice drift against the plant's own demonstrated best, and replace the M1 presentation adapter behind D10 with canonical sources without changing the frozen D10 visible contract.</t>
  </si>
  <si>
    <t>Move operating data away from the learned band and prove drift is detected, persisted and surfaced with evidence. Run the M1 continuity snapshot for D10 and prove no route, control, wording or state-semantics regression.</t>
  </si>
  <si>
    <t>T-131; T-132; T-183</t>
  </si>
  <si>
    <t>T-134; T-136; T-240</t>
  </si>
  <si>
    <t>T-131 + T-132 + T-183</t>
  </si>
  <si>
    <t>T-134</t>
  </si>
  <si>
    <t>Bindable intelligence registry and evidence handles</t>
  </si>
  <si>
    <t>Make intelligence a first-class bindable source through registry_intelligence_sources. Fact-shaped measures may project through WidgetFact; native-grain rich sources retain declared columns. Predictions, findings, practice, readiness and model-state sources appear in the normal authoring shell with resolvable evidence.
v2.10.2 PHASE CORRECTION — this task builds the generic bindable-intelligence registry/evidence mechanism and registers only canonical sources that actually exist at this point. Do not promise prediction bindings before T-139 creates canonical predictions; T-139/T-189 register those sources later through the same mechanism.</t>
  </si>
  <si>
    <t>Bind one fact-shaped and one native-rich intelligence source through the standard authoring shell, filter/drill both and open evidence. Break an evidence handle and prove the widget refuses rather than rendering an uncited number. No ML-specific widget branch exists.</t>
  </si>
  <si>
    <t>T-090; T-095; T-096; T-129; T-130; T-133; T-186; T-139</t>
  </si>
  <si>
    <t>T-138; T-228; T-229</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</si>
  <si>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T-090 definition authority + T-095/T-096 relationship resolver + available ca...</t>
  </si>
  <si>
    <t>T-135</t>
  </si>
  <si>
    <t>Tenant-aware uniqueness across the intelligence tables</t>
  </si>
  <si>
    <t>Apply tenant ownership, tenant-first uniqueness and RLS to every new intelligence table in the frozen design, including model, prediction, practice, index-generation, capability/readiness and run/evidence tables. Semantic manifests use manifest_id PK plus UNIQUE(tenant_id, manifest_hash).
v2.10.2 SECURITY-RATChET RULING — T-135 is not the first time RLS is applied. T-112/T-114 establish the mandatory pattern before Release 2 persistence. T-135 audits current intelligence tables and adds/extends the architecture ratchet so every future tenant-owned intelligence table fails CI if tenant_id, tenant-first uniqueness or FORCE RLS is missing.</t>
  </si>
  <si>
    <t>Insert identical natural keys for two tenants and prove both persist. Prove cross-tenant reads fail from the database alone. The architecture test fails when any new tenant-owned intelligence table lacks forced RLS or tenant-first uniqueness.</t>
  </si>
  <si>
    <t>T-112; T-114; T-128; T-129; T-130; T-183</t>
  </si>
  <si>
    <t>T-184; T-185; T-186; T-187</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</si>
  <si>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T-112 + T-114 + current Release 2 persistence tables (including T-128/T-129/T-130/T...</t>
  </si>
  <si>
    <t>T-136</t>
  </si>
  <si>
    <t>Incremental practice recomputation</t>
  </si>
  <si>
    <t>Make practice recomputation incremental using Release 1 stage watermarks and changed-population contracts. Recompute only affected cohorts/signatures and preserve prior immutable evidence for unaffected historical results.</t>
  </si>
  <si>
    <t>Add one day of data and prove recomputation scans a bounded delta, Scan Amplification stays inside the declared baseline, and unaffected practice rows/evidence hashes do not change.</t>
  </si>
  <si>
    <t>T-131; T-132; T-133; T-109</t>
  </si>
  <si>
    <t>T-109 + T-131..T-133</t>
  </si>
  <si>
    <t>T-138</t>
  </si>
  <si>
    <t>Canonical Assistant runtime cutover: planner, retrieval, evidence packing, serving and verifier</t>
  </si>
  <si>
    <t>Chatbot</t>
  </si>
  <si>
    <t>After M1 continuity is frozen and canonical intelligence is available, replace M1 retrieval/prepared-state internals behind the unchanged dock. Wire T-179 planner, T-180 retrieval/evidence packer, T-137 ModelServingRuntime and T-181 verifier. Structured Layer A/B tools take precedence. Expose stable CompareOperationalPeriods (T-237) and GetCompositePractices (T-240) when those producer contracts are complete; their absence must degrade honestly rather than block the core Assistant cutover.
v2.20.0 PROVIDER-TRUTH RULING — provider names are capabilities, not aliases. Advertise Azure OpenAI, AWS Bedrock or any BYOM provider only when a concrete adapter/conformance path implements that provider's authentication, endpoint and response contract. OpenAI-compatible HTTP may serve only providers actually conforming to that contract.</t>
  </si>
  <si>
    <t>Re-run the certified M1 question pack and continuity snapshot. Every numeric claim resolves to a supplied handle, permission filtering occurs before ranking, truncation is disclosed, an engine refusal stays a refusal, and a fabricated/unsupported claim is blocked before display. No prepared presentation corpus is required. Provider-conformance tests prove every advertised provider has a concrete adapter path. A provider label mapped only to the generic OpenAI-compatible client without declared conformance is unavailable rather than advertised.</t>
  </si>
  <si>
    <t>T-179; T-180; T-181; T-137; T-134; T-188</t>
  </si>
  <si>
    <t>T-137 + T-179..T-181 + T-134 + T-188</t>
  </si>
  <si>
    <t>T-139</t>
  </si>
  <si>
    <t>prediction_runs, predictions and prediction_current</t>
  </si>
  <si>
    <t>Prediction</t>
  </si>
  <si>
    <t>Persist prediction_runs, predictions and prediction_current per serving identity and generic analysis_subject_id + grain_code. A prediction may target a material unit, equipment state, campaign, batch or process window according to the published grain definition; no universal CoilId/material-unit assumption.</t>
  </si>
  <si>
    <t>Same prediction contract stores and retrieves at least one discrete subject and one non-material equipment/process-window subject, preserving evidence, horizon, uncertainty and tenant isolation.</t>
  </si>
  <si>
    <t>T-130; T-187; T-231</t>
  </si>
  <si>
    <t>T-134; T-140; T-141; T-142; T-189; T-193</t>
  </si>
  <si>
    <t>T-130 + T-187</t>
  </si>
  <si>
    <t>T-140</t>
  </si>
  <si>
    <t>Prediction drivers and comparables, persisted</t>
  </si>
  <si>
    <t>Persist prediction drivers, explanation metadata and comparable historical cases as evidence-grade rows. Drivers come from the governed explanation artifact and comparables from the served similarity generation; the UI never computes or narrates them from scratch.</t>
  </si>
  <si>
    <t>Open a prediction and resolve every driver/comparable to persisted model/index/evidence identity. Delete/deny the rows and prove the consuming surface refuses rather than inventing an explanation.</t>
  </si>
  <si>
    <t>T-139; T-173; T-176</t>
  </si>
  <si>
    <t>T-142; T-189</t>
  </si>
  <si>
    <t>T-139 + T-173/T-176</t>
  </si>
  <si>
    <t>T-141</t>
  </si>
  <si>
    <t>Actionable deadline and latency health</t>
  </si>
  <si>
    <t>Implement actionable_deadline_utc, delivery_latency_seconds, scoring_mode and met_actionable_deadline. Tie online scoring to the hard-reserved ml.online_scoring lane. A late prediction is historical evidence, never actionable.</t>
  </si>
  <si>
    <t>Saturate training and batch, submit online scoring and measure that the reserved lane still serves. Force a prediction past its actionable deadline and prove it is persisted as late and excluded from actionable presentation.</t>
  </si>
  <si>
    <t>T-107; T-122; T-139; T-187</t>
  </si>
  <si>
    <t>T-189</t>
  </si>
  <si>
    <t>T-107 + T-122 + T-139 + T-187</t>
  </si>
  <si>
    <t>T-142</t>
  </si>
  <si>
    <t>Remediation candidate generation from the customer's own history</t>
  </si>
  <si>
    <t>Generate remediation candidates from the customer's own governed history by finding comparable early conditions with better later outcomes and the later-stage practices that differed. Persist support, effect range, limitations, evidence and the semantic/model/index identities used. No candidate is a control instruction.</t>
  </si>
  <si>
    <t>On the certified M2 reference dataset, every emitted candidate meets the declared support threshold, has a bounded effect range and resolvable comparable evidence. Insufficient-support candidates do not emit. No source-system write API is reachable.</t>
  </si>
  <si>
    <t>T-131; T-132; T-139; T-140</t>
  </si>
  <si>
    <t>T-143; T-189; T-190</t>
  </si>
  <si>
    <t>T-131/T-132 + T-139/T-140</t>
  </si>
  <si>
    <t>Integrate the nine-check remediation gate, can_accept and suppression</t>
  </si>
  <si>
    <t>Wire the pure decision kernel from T-178 into prediction/remediation persistence and API contracts. Eligibility is per prediction. can_accept is the complete server authority and the client never re-derives it. Outcomes are actionable, evidence_only, exploratory or suppressed; suppressed rows are audited and never shown.</t>
  </si>
  <si>
    <t>Run one persisted/API case per nine-check failure and per can_accept condition. Prove the same template can be suppressed for one prediction and actionable for another. Search every consuming API/UI payload and prove a suppressed candidate is absent.</t>
  </si>
  <si>
    <t>T-178; T-142</t>
  </si>
  <si>
    <t>T-144; T-189; T-190</t>
  </si>
  <si>
    <t>T-178 + T-142</t>
  </si>
  <si>
    <t>T-144</t>
  </si>
  <si>
    <t>Accept, Reject and Defer with action recording</t>
  </si>
  <si>
    <t>Feedback loop</t>
  </si>
  <si>
    <t>Implement Accept, Reject and Defer behind the server-authoritative can_accept boundary, with actor, timestamp and reason. Each decision creates the governed action/decision state only when allowed. PPIQ records human action and never issues a plant control command.</t>
  </si>
  <si>
    <t>Exercise all three decisions with can_accept true and false. Allowed actions persist actor/reason/state; disallowed actions fail server-side even if a client is modified. A dependency/network test proves no customer-source write/control client is reachable.</t>
  </si>
  <si>
    <t>T-145; T-190</t>
  </si>
  <si>
    <t>L9.3</t>
  </si>
  <si>
    <t>Decision capture</t>
  </si>
  <si>
    <t>L9.4</t>
  </si>
  <si>
    <t>T-145</t>
  </si>
  <si>
    <t>Outcome capture, evaluation and escalation</t>
  </si>
  <si>
    <t>Capture observed outcomes, prediction/remediation evaluation and escalation records. Intervened instances are reported separately from ordinary prediction-accuracy metrics. Escalation is a record, never an automatic decision.
v2.22.0 — Own canonical outcome, effectiveness and feedback quality/poisoning boundary. Retire the parallel hand-entered Phase-8 outcome authority with T-190; do not delete historical evidence unsafely.</t>
  </si>
  <si>
    <t>Accept a candidate, let the outcome arrive and prove evaluation closes the loop with intervention state preserved. Confirm intervened instances are excluded from ordinary accuracy calculation and an escalation creates no action automatically.
v2.22.0 — Canonical-only outcome (DC03), complete action record before eligible feedback, actor concentration DC07 evidence, eligible-only supervisor proposals, feedback IDs retained and no auto-retraining. M2 unsafe route denial belongs to T-113.</t>
  </si>
  <si>
    <t>T-190; T-193</t>
  </si>
  <si>
    <t>Canonical outcome capture</t>
  </si>
  <si>
    <t>L9.6; L6.4; L9.8</t>
  </si>
  <si>
    <t>T-146</t>
  </si>
  <si>
    <t>Converge the production statistical engine onto the certified method kernel</t>
  </si>
  <si>
    <t>Consolidation</t>
  </si>
  <si>
    <t>Use the schema-independent statistical kernel from T-177 to converge the runtime onto one readiness-gated engine and retire the direct-SQL/superseded compute paths. Persist method, aligned population/group sizes, effect size, p-value, FDR/q-value, gate evidence and truthful exclusion reason. This is the production wiring/cutover task; do not perform it before M1 presentation continuity is frozen.
v2.22.0 — Converge production statistical methods and discipline onto the accepted authorities; StatisticalDiscipline.cs contains currently consumed EffectRanking, BenjaminiHochberg, Stratification and Bootstrap functions and is not dead code. Converge only measured duplicate execution authorities after consumer and test obligations move; preserve these live discipline functions. No performance/style-only rewrite.</t>
  </si>
  <si>
    <t>Only one production correlation engine is reachable. Known-answer fixtures cover Numeric×Numeric, Binary×Numeric, Categorical×Categorical and Numeric×Categorical. Numeric×Categorical selects ANOVA when assumptions hold and Kruskal-Wallis otherwise. Constant, unsupported and insufficient-sample cases retain distinct reasons. Re-run the M1 analysis continuity checks and prove no visible regression.
v2.22.0 — One production discipline path; known-answer regression and required FDR/effect/stratification/refusal outputs survive. Reuse accepted kernel evidence; absence of callers alone is not justification to erase future integration work.</t>
  </si>
  <si>
    <t>T-147; T-177; T-128; T-129</t>
  </si>
  <si>
    <t>T-147 COMPLETE + T-177 + T-128/T-129; M1 presentation continuity frozen.</t>
  </si>
  <si>
    <t>T-147</t>
  </si>
  <si>
    <t>Fix the outcome namespace, grain assignment and ordinal loader</t>
  </si>
  <si>
    <t>Converge outcome namespace, grain ownership and ordinal/categorical loading on the canonical outcome store. Refresh must never silently reassign grain, and ordinal/categorical labels/classes are preserved as real outcomes rather than coerced to fake numeric targets. v2.10.1 SM-06 CONSUMPTION. Converge Engine-side outcome consumption on the canonical published SM-06 OutcomeDefinition and canonical outcome store. Consume — never redefine — outcome_type, class taxonomy, ordinal rank map, outcome-specific grain, detection_position_code, detection_timestamp_field, direction, unit and censoring policy. The two detection fields are the leakage anchors consumed by G-06. Refresh may not silently reassign grain, classes or outcome semantics, and categorical/ordinal outcomes remain real classes rather than fake numeric targets.</t>
  </si>
  <si>
    <t>One namespace across registry, store and engines. Grain survives refresh. Load ordinal/multiclass outcomes and prove class labels/counts seen by T-177/T-146 exactly match the store without manual repair. For a published SM-06 definition, prove the Engine receives exactly the canonical grain, classes/ranks, direction/unit/censoring semantics and detection_position_code/detection_timestamp_field. Inject a feature that becomes available only after the declared detection anchor and prove G-06 blocks it fail-closed. Publish a new outcome-definition version and prove an older run/snapshot continues to resolve the old semantics rather than being silently reinterpreted.</t>
  </si>
  <si>
    <t>T-090; T-128; T-129; T-177</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</si>
  <si>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T-090 canonical SM-06 binding + T-128/T-129 + T-177; complete BEFORE T-146 fi...</t>
  </si>
  <si>
    <t>Correct</t>
  </si>
  <si>
    <t>T-157</t>
  </si>
  <si>
    <t>Practice, prediction and model calibration on real data</t>
  </si>
  <si>
    <t>Calibration</t>
  </si>
  <si>
    <t>With a longer real-data window, execute governed retraining/calibration, OOT/subgroup/missingness/explanation-stability checks, drift review and the site portions of B-05/B-06. Tune only benchmark-open parameters; no gate threshold is weakened to make a model pass.</t>
  </si>
  <si>
    <t>Each served model has a governed retraining/evaluation record, calibration evidence, drift decision and reproducible manifest. Any encoder/ANN choice is supported by the recorded benchmark against its simpler/exact baseline.</t>
  </si>
  <si>
    <t>WAIT for deployed Release 1 + real customer/site evidence. Release 2 accepted + customer data window</t>
  </si>
  <si>
    <t>L4.4; L4.7</t>
  </si>
  <si>
    <t>T-158</t>
  </si>
  <si>
    <t>Remediation validation against real process constraints</t>
  </si>
  <si>
    <t>Validate remediation actionability, support thresholds, controllability and process-stage timing against the customer's real constraints. The human approval/read-only boundary remains absolute.</t>
  </si>
  <si>
    <t>Validate all nine checks against real constraints and replay at least one allowed and one refused case. No path permits automatic plant control and all refusal evidence is retained.</t>
  </si>
  <si>
    <t>The Value Engine</t>
  </si>
  <si>
    <t>Value</t>
  </si>
  <si>
    <t>Build value_impacts, cost_assumptions, the value realisation ledger and D7 Value Dashboard, honouring the two-downtime-quantity rule. Consume exact operational-period driver quantities from T-237 and transition/stabilisation evidence from T-235/T-236 so setup/changeover/ramp-up loss can be priced without inventing quantities. This is the only authority that converts assumption-based operational impact into bounded money.</t>
  </si>
  <si>
    <t>A euro figure is only ever shown as a bounded range with its assumptions visible and its evidence resolvable. No number without evidence.</t>
  </si>
  <si>
    <t>T-237; T-235</t>
  </si>
  <si>
    <t>L9.7</t>
  </si>
  <si>
    <t>Value engine</t>
  </si>
  <si>
    <t>T-165</t>
  </si>
  <si>
    <t>Commercial capacity finalisation and the sales calculator</t>
  </si>
  <si>
    <t>Commercial</t>
  </si>
  <si>
    <t>Validate the real user, page, job, DB-link and data bands against measured infrastructure, and build the Sales Administration and capacity calculator from Chapter 6 6.3.8.
v2.22.0 — Explicitly deliver infrastructure-cost formula Ch6 6.3.5 and licence-price function 6.3.6 with their separate assumptions and units; avoid conflating entitlement with commercial price.</t>
  </si>
  <si>
    <t>A quote produced by the calculator matches the measured server class for the same inputs.
v2.22.0 — Known-answer cost and price inputs/outputs; unit/currency/time basis; invalid/missing assumptions refuse; customer figures not fabricated.</t>
  </si>
  <si>
    <t>L7.6</t>
  </si>
  <si>
    <t>Commercial capacity model and licence-price function</t>
  </si>
  <si>
    <t>L7.7</t>
  </si>
  <si>
    <t>T-183</t>
  </si>
  <si>
    <t>Semantic Contract Manifest persistence, resolver and G-55 coverage</t>
  </si>
  <si>
    <t>Semantic reproducibility</t>
  </si>
  <si>
    <t>After Release 1-P1/P2 establish final definition/relationship authority, implement ppiq_meta.semantic_manifests as immutable tenant-owned reproducibility pins: manifest_id UUID PK, tenant_id, manifest_hash, referenced definition versions, relationship publication, registry/configuration hashes and UNIQUE(tenant_id, manifest_hash). Build ManifestResolver and semantic_manifest_id references on governed run/artifact/evidence tables. Legacy rows may be null; every new governed AI/ML execution must resolve a manifest.</t>
  </si>
  <si>
    <t>Create identical content in two tenants and prove separate rows; identical content twice in one tenant reuses the same manifest. Attempt mutation and refuse it. Start a new governed AI/ML run without a resolvable manifest and prove G-55 refuses before output persistence. A changed answer can be traced to a manifest diff.</t>
  </si>
  <si>
    <t>T-089; T-090; T-091; T-092; T-093; T-094; T-095; T-096; T-097; T-098; T-099; T-100; T-101; T-102; T-103; T-104; T-112; T-114</t>
  </si>
  <si>
    <t>T-129; T-130; T-133; T-135; T-184; T-185; T-186; T-187; T-192</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</si>
  <si>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T-089..T-105 canonical definition/relationship authority + T-112 + T-114 secu...</t>
  </si>
  <si>
    <t>T-184</t>
  </si>
  <si>
    <t>Snapshot Materialiser: seal feature state into typed artifacts and enforce G-48</t>
  </si>
  <si>
    <t>Training data path</t>
  </si>
  <si>
    <t>Wire T-169 into production as the Snapshot Materialiser. It is the sole component permitted to read feature_store for sealing; training/encoding consume only the immutable typed artifact. Persist hash/format/size/row-count/semantic_manifest_id and optional declared audit sample. No full duplicate JSONB training population.
v2.10.2 BENCHMARK-STATE RULING — persist the artifact format actually used for each snapshot, but do not call one format the universal/site-selected winner merely because T-169/T-182 synthetic smoke runs. Selection remains measurement/site evidence; the materialiser must support explicit configured candidate identity.</t>
  </si>
  <si>
    <t>Seal a snapshot, mutate live feature_store, then train/read through the artifact and reproduce the original input. Architecture gate G-48 fails if any trainer/encoder queries feature_store directly. Corrupt the artifact and prove hash verification refuses it before training.</t>
  </si>
  <si>
    <t>T-128; T-169; T-183; T-112; T-114; T-135</t>
  </si>
  <si>
    <t>T-187; T-192</t>
  </si>
  <si>
    <t>T-128 + T-169 + T-183 + T-112/T-114/T-135 security ratchet.</t>
  </si>
  <si>
    <t>T-185</t>
  </si>
  <si>
    <t>sequence_manifests persistence and object-storage sequence path</t>
  </si>
  <si>
    <t>Wire T-170 into production: ppiq_plant.sequence_manifests stores subject/channel/time/count/hash/storage/chunk metadata while object storage holds immutable numeric payload chunks. Integrate retention/backup identity and bounded loader access. PostgreSQL stores no numeric sequence arrays.
v2.10.2 BENCHMARK-STATE RULING — chunk/compression policy remains configured/recorded until representative/site B-04 evidence freezes it. Persist exact codec/chunk identity per manifest; do not hide the choice behind an unmeasured global default.</t>
  </si>
  <si>
    <t>Persist and reload a large multi-chunk sequence with manifest/content verification and bounded memory. Search the canonical schema and prove no numeric sequence payload array column exists. Restore the artifact/DB pair and reproduce the sequence; a missing chunk produces a typed refusal.</t>
  </si>
  <si>
    <t>T-170; T-183; T-122; T-112; T-114; T-135</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</si>
  <si>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T-170 + T-183 + T-122 final object-storage/container path + T-112/T-114/T-135...</t>
  </si>
  <si>
    <t>T-186</t>
  </si>
  <si>
    <t>Persist capability profiles, prediction points and the model-count governor</t>
  </si>
  <si>
    <t>Persist the T-171 capability profile per outcome/grain/manifest and implement governed prediction-point candidates plus the model-count governor. Only capabilities supported by measured data become eligible; collapsed dimensions and refusal reasons remain visible. Prediction points are activated under policy rather than multiplying models blindly.
v2.22.0 — Persist and integrate CapabilityProfiler while preserving one readiness decision authority; coordinate T-146 consumers so a second production readiness result cannot disagree.</t>
  </si>
  <si>
    <t>On one rich and one sparse reference population, persist different capability states with their measured basis. Generate prediction-point candidates and prove the governor caps/chooses them deterministically. An unsupported model family remains MODEL_NOT_READY/NOT_APPLICABLE rather than creating a placeholder model.
v2.22.0 — Same population/definition/manifest yields same gate decision at all consumers; values/thresholds/refusal evidence visible; missing data fail-closed.</t>
  </si>
  <si>
    <t>T-171; T-183; T-128; T-129; T-195; T-135</t>
  </si>
  <si>
    <t>T-134; T-187; T-188; T-192</t>
  </si>
  <si>
    <t>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T-171 + T-183 + T-128/T-129 + T-195 canonical readiness thresholds + T-135 se...</t>
  </si>
  <si>
    <t>Production training/index integration: snapshots → ML lanes → registry activation</t>
  </si>
  <si>
    <t>ML integration</t>
  </si>
  <si>
    <t>Integrate T-168 runtime, T-172/T-174/T-175 learned families, T-173 index builder, T-176 promotion, T-183 manifests and T-184/T-185 artifacts with the Release 1 scheduler lanes. Training/index jobs consume sealed artifacts, checkpoint where declared, write governed result manifests and register candidates; only gate-approved versions activate. No daytime request enters training.
v2.10.2 BENCHMARK-STATE RULING — integration may activate a candidate only against the declared frozen acceptance metrics for the environment. It must record candidate/runtime/index/artifact identities and may not convert synthetic benchmark smoke into a universal production selection. Site B-05/B-06 choices are frozen by T-157; final B-01..B-09 sizing/selection evidence is consumed by T-159.</t>
  </si>
  <si>
    <t>Run a full candidate job from sealed snapshot through training/evaluation/registry. Prove direct feature_store access is absent, a failed gate cannot activate, a passed candidate activates atomically per serving identity, and online serving remains available while training/batch are saturated. MF-02 recall floor blocks an inadequate index.</t>
  </si>
  <si>
    <t>T-168; T-169; T-170; T-171; T-172; T-173; T-174; T-175; T-176; T-183; T-184; T-185; T-186; T-107; T-109; T-112; T-114; T-135; T-195</t>
  </si>
  <si>
    <t>T-139; T-141; T-191; T-192; T-193; T-246</t>
  </si>
  <si>
    <t>T-107 + T-109 + T-168..T-176 + T-183..T-186 + T-112/T-114/T-135 + T-195.</t>
  </si>
  <si>
    <t>T-188</t>
  </si>
  <si>
    <t>Canonical D4 Findings and D8 ML Readiness/Models cutover</t>
  </si>
  <si>
    <t>Intelligence surfaces</t>
  </si>
  <si>
    <t>Replace the M1 presentation adapters behind D4 Findings and D8 ML Readiness/Models with canonical run/finding/capability/model-registry sources. Preserve the frozen route, layout, labels, controls and refusal semantics; only the hidden data authority changes. Expose method/population/q-value/effect evidence and real readiness/model lifecycle state.</t>
  </si>
  <si>
    <t>Run the M1 continuity snapshots for both pages and record no visible-contract regression. Kill a canonical source and prove the page shows the same bounded failure/refusal state rather than presentation fallback data. Every displayed model/finding resolves to manifest/run/evidence.</t>
  </si>
  <si>
    <t>T-129; T-130; T-186; T-195</t>
  </si>
  <si>
    <t>T-138; T-192</t>
  </si>
  <si>
    <t>T-129 + T-130 + T-186 + T-195 + M1 continuity snapshots.</t>
  </si>
  <si>
    <t>L4.1; L4.2</t>
  </si>
  <si>
    <t>Canonical D5 Risk and D9 Early Warning cutover</t>
  </si>
  <si>
    <t>Prediction surfaces</t>
  </si>
  <si>
    <t>Bind D5 Risk and D9 Early Warning to prediction_current/prediction evidence. D5 remains aggregate current risk; D9 remains the per-unit actionable queue with deadline, drivers, fallback state, comparables and can_accept/remediation status. Preserve the M1 visual contract and remove presentation-only backing data.</t>
  </si>
  <si>
    <t>Continuity snapshots remain stable. Force a late prediction, fallback use, missing driver evidence and suppressed remediation; each renders the designed canonical state. No row appears actionable after its deadline and no client re-derives can_accept.</t>
  </si>
  <si>
    <t>T-139; T-140; T-141; T-142; T-143</t>
  </si>
  <si>
    <t>T-192</t>
  </si>
  <si>
    <t>T-139..T-143 + M1 continuity snapshots</t>
  </si>
  <si>
    <t>T-190</t>
  </si>
  <si>
    <t>Canonical D6 Suggestions and decision-action cutover</t>
  </si>
  <si>
    <t>Remediation surfaces</t>
  </si>
  <si>
    <t>Bind D6 Suggestions to canonical remediation candidates/eligibility/decision records. Suppressed candidates never render. Accept/Reject/Defer controls obey server can_accept and preserve the human/read-only boundary. Preserve the M1 visual contract while deleting presentation-only decision data paths.
v2.22.0 — Retire Phase8SuggestionOutcomeLoopEndpoints as an alternate decision/outcome authority during canonical cutover; preserve relevant historical records and route compatibility only where semantically lawful.</t>
  </si>
  <si>
    <t>Run continuity snapshots. Attempt client-side manipulation to enable a forbidden decision and prove the server refuses it. Exercise actionable/evidence_only/exploratory/suppressed cases and confirm only allowed states appear with evidence and actor/reason history.
v2.22.0 — No new hand-entered actual outcomes; canonical feedback loop with actor/time/provenance; disabled legacy routes cannot mutate production state.</t>
  </si>
  <si>
    <t>T-142; T-143; T-144; T-145</t>
  </si>
  <si>
    <t>T-142..T-145 + M1 continuity snapshots</t>
  </si>
  <si>
    <t>L9.2</t>
  </si>
  <si>
    <t>Suggestion generation from findings</t>
  </si>
  <si>
    <t>L9.3; L9.4</t>
  </si>
  <si>
    <t>T-191</t>
  </si>
  <si>
    <t>D11 Scenario Simulation: governed read-only modelled comparison</t>
  </si>
  <si>
    <t>Scenario simulation</t>
  </si>
  <si>
    <t>Implement the already-designed D11 scenario path as decision support, not plant control: choose declared variables within valid ranges, hold the rest fixed, run against a named active model version/semantic manifest, compare with baseline and persist scenario_runs with uncertainty/disclaimer/evidence. It never writes to a customer system and never masquerades as an observed prediction.</t>
  </si>
  <si>
    <t>Run a bounded scenario and resolve baseline/model/manifest/evidence. An out-of-range or non-controllable variable is refused. The result is labelled simulation, includes uncertainty, and no source-system write/control endpoint is reachable from the path.</t>
  </si>
  <si>
    <t>T-130; T-176; T-187</t>
  </si>
  <si>
    <t>T-130 + T-176 + T-187</t>
  </si>
  <si>
    <t>L10.4</t>
  </si>
  <si>
    <t>Target-architecture gate pack G-48..G-55</t>
  </si>
  <si>
    <t>Architecture gates</t>
  </si>
  <si>
    <t>Implement the eight target-architecture gates as executable tests: G-48 materialiser-only feature_store read; G-49 ML lane isolation; G-50 admission satisfiable; G-51 ANN recall floor; G-52 evidence-budget/truncation integrity; G-53 deterministic answer verification; G-54 governed-model-only learned multimodal output; G-55 semantic-manifest coverage. Keep them standalone and fail-closed; T-150 owns final pipeline wiring.</t>
  </si>
  <si>
    <t>Falsify every gate once. Each deliberate violation fails for the named reason and passes only after the defect is removed. A missing test input/dependency is a failure, not a skip/pass. Produce one machine-readable gate report consumable by T-150.</t>
  </si>
  <si>
    <t>T-183; T-184; T-185; T-186; T-187; T-188; T-189; T-190; T-191; T-107; T-122</t>
  </si>
  <si>
    <t>T-183..T-191 + T-107/T-122 as applicable</t>
  </si>
  <si>
    <t>L4.3; L4.8; L5.8</t>
  </si>
  <si>
    <t>T-193</t>
  </si>
  <si>
    <t>Drift Supervisor and governed model-action proposals</t>
  </si>
  <si>
    <t>Implement the Drift Supervisor over served model/index/practice state. Detect declared distribution/performance/calibration/explanation drift, propose bounded actions, shadow-run where applicable and require human approval before applying. It may never lower readiness thresholds, refusal rules, evidence requirements, leakage gates, tenant isolation or semantic contracts, and it never performs continuous online weight updates.</t>
  </si>
  <si>
    <t>Trigger each supported drift class on fixtures and prove a proposal is recorded with evidence. Attempt to propose a forbidden threshold/gate weakening and prove it is rejected structurally. Approve one allowed bounded action and confirm atomic application plus rollback pointer; reject one and confirm no state change.</t>
  </si>
  <si>
    <t>T-130; T-187; T-139; T-145</t>
  </si>
  <si>
    <t>T-130 + T-187 + T-139/T-145</t>
  </si>
  <si>
    <t>L6.3</t>
  </si>
  <si>
    <t>Supervisor and governed improvement proposals</t>
  </si>
  <si>
    <t>T-195</t>
  </si>
  <si>
    <t>Canonical readiness thresholds, governed change history and fail-closed readiness API</t>
  </si>
  <si>
    <t>Readiness governance</t>
  </si>
  <si>
    <t>Implement the Chapter 3 canonical readiness authority behind the M1-compatible facade: ppiq_meta.readiness_thresholds and readiness_threshold_changes, tenant/outcome-scoped thresholds, GET /api/readiness/evaluate, GET /api/readiness/matrix, GET /api/readiness/thresholds and governed PUT with required justification/audit. Evaluation failure is Blocked/readiness-could-not-be-measured, never Ready by default.</t>
  </si>
  <si>
    <t>Create thresholds for two tenants/outcomes and prove isolation. Change one threshold through the governed API with justification and prove change history/audit. Attempt a non-human/unauthorised change and refuse it. Force the population measurement to fail and prove the result is Blocked with the fail-closed reason. M1 T-066 visible contract remains unchanged.</t>
  </si>
  <si>
    <t>T-090; T-112; T-114</t>
  </si>
  <si>
    <t>T-186; T-187; T-188</t>
  </si>
  <si>
    <t>T-090 + T-112 + T-114</t>
  </si>
  <si>
    <t>T-238</t>
  </si>
  <si>
    <t>Multi-objective Objective Set and Pareto practice kernel</t>
  </si>
  <si>
    <t>Practice intelligence</t>
  </si>
  <si>
    <t>Implement schema-independent multi-objective practice semantics: Objective Set members, hard constraints, Pareto dominance/non-dominance, ParetoOnly/DeclaredUtility/LexicographicOrConstrained resolution and MO01/MO02 refusal. Normalisation consumes Performance Reference semantics; no default weights or sample min-max scaling.</t>
  </si>
  <si>
    <t>Known-answer practice vectors produce the exact Pareto frontier. A conflicting set with no preference refuses a single winner. Declared utility/lexicographic policies produce deterministic rankings and preserve the full objective vector/support/uncertainty.</t>
  </si>
  <si>
    <t>T-208; T-214</t>
  </si>
  <si>
    <t>T-239; T-240</t>
  </si>
  <si>
    <t>May start after T-214 contract; does not block September demo.</t>
  </si>
  <si>
    <t>New objective/Pareto kernel/tests only.</t>
  </si>
  <si>
    <t>T-239 persists objective authority; T-240 integrates practice family.</t>
  </si>
  <si>
    <t>L10.1</t>
  </si>
  <si>
    <t>T-239</t>
  </si>
  <si>
    <t>Persist Objective Set and preference authority</t>
  </si>
  <si>
    <t>Multi-objective persistence</t>
  </si>
  <si>
    <t>Persist objective_sets, objective_set_members and immutable objective_preference_versions under tenant/definition authority. Bind each member to registered outcomes/KPIs/measures and Performance Reference directionality/normalisation. No default weights.</t>
  </si>
  <si>
    <t>Round-trip ParetoOnly and declared preference versions; equal data under a new preference creates a new version rather than rewriting history. Invalid/missing direction/reference refuses MO02.</t>
  </si>
  <si>
    <t>T-090; T-214; T-238</t>
  </si>
  <si>
    <t>T-240</t>
  </si>
  <si>
    <t>After T-090 + frozen T-214/T-238 contracts.</t>
  </si>
  <si>
    <t>objective-set tables/API/migrations.</t>
  </si>
  <si>
    <t>T-240 consumes committed persistence.</t>
  </si>
  <si>
    <t>Composite practice results, trade-off explanation and Assistant tool integration</t>
  </si>
  <si>
    <t>AI+ML / Assistant</t>
  </si>
  <si>
    <t>Multi-objective practice integration</t>
  </si>
  <si>
    <t>Integrate T-238 with canonical practice learning: compute/persist composite_practice_results with objective vectors, support, uncertainty and dominance; expose GetCompositePractices to the deterministic Assistant tool layer. Reuse T-131/T-132/T-133 cohorts/stability/backoff; do not duplicate practice learning.</t>
  </si>
  <si>
    <t>One customer-neutral fixture returns a supported Pareto frontier; unsupported/conflicting objectives refuse correctly; preference-resolved rank is reproducible by version. Assistant explains trade-offs and never calls a Pareto point universally best without declared preference.</t>
  </si>
  <si>
    <t>T-131; T-132; T-133; T-238; T-239</t>
  </si>
  <si>
    <t>T-249; T-264</t>
  </si>
  <si>
    <t>After practice core + objective persistence.</t>
  </si>
  <si>
    <t>Practice intelligence/Assistant tool only.</t>
  </si>
  <si>
    <t>T-138 may expose this tool after completion; no Assistant redesign.</t>
  </si>
  <si>
    <t>T-246</t>
  </si>
  <si>
    <t>Canvas governed model/intelligence block invocation</t>
  </si>
  <si>
    <t>Expose registered intelligence/model families as governed canvas blocks after the production model registry exists. Invocation resolves serving identity/model version and semantic manifest, calls the registered runtime, and returns governed result/evidence handles. No model framework or provider is exposed as the product contract.</t>
  </si>
  <si>
    <t>Invocation resolves an active registered serving identity and semantic manifest; an unregistered/not-ready model refuses; result carries evidence handles/claim class; no direct Python/provider call exists in the frontend.</t>
  </si>
  <si>
    <t>T-243; T-130; T-137; T-187</t>
  </si>
  <si>
    <t>Consume accepted producer contracts; remaining dependencies: T-243; T-130; T-137; T-187. No private scheduler/definition authority. Source-present is not closure proof.</t>
  </si>
  <si>
    <t>Canvas model/intelligence block adapters only.</t>
  </si>
  <si>
    <t>T-130/model registry and T-137 serving runtime remain authorities.</t>
  </si>
  <si>
    <t>L4.2; L4.7</t>
  </si>
  <si>
    <t>T-264</t>
  </si>
  <si>
    <t>Registry-driven internal benchmarking</t>
  </si>
  <si>
    <t>Implement Core internal benchmarking Ch4 5.8.5 across registered dimensions and periods and against matching own-best practice. Reuse T-214/T-240 semantics; no assumed line/shift/customer taxonomy.</t>
  </si>
  <si>
    <t>BM01 small-population refusal with both counts; BM02 no coloring without direction; explicit normalization/units and periods; context-comparable own-best practice; reproducible evidence/export and negative cross-tenant tests.</t>
  </si>
  <si>
    <t>T-214; T-240</t>
  </si>
  <si>
    <t>Consume accepted producer contracts; remaining dependencies: T-214; T-240. No private scheduler/definition authority. Source-present is not closure proof.</t>
  </si>
  <si>
    <t>Internal benchmarking</t>
  </si>
  <si>
    <t>L9.1; L4.6</t>
  </si>
  <si>
    <t>Chapters 3/4 v4.10.3 — MD + illustrated Word; UI Coverage / UI Controls in this workbook
v2.23.0 — T-267 supplies D12 comparison/direction/sample-refusal/normalisation design. BM01/BM02 behavior and result evidence remain implementation acceptance, not illustrated proof.</t>
  </si>
  <si>
    <t>T-167</t>
  </si>
  <si>
    <t>Documentation, training and production acceptance</t>
  </si>
  <si>
    <t>Runbook, operator and data-engineer and administrator guides, release notes, known limitations, rollback plan and the formal acceptance suite.</t>
  </si>
  <si>
    <t>The acceptance suite passes and is signed. Known limitations are written down before the customer finds them.</t>
  </si>
  <si>
    <t>M3-P5</t>
  </si>
  <si>
    <t>Heavy-production Certification</t>
  </si>
  <si>
    <t>M3 P5 — Heavy-production Certification. Release 2 is heavy production / scale / deeper enterprise use.</t>
  </si>
  <si>
    <t>Release 2 heavy-production final certification gate</t>
  </si>
  <si>
    <t>Release certification</t>
  </si>
  <si>
    <t>Final M3 gate for sustained heavy production: higher volumes, more users, OT endurance, enterprise operations, advanced BI/authoring, advanced intelligence/value, recovery and support. No release if a required M3 production capability is only a demo/proof seam.</t>
  </si>
  <si>
    <t>One machine-readable M3 scorecard is GREEN across capacity, concurrency, customer-source endurance, security, backup/restore, monitoring, advanced BI/authoring, model lifecycle, value evidence and customer runbook. Zero unresolved Critical/Very Important release defects.</t>
  </si>
  <si>
    <t>T-153; T-159; T-160; T-161; T-162; T-163; T-164; T-167; T-193; T-230; T-240; T-248; T-263; T-264; T-246; T-110; T-267</t>
  </si>
  <si>
    <t>After all M3 MUST gates</t>
  </si>
  <si>
    <t>Cross-stack release evidence; exact staging only</t>
  </si>
  <si>
    <t>Certification task only. Defects go back to the owning task/worker; do not patch features inside the gate.</t>
  </si>
  <si>
    <t>M3 P5 final authority. Release 2 means heavy-production ready, not another demonstration.</t>
  </si>
  <si>
    <t>T-265</t>
  </si>
  <si>
    <t>Release-1 UI design depth, workflow and illustrated-companion convergence</t>
  </si>
  <si>
    <t>Derived UI design and handoff</t>
  </si>
  <si>
    <t>High</t>
  </si>
  <si>
    <t>Revise the existing derived UI/Figma package, not the functional Design. Deliver build-ready, page-specific designs for every M2-exposed portion of the 40-page inventory, all applicable G1-G5 components, dialogs, S1/S2 and active S3/S5 editors, toolbox elements and inspectors; retain M3-only portions in T-267. Explicit M2 coverage includes A1/A2, B1-B6, C1/C2/C3/C5/C6, D1-D8 where active, E2/E3, F1-F4 minimum controls, and the actual release settings/logging surfaces. The approved page-by-page closure matrix, not this illustrative list, controls completeness. T-266 owns OPC content embedded in B1-B4/B6.
For each obligation bind chapter/section -&gt; semantic control/interaction ID -&gt; reachable frame/state/node -&gt; transition/data contract -&gt; implementation owner -&gt; acceptance evidence. Replace placeholder-only samples with labelled synthetic fixtures of realistic density and edge cases. Distinguish D1 view/selection from D2 authoring; B5 monitoring from F4 scheduling/dependency administration. Reuse the shell and components; C1 correctly hosts the S1 authoring mode and need not have an arbitrary different geometry.
C1 must show selected Source/Join/Output inspectors, labelled typed ports, legal/illegal wiring, diagnostic-to-node focus, field binding, validate/preview, immutable publish/impact, reopen and SQL parity. C2/C3 must show catalogue-driven quarantine codes/counts, lineage, row detail and guarded reprocessing; target coverage includes the chapter's PV catalogue, never a hardcoded eight-code limit. B3 shows typed total-order cursors; B4/B5 show durable outcome/error/cursor and cancel-request acknowledgement versus canonical terminal state. D1 shows selected/possible/excluded values, pivot, clear-one/all and propagation, plus applicable table navigation/export; none of this M2 baseline moves to M3.
Fix Home to J1-J15 or an explicitly mapped condensed rail; verify all 87 dialog source citations semantically, including rendered Word captions. Use page-specific applicability, permission/refusal, focus, keyboard, supported narrow-view and RTL states. Update Chapter 3/4 MD and illustrated Word from one maintained visual/interaction specification, with source prose preserved and the coverage register inside this workbook. Keep native Figma/tooling source in its implementation environment; store Figma file/node and acceptance references here, not in additional design-book files. No native-Figma, browser-runtime or enterprise-ready claim without the corresponding executed proof.</t>
  </si>
  <si>
    <t>AC1: Every required M2 clause/control/transition is accounted for in a semantic traceability matrix; coverage resolves to a reachable frame/variant or a justified N/A. Literal label search is diagnostic only, not acceptance; no requirement to show permission-conditional controls in one default screenshot.
AC2: Execute documented prototype walkthroughs with labelled fixtures for connect/test/discover/cursor/import, select/inspect/wire/map/publish/reopen, run/schedule/cancel/failure/quarantine/reprocess, and multi-widget selection/clear/export/evidence. Verify normal, refused and recovery transitions, preserved edits, focus and permission outcomes.
AC3: Demonstrate D1/D2 and B5/F4 semantic differences while preserving reusable shell/components; C1/S1 shared structure is allowed. Show all required controls rather than inflating node count.
AC4: J1-J15 mapping is exact; all 87 dialog references are verified against owning clauses in this workbook's coverage data and the Chapter 3/4 MD and illustrated Word (not merely matching an existing heading). All 40 pages, 6 shell components, 82 toolbox entries, 16 inspectors and 10 purpose/mode frames remain in the coverage ledger.
AC5: Check keyboard traversal/focus return, meaningful disabled explanations, responsive panel behavior, RTL with SQL/identifiers kept LTR, and applicable loading/empty/error/read-only states using actual rendered designs.
AC6: Re-open one native Figma import for each structural class and all changed scenes for diagnostics; confirm editable frames/text, fonts, component instances/variants and working prototype transitions. Save file/node references and inspection evidence. Pending Figma execution stays explicitly NOT EXECUTED, not pass.
AC7: Export both illustrated Word chapters only after all included figures resolve, source prose is retained and the corrected images/captions pass a visual check. Task closure is design handoff only; D2/D5 product runtime completion remains with implementing tasks and T-247/T-150.</t>
  </si>
  <si>
    <t>T-247; T-267</t>
  </si>
  <si>
    <t>Design authoring</t>
  </si>
  <si>
    <t>Contract-led parallel design</t>
  </si>
  <si>
    <t>Read v4.10.3 and frozen producer contracts. Contract-ready does not require producer completion; final design acceptance requires recorded walkthrough evidence.</t>
  </si>
  <si>
    <t>UI companion: non-OPC M2 scenes + Chapter 3/4 reading-edition assets. CENTRAL alone merges shared tokens/data/atlas; no product source lock.</t>
  </si>
  <si>
    <t>UI design completion is not product implementation completion. Reuse the current authorities/components; use per-surface handoffs and no shared-file concurrent writes.</t>
  </si>
  <si>
    <t>UI companion / design acceptance</t>
  </si>
  <si>
    <t>Functional Design v4.10.3 unchanged. Design, rendered visual, prototype and live-runtime evidence are separate.</t>
  </si>
  <si>
    <t>L1.1; L1.2; L1.3; L1.7; L2.2; L2.3; L2.6; L2.7; L3.2; L3.3; L3.5; L3.6; L3.7; L5.2; L6.1; L6.7</t>
  </si>
  <si>
    <t>Supports implementation; no runtime credit</t>
  </si>
  <si>
    <t>D2 preparation only; D1-D5 product credit requires implementation evidence</t>
  </si>
  <si>
    <t>M2_REQUIRED</t>
  </si>
  <si>
    <t>Design handoff only</t>
  </si>
  <si>
    <t>PENDING — new design/prototype/native Figma evidence not yet executed</t>
  </si>
  <si>
    <t>Fable's provisional estimate retained only in Estimate Review; not accepted as Hours or P80.</t>
  </si>
  <si>
    <t>UI_Coverage_v2.23.0.json and UI_Workflow_Acceptance_v2.23.0.md; same companion version as revised visual edition, distinct from functional authority.</t>
  </si>
  <si>
    <t>T-099; T-106; T-253; T-262; T-101; T-125</t>
  </si>
  <si>
    <t>NOT STARTED — DESIGN DELIVERY</t>
  </si>
  <si>
    <t>No implementation or native-Figma closure claimed.</t>
  </si>
  <si>
    <t>UNCONFIRMED DESIGN ESTIMATE</t>
  </si>
  <si>
    <t>T-266</t>
  </si>
  <si>
    <t>UI companion OPC scene subset only; Worker 1 reviews endpoint/security/time/spool contracts; CENTRAL merges shared UI data.</t>
  </si>
  <si>
    <t>L1.4; L1.1; L1.5; L6.8</t>
  </si>
  <si>
    <t>T-224; T-225; T-226; T-233</t>
  </si>
  <si>
    <t>T-267</t>
  </si>
  <si>
    <t>Release-2 interface depth and enterprise BI/authoring parity design</t>
  </si>
  <si>
    <t>Complete the M3 remainder of the entire existing UI inventory, not just selected BI examples. Preserve all 40 page IDs, all 87 dialogs, 82 toolbox entries, 16 inspectors, 10 S1-S5 Block/SQL mode frames, expressions and G1-G6. Derive each remaining state/interaction from the owning chapter and the approved T-248 outcome matrix, including later Findings/Risk/Practice/Scenario/Benchmarking, Reports, Supervisor, alert/admin and licence/quota depth where deferred.
Own advanced named selections/bookmarks, comparison states, drill/hierarchies, pivot/crosstab or governed equivalent, undo/redo, immutable version compare, multi-sheet layout, concurrency conflict recovery, advanced export fidelity, G3 command palette and G6 activity tray. Basic M2 selection/clear, table navigation, cancellation feedback and existing workflow correctness stay in T-265; do not defer them here.
Use the common component library and model/report/benchmark/decision contracts; no unsupported window is made functional by a mockup. Finish distinct view/edit/inspect/pending/conflict/refusal recovery flows rather than producing duplicate placeholder frames. Deliver the revised visual specification inside Chapter 3/4 MD and both illustrated Word editions with stable traceable captions; retain native editable Figma evidence as file/node references inside this workbook. Do not add a standalone atlas or companion file to the design book.</t>
  </si>
  <si>
    <t>AC1: Every uncompleted UI inventory obligation has a concrete M3 frame/state/interaction and one runtime owner; none disappears because an earlier template lacked it. Explicitly reconcile all 75 T-248 outcome rows with design/prototype evidence and then implementation acceptance; signed N/A only where the chapter allows it.
AC2: Demonstrate advanced selection/save/restore, pending lasso confirm/cancel, drill/return, multi-sheet authoring, undo/redo, version diff, conflict resolution, and current-state export with applied filter/period/permission context.
AC3: Include full deferred page workflows (Reports generation/delivery, Benchmarking sample/direction refusals, model activation/retirement, decisions/outcomes/effectiveness, Supervisor and administration) against their producer contracts.
AC4: Apply semantic control coverage, applicable states, accessibility/focus/keyboard, responsive and RTL checks; shared components are encouraged, not forbidden.
AC5: Native Figma editable import/prototype and no clipped/unreadable controls are observed; evidence references actual scenes and transitions. Updated Chapter 3/4 Markdown and illustrated Word preserve chapter prose and correct citations; coverage and verification remain in the latest Backlog.
AC6: T-248 and T-249 verify product behavior independently. Design acceptance alone never raises product D2/D5 scores or marks an implementation task Done.</t>
  </si>
  <si>
    <t>T-248; T-249</t>
  </si>
  <si>
    <t>UI companion M3 subset; shared token/atlas/Word merge owned by CENTRAL; no duplicate functional authority.</t>
  </si>
  <si>
    <t>L3.1; L3.2; L3.3; L3.9; L6.5; L6.7; L7.4; L9.3; L9.5; L10.1; L10.4</t>
  </si>
  <si>
    <t>M3_DEFERRED</t>
  </si>
  <si>
    <t>Full remaining UI inventory + T-248 75-item matrix + UI_Workflow_Acceptance_v2.23.0.md</t>
  </si>
  <si>
    <t>T-248; T-263; T-264; T-196; T-197; T-198; T-199; T-200</t>
  </si>
  <si>
    <t>Release Plan — v2.23.0 | reviewed15Sep2026; partial non-withdrawn estimates only</t>
  </si>
  <si>
    <t>Release</t>
  </si>
  <si>
    <t>Planning target</t>
  </si>
  <si>
    <t>Phase</t>
  </si>
  <si>
    <t>Outcome</t>
  </si>
  <si>
    <t>Active tasks</t>
  </si>
  <si>
    <t>Open</t>
  </si>
  <si>
    <t>In progress</t>
  </si>
  <si>
    <t>Usable scope h</t>
  </si>
  <si>
    <t>Usable open scope h</t>
  </si>
  <si>
    <t>Estimate unresolved rows</t>
  </si>
  <si>
    <t>Exit condition</t>
  </si>
  <si>
    <t>~1 month from owner checkpoint</t>
  </si>
  <si>
    <t>T-150 Day-1 release gate</t>
  </si>
  <si>
    <t>Industrial Intelligence</t>
  </si>
  <si>
    <t>Release Hardening</t>
  </si>
  <si>
    <t>45 days after M2</t>
  </si>
  <si>
    <t>T-249 final release certification</t>
  </si>
  <si>
    <t>Advanced BI / Authoring</t>
  </si>
  <si>
    <t>Advanced ML / Optimisation / Value</t>
  </si>
  <si>
    <t>Worker Tracks — v2.23.0 | Task-ID joins; design work is not runtime proof</t>
  </si>
  <si>
    <t>Owner</t>
  </si>
  <si>
    <t>Usable estimate h</t>
  </si>
  <si>
    <t>Usable P80 h</t>
  </si>
  <si>
    <t>Depends On</t>
  </si>
  <si>
    <t>Start/Gate</t>
  </si>
  <si>
    <t>Lock</t>
  </si>
  <si>
    <t>Handoff</t>
  </si>
  <si>
    <t>Evidence state</t>
  </si>
  <si>
    <t>Contract-ready predecessors</t>
  </si>
  <si>
    <t>Requirement Traceability — current Backlog v2.23.0</t>
  </si>
  <si>
    <t>Requirement family</t>
  </si>
  <si>
    <t>Design authority</t>
  </si>
  <si>
    <t>M2 Release 1</t>
  </si>
  <si>
    <t>M3 Release 2</t>
  </si>
  <si>
    <t>Primary tasks</t>
  </si>
  <si>
    <t>M2 acceptance</t>
  </si>
  <si>
    <t>M3 acceptance</t>
  </si>
  <si>
    <t>Customer use</t>
  </si>
  <si>
    <t>Mirror state</t>
  </si>
  <si>
    <t>Ruling</t>
  </si>
  <si>
    <t>DB Link / external databases</t>
  </si>
  <si>
    <t>Ch3 4.5 + Ch4 5.0.0</t>
  </si>
  <si>
    <t>Day-1 production</t>
  </si>
  <si>
    <t>Scale/certification</t>
  </si>
  <si>
    <t>T-207; T-247; T-254; T-095..105</t>
  </si>
  <si>
    <t>Connect→browse→preview→map→import→canonical with no product-code diff; capability/certification copy comes from one executable truth</t>
  </si>
  <si>
    <t>Real-source endurance and complex relationship certification</t>
  </si>
  <si>
    <t>Customer IT day 1</t>
  </si>
  <si>
    <t>MIRRORED</t>
  </si>
  <si>
    <t>M2 first priority</t>
  </si>
  <si>
    <t>Canvas / SQL / data preparation</t>
  </si>
  <si>
    <t>Ch4 5.0.0 + 5.2</t>
  </si>
  <si>
    <t>Day-1 production core</t>
  </si>
  <si>
    <t>Advanced authoring parity</t>
  </si>
  <si>
    <t>T-241..246; T-253; T-248</t>
  </si>
  <si>
    <t>Typed Canvas/SQL, governed output target, validate/dry-run, save/version, Job bind; no hardcoded plant/material output identity</t>
  </si>
  <si>
    <t>Scoped measure, named states, advanced story/export/subflow parity</t>
  </si>
  <si>
    <t>No unbounded loops</t>
  </si>
  <si>
    <t>Jobs / scheduling / logs</t>
  </si>
  <si>
    <t>Ch4 5.3 + Ch6 runtime</t>
  </si>
  <si>
    <t>Day-1 run/schedule/monitor/log</t>
  </si>
  <si>
    <t>High-volume lanes/capacity</t>
  </si>
  <si>
    <t>T-106..111; T-125; T-245; T-227</t>
  </si>
  <si>
    <t>Registered executors, target/version, DAG, bounded admission/parallelism, run/monitor/log with mandatory run identity</t>
  </si>
  <si>
    <t>Capacity, scan amplification, checkpoint/resume under heavy load</t>
  </si>
  <si>
    <t>Core in M2, scale in M3</t>
  </si>
  <si>
    <t>Enterprise BI/HMI</t>
  </si>
  <si>
    <t>Ch3 pages + Ch4 5.0.0/5.1</t>
  </si>
  <si>
    <t>Enterprise core</t>
  </si>
  <si>
    <t>Advanced parity</t>
  </si>
  <si>
    <t>T-148; T-202..205; T-212; T-215; T-222; T-250; T-257; T-258; T-248</t>
  </si>
  <si>
    <t>Associative/persisted enterprise core, frontend execution truth, and generic customer HMI with material-specific surfaces bounded to presentation compatibility; advanced BI parity in Release 2.</t>
  </si>
  <si>
    <t>75-item matrix fully closed incl advanced states/story/export</t>
  </si>
  <si>
    <t>All users day 1</t>
  </si>
  <si>
    <t>Qlik-class outcome, PPIQ semantics</t>
  </si>
  <si>
    <t>Production OPC UA</t>
  </si>
  <si>
    <t>Ch2 OT boundary + Ch6 edge</t>
  </si>
  <si>
    <t>Read-only production path</t>
  </si>
  <si>
    <t>Endurance/certification</t>
  </si>
  <si>
    <t>T-207; T-224..226; T-153</t>
  </si>
  <si>
    <t>Real session/browse/subscription/quality/timestamps/spool-to-canonical</t>
  </si>
  <si>
    <t>Real-source endurance and site certification</t>
  </si>
  <si>
    <t>Operations week 1</t>
  </si>
  <si>
    <t>No fake sample claim</t>
  </si>
  <si>
    <t>Ch3/Ch4 reference authority</t>
  </si>
  <si>
    <t>Visible and usable</t>
  </si>
  <si>
    <t>Deeper scale/authoring</t>
  </si>
  <si>
    <t>T-214; T-232; T-215</t>
  </si>
  <si>
    <t>Customer standard/target/envelope visible with correct scoring direction</t>
  </si>
  <si>
    <t>Advanced authoring and large-scale governance</t>
  </si>
  <si>
    <t>Operations/Quality</t>
  </si>
  <si>
    <t>Reference can be 100% aim</t>
  </si>
  <si>
    <t>Reconciliation / root cause</t>
  </si>
  <si>
    <t>Ch3/Ch4 evidence authority</t>
  </si>
  <si>
    <t>Historical + live evidence</t>
  </si>
  <si>
    <t>Persisted/advanced</t>
  </si>
  <si>
    <t>T-217..223; T-221</t>
  </si>
  <si>
    <t>Seven evidence states + causal confidence + grounded explanation</t>
  </si>
  <si>
    <t>Canonical persistence at scale and richer workflows</t>
  </si>
  <si>
    <t>Never claim human intent/lie</t>
  </si>
  <si>
    <t>Assistant / LLM</t>
  </si>
  <si>
    <t>Ch4 Layer-B + Assistant contracts</t>
  </si>
  <si>
    <t>Grounded investigation</t>
  </si>
  <si>
    <t>InsightBoard composition</t>
  </si>
  <si>
    <t>T-179..181; T-223; T-138; T-228..230</t>
  </si>
  <si>
    <t>Governed tools/evidence; no material-specific KPI authority; provider labels require concrete adapters/conformance</t>
  </si>
  <si>
    <t>Auto-generated governed investigation boards</t>
  </si>
  <si>
    <t>All analytical users</t>
  </si>
  <si>
    <t>LLM never invents plant numbers</t>
  </si>
  <si>
    <t>Multi-objective best practice</t>
  </si>
  <si>
    <t>Ch4 practice intelligence</t>
  </si>
  <si>
    <t>Foundation available</t>
  </si>
  <si>
    <t>Full Pareto/product integration</t>
  </si>
  <si>
    <t>T-171..176; T-238..240</t>
  </si>
  <si>
    <t>Underlying kernels available; not Release-1 blocker</t>
  </si>
  <si>
    <t>Objective sets, Pareto/non-dominance, trade-off explanation</t>
  </si>
  <si>
    <t>Operations/CEO</t>
  </si>
  <si>
    <t>No hidden weights</t>
  </si>
  <si>
    <t>Transition / stabilisation</t>
  </si>
  <si>
    <t>Ch3/Ch4 regime context</t>
  </si>
  <si>
    <t>Correctness gate</t>
  </si>
  <si>
    <t>Scale/learning integration</t>
  </si>
  <si>
    <t>T-234..236; T-235</t>
  </si>
  <si>
    <t>Findings state stable/transition/stabilising/mixed and refuse unsafe pooling</t>
  </si>
  <si>
    <t>Extended real-data calibration</t>
  </si>
  <si>
    <t>Prevents confident wrong correlation</t>
  </si>
  <si>
    <t>Financial value / ROI</t>
  </si>
  <si>
    <t>Ch1 value promise + Ch4/Ch6 Value Engine</t>
  </si>
  <si>
    <t>Existing potential-value evidence may be shown bounded</t>
  </si>
  <si>
    <t>Customer-grade realised ROI</t>
  </si>
  <si>
    <t>T-164; existing value engine + T-237</t>
  </si>
  <si>
    <t>No ungoverned monetary promise</t>
  </si>
  <si>
    <t>Real assumptions, realised-value ledger, heavy-use value certification</t>
  </si>
  <si>
    <t>CEO</t>
  </si>
  <si>
    <t>M3 owns customer-certified €/$ value</t>
  </si>
  <si>
    <t>Users / roles / licence / security</t>
  </si>
  <si>
    <t>Ch3/Ch6 administration/security</t>
  </si>
  <si>
    <t>Minimum production-safe controls</t>
  </si>
  <si>
    <t>Deep enterprise administration</t>
  </si>
  <si>
    <t>T-112..121; T-161..162; T-198..200</t>
  </si>
  <si>
    <t>RLS behavioral proof, fail-closed eight-role mapping, vendor-held licence trust root, secret/config/MFA hygiene</t>
  </si>
  <si>
    <t>SSO, advanced admin/logging/retention/site hardening</t>
  </si>
  <si>
    <t>Admin/IT</t>
  </si>
  <si>
    <t>Important but not allowed to starve Day-1 workbench</t>
  </si>
  <si>
    <t>Database schema authority / physical dictionary</t>
  </si>
  <si>
    <t>Ch3 4.5.2/4.5.5b/4.5.20a</t>
  </si>
  <si>
    <t>Zero-unknown fresh schema + upgrade reconciliation</t>
  </si>
  <si>
    <t>Heavy-use schema evolution and compatibility-safe convergence</t>
  </si>
  <si>
    <t>T-087; T-088; T-115; T-123; T-251; T-252; T-256; T-258</t>
  </si>
  <si>
    <t>Zero-unknown physical catalogue + disposable certification DBs + backend runtime three-schema/genericity convergence + frontend consumer handoff with no cross-owner mutation.</t>
  </si>
  <si>
    <t>Schema evolution remains generated, reversible where possible and customer-operable at scale</t>
  </si>
  <si>
    <t>Developer + Customer IT</t>
  </si>
  <si>
    <t>Table count is not a defect; unowned/undocumented authority is.</t>
  </si>
  <si>
    <t>Repository / audit / release-truth source authority</t>
  </si>
  <si>
    <t>Governance + Ch6 release truth</t>
  </si>
  <si>
    <t>Forward-clean source authority and truthful executed gates</t>
  </si>
  <si>
    <t>Sustained release governance</t>
  </si>
  <si>
    <t>T-205; T-250; T-255; T-257; T-150; T-249</t>
  </si>
  <si>
    <t>Root allowlist; no transient run-state/pack payload; audit severity excludes self/backups/generated; gate scripts execute, release profile zero unapproved skips</t>
  </si>
  <si>
    <t>Same rules remain green under Release-2 production certification</t>
  </si>
  <si>
    <t>Developer / Customer IT</t>
  </si>
  <si>
    <t>No mass-renaming of grandfathered task-ID files; forward gate prevents new violations</t>
  </si>
  <si>
    <t>Must Precede</t>
  </si>
  <si>
    <t>Gate</t>
  </si>
  <si>
    <t>Historical / Superseded Task Evidence — not current execution authority</t>
  </si>
  <si>
    <t>Historical status</t>
  </si>
  <si>
    <t>Evidence / Commit</t>
  </si>
  <si>
    <t>Archive ruling</t>
  </si>
  <si>
    <t>Column1</t>
  </si>
  <si>
    <t>Column2</t>
  </si>
  <si>
    <t>T-001</t>
  </si>
  <si>
    <t>Build the six-beat Design Traceability Matrix</t>
  </si>
  <si>
    <t>Historical baseline evidence only; not current execution authority.</t>
  </si>
  <si>
    <t>T-002</t>
  </si>
  <si>
    <t>Audit every presented route and control against the Chapter 3 page inventory</t>
  </si>
  <si>
    <t>T-003</t>
  </si>
  <si>
    <t>Lock the presentation profile as a data profile, not a branch</t>
  </si>
  <si>
    <t>T-004</t>
  </si>
  <si>
    <t>Create the M1 acceptance checklist and evidence folder</t>
  </si>
  <si>
    <t>T-005</t>
  </si>
  <si>
    <t>Rebuild ppiq_presentation into scratch and diff against live</t>
  </si>
  <si>
    <t>T-006</t>
  </si>
  <si>
    <t>Convert every diff finding into a seed or migration script</t>
  </si>
  <si>
    <t>T-007</t>
  </si>
  <si>
    <t>Presentation Phenomena and Widget Coverage Matrix, 
part 1: inventory and the 36-chart blueprint</t>
  </si>
  <si>
    <t>T-008</t>
  </si>
  <si>
    <t>Presentation Phenomena and Widget Coverage Matrix, part 2: map, classify, close</t>
  </si>
  <si>
    <t>T-009</t>
  </si>
  <si>
    <t>Downtime two-quantity contract: final schema and domain slice</t>
  </si>
  <si>
    <t>T-010</t>
  </si>
  <si>
    <t>Run the canonical semantic path end to end through the M1 compatibility boundaries</t>
  </si>
  <si>
    <t>T-011</t>
  </si>
  <si>
    <t>Establish and fix the architecture test pool reliability</t>
  </si>
  <si>
    <t>T-012</t>
  </si>
  <si>
    <t>Canonicalise the JourneyRail to J1 to J15</t>
  </si>
  <si>
    <t>T-013</t>
  </si>
  <si>
    <t>Three-way source reconciliation: KEEP, EXTEND or ADD</t>
  </si>
  <si>
    <t>T-014</t>
  </si>
  <si>
    <t>Capture the current source-shaped donor schemas in a committed generator</t>
  </si>
  <si>
    <t>T-015</t>
  </si>
  <si>
    <t>Presentation Fleet v2 target specification</t>
  </si>
  <si>
    <t>T-016</t>
  </si>
  <si>
    <t>Extend the generator: defect catalogue and chemistry elements</t>
  </si>
  <si>
    <t>T-017</t>
  </si>
  <si>
    <t>Extend the generator: grade specification, and shift as BEHAVIOUR</t>
  </si>
  <si>
    <t>T-018</t>
  </si>
  <si>
    <t>Extend the generator: downtime two quantities and buffer posture</t>
  </si>
  <si>
    <t>T-019</t>
  </si>
  <si>
    <t>Shift and crew operating-practice regimes</t>
  </si>
  <si>
    <t>T-020</t>
  </si>
  <si>
    <t>Post-maintenance recovery and campaign-ageing regimes</t>
  </si>
  <si>
    <t>T-021</t>
  </si>
  <si>
    <t>Equipment personality and temporal regime changes</t>
  </si>
  <si>
    <t>T-022</t>
  </si>
  <si>
    <t>Merge the best existing material into one Fleet v2 truth</t>
  </si>
  <si>
    <t>T-023</t>
  </si>
  <si>
    <t>Scale Fleet v2 to the target plant size</t>
  </si>
  <si>
    <t>T-024</t>
  </si>
  <si>
    <t>Emit and populate the presentation canonical operational entities</t>
  </si>
  <si>
    <t>T-025</t>
  </si>
  <si>
    <t>Compute and populate the presentation analysis entities with the real engines</t>
  </si>
  <si>
    <t>T-026</t>
  </si>
  <si>
    <t>Phenomenon test harness: manifest schema and runner</t>
  </si>
  <si>
    <t>T-027</t>
  </si>
  <si>
    <t>Populate the manifest and prove every phenomenon</t>
  </si>
  <si>
    <t>T-028</t>
  </si>
  <si>
    <t>Verify the confounded correlation and the insufficient-support refusal</t>
  </si>
  <si>
    <t>T-029</t>
  </si>
  <si>
    <t>Five-layer realism audit of the emulated plant</t>
  </si>
  <si>
    <t>T-030</t>
  </si>
  <si>
    <t>Emit and populate the presentation staging representation, source-shaped</t>
  </si>
  <si>
    <t>T-031</t>
  </si>
  <si>
    <t>Certify cross-layer consistency and retire the obsolete donor state</t>
  </si>
  <si>
    <t>T-032</t>
  </si>
  <si>
    <t>Shared Authoring Shell, part 1: the shell contract and the four regions</t>
  </si>
  <si>
    <t>T-033</t>
  </si>
  <si>
    <t>Shared Authoring Shell, part 2: relational block grammar on the board</t>
  </si>
  <si>
    <t>T-034</t>
  </si>
  <si>
    <t>Registry-driven schema, table and attribute tree</t>
  </si>
  <si>
    <t>T-035</t>
  </si>
  <si>
    <t>Compiled-SQL pane and debug log with rows and cost</t>
  </si>
  <si>
    <t>T-036</t>
  </si>
  <si>
    <t>SQL mode: safe editor, run test, returned columns and the reconstructability rule</t>
  </si>
  <si>
    <t>T-037</t>
  </si>
  <si>
    <t>Certify returned-column role mapping inside the S2 shell</t>
  </si>
  <si>
    <t>T-038</t>
  </si>
  <si>
    <t>Add Widget and Edit Widget open the shared shell in S2 mode</t>
  </si>
  <si>
    <t>T-039</t>
  </si>
  <si>
    <t>Final definition service interface with a compatibility adapter</t>
  </si>
  <si>
    <t>T-040</t>
  </si>
  <si>
    <t>Authoring states, keyboard path, RTL and error wording</t>
  </si>
  <si>
    <t>T-041</t>
  </si>
  <si>
    <t>D2 Page Builder, part 1: create a page and reach the shared shell</t>
  </si>
  <si>
    <t>T-042</t>
  </si>
  <si>
    <t>D2 Page Builder, part 2: arrange, save layout and publish</t>
  </si>
  <si>
    <t>T-043</t>
  </si>
  <si>
    <t>Bring the workspace to the final D1 anatomy</t>
  </si>
  <si>
    <t>T-044</t>
  </si>
  <si>
    <t>Certify the three operational dashboards and fix their bindings</t>
  </si>
  <si>
    <t>f966719f functional/data closure + 55157a98 EF/runtime migration parity</t>
  </si>
  <si>
    <t>T-045</t>
  </si>
  <si>
    <t>Certify the analysis and model dashboards and choose the six shown</t>
  </si>
  <si>
    <t>T-045-R1 closed: c56008c0 / dd9a6b04 / 39ce59ef / 283aae2c</t>
  </si>
  <si>
    <t>T-046</t>
  </si>
  <si>
    <t>Register the final chart grammar and implement the presentation subset</t>
  </si>
  <si>
    <t>56ade951 R1 generic heatmap/combo; prior grammar fc146483</t>
  </si>
  <si>
    <t>T-047</t>
  </si>
  <si>
    <t>Give the seven pages distinct visual grammars from the registered grammar</t>
  </si>
  <si>
    <t>4b431463 semantic/data certification + 3cdd3a23 frontend conformance</t>
  </si>
  <si>
    <t>T-048</t>
  </si>
  <si>
    <t>Associative model, part 1: the alternative state and registry-driven fields</t>
  </si>
  <si>
    <t>b687cba4 associative selection states</t>
  </si>
  <si>
    <t>T-049</t>
  </si>
  <si>
    <t>Certify layout drag, resize, save, reload and responsive behaviour</t>
  </si>
  <si>
    <t>16-Aug-2026 R1–R4: auth/license + canonical persistence green; current work is final test isolation/oracle convergence, not backend persistence.</t>
  </si>
  <si>
    <t>F-070 — Each viewport must snapshot/restore its original layout in finally, mutate relative to its starting state, use PATCH canonical as authoritative changed state, poll DOM to converge after save/reload, and then restore baseline. No more diagnostic-only packs.</t>
  </si>
  <si>
    <t>T-050</t>
  </si>
  <si>
    <t>Drill to population, provenance and evidence</t>
  </si>
  <si>
    <t>T-051</t>
  </si>
  <si>
    <t>Widget failure isolation and the seven states</t>
  </si>
  <si>
    <t>T-052</t>
  </si>
  <si>
    <t>Remove the hardcoded parameter default from the API client</t>
  </si>
  <si>
    <t>T-053</t>
  </si>
  <si>
    <t>Reduce the demonstration navigation and add the inventory ratchet</t>
  </si>
  <si>
    <t>Frozen</t>
  </si>
  <si>
    <t>Do not continue as M1 content. Preserve generic correctness findings only; execute them through named M2-P0/product-truth owners. | M1 programme scope frozen after the successful 21-Aug-2026 customer presentation. Prior live status was Not Started. Do not schedule this presentation-era task. Any reusable generic requirement must be owned by an M2 task.</t>
  </si>
  <si>
    <t>T-054</t>
  </si>
  <si>
    <t>J4 Connections: read-only proof and load budget made visible</t>
  </si>
  <si>
    <t>T-055</t>
  </si>
  <si>
    <t>J5 and J6 Dataset registry browse and watermark suggestion</t>
  </si>
  <si>
    <t>T-056</t>
  </si>
  <si>
    <t>J6 Import progress visibility</t>
  </si>
  <si>
    <t>T-057</t>
  </si>
  <si>
    <t>J7 Relationship model vertical slice, part 1: publish one relationship</t>
  </si>
  <si>
    <t>F-052 — T-057 must deliver the final external relationship service/API and M1-compatible persistence only. Do not claim final physical schema. T-095 owns canonical ppiq_meta.plant_relationships/_members/_paths convergence after T-089/T-090. T-058/T-059/T-060 consume the service, never table names.</t>
  </si>
  <si>
    <t>T-058</t>
  </si>
  <si>
    <t>J7 Relationship model vertical slice, part 2: one resolver consumer</t>
  </si>
  <si>
    <t>T-059</t>
  </si>
  <si>
    <t>Associative model, part 2: cross-source state through the published relationship</t>
  </si>
  <si>
    <t>Frozen as M1. Cross-widget selection correctness is re-owned by T-204 Customer-session associative state-machine certification. | M1 programme scope frozen after the successful 21-Aug-2026 customer presentation. Prior live status was Not Started. Do not schedule this presentation-era task. Any reusable generic requirement must be owned by an M2 task.</t>
  </si>
  <si>
    <t>T-060</t>
  </si>
  <si>
    <t>C6 Relationship Browser, minimal read-only slice</t>
  </si>
  <si>
    <t>Do not continue as M1 content. Preserve generic correctness findings only; execute them through named M2-P0/product-truth owners. | M1 programme scope frozen after the successful 21-Aug-2026 customer presentation. Prior live status was In Progress. Do not schedule this presentation-era task. Any reusable generic requirement must be owned by an M2 task.</t>
  </si>
  <si>
    <t>T-061</t>
  </si>
  <si>
    <t>C2 Mapping Health, part 1: the typed issue contract and the reprocess API</t>
  </si>
  <si>
    <t>T-062</t>
  </si>
  <si>
    <t>C2 Mapping Health, part 2: the final visible page</t>
  </si>
  <si>
    <t>T-063</t>
  </si>
  <si>
    <t>C5 Genealogy: converge the legacy workbench onto the final two-state surface</t>
  </si>
  <si>
    <t>T-064</t>
  </si>
  <si>
    <t>Add job_definitions.target_definition_id and the JB error codes</t>
  </si>
  <si>
    <t>F-053 — Keep T-064 mandatory for M1/J12/T7, but implement stable semantic fields through IDefinitionService/compatibility storage with no fake FK. Cover target_definition_id, target_definition_version, target_version_policy, target_parameters, executed-version history and JB01-JB04. T-106 performs canonical FK/check/trigger convergence after T-089/T-090 and adds the dependency DAG.
F-061 — T-064 owns the M1 functional/public contract and compatibility semantics. T-106 owns canonical physical convergence after definition_store exists plus job_dependencies/DAG/cycle validation; it must not redesign the visible target/version contract.</t>
  </si>
  <si>
    <t>T-065</t>
  </si>
  <si>
    <t>J12 Analysis authoring: converge onto D3 Analysis Toolbox in S3 mode</t>
  </si>
  <si>
    <t>T-066</t>
  </si>
  <si>
    <t>One visible readiness authority on Home and Analysis</t>
  </si>
  <si>
    <t>T-067</t>
  </si>
  <si>
    <t>Findings evidence panel, registry-driven throughout</t>
  </si>
  <si>
    <t>Do not plan downstream work on T-067 as Done until explicit commit/runtime evidence exists. | M1 programme scope frozen after the successful 21-Aug-2026 customer presentation. Prior live status was Not Started. Do not schedule this presentation-era task. Any reusable generic requirement must be owned by an M2 task.</t>
  </si>
  <si>
    <t>T-068</t>
  </si>
  <si>
    <t>Retire the hardcoded outcome and grain arrays</t>
  </si>
  <si>
    <t>F-056 — T-068 must consume a stable analysis-options/outcome-registry service contract, not a physical table or temporary route. Release 1 swaps storage behind the contract. Complete T-068 before T-065 so the S3 authoring page is built registry-first instead of being rewritten immediately.
F-059 — Remove hardcoded/default coil semantics. Preserve customer-declared multi-grain unit types and outcome-specific grain_code. Rename T-094 scope from 'rename canonical grain' to 'remove hardcoded canonical grain default and bind to registry/material-unit authority'.
F-062 — Dependency order is T-068 -&gt; T-065. T-065 consumes registry-driven outcome/grain options from first implementation.</t>
  </si>
  <si>
    <t>T-069</t>
  </si>
  <si>
    <t>Website, part 1: the five-product information architecture</t>
  </si>
  <si>
    <t>T-070</t>
  </si>
  <si>
    <t>Website, part 2: polish the presentation routes</t>
  </si>
  <si>
    <t>T-071</t>
  </si>
  <si>
    <t>Build the G1 persistent assistant dock</t>
  </si>
  <si>
    <t>T-072</t>
  </si>
  <si>
    <t>Page and widget context envelope</t>
  </si>
  <si>
    <t>T-073</t>
  </si>
  <si>
    <t>Add the page and widget chunk family to the retrieval corpus</t>
  </si>
  <si>
    <t>T-074</t>
  </si>
  <si>
    <t>Registry-typed quantity guard on assistant answers</t>
  </si>
  <si>
    <t>T-075</t>
  </si>
  <si>
    <t>Citation chips, evidence strip and suggested questions</t>
  </si>
  <si>
    <t>T-076</t>
  </si>
  <si>
    <t>Certified question pack and offline fallback</t>
  </si>
  <si>
    <t>T-077</t>
  </si>
  <si>
    <t>One Playwright journey covering all six beats</t>
  </si>
  <si>
    <t>Frozen as M1. Reusable release acceptance is absorbed by T-202/T-203/T-204/T-205; no more presentation-only gate work. | M1 programme scope frozen after the successful 21-Aug-2026 customer presentation. Prior live status was Not Started. Do not schedule this presentation-era task. Any reusable generic requirement must be owned by an M2 task.</t>
  </si>
  <si>
    <t>T-078</t>
  </si>
  <si>
    <t>Execute visual regression and accessibility on the presented routes</t>
  </si>
  <si>
    <t>T-079</t>
  </si>
  <si>
    <t>Failure injection suite</t>
  </si>
  <si>
    <t>T-080</t>
  </si>
  <si>
    <t>Capture the Customer Contract Continuity snapshots</t>
  </si>
  <si>
    <t>T-081</t>
  </si>
  <si>
    <t>Write the screen-by-screen demonstration script</t>
  </si>
  <si>
    <t>T-082</t>
  </si>
  <si>
    <t>Presentation environment preparation and clean-start verification</t>
  </si>
  <si>
    <t>T-083</t>
  </si>
  <si>
    <t>Three rehearsals, hostile hands and the fallback package</t>
  </si>
  <si>
    <t>T-084</t>
  </si>
  <si>
    <t>Emit the frozen Fleet v2 into native customer-source fixtures</t>
  </si>
  <si>
    <t>Superseded</t>
  </si>
  <si>
    <t>Removed from the current release roadmap. Generic fixture authority T-208 supersedes Fleet-v2-specific rebuild work.</t>
  </si>
  <si>
    <t>T-085</t>
  </si>
  <si>
    <t>Clean-room rebuild of the Fleet v2 emulator sources from source control</t>
  </si>
  <si>
    <t>T-118</t>
  </si>
  <si>
    <t>J1 to J3 commissioning built for real</t>
  </si>
  <si>
    <t>SUPERSEDED / removed from active v2.20.0</t>
  </si>
  <si>
    <t>08-Sep-2026 final review ruling: commissioning umbrella duplicated T-120 Users/Roles, T-121 licence, T-123 install/upgrade, T-126 runbook/UAT and T-150 final certification. No task depended on T-118, so active scope is retired without deleting historical evidence.</t>
  </si>
  <si>
    <t>Execution Governance — v2.23.0</t>
  </si>
  <si>
    <t>Rule</t>
  </si>
  <si>
    <t>Current authority</t>
  </si>
  <si>
    <t>Rationale</t>
  </si>
  <si>
    <t>Functional authority</t>
  </si>
  <si>
    <t>Six full Design Chapters v4.10.3</t>
  </si>
  <si>
    <t>Current approved technical contracts</t>
  </si>
  <si>
    <t>Visual authority</t>
  </si>
  <si>
    <t>Integrated Chapter 3/4 visual sections and illustrated Word</t>
  </si>
  <si>
    <t>Derived visual arrangements; no standalone seventh functional authority or companion file.</t>
  </si>
  <si>
    <t>Execution authority</t>
  </si>
  <si>
    <t>Backlog sheet v2.23.0</t>
  </si>
  <si>
    <t>Single active task truth; generated sheets derive from it</t>
  </si>
  <si>
    <t>Real Day-1 bounded customer production</t>
  </si>
  <si>
    <t>Correctness, source limits, cancellation, replay and isolation do not move to M3</t>
  </si>
  <si>
    <t>Advanced model invocation and heavy chunk/scan mechanisms</t>
  </si>
  <si>
    <t>Owner-approved T-246/T-110 placement; final target retained</t>
  </si>
  <si>
    <t>Merges</t>
  </si>
  <si>
    <t>T-105→T-104; T-111→T-110/T-155/T-159</t>
  </si>
  <si>
    <t>Acceptance retained, reverse references regenerated</t>
  </si>
  <si>
    <t>New rows</t>
  </si>
  <si>
    <t>T-262 projection declaration; T-263 reports; T-264 benchmarking</t>
  </si>
  <si>
    <t>Official under owner's update instruction</t>
  </si>
  <si>
    <t>Done evidence preserved; source-present/newly extended work not auto-closed</t>
  </si>
  <si>
    <t>No fabricated commits or runtime proof</t>
  </si>
  <si>
    <t>Estimates</t>
  </si>
  <si>
    <t>New rows unestimated; widened inherited estimates flagged</t>
  </si>
  <si>
    <t>Known-hour totals are not delivery forecasts</t>
  </si>
  <si>
    <t>Tests</t>
  </si>
  <si>
    <t>Targeted suites, isolated DBs, negative controls; never silent green skips</t>
  </si>
  <si>
    <t>Evidence lives with the acceptance it proves</t>
  </si>
  <si>
    <t>Filename law</t>
  </si>
  <si>
    <t>No task ID in implementation filenames</t>
  </si>
  <si>
    <t>Task IDs allowed in backlog/commit/evidence descriptions</t>
  </si>
  <si>
    <t>Compatibility</t>
  </si>
  <si>
    <t>No delete-first retirement</t>
  </si>
  <si>
    <t>Migrate consumers and preserve historical meaning</t>
  </si>
  <si>
    <t>Source safety</t>
  </si>
  <si>
    <t>Single effective load budget, stricter configured ceilings cannot be bypassed</t>
  </si>
  <si>
    <t>Policy applies to incremental and one-shot reads</t>
  </si>
  <si>
    <t>Dependencies</t>
  </si>
  <si>
    <t>Depends On is canonical; Must Precede derived</t>
  </si>
  <si>
    <t>Separate contract-ready handoffs from runtime closure</t>
  </si>
  <si>
    <t>Version policy</t>
  </si>
  <si>
    <t>Only meaningful authority changes increment backlog release</t>
  </si>
  <si>
    <t>Small status/evidence corrections update in place</t>
  </si>
  <si>
    <t>Historical sheets</t>
  </si>
  <si>
    <t>v220 / verified/commit ledgers are historical evidence</t>
  </si>
  <si>
    <t>They do not override active Backlog statuses</t>
  </si>
  <si>
    <t>Physical database authority</t>
  </si>
  <si>
    <t>Zero unknown product tables/columns on fresh certification DB</t>
  </si>
  <si>
    <t>Every object has schema, family, lifecycle, owner, design clause and generated dictionary entry.</t>
  </si>
  <si>
    <t>Disposable database lifecycle</t>
  </si>
  <si>
    <t>CREATE DATABASE implies owner + finally DROP unless explicitly declared persistent</t>
  </si>
  <si>
    <t>Prevents probe/scratch/backup debris and cross-worker shared-DB contamination.</t>
  </si>
  <si>
    <t>Database naming</t>
  </si>
  <si>
    <t>Forward snake_case + no customer vocabulary + no redundant ppiq_ prefix in governed schemas</t>
  </si>
  <si>
    <t>Existing names are grandfathered; no mass rename without owned compatibility proof.</t>
  </si>
  <si>
    <t>Authority precedence</t>
  </si>
  <si>
    <t>Current Master Design / frozen Layer-B semantic rulings &gt; current Backlog execution wording &gt; historical task prose.</t>
  </si>
  <si>
    <t>When two current documents conflict semantically, Central must rule and amend future scope; workers are not blamed for following the then-current backlog.</t>
  </si>
  <si>
    <t>Closed-task regression handling</t>
  </si>
  <si>
    <t>Do not broadly reopen closed tasks. A newly discovered concrete regression receives a narrow new Task ID unless the original closure evidence itself is proven false.</t>
  </si>
  <si>
    <t>Prevents scope erosion and preserves auditability.</t>
  </si>
  <si>
    <t>Release evidence envelope</t>
  </si>
  <si>
    <t>Superseded wording: T-259 owns envelope v1; T-252/T-257 produce; T-227 owns scorecard/policy; T-150 aggregates. See rule below.</t>
  </si>
  <si>
    <t>Prevents duplicated skip-count formats and keeps final release gate from redefining evidence semantics late.</t>
  </si>
  <si>
    <t>Cross-worker genericity handoff</t>
  </si>
  <si>
    <t>Backend runtime convergence and frontend material-surface convergence have separate owners: T-256 Worker 1, T-258 Worker 2.</t>
  </si>
  <si>
    <t>Worker 1 must not repair Worker-2 frontend files; compatibility must remain green across the handoff.</t>
  </si>
  <si>
    <t>Canvas output-target namespace</t>
  </si>
  <si>
    <t>Canonical entity name from ICanonicalEntityCatalog; never physical relation name and never an overloaded Analysis Subject key.</t>
  </si>
  <si>
    <t>Graph and SQL share one governed output identity while Analysis Subject remains a separate semantic authority.</t>
  </si>
  <si>
    <t>Canvas output-target hashing</t>
  </si>
  <si>
    <t>New Graph/SQL saves carry root `outputTarget` in hashed canonical content. Legacy Graph may derive from graph.targetEntity; legacy SQL missing target returns null, never fabricated.</t>
  </si>
  <si>
    <t>Hash change on re-save legitimately creates a new immutable version; prior version remains untouched.</t>
  </si>
  <si>
    <t>Release evidence envelope v1</t>
  </si>
  <si>
    <t>T-259 owns the small shared machine-readable envelope contract. T-252/T-257 produce it; T-227 owns scorecard/policy; T-150 aggregates.</t>
  </si>
  <si>
    <t>Removes the impossible dependency where producers needed a P5 schema that did not yet exist.</t>
  </si>
  <si>
    <t>Release evidence count semantics</t>
  </si>
  <si>
    <t>total_count = executed_count + skipped_count; executed_count = passed_count + failed_count; skipped work is never counted as executed.</t>
  </si>
  <si>
    <t>Prevents an all-skipped suite from appearing fully exercised.</t>
  </si>
  <si>
    <t>Canonical projection-target eligibility</t>
  </si>
  <si>
    <t>Canonical entity identity and projection-target eligibility are separate facts. Eligibility is an explicit model/type-sourced capability, not 'all mapped entities' and not schema-only.</t>
  </si>
  <si>
    <t>Prevents ImportBatch/JobRunHistory/etc. from becoming Canvas/mapping targets while preserving valid reference targets outside ppiq_plant.</t>
  </si>
  <si>
    <t>Schema role in target eligibility</t>
  </si>
  <si>
    <t>ppiq_plant/ppiq_meta topology is a consistency/governance signal, not the sole target predicate.</t>
  </si>
  <si>
    <t>ParameterDefinition/DefectCatalog are valid current targets outside ppiq_plant; ppiq_plant also contains analytical outputs.</t>
  </si>
  <si>
    <t>T-256 synchronization</t>
  </si>
  <si>
    <t>T-253 is a hard dependency of T-256. If Worker 1 reaches the gate first, CENTRAL assigns a disjoint lane rather than allowing duplicate target-classification work.</t>
  </si>
  <si>
    <t>Correctness and single authority take precedence over keeping P1 locally wait-free.</t>
  </si>
  <si>
    <t>Fresh certification DB authority</t>
  </si>
  <si>
    <t>A database called ppiq_acceptance_empty is not authoritative merely by name; it must be constructed by the complete canonical migration-order authority.</t>
  </si>
  <si>
    <t>Prevents catalogue/adjudication against a partial fresh build.</t>
  </si>
  <si>
    <t>T-251/T-260 split</t>
  </si>
  <si>
    <t>T-251 owns read-only physical truth; T-260 owns correction of the fresh certification DB builder discovered by T-251.</t>
  </si>
  <si>
    <t>Avoids violating T-251's read-only lock while preventing false classification work.</t>
  </si>
  <si>
    <t>Adjudication order</t>
  </si>
  <si>
    <t>Do not classify the old 106/81 fresh-DB queue. Correct/rebuild first, rerun census second, adjudicate only the remaining true queue.</t>
  </si>
  <si>
    <t>Avoids spending governance effort on objects stranded by an incomplete build path.</t>
  </si>
  <si>
    <t>Book file boundary</t>
  </si>
  <si>
    <t>Exactly 14 files in PPIQ_Definition.md</t>
  </si>
  <si>
    <t>Insert new information in its existing document/worksheet home; no new top-level file for a review, acceptance, manifest, handoff or UI atlas.</t>
  </si>
  <si>
    <t>Method and Notes — v2.23.0 |15Sep2026 evidence reconciliation</t>
  </si>
  <si>
    <t>Topic</t>
  </si>
  <si>
    <t>Current rule</t>
  </si>
  <si>
    <t>Supersedes</t>
  </si>
  <si>
    <t>Supersedes defective delivered v2.22.0; source is v2.21.0 plus task-keyed approved edit data. Historical notes remain archives.</t>
  </si>
  <si>
    <t>Source package</t>
  </si>
  <si>
    <t>14-Sep repository export; design v4.10.3; current row amendments approved by owner.</t>
  </si>
  <si>
    <t>T-106 boundary</t>
  </si>
  <si>
    <t>Orchestration tested with registered fake executor; does not wait for T-261/T-107 closure. T-107 deepens admission, T-261 commissions Transformation execution.</t>
  </si>
  <si>
    <t>T-243 / T-262 boundary</t>
  </si>
  <si>
    <t>T-243 owns saved-board lifecycle and relationship publication; T-262 owns declared field-binding contract; no private shadow store.</t>
  </si>
  <si>
    <t>T-104 / T-261 boundary</t>
  </si>
  <si>
    <t>T-261 executes exact immutable definition; T-104 proves persisted row provenance/version stamping and absorbed T-105 replay/rollback semantics.</t>
  </si>
  <si>
    <t>T-108 / T-110 boundary</t>
  </si>
  <si>
    <t>M2: total-order ingestion, source limits, replay, stage delta. M3: advanced chunk receipts/parallel checkpoint/merge/scan mechanism.</t>
  </si>
  <si>
    <t>Scope versus feature truth</t>
  </si>
  <si>
    <t>Moving advanced implementation to M3 cannot advertise it executable in M2. Required active-path safeguards still pass release-profile proof.</t>
  </si>
  <si>
    <t>UI design scope</t>
  </si>
  <si>
    <t>Full target product visual inventory includes M3 surfaces. Presence of a Figma frame is not implementation evidence.</t>
  </si>
  <si>
    <t>External baseline dependencies</t>
  </si>
  <si>
    <t>T-032, T-035, T-036, T-057, T-064 remain historical baseline prerequisites; their original acceptance records are not regenerated here.</t>
  </si>
  <si>
    <t>Content preservation</t>
  </si>
  <si>
    <t>All original task columns retained. Every changed cell recorded with before/after; retired task definitions retained.</t>
  </si>
  <si>
    <t>No invented date</t>
  </si>
  <si>
    <t>M2 approx. one month from owner's planning checkpoint; M3 45 days later. Historical dates in logs are not new promises.</t>
  </si>
  <si>
    <t>Audit package safety</t>
  </si>
  <si>
    <t>The 08-Sep UltimateAudit package was generated with Mask Secrets=False and is internal engineering evidence only; external evidence must be regenerated masked.</t>
  </si>
  <si>
    <t>Evidence hierarchy</t>
  </si>
  <si>
    <t>Current runtime/source path + executed tests &gt; current source trace &gt; commit/closure &gt; handover &gt; backlog/design prose. Backup/archive copies never override the live path.</t>
  </si>
  <si>
    <t>Evidence-envelope ownership</t>
  </si>
  <si>
    <t>T-259 owns Release Evidence Envelope v1; T-252/T-257 are producers, T-227 scorecard/policy and T-150 aggregation. Supersedes old T-227 schema-ownership wording.</t>
  </si>
  <si>
    <t>T-256/T-258 ownership split</t>
  </si>
  <si>
    <t>T-256 is backend/API/DB-runtime only. Frontend MaterialAnalytics/routes/types are Worker-2 T-258. T-256 must preserve a bounded compatibility handoff so it does not leave the generic frontend red.</t>
  </si>
  <si>
    <t>Fresh certification DB</t>
  </si>
  <si>
    <t>The named fresh canonical certification database for T-251 is `ppiq_acceptance_empty`; do not invent ad-hoc fresh database names before T-252 lifecycle authority.</t>
  </si>
  <si>
    <t>T-253 measured ruling</t>
  </si>
  <si>
    <t>T-243 baseline closure6f65bba1 is proven by an executed10Sep ancestry report. Its later transactional relationship-publication extension remains unverified. Do not relabel the original work as merely source-present.</t>
  </si>
  <si>
    <t>T-253 target identity</t>
  </si>
  <si>
    <t>Persist canonical entity name. New hashed root `outputTarget` is representation-independent; graph.targetEntity remains compatibility data and must match on new graph writes.</t>
  </si>
  <si>
    <t>T-253 legacy compatibility</t>
  </si>
  <si>
    <t>Legacy Graph lacking root outputTarget may derive it from graph.targetEntity; legacy SQL lacking it returns null. Re-save under the new content schema creates a new immutable version.</t>
  </si>
  <si>
    <t>T-253 picker</t>
  </si>
  <si>
    <t>Enumerate ICanonicalEntityCatalog through a minimal existing-authoring-support read endpoint. Do not use MappingDefinitionService.AllowedTargetEntities and do not add MaterialUnit as global UA-08 vocabulary.</t>
  </si>
  <si>
    <t>T-259 ruling</t>
  </si>
  <si>
    <t>Option A accepted: 2h P1 Release Evidence Envelope v1 contract after T-251 and before T-252/T-257. T-227 stays P5 scorecard/policy owner.</t>
  </si>
  <si>
    <t>Dirty-tree checkpoint</t>
  </si>
  <si>
    <t>Unrelated Documentation/audit dirt does not mean T-243 source exists. T-253 may proceed only with clean owned product paths, strict path staging and T-244 ancestor proof; task-number preflight filename must be renamed semantically before commit.</t>
  </si>
  <si>
    <t>T-148 dependency types</t>
  </si>
  <si>
    <t>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t>
  </si>
  <si>
    <t>T-227 ownership check</t>
  </si>
  <si>
    <t>v2.20.2 already removed the accidental schema ownership from T-227. Its 6h remains because that was the original scorecard/policy task size; no funded hours were transferred out. Stale T-252/T-257 references to T-227 fields are corrected to T-259.</t>
  </si>
  <si>
    <t>Projection-target predicate</t>
  </si>
  <si>
    <t>Do not enumerate every mapped entity and do not use schema-only eligibility. T-253 creates one explicit model/type-sourced projection-target capability; catalog identity stays CLR canonical name.</t>
  </si>
  <si>
    <t>T-251 relationship</t>
  </si>
  <si>
    <t>T-251 logical-family catalogue later cross-checks the projection-target capability but does not define runtime target eligibility; T-253 can proceed independently.</t>
  </si>
  <si>
    <t>T-256 dependency</t>
  </si>
  <si>
    <t>T-253 is intentionally hard in T-256 Depends On. If T-253 is late, Worker 1 stops after T-252 and CENTRAL selects a disjoint lane.</t>
  </si>
  <si>
    <t>T-260 trigger</t>
  </si>
  <si>
    <t>T-251 runner is valid/deterministic, but its fresh reference DB exposed an incomplete builder path (EF+scripts without required topology/views).</t>
  </si>
  <si>
    <t>T-260 execution</t>
  </si>
  <si>
    <t>Build a disposable candidate using the canonical order first; only replace/recreate ppiq_acceptance_empty after candidate GREEN. Never mutate ppiq_app/ppiq_presentation.</t>
  </si>
  <si>
    <t>T-251 resume</t>
  </si>
  <si>
    <t>After T-260, rerun catalogue from scratch. The old 106 unclassified / 81 public-offender counts are diagnostic history, not classification input.</t>
  </si>
  <si>
    <t>Platform allowlist</t>
  </si>
  <si>
    <t>`public.__EFMigrationsHistory` is platform migration bookkeeping and may be allowlisted in T-251 after the corrected rebuild; dead assumed-pattern rules should be removed rather than preserved.</t>
  </si>
  <si>
    <t>Capability standard</t>
  </si>
  <si>
    <t>Product capability mapping follows PPIQ_Product_Analysis_and_Evaluation_Standard_v1.1 (10 layers, 78 capability points).</t>
  </si>
  <si>
    <t>Primary mapping law</t>
  </si>
  <si>
    <t>Every product task has one Primary Capability ID. Secondary IDs are used only where task acceptance genuinely advances another capability.</t>
  </si>
  <si>
    <t>Task closure law</t>
  </si>
  <si>
    <t>Closing mapped tasks does not make a capability 5/5. D1–D5 product evidence remains the completeness authority.</t>
  </si>
  <si>
    <t>Non-capability work</t>
  </si>
  <si>
    <t>Pure execution instruments may use NO-CAP — Execution Tooling; product-boundary work is labelled explicitly rather than forced into a PPIQ capability.</t>
  </si>
  <si>
    <t>Summary-sheet authority</t>
  </si>
  <si>
    <t>Current execution views use Backlog v2.23.0. Historical v220/Prior/Retired/previous-revision sheets preserve past states, not current truth.</t>
  </si>
  <si>
    <t>Keyed write law</t>
  </si>
  <si>
    <t>Task ID, never row offset, joins baseline/change-data to Backlog. Must Precede is the exact inverse of current active Depends On.</t>
  </si>
  <si>
    <t>Acceptance order vs contract</t>
  </si>
  <si>
    <t>M records completion prerequisites; AN records contract-only handoffs. No M3 implementation completion is hidden as an M2 contract dependency.</t>
  </si>
  <si>
    <t>T-099 evidence</t>
  </si>
  <si>
    <t>T-262 state</t>
  </si>
  <si>
    <t>T-262 producer contract GREEN committed86e1b677; live integration explicitly unexecuted. Current expanded acceptance remains open pending disposition; no claim that the producer lacks a SHA.</t>
  </si>
  <si>
    <t>B4 monitoring owner</t>
  </si>
  <si>
    <t>T-101 (Worker 2) owns UI; T-125 (Worker 1) owns operational API/metrics. T-106 owns status truth. T-247 certifies the joined path.</t>
  </si>
  <si>
    <t>Backend test hygiene</t>
  </si>
  <si>
    <t>T-115 owns reproduce-then-fix follow-up for T-210 fixture, historical BOM issues and inherited DefinitionKind assertion. Release DB-fixture skips remain zero.</t>
  </si>
  <si>
    <t>Re-estimation</t>
  </si>
  <si>
    <t>J/R hold supplied scope estimates, not measured actual time.8 entries have no accepted numeric estimate;19 additional changed-scope rows are stale. AS/AT exclude all27 from live planning sums. No remaining-hours forecast is certified.</t>
  </si>
  <si>
    <t>Repair validation</t>
  </si>
  <si>
    <t>After save, independently parse Backlog cells from OOXML, recompute the graph, compare derived cached/formula values, test self-edges/cycles/releases/retirements and estimate flags.</t>
  </si>
  <si>
    <t>Capability links</t>
  </si>
  <si>
    <t>Secondary Capability Links is generated from Backlog column AC. Regenerate membership on mapping edits; status/release cells remain keyed formulas. Validator compares every pair against Backlog.</t>
  </si>
  <si>
    <t>Historical closure versus current scope</t>
  </si>
  <si>
    <t>Progress is not execution readiness. Current In Progress may combine a closed baseline with an unstarted extension. Preserve both facts in Task Evidence15Sep; do not infer an active worker or release certification from the status color.</t>
  </si>
  <si>
    <t>Task ID</t>
  </si>
  <si>
    <t>Worker</t>
  </si>
  <si>
    <t>Commit SHA(s) / Tag</t>
  </si>
  <si>
    <t>Commit Subject / Label</t>
  </si>
  <si>
    <t>Commit / Closure Date</t>
  </si>
  <si>
    <t>Date Basis</t>
  </si>
  <si>
    <t>Evidence Confidence</t>
  </si>
  <si>
    <t>Notes</t>
  </si>
  <si>
    <t>77a8ea4f</t>
  </si>
  <si>
    <t>T-086: freeze the legacy regression oracle and gate generic surfaces against its vocabulary</t>
  </si>
  <si>
    <t>Terminal / closure session day</t>
  </si>
  <si>
    <t>Short SHA + subject verified</t>
  </si>
  <si>
    <t>Committed after exact 3-file staging; freeze gate GREEN.</t>
  </si>
  <si>
    <t>e7d82f078d7dfa4c1ca4ec6e88d0dbc7e1ecd6ba</t>
  </si>
  <si>
    <t>Closure-session day; exact Git timestamp not recovered</t>
  </si>
  <si>
    <t>SHA verified</t>
  </si>
  <si>
    <t>Final three-schema closure HEAD/commit authority recovered from late-Aug closure session.</t>
  </si>
  <si>
    <t>6a62c9d6</t>
  </si>
  <si>
    <t>Establish canonical database migration authority</t>
  </si>
  <si>
    <t>Closure session day; exact Git timestamp not recovered</t>
  </si>
  <si>
    <t>Historical canonical migration-order / legacy archival authority.</t>
  </si>
  <si>
    <t>0fd79e5e3516cdfd0ab5a73a02e16638fd02693a</t>
  </si>
  <si>
    <t>Exact day not recovered</t>
  </si>
  <si>
    <t>Canonical Definition Store authority.</t>
  </si>
  <si>
    <t>a6399d9c</t>
  </si>
  <si>
    <t>Short SHA verified</t>
  </si>
  <si>
    <t>Definition-kind convergence authority.</t>
  </si>
  <si>
    <t>c6d64289</t>
  </si>
  <si>
    <t>Impact preview/export/import closure authority.</t>
  </si>
  <si>
    <t>ab2962a4; 7cad36e4</t>
  </si>
  <si>
    <t>Session/git-log day</t>
  </si>
  <si>
    <t>Multi-commit SHAs verified</t>
  </si>
  <si>
    <t>Registry authority used two commits; latest closure authority is 7cad36e4.</t>
  </si>
  <si>
    <t>4e2e0f654b93ceed2ecdfbce4d3c1768550b3079</t>
  </si>
  <si>
    <t>T-093 govern plant vocabulary as data-driven genericity debt</t>
  </si>
  <si>
    <t>Closure session day</t>
  </si>
  <si>
    <t>Full SHA + subject verified</t>
  </si>
  <si>
    <t>CLOSED GREEN.</t>
  </si>
  <si>
    <t>377aabdffb27d651d30537ce5228ee4afe268526; 6ab97ee2; e74ecd1c; 5a967f1b0ab45961c8b8a880bb4fdec53a783134</t>
  </si>
  <si>
    <t>Wave A part 1; Wave A part 2a; 2b/stage 1; T-094 close keyed declared-dimension cutover and genericity reconciliation</t>
  </si>
  <si>
    <t>Final closure transcript day</t>
  </si>
  <si>
    <t>Final full SHA + subject verified; stage SHAs verified</t>
  </si>
  <si>
    <t>Final closure is 5a967f1b... Earlier part-commits retained for forensic lookup.</t>
  </si>
  <si>
    <t>554d1ac02af122fdeb7ca54b1dd35bac0c76f23e</t>
  </si>
  <si>
    <t>Confirmed baseline in 07-Sep T096 preflight; exact Git timestamp not recovered</t>
  </si>
  <si>
    <t>Full SHA verified</t>
  </si>
  <si>
    <t>T-095 closure is ancestral baseline for T-096/T-242 work.</t>
  </si>
  <si>
    <t>de243027073fc5e492d65e9f9845255342517510</t>
  </si>
  <si>
    <t>T-096 relationship resolver consumer convergence</t>
  </si>
  <si>
    <t>Closure transcript day (logs 08Sep2026_100134)</t>
  </si>
  <si>
    <t>95220d1804493f8e7b80347fe3ed4de24741f9ec</t>
  </si>
  <si>
    <t>T-097 relationship consumer barrier across all sixteen families</t>
  </si>
  <si>
    <t>Commit/closure session day</t>
  </si>
  <si>
    <t>Committed after T-096; all sixteen families guarded.</t>
  </si>
  <si>
    <t>16ea041a; 94ab4e40; 723b9434; 6aef283f; ef588f0c</t>
  </si>
  <si>
    <t>Python runtime; C# protocol; real C#→Python→C#; closure evidence; W3-016 CI dependency correction</t>
  </si>
  <si>
    <t>Closed before 15-Aug handover</t>
  </si>
  <si>
    <t>Full Backend regression after dependency correction green/no skips.</t>
  </si>
  <si>
    <t>a887c554</t>
  </si>
  <si>
    <t>T-169 Pack 1: typed columnar artifact contract, Parquet and Arrow IPC adapters, two hashes, B-03 hook</t>
  </si>
  <si>
    <t>Terminal/session day</t>
  </si>
  <si>
    <t>81 Python tests green.</t>
  </si>
  <si>
    <t>5a216483</t>
  </si>
  <si>
    <t>T-170 Chunked sequence-artifact library and bounded loader</t>
  </si>
  <si>
    <t>Eight-tasks-closed-today session day</t>
  </si>
  <si>
    <t>402 Python tests.</t>
  </si>
  <si>
    <t>95cc019c</t>
  </si>
  <si>
    <t>Capability Profiler Pack 2</t>
  </si>
  <si>
    <t>Short SHA verified; subject label from handover</t>
  </si>
  <si>
    <t>24 targeted tests.</t>
  </si>
  <si>
    <t>d4321856</t>
  </si>
  <si>
    <t>T-172 MF-01 Process Encoder runtime behind a replaceable contract</t>
  </si>
  <si>
    <t>448 Python tests.</t>
  </si>
  <si>
    <t>00a14286</t>
  </si>
  <si>
    <t>T-173 MF-02 VectorSimilarityIndex with exact-Flat recall baseline</t>
  </si>
  <si>
    <t>297 tests.</t>
  </si>
  <si>
    <t>db033796</t>
  </si>
  <si>
    <t>T-174 MF-03 novelty runtime and honest refusal semantics</t>
  </si>
  <si>
    <t>340 green.</t>
  </si>
  <si>
    <t>2413c6e1</t>
  </si>
  <si>
    <t>T-175 MF-04 supervised training runtime and mandatory simple baseline</t>
  </si>
  <si>
    <t>Exact terminal/session day</t>
  </si>
  <si>
    <t>141 Python tests / zero skipped.</t>
  </si>
  <si>
    <t>08b54b61; 0a61ccfb</t>
  </si>
  <si>
    <t>T-176 Calibration, explanation stability and three-dimensional promotion kernel | T-176 Pack 2: real TreeSHAP candidate behind an explanation-provider boundary</t>
  </si>
  <si>
    <t>Session day</t>
  </si>
  <si>
    <t>Two short SHAs + subjects verified</t>
  </si>
  <si>
    <t>Final 230 tests / zero skipped.</t>
  </si>
  <si>
    <t>502f8ca3; 502e0da9; bb4c5686</t>
  </si>
  <si>
    <t>T-177 multi-commit statistical-kernel closure</t>
  </si>
  <si>
    <t>Three short SHAs verified</t>
  </si>
  <si>
    <t>52 targeted tests; individual Git subjects not all recovered.</t>
  </si>
  <si>
    <t>b8792516; b5dbf232</t>
  </si>
  <si>
    <t>T-178 Pure remediation eligibility and can_accept decision kernel | T-178 corrective: canonical remediation precedence totalisation</t>
  </si>
  <si>
    <t>Corrective verified in 16-Aug git log/session</t>
  </si>
  <si>
    <t>Base + corrective; 503 tests after corrective.</t>
  </si>
  <si>
    <t>d2bf1834</t>
  </si>
  <si>
    <t>T-179: deterministic Assistant tool planner</t>
  </si>
  <si>
    <t>Git-log/session day</t>
  </si>
  <si>
    <t>Deterministic planner.</t>
  </si>
  <si>
    <t>87428c512c6d6d1ca2bf70a6a8b04aadc7a4cc3b</t>
  </si>
  <si>
    <t>T-180: permission-first hybrid retrieval and deterministic evidence packer</t>
  </si>
  <si>
    <t>43 probes.</t>
  </si>
  <si>
    <t>0b8a1c74</t>
  </si>
  <si>
    <t>INVALID — explicitly corrected; commit does not exist</t>
  </si>
  <si>
    <t>Correction session day</t>
  </si>
  <si>
    <t>REJECTED / DO NOT USE</t>
  </si>
  <si>
    <t>Authoritative T-181 = eaa82b8b45fb1fdb4b406abfbe2809c5f6fc9cd5.</t>
  </si>
  <si>
    <t>eaa82b8b45fb1fdb4b406abfbe2809c5f6fc9cd5</t>
  </si>
  <si>
    <t>T-181: deterministic answer verifier and Q-01..Q-11 evaluation harness</t>
  </si>
  <si>
    <t>IMPORTANT: authoritative hash is eaa82b8b; earlier reported 0b8a1c74 was explicitly corrected as nonexistent.</t>
  </si>
  <si>
    <t>BASELINE HEAD 7da9d46ed29545f1c4f4686fa82c117c08b9fc86; TAG m1-presentation-baseline-2026-08-21</t>
  </si>
  <si>
    <t>No task commit — immutable baseline tag is the closure artifact</t>
  </si>
  <si>
    <t>Executed freeze transcript day</t>
  </si>
  <si>
    <t>Tag + baseline HEAD verified</t>
  </si>
  <si>
    <t>T-201 changed no W1 files and required no task commit. Health smoke PASS; tag is the freeze artifact.</t>
  </si>
  <si>
    <t>ad37c324</t>
  </si>
  <si>
    <t>Add persisted definition replay gate for release truth</t>
  </si>
  <si>
    <t>Terminal / session day</t>
  </si>
  <si>
    <t>Direct session evidence says the six T-202 files landed in ad37c324. This supersedes the earlier incorrect association to 5920bf27.</t>
  </si>
  <si>
    <t>cd1a450e</t>
  </si>
  <si>
    <t>Add customer route invariant gate with durable evidence</t>
  </si>
  <si>
    <t>7 files / durable route evidence.</t>
  </si>
  <si>
    <t>c6491e2d</t>
  </si>
  <si>
    <t>Post-close HEAD day; exact task-commit mapping not independently proven</t>
  </si>
  <si>
    <t>Closure HEAD only</t>
  </si>
  <si>
    <t>Use as closure-state anchor, not as an independently verified task commit subject.</t>
  </si>
  <si>
    <t>b7fcc890</t>
  </si>
  <si>
    <t>Gate the frontend suite on deterministic termination and machine-readable evidence</t>
  </si>
  <si>
    <t>Backlog + closure session day</t>
  </si>
  <si>
    <t>Short SHA + subject + date verified</t>
  </si>
  <si>
    <t>CLOSED GREEN; do not reopen absent gate-contract regression.</t>
  </si>
  <si>
    <t>969c767c</t>
  </si>
  <si>
    <t>T-208: generic controlled validation fixture and continuous-process known answers</t>
  </si>
  <si>
    <t>Commit also carried already-staged T-206/T-207 files per session record.</t>
  </si>
  <si>
    <t>f2bafdb4</t>
  </si>
  <si>
    <t>Task closure session day</t>
  </si>
  <si>
    <t>Analysis Subject + Grain contract/kernel.</t>
  </si>
  <si>
    <t>92a655e1ddc4becedbaf89a3db96dc0d0f1eaf94</t>
  </si>
  <si>
    <t>Executed closure transcript day</t>
  </si>
  <si>
    <t>Full SHA verified; Git subject not recovered</t>
  </si>
  <si>
    <t>T-210 CLOSED GREEN; 7 owned paths, 15/15 acceptance, fresh 102-script replay, 0 introduced regression failures.</t>
  </si>
  <si>
    <t>2748c7fba8a5c4763bc19112ce57e484cea5b9bb</t>
  </si>
  <si>
    <t>Closure transcript day</t>
  </si>
  <si>
    <t>18-file exact owned commit; CLOSED GREEN.</t>
  </si>
  <si>
    <t>ea9103fd</t>
  </si>
  <si>
    <t>Establish source time authority for plant timestamps</t>
  </si>
  <si>
    <t>T-216 CLOSED; 30/30 T-216, 14/14 T-208, 19/19 genericity.</t>
  </si>
  <si>
    <t>c930af079502aa1660ef2bd5c50756d3fc3cf8f3</t>
  </si>
  <si>
    <t>Persist-T231-canonical-analysis-subject-grain-authority</t>
  </si>
  <si>
    <t>Canonical Analysis Subject/Grain persistence authority.</t>
  </si>
  <si>
    <t>eb7fb2ab</t>
  </si>
  <si>
    <t>Canvas executable block contract prerequisite.</t>
  </si>
  <si>
    <t>b93c7a58; fc029aa44ac0079be05d623c73414b7fd9f05590; aa57a503411abeeff38ef346ba8801c7742c7926</t>
  </si>
  <si>
    <t>T-242 Stage 1: extend Canvas executable vocabulary; exhaustive serialisation | T-242 Stage 2: deterministic block algebra and the boolean port type | T-242 close governed aggregate and window block contracts</t>
  </si>
  <si>
    <t>Final closure state as of 08-Sep; stage 2 explicitly seen 07-Sep</t>
  </si>
  <si>
    <t>Final full SHA + staged subjects verified</t>
  </si>
  <si>
    <t>Final closure = aa57a503...</t>
  </si>
  <si>
    <t>4d32c6b10b4605aeb6e0705ad03537d563125652</t>
  </si>
  <si>
    <t>T-244 close canonical Canvas lifecycle and selection model</t>
  </si>
  <si>
    <t>Closure authority known by 04-Sep; exact Git timestamp not recovered</t>
  </si>
  <si>
    <t>CLOSED; parent of T-094 Wave A part 1.</t>
  </si>
  <si>
    <t>6615481b</t>
  </si>
  <si>
    <t>Converge frontend journey and design-system truth</t>
  </si>
  <si>
    <t>CLOSED.</t>
  </si>
  <si>
    <t>CLOSED GREEN / COMMITTED (owner-reported task closure)</t>
  </si>
  <si>
    <t>2026-09-14 — report received; exact Git timestamp not supplied</t>
  </si>
  <si>
    <t>Owner message / final runner summary</t>
  </si>
  <si>
    <t>Owner-reported measured closure; not independently executed in this repair</t>
  </si>
  <si>
    <t>Parent 86e1b677212195f191697ecdca7e9441b3dbde33. Owner-provided final runner report in this conversation, received 14-Sep-2026; not independently rerun or verified against a live Git checkout here. Live acceptance 49/49; catalogue 5/5; owned contract 19/19; cleanup 6/6, survivors 0. Gate O: 900 = 899 passed + 1 exact inherited DefinitionKind RED; 900 unique testId and executionId. Exact staging/byte boundary passed; cleanup before one semantic commit. Task closure GREEN, not release-wide GREEN; canonical replay limitations remain separately tracked.</t>
  </si>
  <si>
    <t>Exact Git timestamp not recovered; dated source is observation evidence.</t>
  </si>
  <si>
    <t>Source-bound terminal/central/ancestry evidence; not a live repository rerun.</t>
  </si>
  <si>
    <t>Exact Git timestamp not recovered; source document date is evidence date, not commit time.</t>
  </si>
  <si>
    <t>Executed transcript/closure excerpt; no live Git verification in this review.</t>
  </si>
  <si>
    <t>Historical revisions through v2.21.0 — see Revision Changes v222 for current applied changes</t>
  </si>
  <si>
    <t>Action</t>
  </si>
  <si>
    <t>Task</t>
  </si>
  <si>
    <t>Release/Phase</t>
  </si>
  <si>
    <t>Hours Δ</t>
  </si>
  <si>
    <t>Why</t>
  </si>
  <si>
    <t>Downstream</t>
  </si>
  <si>
    <t>ADD</t>
  </si>
  <si>
    <t>M2/P2</t>
  </si>
  <si>
    <t>+6</t>
  </si>
  <si>
    <t>Shared authoring generic output-target authority</t>
  </si>
  <si>
    <t>Closed genericity tasks did not own the new hardcoded Canvas/SQL target regression.</t>
  </si>
  <si>
    <t>Precedes T-243/T-245/T-247/T-150</t>
  </si>
  <si>
    <t>Connector/customer capability truth convergence</t>
  </si>
  <si>
    <t>Frontend/website contain a second capability truth after T-207 closure.</t>
  </si>
  <si>
    <t>Precedes T-247/T-150/T-153</t>
  </si>
  <si>
    <t>M2/P5</t>
  </si>
  <si>
    <t>+8</t>
  </si>
  <si>
    <t>Repository authority + audit-truth hygiene ratchet</t>
  </si>
  <si>
    <t>Root/transient/audit self-reference/blank-line findings have no safe current owner.</t>
  </si>
  <si>
    <t>Precedes T-150/T-249</t>
  </si>
  <si>
    <t>M2/P1</t>
  </si>
  <si>
    <t>+12</t>
  </si>
  <si>
    <t>Runtime genericity + three-schema consumer convergence</t>
  </si>
  <si>
    <t>T-251 is read-only catalogue scope and cannot itself mutate 64 public/runtime/material residues.</t>
  </si>
  <si>
    <t>After T-251/T-252; precedes T-247/T-150/T-116</t>
  </si>
  <si>
    <t>Frontend execution-truth and skip-zero gate</t>
  </si>
  <si>
    <t>Real --list enumeration and release-profile skip truth are outside closed T-205/T-250.</t>
  </si>
  <si>
    <t>Precedes T-150/T-248</t>
  </si>
  <si>
    <t>RETIRE</t>
  </si>
  <si>
    <t>-12</t>
  </si>
  <si>
    <t>Remove duplicate commissioning umbrella from active authority</t>
  </si>
  <si>
    <t>Install/licence/users/runbook are already uniquely owned by T-123/T-121/T-120/T-126; T-150 is final gate; no dependency references T-118.</t>
  </si>
  <si>
    <t>Archived, not deleted from history</t>
  </si>
  <si>
    <t>PROMOTE</t>
  </si>
  <si>
    <t>M2 P5 → P1</t>
  </si>
  <si>
    <t>0</t>
  </si>
  <si>
    <t>Disposable DB lifecycle becomes foundation</t>
  </si>
  <si>
    <t>Current certification fixtures can touch/assume shared databases; downstream evidence cannot be trusted until isolated.</t>
  </si>
  <si>
    <t>Worker-1 P1: T-251 → T-252 → T-256</t>
  </si>
  <si>
    <t>STATUS</t>
  </si>
  <si>
    <t>In Progress → Not Started / QUEUED</t>
  </si>
  <si>
    <t>T-243 is open and T-245 also consumes T-106 job target/executor authority.</t>
  </si>
  <si>
    <t>Start only after T-243 + T-106</t>
  </si>
  <si>
    <t>AMEND</t>
  </si>
  <si>
    <t>+4</t>
  </si>
  <si>
    <t>Add executor capability registry to target/version/DAG</t>
  </si>
  <si>
    <t>Current RunNow central switch exposes unsupported late failures.</t>
  </si>
  <si>
    <t>Unblocks T-245</t>
  </si>
  <si>
    <t>Add bounded parallel worker pools</t>
  </si>
  <si>
    <t>Current import queue is serial and no runtime concurrency primitive is present.</t>
  </si>
  <si>
    <t>Feeds T-125 / Release-1 job plane</t>
  </si>
  <si>
    <t>Real two-tenant RLS proof</t>
  </si>
  <si>
    <t>Vacuous Assert.True(true) cannot count as evidence.</t>
  </si>
  <si>
    <t>Depends T-251/T-252</t>
  </si>
  <si>
    <t>MFA/config/dead-knob hardening</t>
  </si>
  <si>
    <t>PPIQ_RUN_E2E is dead; prod MFA minimum must be explicit.</t>
  </si>
  <si>
    <t>T-150 security gate</t>
  </si>
  <si>
    <t>Converge existing formal role catalogue</t>
  </si>
  <si>
    <t>Model exists; mapping/surface silently collapses/refuses poorly.</t>
  </si>
  <si>
    <t>T-120/T-121</t>
  </si>
  <si>
    <t>Vendor-held licence trust root</t>
  </si>
  <si>
    <t>Customer DB must verify, not mint, production licences; encryption naming must be truthful.</t>
  </si>
  <si>
    <t>T-150 / CEO persona</t>
  </si>
  <si>
    <t>+2</t>
  </si>
  <si>
    <t>Non-root Release-1 runtime + profile-only host config</t>
  </si>
  <si>
    <t>Current Docker/runtime defaults are not yet enterprise-hard.</t>
  </si>
  <si>
    <t>Canonical health + mandatory job correlation + queue metrics</t>
  </si>
  <si>
    <t>Customer IT needs operational evidence before M3 full SLO work.</t>
  </si>
  <si>
    <t>T-150/T-163</t>
  </si>
  <si>
    <t>M2/P4</t>
  </si>
  <si>
    <t>Generic Assistant tool/context convergence</t>
  </si>
  <si>
    <t>Material-specific run_kpi/page/filter context are in existing Assistant tool scope.</t>
  </si>
  <si>
    <t>T-116/T-117/T-138/T-153/T-248</t>
  </si>
  <si>
    <t>Mixed</t>
  </si>
  <si>
    <t>+6 (T-248)</t>
  </si>
  <si>
    <t>Absorb route/client/provider/connector/BI parity findings into existing Release-2 owners</t>
  </si>
  <si>
    <t>Avoid duplicate tasks where a natural owner already exists.</t>
  </si>
  <si>
    <t>CORRECT</t>
  </si>
  <si>
    <t>Add T-251 to dependency cell</t>
  </si>
  <si>
    <t>Handover and workbook must carry the same mechanical sequence.</t>
  </si>
  <si>
    <t>T-251 → T-252 → T-256</t>
  </si>
  <si>
    <t>CLARIFY</t>
  </si>
  <si>
    <t>Name fresh certification DB `ppiq_acceptance_empty`</t>
  </si>
  <si>
    <t>Prevents ad-hoc fresh DB naming before T-252 lifecycle authority.</t>
  </si>
  <si>
    <t>T-252 protected database list remains consistent</t>
  </si>
  <si>
    <t>SPLIT</t>
  </si>
  <si>
    <t>T-256/T-258</t>
  </si>
  <si>
    <t>M2/P1 + P3</t>
  </si>
  <si>
    <t>W1/W2</t>
  </si>
  <si>
    <t>Backend/frontend genericity ownership split</t>
  </si>
  <si>
    <t>T-256 cannot touch Worker-2 MaterialAnalytics/pages/types; T-258 owns frontend convergence.</t>
  </si>
  <si>
    <t>T-256 → T-258 → T-247/T-150</t>
  </si>
  <si>
    <t>RULING</t>
  </si>
  <si>
    <t>Canonical evidence-envelope schema owner</t>
  </si>
  <si>
    <t>Avoids duplicate skip-count artifact formats between T-252 and T-257; T-150 only aggregates.</t>
  </si>
  <si>
    <t>T-252/T-257 producers → T-150 consumer</t>
  </si>
  <si>
    <t>Measured canonical-content expansion</t>
  </si>
  <si>
    <t>Two namespaces exist; SQL target is not hashed and cannot round-trip. Scope now includes catalog enumeration, hashed root outputTarget, compatibility read and focused cross-layer tests.</t>
  </si>
  <si>
    <t>In Progress → Not Started</t>
  </si>
  <si>
    <t>Measured main HEAD is T-242 and zero T-243 product-source work exists.</t>
  </si>
  <si>
    <t>Starts fresh after T-253</t>
  </si>
  <si>
    <t>Release Evidence Envelope v1 contract</t>
  </si>
  <si>
    <t>Producers T-252/T-257 cannot consume a schema owned only by later P5 T-227.</t>
  </si>
  <si>
    <t>T-259 → T-252/T-257/T-227/T-150</t>
  </si>
  <si>
    <t>Scorecard/policy only; consume T-259 schema</t>
  </si>
  <si>
    <t>Keeps P5 acceptance content separate from P1 machine-readable contract.</t>
  </si>
  <si>
    <t>P80</t>
  </si>
  <si>
    <t>New/open review tasks</t>
  </si>
  <si>
    <t>Populate missing AI Guarded Time P80</t>
  </si>
  <si>
    <t>Prevents new tasks from counting as zero in capacity views.</t>
  </si>
  <si>
    <t>Release Plan / worker capacity views</t>
  </si>
  <si>
    <t>HANDOFF</t>
  </si>
  <si>
    <t>T-253 → T-256</t>
  </si>
  <si>
    <t>M2/P2 → P1</t>
  </si>
  <si>
    <t>W2 → W1</t>
  </si>
  <si>
    <t>AllowedTargetEntities hardcode assigned to T-256</t>
  </si>
  <si>
    <t>Worker 2 measured the 12-name list but correctly refused to absorb it into T-253.</t>
  </si>
  <si>
    <t>T-256 consumes T-253 catalog authority; no duplicate enumeration.</t>
  </si>
  <si>
    <t>Split total from executed counts</t>
  </si>
  <si>
    <t>Skipped cases were incorrectly counted as executed.</t>
  </si>
  <si>
    <t>Envelope v1 invariants corrected</t>
  </si>
  <si>
    <t>CONFIRM</t>
  </si>
  <si>
    <t>Scorecard/policy only</t>
  </si>
  <si>
    <t>v2.20.2 already removed schema ownership; stale producer references were the remaining issue.</t>
  </si>
  <si>
    <t>T-259 schema → T-227 policy</t>
  </si>
  <si>
    <t>Add model-sourced projection-target eligibility predicate</t>
  </si>
  <si>
    <t>All mapped canonical entities are not all legal mapping/authoring targets; schema-only also misclassifies valid/invalid entities.</t>
  </si>
  <si>
    <t>T-256 consumes same predicate</t>
  </si>
  <si>
    <t>Keep T-253 as hard dependency</t>
  </si>
  <si>
    <t>Removing it would permit duplicate or broadened target classification.</t>
  </si>
  <si>
    <t>If blocked, return to CENTRAL for disjoint lane</t>
  </si>
  <si>
    <t>T-251 proved the named fresh DB is built from an incomplete canonical path; classifying it now would be false work.</t>
  </si>
  <si>
    <t>T-260 → resume T-251 → T-259</t>
  </si>
  <si>
    <t>PAUSE</t>
  </si>
  <si>
    <t>Pause adjudication until T-260</t>
  </si>
  <si>
    <t>Catalogue machine is good; fresh reference state is not yet authoritative.</t>
  </si>
  <si>
    <t>Do not classify current 106/81 queue</t>
  </si>
  <si>
    <t>Governed Transformation/Projection executor</t>
  </si>
  <si>
    <t>Measured T-245 preflight proved binding exists but CanonicalRefresh honestly has no governed Transformation executor.</t>
  </si>
  <si>
    <t>T-261 → T-245 → T-247 → T-150</t>
  </si>
  <si>
    <t>TRACE</t>
  </si>
  <si>
    <t>ALL</t>
  </si>
  <si>
    <t>All</t>
  </si>
  <si>
    <t>CENTRAL</t>
  </si>
  <si>
    <t>Product Capability Traceability Standard v1.1</t>
  </si>
  <si>
    <t>Every backlog task now declares a Primary Capability point; secondary capability IDs capture real cross-capability contribution without double-counting.</t>
  </si>
  <si>
    <t>Backlog → capability → D-dimension → evidence reporting</t>
  </si>
  <si>
    <t>HISTORICAL SNAPSHOT — NOT CURRENT AUTHORITY | Task ID</t>
  </si>
  <si>
    <t>Nominal h</t>
  </si>
  <si>
    <t>Backlog Status</t>
  </si>
  <si>
    <t>Verified Status</t>
  </si>
  <si>
    <t>Closed h</t>
  </si>
  <si>
    <t>Remaining h</t>
  </si>
  <si>
    <t>Active Scope h</t>
  </si>
  <si>
    <t>T-061; T-089; T-099; T-102; T-112; T-114; T-128; T-196; T-233</t>
  </si>
  <si>
    <t>T-087; T-089; T-112; T-128</t>
  </si>
  <si>
    <t>T-061; T-090; T-092; T-095; T-099; T-106; T-114; T-128; T-183; T-243; T-244</t>
  </si>
  <si>
    <t>T-061; T-091; T-092; T-095; T-099; T-104; T-106; T-114; T-128; T-134; T-147; T-183; T-195; T-210; T-221; T-228; T-231; T-232; T-233; T-235; T-239; T-243; T-244</t>
  </si>
  <si>
    <t>T-095; T-128; T-183; T-196</t>
  </si>
  <si>
    <t>T-150; T-212</t>
  </si>
  <si>
    <t>T-150; T-250</t>
  </si>
  <si>
    <t>T-093; T-150; T-213</t>
  </si>
  <si>
    <t>T-150; T-209; T-211; T-216; T-217; T-218; T-234; T-238</t>
  </si>
  <si>
    <t>T-094; T-210; T-214; T-231; T-234</t>
  </si>
  <si>
    <t>T-061; T-100; T-101; T-104; T-107; T-109; T-114; T-128; T-183</t>
  </si>
  <si>
    <t>T-101; T-107; T-109; T-128; T-183</t>
  </si>
  <si>
    <t>Projection through the versioned mapping, with version stamping</t>
  </si>
  <si>
    <t>T-090; T-095; T-099</t>
  </si>
  <si>
    <t>T-105; T-107; T-109; T-128; T-183</t>
  </si>
  <si>
    <t>T-105</t>
  </si>
  <si>
    <t>Idempotent reprojection and mapping-version regression</t>
  </si>
  <si>
    <t>Job target/version policy, executor capability registry and dependency DAG</t>
  </si>
  <si>
    <t>T-064; T-089; T-090</t>
  </si>
  <si>
    <t>T-107; T-122; T-245; T-125</t>
  </si>
  <si>
    <t>T-095; T-096; T-097; T-098; T-099; T-100; T-101; T-102; T-103; T-104; T-105; T-106</t>
  </si>
  <si>
    <t>T-122; T-141; T-187; T-192; T-125</t>
  </si>
  <si>
    <t>stage_watermarks and delta-scoped projection</t>
  </si>
  <si>
    <t>T-095; T-096; T-097; T-098; T-099; T-100; T-101; T-102; T-103; T-104; T-105; T-108</t>
  </si>
  <si>
    <t>T-136; T-187</t>
  </si>
  <si>
    <t>Chunk manifests, checkpoint, resume and deterministic merge</t>
  </si>
  <si>
    <t>T-111</t>
  </si>
  <si>
    <t>Scan budget and the Scan Amplification metric</t>
  </si>
  <si>
    <t>T-150; T-224</t>
  </si>
  <si>
    <t>T-225; T-233</t>
  </si>
  <si>
    <t>T-164; T-212; T-237</t>
  </si>
  <si>
    <t>T-242; T-243</t>
  </si>
  <si>
    <t>T-245; T-246</t>
  </si>
  <si>
    <t>CENTRAL v2.20.2 measured-source correction: current main has zero T-243 product-source work. Status is Not Started; begin fresh only after T-253 closes.</t>
  </si>
  <si>
    <t>T-243; T-244; T-106</t>
  </si>
  <si>
    <t>T-243; T-130; T-137</t>
  </si>
  <si>
    <t>T-092; T-207; T-212; T-213; T-241; T-242; T-243; T-244; T-245; T-253; T-254; T-256; T-258</t>
  </si>
  <si>
    <t>T-243; T-245; T-247; T-150</t>
  </si>
  <si>
    <t>T-247; T-150; T-153</t>
  </si>
  <si>
    <t>T-247; T-150</t>
  </si>
  <si>
    <t>T-196; T-197; T-198; T-199; T-200</t>
  </si>
  <si>
    <t>T-215; T-223; T-232; T-238; T-239</t>
  </si>
  <si>
    <t>T-115; T-123; T-150</t>
  </si>
  <si>
    <t>T-252; T-257; T-227; T-150</t>
  </si>
  <si>
    <t>T-150; T-256</t>
  </si>
  <si>
    <t>T-247; T-150; T-116; T-258</t>
  </si>
  <si>
    <t>T-150; T-249</t>
  </si>
  <si>
    <t>HISTORICAL SNAPSHOT — NOT CURRENT AUTHORITY | M2 v2.20.4 — Dynamic Phase × Worker Scoreboard</t>
  </si>
  <si>
    <t>Scope h</t>
  </si>
  <si>
    <t>Active h</t>
  </si>
  <si>
    <t>Progress %</t>
  </si>
  <si>
    <t>Open tasks</t>
  </si>
  <si>
    <t>Central interpretation</t>
  </si>
  <si>
    <t>T-251 → T-259 → T-252 → T-256. Physical catalogue, evidence-envelope contract, disposable certification DBs, then backend runtime genericity.</t>
  </si>
  <si>
    <t>T-253 expanded to canonical-content contract; T-243 measured Not Started; T-245 waits for T-243 + T-106.</t>
  </si>
  <si>
    <t>Release-1 enterprise BI core unchanged. Full comparative BI parity remains Release 2 / T-248.</t>
  </si>
  <si>
    <t>No duplicate task added; T-223 absorbs Assistant genericity/context convergence.</t>
  </si>
  <si>
    <t>T-118 retired; T-255/T-257 added. Security/licence/deploy/monitoring scopes sharpened.</t>
  </si>
  <si>
    <t>HISTORICAL SNAPSHOT — NOT CURRENT AUTHORITY | PlantProcess IQ — M2 v2.20.4 Governance Dashboard | 09-Sep-2026</t>
  </si>
  <si>
    <t>v2.20.4 adds T-260: correct the incomplete fresh acceptance DB builder before T-251 classification continues.</t>
  </si>
  <si>
    <t>M2 Scope h</t>
  </si>
  <si>
    <t>Formal Progress</t>
  </si>
  <si>
    <t>Centrally governed next sequence</t>
  </si>
  <si>
    <t>Lane</t>
  </si>
  <si>
    <t>Now</t>
  </si>
  <si>
    <t>State</t>
  </si>
  <si>
    <t>Then</t>
  </si>
  <si>
    <t>Waits for</t>
  </si>
  <si>
    <t>Central ruling</t>
  </si>
  <si>
    <t>Resume T-251 → T-259 → T-252</t>
  </si>
  <si>
    <t>T-088 authority</t>
  </si>
  <si>
    <t>Fix fresh acceptance DB build path first; do not classify old 106/81 queue.</t>
  </si>
  <si>
    <t>T-251 machine is valid and remains installed.</t>
  </si>
  <si>
    <t>T-243 → T-254</t>
  </si>
  <si>
    <t>T-244 ancestry</t>
  </si>
  <si>
    <t>Continue implementation, not more architecture review.</t>
  </si>
  <si>
    <t>Single standard runner.</t>
  </si>
  <si>
    <t>Start now</t>
  </si>
  <si>
    <t>T-255 if T-107 blocked</t>
  </si>
  <si>
    <t>—</t>
  </si>
  <si>
    <t>Canonical job authority remains T-245 prerequisite.</t>
  </si>
  <si>
    <t>No Canvas-private scheduler.</t>
  </si>
  <si>
    <t>Gated</t>
  </si>
  <si>
    <t>After T-252 + T-253</t>
  </si>
  <si>
    <t>T-252; T-253</t>
  </si>
  <si>
    <t>Backend convergence only after both foundations.</t>
  </si>
  <si>
    <t>If blocked, CENTRAL assigns disjoint work.</t>
  </si>
  <si>
    <t>Metric</t>
  </si>
  <si>
    <t>v2.20.1</t>
  </si>
  <si>
    <t>v2.20.2</t>
  </si>
  <si>
    <t>Change</t>
  </si>
  <si>
    <t>Interpretation</t>
  </si>
  <si>
    <t>M2 scope h</t>
  </si>
  <si>
    <t>T-253 measured expansion + T-259 evidence contract; no valid closure changed.</t>
  </si>
  <si>
    <t>M2 closed h</t>
  </si>
  <si>
    <t>Valid closures stay frozen.</t>
  </si>
  <si>
    <t>M2 remaining h</t>
  </si>
  <si>
    <t>Previously hidden canonical-content/evidence-contract work is now explicit.</t>
  </si>
  <si>
    <t>M2 formal progress</t>
  </si>
  <si>
    <t>Denominator correction only.</t>
  </si>
  <si>
    <t>Active task truth</t>
  </si>
  <si>
    <t>T-243 In Progress</t>
  </si>
  <si>
    <t>T-253 In Progress / T-243 Not Started</t>
  </si>
  <si>
    <t>Measured-source correction</t>
  </si>
  <si>
    <t>Current main has no T-243 product source changes.</t>
  </si>
  <si>
    <t>Phase Total</t>
  </si>
  <si>
    <t>TOTAL</t>
  </si>
  <si>
    <t>Task mapping and closure counts only. A closed task is not D1–D5 product certification.</t>
  </si>
  <si>
    <t>ID</t>
  </si>
  <si>
    <t>Layer</t>
  </si>
  <si>
    <t>Capability</t>
  </si>
  <si>
    <t>Class</t>
  </si>
  <si>
    <t>Done primary</t>
  </si>
  <si>
    <t>Open primary</t>
  </si>
  <si>
    <t>M2 primary</t>
  </si>
  <si>
    <t>M3 primary</t>
  </si>
  <si>
    <t>Primary task IDs</t>
  </si>
  <si>
    <t>Secondary tasks</t>
  </si>
  <si>
    <t>Done secondary</t>
  </si>
  <si>
    <t>Secondary task IDs</t>
  </si>
  <si>
    <t>L1</t>
  </si>
  <si>
    <t>Existing primary mapping preserved; secondary ownership amended only where acceptance names the capability.</t>
  </si>
  <si>
    <t>L1.3</t>
  </si>
  <si>
    <t>Incremental import into staging</t>
  </si>
  <si>
    <t>L1.6</t>
  </si>
  <si>
    <t>Source schema drift and mapping-health signalling</t>
  </si>
  <si>
    <t>Import monitoring, recovery and dead-letter visibility</t>
  </si>
  <si>
    <t>L2</t>
  </si>
  <si>
    <t>L2.7</t>
  </si>
  <si>
    <t>Job dependency DAG</t>
  </si>
  <si>
    <t>L3</t>
  </si>
  <si>
    <t>L3.3</t>
  </si>
  <si>
    <t>Dynamic filter authoring</t>
  </si>
  <si>
    <t>Canvas -&gt; compile -&gt; governed job -&gt; run -&gt; per-block evidence</t>
  </si>
  <si>
    <t>L4</t>
  </si>
  <si>
    <t>L5</t>
  </si>
  <si>
    <t>L6.1</t>
  </si>
  <si>
    <t>L6</t>
  </si>
  <si>
    <t>Persistent Assistant dock and context envelope</t>
  </si>
  <si>
    <t>Global shell components G1-G6</t>
  </si>
  <si>
    <t>L7</t>
  </si>
  <si>
    <t>Authoring quota and capacity guardrail</t>
  </si>
  <si>
    <t>Infrastructure cost formula</t>
  </si>
  <si>
    <t>L8</t>
  </si>
  <si>
    <t>C1-C4 performance certification and golden-journey release gate</t>
  </si>
  <si>
    <t>L9</t>
  </si>
  <si>
    <t>Action tracking</t>
  </si>
  <si>
    <t>L9.6</t>
  </si>
  <si>
    <t>Effectiveness evaluation</t>
  </si>
  <si>
    <t>L9.8</t>
  </si>
  <si>
    <t>Feedback quality and poisoning prevention</t>
  </si>
  <si>
    <t>L10</t>
  </si>
  <si>
    <t>Secondary links are a normalized generated view of Backlog column AC. Regenerate this view when capability assignments change; status/release values recalculate from task-ID lookups.</t>
  </si>
  <si>
    <t>Retired ID</t>
  </si>
  <si>
    <t>Disposition</t>
  </si>
  <si>
    <t>Merged responsibilities</t>
  </si>
  <si>
    <t>Prior task name</t>
  </si>
  <si>
    <t>Prior description</t>
  </si>
  <si>
    <t>Prior acceptance</t>
  </si>
  <si>
    <t>Prior hours</t>
  </si>
  <si>
    <t>Prior status</t>
  </si>
  <si>
    <t>Retired / merged</t>
  </si>
  <si>
    <t>Make reprojection idempotent and add the regression suite: reprojecting the same batch must not duplicate rows, and rolling a mapping back to a previous version must produce the earlier result exactly.</t>
  </si>
  <si>
    <t>Reproject the same batch three times and confirm row counts are unchanged. Roll a mapping back and confirm the canonical output matches the earlier snapshot byte for byte.</t>
  </si>
  <si>
    <t>T-110 (runtime); T-155 (calibration); T-159 (certification)</t>
  </si>
  <si>
    <t>Add scan admission and the Scan Amplification Ratio from Chapter 6 6.1.12.2a, with a baseline and a regression gate that fails the build when amplification rises beyond the baseline.</t>
  </si>
  <si>
    <t>Record a baseline, then deliberately remove a delta scope and confirm the gate goes red. Restore and confirm green.</t>
  </si>
  <si>
    <t>Task / view</t>
  </si>
  <si>
    <t>Field / operation</t>
  </si>
  <si>
    <t>Previous</t>
  </si>
  <si>
    <t>New</t>
  </si>
  <si>
    <t>Reason</t>
  </si>
  <si>
    <t>Complete the DF5 contract: source-shaped staging projects into the canonical plant model through the customer-authored versioned mapping, and every projected row records the mapping version that produced it.</t>
  </si>
  <si>
    <t>Merge with acceptance conservation</t>
  </si>
  <si>
    <t>Project a batch, change the mapping version, project again, and confirm each row records the version that produced it. No row may carry a null mapping version.</t>
  </si>
  <si>
    <t>Merge T105 validation</t>
  </si>
  <si>
    <t>Merge T105</t>
  </si>
  <si>
    <t>Preserve summed baseline estimates; not a re-estimate</t>
  </si>
  <si>
    <t>Build on the M1 target_definition_id work: add the full version policy (pinned or current published), the job dependency graph, and cycle validation.
v2.10.2 BOUNDARY CORRECTION — the pinned/current-published PUBLIC semantics are already frozen by T-064. This task performs canonical physical convergence: job_definitions FK -&gt; definition_store(id) ON DELETE RESTRICT, target-version policy CHECKs/target-surface trigger against the canonical store, target_parameters persistence, plus job_dependencies DAG/cycle validation. Do not redesign T-064's visible contract.
v2.20.0 EXECUTION-PLANE EXPANSION — replace the central job-type switch as the authority for manual execution. Each executable job family registers an executor capability through DI/registry metadata: supported/unsupported state, target definition kind, version policy, input contract and run capability. A new executor family must be addable without editing a central switch. Unsupported families refuse at definition/save or capability discovery with a typed reason rather than surviving until RunNow.
v2.20.0 LAYER-B PLACEMENT RULING — scheduling count, repetition, iteration windows and control flow belong to governed Job orchestration. Do not add new FOR/WHILE-style board execution semantics. Existing T-242 saved definitions remain readable through compatibility handling, but new orchestration authority is the Job plane.</t>
  </si>
  <si>
    <t>Approved scope expansion, avoid dependency cycle</t>
  </si>
  <si>
    <t>Declare a three-job chain, run it, and confirm order. Introduce a cycle and confirm it is refused at save time with a named code. Enumerate every job family exposed by the product and prove each is either backed by a registered executor or explicitly unavailable by typed reason. Register a test executor through DI and prove it runs without editing the orchestrator switch. The current 'no manual executor'/'not implemented yet' runtime fall-through is no longer reachable for an advertised executable job.
Newly authored execution schedules express repetition/window/control-flow in the Job contract rather than creating a new Canvas FOR/WHILE node. A compatibility fixture for an existing T-242 loop definition remains readable and produces an explicit compatibility interpretation rather than data loss.</t>
  </si>
  <si>
    <t>Scheduler, outcome and freshness acceptance</t>
  </si>
  <si>
    <t>Approved scope expansion</t>
  </si>
  <si>
    <t>Source exists; expanded closure remains unproven</t>
  </si>
  <si>
    <t>L2.5; L2.7</t>
  </si>
  <si>
    <t>Traceability coverage</t>
  </si>
  <si>
    <t>Dependency aligned to owning producer</t>
  </si>
  <si>
    <t>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t>
  </si>
  <si>
    <t>Absorb acquisition defects into existing delta owner</t>
  </si>
  <si>
    <t>Change one source row and confirm projection processes a bounded delta rather than a full scan, evidenced by rows-scanned telemetry.</t>
  </si>
  <si>
    <t>Total-order, replay and source-load acceptance</t>
  </si>
  <si>
    <t>Approved delta scope expansion</t>
  </si>
  <si>
    <t>Implement Chapter 4 5.3.9.6a: bounded chunks with receipts, checkpoint and resume after interruption, and a deterministic merge so a resumed run produces the same result as an uninterrupted one.</t>
  </si>
  <si>
    <t>Merge T111 runtime into scale execution</t>
  </si>
  <si>
    <t>Kill a running job at 60 percent, restart it, and confirm the final result is byte-identical to an uninterrupted run over the same input.</t>
  </si>
  <si>
    <t>Conserve T111 negative control</t>
  </si>
  <si>
    <t>Merge and move</t>
  </si>
  <si>
    <t>Conservative combined baseline estimate; calibration allocations need re-estimation</t>
  </si>
  <si>
    <t>Owner-approved release placement</t>
  </si>
  <si>
    <t>T-148; T-202; T-203; T-204; T-205; T-228; T-241; T-243; T-244; T-245; T-246; T-257</t>
  </si>
  <si>
    <t>T-148; T-202; T-203; T-204; T-205; T-228; T-241; T-243; T-244; T-245; T-257</t>
  </si>
  <si>
    <t>Authoring grammar closure is not dependent on commissioned model family</t>
  </si>
  <si>
    <t>Complete the C2 Mapping Health page against Chapter 3 4.4 C2: issues grouped by code, example rows, and Reprocess after the mapping is corrected. The M1 version delivered the shape; this delivers the full class set and the retry semantics.</t>
  </si>
  <si>
    <t>Complete the C2 Mapping Health page against Chapter 3 4.4 C2: issues grouped by code, example rows, and Reprocess after the mapping is corrected. The M1 version delivered the shape; this delivers the full class set and the retry semantics.
v2.22.0 — Quarantine inspection API/UI and schema-drift enforcement. Keep one drift event authority and reuse current schemas/compatibility safely.</t>
  </si>
  <si>
    <t>Approved audit correction</t>
  </si>
  <si>
    <t>Quarantine rows under three different codes, correct one mapping, reprocess, and confirm only the affected rows clear. The M1 continuity snapshot of this page must still match.</t>
  </si>
  <si>
    <t>Quarantine rows under three different codes, correct one mapping, reprocess, and confirm only the affected rows clear. The M1 continuity snapshot of this page must still match.
v2.22.0 — GET quarantine list/detail filtered by code, dataset and batch with staging lineage/correction hint; tenant denial; remove mapped source object/field -&gt; typed execution refusal and persisted C2 event; corrected reprocess uses declared version and records outcome.</t>
  </si>
  <si>
    <t>Named acceptance conservation/extension</t>
  </si>
  <si>
    <t>Confirm the genealogy layer walks both directions on the customer's own keys and that attribution weights are enforced to sum to exactly 1.0 per child by the database trigger on genealogy_edges.contribution_weight numeric(9,6).</t>
  </si>
  <si>
    <t>Walk a chain backward and forward and confirm the same edges are traversed. Attempt an insert whose weights sum to 0.99 inside a transaction and confirm the trigger rejects it, then roll back.</t>
  </si>
  <si>
    <t>Persist the shared canvas graph through the unified definition_store/definition_versions authority. Save block positions, typed connections, parameters and purpose; reopen and edit a published/draft version under the existing lifecycle. No canvas-specific shadow store.</t>
  </si>
  <si>
    <t>Create/save/reopen/edit round-trip preserves semantic graph content; version history is immutable; rollback selects an existing version; no second definition lifecycle/table is introduced. The governed output target/Analysis Subject identity introduced by T-253 is part of the semantic round-trip and cannot collapse to a hardcoded material target.</t>
  </si>
  <si>
    <t>Eliminate independent frontend/website capability claims for connectors and source systems. Availability, browse/read/subscription/import certification, Planned/Unavailable/Certified state and descriptive capability text are rendered from the backend connector truth snapshot or a generated artifact derived from it. Remove static 'live source' counts/claims that are not backed by current executed certification evidence.</t>
  </si>
  <si>
    <t>Change a connector capability/certification state in a backend fixture and prove the DB Configuration UI and generated website proof change without editing frontend/website source. Unsupported/planned connectors remain dimmed and attempts retain the typed refusal from T-207. Static gate finds no second provider-capability availability registry and no unqualified '6 live source systems' claim.</t>
  </si>
  <si>
    <t>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 AUDIT HARDENING IN v2.9.2. Do not stop at deleting today's literals. Make environment separation structural: Production must reject demo/test/bootstrap users, development signing keys, presentation-only source/database defaults and hardcoded host fallbacks. Local, test and presentation conveniences remain available only through explicitly selected non-Production profiles; the same deployable artifact moves environments.
v2.20.0 REVIEW ADDENDUM — remove the dead PPIQ_RUN_E2E runtime-env knob now that canonical Jenkins E2E is unconditionally blocking. Production administration must require MFA by default (or require an explicit, auditable production exception); Release-1 evidence must include one MFA-enabled admin path.</t>
  </si>
  <si>
    <t>A secret scan across the repository returns no live credential. Generate an audit package and confirm secrets are masked. Confirm the E2E stack still runs with credentials supplied from the environment. Add a fail-closed Production configuration test that deliberately injects a bootstrap admin, a known demo/test credential marker, a development signing key and a presentation/local host fallback one at a time; each must stop startup or fail the configuration gate by name. A clean Production profile passes with all required values externally supplied. Confirm no executable production/runtime script supplies the retired server IP as a fallback. Confirm PPIQ_RUN_E2E is absent from runtime profile generation. A Production profile with privileged-admin MFA disabled fails the configuration gate unless an explicit governed exception fixture is supplied. Run one privileged-admin E2E path with MFA enabled.</t>
  </si>
  <si>
    <t>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
v2.10.2 PAGE-COVERAGE EXPANSION — this owner also delivers the required F3 Authoring Quota and Limits route /admin/quota. F2 shows licence/entitlement and total meters; F3 allocates authoring quotas by role/user with current consumption, Amber at &gt;=80%, create disabled at 100%, and no lost draft.
v2.20.0 TRUST-ROOT RULING — production licence issuance/signing authority is vendor-side. Customer databases contain verification/public-key material and licence artifacts, not a production private signing key capable of minting a valid licence. Any development-only local signing key is explicitly non-production and either truly encrypted at rest or stored under a truthful non-encrypted name; an `_encrypted` column may not contain raw PEM.</t>
  </si>
  <si>
    <t>Exceed a meter and confirm the import queues and the job waits for a slot rather than failing. Confirm the customer can see their own approach to each meter in the interface, since a limit the customer cannot see is a trap.
In addition to licence-meter tests, open /admin/quota, change one role quota and one user override, approach 80% and 100%, and prove warning/disable semantics plus audit. Non-admin roles are denied by the final page contract. Issue a production-shaped licence outside the customer database, verify it on the customer installation, tamper and prove refusal. Prove the customer database alone cannot mint a valid production licence. Inspect signing-key persistence and prove no raw private PEM is stored in a field/schema claiming encryption.</t>
  </si>
  <si>
    <t>Build the fresh installation and upgrade paths from Chapter 6 6.1.4, including what an upgrade may never do, and a rollback path. Migration runs as a deployment step rather than as a manual action. Explicitly own in-place upgrade of a long-lived installation: canonical migration ledger/watermark continuity, upgrade from an older valid schema without rebuild, rollback boundary, and reconciliation of a development DB whose migration ledger is missing/stale. Do not conflate populated plant data with migration-ledger correctness.
v2.20.0 DEPLOYMENT HARDENING — Release-1 production containers run with explicit non-root runtime users, and customer/public hostnames/IPs come from selected configuration profiles; executable install/smoke scripts have no legacy-server IP fallback. Do not wait for M3 isolated-ML container work to establish these minimum production properties.</t>
  </si>
  <si>
    <t>Install on a clean machine, upgrade from the previous version, then roll back. All three complete without manual database intervention. Run the fourteen post-deployment acceptance checks from 6.1.4.6. Clone an older populated installation, upgrade it in place through the canonical runner, prove schema_migrations/EF history records the executed path, preserve customer rows, and prove rollback/failed-upgrade recovery without substituting a fresh empty database. Inspect every Release-1 runtime image and prove its effective UID is non-root. Provision two different host/domain profiles without editing repository files and complete install/upgrade/smoke on both. A missing required production host value fails configuration rather than falling back to the historical server.</t>
  </si>
  <si>
    <t>Persist process_transition_definitions and process_transition_events plus effective-dated stabilisation policy, provenance and query API under the canonical definition/tenant authority. Do not model changeover as downtime by default; overlap is allowed and explicit.</t>
  </si>
  <si>
    <t>Fresh migration/replay green. A customer-authored transition definition and event round-trip with scope/from-to context/stabilisation rule; no shipped industry values. Querying an interval returns exact transition/stabilisation overlaps and evidence.</t>
  </si>
  <si>
    <t>Capture observed outcomes, prediction/remediation evaluation and escalation records. Intervened instances are reported separately from ordinary prediction-accuracy metrics. Escalation is a record, never an automatic decision.</t>
  </si>
  <si>
    <t>Accept a candidate, let the outcome arrive and prove evaluation closes the loop with intervention state preserved. Confirm intervened instances are excluded from ordinary accuracy calculation and an escalation creates no action automatically.</t>
  </si>
  <si>
    <t>Use the schema-independent statistical kernel from T-177 to converge the runtime onto one readiness-gated engine and retire the direct-SQL/superseded compute paths. Persist method, aligned population/group sizes, effect size, p-value, FDR/q-value, gate evidence and truthful exclusion reason. This is the production wiring/cutover task; do not perform it before M1 presentation continuity is frozen.</t>
  </si>
  <si>
    <t>Use the schema-independent statistical kernel from T-177 to converge the runtime onto one readiness-gated engine and retire the direct-SQL/superseded compute paths. Persist method, aligned population/group sizes, effect size, p-value, FDR/q-value, gate evidence and truthful exclusion reason. This is the production wiring/cutover task; do not perform it before M1 presentation continuity is frozen.
v2.22.0 — Converge production statistical methods and discipline onto the accepted authorities; absorb/retire duplicate StatisticalDiscipline code only after all consumer and test obligations move. No performance/style-only rewrite.</t>
  </si>
  <si>
    <t>Only one production correlation engine is reachable. Known-answer fixtures cover Numeric×Numeric, Binary×Numeric, Categorical×Categorical and Numeric×Categorical. Numeric×Categorical selects ANOVA when assumptions hold and Kruskal-Wallis otherwise. Constant, unsupported and insufficient-sample cases retain distinct reasons. Re-run the M1 analysis continuity checks and prove no visible regression.</t>
  </si>
  <si>
    <t>Persist the T-171 capability profile per outcome/grain/manifest and implement governed prediction-point candidates plus the model-count governor. Only capabilities supported by measured data become eligible; collapsed dimensions and refusal reasons remain visible. Prediction points are activated under policy rather than multiplying models blindly.</t>
  </si>
  <si>
    <t>On one rich and one sparse reference population, persist different capability states with their measured basis. Generate prediction-point candidates and prove the governor caps/chooses them deterministically. An unsupported model family remains MODEL_NOT_READY/NOT_APPLICABLE rather than creating a placeholder model.</t>
  </si>
  <si>
    <t>Validate the real user, page, job, DB-link and data bands against measured infrastructure, and build the Sales Administration and capacity calculator from Chapter 6 6.3.8.</t>
  </si>
  <si>
    <t>A quote produced by the calculator matches the measured server class for the same inputs.</t>
  </si>
  <si>
    <t>Close the Release-2 remainder of the founder-approved F01-F15, S01-S30 and E01-E30 outcome matrix using native PPIQ semantics. Explicitly include Scoped Measure Context, Named Comparison State, pending lasso/range confirm-cancel, story/live-source return, complete current-state export matrix, advanced exploration, mini-overview navigation where applicable, and reusable versioned subflows as the PPIQ equivalent of script Include/Must_Include.
v2.20.0 ENTERPRISE-BI PARITY EXPANSION — the 75-item matrix explicitly includes context-sensitive property inspection, named selections/bookmarks, pivot/crosstab or governed PPIQ-equivalent, conditional formatting, export/print fidelity, design-token/theme governance, accessibility/keyboard authoring, and removal of localStorage as a fallback for server-owned page/widget layout state.
v2.20.0 AUTHORING-SEMANTICS CONVERGENCE — close the historical T-242/Layer-B placement contradiction without reopening T-242. For newly authored definitions, arithmetic/comparison/logic are expression configuration inside the block they configure, while FOR/WHILE-style control flow is Job orchestration. Existing persisted T-242 definitions remain reopenable through an explicit compatibility translation/representation; do not strand customer-authored history.</t>
  </si>
  <si>
    <t>A 75-row acceptance matrix has no Unowned or Missing row. Every row is Implemented or PPIQ-Equivalent, has an automated/visual acceptance or an explicit non-applicability proof, and no proprietary Qlik syntax is required. Comparative acceptance against the defined PPIQ outcomes demonstrates no missing enterprise authoring row for inspector/style, bookmark/selection, pivot/crosstab, formatting, export and accessibility. Server-owned layouts survive a clean browser profile with localStorage cleared. Raw component colour literals are within an explicit design-token allowlist.
A new definition authors arithmetic/logic through expression configuration and schedules repetition/control flow through the Job authority. A persisted legacy T-242 board definition reopens with semantic equivalence and an explicit compatibility marker; save-as-new converges to the current representation without losing history.</t>
  </si>
  <si>
    <t>A 75-row acceptance matrix has no Unowned or Missing row. Every row is Implemented or PPIQ-Equivalent, has an automated/visual acceptance or an explicit non-applicability proof, and no proprietary Qlik syntax is required. Comparative acceptance against the defined PPIQ outcomes demonstrates no missing enterprise authoring row for inspector/style, bookmark/selection, pivot/crosstab, formatting, export and accessibility. Server-owned layouts survive a clean browser profile with localStorage cleared. Raw component colour literals are within an explicit design-token allowlist.
A new definition authors arithmetic/logic through expression configuration and schedules repetition/control flow through the Job authority. A persisted legacy T-242 board definition reopens with semantic equivalence and an explicit compatibility marker; save-as-new converges to the current representation without losing history.
v2.22.0 — Search scopes results/actions correctly; keyboard select/escape; tray shows run identity/state/progress with polling fallback and no fake percent; empty/failed/denied variants; existing 75-item authoring/BI acceptance retained.</t>
  </si>
  <si>
    <t>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
v2.20.0 ORDERING — perform namespace renaming after T-256 has decided which material/legacy runtime surfaces remain legitimate compatibility surfaces. Do not preserve a semantically invalid endpoint merely to give it a cleaner URL.</t>
  </si>
  <si>
    <t>Every one of the 544 routes appears exactly once in the mapping table. Both the old and the new path return identical responses for a sample of twenty routes.</t>
  </si>
  <si>
    <t>Bind D6 Suggestions to canonical remediation candidates/eligibility/decision records. Suppressed candidates never render. Accept/Reject/Defer controls obey server can_accept and preserve the human/read-only boundary. Preserve the M1 visual contract while deleting presentation-only decision data paths.</t>
  </si>
  <si>
    <t>Run continuity snapshots. Attempt client-side manipulation to enable a forbidden decision and prove the server refuses it. Exercise actionable/evidence_only/exploratory/suppressed cases and confirm only allowed states appear with evidence and actor/reason history.</t>
  </si>
  <si>
    <t>On site hardware, jointly execute resource measurements for lane max_concurrency/resource_capacity/compute_weight and the hard online reservation, plus scan-amplification and warm-model/assistant memory. This task supplies measured capacity values; it does not redesign the architecture.</t>
  </si>
  <si>
    <t>Record hardware, commit and load profile. Saturate training/batch and prove online p95 remains inside the actionable budget. Publish measured lane values and before/after Scan Amplification with no starvation.</t>
  </si>
  <si>
    <t>Run the four Chapter 6 capacity profiles and site certification, consuming the measured benchmark outputs from B-01..B-09 where they affect sizing. Replace only CALIBRATION_REQUIRED/REFERENCE_ASSUMPTION constants with measured values and freeze Chapter 6 when all certification gates pass.</t>
  </si>
  <si>
    <t>Every worked sizing example recomputes from measured constants; C1-C4 profiles pass their promised envelope. The certification bundle records hardware, commit, dataset, benchmark outputs and sign-off.</t>
  </si>
  <si>
    <t>L1.6; L1.2</t>
  </si>
  <si>
    <t>L9.6; L6.4</t>
  </si>
  <si>
    <t>L3.1; L3.3; L3.4; L3.5; L3.6; L3.9</t>
  </si>
  <si>
    <t>L3.5; L3.6</t>
  </si>
  <si>
    <t>Source present; newly expanded publication acceptance unproven</t>
  </si>
  <si>
    <t>Queued until producer closures, preserve existing binding work evidence</t>
  </si>
  <si>
    <t>T-106; T-241; T-242; T-243</t>
  </si>
  <si>
    <t>T-106; T-241; T-242; T-243; T-099; T-262</t>
  </si>
  <si>
    <t>Replace retired dependencies</t>
  </si>
  <si>
    <t>T-087; T-088; T-089; T-090; T-091; T-092; T-093; T-094; T-095; T-096; T-097; T-098; T-099; T-100; T-101; T-102; T-103; T-104; T-105; T-112; T-114; T-231; T-210</t>
  </si>
  <si>
    <t>T-089; T-090; T-091; T-092; T-093; T-094; T-095; T-096; T-097; T-098; T-099; T-100; T-101; T-102; T-103; T-104; T-105; T-112; T-114</t>
  </si>
  <si>
    <t>Owner-authorised task; hours not fabricated</t>
  </si>
  <si>
    <t>T-153; T-159; T-160; T-161; T-162; T-163; T-164; T-167; T-193; T-230; T-240; T-248</t>
  </si>
  <si>
    <t>T-153; T-159; T-160; T-161; T-162; T-163; T-164; T-167; T-193; T-230; T-240; T-248; T-263; T-264; T-246; T-110</t>
  </si>
  <si>
    <t>T-092; T-207; T-212; T-213; T-241; T-242; T-243; T-244; T-245; T-253; T-254; T-256; T-258; T-104; T-108; T-211; T-235</t>
  </si>
  <si>
    <t>2026-09-30 Release 1</t>
  </si>
  <si>
    <t>Latest owner planning supersedes old calendar targets</t>
  </si>
  <si>
    <t>WAIT for Presentation RC freeze/tag + clean index/worktree. Then: T-064 functional contract + T-089 + T-090 canonical definition authority.</t>
  </si>
  <si>
    <t>Replace stale contradictory gate</t>
  </si>
  <si>
    <t>Current ruling replaces superseded active notes</t>
  </si>
  <si>
    <t>WAIT for Presentation RC freeze/tag + clean index/worktree. Then: Release 1 dependency order</t>
  </si>
  <si>
    <t>Release/phase synchronization</t>
  </si>
  <si>
    <t>NOT STARTED — measured 08-Sep current main HEAD is T-242 closure with zero T-243 product-source changes. Start fresh only after T-253 is CLOSED GREEN/committed; consume its canonical outputTarget contract rather than re-investigating target identity.</t>
  </si>
  <si>
    <t>QUEUED — start only after T-243, T-106 and T-261 are CLOSED GREEN; T-244 is already closed. T-245 consumes the governed Transformation executor and canonical job target/version authority; it must not invent a private Canvas scheduler.</t>
  </si>
  <si>
    <t>Consume accepted producer contracts; remaining dependencies: T-243; T-244; T-106; T-261. No private scheduler/definition authority. Source-present is not closure proof.</t>
  </si>
  <si>
    <t>Release 1 MUST — execute after T-243 and governed model/intelligence contracts. Not a prerequisite of T-247 unless T-247 acceptance is amended to invoke a model block.</t>
  </si>
  <si>
    <t>Industrial Intelligence — Reference, Reconciliation &amp; Assistant</t>
  </si>
  <si>
    <t>2026-10-30 Release 2</t>
  </si>
  <si>
    <t>Start only after T-106, T-241, T-242 and T-243 are CLOSED GREEN. Close T-261 as a separate semantic commit before resuming T-245.</t>
  </si>
  <si>
    <t>Consume accepted producer contracts; remaining dependencies: T-106; T-241; T-242; T-243; T-099; T-262. No private scheduler/definition authority. Source-present is not closure proof.</t>
  </si>
  <si>
    <t>CENTRAL 11-Sep-2026: new Release-1 prerequisite created from measured T-245 preflight. Binding already exists; this task commissions honest governed Transformation execution.</t>
  </si>
  <si>
    <t>Use producer contracts; close only after listed dependencies and targeted evidence.</t>
  </si>
  <si>
    <t>Consume accepted producer contracts; remaining dependencies: T-253; T-243. No private scheduler/definition authority. Source-present is not closure proof.</t>
  </si>
  <si>
    <t>T-089; T-099; T-102; T-233; T-112; T-114; T-196; T-128; T-251; T-252</t>
  </si>
  <si>
    <t>Derived reverse dependency, not second authority</t>
  </si>
  <si>
    <t>T-087; T-089; T-112; T-128; T-251; T-260; T-252; T-256</t>
  </si>
  <si>
    <t>T-090; T-092; T-095; T-099; T-106; T-243; T-244; T-114; T-128; T-183</t>
  </si>
  <si>
    <t>T-091; T-092; T-210; T-231; T-095; T-099; T-104; T-106; T-232; T-233; T-235; T-243; T-244; T-221; T-114; T-228; T-128; T-134; T-147; T-183; T-195; T-239</t>
  </si>
  <si>
    <t>T-093; T-094; T-212; T-247; T-215; T-237; T-228; T-128; T-183</t>
  </si>
  <si>
    <t>T-095; T-253; T-258; T-196; T-128; T-183; T-256</t>
  </si>
  <si>
    <t>T-086; T-202; T-203; T-204; T-205; T-206; T-208; T-207; T-213; T-241</t>
  </si>
  <si>
    <t>T-209; T-216; T-211; T-217; T-218; T-234; T-238</t>
  </si>
  <si>
    <t>T-094; T-210; T-231; T-253; T-214; T-234</t>
  </si>
  <si>
    <t>T-092; T-212; T-242; T-211; T-128</t>
  </si>
  <si>
    <t>T-233; T-217; T-200</t>
  </si>
  <si>
    <t>T-092; T-232; T-235; T-128; T-139</t>
  </si>
  <si>
    <t>T-096; T-098; T-102; T-103; T-104; T-107; T-109; T-221; T-114; T-196; T-128; T-134; T-183</t>
  </si>
  <si>
    <t>T-097; T-098; T-107; T-109; T-221; T-128; T-134; T-183</t>
  </si>
  <si>
    <t>T-107; T-108; T-109; T-247; T-128; T-183</t>
  </si>
  <si>
    <t>T-107; T-122; T-245; T-125; T-261</t>
  </si>
  <si>
    <t>T-107; T-245; T-125; T-122; T-261; T-263</t>
  </si>
  <si>
    <t>T-125; T-122; T-141; T-187; T-192</t>
  </si>
  <si>
    <t>T-224; T-247; T-254; T-150</t>
  </si>
  <si>
    <t>T-247; T-227</t>
  </si>
  <si>
    <t>T-225; T-153</t>
  </si>
  <si>
    <t>T-226; T-153</t>
  </si>
  <si>
    <t>T-226; T-221</t>
  </si>
  <si>
    <t>T-212; T-247; T-237; T-164</t>
  </si>
  <si>
    <t>T-242; T-243; T-261</t>
  </si>
  <si>
    <t>T-242; T-243; T-247; T-253; T-248; T-261</t>
  </si>
  <si>
    <t>T-243; T-261</t>
  </si>
  <si>
    <t>T-245; T-246; T-261</t>
  </si>
  <si>
    <t>T-245; T-247; T-253; T-248</t>
  </si>
  <si>
    <t>T-243; T-247; T-150; T-256; T-262</t>
  </si>
  <si>
    <t>T-222; T-150</t>
  </si>
  <si>
    <t>T-246; T-122; T-138</t>
  </si>
  <si>
    <t>T-175; T-122; T-187</t>
  </si>
  <si>
    <t>T-223; T-228; T-138</t>
  </si>
  <si>
    <t>T-232; T-215; T-223; T-238; T-239; T-264</t>
  </si>
  <si>
    <t>T-222; T-220; T-221; T-223</t>
  </si>
  <si>
    <t>T-222; T-221; T-223</t>
  </si>
  <si>
    <t>T-221; T-122; T-198; T-230; T-128; T-129; T-130; T-135; T-183; T-184; T-185; T-187; T-195</t>
  </si>
  <si>
    <t>T-150; T-122</t>
  </si>
  <si>
    <t>T-127; T-148</t>
  </si>
  <si>
    <t>T-148; T-127</t>
  </si>
  <si>
    <t>T-127; T-148; T-197; T-199</t>
  </si>
  <si>
    <t>T-148; T-127; T-197; T-199</t>
  </si>
  <si>
    <t>T-246; T-134; T-135; T-139; T-188; T-191; T-193</t>
  </si>
  <si>
    <t>T-228; T-229; T-138</t>
  </si>
  <si>
    <t>T-139; T-141; T-191; T-192; T-193</t>
  </si>
  <si>
    <t>T-246; T-139; T-141; T-191; T-192; T-193</t>
  </si>
  <si>
    <t>T-066; T-186; T-187; T-188</t>
  </si>
  <si>
    <t>T-258; T-150; T-255; T-257</t>
  </si>
  <si>
    <t>T-112; T-150; T-259; T-252; T-256</t>
  </si>
  <si>
    <t>T-251; T-259</t>
  </si>
  <si>
    <t>T-247; T-258; T-150; T-116</t>
  </si>
  <si>
    <t>Completion vs contract dependency</t>
  </si>
  <si>
    <t>T-196; T-197; T-198; T-199; T-200 (contract-ready only)</t>
  </si>
  <si>
    <t>Phase × Worker — v2.23.0 | reviewed15Sep2026; not an actual/remaining-hours ledger</t>
  </si>
  <si>
    <t>Done tasks</t>
  </si>
  <si>
    <t>Done scope h</t>
  </si>
  <si>
    <t>Open scope h</t>
  </si>
  <si>
    <t>Estimate unresolved</t>
  </si>
  <si>
    <t>Original sheet</t>
  </si>
  <si>
    <t>Row</t>
  </si>
  <si>
    <t>Cell contents — preserved as historical evidence</t>
  </si>
  <si>
    <t>Current Authority</t>
  </si>
  <si>
    <t>["PPIQ Backlog v2.21.0 — Product Capability Traceability + Governed Projection Executor", null, null, null]</t>
  </si>
  <si>
    <t>[null, null, null, null]</t>
  </si>
  <si>
    <t>["Authority", "Current value", "Date", "Meaning"]</t>
  </si>
  <si>
    <t>["Master Design", "v4.10.1", "2026-09-04", "Six design chapters only"]</t>
  </si>
  <si>
    <t>["Execution Backlog", "v2.21.0", 46276, "This workbook is the v2.21.0 execution authority. Capability traceability and T-261 are current; legacy summary sheets retaining v220 labels are preserved as prior generated views and are not the source of task/capability truth."]</t>
  </si>
  <si>
    <t>["Release 1", "M2 — 30 Sep 2026", null, "Early production / customer first-week ready"]</t>
  </si>
  <si>
    <t>["Release 2", "M3 — 30 Oct 2026", null, "Heavy production / more users / more data"]</t>
  </si>
  <si>
    <t>["Phase vocabulary", "P1 · P2 · P3 · P4 · P5", null, "No alternative milestone/phase codes are current authority"]</t>
  </si>
  <si>
    <t>["Mirror law", "100% traceability required", null, "Every design requirement maps to backlog acceptance; every task maps to design"]</t>
  </si>
  <si>
    <t>["Historical work", "Archive only", null, "Prior M1/Fleet-specific work is evidence, not current execution scope"]</t>
  </si>
  <si>
    <t>["Latest revision", "T-261 added as the governed Transformation/Projection executor prerequisite for T-245. Product Capability Traceability Standard v1.1 mapped every backlog task to a stable capability point.", 46276, "v2.21.0 is a semantic version change because T-261 is a genuine new task. Capability mapping itself changes traceability/reporting only and does not redefine existing task scope."]</t>
  </si>
  <si>
    <t>Governance</t>
  </si>
  <si>
    <t>["Execution Governance &amp; Vocabulary", null, null]</t>
  </si>
  <si>
    <t>[null, null, null]</t>
  </si>
  <si>
    <t>["Rule", "Current authority", "Why"]</t>
  </si>
  <si>
    <t>["Release vocabulary", "Only M2 and M3", "No alternative roadmap names are current authority"]</t>
  </si>
  <si>
    <t>["Phase vocabulary", "Only P1/P2/P3/P4/P5", "Immediately shows before/after and product purpose"]</t>
  </si>
  <si>
    <t>["M2 meaning", "Release 1 — real early production", "Not demo, not pilot-only, not presentation branch"]</t>
  </si>
  <si>
    <t>["M3 meaning", "Release 2 — heavy production", "More users, more data, sustained runtime and deeper capability"]</t>
  </si>
  <si>
    <t>["One task / one owner", "Mandatory", "No cross-worker implementation ownership"]</t>
  </si>
  <si>
    <t>["Dependencies", "IDs only", "Machine-readable semicolon-separated Task IDs"]</t>
  </si>
  <si>
    <t>["Release truth", "Browser walk is final confirmation", "Basic defects must fail automated gates before browser walk"]</t>
  </si>
  <si>
    <t>["Genericity", "Same binary; customer changes configuration, not product", "Customer-specific product code fails onboarding"]</t>
  </si>
  <si>
    <t>["Canvas expression / control-flow placement", "Layer-B is final semantic authority: arithmetic/comparison/logic are expression configuration; FOR/WHILE are Job orchestration. T-242 closed artifacts are compatibility inputs only; no new board-level expansion.", "Preserves valid T-242 closure while preventing the backlog/design contradiction from propagating into S3/S4 and Release 2."]</t>
  </si>
  <si>
    <t>["OPC", "Read-only/outbound edge", "No control/writeback path"]</t>
  </si>
  <si>
    <t>["Assistant", "Evidence-first", "No invented numbers or unsupported root-cause certainty"]</t>
  </si>
  <si>
    <t>["Value", "Bounded and evidenced", "Potential value ≠ realised value"]</t>
  </si>
  <si>
    <t>["Repository mutation ownership", "No Task ID = no repository mutation", "Every code/test/config change or corrective finding maps to an existing task or a newly created task; closed tasks stay closed."]</t>
  </si>
  <si>
    <t>["Test execution economy", "Narrow affected tests first; expensive full certification only at the owning gate or when that gate changes", "Prevents repeated hour-scale reruns while preserving final release truth."]</t>
  </si>
  <si>
    <t>["Release gate completeness", "T-150 enumerates every M2 row with Release Criticality = Release 1 MUST", "Direct Depends-On is sequencing metadata, never a substitute for complete release acceptance."]</t>
  </si>
  <si>
    <t>["Physical database authority", "Zero unknown product tables/columns on fresh certification DB", "Every object has schema, family, lifecycle, owner, design clause and generated dictionary entry."]</t>
  </si>
  <si>
    <t>["Disposable database lifecycle", "CREATE DATABASE implies owner + finally DROP unless explicitly declared persistent", "Prevents probe/scratch/backup debris and cross-worker shared-DB contamination."]</t>
  </si>
  <si>
    <t>["Database naming", "Forward snake_case + no customer vocabulary + no redundant ppiq_ prefix in governed schemas", "Existing names are grandfathered; no mass rename without owned compatibility proof."]</t>
  </si>
  <si>
    <t>["Authority precedence", "Current Master Design / frozen Layer-B semantic rulings &gt; current Backlog execution wording &gt; historical task prose.", "When two current documents conflict semantically, Central must rule and amend future scope; workers are not blamed for following the then-current backlog."]</t>
  </si>
  <si>
    <t>["Closed-task regression handling", "Do not broadly reopen closed tasks. A newly discovered concrete regression receives a narrow new Task ID unless the original closure evidence itself is proven false.", "Prevents scope erosion and preserves auditability."]</t>
  </si>
  <si>
    <t>["Release evidence envelope", "T-227 owns one canonical machine-readable schema; T-252/T-257 emit producer-specific evidence into it; T-150 aggregates it.", "Prevents duplicated skip-count formats and keeps final release gate from redefining evidence semantics late."]</t>
  </si>
  <si>
    <t>["Cross-worker genericity handoff", "Backend runtime convergence and frontend material-surface convergence have separate owners: T-256 Worker 1, T-258 Worker 2.", "Worker 1 must not repair Worker-2 frontend files; compatibility must remain green across the handoff."]</t>
  </si>
  <si>
    <t>["Canvas output-target namespace", "Canonical entity name from ICanonicalEntityCatalog; never physical relation name and never an overloaded Analysis Subject key.", "Graph and SQL share one governed output identity while Analysis Subject remains a separate semantic authority."]</t>
  </si>
  <si>
    <t>["Canvas output-target hashing", "New Graph/SQL saves carry root `outputTarget` in hashed canonical content. Legacy Graph may derive from graph.targetEntity; legacy SQL missing target returns null, never fabricated.", "Hash change on re-save legitimately creates a new immutable version; prior version remains untouched."]</t>
  </si>
  <si>
    <t>["Release evidence envelope v1", "T-259 owns the small shared machine-readable envelope contract. T-252/T-257 produce it; T-227 owns scorecard/policy; T-150 aggregates.", "Removes the impossible dependency where producers needed a P5 schema that did not yet exist."]</t>
  </si>
  <si>
    <t>["Release evidence count semantics", "total_count = executed_count + skipped_count; executed_count = passed_count + failed_count; skipped work is never counted as executed.", "Prevents an all-skipped suite from appearing fully exercised."]</t>
  </si>
  <si>
    <t>["Canonical projection-target eligibility", "Canonical entity identity and projection-target eligibility are separate facts. Eligibility is an explicit model/type-sourced capability, not 'all mapped entities' and not schema-only.", "Prevents ImportBatch/JobRunHistory/etc. from becoming Canvas/mapping targets while preserving valid reference targets outside ppiq_plant."]</t>
  </si>
  <si>
    <t>["Schema role in target eligibility", "ppiq_plant/ppiq_meta topology is a consistency/governance signal, not the sole target predicate.", "ParameterDefinition/DefectCatalog are valid current targets outside ppiq_plant; ppiq_plant also contains analytical outputs."]</t>
  </si>
  <si>
    <t>["T-256 synchronization", "T-253 is a hard dependency of T-256. If Worker 1 reaches the gate first, CENTRAL assigns a disjoint lane rather than allowing duplicate target-classification work.", "Correctness and single authority take precedence over keeping P1 locally wait-free."]</t>
  </si>
  <si>
    <t>["Fresh certification DB authority", "A database called ppiq_acceptance_empty is not authoritative merely by name; it must be constructed by the complete canonical migration-order authority.", "Prevents catalogue/adjudication against a partial fresh build."]</t>
  </si>
  <si>
    <t>["T-251/T-260 split", "T-251 owns read-only physical truth; T-260 owns correction of the fresh certification DB builder discovered by T-251.", "Avoids violating T-251's read-only lock while preventing false classification work."]</t>
  </si>
  <si>
    <t>["Adjudication order", "Do not classify the old 106/81 fresh-DB queue. Correct/rebuild first, rerun census second, adjudicate only the remaining true queue.", "Avoids spending governance effort on objects stranded by an incomplete build path."]</t>
  </si>
  <si>
    <t>Method &amp; Notes</t>
  </si>
  <si>
    <t>["Method, evidence hierarchy, and v2.20.4 reconciliation", null]</t>
  </si>
  <si>
    <t>[null, null]</t>
  </si>
  <si>
    <t>["Topic", "Rule / interpretation"]</t>
  </si>
  <si>
    <t>["Execution authority", "PPIQ Backlog v2.20.2 dated 08-Sep-2026. It supersedes v2.20.1 after Worker-2 current-tree measurement and Worker-1 evidence-envelope dependency review."]</t>
  </si>
  <si>
    <t>["Hours denominator", "Nominal Hours remain the progress denominator. The review added real uncovered scope and retired one duplicate task, so M2 scope changes from 993h to 1035h."]</t>
  </si>
  <si>
    <t>["Strict completion", "In Progress receives zero closed-hour credit. Only Verified/Backlog Status = Done earns the task's full nominal hours."]</t>
  </si>
  <si>
    <t>["Regression law", "Valid closed tasks stay closed. Concrete regressions discovered after closure receive narrow new Task IDs unless closure evidence itself is invalidated."]</t>
  </si>
  <si>
    <t>["T-245 ruling", "T-245 is Not Started / QUEUED. It starts only after T-243 and T-106 are CLOSED GREEN; T-244 is already closed."]</t>
  </si>
  <si>
    <t>["T-252 ruling", "T-252 is M2-P1 and explicitly depends on T-251 in the dependency cell. Worker-1 P1 sequence is mechanically T-251 → T-252 → T-256."]</t>
  </si>
  <si>
    <t>["T-118 ruling", "T-118 is retired from active scope as a duplicate commissioning umbrella. Historical evidence is preserved in Prior Baseline Archive."]</t>
  </si>
  <si>
    <t>["Canvas semantic ruling", "Layer-B governs placement: arithmetic/comparison/logic are expression configuration and FOR/WHILE are Job orchestration. T-242 remains closed; existing persisted artifacts are compatibility inputs and future authoring converges without data loss."]</t>
  </si>
  <si>
    <t>["CI correction", "Worker-1 review correction accepted: the live canonical Jenkinsfile has blocking E2E. Historical gated copies exist only in backups. Remaining test-truth work concerns enumeration-only --list scripts, skips and release-profile evidence."]</t>
  </si>
  <si>
    <t>["Commit date", "A Commit Date may be exact Git date or closure-session date depending on evidence. Missing subject/date is left unrecovered rather than guessed."]</t>
  </si>
  <si>
    <t>["Audit package safety", "The 08-Sep UltimateAudit package was generated with Mask Secrets=False and is internal engineering evidence only; external evidence must be regenerated masked."]</t>
  </si>
  <si>
    <t>["Evidence hierarchy", "Current runtime/source path + executed tests &gt; current source trace &gt; commit/closure &gt; handover &gt; backlog/design prose. Backup/archive copies never override the live path."]</t>
  </si>
  <si>
    <t>["Evidence-envelope ownership", "T-227 owns the canonical Release-1 machine-readable evidence-envelope schema. T-252 and T-257 are producers for DB-fixture and frontend/E2E results respectively. T-150 only aggregates/validates the shared envelope."]</t>
  </si>
  <si>
    <t>["T-256/T-258 ownership split", "T-256 is backend/API/DB-runtime only. Frontend MaterialAnalytics/routes/types are Worker-2 T-258. T-256 must preserve a bounded compatibility handoff so it does not leave the generic frontend red."]</t>
  </si>
  <si>
    <t>["Fresh certification DB", "The named fresh canonical certification database for T-251 is `ppiq_acceptance_empty`; do not invent ad-hoc fresh database names before T-252 lifecycle authority."]</t>
  </si>
  <si>
    <t>["T-253 measured ruling", "Current main HEAD is T-242 (`aa57a503`) with zero T-243 product-source changes. T-253 is current; T-243 is Not Started and begins fresh after T-253."]</t>
  </si>
  <si>
    <t>["T-253 target identity", "Persist canonical entity name. New hashed root `outputTarget` is representation-independent; graph.targetEntity remains compatibility data and must match on new graph writes."]</t>
  </si>
  <si>
    <t>["T-253 legacy compatibility", "Legacy Graph lacking root outputTarget may derive it from graph.targetEntity; legacy SQL lacking it returns null. Re-save under the new content schema creates a new immutable version."]</t>
  </si>
  <si>
    <t>["T-253 picker", "Enumerate ICanonicalEntityCatalog through a minimal existing-authoring-support read endpoint. Do not use MappingDefinitionService.AllowedTargetEntities and do not add MaterialUnit as global UA-08 vocabulary."]</t>
  </si>
  <si>
    <t>["T-259 ruling", "Option A accepted: 2h P1 Release Evidence Envelope v1 contract after T-251 and before T-252/T-257. T-227 stays P5 scorecard/policy owner."]</t>
  </si>
  <si>
    <t>["Dirty-tree checkpoint", "Unrelated Documentation/audit dirt does not mean T-243 source exists. T-253 may proceed only with clean owned product paths, strict path staging and T-244 ancestor proof; task-number preflight filename must be renamed semantically before commit."]</t>
  </si>
  <si>
    <t>["T-259 count correction", "Skipped tests are not executed. Envelope v1 requires total_count=executed_count+skipped_count and executed_count=passed_count+failed_count."]</t>
  </si>
  <si>
    <t>["T-227 ownership check", "v2.20.2 already removed the accidental schema ownership from T-227. Its 6h remains because that was the original scorecard/policy task size; no funded hours were transferred out. Stale T-252/T-257 references to T-227 fields are corrected to T-259."]</t>
  </si>
  <si>
    <t>["Projection-target predicate", "Do not enumerate every mapped entity and do not use schema-only eligibility. T-253 creates one explicit model/type-sourced projection-target capability; catalog identity stays CLR canonical name."]</t>
  </si>
  <si>
    <t>["T-251 relationship", "T-251 logical-family catalogue later cross-checks the projection-target capability but does not define runtime target eligibility; T-253 can proceed independently."]</t>
  </si>
  <si>
    <t>["T-256 dependency", "T-253 is intentionally hard in T-256 Depends On. If T-253 is late, Worker 1 stops after T-252 and CENTRAL selects a disjoint lane."]</t>
  </si>
  <si>
    <t>["T-260 trigger", "T-251 runner is valid/deterministic, but its fresh reference DB exposed an incomplete builder path (EF+scripts without required topology/views)."]</t>
  </si>
  <si>
    <t>["T-260 execution", "Build a disposable candidate using the canonical order first; only replace/recreate ppiq_acceptance_empty after candidate GREEN. Never mutate ppiq_app/ppiq_presentation."]</t>
  </si>
  <si>
    <t>["T-251 resume", "After T-260, rerun catalogue from scratch. The old 106 unclassified / 81 public-offender counts are diagnostic history, not classification input."]</t>
  </si>
  <si>
    <t>["Platform allowlist", "`public.__EFMigrationsHistory` is platform migration bookkeeping and may be allowlisted in T-251 after the corrected rebuild; dead assumed-pattern rules should be removed rather than preserved."]</t>
  </si>
  <si>
    <t>["Capability standard", "Product capability mapping follows PPIQ_Product_Analysis_and_Evaluation_Standard_v1.1 (10 layers, 78 capability points)."]</t>
  </si>
  <si>
    <t>["Primary mapping law", "Every product task has one Primary Capability ID. Secondary IDs are used only where task acceptance genuinely advances another capability."]</t>
  </si>
  <si>
    <t>["Task closure law", "Closing mapped tasks does not make a capability 5/5. D1–D5 product evidence remains the completeness authority."]</t>
  </si>
  <si>
    <t>["Non-capability work", "Pure execution instruments may use NO-CAP — Execution Tooling; product-boundary work is labelled explicitly rather than forced into a PPIQ capability."]</t>
  </si>
  <si>
    <t>["Summary-sheet authority", "Backlog + Current Authority + Capability Map v1.1 are current for v2.21.0. Existing v220 dashboard/phase summary sheets are preserved snapshots and must not override task rows or capability mapping."]</t>
  </si>
  <si>
    <t>Requirement Traceability</t>
  </si>
  <si>
    <t>["Design ↔ Backlog Mirror — Product Requirement Traceability", null, null, null, null, null, null, null, null, null]</t>
  </si>
  <si>
    <t>[null, null, null, null, null, null, null, null, null, null]</t>
  </si>
  <si>
    <t>["Requirement family", "Design authority", "M2 Release 1", "M3 Release 2", "Primary tasks", "M2 acceptance", "M3 acceptance", "Customer use", "Mirror state", "Ruling"]</t>
  </si>
  <si>
    <t>["DB Link / external databases", "Ch3 4.5 + Ch4 5.0.0", "Day-1 production", "Scale/certification", "T-207; T-247; T-254; T-095..105", "Connect→browse→preview→map→import→canonical with no product-code diff; capability/certification copy comes from one executable truth", "Real-source endurance and complex relationship certification", "Customer IT day 1", "MIRRORED", "M2 first priority"]</t>
  </si>
  <si>
    <t>["Canvas / SQL / data preparation", "Ch4 5.0.0 + 5.2", "Day-1 production core", "Advanced authoring parity", "T-241..246; T-253; T-248", "Typed Canvas/SQL, governed output target, validate/dry-run, save/version, Job bind; no hardcoded plant/material output identity", "Scoped measure, named states, advanced story/export/subflow parity", "Customer IT day 1", "MIRRORED", "No unbounded loops"]</t>
  </si>
  <si>
    <t>["Jobs / scheduling / logs", "Ch4 5.3 + Ch6 runtime", "Day-1 run/schedule/monitor/log", "High-volume lanes/capacity", "T-106..111; T-125; T-245; T-227", "Registered executors, target/version, DAG, bounded admission/parallelism, run/monitor/log with mandatory run identity", "Capacity, scan amplification, checkpoint/resume under heavy load", "Customer IT day 1", "MIRRORED", "Core in M2, scale in M3"]</t>
  </si>
  <si>
    <t>["Enterprise BI/HMI", "Ch3 pages + Ch4 5.0.0/5.1", "Enterprise core", "Advanced parity", "T-148; T-202..205; T-212; T-215; T-222; T-250; T-257; T-258; T-248", "Associative/persisted enterprise core, frontend execution truth, and generic customer HMI with material-specific surfaces bounded to presentation compatibility; advanced BI parity in Release 2.", "75-item matrix fully closed incl advanced states/story/export", "All users day 1", "MIRRORED", "Qlik-class outcome, PPIQ semantics"]</t>
  </si>
  <si>
    <t>["Production OPC UA", "Ch2 OT boundary + Ch6 edge", "Read-only production path", "Endurance/certification", "T-207; T-224..226; T-153", "Real session/browse/subscription/quality/timestamps/spool-to-canonical", "Real-source endurance and site certification", "Operations week 1", "MIRRORED", "No fake sample claim"]</t>
  </si>
  <si>
    <t>["Performance Reference", "Ch3/Ch4 reference authority", "Visible and usable", "Deeper scale/authoring", "T-214; T-232; T-215", "Customer standard/target/envelope visible with correct scoring direction", "Advanced authoring and large-scale governance", "Operations/Quality", "MIRRORED", "Reference can be 100% aim"]</t>
  </si>
  <si>
    <t>["Reconciliation / root cause", "Ch3/Ch4 evidence authority", "Historical + live evidence", "Persisted/advanced", "T-217..223; T-221", "Seven evidence states + causal confidence + grounded explanation", "Canonical persistence at scale and richer workflows", "Operations/Quality", "MIRRORED", "Never claim human intent/lie"]</t>
  </si>
  <si>
    <t>["Assistant / LLM", "Ch4 Layer-B + Assistant contracts", "Grounded investigation", "InsightBoard composition", "T-179..181; T-223; T-138; T-228..230", "Governed tools/evidence; no material-specific KPI authority; provider labels require concrete adapters/conformance", "Auto-generated governed investigation boards", "All analytical users", "MIRRORED", "LLM never invents plant numbers"]</t>
  </si>
  <si>
    <t>["Multi-objective best practice", "Ch4 practice intelligence", "Foundation available", "Full Pareto/product integration", "T-171..176; T-238..240", "Underlying kernels available; not Release-1 blocker", "Objective sets, Pareto/non-dominance, trade-off explanation", "Operations/CEO", "MIRRORED", "No hidden weights"]</t>
  </si>
  <si>
    <t>["Transition / stabilisation", "Ch3/Ch4 regime context", "Correctness gate", "Scale/learning integration", "T-234..236; T-235", "Findings state stable/transition/stabilising/mixed and refuse unsafe pooling", "Extended real-data calibration", "Operations/Quality", "MIRRORED", "Prevents confident wrong correlation"]</t>
  </si>
  <si>
    <t>["Financial value / ROI", "Ch1 value promise + Ch4/Ch6 Value Engine", "Existing potential-value evidence may be shown bounded", "Customer-grade realised ROI", "T-164; existing value engine + T-237", "No ungoverned monetary promise", "Real assumptions, realised-value ledger, heavy-use value certification", "CEO", "MIRRORED", "M3 owns customer-certified €/$ value"]</t>
  </si>
  <si>
    <t>["Users / roles / licence / security", "Ch3/Ch6 administration/security", "Minimum production-safe controls", "Deep enterprise administration", "T-112..121; T-161..162; T-198..200", "RLS behavioral proof, fail-closed eight-role mapping, vendor-held licence trust root, secret/config/MFA hygiene", "SSO, advanced admin/logging/retention/site hardening", "Admin/IT", "MIRRORED", "Important but not allowed to starve Day-1 workbench"]</t>
  </si>
  <si>
    <t>["Database schema authority / physical dictionary", "Ch3 4.5.2/4.5.5b/4.5.20a", "Zero-unknown fresh schema + upgrade reconciliation", "Heavy-use schema evolution and compatibility-safe convergence", "T-087; T-088; T-115; T-123; T-251; T-252; T-256; T-258", "Zero-unknown physical catalogue + disposable certification DBs + backend runtime three-schema/genericity convergence + frontend consumer handoff with no cross-owner mutation.", "Schema evolution remains generated, reversible where possible and customer-operable at scale", "Developer + Customer IT", "MIRRORED", "Table count is not a defect; unowned/undocumented authority is."]</t>
  </si>
  <si>
    <t>["Repository / audit / release-truth source authority", "Governance + Ch6 release truth", "Forward-clean source authority and truthful executed gates", "Sustained release governance", "T-205; T-250; T-255; T-257; T-150; T-249", "Root allowlist; no transient run-state/pack payload; audit severity excludes self/backups/generated; gate scripts execute, release profile zero unapproved skips", "Same rules remain green under Release-2 production certification", "Developer / Customer IT", "MIRRORED", "No mass-renaming of grandfathered task-ID files; forward gate prevents new violations"]</t>
  </si>
  <si>
    <t>PLANTPROCESS IQ | BACKLOG v2.23.0</t>
  </si>
  <si>
    <t>15Sep2026 evidence/cell review • historical closure separated from widened scope • source-history review incomplete</t>
  </si>
  <si>
    <t>Total</t>
  </si>
  <si>
    <t>176 repaired baseline tasks + 3 UI design tasks</t>
  </si>
  <si>
    <t>T-099 final terminal transcript corroborated</t>
  </si>
  <si>
    <t>Partial current scopes; see baseline/extension evidence</t>
  </si>
  <si>
    <t>Not started</t>
  </si>
  <si>
    <t>No inferred implementation completion</t>
  </si>
  <si>
    <t>Usable scope estimates</t>
  </si>
  <si>
    <t>Partial estimate sum; stale and missing figures excluded</t>
  </si>
  <si>
    <t>Usable open estimates</t>
  </si>
  <si>
    <t>Scope estimates, not measured hours remaining</t>
  </si>
  <si>
    <t>Estimates unresolved</t>
  </si>
  <si>
    <t>27:8 missing/withdrawn +19 stale-scope figures</t>
  </si>
  <si>
    <t>CRITICAL HANDOFF — T-262</t>
  </si>
  <si>
    <t>Depends: T-253; T-243   →   Must precede: T-261; T-245; T-247</t>
  </si>
  <si>
    <t>T-099: task CLOSED GREEN; Gate O keeps 1 exact inherited DefinitionKind RED. Follow-up is T-115, not reopening T-099.</t>
  </si>
  <si>
    <t>v2.23.0 • reviewed15Sep2026. Cell checks do not replace ten-session evidence; see Review15Sep.</t>
  </si>
  <si>
    <t>B4 monitoring: T-101 UI + T-125 operational API. Fixture/BOM/known-red follow-up: T-115.</t>
  </si>
  <si>
    <t>Consumer</t>
  </si>
  <si>
    <t>Producer</t>
  </si>
  <si>
    <t>Consumer release</t>
  </si>
  <si>
    <t>Producer release</t>
  </si>
  <si>
    <t>Type</t>
  </si>
  <si>
    <t>Required evidence</t>
  </si>
  <si>
    <t>CONTRACT_READY — not completion</t>
  </si>
  <si>
    <t>Frozen route/field/state/permission/response semantics from chapter and producer; identity + revision/evidence reference required.</t>
  </si>
  <si>
    <t>Record per-surface contract evidence; do not wait for full producer closure</t>
  </si>
  <si>
    <t>COMPLETION + MUTATION LOCK — NOT CONTRACT-ONLY</t>
  </si>
  <si>
    <t>Final T-100 commit SHA; exact closure/cleanup evidence; then one bounded delta over shared producer/runtime/migration surfaces. PROJECTION_* / PV01..PV15 / JOB_EXEC_* boundaries preserved.</t>
  </si>
  <si>
    <t>HELD — Runner 1 GREEN and DB build reported; live certification/commit not yet supplied.</t>
  </si>
  <si>
    <t>Prior AI P80 h</t>
  </si>
  <si>
    <t>Recorded hours (may be stale)</t>
  </si>
  <si>
    <t>Current estimate state</t>
  </si>
  <si>
    <t>WITHDRAWN — widened scope requires owner re-estimation</t>
  </si>
  <si>
    <t>UNESTIMATED — owner calibration required</t>
  </si>
  <si>
    <t>FABLE PROPOSAL ONLY — unconfirmed, not accepted P80; withheld from live sums</t>
  </si>
  <si>
    <t>STALE SCOPE — retained in Backlog J/R as historical figures; not valid for current widened scope or remaining-time forecast.</t>
  </si>
  <si>
    <t>SOURCE-BASED REMAINING WORK — nominal engineer-hours, unconfirmed; not original task Hours or AI P80</t>
  </si>
  <si>
    <t>Review level</t>
  </si>
  <si>
    <t>Low h</t>
  </si>
  <si>
    <t>Base h</t>
  </si>
  <si>
    <t>High h</t>
  </si>
  <si>
    <t>Basis / exclusions</t>
  </si>
  <si>
    <t>Remaining work</t>
  </si>
  <si>
    <t>Source refs</t>
  </si>
  <si>
    <t>SOURCE CORROBORATES CLOSED FOUNDATION</t>
  </si>
  <si>
    <t>Closed original scope; zero remaining here does not certify downstream Canvas integration.
T-243 consumes existing publication authority.</t>
  </si>
  <si>
    <t>No new implementation within the accepted original task scope is established here. Canvas publication wiring is owned by the later T-243 addition, not reopening this foundation.</t>
  </si>
  <si>
    <t>Backend/PlantProcess.Application/Relationships/RelationshipService.cs:145-217 — PublishAsync
Backend/PlantProcess.Application/Relationships/RelationshipService.cs:218-260 — ValidateDeclaration</t>
  </si>
  <si>
    <t>Original resolver/convergence closure retained; no rebuilding cost.</t>
  </si>
  <si>
    <t>No new work is assigned to this closed convergence slice. Live downstream execution remains a separate consumer acceptance and is not proven by this source read.</t>
  </si>
  <si>
    <t>Backend/PlantProcess.Application/Relationships/RelationshipResolver.cs:34-113 — ResolveAsync
Backend/tests/PlantProcess.Architecture.Tests/RelationshipConsumerBarrierTests.cs:55-96 — ConsumerFamilies</t>
  </si>
  <si>
    <t>SOURCE CORROBORATES CLOSED GUARD</t>
  </si>
  <si>
    <t>No remaining original implementation; avoid counting unwired later engines against this completed guard.</t>
  </si>
  <si>
    <t>Keep the original barrier task closed. New consumers must pass it; their runtime wiring belongs to their own integration tasks.</t>
  </si>
  <si>
    <t>Backend/tests/PlantProcess.Architecture.Tests/RelationshipConsumerBarrierTests.cs:12-44 — barrier semantics
Backend/tests/PlantProcess.Architecture.Tests/RelationshipConsumerBarrierTests.cs:55-114 — consumer and forbidden-authority inventory</t>
  </si>
  <si>
    <t>REUSABLE BACKEND PRESENT; CANONICAL UI NOT LOCATED</t>
  </si>
  <si>
    <t>UI 4/6/9 + contract/negative tests 1/2/3 + targeted closure 1/1/2. Reuse all relationship producer work.
Do not duplicate T-095..T-097 or charge their work here.</t>
  </si>
  <si>
    <t>Build C6 list/detail/path/validation views against existing services, including ambiguity, preferred-path and refusal evidence; add frontend/API-contract tests and one runtime acceptance.</t>
  </si>
  <si>
    <t>Backend/PlantProcess.Api/Endpoints/Relationships/RelationshipEndpoints.cs:21-92 — MapRelationshipEndpoints
Backend/PlantProcess.Application/Relationships/RelationshipResolver.cs:62-113 — path results</t>
  </si>
  <si>
    <t>CLOSED SCOPE PRESERVED; SOURCE CORROBORATES</t>
  </si>
  <si>
    <t>T-099 CLOSED GREEN at ca02b40e; its inherited DefinitionKind RED is not a reason to budget a rewrite.</t>
  </si>
  <si>
    <t>Zero remaining inside T-099's closed first-eight-PV scope. PV09–PV15, full replay/update semantics, monitoring and exact weight semantics remain with T-100/T-101/T-104/T-103.</t>
  </si>
  <si>
    <t>Backend/PlantProcess.Application/Integration/Services/Mapping/MappingRowProjector.cs:141-181 — MapMaterialUnitAsync
Backend/PlantProcess.Api/Endpoints/Quarantine/QuarantineEndpoints.cs:8-33 — bounded reprocess surface
Backend/database/scripts/841_genealogy_edge_weight_guard_topology_parity.sql:3-20 — narrow topology correction</t>
  </si>
  <si>
    <t>Use the issued Resume v1.0.1 against the existing verified Runner-1 handoff/postimages; do not rerun Runner 1. Rebuild the cleaned disposable certification DB, verify all actual fixture PPIQ_* environment inputs, execute live PV01..PV15 coverage (additional same-code regression fixtures allowed), prove PV15 quarantine→reference arrival→bounded reprocess, and prove the PV13 .60+.40 valid case. Run the completeness and canonical-migration-order gates; prove named disposable cleanup/zero survivors and protected-database safety; exact owned staging, one semantic commit, expected-parent/path-set/index/owned/unrelated proof. Resume outcome is NOT YET REPORTED.</t>
  </si>
  <si>
    <t>Latest owner-supplied conversation update, received 15-Sep-2026; runner/host logs and script bytes were not independently inspected in this workbook update. This supersedes the earlier 14-Sep source-only T-100 estimate, not the frozen Design.
USER-REPORTED: Runner1_1.0.5 SHA256 75B6C7DE78E0A677701BFEDF1EC70D4D1499C8168193B35D503CF26DF76DC7AA; Runner2_1.0.0 SHA256 9C29E607B52114DE680131A0FDE0F840D7CC56D3642FA09F73FD2AB5A7B3D493; Resume-ProjectionQuarantineCompletion_1.0.1.ps1 SHA256 5F6668258E8CAC517793B825AF712C8D8C9355F8CE9C0C69FBC5CAFCBDCB80E6. Names/hashes recorded as supplied, NOT locally verified. Script hashes are not commit IDs.</t>
  </si>
  <si>
    <t>PARTIAL REUSE; CURRENT EXPANDED SCOPE OPEN</t>
  </si>
  <si>
    <t>Read API/filter/detail 3/4/6 + B4/C2/C3 UI 4/6/10 + drift/retry integration 3/5/8 + tests/closure 2/3/4.
T-106 owns run-outcome semantics; T-125 owns operational data/health; do not bill those twice.</t>
  </si>
  <si>
    <t>Add bounded list/detail by code/dataset/batch and source lineage, extend the existing reprocess path, persist/display mapped-column drift, and B4 batch/error/durable-cursor monitoring. Validate API, UI and failure recovery.</t>
  </si>
  <si>
    <t>Backend/PlantProcess.Api/Endpoints/Quarantine/QuarantineEndpoints.cs:8-33 — MapQuarantineEndpoints
Backend/PlantProcess.Application/Integration/Services/Staging/StagingRecordService.cs:85-110 — durable staging identity</t>
  </si>
  <si>
    <t>EXISTING ALIAS FOUNDATION; IDENTITY-SAFETY GAP</t>
  </si>
  <si>
    <t>Scope-safe lookup/merge 2/4/7 + ambiguity/idempotency tests 1/2/4 + closure 1/1/1.
Do not recreate alias tables or the full row projector.</t>
  </si>
  <si>
    <t>Reuse alias persistence; resolve by governed tenant/site/source/key scope, refuse ambiguity, reconcile two source identifiers into one material and prove idempotent re-import with same alias text across sources/sites.</t>
  </si>
  <si>
    <t>Backend/PlantProcess.Application/Integration/Services/Mapping/MappingRowProjector.cs:244-264 — MapMaterialAliasAsync
Backend/PlantProcess.Application/Integration/Services/Mapping/MappingRowProjector.cs:721-744 — ResolveMaterialIdAsync
Backend/PlantProcess.Infrastructure/Persistence/Configurations/Materials/MaterialAliasConfiguration.cs:27-36 — composite unique
Backend/PlantProcess.Infrastructure/Persistence/Configurations/Materials/MaterialUnitConfiguration.cs:43-47 — site/source uniqueness</t>
  </si>
  <si>
    <t>SUBSTANTIAL FOUNDATION; ACCEPTANCE-CONTRACT MISMATCH</t>
  </si>
  <si>
    <t>Weight-contract correction 1/2/3 + direct-DB/traversal negatives 2/3/5 + closure 1/1/2. Existing cycle logic is not new work.
Weight semantics/negative acceptance stay T-103; 841 topology repair remains accepted.</t>
  </si>
  <si>
    <t>Retain cycle/self-edge implementation; prove DB direct-write cycle controls and both traversal directions, then reconcile exact declared weight semantics with the 0.015 inherited tolerance and add the explicit 0.99 negative case.</t>
  </si>
  <si>
    <t>Backend/PlantProcess.Application/Services/Materials/GenealogyService.cs:27-69 — CreateEdgeAsync
Backend/PlantProcess.Application/Services/Materials/GenealogyService.cs:95-124 — WouldCreateCycleAsync
Backend/database/scripts/841_genealogy_edge_weight_guard_topology_parity.sql:55-68 — deferred weight check</t>
  </si>
  <si>
    <t>REPLAY FOUNDATION IS NOT VERSIONED REPROJECTION</t>
  </si>
  <si>
    <t>Row-version/provenance integration 3/5/8 + replay/rollback semantics 3/6/10 + negative tests/closure 2/3/4.
T-261 owns first resolved-target runtime call and executor; T-104 owns row effects and rollback proof after it.</t>
  </si>
  <si>
    <t>On top of the T-261 executor, prove canonical row/run version provenance, idempotent accepted effects and rollback-to-version business equivalence. Reuse first-eight-PV/quarantine infrastructure; do not implement a second executor.</t>
  </si>
  <si>
    <t>Backend/PlantProcess.Application/Integration/Services/Mapping/MappingRowProjector.cs:168-181 — existing-row skip
Backend/PlantProcess.Application/Integration/Services/Jobs/JobRunOrchestratorService.cs:210-249 — ResolveDeclaredTargetAsync</t>
  </si>
  <si>
    <t>ORIGINAL CONTRACT CLOSED; EXPANDED RUNTIME OBLIGATIONS OPEN</t>
  </si>
  <si>
    <t>Schedule/parser/due-work 8/12/18 + freshness/outcome policy 4/6/10 + cancellation consumer integration 2/4/6 + targeted service/DB tests and runner 4/6/10. Original completed contracts excluded.
T-261 owns executor implementation, first RecordResolvedTarget and common cancellation seam. T-106 owns schedule/DAG/outcome semantics; no double estimate of executor.</t>
  </si>
  <si>
    <t>Implement the v4.10.3 schedule contract/parser/due dispatch, explicit freshness policy, truthful aggregate outcomes and cancellation coordination. Reuse the original target/DAG work; T-261 commissions the shared executor/cancellation seam and this task consumes it, not a competing runtime.</t>
  </si>
  <si>
    <t>Backend/PlantProcess.Application/Integration/Services/Jobs/JobDefinitionService.cs:275-297 — schedule validation
Backend/PlantProcess.Workers/Worker.cs:72-108 — fixed cadence loops
Backend/PlantProcess.Application/Jobs/Dependencies/JobDependencyEvaluator.cs:33-39 — no age/tolerance input
Backend/PlantProcess.Application/Jobs/Dependencies/JobDependencyEvaluator.cs:85-91 — Satisfied result
Backend/PlantProcess.Application/Integration/Services/Jobs/JobRuntimeService.cs:127-146 — terminal-state switch
Backend/PlantProcess.Application/Integration/Services/Jobs/JobRunOrchestratorService.cs:262-276 — import result mapping</t>
  </si>
  <si>
    <t>TIMERS EXIST; GOVERNED JOB POOLS NOT ESTABLISHED</t>
  </si>
  <si>
    <t>Pool/admission implementation 6/10/16 + lane/worker integration 3/5/8 + saturation/cancel/closure tests 3/5/8.
T-155/T-159 calibrate heavy-production constants later; no retraining or new scheduler here.</t>
  </si>
  <si>
    <t>Add actual bounded job queues/pool slots and dual-predicate resource admission, isolation of three ML lanes, backpressure and exact cancellation/release behavior; test saturation and interactive reservation without inventing production capacity constants.</t>
  </si>
  <si>
    <t>Backend/PlantProcess.Workers/Worker.cs:72-108 — ExecuteAsync cadence
Backend/PlantProcess.Application/Jobs/Execution/JobExecutionCapability.cs:76-107 — family capability vs capacity</t>
  </si>
  <si>
    <t>IMPLEMENTED DELTA FOUNDATION WITH CONFIRMED CORRECTNESS GAPS</t>
  </si>
  <si>
    <t>Tuple contract+reader adaptations 8/12/18 + budget enforcement 4/6/9 + durable staging/replay+projection token 5/8/13 + adverse-boundary tests/closure 5/8/12.
T-106 owns Job aggregate status; T-101 B4 UI; T-109 consumes this watermark; no duplicate billing for those consumers.</t>
  </si>
  <si>
    <t>Implement total-order cursor/tie-key semantics for every supported incremental reader, typed invariant comparisons, per-source effective budget on incremental calls, durable checkpoint/replay identity and projection watermark handoff. Do not recreate source/staging infrastructure already present.</t>
  </si>
  <si>
    <t>Backend/PlantProcess.Application/Integration/Services/SourceSystems/DeltaImportExecutionService.cs:120-151 — read-path selection
Backend/PlantProcess.Application/Integration/Services/SourceSystems/DeltaImportExecutionService.cs:173-205 — row/cursor handling
Backend/PlantProcess.Application/Integration/Services/SourceSystems/DeltaImportExecutionService.cs:236-280 — source identity and MaxCursor
Backend/PlantProcess.Infrastructure/Connectors/PostgreSql/PostgreSqlConnector.cs:181-206 — scalar LIMIT query
Backend/PlantProcess.Application/Integration/Protection/ThrottlingDataSourceReader.cs:36-70 — unequal protection
Backend/PlantProcess.Infrastructure/Integration/Protection/OptionsSourceLoadBudgetProvider.cs:21-24 — global budget
Backend/PlantProcess.Infrastructure/Persistence/Configurations/Integration/StagingRecordConfiguration.cs:31-42 — existing within-batch uniqueness
Backend/tests/PlantProcess.Api.IntegrationTests/Import/DeltaImportResumabilityTests.cs:58-73 — current weak continuation assertions</t>
  </si>
  <si>
    <t>REUSABLE CALCULATION FOUNDATION; DELTA CONSUMER NOT PROVEN</t>
  </si>
  <si>
    <t>Scope resolution/integration 3/5/9 + telemetry/handoff 1/2/4 + idempotent/late-data tests 2/3/5.
T-108 owns source/projection checkpoint; M3 materializers own full training artifacts.</t>
  </si>
  <si>
    <t>Consume T-108's committed batch/delta token, materialize changed subjects through governed relations, refresh bounded feature/analysis scope and telemetry, and emit the ML handoff. Prove late data and interrupted retries without a second cursor store.</t>
  </si>
  <si>
    <t>Backend/PlantProcess.Application/Integration/Services/SourceSystems/DeltaImportExecutionService.cs:173-217 — available source delta boundary
Backend/PlantProcess.Application/Relationships/RelationshipResolver.cs:85-113 — governed automated path</t>
  </si>
  <si>
    <t>SOURCE CORROBORATES CLOSED TRUTH CONTRACT</t>
  </si>
  <si>
    <t>Closed honesty contract retained; separate future live acquisition.</t>
  </si>
  <si>
    <t>No original T-207 reimplementation. New backend provider-list convergence belongs to expanded T-254; live OPC operations belong to T-224..T-226.</t>
  </si>
  <si>
    <t>Backend/PlantProcess.Api/PlantConnectors/V5GaHistorianConnectorEndpoints.cs:61-108 — HistorianConnectorCapabilities</t>
  </si>
  <si>
    <t>AUTHORITY EXISTS; PRODUCTION QUERY CONSUMPTION GAP</t>
  </si>
  <si>
    <t>Query integration 3/5/8 + known-answer/refusal tests 2/3/4 + closure 1/1/2.
T-211 computes math; T-210 governs semantics; T-212 wires actual queries.</t>
  </si>
  <si>
    <t>Wire the existing semantics authority into Layer-A widget/query execution and consume the T-211 arithmetic contract. Preserve declared weighting/sampling/null rules, typed refusals and result evidence; do not implement a new aggregation authority.</t>
  </si>
  <si>
    <t>Backend/PlantProcess.Infrastructure/Definitions/Semantics/SignalSemanticsResolver.cs:30-74 — ResolveAsync
Frontend/PlantProcess.Web/src/authoring/governedBlockBinding.ts:1-9 — not analytics mathematics</t>
  </si>
  <si>
    <t>SOURCE CORROBORATES CLOSED PRODUCER</t>
  </si>
  <si>
    <t>Original producer closure retained; no duplicate intake engine.</t>
  </si>
  <si>
    <t>No new work within the accepted T-213 authority scope. Customer intake use within the real UI journey remains the consumer's acceptance, not reopening this producer.</t>
  </si>
  <si>
    <t>Backend/PlantProcess.Api/Endpoints/CustomerAssessmentEndpoints.cs:86-125 — assessment routes and tenant gate</t>
  </si>
  <si>
    <t>CONFIGURATION FOUNDATION ONLY; LIVE SESSION UNCOMMISSIONED</t>
  </si>
  <si>
    <t>Session/client/trust implementation 5/8/13 + collector lifecycle 2/4/7 + negative/security/closure tests 3/4/6. Vendor access delays excluded.
T-225 browse/subscription; T-226 end-to-end data/recovery; T-266 design. No M3 deferral.</t>
  </si>
  <si>
    <t>Implement real read-only OPC endpoint/session/certificate lifecycle on the customer-side collector, with governed trust references, security-policy rejection, reconnect and safe telemetry. Reuse configuration/capability contracts, not their success text as handshake proof.</t>
  </si>
  <si>
    <t>Backend/PlantProcess.Infrastructure/Connectors/Historian/OpcUaHistorianConnector.cs:24-72 — configuration test
Backend/PlantProcess.Api/PlantConnectors/V5GaHistorianConnectorEndpoints.cs:84-95 — live capability declarations</t>
  </si>
  <si>
    <t>LIVE ACQUISITION OPERATIONS NOT COMMISSIONED</t>
  </si>
  <si>
    <t>Browse/registration 3/5/8 + monitored-item/read lifecycle 4/6/10 + limits/refusal/closure tests 3/5/8.
Do not recreate session security or count T-266 graphics as real read proof.</t>
  </si>
  <si>
    <t>Build namespace browse, stable node identities, tag registration, bounded read/subscriptions and monitored-item lifecycle using the T-224 session and source-load policy; test partial browse, disconnect and invalid intervals.</t>
  </si>
  <si>
    <t>Backend/PlantProcess.Api/PlantConnectors/V5GaHistorianConnectorEndpoints.cs:76-95 — browse/read/subscription capability state
Backend/PlantProcess.Infrastructure/Connectors/Historian/OpcUaHistorianConnector.cs:53-70 — metadata-only legacy claim</t>
  </si>
  <si>
    <t>SPOOL/TIME FOUNDATIONS; LIVE END-TO-END PROOF MISSING</t>
  </si>
  <si>
    <t>Quality/time/canonical adapter 3/5/9 + spool/ack/recovery 4/6/11 + interruption/replay acceptance 3/5/8.
No new time-authority kernel; no reuse of demo telemetry as customer-source proof.</t>
  </si>
  <si>
    <t>Integrate source/server/ingest time and quality handling, spool/ack/reconnect/gap recovery and idempotent canonical replay using T-233/T-224/T-225; run controlled interruption and real-source evidence.</t>
  </si>
  <si>
    <t>Backend/PlantProcess.Api/PlantConnectors/V5GaHistorianConnectorEndpoints.cs:84-95 — upstream live-operation boundary
Backend/PlantProcess.Analytics.Core/Kernel/Time/SourceTimeAuthorityKernel.cs:26-66 — existing time kernel</t>
  </si>
  <si>
    <t>TARGET AUTHORITY NOT LOCATED IN SUPPLIED SNAPSHOT</t>
  </si>
  <si>
    <t>Persistence/resolution adapter 2/4/7 + projections/refusal tests 2/3/4 + closure 1/1/2.
T-214 owns reference decision kernel; T-215 consumes BI projections; a negative symbol search alone is not live absence proof.</t>
  </si>
  <si>
    <t>Implement effective-dated reference persistence, precedence/provenance and governed projections consuming T-214; test overlapping definitions, missing direction/unit and deterministic read-back. Do not reimplement the T-214 decision kernel.</t>
  </si>
  <si>
    <t>Backend/PlantProcess.Infrastructure/Definitions/Semantics/SignalSemanticsResolver.cs:30-74 — existing semantic infrastructure only</t>
  </si>
  <si>
    <t>TIME KERNEL EXISTS; PERSISTENCE/CONSUMER WORK REMAINS</t>
  </si>
  <si>
    <t>Persistence/API adapter 2/3/6 + consumer binding 1/2/4 + ambiguity/timezone tests/closure 2/3/4.
Do not charge T-216 kernel work again; OPC T-226 consumes the approved time contract.</t>
  </si>
  <si>
    <t>Persist declared time authority and observation provenance, bind acquisition/projector consumers to the existing kernel, and prove zone/offset/uncertainty conflict handling without machine-locale fallback.</t>
  </si>
  <si>
    <t>Backend/PlantProcess.Analytics.Core/Kernel/Time/SourceTimeAuthorityKernel.cs:26-97 — Resolve / ResolveAs
Backend/PlantProcess.Application/Integration/Services/Mapping/MappingRowProjector.cs:184-210 — current material time fields</t>
  </si>
  <si>
    <t>KERNELS COMPLETE; CURRENT PRODUCTION INTEGRATION OPEN</t>
  </si>
  <si>
    <t>Persistence/regime adapter 2/4/7 + live-statistics integration 2/4/6 + adversarial tests/closure 2/3/5.
Do not redo T-234/T-236; later broad engine convergence stays T-146.</t>
  </si>
  <si>
    <t>Persist transition/stabilisation declarations and wire current M2 statistical/correlation pooling to the existing guard. Include source-time uncertainty and explicit undeclared-regime handling; prove the live path refuses mixed/uncertain populations.</t>
  </si>
  <si>
    <t>Backend/PlantProcess.Analytics.Core/Kernel/Regime/TransitionAwarePoolingGuard.cs:24-79 — Admit
Backend/PlantProcess.Analytics.Core/Kernel/Time/SourceTimeAuthorityKernel.cs:26-66 — time interpretation</t>
  </si>
  <si>
    <t>SOURCE CORROBORATES CLOSED GRAPH CONTRACT</t>
  </si>
  <si>
    <t>Closed graph contract; zero original remainder.</t>
  </si>
  <si>
    <t>Retain original typed-port/graph-validation closure. Any actual execution or visual-depth remainder belongs to T-245/T-261/T-265, not recreation of the T-241 graph model.</t>
  </si>
  <si>
    <t>Frontend/PlantProcess.Web/src/authoring/graphSemantics.ts:22-40 — typed-port authority
Frontend/PlantProcess.Web/src/authoring/blockRegistry.ts:13-45 — capability separation</t>
  </si>
  <si>
    <t>CLOSED CONTRACT; DOWNSTREAM EXECUTION NOT IMPLIED</t>
  </si>
  <si>
    <t>Closed library/contract scope, not all future execution. Do not convert missing downstream execution into a new T-242 estimate.</t>
  </si>
  <si>
    <t>Original algebra/catalogue/validation closure remains closed. Persistence/compilation/runtime integration is the relevant downstream work and must retain honest unavailable states until accepted.</t>
  </si>
  <si>
    <t>Frontend/PlantProcess.Web/src/authoring/blockRegistry.ts:13-45 — one catalogue and separate capabilities
Frontend/PlantProcess.Web/src/authoring/governedBlockBinding.ts:1-9 — handoff boundary
Frontend/PlantProcess.Web/src/authoring/governedBlockBinding.ts:49-77 — AG01 behavior</t>
  </si>
  <si>
    <t>ORIGINAL REOPEN CLOSED; ADDITIONAL PUBLICATION INTEGRATION OPEN</t>
  </si>
  <si>
    <t>Declared relationship adapter 2/4/7 + atomic/rollback and compatibility tests 2/4/6 + closure 1/1/2. Reopen board work costs zero here.
Do not implement a second relationship store. T-262 save-mapping concern is tracked once there, not charged again.</t>
  </si>
  <si>
    <t>Only the added relationship-emission/atomicity/legacy-path convergence remains: derive declared relationships, publish through the existing service in the correct unit of work, and prove rollback/read-back. Preserve the saved-board implementation and its closure.</t>
  </si>
  <si>
    <t>Backend/PlantProcess.Application/Definitions/Canvas/CanvasDefinitionContent.cs:106-163 — canonical graph/board content
Backend/PlantProcess.Infrastructure/Definitions/Canvas/CanvasDefinitionLifecycleService.cs:265-333 — publish transaction
Backend/PlantProcess.Application/Relationships/RelationshipService.cs:145-217 — existing publication seam</t>
  </si>
  <si>
    <t>SOURCE CORROBORATES CLOSED SQL FOUNDATION</t>
  </si>
  <si>
    <t>Closed SQL validation/persistence scope only.</t>
  </si>
  <si>
    <t>Keep the original T-244 closure. The later projection-binding callback concern belongs to the T-262 consumer boundary, and runtime transformation execution belongs to T-261.</t>
  </si>
  <si>
    <t>Backend/PlantProcess.Application/Definitions/Canvas/CanvasDefinitionContent.cs:173-205 — ForSql
Backend/PlantProcess.Infrastructure/Definitions/Canvas/CanvasDefinitionLifecycleService.cs:297-333 — SQL publish path
Frontend/PlantProcess.Web/src/api/canvasApi.ts:118-155 — SQL run/save API adapter</t>
  </si>
  <si>
    <t>BINDING WORK NOT COMMISSIONED; REUSE PRODUCER CONTRACTS</t>
  </si>
  <si>
    <t>Binding/API/UI 3/5/8 + evidence/cancel views 1/2/4 + integration/negative tests 2/3/4.
T-261 owns executor and block-evidence storage, T-106 schedule/outcome policy; do not count those implementations again.</t>
  </si>
  <si>
    <t>Implement the thin Canvas-to-job binding/launch/monitor/error/cancel surface over T-261's real executor, carry exact version and stable block IDs, and test unavailable-family refusal before launch.</t>
  </si>
  <si>
    <t>Frontend/PlantProcess.Web/src/api/canvasApi.ts:111-155 — current save/preview/publish surface
Backend/PlantProcess.Application/Jobs/Execution/JobExecutionCapability.cs:109-124 — non-executable target families</t>
  </si>
  <si>
    <t>RELEASE ACCEPTANCE NOT EXECUTABLE BEFORE PRODUCERS</t>
  </si>
  <si>
    <t>Fixture/setup/data preparation 2/4/6 + actual connected acceptance and evidence 4/7/11 + triage/replay/closure 2/3/5; remediation implementation excluded.
No source-code or drawing count can close runtime acceptance; no duplicate budget for T-106/T-108/T-261 fixes.</t>
  </si>
  <si>
    <t>After producer closures, execute one customer-shaped real-source-to-canonical-to-BI/Assistant journey with immutable-version/retry/cancel/refusal/isolation evidence and zero customer-specific product diff. Budget acceptance coordination only; bugs remain with their owning tasks.</t>
  </si>
  <si>
    <t>Backend/PlantProcess.Application/Jobs/Execution/JobExecutionCapability.cs:109-115 — concrete broken journey seam
Backend/tests/PlantProcess.Api.IntegrationTests/Import/DeltaImportResumabilityTests.cs:32-73 — earlier tests are not full new journey proof</t>
  </si>
  <si>
    <t>SOURCE CORROBORATES CLOSED OUTPUT CONTRACT</t>
  </si>
  <si>
    <t>Original target authority closed; no duplicate estimate.</t>
  </si>
  <si>
    <t>No new original output-target work. Preserve original 7a6f91f9 closure; downstream publication and executor consume that authority.</t>
  </si>
  <si>
    <t>Backend/PlantProcess.Application/Definitions/Canvas/CanvasDefinitionContent.cs:106-163 — ForGraph outputTarget/board
Backend/PlantProcess.Application/Definitions/Canvas/ProjectionTypeCompatibility.cs:128-145 — strict compatibility</t>
  </si>
  <si>
    <t>ORIGINAL SURFACES CLOSED; BACKEND CONVERGENCE REMAINDER</t>
  </si>
  <si>
    <t>Backend authority extraction/delegation 1/2/4 + consumer mismatch tests/closure 1/2/3. Original frontend/website work excluded.
No rewrite of T-207, no source availability invented from a certification flag.</t>
  </si>
  <si>
    <t>Complete only the widened backend validation/catalogue convergence and regression tests ensuring profile validation, API truth, UI and website consume one result. Retain frontend/website original closure and absence-of-fallback evidence.</t>
  </si>
  <si>
    <t>Backend/PlantProcess.Application/Integration/Services/Connectors/ConnectorConfigurationService.ProviderTypes.001.GetProviderTypes.cs:17-39 — duplicate provider DTO source
Backend/PlantProcess.Application/Integration/Services/Connectors/ConnectorConfigurationService.ProviderTypes.001.GetProviderTypes.cs:81-102 — OPC flags
Backend/PlantProcess.Application/Integration/Connectors/ConnectorProviderCatalog.cs:72-104 — second catalog OPC/SAP entries</t>
  </si>
  <si>
    <t>CONTRACTS PRESENT; EXECUTOR NOT APPLIED IN PROVIDED SNAPSHOT</t>
  </si>
  <si>
    <t>Compiler/dispatch 3/5/8 + executor/write/evidence 6/10/17 + cancellation integration 2/3/5 + Graph/SQL/live Gate0/replay/cancel tests and closure 5/8/12.
Do not implement a new schedule or PV taxonomy. Common cancellation seam billed once here; T-106 handles policy/endpoint coordination.</t>
  </si>
  <si>
    <t>Extract/reuse the compiler; implement resolver+executor, carry the pre-admission target into the real run, canonical row effects/idempotency/provenance and stable block evidence, common cancellation/status wiring; run Graph/SQL and failure/cancel proof on disposable DB. Include T-262 live Gate 0 once.</t>
  </si>
  <si>
    <t>Backend/PlantProcess.Application/Integration/Services/Jobs/JobRunOrchestratorService.cs:61-85 — admission before real run
Backend/PlantProcess.Application/Integration/Services/Jobs/JobRunOrchestratorService.cs:210-276 — discarded resolution/dispatch
Backend/PlantProcess.Application/Jobs/Execution/JobExecutionCapability.cs:109-115 — uncommissioned executor
Backend/PlantProcess.Application/Integration/Services/Jobs/JobRuntimeService.cs:127-149 — terminal lifecycle</t>
  </si>
  <si>
    <t>ORIGINAL CONTRACT CLOSED; NARROW CONSUMER VERIFICATION OPEN</t>
  </si>
  <si>
    <t>Real-shell reproduction 1/1/2 + bounded callback correction if confirmed 0/1/2 + focused regression/closure 0/1/2. Consumer Gate0 cost counted in T-261.
T-261 owns disposable Gate0 and commissioned projection execution. The executable-book dependency remains until owner confirms acceptance boundary; do not silently mark Done.</t>
  </si>
  <si>
    <t>Do not rebuild the declaration. Reproduce the mapping-only SQL-save transition against the real shell, fix only any demonstrated stale callback, and run targeted field-map tests. Live definition-store Gate 0 is already assigned to T-261 Runner2, so it is not estimated again here. Final status remains current-scope open until this correction/acceptance is resolved.</t>
  </si>
  <si>
    <t>Backend/PlantProcess.Application/Definitions/Canvas/CanvasDefinitionContent.cs:118-163 — immutable projection content
Backend/PlantProcess.Application/Definitions/Canvas/ProjectionTypeCompatibility.cs:128-145 — unknown/narrowing refusal
Frontend/PlantProcess.Web/src/authoring/SharedAuthoringShell.tsx:898-925 — doSaveSql callback inputs/dependencies</t>
  </si>
  <si>
    <t>SOURCE REVIEWED — IMPLEMENTATION GAPS / RELEASE RUNTIME UNVERIFIED</t>
  </si>
  <si>
    <t>Credential boundary+tests 5/8/13; profile/route guards 4/7/11; redaction/deployment verification 3/5/8.
T-121 owns DI/quota logic; T-123 install/upgrade; this estimate covers their security gate, not reimplementation.</t>
  </si>
  <si>
    <t>Close accepted-input, persistence and response secret boundaries with sentinel tests; replace vacuous setup returns; validate the actual release-profile bootstrap/MFA/seed/legacy-route boundary and log/audit redaction. Preserve explicit development-only behaviour.</t>
  </si>
  <si>
    <t>Backend/PlantProcess.Infrastructure/Connectors/ConnectorCredentialResolver.cs:16-51 — Resolve
Backend/tests/PlantProcess.Api.IntegrationTests/Security/T08ConnectorSecretMaskingIntegrationTests.cs:19-46 — Connector_password_is_masked_on_readback
Backend/PlantProcess.Api/SignedLicensing/V5SignedLicensingEndpoints.cs:51-62 — dev route refusal</t>
  </si>
  <si>
    <t>BOUNDED SOURCE REVIEW — METER/UI REMAINDER NEEDS DEEPER TRACE</t>
  </si>
  <si>
    <t>DI and entitlement reconciliation 2/3/5; meters/quota surfaces 5/10/17; acceptance/negative tests 3/5/8.
T-113 release profile gate; T-165 pricing/cost model, not licence enforcement.</t>
  </si>
  <si>
    <t>Reconcile to one effective licence authority, implement or complete the declared F2/F3 role/user meters and thresholds, and execute tamper/expiry/meter/no-lost-draft acceptance. Do not build a new signing authority or reclassify the development route as a production mint.</t>
  </si>
  <si>
    <t>Backend/PlantProcess.Api/SignedLicensing/VerifiedEd25519LicenseService.cs:10-60 — feature/tier authority
Backend/PlantProcess.Api/Program.cs:725-744 — licence DI
Backend/PlantProcess.Application/DependencyInjection.cs:58-63 — legacy DI
Backend/PlantProcess.Api/SignedLicensing/V5SignedLicensingEndpoints.cs:51-62 — development guard</t>
  </si>
  <si>
    <t>BOUNDED SOURCE REVIEW — DEPLOYMENT EXECUTION UNVERIFIED</t>
  </si>
  <si>
    <t>Path/ledger convergence 4/7/12; populated-upgrade/rollback tests 5/8/15; clean-host profile/non-root proof 3/5/9.
T-113 security policy is consumed, not re-estimated here.</t>
  </si>
  <si>
    <t>Converge the shipped install/upgrade path onto the canonical ledger, preserve populated data, prove failed-upgrade/rollback recovery and non-root runtime for the selected deployment. Audit actual production selection rather than deleting development tooling blindly.</t>
  </si>
  <si>
    <t>deploy/scripts/ppiq.ps1:3-20 — command contract
deploy/scripts/ppiq.ps1:44-63 — profile/path selection
Backend/database/canonical-migration-order.json:1-20 — canonical ledger</t>
  </si>
  <si>
    <t>BOUNDED SOURCE REVIEW — ADVANCED RUNTIME GAP</t>
  </si>
  <si>
    <t>Chunk/receipt persistence 6/10/16; resume/merge/enforcement 6/11/17; interruption/parallelism tests 4/7/11.
T-108/109 M2 delta; T-155 measured thresholds; T-159 site certification. No waits/soak included.</t>
  </si>
  <si>
    <t>Implement persistent row/byte-bounded chunks, pinned inputs, receipt-atomic progress, interruption resume, deterministic merge and cumulative scan-budget abort. Reuse the M2 source-cursor/replay work rather than implementing it twice.</t>
  </si>
  <si>
    <t>Backend/PlantProcess.Application/Integration/Services/SourceSystems/DeltaImportExecutionService.cs:120-151 — existing incremental reader use
Backend/PlantProcess.Application/Integration/Services/SourceSystems/DeltaImportExecutionService.cs:173-205 — batch/cursor persistence
Backend/PlantProcess.Application/Integration/Services/Jobs/JobRunOrchestratorService.cs:61-85 — existing admission/run boundary</t>
  </si>
  <si>
    <t>SOURCE FOUNDATION REVIEWED — SITE MEASUREMENTS UNVERIFIED</t>
  </si>
  <si>
    <t>Workload/hook setup 3/5/8; measurement orchestration/analysis 3/5/9; governed result publication 2/4/7.
T-110 enforcement implementation and T-159 certification reruns are distinct.</t>
  </si>
  <si>
    <t>Integrate site workloads with those harnesses, collect training/batch/online latency and amplification evidence, and publish measured limits. Do not invent measured capacity from fixture outputs or replace the existing evidence contract.</t>
  </si>
  <si>
    <t>Backend/PlantProcess.ML.Runtime/Benchmarks/BenchmarkCatalogue.cs:20-36 — benchmark metadata
Backend/PlantProcess.ML.Runtime/Benchmarks/BenchmarkManifest.cs:32-75 — SelectedValueGuard</t>
  </si>
  <si>
    <t>FOUNDATION REVIEWED — CAPACITY CERTIFICATION NOT EXECUTED</t>
  </si>
  <si>
    <t>Profile preparation 3/6/10; certification operation/analysis 3/6/11; reconciliation/sign-off evidence 2/4/7.
No reimplementation of T-110 or calibration billed again from T-155.</t>
  </si>
  <si>
    <t>Prepare reproducible C1-C4 workloads, consume T-155 calibration, exercise the T-110 negative controls, reconcile measured sizing examples and capture sign-off without accepting fixture data as production measurements.</t>
  </si>
  <si>
    <t>Backend/PlantProcess.ML.Runtime/Benchmarks/BenchmarkManifest.cs:43-81 — evidence guard
Backend/PlantProcess.ML.Runtime/Benchmarks/BenchmarkCatalogue.cs:65-90 — B-01..B-09 registry</t>
  </si>
  <si>
    <t>BOUNDED SOURCE REVIEW — ROUTE-WIDE CENSUS NOT COMPLETE</t>
  </si>
  <si>
    <t>Consumer/route inventory 3/5/8; safe dual routing and consumer convergence 3/5/9; parity/negative tests 2/4/7.
Do not remove compatibility objects before all live consumers and upgrade paths converge.</t>
  </si>
  <si>
    <t>Resolve every active old/new route and compatibility consumer, dual-serve only lawful semantic equivalents, test response/permission parity and keep historical handles readable before retiring consumers/objects.</t>
  </si>
  <si>
    <t>Backend/PlantProcess.Infrastructure/Provenance/NpgsqlProvenanceResolver.cs:16-66 — provenance dispatch and run resolution
Backend/PlantProcess.Infrastructure/Provenance/NpgsqlProvenanceResolver.cs:69-90 — source/dataset existence lookup</t>
  </si>
  <si>
    <t>BOUNDED SOURCE REVIEW — ALL 75 OUTCOMES NOT CERTIFIED</t>
  </si>
  <si>
    <t>Remaining outcome mapping 4/6/10; advanced UI/runtime integration 14/24/38; parity/accessibility/recovery acceptance 6/10/16.
T-267 designs; T-248 implementation; T-249 release acceptance. Existing T-204 selection closure retained.</t>
  </si>
  <si>
    <t>Complete the unfulfilled advanced outcome rows, native-grain drill, named/comparison states, concurrency recovery and server-owned persistence; wire G3/G6 consistently. Freeze the precise remaining matrix before code and reuse existing selection/history/validator behaviour.</t>
  </si>
  <si>
    <t>Frontend/PlantProcess.Web/src/state/AssociativeContext.tsx:1-55 — state and query orchestration
Frontend/PlantProcess.Web/src/authoring/SharedAuthoringShell.tsx:333-403 — reopen application</t>
  </si>
  <si>
    <t>SOURCE REVIEWED — SUBSTANTIAL REPORT FOUNDATION / LIFECYCLE GAP</t>
  </si>
  <si>
    <t>Definition/editor/history 6/10/16; job/output/delivery integration 6/10/16; permission/empty/fidelity/retry tests 4/6/10.
T-106 scheduler and generic delivery components not recreated; fixtures alone cannot prove scheduled delivery.</t>
  </si>
  <si>
    <t>Add governed report definition/version/sections/period, shared-job generation, output history, tenant-scoped download and delivery retries/audit; reuse existing PDF/evidence materialisation. Use the same scheduler, never a private report scheduler.</t>
  </si>
  <si>
    <t>Backend/PlantProcess.Api/Endpoints/Reporting/ReportingEndpoints.cs:10-33 — existing report routes
Backend/PlantProcess.Api/Endpoints/Reporting/ReportingEndpoints.cs:57-85 — existing report service/PDF path</t>
  </si>
  <si>
    <t>SOURCE REVIEWED — CANONICAL LOOP MISSING / LEGACY CONFLICT</t>
  </si>
  <si>
    <t>Canonical persistence/evaluation 6/10/17; feedback/poisoning/escalation rules 5/8/13; migration/negative tests 3/6/10.
T-190 D6 cutover; T-113 M2 denial; no double price of the same endpoint removal.</t>
  </si>
  <si>
    <t>Implement canonical-only outcomes, durable evaluation/effectiveness records, intervention-aware metrics, feedback eligibility/concentration evidence and controlled Supervisor input. Retire the contradictory writer safely after replacement and preserve legitimate history.</t>
  </si>
  <si>
    <t>Backend/PlantProcess.Application/AssistantRuntime/Phase8SuggestionOutcomeLoop.cs:12-38 — manual outcome DTO
Backend/PlantProcess.Application/AssistantRuntime/Phase8SuggestionOutcomeLoop.cs:66-90 — record calculation
Backend/PlantProcess.Api/Endpoints/Assistant/Phase8SuggestionOutcomeLoopEndpoints.cs:16-48 — process-memory endpoints</t>
  </si>
  <si>
    <t>SOURCE REVIEWED — PRIOR DEAD-FILE FINDING DISPROVEN</t>
  </si>
  <si>
    <t>Pairing/result-contract cutover 3/5/9; producer/persistence convergence 3/5/8; known-answer/refusal regression 2/4/7.
T-186 persistent capability authority; this task consumes it and does not implement a second profile store.</t>
  </si>
  <si>
    <t>Wire the certified pairing/refusal kernel into real producers, align persistence/readiness/evidence and consolidate genuinely duplicate paths after consumer migration. Preserve the live discipline functions; do not delete StatisticalDiscipline.cs based on its filename or a zero-hit search for a nonexistent class.</t>
  </si>
  <si>
    <t>Backend/PlantProcess.Analytics.Engine/ManagedStatisticalComputeEngine.cs:49-62 — readiness/old selector
Backend/PlantProcess.Analytics.Engine/ManagedStatisticalComputeEngine.cs:91-115 — live discipline calls
Backend/PlantProcess.Application/Analytics/Advanced/AdvancedCorrelationComputeService.cs:117-137 — live ranking/FDR/bootstrap
Backend/PlantProcess.Analytics.Core/Kernel/KernelMethodSelector.cs:27-57 — kernel pairing</t>
  </si>
  <si>
    <t>BOUNDED SOURCE REVIEW — CALCULATOR NOT ESTABLISHED</t>
  </si>
  <si>
    <t>Formula/input authority 3/5/8; sales calculator surface/integration 3/5/9; known-answer/refusal tests 2/4/7.
T-121 entitlement differs from commercial pricing; T-155 supplies measurement constants.</t>
  </si>
  <si>
    <t>Implement explicit units/currency/time assumptions, the separate infrastructure-cost and licence-price formulae, governed input validation and known-answer quote checks against measured capacity.</t>
  </si>
  <si>
    <t>Website/PlantProcess.Website/src/components/proof/PricingLicenseMatrix.tsx:1-49 — plan display
Backend/PlantProcess.ML.Runtime/Benchmarks/BenchmarkManifest.cs:17-26 — selected measured value identity</t>
  </si>
  <si>
    <t>SOURCE REVIEWED — KERNEL REUSABLE / PERSISTENCE AND WIRING GAP</t>
  </si>
  <si>
    <t>Persistence/versioning 3/5/9; point/governor/consumer integration 3/5/8; deterministic/negative tests 2/4/7.
T-171 kernel closed; do not reopen. T-146 consumes the commissioned authority.</t>
  </si>
  <si>
    <t>Persist versioned outcome/grain/manifest-scoped profiles, connect governed prediction-point candidates/model-count limits and use one readiness authority for producers. Prove deterministic rich/sparse decisions and missing-data refusals.</t>
  </si>
  <si>
    <t>Backend/PlantProcess.Analytics.Core/Kernel/Capability/CapabilityProfiler.cs:8-19 — pure kernel boundary
Backend/PlantProcess.Analytics.Core/Kernel/Capability/CapabilityProfiler.cs:36-64 — profile calculation
Backend/PlantProcess.Analytics.Core/Kernel/Capability/CapabilityProfiler.cs:69-96 — dimension assessment</t>
  </si>
  <si>
    <t>BOUNDED SOURCE REVIEW — CANONICAL D6 CUTOVER UNVERIFIED</t>
  </si>
  <si>
    <t>Canonical DTO/permission wiring 3/5/9; D6 state/history cutover 3/5/8; continuity/tampering tests 2/4/7.
T-145 owns outcome/effectiveness persistence; this task consumes it. M2 route denial owned by T-113.</t>
  </si>
  <si>
    <t>Bind the actual D6 controls to canonical eligibility and decision records, enforce can_accept on the server, preserve actor/reason history and cut over legacy routes with continuity/negative tests.</t>
  </si>
  <si>
    <t>Backend/PlantProcess.Api/Endpoints/Assistant/Phase8SuggestionOutcomeLoopEndpoints.cs:16-43 — legacy write path
Backend/PlantProcess.Application/AssistantRuntime/Phase8SuggestionOutcomeLoop.cs:12-38 — caller outcome schema</t>
  </si>
  <si>
    <t>SOURCE REVIEWED — LEGACY DEMO IS NOT TARGET IMPLEMENTATION</t>
  </si>
  <si>
    <t>Registry/comparison service 4/7/12; result surface/evidence/export 3/6/10; BM01/BM02/tenant tests 3/5/8.
T-214/T-240 semantics reused; no industry taxonomy or a second practice engine.</t>
  </si>
  <si>
    <t>Implement registered population/period comparisons with real counts, BM01/BM02, direction-aware normalisation and context-comparable own-best practice; preserve evidence/export and tenant isolation.</t>
  </si>
  <si>
    <t>Backend/PlantProcess.Application/Advisory/P15BenchmarkingService.cs:17-35 — demo dashboard
Backend/PlantProcess.Application/Advisory/P15BenchmarkingService.cs:50-85 — generated bands</t>
  </si>
  <si>
    <t>SOURCE + DELIVERED UI DATA REVIEWED — DESIGN DEPTH/PROTOTYPE NOT ACCEPTED</t>
  </si>
  <si>
    <t>Semantic/fixture mapping 6/10/15; connected M2 flows 16/24/37; native import/RTL/focus/Word synchronization 6/10/16.
T-266 OPC design; T-267 M3 design; runtime implementation remains its own task.</t>
  </si>
  <si>
    <t>Complete the M2 semantic control/transition matrix, selected source/join/output inspector states, refused/recovery paths and labelled realistic fixtures; execute the specified native import/prototype checks and update only Chapters 3/4 MD+Word and workbook coverage.</t>
  </si>
  <si>
    <t>Frontend/PlantProcess.Web/src/state/AssociativeContext.tsx:8-36 — existing associative control semantics
Frontend/PlantProcess.Web/src/authoring/SharedAuthoringShell.tsx:333-403 — existing reopen model
PPIQ_UI_Figma_v4.10.3.zip!UI_Figma/UI_Design_Data.json: pages40/dialogs87/scenes607; figma_status explicitly states importer not executed. UI Controls v223: PENDING SEMANTIC TRACE.</t>
  </si>
  <si>
    <t>DESIGN TASK STILL OPEN; MOCKUP DOES NOT PROVE RUNTIME</t>
  </si>
  <si>
    <t>Flow/state specification 2/4/6 + detailed visual/prototype integration 2/3/5 + semantic acceptance/handoff 2/3/5. No backend implementation counted.
T-224..T-226 implement/live-certify; T-233 time authority; native design execution availability is a separate uncertainty.</t>
  </si>
  <si>
    <t>Design the named OPC profile/browse/read/subscription/quality/time/spool/replay flow and its unavailable states against T-224..T-226 contracts, integrate into Chapter3/4 and embedded Word images, and execute one observed design import/prototype check without claiming live OPC.</t>
  </si>
  <si>
    <t>Backend/PlantProcess.Api/PlantConnectors/V5GaHistorianConnectorEndpoints.cs:61-108 — actual unavailable contract
Backend/PlantProcess.Infrastructure/Connectors/Historian/OpcUaHistorianConnector.cs:24-72 — configuration interface</t>
  </si>
  <si>
    <t>BOUNDED SOURCE + UI INVENTORY REVIEW — M3 DESIGN REMAINDER</t>
  </si>
  <si>
    <t>M3 requirement/producer mapping 5/8/13; advanced connected flows 14/24/38; native/RTL/coverage/chapter checks 5/8/13.
No basic selection/clear deferred from M2; no duplicate generic frame batch treated as acceptance.</t>
  </si>
  <si>
    <t>Design the complete M3 remainder against the existing 75-outcome matrix, producer contracts and accepted M2 flows, including advanced states, conflict/recovery, exports and G3/G6. Verify the native scenes and synchronize the two illustrated chapters.</t>
  </si>
  <si>
    <t>Frontend/PlantProcess.Web/src/state/AssociativeContext.tsx:8-36 — M2 behaviour to preserve
Backend/PlantProcess.Api/Endpoints/Reporting/ReportingEndpoints.cs:10-33 — existing report subset, not full E5
PPIQ_UI_Figma_v4.10.3.zip!UI_Figma/UI_Design_Data.json: pages40/dialogs87/scenes607; figma_status explicitly states importer not executed. UI Controls v223: PENDING SEMANTIC TRACE.</t>
  </si>
  <si>
    <t>Column</t>
  </si>
  <si>
    <t>Field</t>
  </si>
  <si>
    <t>Rejected v2.22.0</t>
  </si>
  <si>
    <t>Corrected v2.22.1</t>
  </si>
  <si>
    <t>AO</t>
  </si>
  <si>
    <t>Add explicit evidence / estimation provenance in repair revision.</t>
  </si>
  <si>
    <t>AP</t>
  </si>
  <si>
    <t>AR</t>
  </si>
  <si>
    <t>M</t>
  </si>
  <si>
    <t>Repair positional corruption using task-keyed baseline and approved edit dataset.</t>
  </si>
  <si>
    <t>N</t>
  </si>
  <si>
    <t>K</t>
  </si>
  <si>
    <t>Owner reports final CLOSED GREEN / COMMITTED closure.</t>
  </si>
  <si>
    <t>X</t>
  </si>
  <si>
    <t>Supersede stale build-state wording without rewriting original acceptance or replaying the task.</t>
  </si>
  <si>
    <t>Y</t>
  </si>
  <si>
    <t>Exact SHA supplied by owner.</t>
  </si>
  <si>
    <t>AI</t>
  </si>
  <si>
    <t>Owner-provided final runner report in this conversation, received 14-Sep-2026; not independently rerun or verified against a live Git checkout here. Live acceptance 49/49; catalogue 5/5; owned contract 19/19; cleanup 6/6, survivors 0. Gate O: 900 = 899 passed + 1 exact inherited DefinitionKind RED; 900 unique testId and executionId. Exact staging/byte boundary passed; cleanup before one semantic commit. Task closure GREEN, not release-wide GREEN; canonical replay limitations remain separately tracked.</t>
  </si>
  <si>
    <t>Preserve positive closure and known-red caveat separately.</t>
  </si>
  <si>
    <t>CLOSED GREEN / COMMITTED — owner-reported</t>
  </si>
  <si>
    <t>Owner final runner verdict; no automatic reopening.</t>
  </si>
  <si>
    <t>Evidence provenance explicitly reported, not newly executed.</t>
  </si>
  <si>
    <t>AQ</t>
  </si>
  <si>
    <t>Exact parent SHA supplied by owner.</t>
  </si>
  <si>
    <t>H</t>
  </si>
  <si>
    <t>Close explicitly reported B4 monitoring ownership gap in the existing Worker-2 UI task.</t>
  </si>
  <si>
    <t>I</t>
  </si>
  <si>
    <t>Substantive M2 monitoring acceptance; integration proof does not create a completion cycle.</t>
  </si>
  <si>
    <t>AC</t>
  </si>
  <si>
    <t>Map the actual additional acceptance obligation.</t>
  </si>
  <si>
    <t>AJ</t>
  </si>
  <si>
    <t>Inherited estimate; scope changed — re-estimation required</t>
  </si>
  <si>
    <t>Inherited estimate; scope changed — re-estimation required v2.22.1 acceptance/ownership clarification; owner to review planning impact.</t>
  </si>
  <si>
    <t>T-150; T-224; T-247; T-254</t>
  </si>
  <si>
    <t>J</t>
  </si>
  <si>
    <t>Old estimate no longer represents enlarged scope; preserve prior value in Estimate Review.</t>
  </si>
  <si>
    <t>R</t>
  </si>
  <si>
    <t>Derived planning time is also invalid until re-estimated.</t>
  </si>
  <si>
    <t>Prevent inflated confidence in inherited estimate.</t>
  </si>
  <si>
    <t>AM</t>
  </si>
  <si>
    <t>Has estimate</t>
  </si>
  <si>
    <t>In progress — closure not recorded</t>
  </si>
  <si>
    <t>T-243; T-244; T-106; T-261</t>
  </si>
  <si>
    <t>Restore explicit T-262 handoff stated in the approved proposal; also mirror in Must Precede.</t>
  </si>
  <si>
    <t>T</t>
  </si>
  <si>
    <t>Consume accepted producer contracts; remaining dependencies: T-243; T-244; T-106; T-261. No private scheduler/definition authority. Source-present is not closure proof.
v2.22.1 — Completion prerequisites are the task IDs in column M; contract-only predecessors, if any, are exclusively in column AN. Do not use the rejected v2.22.0 positional columns.</t>
  </si>
  <si>
    <t>Align consumer start gate with repaired task-keyed columns.</t>
  </si>
  <si>
    <t>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t>
  </si>
  <si>
    <t>One end-to-end evidence pack proves zero C# diff, zero TypeScript diff and zero product-SQL diff; configuration/metadata only. The customer-shaped journey completes through product surfaces and replays deterministically. The evidence pack also proves the customer-facing connector availability text comes from executable capability truth, the authored output target is customer-shaped/governed, and no unapproved material-specific/public-schema runtime dependency is required.</t>
  </si>
  <si>
    <t>T-092; T-207; T-212; T-213; T-241; T-242; T-243; T-244; T-245; T-253; T-254; T-256; T-258; T-104; T-108; T-211; T-235; T-262; T-125</t>
  </si>
  <si>
    <t>B4 end-to-end acceptance waits for operational observability; T-101 may implement against the contract first.</t>
  </si>
  <si>
    <t>V</t>
  </si>
  <si>
    <t>AN</t>
  </si>
  <si>
    <t>Consume accepted producer contracts; remaining dependencies: T-106; T-241; T-242; T-243; T-099; T-262. No private scheduler/definition authority. Source-present is not closure proof.
v2.22.1 — Completion prerequisites are the task IDs in column M; contract-only predecessors, if any, are exclusively in column AN. Do not use the rejected v2.22.0 positional columns.</t>
  </si>
  <si>
    <t>Estimate pending owner calibration; no completion or runtime proof inferred from this row.</t>
  </si>
  <si>
    <t>Source present / unclosed. Exact accepted closure commit and runtime acceptance are not supplied; existing implementation must not be recreated merely because closure is unverified.</t>
  </si>
  <si>
    <t>Do not conflate estimate note with closure evidence.</t>
  </si>
  <si>
    <t>UNESTIMATED — new row; no hours inferred from source presence</t>
  </si>
  <si>
    <t>Blank is unknown effort, not zero.</t>
  </si>
  <si>
    <t>SOURCE PRESENT / UNCLOSED — closure unverified</t>
  </si>
  <si>
    <t>Distinguish existing source from accepted closure.</t>
  </si>
  <si>
    <t>14-Sep source export and current review establish source presence. No accepted closure SHA/run supplied; not counted Done.</t>
  </si>
  <si>
    <t>Clarify source-present state.</t>
  </si>
  <si>
    <t>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t>
  </si>
  <si>
    <t>A test asserting every page file under src/pages is reachable from a declared route. The count of page files moves toward 40 and no orphan remains.
v2.10.2 TARGET-INVENTORY GATE — do not merely prove every existing page file is reachable or that the count 'moves toward 40'. Assert the exact Chapter 3 inventory: all 40 target route pages are declared once at canonical routes, all 6 global shell components are present, no target route is missing, and no orphan page file remains. Any temporary legacy alias must have a named retirement owner.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
v2.22.1 —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t>
  </si>
  <si>
    <t>Restore the contract-only ruling to T-148; reject its misplaced copy on T-247.</t>
  </si>
  <si>
    <t>M1 continuity frozen + all target-route implementation owners available, incl...</t>
  </si>
  <si>
    <t>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t>
  </si>
  <si>
    <t>Assign historical fixture/BOM and inherited known-red follow-up to an existing Worker-1 acceptance task.</t>
  </si>
  <si>
    <t>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t>
  </si>
  <si>
    <t>Make findings conditional on current proof and preserve release skip-zero policy.</t>
  </si>
  <si>
    <t>Trigger each alert condition deliberately and confirm it fires with the correct severity and reaches the configured channel. Execute jobs through at least two families and prove every log/diagnostic row carries the same non-null run identity end-to-end. Induce queue saturation and show queued count/oldest age/wait time and pool utilisation change predictably. A component failure changes the canonical health state and alert; duplicate feature-specific /health routes are not required as separate authorities.</t>
  </si>
  <si>
    <t>Explicit backend observability handoff for B4, without duplicating T-106 outcome authority.</t>
  </si>
  <si>
    <t>Used by active tasks</t>
  </si>
  <si>
    <t>Evidence boundary</t>
  </si>
  <si>
    <t>Historical baseline prerequisite</t>
  </si>
  <si>
    <t>Retained from v2.21.0; not recreated or recertified in this repair.</t>
  </si>
  <si>
    <t>Capability ID</t>
  </si>
  <si>
    <t>Current status</t>
  </si>
  <si>
    <t>Current release</t>
  </si>
  <si>
    <t>Artifact ID</t>
  </si>
  <si>
    <t>Kind</t>
  </si>
  <si>
    <t>Name</t>
  </si>
  <si>
    <t>Release portion</t>
  </si>
  <si>
    <t>Design owner</t>
  </si>
  <si>
    <t>Runtime owner(s)</t>
  </si>
  <si>
    <t>Chapter / source</t>
  </si>
  <si>
    <t>Existing scene IDs</t>
  </si>
  <si>
    <t>Design state</t>
  </si>
  <si>
    <t>Required correction / outcome</t>
  </si>
  <si>
    <t>Citation status</t>
  </si>
  <si>
    <t>A1</t>
  </si>
  <si>
    <t>Page</t>
  </si>
  <si>
    <t>Login</t>
  </si>
  <si>
    <t>T-113; T-119; T-120</t>
  </si>
  <si>
    <t>PPIQ_Chapter3_General_Technical_Function_Description_v4.10.3.md §A1</t>
  </si>
  <si>
    <t>A1--populated; A1--loading; A1--blocked; A1--refused; A1--failed</t>
  </si>
  <si>
    <t>DESIGN DEPTH PENDING</t>
  </si>
  <si>
    <t>Authenticated/locked/challenge/session recovery; secrets never shown.</t>
  </si>
  <si>
    <t>SOURCE SECTION RETAINED; SEMANTIC REVIEW REQUIRED</t>
  </si>
  <si>
    <t>A2</t>
  </si>
  <si>
    <t>Home</t>
  </si>
  <si>
    <t>T-148; T-247</t>
  </si>
  <si>
    <t>PPIQ_Chapter3_General_Technical_Function_Description_v4.10.3.md §A2</t>
  </si>
  <si>
    <t>A2--populated; A2--loading; A2--empty; A2--filtered-empty; A2--blocked; A2--refused; A2--failed; A2--read-only</t>
  </si>
  <si>
    <t>Canonical J1-J15 identity, or a labelled condensed mapping; no second journey.</t>
  </si>
  <si>
    <t>B1</t>
  </si>
  <si>
    <t>Connections</t>
  </si>
  <si>
    <t>T-113; T-254; T-148</t>
  </si>
  <si>
    <t>PPIQ_Chapter3_General_Technical_Function_Description_v4.10.3.md §B1</t>
  </si>
  <si>
    <t>B1--populated; B1--loading; B1--empty; B1--filtered-empty; B1--blocked; B1--refused; B1--failed; B1--read-only</t>
  </si>
  <si>
    <t>Provider-aware fields/test/budget/secret reference; OPC variant T-266.</t>
  </si>
  <si>
    <t>B2</t>
  </si>
  <si>
    <t>Dataset Registry</t>
  </si>
  <si>
    <t>T-148; T-101</t>
  </si>
  <si>
    <t>PPIQ_Chapter3_General_Technical_Function_Description_v4.10.3.md §B2</t>
  </si>
  <si>
    <t>B2--populated; B2--loading; B2--empty; B2--filtered-empty; B2--blocked; B2--refused; B2--failed; B2--read-only</t>
  </si>
  <si>
    <t>Discovery tree/selection/register/preview; confirm suggestions; OPC variant T-266.</t>
  </si>
  <si>
    <t>B3</t>
  </si>
  <si>
    <t>Prepare Import</t>
  </si>
  <si>
    <t>T-108; T-148</t>
  </si>
  <si>
    <t>PPIQ_Chapter3_General_Technical_Function_Description_v4.10.3.md §B3</t>
  </si>
  <si>
    <t>B3--populated; B3--loading; B3--empty; B3--filtered-empty; B3--blocked; B3--refused; B3--failed; B3--read-only</t>
  </si>
  <si>
    <t>Typed watermark and deterministic tie-break; no-watermark warning/cadence; OPC T-266.</t>
  </si>
  <si>
    <t>B4</t>
  </si>
  <si>
    <t>Importing</t>
  </si>
  <si>
    <t>T-101; T-125</t>
  </si>
  <si>
    <t>PPIQ_Chapter3_General_Technical_Function_Description_v4.10.3.md §B4</t>
  </si>
  <si>
    <t>B4--populated; B4--loading; B4--empty; B4--filtered-empty; B4--blocked; B4--refused; B4--failed; B4--read-only</t>
  </si>
  <si>
    <t>Durable batch state/error/counts/last committed cursor; retry and spool variant.</t>
  </si>
  <si>
    <t>B5</t>
  </si>
  <si>
    <t>Jobs Monitor</t>
  </si>
  <si>
    <t>T-106; T-125; T-245</t>
  </si>
  <si>
    <t>PPIQ_Chapter3_General_Technical_Function_Description_v4.10.3.md §B5</t>
  </si>
  <si>
    <t>B5--populated; B5--loading; B5--empty; B5--filtered-empty; B5--blocked; B5--refused; B5--failed; B5--read-only</t>
  </si>
  <si>
    <t>Monitor and history, cancellation acknowledgement, canonical outcomes.</t>
  </si>
  <si>
    <t>B6</t>
  </si>
  <si>
    <t>Connector Truth</t>
  </si>
  <si>
    <t>T-254; T-224; T-225; T-226</t>
  </si>
  <si>
    <t>PPIQ_Chapter3_General_Technical_Function_Description_v4.10.3.md §B6</t>
  </si>
  <si>
    <t>B6--populated; B6--loading; B6--empty; B6--filtered-empty; B6--blocked; B6--refused; B6--failed; B6--read-only</t>
  </si>
  <si>
    <t>Availability is role/entitlement/runtime-specific; OPC design T-266.</t>
  </si>
  <si>
    <t>C1</t>
  </si>
  <si>
    <t>Transformation Studio</t>
  </si>
  <si>
    <t>M2 + M3</t>
  </si>
  <si>
    <t>T-265; T-267</t>
  </si>
  <si>
    <t>T-243; T-262; T-245; T-248</t>
  </si>
  <si>
    <t>PPIQ_Chapter3_General_Technical_Function_Description_v4.10.3.md §C1</t>
  </si>
  <si>
    <t>C1--populated; C1--loading; C1--empty; C1--filtered-empty; C1--blocked; C1--refused; C1--failed; C1--read-only</t>
  </si>
  <si>
    <t>S1 hosting is intentional; selected-block/property/wiring/run flow is required.</t>
  </si>
  <si>
    <t>C2</t>
  </si>
  <si>
    <t>Mapping Health</t>
  </si>
  <si>
    <t>PPIQ_Chapter3_General_Technical_Function_Description_v4.10.3.md §C2</t>
  </si>
  <si>
    <t>C2--populated; C2--loading; C2--empty; C2--filtered-empty; C2--blocked; C2--refused; C2--failed; C2--read-only</t>
  </si>
  <si>
    <t>Catalogue-driven PV groups, lineage, drift and reprocess; not exactly eight fixed groups.</t>
  </si>
  <si>
    <t>C3</t>
  </si>
  <si>
    <t>Data Quality</t>
  </si>
  <si>
    <t>T-100; T-101</t>
  </si>
  <si>
    <t>PPIQ_Chapter3_General_Technical_Function_Description_v4.10.3.md §C3</t>
  </si>
  <si>
    <t>C3--populated; C3--loading; C3--empty; C3--filtered-empty; C3--blocked; C3--refused; C3--failed; C3--read-only</t>
  </si>
  <si>
    <t>Quality diagnostics and quarantine states with safe row-detail actions.</t>
  </si>
  <si>
    <t>C4</t>
  </si>
  <si>
    <t>Plant Model Explorer</t>
  </si>
  <si>
    <t>PPIQ_Chapter3_General_Technical_Function_Description_v4.10.3.md §C4</t>
  </si>
  <si>
    <t>C4--populated; C4--loading; C4--empty; C4--filtered-empty; C4--blocked; C4--refused; C4--failed; C4--read-only</t>
  </si>
  <si>
    <t>Full Plant Model Explorer; canonical route contract available to T-148.</t>
  </si>
  <si>
    <t>C5</t>
  </si>
  <si>
    <t>Genealogy Explorer</t>
  </si>
  <si>
    <t>T-102; T-103; T-258</t>
  </si>
  <si>
    <t>PPIQ_Chapter3_General_Technical_Function_Description_v4.10.3.md §C5</t>
  </si>
  <si>
    <t>C5--populated; C5--loading; C5--empty; C5--filtered-empty; C5--blocked; C5--refused; C5--failed; C5--read-only</t>
  </si>
  <si>
    <t>Genealogy path, aliases, weights, cycles/refusal and evidence.</t>
  </si>
  <si>
    <t>C6</t>
  </si>
  <si>
    <t>Relationship Browser</t>
  </si>
  <si>
    <t>PPIQ_Chapter3_General_Technical_Function_Description_v4.10.3.md §C6</t>
  </si>
  <si>
    <t>C6--populated; C6--loading; C6--empty; C6--filtered-empty; C6--blocked; C6--refused; C6--failed; C6--read-only</t>
  </si>
  <si>
    <t>Published relationship members, cardinality, paths and validation controls.</t>
  </si>
  <si>
    <t>D1</t>
  </si>
  <si>
    <t>Interactive Workspace</t>
  </si>
  <si>
    <t>T-148; T-258; T-247; T-248</t>
  </si>
  <si>
    <t>PPIQ_Chapter3_General_Technical_Function_Description_v4.10.3.md §D1</t>
  </si>
  <si>
    <t>D1--populated; D1--loading; D1--empty; D1--filtered-empty; D1--blocked; D1--refused; D1--failed; D1--read-only</t>
  </si>
  <si>
    <t>M2 selection strip, excluded pivot, propagation/table UX; advanced comparison/bookmarks M3.</t>
  </si>
  <si>
    <t>D2</t>
  </si>
  <si>
    <t>Page Builder</t>
  </si>
  <si>
    <t>T-148; T-212; T-248</t>
  </si>
  <si>
    <t>PPIQ_Chapter3_General_Technical_Function_Description_v4.10.3.md §D2</t>
  </si>
  <si>
    <t>D2--populated; D2--loading; D2--empty; D2--filtered-empty; D2--blocked; D2--refused; D2--failed; D2--read-only</t>
  </si>
  <si>
    <t>Creation/editing/layout/role binding; distinguish from D1 view mode.</t>
  </si>
  <si>
    <t>D3</t>
  </si>
  <si>
    <t>Analysis Toolbox</t>
  </si>
  <si>
    <t>T-211; T-212; T-237; T-248</t>
  </si>
  <si>
    <t>PPIQ_Chapter3_General_Technical_Function_Description_v4.10.3.md §D3</t>
  </si>
  <si>
    <t>D3--populated; D3--loading; D3--empty; D3--filtered-empty; D3--blocked; D3--refused; D3--failed; D3--read-only</t>
  </si>
  <si>
    <t>Active method/subject/grain/readiness controls; unsupported methods refuse honestly.</t>
  </si>
  <si>
    <t>D4</t>
  </si>
  <si>
    <t>Findings</t>
  </si>
  <si>
    <t>T-212; T-247; T-188</t>
  </si>
  <si>
    <t>PPIQ_Chapter3_General_Technical_Function_Description_v4.10.3.md §D4</t>
  </si>
  <si>
    <t>D4--populated; D4--loading; D4--empty; D4--filtered-empty; D4--blocked; D4--refused; D4--failed; D4--read-only</t>
  </si>
  <si>
    <t>Existing findings minimum and evidence M2; full findings cutover M3.</t>
  </si>
  <si>
    <t>Risk Dashboard</t>
  </si>
  <si>
    <t>T-247; T-189</t>
  </si>
  <si>
    <t>PPIQ_Chapter3_General_Technical_Function_Description_v4.10.3.md §D5</t>
  </si>
  <si>
    <t>D5--populated; D5--loading; D5--empty; D5--filtered-empty; D5--blocked; D5--refused; D5--failed; D5--read-only</t>
  </si>
  <si>
    <t>Existing risk foundation only in M2; operational prediction depth remains M3.</t>
  </si>
  <si>
    <t>D6</t>
  </si>
  <si>
    <t>Suggestions</t>
  </si>
  <si>
    <t>T-247; T-113; T-190</t>
  </si>
  <si>
    <t>PPIQ_Chapter3_General_Technical_Function_Description_v4.10.3.md §D6</t>
  </si>
  <si>
    <t>D6--populated; D6--loading; D6--empty; D6--filtered-empty; D6--blocked; D6--refused; D6--failed; D6--read-only</t>
  </si>
  <si>
    <t>Existing evidence-linked suggestions M2; full decisions cutover M3.</t>
  </si>
  <si>
    <t>D7</t>
  </si>
  <si>
    <t>Value Dashboard</t>
  </si>
  <si>
    <t>T-247; T-164</t>
  </si>
  <si>
    <t>PPIQ_Chapter3_General_Technical_Function_Description_v4.10.3.md §D7</t>
  </si>
  <si>
    <t>D7--populated; D7--loading; D7--empty; D7--filtered-empty; D7--blocked; D7--refused; D7--failed; D7--read-only</t>
  </si>
  <si>
    <t>Bounded potential value only M2; realised-value evidence M3.</t>
  </si>
  <si>
    <t>D8</t>
  </si>
  <si>
    <t>ML Readiness and Models</t>
  </si>
  <si>
    <t>T-247; T-211; T-186; T-187; T-188</t>
  </si>
  <si>
    <t>PPIQ_Chapter3_General_Technical_Function_Description_v4.10.3.md §D8</t>
  </si>
  <si>
    <t>D8--populated; D8--loading; D8--empty; D8--filtered-empty; D8--blocked; D8--refused; D8--failed; D8--read-only</t>
  </si>
  <si>
    <t>Live readiness/refusal minimum M2; model production lifecycle M3.</t>
  </si>
  <si>
    <t>D9</t>
  </si>
  <si>
    <t>Early Warning</t>
  </si>
  <si>
    <t>T-189; T-141</t>
  </si>
  <si>
    <t>PPIQ_Chapter3_General_Technical_Function_Description_v4.10.3.md §D9</t>
  </si>
  <si>
    <t>D9--populated; D9--loading; D9--empty; D9--filtered-empty; D9--blocked; D9--refused; D9--failed; D9--read-only</t>
  </si>
  <si>
    <t>Operational warning, deadline and remediation state under canonical contracts.</t>
  </si>
  <si>
    <t>D10</t>
  </si>
  <si>
    <t>Practice Insights</t>
  </si>
  <si>
    <t>T-136; T-240</t>
  </si>
  <si>
    <t>PPIQ_Chapter3_General_Technical_Function_Description_v4.10.3.md §D10</t>
  </si>
  <si>
    <t>D10--populated; D10--loading; D10--empty; D10--filtered-empty; D10--blocked; D10--refused; D10--failed; D10--read-only</t>
  </si>
  <si>
    <t>Practice selection/benchmark/limitations under declared context.</t>
  </si>
  <si>
    <t>D11</t>
  </si>
  <si>
    <t>Scenario Simulation</t>
  </si>
  <si>
    <t>PPIQ_Chapter3_General_Technical_Function_Description_v4.10.3.md §D11</t>
  </si>
  <si>
    <t>D11--populated; D11--loading; D11--empty; D11--filtered-empty; D11--blocked; D11--refused; D11--failed; D11--read-only</t>
  </si>
  <si>
    <t>Scenario assumptions, comparison and evidence; no invented monetary result.</t>
  </si>
  <si>
    <t>D12</t>
  </si>
  <si>
    <t>Benchmarking</t>
  </si>
  <si>
    <t>PPIQ_Chapter3_General_Technical_Function_Description_v4.10.3.md §D12</t>
  </si>
  <si>
    <t>D12--populated; D12--loading; D12--empty; D12--filtered-empty; D12--blocked; D12--refused; D12--failed; D12--read-only</t>
  </si>
  <si>
    <t>Sample/direction refusals BM01/BM02 and declared normalisation.</t>
  </si>
  <si>
    <t>E2</t>
  </si>
  <si>
    <t>Assistant Configuration</t>
  </si>
  <si>
    <t>T-113; T-247; T-138</t>
  </si>
  <si>
    <t>PPIQ_Chapter3_General_Technical_Function_Description_v4.10.3.md §E2</t>
  </si>
  <si>
    <t>E2--populated; E2--loading; E2--empty; E2--filtered-empty; E2--blocked; E2--refused; E2--failed; E2--read-only</t>
  </si>
  <si>
    <t>Safe existing Assistant config M2; canonical advanced runtime config M3.</t>
  </si>
  <si>
    <t>E3</t>
  </si>
  <si>
    <t>Plant Data Log</t>
  </si>
  <si>
    <t>T-125; T-198</t>
  </si>
  <si>
    <t>PPIQ_Chapter3_General_Technical_Function_Description_v4.10.3.md §E3</t>
  </si>
  <si>
    <t>E3--populated; E3--loading; E3--empty; E3--filtered-empty; E3--blocked; E3--refused; E3--failed; E3--read-only</t>
  </si>
  <si>
    <t>Minimum attributable logs M2; deeper audit/channel workflows M3.</t>
  </si>
  <si>
    <t>E4</t>
  </si>
  <si>
    <t>Supervisor</t>
  </si>
  <si>
    <t>PPIQ_Chapter3_General_Technical_Function_Description_v4.10.3.md §E4</t>
  </si>
  <si>
    <t>E4--populated; E4--loading; E4--empty; E4--filtered-empty; E4--blocked; E4--refused; E4--failed; E4--read-only</t>
  </si>
  <si>
    <t>Supervisor proposals/shadow/review; no silent self-modification.</t>
  </si>
  <si>
    <t>E5</t>
  </si>
  <si>
    <t>Reports</t>
  </si>
  <si>
    <t>PPIQ_Chapter3_General_Technical_Function_Description_v4.10.3.md §E5</t>
  </si>
  <si>
    <t>E5--populated; E5--loading; E5--empty; E5--filtered-empty; E5--blocked; E5--refused; E5--failed; E5--read-only</t>
  </si>
  <si>
    <t>Report define/generate/history/download/delivery with job evidence.</t>
  </si>
  <si>
    <t>E6</t>
  </si>
  <si>
    <t>Alert Routing and Escalation</t>
  </si>
  <si>
    <t>PPIQ_Chapter3_General_Technical_Function_Description_v4.10.3.md §E6</t>
  </si>
  <si>
    <t>E6--populated; E6--loading; E6--empty; E6--filtered-empty; E6--blocked; E6--refused; E6--failed; E6--read-only</t>
  </si>
  <si>
    <t>Routing/escalation/dedupe/retry/dead-letter contract.</t>
  </si>
  <si>
    <t>F1</t>
  </si>
  <si>
    <t>Users and Roles</t>
  </si>
  <si>
    <t>T-119; T-120; T-161</t>
  </si>
  <si>
    <t>PPIQ_Chapter3_General_Technical_Function_Description_v4.10.3.md §F1</t>
  </si>
  <si>
    <t>F1--populated; F1--loading; F1--empty; F1--filtered-empty; F1--blocked; F1--refused; F1--failed; F1--read-only</t>
  </si>
  <si>
    <t>Existing M2 role/user security scope; advanced enterprise identity M3.</t>
  </si>
  <si>
    <t>F2</t>
  </si>
  <si>
    <t>Licence and Entitlement</t>
  </si>
  <si>
    <t>T-121; T-165</t>
  </si>
  <si>
    <t>PPIQ_Chapter3_General_Technical_Function_Description_v4.10.3.md §F2</t>
  </si>
  <si>
    <t>F2--populated; F2--loading; F2--empty; F2--filtered-empty; F2--blocked; F2--refused; F2--failed; F2--read-only</t>
  </si>
  <si>
    <t>Verification-only activation and clear entitlements; deeper commercial UI M3.</t>
  </si>
  <si>
    <t>F3</t>
  </si>
  <si>
    <t>Authoring Quota and Limits</t>
  </si>
  <si>
    <t>PPIQ_Chapter3_General_Technical_Function_Description_v4.10.3.md §F3</t>
  </si>
  <si>
    <t>F3--populated; F3--loading; F3--empty; F3--filtered-empty; F3--blocked; F3--refused; F3--failed; F3--read-only</t>
  </si>
  <si>
    <t>T-121 quota/limits scope retained; only explicitly deferred depth follows M3.</t>
  </si>
  <si>
    <t>F4</t>
  </si>
  <si>
    <t>Jobs Administration</t>
  </si>
  <si>
    <t>T-106; T-107; T-125</t>
  </si>
  <si>
    <t>PPIQ_Chapter3_General_Technical_Function_Description_v4.10.3.md §F4</t>
  </si>
  <si>
    <t>F4--populated; F4--loading; F4--empty; F4--filtered-empty; F4--blocked; F4--refused; F4--failed; F4--read-only</t>
  </si>
  <si>
    <t>M2 schedule/DAG/admission/cancel/history controls; heavy administration depth M3.</t>
  </si>
  <si>
    <t>F5</t>
  </si>
  <si>
    <t>Logging and Audit</t>
  </si>
  <si>
    <t>PPIQ_Chapter3_General_Technical_Function_Description_v4.10.3.md §F5</t>
  </si>
  <si>
    <t>F5--populated; F5--loading; F5--empty; F5--filtered-empty; F5--blocked; F5--refused; F5--failed; F5--read-only</t>
  </si>
  <si>
    <t>Full logging/audit page; minimum M2 log evidence remains E3/B5.</t>
  </si>
  <si>
    <t>F6</t>
  </si>
  <si>
    <t>Log Channel Configuration</t>
  </si>
  <si>
    <t>PPIQ_Chapter3_General_Technical_Function_Description_v4.10.3.md §F6</t>
  </si>
  <si>
    <t>F6--populated; F6--loading; F6--empty; F6--filtered-empty; F6--blocked; F6--refused; F6--failed; F6--read-only</t>
  </si>
  <si>
    <t>Full channel configuration; no parallel log authority.</t>
  </si>
  <si>
    <t>F7</t>
  </si>
  <si>
    <t>System Settings</t>
  </si>
  <si>
    <t>T-233; T-200</t>
  </si>
  <si>
    <t>PPIQ_Chapter3_General_Technical_Function_Description_v4.10.3.md §F7</t>
  </si>
  <si>
    <t>F7--populated; F7--loading; F7--empty; F7--filtered-empty; F7--blocked; F7--refused; F7--failed; F7--read-only</t>
  </si>
  <si>
    <t>Plant time semantics M2 at existing commissioning surface; full admin page M3.</t>
  </si>
  <si>
    <t>F8</t>
  </si>
  <si>
    <t>Translation and Language</t>
  </si>
  <si>
    <t>PPIQ_Chapter3_General_Technical_Function_Description_v4.10.3.md §F8</t>
  </si>
  <si>
    <t>F8--populated; F8--loading; F8--empty; F8--filtered-empty; F8--blocked; F8--refused; F8--failed; F8--read-only</t>
  </si>
  <si>
    <t>Translation/language management; M2 rendered RTL/focus states still T-265.</t>
  </si>
  <si>
    <t>F9</t>
  </si>
  <si>
    <t>Log Retention and Archival</t>
  </si>
  <si>
    <t>PPIQ_Chapter3_General_Technical_Function_Description_v4.10.3.md §F9</t>
  </si>
  <si>
    <t>F9--populated; F9--loading; F9--empty; F9--filtered-empty; F9--blocked; F9--refused; F9--failed; F9--read-only</t>
  </si>
  <si>
    <t>Retention/archive/legal-hold preview and destructive confirmation.</t>
  </si>
  <si>
    <t>G1</t>
  </si>
  <si>
    <t>Global component</t>
  </si>
  <si>
    <t>Assistant dock</t>
  </si>
  <si>
    <t>PPIQ_Chapter3_General_Technical_Function_Description_v4.10.3.md §G1</t>
  </si>
  <si>
    <t>Applicable source controls/states; no automatic eight-state template. Preserve existing closed implementations.</t>
  </si>
  <si>
    <t>SEMANTIC REVIEW REQUIRED</t>
  </si>
  <si>
    <t>G2</t>
  </si>
  <si>
    <t>Application header and navigation</t>
  </si>
  <si>
    <t>PPIQ_Chapter3_General_Technical_Function_Description_v4.10.3.md §G2</t>
  </si>
  <si>
    <t>G3</t>
  </si>
  <si>
    <t>Global search and command palette</t>
  </si>
  <si>
    <t>PPIQ_Chapter3_General_Technical_Function_Description_v4.10.3.md §G3</t>
  </si>
  <si>
    <t>G4</t>
  </si>
  <si>
    <t>Notification and toast host</t>
  </si>
  <si>
    <t>PPIQ_Chapter3_General_Technical_Function_Description_v4.10.3.md §G4</t>
  </si>
  <si>
    <t>G5</t>
  </si>
  <si>
    <t>Refusal and error boundary</t>
  </si>
  <si>
    <t>PPIQ_Chapter3_General_Technical_Function_Description_v4.10.3.md §G5</t>
  </si>
  <si>
    <t>G6</t>
  </si>
  <si>
    <t>Activity and progress tray</t>
  </si>
  <si>
    <t>PPIQ_Chapter3_General_Technical_Function_Description_v4.10.3.md §G6</t>
  </si>
  <si>
    <t>DLG-A1-mfa</t>
  </si>
  <si>
    <t>Dialog</t>
  </si>
  <si>
    <t>Verify administrator access</t>
  </si>
  <si>
    <t>DLG-A1-mfa--default; DLG-A1-mfa--invalid</t>
  </si>
  <si>
    <t>Verification code | No authenticated page until required verification succeeds. | Use meaningful controls, filled/invalid/pending/refused/recovery states only where applicable; prototype focus-return.</t>
  </si>
  <si>
    <t>CHECK DATA / WORD CAPTION / IMAGE AGAINST PARENT CLAUSE</t>
  </si>
  <si>
    <t>DLG-A1-session</t>
  </si>
  <si>
    <t>Session expired</t>
  </si>
  <si>
    <t>DLG-A1-session--default; DLG-A1-session--invalid</t>
  </si>
  <si>
    <t>| Explain expiry; never silently discard a dirty authored draft. | Use meaningful controls, filled/invalid/pending/refused/recovery states only where applicable; prototype focus-return.</t>
  </si>
  <si>
    <t>DLG-B1-create</t>
  </si>
  <si>
    <t>Connection profile</t>
  </si>
  <si>
    <t>DLG-B1-create--default; DLG-B1-create--invalid</t>
  </si>
  <si>
    <t>Name; Provider; Host; Port; Database; Schema; Credential reference; Read-only posture; Allowed window; Row cap; Timeout; Rate cap | Do not display a stored secret; only a credential reference is returned. | Use meaningful controls, filled/invalid/pending/refused/recovery states only where applicable; prototype focus-return.</t>
  </si>
  <si>
    <t>DLG-B1-test</t>
  </si>
  <si>
    <t>Test source connection</t>
  </si>
  <si>
    <t>DLG-B1-test--default; DLG-B1-test--invalid</t>
  </si>
  <si>
    <t>Connection identity; Provider identity; Read-only evidence; Measured source budget | Read-only proof and source-budget check, not just reachability. | Use meaningful controls, filled/invalid/pending/refused/recovery states only where applicable; prototype focus-return.</t>
  </si>
  <si>
    <t>DLG-B1-deactivate</t>
  </si>
  <si>
    <t>Deactivate connection</t>
  </si>
  <si>
    <t>DLG-B1-deactivate--default; DLG-B1-deactivate--invalid</t>
  </si>
  <si>
    <t>Affected datasets; Affected jobs; Reason | Show dependency impact; no deletion of source history. | Use meaningful controls, filled/invalid/pending/refused/recovery states only where applicable; prototype focus-return.</t>
  </si>
  <si>
    <t>DLG-B1-credential</t>
  </si>
  <si>
    <t>Replace credential reference</t>
  </si>
  <si>
    <t>DLG-B1-credential--default; DLG-B1-credential--invalid</t>
  </si>
  <si>
    <t>Current reference (masked label); New protected reference; Reason | No plaintext secret persisted in options or returned by read-back. | Use meaningful controls, filled/invalid/pending/refused/recovery states only where applicable; prototype focus-return.</t>
  </si>
  <si>
    <t>DLG-B2-register</t>
  </si>
  <si>
    <t>Register dataset</t>
  </si>
  <si>
    <t>DLG-B2-register--default; DLG-B2-register--invalid</t>
  </si>
  <si>
    <t>Connection; Schema; Source object; Included columns; Taxonomy source | Author confirms source metadata; suggestions are not declarations. | Use meaningful controls, filled/invalid/pending/refused/recovery states only where applicable; prototype focus-return.</t>
  </si>
  <si>
    <t>DLG-B2-preview</t>
  </si>
  <si>
    <t>Source preview</t>
  </si>
  <si>
    <t>DLG-B2-preview--default; DLG-B2-preview--invalid</t>
  </si>
  <si>
    <t>Source identity; Column names and types; Bounded sample; Rows and elapsed time | Read under the effective source budget. | Use meaningful controls, filled/invalid/pending/refused/recovery states only where applicable; prototype focus-return.</t>
  </si>
  <si>
    <t>DLG-B3-key</t>
  </si>
  <si>
    <t>Business-key members</t>
  </si>
  <si>
    <t>DLG-B3-key--default; DLG-B3-key--invalid</t>
  </si>
  <si>
    <t>Ordered source fields; Member order; Uniqueness evidence | All selected key members belong to imported columns. | Use meaningful controls, filled/invalid/pending/refused/recovery states only where applicable; prototype focus-return.</t>
  </si>
  <si>
    <t>DLG-B3-cursor</t>
  </si>
  <si>
    <t>Incremental cursor</t>
  </si>
  <si>
    <t>DLG-B3-cursor--default; DLG-B3-cursor--invalid</t>
  </si>
  <si>
    <t>Watermark field; Watermark type; Stable tie-break members; Initial position; Source upper bound | v4.10.3 total-order contract; no guessed type or tie-break. | Use meaningful controls, filled/invalid/pending/refused/recovery states only where applicable; prototype focus-return.</t>
  </si>
  <si>
    <t>DLG-B3-fullscan</t>
  </si>
  <si>
    <t>No watermark: daily floor</t>
  </si>
  <si>
    <t>DLG-B3-fullscan--default; DLG-B3-fullscan--invalid</t>
  </si>
  <si>
    <t>Source object; Forced daily minimum; Expected scan budget | Not eligible for fast cadence without a safe incremental contract. | Use meaningful controls, filled/invalid/pending/refused/recovery states only where applicable; prototype focus-return.</t>
  </si>
  <si>
    <t>DLG-B4-rerun</t>
  </si>
  <si>
    <t>Re-run import batch</t>
  </si>
  <si>
    <t>DLG-B4-rerun--default; DLG-B4-rerun--invalid</t>
  </si>
  <si>
    <t>Batch identity; Persisted cursor range; Failure reason; Replay policy | Replay produces idempotent accepted effects, not duplicate staging. | Use meaningful controls, filled/invalid/pending/refused/recovery states only where applicable; prototype focus-return.</t>
  </si>
  <si>
    <t>DLG-B4-backfill</t>
  </si>
  <si>
    <t>Historical backfill</t>
  </si>
  <si>
    <t>DLG-B4-backfill--default; DLG-B4-backfill--invalid</t>
  </si>
  <si>
    <t>Dataset; From / to; Row and byte cap; Checkpoint; Source window | Bounded, pausable/resumable; does not starve cadence work. | Use meaningful controls, filled/invalid/pending/refused/recovery states only where applicable; prototype focus-return.</t>
  </si>
  <si>
    <t>DLG-B4-detail</t>
  </si>
  <si>
    <t>Drawer</t>
  </si>
  <si>
    <t>Import batch detail</t>
  </si>
  <si>
    <t>DLG-B4-detail--default; DLG-B4-detail--invalid</t>
  </si>
  <si>
    <t>Status; Watermark from / to; Rows read / staged; Failed rows; Source lineage; Run log | Failed rows cannot be hidden inside a green aggregate run. | Use meaningful controls, filled/invalid/pending/refused/recovery states only where applicable; prototype focus-return.</t>
  </si>
  <si>
    <t>DLG-B5-cancel</t>
  </si>
  <si>
    <t>Cancel running job</t>
  </si>
  <si>
    <t>DLG-B5-cancel--default; DLG-B5-cancel--invalid</t>
  </si>
  <si>
    <t>Job identity; Run identity; Committed work; Reason | A cancellation request is not an acknowledged terminal state. | Use meaningful controls, filled/invalid/pending/refused/recovery states only where applicable; prototype focus-return.</t>
  </si>
  <si>
    <t>DLG-B5-pause</t>
  </si>
  <si>
    <t>Pause scheduled job</t>
  </si>
  <si>
    <t>DLG-B5-pause--default; DLG-B5-pause--invalid</t>
  </si>
  <si>
    <t>Schedule; Next occurrence; Reason | Pauses future admission; separately cancel any current run. | Use meaningful controls, filled/invalid/pending/refused/recovery states only where applicable; prototype focus-return.</t>
  </si>
  <si>
    <t>DLG-B5-run</t>
  </si>
  <si>
    <t>Run job now</t>
  </si>
  <si>
    <t>DLG-B5-run--default; DLG-B5-run--invalid</t>
  </si>
  <si>
    <t>Definition version; Dependency verdict; Budget verdict; Parameters | Target pinned at admission; unsupported families refuse before execution. | Use meaningful controls, filled/invalid/pending/refused/recovery states only where applicable; prototype focus-return.</t>
  </si>
  <si>
    <t>DLG-B5-history</t>
  </si>
  <si>
    <t>Run evidence</t>
  </si>
  <si>
    <t>DLG-B5-history--default; DLG-B5-history--invalid</t>
  </si>
  <si>
    <t>Run identity; Resolved version; Counts; Duration; Upstream evidence; Failure / refusal | Historical identities remain immutable and tenant-scoped. | Use meaningful controls, filled/invalid/pending/refused/recovery states only where applicable; prototype focus-return.</t>
  </si>
  <si>
    <t>DLG-B6-export</t>
  </si>
  <si>
    <t>Export capability truth</t>
  </si>
  <si>
    <t>DLG-B6-export--default; DLG-B6-export--invalid</t>
  </si>
  <si>
    <t>Provider set; State filter; Evidence date | Read-only representation of server capability truth. | Use meaningful controls, filled/invalid/pending/refused/recovery states only where applicable; prototype focus-return.</t>
  </si>
  <si>
    <t>DLG-C1-publish</t>
  </si>
  <si>
    <t>Publish Transformation</t>
  </si>
  <si>
    <t>DLG-C1-publish--default; DLG-C1-publish--invalid</t>
  </si>
  <si>
    <t>Definition name; Version / hash; Output target; Relationship emission; Downstream impact | Definition and relationship publication must not partially commit. | Use meaningful controls, filled/invalid/pending/refused/recovery states only where applicable; prototype focus-return.</t>
  </si>
  <si>
    <t>DLG-C1-impact</t>
  </si>
  <si>
    <t>Downstream impact</t>
  </si>
  <si>
    <t>DLG-C1-impact--default; DLG-C1-impact--invalid</t>
  </si>
  <si>
    <t>Definitions; Pages; Analyses; Models; Relationships; Required action | No implicit deletion or widening of existing contracts. | Use meaningful controls, filled/invalid/pending/refused/recovery states only where applicable; prototype focus-return.</t>
  </si>
  <si>
    <t>DLG-C1-fork</t>
  </si>
  <si>
    <t>Edit published definition</t>
  </si>
  <si>
    <t>DLG-C1-fork--default; DLG-C1-fork--invalid</t>
  </si>
  <si>
    <t>Published version; Next draft; Reason | Never mutate the existing immutable version. | Use meaningful controls, filled/invalid/pending/refused/recovery states only where applicable; prototype focus-return.</t>
  </si>
  <si>
    <t>DLG-C1-rollback</t>
  </si>
  <si>
    <t>Select prior version</t>
  </si>
  <si>
    <t>DLG-C1-rollback--default; DLG-C1-rollback--invalid</t>
  </si>
  <si>
    <t>Version history; Current pointer; Downstream impact; Reason | Preserve later historical versions and explain the pointer change. | Use meaningful controls, filled/invalid/pending/refused/recovery states only where applicable; prototype focus-return.</t>
  </si>
  <si>
    <t>DLG-C1-import</t>
  </si>
  <si>
    <t>Import definition</t>
  </si>
  <si>
    <t>DLG-C1-import--default; DLG-C1-import--invalid</t>
  </si>
  <si>
    <t>Artifact; Source schema bindings; Target catalog; Validation diagnostics | No authored file bypasses the canonical lifecycle. | Use meaningful controls, filled/invalid/pending/refused/recovery states only where applicable; prototype focus-return.</t>
  </si>
  <si>
    <t>DLG-C1-mode</t>
  </si>
  <si>
    <t>Switch authoring representation</t>
  </si>
  <si>
    <t>DLG-C1-mode--default; DLG-C1-mode--invalid</t>
  </si>
  <si>
    <t>Current representation; Reconstructability; Preserved SQL; Diagram consequence | Do not claim a SQL diagram is reconstructable when it is not. | Use meaningful controls, filled/invalid/pending/refused/recovery states only where applicable; prototype focus-return.</t>
  </si>
  <si>
    <t>DLG-C1-dirty</t>
  </si>
  <si>
    <t>Unsaved definition changes</t>
  </si>
  <si>
    <t>DLG-C1-dirty--default; DLG-C1-dirty--invalid</t>
  </si>
  <si>
    <t>Changed fields; Last persisted version | Actions: save, discard with confirmation, stay. Never silently lose edits. | Use meaningful controls, filled/invalid/pending/refused/recovery states only where applicable; prototype focus-return.</t>
  </si>
  <si>
    <t>DLG-C1-conflict</t>
  </si>
  <si>
    <t>Concurrent edit conflict</t>
  </si>
  <si>
    <t>DLG-C1-conflict--default; DLG-C1-conflict--invalid</t>
  </si>
  <si>
    <t>Base version; Server version; Local changes; Rebase / save-as | No last-write-wins overwrite of a published version. | Use meaningful controls, filled/invalid/pending/refused/recovery states only where applicable; prototype focus-return.</t>
  </si>
  <si>
    <t>DLG-C1-sqlerror</t>
  </si>
  <si>
    <t>SQL validation details</t>
  </si>
  <si>
    <t>DLG-C1-sqlerror--default; DLG-C1-sqlerror--invalid</t>
  </si>
  <si>
    <t>Message; Offending fragment; Token / line / column; Suggested correction | Message + echoed fragment + in-place token highlight. | Use meaningful controls, filled/invalid/pending/refused/recovery states only where applicable; prototype focus-return.</t>
  </si>
  <si>
    <t>DLG-C1-expression</t>
  </si>
  <si>
    <t>Expression editor</t>
  </si>
  <si>
    <t>DLG-C1-expression--default; DLG-C1-expression--invalid</t>
  </si>
  <si>
    <t>Typed fields; Operators; Expression; Declared result type; Validation; Test sample | Single row context; no free control-flow board. Accept is one undo step. | Use meaningful controls, filled/invalid/pending/refused/recovery states only where applicable; prototype focus-return.</t>
  </si>
  <si>
    <t>DLG-C1-mapping</t>
  </si>
  <si>
    <t>Canonical field mapping</t>
  </si>
  <si>
    <t>DLG-C1-mapping--default; DLG-C1-mapping--invalid</t>
  </si>
  <si>
    <t>Target entity; Required business fields; Source output binding; Type verdict; System provenance (read-only) | No inference by ordinal/name resemblance; unknown source type refuses. | Use meaningful controls, filled/invalid/pending/refused/recovery states only where applicable; prototype focus-return.</t>
  </si>
  <si>
    <t>DLG-C2-drift</t>
  </si>
  <si>
    <t>Schema drift event</t>
  </si>
  <si>
    <t>DLG-C2-drift--default; DLG-C2-drift--invalid</t>
  </si>
  <si>
    <t>Dataset; Changed field; Old / new type; Affected mappings; State | Acknowledgement is not automatic repair or reactivation. | Use meaningful controls, filled/invalid/pending/refused/recovery states only where applicable; prototype focus-return.</t>
  </si>
  <si>
    <t>DLG-C2-reprocess</t>
  </si>
  <si>
    <t>Reprocess corrected rows</t>
  </si>
  <si>
    <t>DLG-C2-reprocess--default; DLG-C2-reprocess--invalid</t>
  </si>
  <si>
    <t>Batch; Quarantine code; Corrected definition version; Estimated scope | Preserve original rejection and exact selected correction version. | Use meaningful controls, filled/invalid/pending/refused/recovery states only where applicable; prototype focus-return.</t>
  </si>
  <si>
    <t>DLG-C3-quarantine</t>
  </si>
  <si>
    <t>Quarantine row detail</t>
  </si>
  <si>
    <t>DLG-C3-quarantine--default; DLG-C3-quarantine--invalid</t>
  </si>
  <si>
    <t>Validation code; Offending field; Staging row; Source provenance; Correction hint | Actual failure evidence, not invented successful output. | Use meaningful controls, filled/invalid/pending/refused/recovery states only where applicable; prototype focus-return.</t>
  </si>
  <si>
    <t>DLG-C4-entity</t>
  </si>
  <si>
    <t>Canonical entity detail</t>
  </si>
  <si>
    <t>DLG-C4-entity--default; DLG-C4-entity--invalid</t>
  </si>
  <si>
    <t>Entity type; Registered dimensions; Relationships; Evidence | Generic registry vocabulary; no customer-specific hardcoding. | Use meaningful controls, filled/invalid/pending/refused/recovery states only where applicable; prototype focus-return.</t>
  </si>
  <si>
    <t>DLG-C5-genealogy</t>
  </si>
  <si>
    <t>Genealogy contribution</t>
  </si>
  <si>
    <t>DLG-C5-genealogy--default; DLG-C5-genealogy--invalid</t>
  </si>
  <si>
    <t>Parent / child identities; Ordered key; Weight; Grain; Source definition | Weights and direction are evidence-bearing, never decorative lines. | Use meaningful controls, filled/invalid/pending/refused/recovery states only where applicable; prototype focus-return.</t>
  </si>
  <si>
    <t>DLG-C6-validate</t>
  </si>
  <si>
    <t>Validate relationship</t>
  </si>
  <si>
    <t>DLG-C6-validate--default; DLG-C6-validate--invalid</t>
  </si>
  <si>
    <t>Relationship version; Ordered members; Cardinality; Grain conversion; Attribution; Evidence | Server measures validation state; user cannot assert proven=true. | Use meaningful controls, filled/invalid/pending/refused/recovery states only where applicable; prototype focus-return.</t>
  </si>
  <si>
    <t>DLG-C6-path</t>
  </si>
  <si>
    <t>Preferred relationship path</t>
  </si>
  <si>
    <t>DLG-C6-path--default; DLG-C6-path--invalid</t>
  </si>
  <si>
    <t>Source / destination; Candidate paths; Ambiguity; Declared preference | No guessed path when more than one lawful route exists. | Use meaningful controls, filled/invalid/pending/refused/recovery states only where applicable; prototype focus-return.</t>
  </si>
  <si>
    <t>DLG-D1-selection</t>
  </si>
  <si>
    <t>Selection state</t>
  </si>
  <si>
    <t>DLG-D1-selection--default; DLG-D1-selection--invalid</t>
  </si>
  <si>
    <t>Selected; Possible; Excluded; Clear one / all | Excluded values remain clickable to pivot; color is not the sole signal. | Use meaningful controls, filled/invalid/pending/refused/recovery states only where applicable; prototype focus-return.</t>
  </si>
  <si>
    <t>DLG-D1-bookmark</t>
  </si>
  <si>
    <t>Save current view</t>
  </si>
  <si>
    <t>DLG-D1-bookmark--default; DLG-D1-bookmark--invalid</t>
  </si>
  <si>
    <t>Name; Selection state; Layout version; Visibility | Persist through governed definitions; no layout authority in localStorage. | Use meaningful controls, filled/invalid/pending/refused/recovery states only where applicable; prototype focus-return.</t>
  </si>
  <si>
    <t>DLG-D1-export</t>
  </si>
  <si>
    <t>Export current state</t>
  </si>
  <si>
    <t>DLG-D1-export--default; DLG-D1-export--invalid</t>
  </si>
  <si>
    <t>Format; Current filters; Period; Evidence inclusion; Scope | Export the displayed state and label incomplete/unavailable evidence. | Use meaningful controls, filled/invalid/pending/refused/recovery states only where applicable; prototype focus-return.</t>
  </si>
  <si>
    <t>DLG-D2-page</t>
  </si>
  <si>
    <t>Page definition</t>
  </si>
  <si>
    <t>DLG-D2-page--default; DLG-D2-page--invalid</t>
  </si>
  <si>
    <t>Title; Description; Visibility; Layout; Default selection | Reuse page lifecycle, not a separate dashboard engine. | Use meaningful controls, filled/invalid/pending/refused/recovery states only where applicable; prototype focus-return.</t>
  </si>
  <si>
    <t>DLG-D2-widget</t>
  </si>
  <si>
    <t>Widget binding</t>
  </si>
  <si>
    <t>DLG-D2-widget--default; DLG-D2-widget--invalid</t>
  </si>
  <si>
    <t>Source class; Source identity; Grain; Dimensions; Measures; Chart; Evidence handles | Keep native-grain rich sources intact; refuse invalid joins/roles. | Use meaningful controls, filled/invalid/pending/refused/recovery states only where applicable; prototype focus-return.</t>
  </si>
  <si>
    <t>DLG-D2-filter</t>
  </si>
  <si>
    <t>Filter definition</t>
  </si>
  <si>
    <t>DLG-D2-filter--default; DLG-D2-filter--invalid</t>
  </si>
  <si>
    <t>Name; Scope; Registered field; Filter kind; Default; Version | Page/global/widget scopes stay distinct; stale bindings are visible. | Use meaningful controls, filled/invalid/pending/refused/recovery states only where applicable; prototype focus-return.</t>
  </si>
  <si>
    <t>DLG-D2-delete</t>
  </si>
  <si>
    <t>Remove widget</t>
  </si>
  <si>
    <t>DLG-D2-delete--default; DLG-D2-delete--invalid</t>
  </si>
  <si>
    <t>Widget identity; Page version; Unsaved changes | Removal changes the draft only; saved history retained. | Use meaningful controls, filled/invalid/pending/refused/recovery states only where applicable; prototype focus-return.</t>
  </si>
  <si>
    <t>DLG-D3-readiness</t>
  </si>
  <si>
    <t>Analysis readiness</t>
  </si>
  <si>
    <t>DLG-D3-readiness--default; DLG-D3-readiness--invalid</t>
  </si>
  <si>
    <t>Population; Grain; Method; Measured values; Thresholds; Refusal reasons | A refusal cannot be bypassed by enabling a UI checkbox. | Use meaningful controls, filled/invalid/pending/refused/recovery states only where applicable; prototype focus-return.</t>
  </si>
  <si>
    <t>DLG-D4-evidence</t>
  </si>
  <si>
    <t>Finding evidence</t>
  </si>
  <si>
    <t>DLG-D4-evidence--default; DLG-D4-evidence--invalid</t>
  </si>
  <si>
    <t>Claim class; Method; Population; Effect / uncertainty; q-value; Source handles | A statistical association is not upgraded to a causal claim. | Use meaningful controls, filled/invalid/pending/refused/recovery states only where applicable; prototype focus-return.</t>
  </si>
  <si>
    <t>DLG-D5-risk</t>
  </si>
  <si>
    <t>Risk record</t>
  </si>
  <si>
    <t>DLG-D5-risk--default; DLG-D5-risk--invalid</t>
  </si>
  <si>
    <t>Subject identity; Risk band; Drivers; Model / engine version; Evidence | No certainty claim; source and model states remain explicit. | Use meaningful controls, filled/invalid/pending/refused/recovery states only where applicable; prototype focus-return.</t>
  </si>
  <si>
    <t>DLG-D6-decision</t>
  </si>
  <si>
    <t>Suggestion decision</t>
  </si>
  <si>
    <t>DLG-D6-decision--default; DLG-D6-decision--invalid</t>
  </si>
  <si>
    <t>Suggestion; Evidence; Reason code; Decision; Actor | Server can_accept/permission authority gates action; no plant control write. | Use meaningful controls, filled/invalid/pending/refused/recovery states only where applicable; prototype focus-return.</t>
  </si>
  <si>
    <t>DLG-D6-defer</t>
  </si>
  <si>
    <t>Defer suggestion</t>
  </si>
  <si>
    <t>DLG-D6-defer--default; DLG-D6-defer--invalid</t>
  </si>
  <si>
    <t>Reason code; Review time; Evidence | Record actor/time; do not fabricate an action or outcome. | Use meaningful controls, filled/invalid/pending/refused/recovery states only where applicable; prototype focus-return.</t>
  </si>
  <si>
    <t>DLG-D7-assumptions</t>
  </si>
  <si>
    <t>Cost assumptions</t>
  </si>
  <si>
    <t>DLG-D7-assumptions--default; DLG-D7-assumptions--invalid</t>
  </si>
  <si>
    <t>Measure; Unit / currency; Effective period; Assumption value; Source; Reason | No monetary claim without declared basis and audit. | Use meaningful controls, filled/invalid/pending/refused/recovery states only where applicable; prototype focus-return.</t>
  </si>
  <si>
    <t>DLG-D7-value</t>
  </si>
  <si>
    <t>Value derivation</t>
  </si>
  <si>
    <t>DLG-D7-value--default; DLG-D7-value--invalid</t>
  </si>
  <si>
    <t>Potential / realised class; Assumptions; Counterfactual; Uncertainty; Evidence | Do not combine unsupported realised value with a modeled potential figure. | Use meaningful controls, filled/invalid/pending/refused/recovery states only where applicable; prototype focus-return.</t>
  </si>
  <si>
    <t>DLG-D8-activate</t>
  </si>
  <si>
    <t>Activate model version</t>
  </si>
  <si>
    <t>DLG-D8-activate--default; DLG-D8-activate--invalid</t>
  </si>
  <si>
    <t>Candidate; Serving identity; Gate results; Snapshot / manifest; Warm-up; Fallback | Only approved gates and held-out evidence permit activation. | Use meaningful controls, filled/invalid/pending/refused/recovery states only where applicable; prototype focus-return.</t>
  </si>
  <si>
    <t>DLG-D8-retire</t>
  </si>
  <si>
    <t>Retire model version</t>
  </si>
  <si>
    <t>DLG-D8-retire--default; DLG-D8-retire--invalid</t>
  </si>
  <si>
    <t>Version; Dependent consumers; Fallback; Reason | Never erase provenance of historical predictions. | Use meaningful controls, filled/invalid/pending/refused/recovery states only where applicable; prototype focus-return.</t>
  </si>
  <si>
    <t>DLG-D9-remediation</t>
  </si>
  <si>
    <t>Remediation eligibility</t>
  </si>
  <si>
    <t>DLG-D9-remediation--default; DLG-D9-remediation--invalid</t>
  </si>
  <si>
    <t>Prediction; Deadline; Candidate; Nine check results; Expected effect; Evidence | No accept action after deadline or any failed mandatory gate. | Use meaningful controls, filled/invalid/pending/refused/recovery states only where applicable; prototype focus-return.</t>
  </si>
  <si>
    <t>DLG-D10-practice</t>
  </si>
  <si>
    <t>Practice evidence</t>
  </si>
  <si>
    <t>DLG-D10-practice--default; DLG-D10-practice--invalid</t>
  </si>
  <si>
    <t>Comparable context; Support; Outcome; Confidence; Sensitivity; Benchmark status | Observed practice is not automatically a proven benchmark. | Use meaningful controls, filled/invalid/pending/refused/recovery states only where applicable; prototype focus-return.</t>
  </si>
  <si>
    <t>DLG-D11-save</t>
  </si>
  <si>
    <t>Save scenario</t>
  </si>
  <si>
    <t>DLG-D11-save--default; DLG-D11-save--invalid</t>
  </si>
  <si>
    <t>Name; Baseline; Variable changes; Fixed assumptions; Model version; Uncertainty | Simulation label permanent; no plant write path. | Use meaningful controls, filled/invalid/pending/refused/recovery states only where applicable; prototype focus-return.</t>
  </si>
  <si>
    <t>DLG-D11-compare</t>
  </si>
  <si>
    <t>Compare scenarios</t>
  </si>
  <si>
    <t>DLG-D11-compare--default; DLG-D11-compare--invalid</t>
  </si>
  <si>
    <t>Saved versions; Common baseline; Variables; Result intervals | All models/bases/assumptions explicit; incomparable cases refuse. | Use meaningful controls, filled/invalid/pending/refused/recovery states only where applicable; prototype focus-return.</t>
  </si>
  <si>
    <t>DLG-D12-comparison</t>
  </si>
  <si>
    <t>Benchmark population evidence</t>
  </si>
  <si>
    <t>DLG-D12-comparison--default; DLG-D12-comparison--invalid</t>
  </si>
  <si>
    <t>Both populations; Measure direction; Normalization; Support; Reference | BM01 support and BM02 direction-of-goodness guards are visible. | Use meaningful controls, filled/invalid/pending/refused/recovery states only where applicable; prototype focus-return.</t>
  </si>
  <si>
    <t>DLG-E2-reset</t>
  </si>
  <si>
    <t>Reset Assistant configuration</t>
  </si>
  <si>
    <t>DLG-E2-reset--default; DLG-E2-reset--invalid</t>
  </si>
  <si>
    <t>Current policies; Default policies; Impact; Reason | Cannot weaken grounding or evidence rules. | Use meaningful controls, filled/invalid/pending/refused/recovery states only where applicable; prototype focus-return.</t>
  </si>
  <si>
    <t>DLG-E2-reindex</t>
  </si>
  <si>
    <t>Reindex knowledge</t>
  </si>
  <si>
    <t>DLG-E2-reindex--default; DLG-E2-reindex--invalid</t>
  </si>
  <si>
    <t>Allowed source families; Current index; Expected bounded work | Tenant and permission scope preserved. | Use meaningful controls, filled/invalid/pending/refused/recovery states only where applicable; prototype focus-return.</t>
  </si>
  <si>
    <t>DLG-E3-rule</t>
  </si>
  <si>
    <t>Plant data log rule</t>
  </si>
  <si>
    <t>DLG-E3-rule--default; DLG-E3-rule--invalid</t>
  </si>
  <si>
    <t>Rule name; Parameter; Comparator; Limit; Severity | Comparator whitelist enforced both server and persistence. | Use meaningful controls, filled/invalid/pending/refused/recovery states only where applicable; prototype focus-return.</t>
  </si>
  <si>
    <t>DLG-E3-ack</t>
  </si>
  <si>
    <t>Acknowledge log entry</t>
  </si>
  <si>
    <t>DLG-E3-ack--default; DLG-E3-ack--invalid</t>
  </si>
  <si>
    <t>Entry; Rule; Source subject; Actor; Note | No acknowledgment rewrites the observed measurement. | Use meaningful controls, filled/invalid/pending/refused/recovery states only where applicable; prototype focus-return.</t>
  </si>
  <si>
    <t>DLG-E4-proposal</t>
  </si>
  <si>
    <t>Review Supervisor proposal</t>
  </si>
  <si>
    <t>DLG-E4-proposal--default; DLG-E4-proposal--invalid</t>
  </si>
  <si>
    <t>Target; Before / after; Reason; Evidence; Shadow comparison | Forbidden authority targets remain unwriteable by construction. | Use meaningful controls, filled/invalid/pending/refused/recovery states only where applicable; prototype focus-return.</t>
  </si>
  <si>
    <t>DLG-E4-reject</t>
  </si>
  <si>
    <t>Reject Supervisor proposal</t>
  </si>
  <si>
    <t>DLG-E4-reject--default; DLG-E4-reject--invalid</t>
  </si>
  <si>
    <t>Proposal; Reason | Preserve proposal and evidence history. | Use meaningful controls, filled/invalid/pending/refused/recovery states only where applicable; prototype focus-return.</t>
  </si>
  <si>
    <t>DLG-E5-definition</t>
  </si>
  <si>
    <t>Report definition</t>
  </si>
  <si>
    <t>DLG-E5-definition--default; DLG-E5-definition--invalid</t>
  </si>
  <si>
    <t>Title; Sections; Period; Recipients; Schedule; Delivery target | One report definition and platform Job scheduler. | Use meaningful controls, filled/invalid/pending/refused/recovery states only where applicable; prototype focus-return.</t>
  </si>
  <si>
    <t>DLG-E5-output</t>
  </si>
  <si>
    <t>Generated report output</t>
  </si>
  <si>
    <t>DLG-E5-output--default; DLG-E5-output--invalid</t>
  </si>
  <si>
    <t>Period; Filter state; Generation run; Sections; Evidence; Delivery status | All-empty sections refuse generation; report uses light surface. | Use meaningful controls, filled/invalid/pending/refused/recovery states only where applicable; prototype focus-return.</t>
  </si>
  <si>
    <t>DLG-E6-routing</t>
  </si>
  <si>
    <t>Alert routing rule</t>
  </si>
  <si>
    <t>DLG-E6-routing--default; DLG-E6-routing--invalid</t>
  </si>
  <si>
    <t>Channel / severity; Recipients; Delivery channels; Quiet hours; Dedupe; Rate; Escalation | Recipient and escalation validity checked before save. | Use meaningful controls, filled/invalid/pending/refused/recovery states only where applicable; prototype focus-return.</t>
  </si>
  <si>
    <t>DLG-E6-delivery</t>
  </si>
  <si>
    <t>Delivery attempt</t>
  </si>
  <si>
    <t>DLG-E6-delivery--default; DLG-E6-delivery--invalid</t>
  </si>
  <si>
    <t>Recipient; Channel; Attempts; Reason; Next retry | Retry without duplicate external delivery where receipt exists. | Use meaningful controls, filled/invalid/pending/refused/recovery states only where applicable; prototype focus-return.</t>
  </si>
  <si>
    <t>DLG-F1-user</t>
  </si>
  <si>
    <t>Create user</t>
  </si>
  <si>
    <t>DLG-F1-user--default; DLG-F1-user--invalid</t>
  </si>
  <si>
    <t>Name; Email; Role | Authorised admin; permission matrix derives from approved role contract. | Use meaningful controls, filled/invalid/pending/refused/recovery states only where applicable; prototype focus-return.</t>
  </si>
  <si>
    <t>DLG-F1-role</t>
  </si>
  <si>
    <t>Role / user permission override</t>
  </si>
  <si>
    <t>DLG-F1-role--default; DLG-F1-role--invalid</t>
  </si>
  <si>
    <t>Principal; Role inheritance; Surface × action; Overrides; Reason | Show inherited versus overridden grants; fail-closed at API too. | Use meaningful controls, filled/invalid/pending/refused/recovery states only where applicable; prototype focus-return.</t>
  </si>
  <si>
    <t>DLG-F1-disable</t>
  </si>
  <si>
    <t>Disable user</t>
  </si>
  <si>
    <t>DLG-F1-disable--default; DLG-F1-disable--invalid</t>
  </si>
  <si>
    <t>User; Active sessions; Reason | Audit; revoke active access according to session policy. | Use meaningful controls, filled/invalid/pending/refused/recovery states only where applicable; prototype focus-return.</t>
  </si>
  <si>
    <t>DLG-F2-license</t>
  </si>
  <si>
    <t>Activate signed licence</t>
  </si>
  <si>
    <t>DLG-F2-license--default; DLG-F2-license--invalid</t>
  </si>
  <si>
    <t>Signed artifact; Tenant; Instance; Tier; Validity; Verification result | Customer verifies vendor-signed artifact; no production self-signing. | Use meaningful controls, filled/invalid/pending/refused/recovery states only where applicable; prototype focus-return.</t>
  </si>
  <si>
    <t>DLG-F3-quota</t>
  </si>
  <si>
    <t>Role or user quota</t>
  </si>
  <si>
    <t>DLG-F3-quota--default; DLG-F3-quota--invalid</t>
  </si>
  <si>
    <t>Principal / role; Object type; Inherited limit; Override; Current use | 80% warning, 100% creation guard; never discard existing draft. | Use meaningful controls, filled/invalid/pending/refused/recovery states only where applicable; prototype focus-return.</t>
  </si>
  <si>
    <t>DLG-F4-job</t>
  </si>
  <si>
    <t>Job definition</t>
  </si>
  <si>
    <t>DLG-F4-job--default; DLG-F4-job--invalid</t>
  </si>
  <si>
    <t>Name; Family; Target identity; Version policy; Parameters; Schedule; Pool / weight | One scheduler authority; unsupported family refused as unavailable. | Use meaningful controls, filled/invalid/pending/refused/recovery states only where applicable; prototype focus-return.</t>
  </si>
  <si>
    <t>DLG-F4-schedule</t>
  </si>
  <si>
    <t>Schedule editor</t>
  </si>
  <si>
    <t>DLG-F4-schedule--default; DLG-F4-schedule--invalid</t>
  </si>
  <si>
    <t>Kind; Canonical expression; Time zone; Next occurrences; Jitter; Missed-tick policy | v4.10.3 machine grammar; UI words never executable source text. | Use meaningful controls, filled/invalid/pending/refused/recovery states only where applicable; prototype focus-return.</t>
  </si>
  <si>
    <t>DLG-F4-dependency</t>
  </si>
  <si>
    <t>Dependency policy</t>
  </si>
  <si>
    <t>DLG-F4-dependency--default; DLG-F4-dependency--invalid</t>
  </si>
  <si>
    <t>Upstream job; Required / optional; Pinned version; Allow prior-success reuse; Age ceiling; Cycle impact | Default reuse=false; no beyond-limit acceptance; negative cases named. | Use meaningful controls, filled/invalid/pending/refused/recovery states only where applicable; prototype focus-return.</t>
  </si>
  <si>
    <t>DLG-F5-filter</t>
  </si>
  <si>
    <t>Log search / export</t>
  </si>
  <si>
    <t>DLG-F5-filter--default; DLG-F5-filter--invalid</t>
  </si>
  <si>
    <t>Family; Severity; Actor; Run id; From / to; Export format | Permission and tenant scope retained in export. | Use meaningful controls, filled/invalid/pending/refused/recovery states only where applicable; prototype focus-return.</t>
  </si>
  <si>
    <t>DLG-F6-channel</t>
  </si>
  <si>
    <t>Log channel</t>
  </si>
  <si>
    <t>DLG-F6-channel--default; DLG-F6-channel--invalid</t>
  </si>
  <si>
    <t>Name; Family; Severity policy; Retention policy; Enabled | Cannot redirect customer entries into protected audit authority. | Use meaningful controls, filled/invalid/pending/refused/recovery states only where applicable; prototype focus-return.</t>
  </si>
  <si>
    <t>DLG-F7-timezone</t>
  </si>
  <si>
    <t>Change plant time zone</t>
  </si>
  <si>
    <t>DLG-F7-timezone--default; DLG-F7-timezone--invalid</t>
  </si>
  <si>
    <t>Current zone; New zone; Shift-analysis impact; Next schedule previews | Does not rewrite historical source timestamps; audit setting revision. | Use meaningful controls, filled/invalid/pending/refused/recovery states only where applicable; prototype focus-return.</t>
  </si>
  <si>
    <t>DLG-F7-egress</t>
  </si>
  <si>
    <t>Change data egress policy</t>
  </si>
  <si>
    <t>DLG-F7-egress--default; DLG-F7-egress--invalid</t>
  </si>
  <si>
    <t>Current policy; New policy; Affected tools; Reason | No-egress state reaches every external model/tool boundary. | Use meaningful controls, filled/invalid/pending/refused/recovery states only where applicable; prototype focus-return.</t>
  </si>
  <si>
    <t>DLG-F8-language</t>
  </si>
  <si>
    <t>Import language pack</t>
  </si>
  <si>
    <t>DLG-F8-language--default; DLG-F8-language--invalid</t>
  </si>
  <si>
    <t>Language; Pack version; Changed labels; Fallback; Review state | Keep technical identifiers unchanged; translation does not redefine semantics. | Use meaningful controls, filled/invalid/pending/refused/recovery states only where applicable; prototype focus-return.</t>
  </si>
  <si>
    <t>DLG-F9-retention</t>
  </si>
  <si>
    <t>Retention impact preview</t>
  </si>
  <si>
    <t>DLG-F9-retention--default; DLG-F9-retention--invalid</t>
  </si>
  <si>
    <t>Channel; Cutoff; Rows / storage; Archive destination; Legal hold; Preview receipt | No destructive save without preview; failed archive -&gt; zero deletions. | Use meaningful controls, filled/invalid/pending/refused/recovery states only where applicable; prototype focus-return.</t>
  </si>
  <si>
    <t>DLG-F9-hold</t>
  </si>
  <si>
    <t>Place or remove legal hold</t>
  </si>
  <si>
    <t>DLG-F9-hold--default; DLG-F9-hold--invalid</t>
  </si>
  <si>
    <t>Channel; Current hold; Actor; Reason | Authorised audited action; held data cannot be purged. | Use meaningful controls, filled/invalid/pending/refused/recovery states only where applicable; prototype focus-return.</t>
  </si>
  <si>
    <t>DLG-F9-cleanup</t>
  </si>
  <si>
    <t>Run retention cleanup</t>
  </si>
  <si>
    <t>DLG-F9-cleanup--default; DLG-F9-cleanup--invalid</t>
  </si>
  <si>
    <t>Channels; Exact cutoff; Archive status; Expected count; Preview identity | Abort deletion on archive failure; persist actual terminal summary. | Use meaningful controls, filled/invalid/pending/refused/recovery states only where applicable; prototype focus-return.</t>
  </si>
  <si>
    <t>DLG-G1-citations</t>
  </si>
  <si>
    <t>Assistant citations</t>
  </si>
  <si>
    <t>DLG-G1-citations--default; DLG-G1-citations--invalid</t>
  </si>
  <si>
    <t>Answer claim; Evidence handles; Source identity; Permission scope | Context is not evidence; unresolved evidence cannot be upgraded. | Use meaningful controls, filled/invalid/pending/refused/recovery states only where applicable; prototype focus-return.</t>
  </si>
  <si>
    <t>DLG-G3-commands</t>
  </si>
  <si>
    <t>Global command palette</t>
  </si>
  <si>
    <t>DLG-G3-commands--default; DLG-G3-commands--invalid</t>
  </si>
  <si>
    <t>Search; Permitted pages; Definitions; Fields; Findings; Commands | Only permitted search results/actions; keyboard focus returns to trigger. | Use meaningful controls, filled/invalid/pending/refused/recovery states only where applicable; prototype focus-return.</t>
  </si>
  <si>
    <t>DLG-G6-activity</t>
  </si>
  <si>
    <t>Activity tray</t>
  </si>
  <si>
    <t>DLG-G6-activity--default; DLG-G6-activity--invalid</t>
  </si>
  <si>
    <t>Running jobs; Stage / counts; Last heartbeat; Outcome; Evidence | No fabricated percent; poll fallback explicitly visible. | Use meaningful controls, filled/invalid/pending/refused/recovery states only where applicable; prototype focus-return.</t>
  </si>
  <si>
    <t>TB-001</t>
  </si>
  <si>
    <t>Toolbox entry</t>
  </si>
  <si>
    <t>Source table</t>
  </si>
  <si>
    <t>T-243; T-245; T-211; T-212; T-248</t>
  </si>
  <si>
    <t>PPIQ_Chapter4_Specific_Technical_Function_Description_v4.10.3.md §Group 1 - Source and output</t>
  </si>
  <si>
    <t>Map the exact input/output/configuration/validation to a selected-node inspector, with typed ports and refusal/recovery as applicable.</t>
  </si>
  <si>
    <t>TB-002</t>
  </si>
  <si>
    <t>Output to canonical entity</t>
  </si>
  <si>
    <t>TB-003</t>
  </si>
  <si>
    <t>Output to named dataset</t>
  </si>
  <si>
    <t>TB-004</t>
  </si>
  <si>
    <t>Join</t>
  </si>
  <si>
    <t>PPIQ_Chapter4_Specific_Technical_Function_Description_v4.10.3.md §Group 2 - Relational</t>
  </si>
  <si>
    <t>TB-005</t>
  </si>
  <si>
    <t>Filter</t>
  </si>
  <si>
    <t>TB-006</t>
  </si>
  <si>
    <t>Select columns</t>
  </si>
  <si>
    <t>TB-007</t>
  </si>
  <si>
    <t>Rename / alias</t>
  </si>
  <si>
    <t>TB-008</t>
  </si>
  <si>
    <t>Group by</t>
  </si>
  <si>
    <t>TB-009</t>
  </si>
  <si>
    <t>Sort</t>
  </si>
  <si>
    <t>TB-010</t>
  </si>
  <si>
    <t>Union</t>
  </si>
  <si>
    <t>TB-011</t>
  </si>
  <si>
    <t>Distinct</t>
  </si>
  <si>
    <t>TB-012</t>
  </si>
  <si>
    <t>Limit</t>
  </si>
  <si>
    <t>TB-013</t>
  </si>
  <si>
    <t>Pivot / unpivot</t>
  </si>
  <si>
    <t>TB-014</t>
  </si>
  <si>
    <t>Derived column</t>
  </si>
  <si>
    <t>TB-015</t>
  </si>
  <si>
    <t>Cast</t>
  </si>
  <si>
    <t>TB-016</t>
  </si>
  <si>
    <t>Lookup</t>
  </si>
  <si>
    <t>TB-017</t>
  </si>
  <si>
    <t>Summary statistics</t>
  </si>
  <si>
    <t>PPIQ_Chapter4_Specific_Technical_Function_Description_v4.10.3.md §5.5.2 Group A - Descriptive</t>
  </si>
  <si>
    <t>TB-018</t>
  </si>
  <si>
    <t>Distribution</t>
  </si>
  <si>
    <t>TB-019</t>
  </si>
  <si>
    <t>Category counts</t>
  </si>
  <si>
    <t>TB-020</t>
  </si>
  <si>
    <t>Time series</t>
  </si>
  <si>
    <t>TB-021</t>
  </si>
  <si>
    <t>Cross-tabulation</t>
  </si>
  <si>
    <t>TB-022</t>
  </si>
  <si>
    <t>Outlier detection (IQR / z-score)</t>
  </si>
  <si>
    <t>TB-023</t>
  </si>
  <si>
    <t>Missingness profile</t>
  </si>
  <si>
    <t>TB-024</t>
  </si>
  <si>
    <t>Pearson correlation</t>
  </si>
  <si>
    <t>PPIQ_Chapter4_Specific_Technical_Function_Description_v4.10.3.md §5.5.3 Group B - Association and correlation</t>
  </si>
  <si>
    <t>TB-025</t>
  </si>
  <si>
    <t>Spearman rank correlation</t>
  </si>
  <si>
    <t>TB-026</t>
  </si>
  <si>
    <t>Correlation matrix</t>
  </si>
  <si>
    <t>TB-027</t>
  </si>
  <si>
    <t>Chi-square independence</t>
  </si>
  <si>
    <t>TB-028</t>
  </si>
  <si>
    <t>ANOVA / Kruskal-Wallis</t>
  </si>
  <si>
    <t>TB-029</t>
  </si>
  <si>
    <t>Odds ratio / relative risk</t>
  </si>
  <si>
    <t>TB-030</t>
  </si>
  <si>
    <t>Point-biserial</t>
  </si>
  <si>
    <t>TB-031</t>
  </si>
  <si>
    <t>Lagged correlation</t>
  </si>
  <si>
    <t>TB-032</t>
  </si>
  <si>
    <t>Genealogy-attributed correlation</t>
  </si>
  <si>
    <t>TB-033</t>
  </si>
  <si>
    <t>Mandatory discipline output / inspection</t>
  </si>
  <si>
    <t>False-discovery control</t>
  </si>
  <si>
    <t>PPIQ_Chapter4_Specific_Technical_Function_Description_v4.10.3.md §5.5.4 Group C - Discipline (always applied, never optional)</t>
  </si>
  <si>
    <t>Always-applied discipline; inspect outputs only. Do not turn it into an optional drag/drop bypass.</t>
  </si>
  <si>
    <t>TB-034</t>
  </si>
  <si>
    <t>Effect-size ranking</t>
  </si>
  <si>
    <t>TB-035</t>
  </si>
  <si>
    <t>Stratification</t>
  </si>
  <si>
    <t>TB-036</t>
  </si>
  <si>
    <t>Bootstrap stability</t>
  </si>
  <si>
    <t>TB-037</t>
  </si>
  <si>
    <t>Confounder check</t>
  </si>
  <si>
    <t>TB-038</t>
  </si>
  <si>
    <t>Control chart</t>
  </si>
  <si>
    <t>PPIQ_Chapter4_Specific_Technical_Function_Description_v4.10.3.md §5.5.5 Group D - Process and quality specific</t>
  </si>
  <si>
    <t>TB-039</t>
  </si>
  <si>
    <t>TB-040</t>
  </si>
  <si>
    <t>Pareto of causes</t>
  </si>
  <si>
    <t>TB-041</t>
  </si>
  <si>
    <t>Yield decomposition</t>
  </si>
  <si>
    <t>TB-042</t>
  </si>
  <si>
    <t>Downtime impact split</t>
  </si>
  <si>
    <t>TB-043</t>
  </si>
  <si>
    <t>Transition analysis</t>
  </si>
  <si>
    <t>TB-044</t>
  </si>
  <si>
    <t>Window comparison</t>
  </si>
  <si>
    <t>TB-045</t>
  </si>
  <si>
    <t>Feature assembly</t>
  </si>
  <si>
    <t>T-246; T-248; T-187</t>
  </si>
  <si>
    <t>PPIQ_Chapter4_Specific_Technical_Function_Description_v4.10.3.md §5.6.2 Group E - Feature engineering blocks</t>
  </si>
  <si>
    <t>TB-046</t>
  </si>
  <si>
    <t>Genealogy roll-up</t>
  </si>
  <si>
    <t>TB-047</t>
  </si>
  <si>
    <t>Lag feature</t>
  </si>
  <si>
    <t>TB-048</t>
  </si>
  <si>
    <t>Rolling window feature</t>
  </si>
  <si>
    <t>TB-049</t>
  </si>
  <si>
    <t>Binning</t>
  </si>
  <si>
    <t>TB-050</t>
  </si>
  <si>
    <t>Encoding</t>
  </si>
  <si>
    <t>TB-051</t>
  </si>
  <si>
    <t>Missing-value policy</t>
  </si>
  <si>
    <t>TB-052</t>
  </si>
  <si>
    <t>Scaling</t>
  </si>
  <si>
    <t>TB-053</t>
  </si>
  <si>
    <t>Train/validation split</t>
  </si>
  <si>
    <t>PPIQ_Chapter4_Specific_Technical_Function_Description_v4.10.3.md §5.6.3 Group F - Model blocks</t>
  </si>
  <si>
    <t>TB-054</t>
  </si>
  <si>
    <t>Classification model</t>
  </si>
  <si>
    <t>TB-055</t>
  </si>
  <si>
    <t>Regression model</t>
  </si>
  <si>
    <t>TB-056</t>
  </si>
  <si>
    <t>Anomaly detection</t>
  </si>
  <si>
    <t>TB-057</t>
  </si>
  <si>
    <t>Clustering</t>
  </si>
  <si>
    <t>TB-058</t>
  </si>
  <si>
    <t>Feature importance</t>
  </si>
  <si>
    <t>TB-059</t>
  </si>
  <si>
    <t>Partial dependence</t>
  </si>
  <si>
    <t>TB-060</t>
  </si>
  <si>
    <t>Model evaluation</t>
  </si>
  <si>
    <t>TB-061</t>
  </si>
  <si>
    <t>TB-062</t>
  </si>
  <si>
    <t>Scoring</t>
  </si>
  <si>
    <t>TB-063</t>
  </si>
  <si>
    <t>Early-stage risk score</t>
  </si>
  <si>
    <t>PPIQ_Chapter4_Specific_Technical_Function_Description_v4.10.3.md §5.6.4 Group G - Prediction and recommendation</t>
  </si>
  <si>
    <t>TB-064</t>
  </si>
  <si>
    <t>Downstream remediation search</t>
  </si>
  <si>
    <t>TB-065</t>
  </si>
  <si>
    <t>Practice comparison</t>
  </si>
  <si>
    <t>TB-066</t>
  </si>
  <si>
    <t>Suggestion generation</t>
  </si>
  <si>
    <t>TB-067</t>
  </si>
  <si>
    <t>Value attachment</t>
  </si>
  <si>
    <t>TB-068</t>
  </si>
  <si>
    <t>Practice reconstruction</t>
  </si>
  <si>
    <t>PPIQ_Chapter4_Specific_Technical_Function_Description_v4.10.3.md §5.6.4a Practice authoring blocks - Group G2 (guideline 1.3.b)</t>
  </si>
  <si>
    <t>TB-069</t>
  </si>
  <si>
    <t>Practice-outcome linkage</t>
  </si>
  <si>
    <t>TB-070</t>
  </si>
  <si>
    <t>Best-practice benchmark</t>
  </si>
  <si>
    <t>TB-071</t>
  </si>
  <si>
    <t>Failure-practice linkage</t>
  </si>
  <si>
    <t>TB-072</t>
  </si>
  <si>
    <t>Drift detection</t>
  </si>
  <si>
    <t>TB-073</t>
  </si>
  <si>
    <t>Engine classification reference</t>
  </si>
  <si>
    <t>Correlation</t>
  </si>
  <si>
    <t>PPIQ_Chapter4_Specific_Technical_Function_Description_v4.10.3.md §36.4 Naming discipline, ruled</t>
  </si>
  <si>
    <t>Reference classification row; reconcile with the actual registry. Not automatically another independent draggable block.</t>
  </si>
  <si>
    <t>TB-074</t>
  </si>
  <si>
    <t>TB-075</t>
  </si>
  <si>
    <t>Deep analysis</t>
  </si>
  <si>
    <t>TB-076</t>
  </si>
  <si>
    <t>Anomaly</t>
  </si>
  <si>
    <t>TB-077</t>
  </si>
  <si>
    <t>Similarity / fingerprint</t>
  </si>
  <si>
    <t>TB-078</t>
  </si>
  <si>
    <t>Supervised prediction</t>
  </si>
  <si>
    <t>TB-079</t>
  </si>
  <si>
    <t>TB-080</t>
  </si>
  <si>
    <t>Remediation search</t>
  </si>
  <si>
    <t>TB-081</t>
  </si>
  <si>
    <t>Scenario</t>
  </si>
  <si>
    <t>TB-082</t>
  </si>
  <si>
    <t>INS-01</t>
  </si>
  <si>
    <t>Property inspector</t>
  </si>
  <si>
    <t>Source</t>
  </si>
  <si>
    <t>PPIQ_Chapter4_Specific_Technical_Function_Description_v4.10.3.md §5.2.17 Per-block property inspectors</t>
  </si>
  <si>
    <t>Schema, table (typed pickers), row estimate, column checklist with types, sample toggle | Validation: Table must be registered; at least one column | Preview: First 20 rows</t>
  </si>
  <si>
    <t>INS-02</t>
  </si>
  <si>
    <t>Type (inner/left/right/full), **ordered key-pair rows** with add and reorder, grain on both sides, cardinality (declared, then observed after preview), **attribution rule when grain converts**, weight expression | Validation: `TR08` incomplete or unordered members; `TR09` conversion without attribution; `TR10` weights cannot sum to one; observed cardinality contradicting declared is a warning | Preview: Row counts in, out and expansion factor; **a fan-out warning when output exceeds either input**</t>
  </si>
  <si>
    <t>INS-03</t>
  </si>
  <si>
    <t>Expression (opens 5.2.16), null handling, case sensitivity | Validation: Return type must be boolean | Preview: Rows in, rows out, percentage removed; a warning above 95 percent removal</t>
  </si>
  <si>
    <t>INS-04</t>
  </si>
  <si>
    <t>Column checklist, rename pairs, output order | Validation: At least one column; no duplicate output name | Preview: Output schema</t>
  </si>
  <si>
    <t>INS-05</t>
  </si>
  <si>
    <t>Group keys (multi), aggregate rows: function, column, alias | Validation: An aggregate over a grouped key; a non-aggregated column not in the keys | Preview: Group count and the largest group size</t>
  </si>
  <si>
    <t>INS-06</t>
  </si>
  <si>
    <t>Name, expression (opens 5.2.16), declared type, unit | Validation: Name collision; type mismatch; unit mismatch inside arithmetic | Preview: The column beside its inputs</t>
  </si>
  <si>
    <t>INS-07</t>
  </si>
  <si>
    <t>Sort / Limit</t>
  </si>
  <si>
    <t>Column, direction, n | Validation: n within the absolute cap | Preview: -</t>
  </si>
  <si>
    <t>INS-08</t>
  </si>
  <si>
    <t>Second input, column alignment map | Validation: Arity and type compatibility per aligned pair | Preview: Combined count</t>
  </si>
  <si>
    <t>INS-09</t>
  </si>
  <si>
    <t>Output to canonical</t>
  </si>
  <si>
    <t>Target entity (typed picker), field map rows, `const:` literals, provenance columns (read-only, shown) | Validation: Required target field unmapped; type mismatch; the fifteen `PV` classes previewed | Preview: **The projected error profile from the pre-flight sample**, grouped by code</t>
  </si>
  <si>
    <t>INS-10</t>
  </si>
  <si>
    <t>Statistical method</t>
  </si>
  <si>
    <t>Method, outcome, factor set, window, stratification dimensions, method-auto toggle | Validation: `ST01` to `ST06`; sample-size precondition checked before run | Preview: Population size, and the readiness verdict inline</t>
  </si>
  <si>
    <t>INS-11</t>
  </si>
  <si>
    <t>Model</t>
  </si>
  <si>
    <t>T-246; T-248</t>
  </si>
  <si>
    <t>Algorithm, feature set version, split strategy, missing-value policy, scaling, hyperparameters, acceptance floor | Validation: `ML01` to `ML07`; a random split on time-ordered data warns | Preview: Train and validation row counts, and the overlap count which must be zero</t>
  </si>
  <si>
    <t>INS-12</t>
  </si>
  <si>
    <t>Model version, scope rule, batch size, latency budget, trigger kind | Validation: `PD01` schema mismatch with counts; `PD02` no active model | Preview: Units in scope, and an estimated duration range</t>
  </si>
  <si>
    <t>INS-13</t>
  </si>
  <si>
    <t>Outcome, horizon stage, risk banding thresholds, confidence display | Validation: Horizon stage must exist on the route; banding must be monotonic | Preview: Distribution of scores on a sample</t>
  </si>
  <si>
    <t>INS-14</t>
  </si>
  <si>
    <t>Comparable-condition rule, candidate practice set, **minimum support**, expected-effect measure, limitations text | Validation: Minimum support below the floor is refused; a proposed stage after the horizon is refused | Preview: Candidate count, and how many pass support</t>
  </si>
  <si>
    <t>INS-15</t>
  </si>
  <si>
    <t>Alert condition</t>
  </si>
  <si>
    <t>Parameter, comparator, limit or limit source (specification or operating limit), severity, message template with tokens | Validation: Comparator outside the set; a template token that does not resolve | Preview: The message rendered with sample values</t>
  </si>
  <si>
    <t>INS-16</t>
  </si>
  <si>
    <t>Action kind (log, notify, route), channel, recipients, dedup window | Validation: `AR01` no recipient | Preview: Rendered notification</t>
  </si>
  <si>
    <t>S1-Block</t>
  </si>
  <si>
    <t>Authoring / expression frame</t>
  </si>
  <si>
    <t>Transformation — Block mode</t>
  </si>
  <si>
    <t>T-243; T-244; T-245; T-248</t>
  </si>
  <si>
    <t>Chapter 4 v4.10.3 §5.2 / §5.5 / §5.6 (exact owning clause to be confirmed per frame)</t>
  </si>
  <si>
    <t>Per-purpose schema/toolbox/permission and representability; SQL diagnostic positions and read-only bounded preview; stable definitions; no SQL/RTL corruption.</t>
  </si>
  <si>
    <t>EXACT SUBSECTION REQUIRED</t>
  </si>
  <si>
    <t>S1-SQL</t>
  </si>
  <si>
    <t>Transformation — SQL mode</t>
  </si>
  <si>
    <t>S2-Block</t>
  </si>
  <si>
    <t>Widget / query — Block mode</t>
  </si>
  <si>
    <t>S2-SQL</t>
  </si>
  <si>
    <t>Widget / query — SQL mode</t>
  </si>
  <si>
    <t>S3-Block</t>
  </si>
  <si>
    <t>Analysis — Block mode</t>
  </si>
  <si>
    <t>S3-SQL</t>
  </si>
  <si>
    <t>Analysis — SQL mode</t>
  </si>
  <si>
    <t>S4-Block</t>
  </si>
  <si>
    <t>Model / features — Block mode</t>
  </si>
  <si>
    <t>S4-SQL</t>
  </si>
  <si>
    <t>Model / features — SQL mode</t>
  </si>
  <si>
    <t>S5-Block</t>
  </si>
  <si>
    <t>Rule / alert — Block mode</t>
  </si>
  <si>
    <t>S5-SQL</t>
  </si>
  <si>
    <t>Rule / alert — SQL mode</t>
  </si>
  <si>
    <t>EXPR-01</t>
  </si>
  <si>
    <t>Expression editor — typed row context</t>
  </si>
  <si>
    <t>EXPR-ITEM-01</t>
  </si>
  <si>
    <t>Expression vocabulary entry</t>
  </si>
  <si>
    <t>+</t>
  </si>
  <si>
    <t>T-243; T-244; T-248</t>
  </si>
  <si>
    <t>Chapter 4 v4.10.3 §5.2.16 (verify applicable grammar for each purpose)</t>
  </si>
  <si>
    <t>Typed expression configuration inside the containing block; operator/function legality and named refusal; not a second arithmetic board.</t>
  </si>
  <si>
    <t>EXPR-ITEM-02</t>
  </si>
  <si>
    <t>−</t>
  </si>
  <si>
    <t>EXPR-ITEM-03</t>
  </si>
  <si>
    <t>×</t>
  </si>
  <si>
    <t>EXPR-ITEM-04</t>
  </si>
  <si>
    <t>÷</t>
  </si>
  <si>
    <t>EXPR-ITEM-05</t>
  </si>
  <si>
    <t>=</t>
  </si>
  <si>
    <t>EXPR-ITEM-06</t>
  </si>
  <si>
    <t>&lt;&gt;</t>
  </si>
  <si>
    <t>EXPR-ITEM-07</t>
  </si>
  <si>
    <t>&gt;</t>
  </si>
  <si>
    <t>EXPR-ITEM-08</t>
  </si>
  <si>
    <t>&gt;=</t>
  </si>
  <si>
    <t>EXPR-ITEM-09</t>
  </si>
  <si>
    <t>&lt;</t>
  </si>
  <si>
    <t>EXPR-ITEM-10</t>
  </si>
  <si>
    <t>&lt;=</t>
  </si>
  <si>
    <t>EXPR-ITEM-11</t>
  </si>
  <si>
    <t>AND</t>
  </si>
  <si>
    <t>EXPR-ITEM-12</t>
  </si>
  <si>
    <t>OR</t>
  </si>
  <si>
    <t>EXPR-ITEM-13</t>
  </si>
  <si>
    <t>NOT</t>
  </si>
  <si>
    <t>EXPR-ITEM-14</t>
  </si>
  <si>
    <t>IF / ELSE</t>
  </si>
  <si>
    <t>EXPR-ITEM-15</t>
  </si>
  <si>
    <t>IS NULL</t>
  </si>
  <si>
    <t>EXPR-ITEM-16</t>
  </si>
  <si>
    <t>LIKE</t>
  </si>
  <si>
    <t>EXPR-ITEM-17</t>
  </si>
  <si>
    <t>IN</t>
  </si>
  <si>
    <t>EXPR-ITEM-18</t>
  </si>
  <si>
    <t>BETWEEN</t>
  </si>
  <si>
    <t>EXPR-ITEM-19</t>
  </si>
  <si>
    <t>COALESCE</t>
  </si>
  <si>
    <t>EXPR-ITEM-20</t>
  </si>
  <si>
    <t>ROUND</t>
  </si>
  <si>
    <t>EXPR-ITEM-21</t>
  </si>
  <si>
    <t>ABS</t>
  </si>
  <si>
    <t>EXPR-ITEM-22</t>
  </si>
  <si>
    <t>Date arithmetic</t>
  </si>
  <si>
    <t>OPC-UX-01</t>
  </si>
  <si>
    <t>Missing OPC workflow design</t>
  </si>
  <si>
    <t>Profile and trusted/rejected session</t>
  </si>
  <si>
    <t>T-224; T-113</t>
  </si>
  <si>
    <t>Chapter 2/6 OPC boundary; Chapter 3 B1; existing T-224..T-226 contracts</t>
  </si>
  <si>
    <t>MISSING — to author</t>
  </si>
  <si>
    <t>MISSING DESIGN — T-266 OWNS</t>
  </si>
  <si>
    <t>endpoint, policy, certificate reference, authentication, source identity, connection test</t>
  </si>
  <si>
    <t>EXACT CLAUSE REQUIRED BEFORE ACCEPTANCE</t>
  </si>
  <si>
    <t>OPC-UX-02</t>
  </si>
  <si>
    <t>Browse, tag select and registration</t>
  </si>
  <si>
    <t>Chapter 2/6 OPC boundary; Chapter 3 B2; existing T-224..T-226 contracts</t>
  </si>
  <si>
    <t>namespace/node tree, type, tag identity, selection, bounded discovery, register</t>
  </si>
  <si>
    <t>OPC-UX-03</t>
  </si>
  <si>
    <t>Bounded read and subscription</t>
  </si>
  <si>
    <t>Chapter 2/6 OPC boundary; Chapter 3 B3; existing T-224..T-226 contracts</t>
  </si>
  <si>
    <t>sampling/publishing/deadband, budget/invalid settings, monitored items</t>
  </si>
  <si>
    <t>OPC-UX-04</t>
  </si>
  <si>
    <t>Quality and source-time inspection</t>
  </si>
  <si>
    <t>T-226; T-233</t>
  </si>
  <si>
    <t>Chapter 2/6 OPC boundary; Chapter 3 B4; existing T-224..T-226 contracts</t>
  </si>
  <si>
    <t>StatusCode and Good/Bad/Uncertain; source/server/ingested timestamps; gaps</t>
  </si>
  <si>
    <t>OPC-UX-05</t>
  </si>
  <si>
    <t>Disconnect, spool and replay</t>
  </si>
  <si>
    <t>buffer depth, outage, replay cursor/acknowledgement, duplicates and sequence loss</t>
  </si>
  <si>
    <t>OPC-UX-06</t>
  </si>
  <si>
    <t>Capability/permission/refusal</t>
  </si>
  <si>
    <t>Chapter 2/6 OPC boundary; Chapter 3 B6; existing T-224..T-226 contracts</t>
  </si>
  <si>
    <t>separate current unavailable versus target commissioned; no flip of runtime flags</t>
  </si>
  <si>
    <t>Control review ID</t>
  </si>
  <si>
    <t>Parent</t>
  </si>
  <si>
    <t>Chapter control text</t>
  </si>
  <si>
    <t>Position / reachability</t>
  </si>
  <si>
    <t>Enabled / condition</t>
  </si>
  <si>
    <t>Trace state</t>
  </si>
  <si>
    <t>Acceptance requirement</t>
  </si>
  <si>
    <t>A1/CTRL-01</t>
  </si>
  <si>
    <t>Username</t>
  </si>
  <si>
    <t>`StandardInput`</t>
  </si>
  <si>
    <t>card, first</t>
  </si>
  <si>
    <t>always</t>
  </si>
  <si>
    <t>PENDING SEMANTIC TRACE</t>
  </si>
  <si>
    <t>Frame/state/node + action/outcome proof required</t>
  </si>
  <si>
    <t>A1/CTRL-02</t>
  </si>
  <si>
    <t>Password</t>
  </si>
  <si>
    <t>`StandardInput type=password`</t>
  </si>
  <si>
    <t>card, second</t>
  </si>
  <si>
    <t>A1/CTRL-03</t>
  </si>
  <si>
    <t>Sign in</t>
  </si>
  <si>
    <t>primary button</t>
  </si>
  <si>
    <t>card footer, full width</t>
  </si>
  <si>
    <t>both fields non-empty</t>
  </si>
  <si>
    <t>A1/CTRL-04</t>
  </si>
  <si>
    <t>Second factor code</t>
  </si>
  <si>
    <t>replaces form after step 1</t>
  </si>
  <si>
    <t>challenge issued</t>
  </si>
  <si>
    <t>A1/CTRL-05</t>
  </si>
  <si>
    <t>Language</t>
  </si>
  <si>
    <t>select</t>
  </si>
  <si>
    <t>block-end</t>
  </si>
  <si>
    <t>A2/CTRL-01</t>
  </si>
  <si>
    <t>Journey rail node</t>
  </si>
  <si>
    <t>link chip</t>
  </si>
  <si>
    <t>rail</t>
  </si>
  <si>
    <t>node's page permitted</t>
  </si>
  <si>
    <t>A2/CTRL-02</t>
  </si>
  <si>
    <t>Stat tile</t>
  </si>
  <si>
    <t>`StandardStatGrid` cell</t>
  </si>
  <si>
    <t>grid</t>
  </si>
  <si>
    <t>A2/CTRL-03</t>
  </si>
  <si>
    <t>Readiness dimension bar</t>
  </si>
  <si>
    <t>progress bar</t>
  </si>
  <si>
    <t>inline-start column</t>
  </si>
  <si>
    <t>gate evaluated</t>
  </si>
  <si>
    <t>A2/CTRL-04</t>
  </si>
  <si>
    <t>Finding row</t>
  </si>
  <si>
    <t>link</t>
  </si>
  <si>
    <t>inline-end column</t>
  </si>
  <si>
    <t>findings exist</t>
  </si>
  <si>
    <t>A2/CTRL-05</t>
  </si>
  <si>
    <t>Refresh</t>
  </si>
  <si>
    <t>secondary</t>
  </si>
  <si>
    <t>header inline-end</t>
  </si>
  <si>
    <t>B1/CTRL-01</t>
  </si>
  <si>
    <t>secondary, `RefreshCw`</t>
  </si>
  <si>
    <t>layout header, inline-end</t>
  </si>
  <si>
    <t>B1/CTRL-02</t>
  </si>
  <si>
    <t>New Connection Profile</t>
  </si>
  <si>
    <t>primary, `Plus`</t>
  </si>
  <si>
    <t>panel 1 header, inline-end</t>
  </si>
  <si>
    <t>LIST mode</t>
  </si>
  <si>
    <t>B1/CTRL-03</t>
  </si>
  <si>
    <t>Back</t>
  </si>
  <si>
    <t>panel 1 header, inline-start</t>
  </si>
  <si>
    <t>FORM mode</t>
  </si>
  <si>
    <t>B1/CTRL-04</t>
  </si>
  <si>
    <t>Name / Code / Host / Port / Database / Schema / Username</t>
  </si>
  <si>
    <t>form grid, two columns</t>
  </si>
  <si>
    <t>B1/CTRL-05</t>
  </si>
  <si>
    <t>form grid</t>
  </si>
  <si>
    <t>B1/CTRL-06</t>
  </si>
  <si>
    <t>Provider type</t>
  </si>
  <si>
    <t>`StandardSelect`</t>
  </si>
  <si>
    <t>provider types loaded</t>
  </si>
  <si>
    <t>B1/CTRL-07</t>
  </si>
  <si>
    <t>Source system tag</t>
  </si>
  <si>
    <t>B1/CTRL-08</t>
  </si>
  <si>
    <t>File path</t>
  </si>
  <si>
    <t>provider is file-based</t>
  </si>
  <si>
    <t>B1/CTRL-09</t>
  </si>
  <si>
    <t>Max rows / Timeout / Requests per minute / Approved window</t>
  </si>
  <si>
    <t>`StandardInput`, time pickers</t>
  </si>
  <si>
    <t>budget group</t>
  </si>
  <si>
    <t>B1/CTRL-10</t>
  </si>
  <si>
    <t>Test connection</t>
  </si>
  <si>
    <t>form footer</t>
  </si>
  <si>
    <t>host, database and credentials non-empty</t>
  </si>
  <si>
    <t>B1/CTRL-11</t>
  </si>
  <si>
    <t>Save</t>
  </si>
  <si>
    <t>primary</t>
  </si>
  <si>
    <t>form footer, inline-end</t>
  </si>
  <si>
    <t>client validation passes</t>
  </si>
  <si>
    <t>B1/CTRL-12</t>
  </si>
  <si>
    <t>Row Edit / Test / Activate / Deactivate</t>
  </si>
  <si>
    <t>icon buttons</t>
  </si>
  <si>
    <t>table row, inline-end</t>
  </si>
  <si>
    <t>per row state</t>
  </si>
  <si>
    <t>B2/CTRL-01</t>
  </si>
  <si>
    <t>Connection selector</t>
  </si>
  <si>
    <t>inline-start, block-start</t>
  </si>
  <si>
    <t>profiles exist</t>
  </si>
  <si>
    <t>B2/CTRL-02</t>
  </si>
  <si>
    <t>Tree node expander</t>
  </si>
  <si>
    <t>disclosure</t>
  </si>
  <si>
    <t>tree</t>
  </si>
  <si>
    <t>node has children</t>
  </si>
  <si>
    <t>B2/CTRL-03</t>
  </si>
  <si>
    <t>Register</t>
  </si>
  <si>
    <t>tree row, inline-end</t>
  </si>
  <si>
    <t>a table is selected</t>
  </si>
  <si>
    <t>B2/CTRL-04</t>
  </si>
  <si>
    <t>Unregister</t>
  </si>
  <si>
    <t>registered row</t>
  </si>
  <si>
    <t>row selected</t>
  </si>
  <si>
    <t>B2/CTRL-05</t>
  </si>
  <si>
    <t>Filter tables</t>
  </si>
  <si>
    <t>`StandardInput` search</t>
  </si>
  <si>
    <t>above tree</t>
  </si>
  <si>
    <t>tree loaded</t>
  </si>
  <si>
    <t>B3/CTRL-01</t>
  </si>
  <si>
    <t>Dataset row</t>
  </si>
  <si>
    <t>list item</t>
  </si>
  <si>
    <t>inline-start</t>
  </si>
  <si>
    <t>B3/CTRL-02</t>
  </si>
  <si>
    <t>Column include</t>
  </si>
  <si>
    <t>checkbox per column, plus select-all</t>
  </si>
  <si>
    <t>Columns group</t>
  </si>
  <si>
    <t>dataset selected</t>
  </si>
  <si>
    <t>B3/CTRL-03</t>
  </si>
  <si>
    <t>Business key</t>
  </si>
  <si>
    <t>multi-select of columns</t>
  </si>
  <si>
    <t>Business key group</t>
  </si>
  <si>
    <t>B3/CTRL-04</t>
  </si>
  <si>
    <t>Watermark column</t>
  </si>
  <si>
    <t>`StandardSelect` of orderable columns only</t>
  </si>
  <si>
    <t>Watermark group</t>
  </si>
  <si>
    <t>B3/CTRL-05</t>
  </si>
  <si>
    <t>Save preparation</t>
  </si>
  <si>
    <t>footer, inline-end</t>
  </si>
  <si>
    <t>at least one column included</t>
  </si>
  <si>
    <t>B4/CTRL-01</t>
  </si>
  <si>
    <t>Run due imports</t>
  </si>
  <si>
    <t>batch card header</t>
  </si>
  <si>
    <t>at least one dataset is due</t>
  </si>
  <si>
    <t>B4/CTRL-02</t>
  </si>
  <si>
    <t>Batch row expander</t>
  </si>
  <si>
    <t>batch table</t>
  </si>
  <si>
    <t>B4/CTRL-03</t>
  </si>
  <si>
    <t>Re-run batch</t>
  </si>
  <si>
    <t>expanded row</t>
  </si>
  <si>
    <t>batch is terminal</t>
  </si>
  <si>
    <t>B4/CTRL-04</t>
  </si>
  <si>
    <t>Mapping selector</t>
  </si>
  <si>
    <t>schedule card</t>
  </si>
  <si>
    <t>mappings exist</t>
  </si>
  <si>
    <t>B4/CTRL-05</t>
  </si>
  <si>
    <t>Interval minutes</t>
  </si>
  <si>
    <t>`StandardInput` numeric, default 15</t>
  </si>
  <si>
    <t>mapping selected</t>
  </si>
  <si>
    <t>B4/CTRL-06</t>
  </si>
  <si>
    <t>Save schedule</t>
  </si>
  <si>
    <t>schedule card footer</t>
  </si>
  <si>
    <t>interval valid</t>
  </si>
  <si>
    <t>B5/CTRL-01</t>
  </si>
  <si>
    <t>Family / Status / Time filter</t>
  </si>
  <si>
    <t>filter bar</t>
  </si>
  <si>
    <t>B5/CTRL-02</t>
  </si>
  <si>
    <t>Run now</t>
  </si>
  <si>
    <t>primary small</t>
  </si>
  <si>
    <t>row, inline-end</t>
  </si>
  <si>
    <t>job runnable and not running</t>
  </si>
  <si>
    <t>B5/CTRL-03</t>
  </si>
  <si>
    <t>Pause / Resume</t>
  </si>
  <si>
    <t>secondary small</t>
  </si>
  <si>
    <t>per state</t>
  </si>
  <si>
    <t>B5/CTRL-04</t>
  </si>
  <si>
    <t>Cancel</t>
  </si>
  <si>
    <t>destructive small</t>
  </si>
  <si>
    <t>job running</t>
  </si>
  <si>
    <t>B5/CTRL-05</t>
  </si>
  <si>
    <t>Status pill</t>
  </si>
  <si>
    <t>`StatusPill`</t>
  </si>
  <si>
    <t>Status column</t>
  </si>
  <si>
    <t>B6/CTRL-PROSE</t>
  </si>
  <si>
    <t>Filter by state; export the matrix. No mutating control exists on this page by design.</t>
  </si>
  <si>
    <t>Source prose</t>
  </si>
  <si>
    <t>See source</t>
  </si>
  <si>
    <t>PENDING DECOMPOSITION</t>
  </si>
  <si>
    <t>Split prose obligations into controls; do not count zero controls.</t>
  </si>
  <si>
    <t>C1/CTRL-01</t>
  </si>
  <si>
    <t>Mode toggle Block / SQL</t>
  </si>
  <si>
    <t>segmented control</t>
  </si>
  <si>
    <t>block-start, inline-start</t>
  </si>
  <si>
    <t>SQL requires tier and role</t>
  </si>
  <si>
    <t>C1/CTRL-02</t>
  </si>
  <si>
    <t>Zoom in / out / **Zoom fit** / **Arrange**</t>
  </si>
  <si>
    <t>canvas toolbar</t>
  </si>
  <si>
    <t>board has nodes</t>
  </si>
  <si>
    <t>C1/CTRL-03</t>
  </si>
  <si>
    <t>Validity indicator</t>
  </si>
  <si>
    <t>badge</t>
  </si>
  <si>
    <t>beside Run</t>
  </si>
  <si>
    <t>C1/CTRL-04</t>
  </si>
  <si>
    <t>Preview (dry-run)</t>
  </si>
  <si>
    <t>toolbar inline-end</t>
  </si>
  <si>
    <t>graph valid</t>
  </si>
  <si>
    <t>C1/CTRL-05</t>
  </si>
  <si>
    <t>Compiled SQL</t>
  </si>
  <si>
    <t>C1/CTRL-06</t>
  </si>
  <si>
    <t>Publish version</t>
  </si>
  <si>
    <t>graph valid and previewed</t>
  </si>
  <si>
    <t>C1/CTRL-07</t>
  </si>
  <si>
    <t>Export / Import definition</t>
  </si>
  <si>
    <t>toolbar overflow</t>
  </si>
  <si>
    <t>always / always</t>
  </si>
  <si>
    <t>C1/CTRL-08</t>
  </si>
  <si>
    <t>Node status badge</t>
  </si>
  <si>
    <t>badge on node</t>
  </si>
  <si>
    <t>each node</t>
  </si>
  <si>
    <t>C1/CTRL-09</t>
  </si>
  <si>
    <t>Node inspector fields</t>
  </si>
  <si>
    <t>typed controls fed from live schema</t>
  </si>
  <si>
    <t>inline-end when a node is selected</t>
  </si>
  <si>
    <t>node selected</t>
  </si>
  <si>
    <t>C1/CTRL-10</t>
  </si>
  <si>
    <t>Debug log severity filter</t>
  </si>
  <si>
    <t>segmented</t>
  </si>
  <si>
    <t>log header</t>
  </si>
  <si>
    <t>log has entries</t>
  </si>
  <si>
    <t>C2/CTRL-01</t>
  </si>
  <si>
    <t>Time range</t>
  </si>
  <si>
    <t>header</t>
  </si>
  <si>
    <t>C2/CTRL-02</t>
  </si>
  <si>
    <t>Re-validate</t>
  </si>
  <si>
    <t>a definition is selected</t>
  </si>
  <si>
    <t>C2/CTRL-03</t>
  </si>
  <si>
    <t>Open in Studio</t>
  </si>
  <si>
    <t>link per row</t>
  </si>
  <si>
    <t>mapping row</t>
  </si>
  <si>
    <t>C2/CTRL-04</t>
  </si>
  <si>
    <t>Acknowledge drift</t>
  </si>
  <si>
    <t>drift row</t>
  </si>
  <si>
    <t>drift unacknowledged</t>
  </si>
  <si>
    <t>C2/CTRL-05</t>
  </si>
  <si>
    <t>Quarantine group expander</t>
  </si>
  <si>
    <t>disclosure per error code, with count and examples</t>
  </si>
  <si>
    <t>quarantine section</t>
  </si>
  <si>
    <t>quarantined rows exist</t>
  </si>
  <si>
    <t>C2/CTRL-06</t>
  </si>
  <si>
    <t>**Reprocess quarantined**</t>
  </si>
  <si>
    <t>primary, **confirmed**</t>
  </si>
  <si>
    <t>quarantine section header</t>
  </si>
  <si>
    <t>unresolved quarantined rows exist for the selected definition version</t>
  </si>
  <si>
    <t>C2/CTRL-07</t>
  </si>
  <si>
    <t>Dismiss row</t>
  </si>
  <si>
    <t>destructive small, confirmed, **reason required**</t>
  </si>
  <si>
    <t>quarantine example row</t>
  </si>
  <si>
    <t>C2/CTRL-08</t>
  </si>
  <si>
    <t>Export quarantine</t>
  </si>
  <si>
    <t>rows present</t>
  </si>
  <si>
    <t>C3/CTRL-PROSE</t>
  </si>
  <si>
    <t>Class / Source / Severity filters; Run scan (primary); Export (secondary); Open the affected dataset (link).</t>
  </si>
  <si>
    <t>C4/CTRL-PROSE</t>
  </si>
  <si>
    <t>Tree expanders; search; Show unmapped only (toggle); Open in Genealogy (link where a unit is selected).</t>
  </si>
  <si>
    <t>C5/CTRL-01</t>
  </si>
  <si>
    <t>Search unit</t>
  </si>
  <si>
    <t>C5/CTRL-02</t>
  </si>
  <si>
    <t>Direction toggle back / forward / both</t>
  </si>
  <si>
    <t>graph header</t>
  </si>
  <si>
    <t>graph loaded</t>
  </si>
  <si>
    <t>C5/CTRL-03</t>
  </si>
  <si>
    <t>Depth</t>
  </si>
  <si>
    <t>stepper</t>
  </si>
  <si>
    <t>C5/CTRL-04</t>
  </si>
  <si>
    <t>Edge weight badge</t>
  </si>
  <si>
    <t>each edge</t>
  </si>
  <si>
    <t>weight present</t>
  </si>
  <si>
    <t>C5/CTRL-05</t>
  </si>
  <si>
    <t>Drill to source rows</t>
  </si>
  <si>
    <t>link per node</t>
  </si>
  <si>
    <t>node detail</t>
  </si>
  <si>
    <t>provenance present</t>
  </si>
  <si>
    <t>C5/CTRL-06</t>
  </si>
  <si>
    <t>Open in Workspace</t>
  </si>
  <si>
    <t>C6/CTRL-01</t>
  </si>
  <si>
    <t>Entity search</t>
  </si>
  <si>
    <t>C6/CTRL-02</t>
  </si>
  <si>
    <t>State filter: all / validated / unproven / ambiguous / superseded</t>
  </si>
  <si>
    <t>C6/CTRL-03</t>
  </si>
  <si>
    <t>Graph node</t>
  </si>
  <si>
    <t>selectable</t>
  </si>
  <si>
    <t>centre</t>
  </si>
  <si>
    <t>C6/CTRL-04</t>
  </si>
  <si>
    <t>Preferred-path badge</t>
  </si>
  <si>
    <t>on the edge</t>
  </si>
  <si>
    <t>a preferred path exists</t>
  </si>
  <si>
    <t>C6/CTRL-05</t>
  </si>
  <si>
    <t>Ambiguity badge</t>
  </si>
  <si>
    <t>two equally valid paths</t>
  </si>
  <si>
    <t>C6/CTRL-06</t>
  </si>
  <si>
    <t>Member list</t>
  </si>
  <si>
    <t>read-only ordered rows</t>
  </si>
  <si>
    <t>detail panel</t>
  </si>
  <si>
    <t>relationship selected</t>
  </si>
  <si>
    <t>C6/CTRL-07</t>
  </si>
  <si>
    <t>Grain, cardinality, attribution rule</t>
  </si>
  <si>
    <t>read-only fields</t>
  </si>
  <si>
    <t>C6/CTRL-08</t>
  </si>
  <si>
    <t>Validate against data</t>
  </si>
  <si>
    <t>validationState is unproven</t>
  </si>
  <si>
    <t>C6/CTRL-09</t>
  </si>
  <si>
    <t>Set preferred path</t>
  </si>
  <si>
    <t>secondary, confirmed</t>
  </si>
  <si>
    <t>ambiguityState is ambiguous</t>
  </si>
  <si>
    <t>C6/CTRL-10</t>
  </si>
  <si>
    <t>Open source definition</t>
  </si>
  <si>
    <t>C6/CTRL-11</t>
  </si>
  <si>
    <t>Path finder: from / to</t>
  </si>
  <si>
    <t>two selects plus Find</t>
  </si>
  <si>
    <t>two entities chosen</t>
  </si>
  <si>
    <t>C6/CTRL-12</t>
  </si>
  <si>
    <t>Retire relationship</t>
  </si>
  <si>
    <t>destructive, confirmed</t>
  </si>
  <si>
    <t>Administrator, and no active dependent</t>
  </si>
  <si>
    <t>D1/CTRL-01</t>
  </si>
  <si>
    <t>Sheet selector</t>
  </si>
  <si>
    <t>more than one sheet</t>
  </si>
  <si>
    <t>D1/CTRL-02</t>
  </si>
  <si>
    <t>Filter bar field</t>
  </si>
  <si>
    <t>dropdown per field</t>
  </si>
  <si>
    <t>field is filterable</t>
  </si>
  <si>
    <t>D1/CTRL-03</t>
  </si>
  <si>
    <t>Clear all</t>
  </si>
  <si>
    <t>selections bar, inline-end</t>
  </si>
  <si>
    <t>a selection exists</t>
  </si>
  <si>
    <t>D1/CTRL-04</t>
  </si>
  <si>
    <t>Selection chip</t>
  </si>
  <si>
    <t>removable chip</t>
  </si>
  <si>
    <t>selections bar</t>
  </si>
  <si>
    <t>per selection</t>
  </si>
  <si>
    <t>D1/CTRL-05</t>
  </si>
  <si>
    <t>Card hover tools: maximise, collapse, export, clone, remove, edit</t>
  </si>
  <si>
    <t>card header, inline-end</t>
  </si>
  <si>
    <t>per permission</t>
  </si>
  <si>
    <t>D1/CTRL-06</t>
  </si>
  <si>
    <t>Chart-type switcher</t>
  </si>
  <si>
    <t>select on card</t>
  </si>
  <si>
    <t>card header</t>
  </si>
  <si>
    <t>server registry accepts the type for this binding</t>
  </si>
  <si>
    <t>D1/CTRL-07</t>
  </si>
  <si>
    <t>Save layout / Reset layout</t>
  </si>
  <si>
    <t>primary / secondary</t>
  </si>
  <si>
    <t>layout dirty</t>
  </si>
  <si>
    <t>D1/CTRL-08</t>
  </si>
  <si>
    <t>Edit mode toggle</t>
  </si>
  <si>
    <t>edit permission</t>
  </si>
  <si>
    <t>D2/CTRL-01</t>
  </si>
  <si>
    <t>Create page</t>
  </si>
  <si>
    <t>inline-start header</t>
  </si>
  <si>
    <t>quota not exhausted</t>
  </si>
  <si>
    <t>D2/CTRL-02</t>
  </si>
  <si>
    <t>Add widget</t>
  </si>
  <si>
    <t>preview header</t>
  </si>
  <si>
    <t>page selected, quota available</t>
  </si>
  <si>
    <t>D2/CTRL-03</t>
  </si>
  <si>
    <t>Kind picker: chart, table, KPI, calculated label, calendar filter, filter</t>
  </si>
  <si>
    <t>tile picker</t>
  </si>
  <si>
    <t>modal step 1</t>
  </si>
  <si>
    <t>Add widget pressed</t>
  </si>
  <si>
    <t>D2/CTRL-04</t>
  </si>
  <si>
    <t>Widget name</t>
  </si>
  <si>
    <t>modal step 2</t>
  </si>
  <si>
    <t>kind chosen</t>
  </si>
  <si>
    <t>D2/CTRL-05</t>
  </si>
  <si>
    <t>Binding mode: Catalogue / Query</t>
  </si>
  <si>
    <t>shell, block-start</t>
  </si>
  <si>
    <t>always; Query needs Pro and role</t>
  </si>
  <si>
    <t>D2/CTRL-06</t>
  </si>
  <si>
    <t>Chart type / Dimension / Measure</t>
  </si>
  <si>
    <t>shell, catalogue mode</t>
  </si>
  <si>
    <t>catalogue mode</t>
  </si>
  <si>
    <t>D2/CTRL-07</t>
  </si>
  <si>
    <t>Query editor</t>
  </si>
  <si>
    <t>monospace editor, IBM Plex Mono</t>
  </si>
  <si>
    <t>shell, query mode</t>
  </si>
  <si>
    <t>query mode</t>
  </si>
  <si>
    <t>D2/CTRL-08</t>
  </si>
  <si>
    <t>Run test</t>
  </si>
  <si>
    <t>shell footer</t>
  </si>
  <si>
    <t>query non-empty</t>
  </si>
  <si>
    <t>D2/CTRL-09</t>
  </si>
  <si>
    <t>Result columns to axes</t>
  </si>
  <si>
    <t>mapping rows</t>
  </si>
  <si>
    <t>shell, after Run test</t>
  </si>
  <si>
    <t>test returned columns</t>
  </si>
  <si>
    <t>D2/CTRL-10</t>
  </si>
  <si>
    <t>Saved filter</t>
  </si>
  <si>
    <t>filter rows</t>
  </si>
  <si>
    <t>shell</t>
  </si>
  <si>
    <t>D2/CTRL-11</t>
  </si>
  <si>
    <t>Preview</t>
  </si>
  <si>
    <t>binding valid</t>
  </si>
  <si>
    <t>D2/CTRL-12</t>
  </si>
  <si>
    <t>shell footer, inline-end</t>
  </si>
  <si>
    <t>D3/CTRL-01</t>
  </si>
  <si>
    <t>New definition</t>
  </si>
  <si>
    <t>quota available</t>
  </si>
  <si>
    <t>D3/CTRL-02</t>
  </si>
  <si>
    <t>Outcome / Grain / Window blocks</t>
  </si>
  <si>
    <t>selects fed from `definition-options`</t>
  </si>
  <si>
    <t>options loaded</t>
  </si>
  <si>
    <t>D3/CTRL-03</t>
  </si>
  <si>
    <t>Method</t>
  </si>
  <si>
    <t>`StandardSelect` from the method registry</t>
  </si>
  <si>
    <t>outcome and grain chosen</t>
  </si>
  <si>
    <t>D3/CTRL-04</t>
  </si>
  <si>
    <t>Population filters</t>
  </si>
  <si>
    <t>D3/CTRL-05</t>
  </si>
  <si>
    <t>Parity line</t>
  </si>
  <si>
    <t>payload panel</t>
  </si>
  <si>
    <t>payload built</t>
  </si>
  <si>
    <t>D3/CTRL-06</t>
  </si>
  <si>
    <t>Check readiness</t>
  </si>
  <si>
    <t>readiness panel</t>
  </si>
  <si>
    <t>outcome, grain, window chosen</t>
  </si>
  <si>
    <t>D3/CTRL-07</t>
  </si>
  <si>
    <t>Run governed analysis</t>
  </si>
  <si>
    <t>footer inline-end</t>
  </si>
  <si>
    <t>definition valid</t>
  </si>
  <si>
    <t>D3/CTRL-08</t>
  </si>
  <si>
    <t>Save definition</t>
  </si>
  <si>
    <t>footer</t>
  </si>
  <si>
    <t>D4/CTRL-01</t>
  </si>
  <si>
    <t>Outcome / Window / Method / Significance filters</t>
  </si>
  <si>
    <t>D4/CTRL-02</t>
  </si>
  <si>
    <t>Sortable column headers</t>
  </si>
  <si>
    <t>`SortableDataTable`</t>
  </si>
  <si>
    <t>table head</t>
  </si>
  <si>
    <t>D4/CTRL-03</t>
  </si>
  <si>
    <t>Evidence drawer</t>
  </si>
  <si>
    <t>drawer</t>
  </si>
  <si>
    <t>inline-end on row click</t>
  </si>
  <si>
    <t>D4/CTRL-04</t>
  </si>
  <si>
    <t>Drill to population</t>
  </si>
  <si>
    <t>population recorded</t>
  </si>
  <si>
    <t>D4/CTRL-05</t>
  </si>
  <si>
    <t>Export</t>
  </si>
  <si>
    <t>D4/CTRL-06</t>
  </si>
  <si>
    <t>Add to page</t>
  </si>
  <si>
    <t>drawer footer</t>
  </si>
  <si>
    <t>authoring permission</t>
  </si>
  <si>
    <t>D5/CTRL-PROSE</t>
  </si>
  <si>
    <t>Horizon select; risk-class filter; Recalculate (secondary); Open in Genealogy (link); Export.</t>
  </si>
  <si>
    <t>D6/CTRL-PROSE</t>
  </si>
  <si>
    <t>Generate suggestions (primary); Accept / Reject / Defer (per card, Accept primary, Reject Hot Red); Comment (`StandardTextArea`); Open the evidence (link per reference).</t>
  </si>
  <si>
    <t>D7/CTRL-PROSE</t>
  </si>
  <si>
    <t>Period select; Edit cost assumptions (secondary, Administrator only); Drill to rows (link per input); Compare scenario (secondary); Export monthly report (primary).</t>
  </si>
  <si>
    <t>D8/CTRL-01</t>
  </si>
  <si>
    <t>Outcome and grain select</t>
  </si>
  <si>
    <t>registered values exist</t>
  </si>
  <si>
    <t>D8/CTRL-02</t>
  </si>
  <si>
    <t>Readiness cell</t>
  </si>
  <si>
    <t>selectable, measured value against threshold</t>
  </si>
  <si>
    <t>matrix</t>
  </si>
  <si>
    <t>D8/CTRL-03</t>
  </si>
  <si>
    <t>Ensure jobs</t>
  </si>
  <si>
    <t>Data Engineer</t>
  </si>
  <si>
    <t>D8/CTRL-04</t>
  </si>
  <si>
    <t>Train</t>
  </si>
  <si>
    <t>model row</t>
  </si>
  <si>
    <t>a snapshot exists</t>
  </si>
  <si>
    <t>D8/CTRL-05</t>
  </si>
  <si>
    <t>**Activate**</t>
  </si>
  <si>
    <t>primary, confirmed</t>
  </si>
  <si>
    <t>acceptance floor met and schema-compatible</t>
  </si>
  <si>
    <t>D8/CTRL-06</t>
  </si>
  <si>
    <t>Retire model</t>
  </si>
  <si>
    <t>not the only serving version</t>
  </si>
  <si>
    <t>D8/CTRL-07</t>
  </si>
  <si>
    <t>**Serving-role column**</t>
  </si>
  <si>
    <t>badge: **Active**, **Fallback** or **None**</t>
  </si>
  <si>
    <t>model table</t>
  </si>
  <si>
    <t>D8/CTRL-08</t>
  </si>
  <si>
    <t>**Approve as fallback**</t>
  </si>
  <si>
    <t>secondary, **confirmed, justification required**</t>
  </si>
  <si>
    <t>all six fallback conditions currently pass</t>
  </si>
  <si>
    <t>D8/CTRL-09</t>
  </si>
  <si>
    <t>**Remove fallback approval**</t>
  </si>
  <si>
    <t>`serving_role = 'serving_fallback'`</t>
  </si>
  <si>
    <t>D8/CTRL-10</t>
  </si>
  <si>
    <t>**Fallback readiness panel**</t>
  </si>
  <si>
    <t>per condition: approved, lifecycle status, schema compatibility, drift and validity, outcome and grain match, acceptance floor - each pass or fail with its measured basis</t>
  </si>
  <si>
    <t>inline-end when a model is selected</t>
  </si>
  <si>
    <t>D8/CTRL-11</t>
  </si>
  <si>
    <t>**Current fallback summary**</t>
  </si>
  <si>
    <t>the approved fallback version per outcome and grain, its justification, who approved it and when, its validity window</t>
  </si>
  <si>
    <t>header block</t>
  </si>
  <si>
    <t>a fallback is approved</t>
  </si>
  <si>
    <t>D8/CTRL-12</t>
  </si>
  <si>
    <t>**Latency and deadline health**</t>
  </si>
  <si>
    <t>miss rate, median and p95 delivery latency, current scoring mode, per outcome and route</t>
  </si>
  <si>
    <t>predictions exist</t>
  </si>
  <si>
    <t>D8/CTRL-13</t>
  </si>
  <si>
    <t>Label preview refresh</t>
  </si>
  <si>
    <t>inline-end</t>
  </si>
  <si>
    <t>outcome selected</t>
  </si>
  <si>
    <t>D9/CTRL-01</t>
  </si>
  <si>
    <t>Horizon</t>
  </si>
  <si>
    <t>D9/CTRL-02</t>
  </si>
  <si>
    <t>Outcome / risk class / stage filters</t>
  </si>
  <si>
    <t>D9/CTRL-03</t>
  </si>
  <si>
    <t>**Scoring-mode badge**</t>
  </si>
  <si>
    <t>badge with text: Event, Micro-batch or Scheduled</t>
  </si>
  <si>
    <t>D9/CTRL-04</t>
  </si>
  <si>
    <t>**Degraded-mode notice**</t>
  </si>
  <si>
    <t>persistent banner naming the fallback version and reason</t>
  </si>
  <si>
    <t>block-start</t>
  </si>
  <si>
    <t>`fallbackInUse`</t>
  </si>
  <si>
    <t>D9/CTRL-05</t>
  </si>
  <si>
    <t>Queue row</t>
  </si>
  <si>
    <t>selectable row</t>
  </si>
  <si>
    <t>table</t>
  </si>
  <si>
    <t>D9/CTRL-06</t>
  </si>
  <si>
    <t>**Time-remaining column**</t>
  </si>
  <si>
    <t>countdown to `actionableDeadlineUtc`</t>
  </si>
  <si>
    <t>D9/CTRL-07</t>
  </si>
  <si>
    <t>**Past-actionable-stage chip**</t>
  </si>
  <si>
    <t>chip reading "past actionable stage - historical evidence"</t>
  </si>
  <si>
    <t>table row and drawer</t>
  </si>
  <si>
    <t>`isPastActionableStage`</t>
  </si>
  <si>
    <t>D9/CTRL-08</t>
  </si>
  <si>
    <t>Driver bar</t>
  </si>
  <si>
    <t>horizontal bar per driver, with current value against normal range</t>
  </si>
  <si>
    <t>unit selected</t>
  </si>
  <si>
    <t>D9/CTRL-09</t>
  </si>
  <si>
    <t>**Actionable remediation card**</t>
  </si>
  <si>
    <t>card: practice, proposed stage, support, expected-effect interval, limitations, uplift basis</t>
  </si>
  <si>
    <t>drawer, Decision group</t>
  </si>
  <si>
    <t>**`canAccept` is true**</t>
  </si>
  <si>
    <t>D9/CTRL-10</t>
  </si>
  <si>
    <t>**Evidence-only entry**</t>
  </si>
  <si>
    <t>list row reading "observed historical difference - not actionable here", with the failed check named</t>
  </si>
  <si>
    <t>drawer, Investigation group</t>
  </si>
  <si>
    <t>`eligibilityState = evidence_only`</t>
  </si>
  <si>
    <t>D9/CTRL-11</t>
  </si>
  <si>
    <t>**Exploratory entry**</t>
  </si>
  <si>
    <t>list row behind an explicit disclosure, with the uncertainty and the failed check stated, **no accept affordance**</t>
  </si>
  <si>
    <t>`eligibilityState = exploratory`</t>
  </si>
  <si>
    <t>D9/CTRL-12</t>
  </si>
  <si>
    <t>**Show gate evaluation**</t>
  </si>
  <si>
    <t>secondary, opens the nine-check result</t>
  </si>
  <si>
    <t>any candidate selected</t>
  </si>
  <si>
    <t>D9/CTRL-13</t>
  </si>
  <si>
    <t>**Acknowledge**</t>
  </si>
  <si>
    <t>open and unacknowledged, engineer or operator</t>
  </si>
  <si>
    <t>D9/CTRL-14</t>
  </si>
  <si>
    <t>**Assign**</t>
  </si>
  <si>
    <t>secondary, opens assignee and due-stage picker</t>
  </si>
  <si>
    <t>acknowledged, engineer role</t>
  </si>
  <si>
    <t>D9/CTRL-15</t>
  </si>
  <si>
    <t>**Accept**</t>
  </si>
  <si>
    <t>drawer footer, Decision group</t>
  </si>
  <si>
    <t>**`canAccept` is true. Nothing else is tested**</t>
  </si>
  <si>
    <t>D9/CTRL-16</t>
  </si>
  <si>
    <t>**Reject**</t>
  </si>
  <si>
    <t>destructive, confirmed, **reason required**</t>
  </si>
  <si>
    <t>D9/CTRL-17</t>
  </si>
  <si>
    <t>**Defer**</t>
  </si>
  <si>
    <t>secondary, with a return-stage picker</t>
  </si>
  <si>
    <t>D9/CTRL-18</t>
  </si>
  <si>
    <t>**Inspect**</t>
  </si>
  <si>
    <t>secondary, opens the candidate detail</t>
  </si>
  <si>
    <t>any non-actionable candidate</t>
  </si>
  <si>
    <t>D9/CTRL-19</t>
  </si>
  <si>
    <t>**Compare**</t>
  </si>
  <si>
    <t>secondary, opens the comparable cohort</t>
  </si>
  <si>
    <t>D9/CTRL-20</t>
  </si>
  <si>
    <t>**Escalate for investigation**</t>
  </si>
  <si>
    <t>secondary, reason required</t>
  </si>
  <si>
    <t>`evidence_only` or `exploratory`</t>
  </si>
  <si>
    <t>D9/CTRL-21</t>
  </si>
  <si>
    <t>**Record action**</t>
  </si>
  <si>
    <t>primary, opens planned versus actual action, timestamp and process stage</t>
  </si>
  <si>
    <t>decision is accept</t>
  </si>
  <si>
    <t>D9/CTRL-22</t>
  </si>
  <si>
    <t>**View evaluation**</t>
  </si>
  <si>
    <t>link to the prediction evaluation and remediation effectiveness</t>
  </si>
  <si>
    <t>evaluation exists or is pending</t>
  </si>
  <si>
    <t>D9/CTRL-23</t>
  </si>
  <si>
    <t>Open in Genealogy</t>
  </si>
  <si>
    <t>D9/CTRL-24</t>
  </si>
  <si>
    <t>Open the model in D8</t>
  </si>
  <si>
    <t>D10/CTRL-01</t>
  </si>
  <si>
    <t>Outcome select</t>
  </si>
  <si>
    <t>registered outcomes exist</t>
  </si>
  <si>
    <t>D10/CTRL-02</t>
  </si>
  <si>
    <t>Context select</t>
  </si>
  <si>
    <t>`StandardSelect` from registry</t>
  </si>
  <si>
    <t>contexts exist</t>
  </si>
  <si>
    <t>D10/CTRL-03</t>
  </si>
  <si>
    <t>**Match-type filter: All, Exact only, Relaxed only**</t>
  </si>
  <si>
    <t>D10/CTRL-04</t>
  </si>
  <si>
    <t>**Sensitivity filter: All, Stable only, Exclude fragile**</t>
  </si>
  <si>
    <t>D10/CTRL-05</t>
  </si>
  <si>
    <t>**Match-type badge**</t>
  </si>
  <si>
    <t>badge reading **Exact** or **Relaxed (L`&lt;n&gt;`)**</t>
  </si>
  <si>
    <t>every benchmark card and row</t>
  </si>
  <si>
    <t>D10/CTRL-06</t>
  </si>
  <si>
    <t>**Sensitivity badge**</t>
  </si>
  <si>
    <t>badge reading **Stable**, **Fragile** or **Unstable**</t>
  </si>
  <si>
    <t>D10/CTRL-07</t>
  </si>
  <si>
    <t>**Support pair**</t>
  </si>
  <si>
    <t>text `exact &lt;n&gt; / relaxed &lt;m&gt;`</t>
  </si>
  <si>
    <t>benchmark card</t>
  </si>
  <si>
    <t>D10/CTRL-08</t>
  </si>
  <si>
    <t>**Relaxed-dimensions disclosure**</t>
  </si>
  <si>
    <t>expander listing each relaxed dimension, its original and widened tolerance and the rule applied</t>
  </si>
  <si>
    <t>`similarityLevel &gt; 0`</t>
  </si>
  <si>
    <t>D10/CTRL-09</t>
  </si>
  <si>
    <t>**Sensitivity detail**</t>
  </si>
  <si>
    <t>expander showing the band tested and what changed at each end</t>
  </si>
  <si>
    <t>D10/CTRL-10</t>
  </si>
  <si>
    <t>Practice row expander</t>
  </si>
  <si>
    <t>disclosure showing the parameter combination and sequence</t>
  </si>
  <si>
    <t>comparison table</t>
  </si>
  <si>
    <t>D10/CTRL-11</t>
  </si>
  <si>
    <t>Evidence link</t>
  </si>
  <si>
    <t>link to the periods behind the statistic</t>
  </si>
  <si>
    <t>benchmark card and row</t>
  </si>
  <si>
    <t>D10/CTRL-12</t>
  </si>
  <si>
    <t>Drift period select</t>
  </si>
  <si>
    <t>date-range</t>
  </si>
  <si>
    <t>drift panel</t>
  </si>
  <si>
    <t>D10/CTRL-13</t>
  </si>
  <si>
    <t>D11/CTRL-01</t>
  </si>
  <si>
    <t>New scenario</t>
  </si>
  <si>
    <t>D11/CTRL-02</t>
  </si>
  <si>
    <t>Baseline selector</t>
  </si>
  <si>
    <t>`StandardSelect` (period, context or a saved state)</t>
  </si>
  <si>
    <t>variable panel</t>
  </si>
  <si>
    <t>D11/CTRL-03</t>
  </si>
  <si>
    <t>Variable row: include toggle, value or range</t>
  </si>
  <si>
    <t>toggle plus numeric or slider</t>
  </si>
  <si>
    <t>variable registered and model-supported</t>
  </si>
  <si>
    <t>D11/CTRL-04</t>
  </si>
  <si>
    <t>Fixed assumptions</t>
  </si>
  <si>
    <t>read-only list</t>
  </si>
  <si>
    <t>D11/CTRL-05</t>
  </si>
  <si>
    <t>Model version</t>
  </si>
  <si>
    <t>an active model exists</t>
  </si>
  <si>
    <t>D11/CTRL-06</t>
  </si>
  <si>
    <t>Run simulation</t>
  </si>
  <si>
    <t>at least one variable included and all values in range</t>
  </si>
  <si>
    <t>D11/CTRL-07</t>
  </si>
  <si>
    <t>a result exists</t>
  </si>
  <si>
    <t>D11/CTRL-08</t>
  </si>
  <si>
    <t>Compare</t>
  </si>
  <si>
    <t>comparison strip</t>
  </si>
  <si>
    <t>two or more saved scenarios</t>
  </si>
  <si>
    <t>D11/CTRL-09</t>
  </si>
  <si>
    <t>D12/CTRL-01</t>
  </si>
  <si>
    <t>Compare by</t>
  </si>
  <si>
    <t>`StandardSelect` from registry: line, equipment, route, product family, shift or crew where registered, period</t>
  </si>
  <si>
    <t>registered dimensions exist</t>
  </si>
  <si>
    <t>D12/CTRL-02</t>
  </si>
  <si>
    <t>Measure</t>
  </si>
  <si>
    <t>D12/CTRL-03</t>
  </si>
  <si>
    <t>Period and comparison period</t>
  </si>
  <si>
    <t>date-range pair</t>
  </si>
  <si>
    <t>D12/CTRL-04</t>
  </si>
  <si>
    <t>Matrix cell</t>
  </si>
  <si>
    <t>D12/CTRL-05</t>
  </si>
  <si>
    <t>Normalise by</t>
  </si>
  <si>
    <t>`StandardSelect` (per tonne, per hour, per unit)</t>
  </si>
  <si>
    <t>measure supports it</t>
  </si>
  <si>
    <t>D12/CTRL-06</t>
  </si>
  <si>
    <t>Significance badge</t>
  </si>
  <si>
    <t>badge with text</t>
  </si>
  <si>
    <t>significance panel</t>
  </si>
  <si>
    <t>both populations above minimum</t>
  </si>
  <si>
    <t>D12/CTRL-07</t>
  </si>
  <si>
    <t>Compare to own best practice</t>
  </si>
  <si>
    <t>practice benchmarks exist for the context</t>
  </si>
  <si>
    <t>D12/CTRL-08</t>
  </si>
  <si>
    <t>E2/CTRL-PROSE</t>
  </si>
  <si>
    <t>Grounding policy select (`strict-citations-required`); Evidence policy select (`citations-and-provenance-required`); Max citations stepper; Tools matrix (tool against role and tier); Knowledge sources checklist; Glossary term and synonym rows; Guardrail phrase rows; Serving mode select (self-hosted, private endpoint, customer model) with the no-egress indicator; Save (primary); Reset (secondary, confirmed); Reindex (secondary).</t>
  </si>
  <si>
    <t>E3/CTRL-01</t>
  </si>
  <si>
    <t>Run evaluation</t>
  </si>
  <si>
    <t>not already running</t>
  </si>
  <si>
    <t>E3/CTRL-02</t>
  </si>
  <si>
    <t>Rule name</t>
  </si>
  <si>
    <t>`StandardInput`, placeholder "&lt;rule name&gt;"</t>
  </si>
  <si>
    <t>rule form</t>
  </si>
  <si>
    <t>E3/CTRL-03</t>
  </si>
  <si>
    <t>Parameter code</t>
  </si>
  <si>
    <t>`StandardInput`, placeholder "&lt;parameter_code&gt;"</t>
  </si>
  <si>
    <t>E3/CTRL-04</t>
  </si>
  <si>
    <t>Comparator</t>
  </si>
  <si>
    <t>`StandardSelect`, exactly `&gt;` `&gt;=` `&lt;` `&lt;=` `=`</t>
  </si>
  <si>
    <t>E3/CTRL-05</t>
  </si>
  <si>
    <t>`StandardInput` numeric, placeholder "&lt;limit value&gt;"</t>
  </si>
  <si>
    <t>E3/CTRL-06</t>
  </si>
  <si>
    <t>Severity</t>
  </si>
  <si>
    <t>`StandardSelect` Info / Warning / Critical</t>
  </si>
  <si>
    <t>E3/CTRL-07</t>
  </si>
  <si>
    <t>Add rule</t>
  </si>
  <si>
    <t>rule form footer</t>
  </si>
  <si>
    <t>validation passes</t>
  </si>
  <si>
    <t>E3/CTRL-08</t>
  </si>
  <si>
    <t>Deactivate rule</t>
  </si>
  <si>
    <t>rules row</t>
  </si>
  <si>
    <t>rule active</t>
  </si>
  <si>
    <t>E3/CTRL-09</t>
  </si>
  <si>
    <t>Acknowledge</t>
  </si>
  <si>
    <t>log row</t>
  </si>
  <si>
    <t>entry unacknowledged</t>
  </si>
  <si>
    <t>E4/CTRL-PROSE</t>
  </si>
  <si>
    <t>Run review now (primary, disabled with a spinner while busy); per proposal: Dry-run (secondary), Approve (primary, confirmed), Reject (Hot Red); Open provenance (link).</t>
  </si>
  <si>
    <t>E5/CTRL-PROSE</t>
  </si>
  <si>
    <t>New definition (primary); Sections picker; Period select; Recipients rows; Schedule (cron-like select, plain language); Generate now (primary); Download (link per output); Delivery target rows (email, webhook).</t>
  </si>
  <si>
    <t>E6/CTRL-01</t>
  </si>
  <si>
    <t>New routing rule</t>
  </si>
  <si>
    <t>Administrator</t>
  </si>
  <si>
    <t>E6/CTRL-02</t>
  </si>
  <si>
    <t>Source channel and severity</t>
  </si>
  <si>
    <t>two selects</t>
  </si>
  <si>
    <t>editor</t>
  </si>
  <si>
    <t>E6/CTRL-03</t>
  </si>
  <si>
    <t>Recipients: roles and users</t>
  </si>
  <si>
    <t>multi-select</t>
  </si>
  <si>
    <t>E6/CTRL-04</t>
  </si>
  <si>
    <t>Delivery channel: in-app, email, webhook</t>
  </si>
  <si>
    <t>multi-select with per-channel target field</t>
  </si>
  <si>
    <t>channel enabled in settings</t>
  </si>
  <si>
    <t>E6/CTRL-05</t>
  </si>
  <si>
    <t>Escalate after</t>
  </si>
  <si>
    <t>duration stepper plus escalation recipients</t>
  </si>
  <si>
    <t>acknowledgement is required</t>
  </si>
  <si>
    <t>E6/CTRL-06</t>
  </si>
  <si>
    <t>Working hours and quiet periods</t>
  </si>
  <si>
    <t>time ranges plus days</t>
  </si>
  <si>
    <t>E6/CTRL-07</t>
  </si>
  <si>
    <t>Deduplication window</t>
  </si>
  <si>
    <t>duration</t>
  </si>
  <si>
    <t>E6/CTRL-08</t>
  </si>
  <si>
    <t>Grouping key</t>
  </si>
  <si>
    <t>E6/CTRL-09</t>
  </si>
  <si>
    <t>Rate limit</t>
  </si>
  <si>
    <t>count per period</t>
  </si>
  <si>
    <t>E6/CTRL-10</t>
  </si>
  <si>
    <t>Suppression rule</t>
  </si>
  <si>
    <t>condition rows</t>
  </si>
  <si>
    <t>suppression panel</t>
  </si>
  <si>
    <t>E6/CTRL-11</t>
  </si>
  <si>
    <t>Test delivery</t>
  </si>
  <si>
    <t>editor footer</t>
  </si>
  <si>
    <t>recipients and channel set</t>
  </si>
  <si>
    <t>E6/CTRL-12</t>
  </si>
  <si>
    <t>Save rule</t>
  </si>
  <si>
    <t>E6/CTRL-13</t>
  </si>
  <si>
    <t>Retry delivery</t>
  </si>
  <si>
    <t>delivery row</t>
  </si>
  <si>
    <t>delivery failed and retries remain</t>
  </si>
  <si>
    <t>E6/CTRL-14</t>
  </si>
  <si>
    <t>Dead-letter list</t>
  </si>
  <si>
    <t>delivery panel</t>
  </si>
  <si>
    <t>dead letters exist</t>
  </si>
  <si>
    <t>F1/CTRL-PROSE</t>
  </si>
  <si>
    <t>New user (primary); Role select; permission cells (inherited rendered Muted Steel, overridden rendered Electric Cyan); Reset overrides (secondary); Deactivate (Hot Red, confirmed); Force password reset (secondary); Require second factor (toggle).</t>
  </si>
  <si>
    <t>F2/CTRL-PROSE</t>
  </si>
  <si>
    <t>Paste token (`StandardTextArea`); Apply (primary); Verify (secondary); capability list (read-only, next-tier additions shown Muted Steel); five meter bars each linking to the administration page that would relieve it.</t>
  </si>
  <si>
    <t>F3/CTRL-PROSE</t>
  </si>
  <si>
    <t>Cell limit editor; Add override (secondary); Remove override; Save (primary); Reset role default (secondary, confirmed).</t>
  </si>
  <si>
    <t>F4/CTRL-01</t>
  </si>
  <si>
    <t>**Administrator only**</t>
  </si>
  <si>
    <t>F4/CTRL-02</t>
  </si>
  <si>
    <t>View toggle Table / Graph</t>
  </si>
  <si>
    <t>F4/CTRL-03</t>
  </si>
  <si>
    <t>**Target definition**</t>
  </si>
  <si>
    <t>`StandardSelect` of published definitions **filtered to the surface the job class requires**</t>
  </si>
  <si>
    <t>Schedule tab</t>
  </si>
  <si>
    <t>job class requires a target</t>
  </si>
  <si>
    <t>F4/CTRL-04</t>
  </si>
  <si>
    <t>**Version policy**</t>
  </si>
  <si>
    <t>segmented: **Current published** or **Pinned**</t>
  </si>
  <si>
    <t>a target is chosen</t>
  </si>
  <si>
    <t>F4/CTRL-05</t>
  </si>
  <si>
    <t>**Pinned version**</t>
  </si>
  <si>
    <t>`StandardSelect` of published version numbers</t>
  </si>
  <si>
    <t>policy is Pinned</t>
  </si>
  <si>
    <t>F4/CTRL-06</t>
  </si>
  <si>
    <t>**Open the target definition**</t>
  </si>
  <si>
    <t>F4/CTRL-07</t>
  </si>
  <si>
    <t>schedule control in plain language</t>
  </si>
  <si>
    <t>definition selected</t>
  </si>
  <si>
    <t>F4/CTRL-08</t>
  </si>
  <si>
    <t>Pool select (import, projection, analysis, ml, report, retention)</t>
  </si>
  <si>
    <t>`StandardSelect`, **separate confirmed action**</t>
  </si>
  <si>
    <t>F4/CTRL-09</t>
  </si>
  <si>
    <t>Compute weight stepper</t>
  </si>
  <si>
    <t>stepper, **confirmed**</t>
  </si>
  <si>
    <t>F4/CTRL-10</t>
  </si>
  <si>
    <t>**Add dependency**</t>
  </si>
  <si>
    <t>Dependencies tab</t>
  </si>
  <si>
    <t>F4/CTRL-11</t>
  </si>
  <si>
    <t>**Depends-on job**</t>
  </si>
  <si>
    <t>`StandardSelect` of job definitions</t>
  </si>
  <si>
    <t>dependency row</t>
  </si>
  <si>
    <t>adding or editing</t>
  </si>
  <si>
    <t>F4/CTRL-12</t>
  </si>
  <si>
    <t>**Dependency kind**</t>
  </si>
  <si>
    <t>`StandardSelect`: data, schedule, resource</t>
  </si>
  <si>
    <t>F4/CTRL-13</t>
  </si>
  <si>
    <t>**Required / Optional**</t>
  </si>
  <si>
    <t>toggle; required is the default</t>
  </si>
  <si>
    <t>F4/CTRL-14</t>
  </si>
  <si>
    <t>**Version pin**</t>
  </si>
  <si>
    <t>`StandardSelect`: current published, or a specific version number</t>
  </si>
  <si>
    <t>dependency kind is data</t>
  </si>
  <si>
    <t>F4/CTRL-15</t>
  </si>
  <si>
    <t>**Staleness tolerance**</t>
  </si>
  <si>
    <t>duration stepper in minutes</t>
  </si>
  <si>
    <t>F4/CTRL-16</t>
  </si>
  <si>
    <t>Remove dependency</t>
  </si>
  <si>
    <t>destructive small, confirmed</t>
  </si>
  <si>
    <t>dependency exists</t>
  </si>
  <si>
    <t>F4/CTRL-17</t>
  </si>
  <si>
    <t>**Validate graph**</t>
  </si>
  <si>
    <t>Dependencies tab footer</t>
  </si>
  <si>
    <t>a dependency changed</t>
  </si>
  <si>
    <t>F4/CTRL-18</t>
  </si>
  <si>
    <t>**Impact preview**</t>
  </si>
  <si>
    <t>F4/CTRL-19</t>
  </si>
  <si>
    <t>Enable / Disable</t>
  </si>
  <si>
    <t>row or editor</t>
  </si>
  <si>
    <t>F4/CTRL-20</t>
  </si>
  <si>
    <t>Delete</t>
  </si>
  <si>
    <t>row</t>
  </si>
  <si>
    <t>no dependent definition</t>
  </si>
  <si>
    <t>F4/CTRL-21</t>
  </si>
  <si>
    <t>DAG node</t>
  </si>
  <si>
    <t>selectable, coloured by last outcome</t>
  </si>
  <si>
    <t>Graph view</t>
  </si>
  <si>
    <t>F4/CTRL-22</t>
  </si>
  <si>
    <t>DAG edge</t>
  </si>
  <si>
    <t>solid required, dashed optional</t>
  </si>
  <si>
    <t>F4/CTRL-23</t>
  </si>
  <si>
    <t>Highlight critical path</t>
  </si>
  <si>
    <t>toggle</t>
  </si>
  <si>
    <t>Graph view header</t>
  </si>
  <si>
    <t>F5/CTRL-01</t>
  </si>
  <si>
    <t>Family tabs</t>
  </si>
  <si>
    <t>`StandardTabs`</t>
  </si>
  <si>
    <t>per readable family</t>
  </si>
  <si>
    <t>F5/CTRL-02</t>
  </si>
  <si>
    <t>**Live tail**</t>
  </si>
  <si>
    <t>toggle with pause</t>
  </si>
  <si>
    <t>a family tab is active</t>
  </si>
  <si>
    <t>F5/CTRL-03</t>
  </si>
  <si>
    <t>Time range / Severity / Actor / Job family / Channel</t>
  </si>
  <si>
    <t>filters</t>
  </si>
  <si>
    <t>F5/CTRL-04</t>
  </si>
  <si>
    <t>Free-text search</t>
  </si>
  <si>
    <t>F5/CTRL-05</t>
  </si>
  <si>
    <t>**Correlate by run**</t>
  </si>
  <si>
    <t>link on any row carrying a run identifier</t>
  </si>
  <si>
    <t>entry row</t>
  </si>
  <si>
    <t>`run_id` present</t>
  </si>
  <si>
    <t>F5/CTRL-06</t>
  </si>
  <si>
    <t>Correlation panel</t>
  </si>
  <si>
    <t>cross-family entry list for that run, time-ordered</t>
  </si>
  <si>
    <t>a run selected</t>
  </si>
  <si>
    <t>F5/CTRL-07</t>
  </si>
  <si>
    <t>Open the run in B5</t>
  </si>
  <si>
    <t>correlation panel</t>
  </si>
  <si>
    <t>run exists</t>
  </si>
  <si>
    <t>F5/CTRL-08</t>
  </si>
  <si>
    <t>Pin filter</t>
  </si>
  <si>
    <t>a filter is set</t>
  </si>
  <si>
    <t>F5/CTRL-09</t>
  </si>
  <si>
    <t>F5/CTRL-10</t>
  </si>
  <si>
    <t>Row expander</t>
  </si>
  <si>
    <t>F5/CTRL-11</t>
  </si>
  <si>
    <t>**Retention policy (read-only)**</t>
  </si>
  <si>
    <t>text plus link to F9</t>
  </si>
  <si>
    <t>F6/CTRL-PROSE</t>
  </si>
  <si>
    <t>New channel (primary); Name; Family (fixed for built-ins); Severity mapping rows; Routing and export target select (none, file, syslog, webhook) with its address field; Reading roles multi-select; Save (primary); Disable (secondary).
**Retention is not editable here.** F6 owns channel identity, severity mapping, routing and reading roles. **F9 exclusively owns retention, archival, cleanup, dry-run impact and legal hold**, because those are the only destructive controls and one destructive policy must have one surface. F6 renders the current retention as read-only text with **Manage retention in F9** as a link.</t>
  </si>
  <si>
    <t>F7/CTRL-PROSE</t>
  </si>
  <si>
    <t>Site name and code; units selects; **plant time zone select - confirmed**; date and number format selects with a live example; retention per stage; per-tenant no-egress toggle; Save (primary).</t>
  </si>
  <si>
    <t>F8/CTRL-PROSE</t>
  </si>
  <si>
    <t>Language add; per-cell text editor; Mark reviewed (secondary); Mark verified in mirror (secondary); Export pack (secondary); Import pack (secondary, confirmed); Fallback language select.</t>
  </si>
  <si>
    <t>F9/CTRL-01</t>
  </si>
  <si>
    <t>Retention preset: 1, 2, 3, 6, 12 months, Custom</t>
  </si>
  <si>
    <t>F9/CTRL-02</t>
  </si>
  <si>
    <t>Custom days</t>
  </si>
  <si>
    <t>`StandardInput` numeric</t>
  </si>
  <si>
    <t>preset is Custom</t>
  </si>
  <si>
    <t>F9/CTRL-03</t>
  </si>
  <si>
    <t>Archive before deletion</t>
  </si>
  <si>
    <t>F9/CTRL-04</t>
  </si>
  <si>
    <t>Archive destination</t>
  </si>
  <si>
    <t>`StandardSelect` plus target field</t>
  </si>
  <si>
    <t>archive on</t>
  </si>
  <si>
    <t>F9/CTRL-05</t>
  </si>
  <si>
    <t>Cleanup schedule</t>
  </si>
  <si>
    <t>schedule editor in plain language</t>
  </si>
  <si>
    <t>F9/CTRL-06</t>
  </si>
  <si>
    <t>Maximum rows per cleanup batch</t>
  </si>
  <si>
    <t>F9/CTRL-07</t>
  </si>
  <si>
    <t>**Dry-run preview**</t>
  </si>
  <si>
    <t>policy changed</t>
  </si>
  <si>
    <t>F9/CTRL-08</t>
  </si>
  <si>
    <t>Save policy</t>
  </si>
  <si>
    <t>preview run and validation passed</t>
  </si>
  <si>
    <t>F9/CTRL-09</t>
  </si>
  <si>
    <t>Run cleanup now</t>
  </si>
  <si>
    <t>destructive, **confirmed**</t>
  </si>
  <si>
    <t>no legal hold</t>
  </si>
  <si>
    <t>F9/CTRL-10</t>
  </si>
  <si>
    <t>View cleanup history</t>
  </si>
  <si>
    <t>F9/CTRL-11</t>
  </si>
  <si>
    <t>Place legal hold</t>
  </si>
  <si>
    <t>no hold</t>
  </si>
  <si>
    <t>F9/CTRL-12</t>
  </si>
  <si>
    <t>Remove legal hold</t>
  </si>
  <si>
    <t>hold exists</t>
  </si>
  <si>
    <t>G1/CTRL-PROSE</t>
  </si>
  <si>
    <t>Composer (`StandardTextArea`, auto-growing, Enter sends, Shift-Enter newline); Send (Electric Blue); citation chips (Electric Cyan) beneath each answer; evidence strip sliding from block-end with **Open in page**; expand-width, full-screen, new conversation, copy answer, close; three registry-derived suggested questions on an empty conversation.</t>
  </si>
  <si>
    <t>G2/CTRL-PROSE</t>
  </si>
  <si>
    <t>Navigation group expanders; navigation items (hidden, not disabled, where the role lacks permission); tier badge (Muted Steel Light, Amber Pro, Electric Blue Pro Plus, Cyan Green Enterprise) linking to F2; user menu with profile, units, time zone, language, sign out; breadcrumb segments as links.</t>
  </si>
  <si>
    <t>G3/CTRL-PROSE</t>
  </si>
  <si>
    <t>Search input; result groups (Pages, Fields, Measures, Definitions, Findings, Predictions, Log entries, Commands); arrow navigation; Enter to open; Escape to close.</t>
  </si>
  <si>
    <t>G4/CTRL-PROSE</t>
  </si>
  <si>
    <t>Toast with message, optional action, dismiss; auto-dismiss for success; persistent for warning until dismissed.</t>
  </si>
  <si>
    <t>G5/CTRL-PROSE</t>
  </si>
  <si>
    <t>Title; the sentence stating **what was refused, why, and what would satisfy it**; the stable error code; the offending fragment echoed where one exists; a Retry where retrying can succeed; a link to the surface that would resolve it; and a copy-diagnostics action carrying the code and the trace identifier.</t>
  </si>
  <si>
    <t>G6/CTRL-PROSE</t>
  </si>
  <si>
    <t>Run rows with name, stage, rows processed, progress or indeterminate spinner, elapsed time; Cancel where permitted; Open in Jobs Monitor; dismiss a completed row.</t>
  </si>
  <si>
    <t>Before</t>
  </si>
  <si>
    <t>After</t>
  </si>
  <si>
    <t>NEW TASK</t>
  </si>
  <si>
    <t>Adopt Fable's proposed ID with bounded release scope, semantic/interaction acceptance and preserved runtime ownership.</t>
  </si>
  <si>
    <t>Release-1 OPC-UA UI workflows and capability-truth design</t>
  </si>
  <si>
    <t>T-092; T-207; T-212; T-213; T-241; T-242; T-243; T-244; T-245; T-253; T-254; T-256; T-258; T-104; T-108; T-211; T-235; T-262; T-125; T-265; T-266</t>
  </si>
  <si>
    <t>Require accepted UI delivery at integration acceptance</t>
  </si>
  <si>
    <t>Explicit UI handoff, not runtime completion</t>
  </si>
  <si>
    <t>Close visual-to-runtime acceptance seam, preserving the existing producer prerequisites.</t>
  </si>
  <si>
    <t>Keep M2 baseline separate from M3 parity.</t>
  </si>
  <si>
    <t>Replace mechanical geometry/text-only notions of UI completeness.</t>
  </si>
  <si>
    <t>PPIQ_UI_Figma_Design_Spec_v4.10.3.md</t>
  </si>
  <si>
    <t>PPIQ_UI_Figma_Design_Spec_v4.10.3.md
v2.23.0 — T-265 owns B4/C2/C3 visual depth. Implement its applicable batch outcome/error/committed cursor and catalogue-driven quarantine list/detail/refusal/reprocess states under the existing T-101 scope; all row actions and counts use canonical tenant-scoped payloads. Do not limit the renderer to eight PV codes.</t>
  </si>
  <si>
    <t>Explicit design-to-implementation handoff within existing functional scope.</t>
  </si>
  <si>
    <t>PPIQ_UI_Figma_Design_Spec_v4.10.3.md
v2.23.0 — T-265 receives the frozen B4/B5 operational payload. Preserve T-101 UI versus T-125 API/metrics ownership already assigned in v2.22.1; prototype figures never replace persisted evidence.</t>
  </si>
  <si>
    <t>PPIQ_UI_Figma_Design_Spec_v4.10.3.md
v2.23.0 — Use T-265 C1/S1 selected-block, inspector, typed-port, validation/publish/reopen and SQL-mode handoffs. Shared C1/S1 shell is valid; prove semantic mode behavior rather than arbitrary visual differences. No change to canonical definition/relationship authorities.</t>
  </si>
  <si>
    <t>PPIQ_UI_Figma_Design_Spec_v4.10.3.md
v2.23.0 — Use T-265 run/schedule/cancellation UI handoffs; cancellation acknowledgement is not a terminal Cancelled result until the executor/runtime records it. Render exact resolved version, failure counts and evidence, not a browser-derived success.</t>
  </si>
  <si>
    <t>PPIQ_UI_Figma_Design_Spec_v4.10.3.md
v2.23.0 — Use T-265 C6 relationship list/detail/member/cardinality/path-validation handoffs. Trace every applicable Chapter 3 control to a reachable UI variant and keep resolver behavior under its existing authority.</t>
  </si>
  <si>
    <t>PPIQ_UI_Figma_Design_Spec_v4.10.3.md
v2.23.0 — T-266 supplies OPC profile/session/trust target and refusal designs, with Worker 1 technical review. This is a contract handoff, not a full-design completion prerequisite for backend implementation.</t>
  </si>
  <si>
    <t>PPIQ_UI_Figma_Design_Spec_v4.10.3.md
v2.23.0 — T-266 supplies browse tree, tag registration, bounded-read/subscription and keyboard/validation designs. Backend development follows frozen contracts in parallel; capability flags still require runtime proof.</t>
  </si>
  <si>
    <t>PPIQ_UI_Figma_Design_Spec_v4.10.3.md
v2.23.0 — T-266 supplies quality/time/spool/reconnect/replay evidence presentation. The source-time and idempotency rules are unchanged; labelled design fixtures are not test-server proof.</t>
  </si>
  <si>
    <t>PPIQ_UI_Figma_Design_Spec_v4.10.3.md
v2.23.0 — T-267 supplies E5 report-definition/generation/history/delivery interaction design. Generation remains a governed job; preserve period/filter/permission context and the existing source-evidence boundary.</t>
  </si>
  <si>
    <t>PPIQ_UI_Figma_Design_Spec_v4.10.3.md
v2.23.0 — T-267 supplies D12 comparison/direction/sample-refusal/normalisation design. BM01/BM02 behavior and result evidence remain implementation acceptance, not illustrated proof.</t>
  </si>
  <si>
    <t>PPIQ_UI_Figma_Design_Spec_v4.10.3.md
v2.23.0 — T-265 covers only the existing M2 user/role safety slice; T-267 covers deferred administration depth. Render permissions/refusals from the current canonical role contract.</t>
  </si>
  <si>
    <t>PPIQ_UI_Figma_Design_Spec_v4.10.3.md
v2.23.0 — Use T-265 for existing M2 licence/quota states and T-267 for full administration depth. Entitlement, role and runtime capability are different inputs; no drawing enables a capability.</t>
  </si>
  <si>
    <t>PPIQ_UI_Figma_Design_Spec_v4.10.3.md
v2.23.0 — T-265 provides the active M2 reference/measure direction and bound-result UI; T-267 expands the deferred authoring depth. Do not introduce a second Performance Reference authority.</t>
  </si>
  <si>
    <t>PPIQ_UI_Figma_Design_Spec_v4.10.3.md
v2.23.0 — T-265 provides the Release-1 reconciliation evidence/result/refusal surfaces. Use the canonical result envelope and citation references, not local display calculations.</t>
  </si>
  <si>
    <t>Derived reciprocal completion dependencies, keyed by Task ID.</t>
  </si>
  <si>
    <t>PLANTPROCESS IQ | UI CONVERGENCE • v2.23.0</t>
  </si>
  <si>
    <t>Functional Design v4.10.3 unchanged. Design tasks close visual handoffs; product behavior still requires runtime acceptance.</t>
  </si>
  <si>
    <t>176 repaired + 3 design tasks</t>
  </si>
  <si>
    <t>T-099 closure preserved</t>
  </si>
  <si>
    <t>No unearned status change</t>
  </si>
  <si>
    <t>Design tasks not completed</t>
  </si>
  <si>
    <t>Unknown estimates</t>
  </si>
  <si>
    <t>Old/proposed estimates excluded</t>
  </si>
  <si>
    <t>Technical review</t>
  </si>
  <si>
    <t>Handoff boundary</t>
  </si>
  <si>
    <t>Producer owners / CENTRAL</t>
  </si>
  <si>
    <t>Day-1 depth + full citation/Word/atlas correction</t>
  </si>
  <si>
    <t>Worker 1: OPC contracts</t>
  </si>
  <si>
    <t>Missing OPC states inside canonical B1–B4/B6</t>
  </si>
  <si>
    <t>All M3 UI remainder + advanced parity</t>
  </si>
  <si>
    <t>Acceptance: semantic coverage + rendered/prototype walkthrough + implementation ownership; not frame counts or literal label matches.</t>
  </si>
  <si>
    <t>START: UI Coverage v223 → UI Controls v223 → Backlog T-265..T-267. All 270 coverage records are pending depth work; this workbook contains no claim of a completed redesign.</t>
  </si>
  <si>
    <t>T-099: ca02b40ea1b69050a45cb35a3e1d64f15b1f66af | Task CLOSED GREEN; inherited DefinitionKind RED remains tracked separately.</t>
  </si>
  <si>
    <t>Record</t>
  </si>
  <si>
    <t>Owner / file</t>
  </si>
  <si>
    <t>Purpose / result</t>
  </si>
  <si>
    <t>Evidence / boundary</t>
  </si>
  <si>
    <t>CONTROL</t>
  </si>
  <si>
    <t>14 files / 12 document families</t>
  </si>
  <si>
    <t>Definition + six chapters + two illustrated editions + two DB design docs + identity + evaluation + latest Backlog</t>
  </si>
  <si>
    <t>No extra subfolder or standalone deliverable in the book.</t>
  </si>
  <si>
    <t>SOURCE</t>
  </si>
  <si>
    <t>PPIQ_Backlog_v2.23.0_14Sep2026.xlsx</t>
  </si>
  <si>
    <t>Actual Library backing file, 464046 bytes</t>
  </si>
  <si>
    <t>SHA256 d1e7998d1f6ef382c69925ff8668f334a7a6da883bd3c74fdc52b194f9c9e7e6</t>
  </si>
  <si>
    <t>DEFINITION</t>
  </si>
  <si>
    <t>PPIQ_Definition.md</t>
  </si>
  <si>
    <t>Book register + routing rules + preserved original owner brief</t>
  </si>
  <si>
    <t>Existing owner definition incorporated verbatim; current chapters govern conflicts.</t>
  </si>
  <si>
    <t>HANDOFFS</t>
  </si>
  <si>
    <t>Contract Handoffs</t>
  </si>
  <si>
    <t>T-265 already has T-262 and T-101 producers in the actual v2.23.0 source.</t>
  </si>
  <si>
    <t>Verified rows 12 and 13; no new dependency or duplicate handoff added.</t>
  </si>
  <si>
    <t>PENDING</t>
  </si>
  <si>
    <t>T-265 capability-link simplification</t>
  </si>
  <si>
    <t>Reviewer proposes reducing secondary links to actual D2 ownership and retaining broader traceability in UI Coverage.</t>
  </si>
  <si>
    <t>Proposal recorded, not silently applied in a document-consolidation pass.</t>
  </si>
  <si>
    <t>BASELINE</t>
  </si>
  <si>
    <t>CLOSED GREEN / COMMITTED remains unchanged.</t>
  </si>
  <si>
    <t>ca02b40ea1b69050a45cb35a3e1d64f15b1f66af; owner-reported, not release-wide GREEN.</t>
  </si>
  <si>
    <t>ESTIMATES</t>
  </si>
  <si>
    <t>T-106/T-108/T-262..T-267</t>
  </si>
  <si>
    <t>Eight absent/withdrawn/unconfirmed estimates preserved.</t>
  </si>
  <si>
    <t>No estimated hours invented by repackaging.</t>
  </si>
  <si>
    <t>ARCHIVE</t>
  </si>
  <si>
    <t>Historical sheets already in the workbook</t>
  </si>
  <si>
    <t>Earlier version references in historical evidence remain historical.</t>
  </si>
  <si>
    <t>Current Authority, Governance and Backlog are current; old captions do not restore old authority.</t>
  </si>
  <si>
    <t>SECURITY</t>
  </si>
  <si>
    <t>Identity and Topology file</t>
  </si>
  <si>
    <t>Existing file copied unchanged; complete book is confidential.</t>
  </si>
  <si>
    <t>Do not publish or distribute unrestricted. No credential values added to workbook/chapter text.</t>
  </si>
  <si>
    <t>EXCLUDED</t>
  </si>
  <si>
    <t>Standalone atlas / SVG folder / JSON / README / diff / handoff files</t>
  </si>
  <si>
    <t>Not part of the controlled book. Useful content is integrated; executable tooling belongs in the repository.</t>
  </si>
  <si>
    <t>No original user or Library file is deleted by creating this consolidated copy.</t>
  </si>
  <si>
    <t>Task reference edit</t>
  </si>
  <si>
    <t>Prior output home</t>
  </si>
  <si>
    <t>Current output home</t>
  </si>
  <si>
    <t>Regenerate the derived specification, atlas, editable scene import and illustrated Word chapters from the same revised UI data with source text preserved.</t>
  </si>
  <si>
    <t>Update Chapter 3/4 MD and illustrated Word from one maintained visual/interaction specification, with source prose preserved and the coverage register inside this workbook. Keep native Figma/tooling source in its implementation environment; store Figma file/node and acceptance references here, not in additional design-book files.</t>
  </si>
  <si>
    <t>in data, Markdown, atlas and Word</t>
  </si>
  <si>
    <t>in this workbook's coverage data and the Chapter 3/4 MD and illustrated Word</t>
  </si>
  <si>
    <t>include OPC scenes in the same atlas/Word citation checks</t>
  </si>
  <si>
    <t>include OPC scenes in the same integrated Chapter 3/4 MD and Word citation checks</t>
  </si>
  <si>
    <t>Deliver the revised visual specification, native editable Figma evidence, atlas and both illustrated reading editions with stable traceable captions.</t>
  </si>
  <si>
    <t>Deliver the revised visual specification inside Chapter 3/4 MD and both illustrated Word editions with stable traceable captions; retain native editable Figma evidence as file/node references inside this workbook. Do not add a standalone atlas or companion file to the design book.</t>
  </si>
  <si>
    <t>Regenerated Markdown/HTML/Word preserves chapter prose and correct citations.</t>
  </si>
  <si>
    <t>Updated Chapter 3/4 Markdown and illustrated Word preserve chapter prose and correct citations; coverage and verification remain in the latest Backlog.</t>
  </si>
  <si>
    <t>14Sep book-consolidation check (historical)</t>
  </si>
  <si>
    <t>Count</t>
  </si>
  <si>
    <t>Result</t>
  </si>
  <si>
    <t>Basis</t>
  </si>
  <si>
    <t>Current task totals (formula)</t>
  </si>
  <si>
    <t>Active task IDs</t>
  </si>
  <si>
    <t>PASS</t>
  </si>
  <si>
    <t>179 unchanged, unique Task IDs from actual Backlog.</t>
  </si>
  <si>
    <t>Active</t>
  </si>
  <si>
    <t>M2 tasks</t>
  </si>
  <si>
    <t>Preserved source classification.</t>
  </si>
  <si>
    <t>M3 tasks</t>
  </si>
  <si>
    <t>Unconfirmed estimates</t>
  </si>
  <si>
    <t>Including T-099, commit and parent unchanged.</t>
  </si>
  <si>
    <t>Preserved.</t>
  </si>
  <si>
    <t>Self-dependencies / self-precede</t>
  </si>
  <si>
    <t>Both dependency columns checked by Task ID.</t>
  </si>
  <si>
    <t>M2 completion depends on M3</t>
  </si>
  <si>
    <t>Completion edges only; contract-ready edges are not completion.</t>
  </si>
  <si>
    <t>Reciprocal Must Precede</t>
  </si>
  <si>
    <t>All reverse links equal forward dependency relations.</t>
  </si>
  <si>
    <t>Acyclic nodes</t>
  </si>
  <si>
    <t>Topological resolution covers all active tasks.</t>
  </si>
  <si>
    <t>Declared external predecessors</t>
  </si>
  <si>
    <t>T-032; T-035; T-036; T-057; T-064. Not silently removed.</t>
  </si>
  <si>
    <t>T-265 T-262/T-101 handoffs</t>
  </si>
  <si>
    <t>Already present in Contract Handoffs; retained.</t>
  </si>
  <si>
    <t>Word images embedded</t>
  </si>
  <si>
    <t>497 + 110; original DOCX bytes retained.</t>
  </si>
  <si>
    <t>Named dialog catalogue</t>
  </si>
  <si>
    <t>Full derived descriptions integrated in Chapter 3 MD.</t>
  </si>
  <si>
    <t>Toolbox catalogue</t>
  </si>
  <si>
    <t>Full records integrated in Chapter 4 MD.</t>
  </si>
  <si>
    <t>Detailed inspectors</t>
  </si>
  <si>
    <t>Runtime / database certification</t>
  </si>
  <si>
    <t>NOT RUN</t>
  </si>
  <si>
    <t>File consolidation does not execute product gates.</t>
  </si>
  <si>
    <t>Release / Phase</t>
  </si>
  <si>
    <t>Evidence-review verdict</t>
  </si>
  <si>
    <t>Recovered original delivery</t>
  </si>
  <si>
    <t>Current scope conclusion</t>
  </si>
  <si>
    <t>Recorded hours</t>
  </si>
  <si>
    <t>Estimate state</t>
  </si>
  <si>
    <t>Open completion predecessors</t>
  </si>
  <si>
    <t>Source / location</t>
  </si>
  <si>
    <t>Cell flags</t>
  </si>
  <si>
    <t>Next evidence / action</t>
  </si>
  <si>
    <t>FULL-SESSION RECONCILIATION NOT COMPLETED</t>
  </si>
  <si>
    <t>INHERITED WORKBOOK COMMIT: 77a8ea4f — T-086: freeze the legacy regression oracle and gate generic surfaces against its vocabulary | not independently re-verified from complete sessions in this review</t>
  </si>
  <si>
    <t>Current status/scope retained, not independently certified by all ten sessions. Structural/field checks executed.</t>
  </si>
  <si>
    <t>Accepted v2.23.0 book workbook SHA256 730b1c671f68790b47748a2bfbe885e06e9fc1ed3b2fb35376b5853af55c29a2; Backlog row2.</t>
  </si>
  <si>
    <t>No cross-field fault detected by the defined mechanical checks; source-history verification remains separate.</t>
  </si>
  <si>
    <t>Resolve source-history gaps before representing this as a fully verified current status.</t>
  </si>
  <si>
    <t>INHERITED WORKBOOK COMMIT: e7d82f078d7dfa4c1ca4ec6e88d0dbc7e1ecd6ba — subject not recovered | not independently re-verified from complete sessions in this review</t>
  </si>
  <si>
    <t>Accepted v2.23.0 book workbook SHA256 730b1c671f68790b47748a2bfbe885e06e9fc1ed3b2fb35376b5853af55c29a2; Backlog row3.</t>
  </si>
  <si>
    <t>INHERITED WORKBOOK COMMIT: 6a62c9d6 — Establish canonical database migration authority | not independently re-verified from complete sessions in this review</t>
  </si>
  <si>
    <t>Accepted v2.23.0 book workbook SHA256 730b1c671f68790b47748a2bfbe885e06e9fc1ed3b2fb35376b5853af55c29a2; Backlog row4.</t>
  </si>
  <si>
    <t>INHERITED WORKBOOK COMMIT: 0fd79e5e3516cdfd0ab5a73a02e16638fd02693a — subject not recovered | not independently re-verified from complete sessions in this review</t>
  </si>
  <si>
    <t>Accepted v2.23.0 book workbook SHA256 730b1c671f68790b47748a2bfbe885e06e9fc1ed3b2fb35376b5853af55c29a2; Backlog row5.</t>
  </si>
  <si>
    <t>INHERITED WORKBOOK COMMIT: a6399d9c — subject not recovered | not independently re-verified from complete sessions in this review</t>
  </si>
  <si>
    <t>Accepted v2.23.0 book workbook SHA256 730b1c671f68790b47748a2bfbe885e06e9fc1ed3b2fb35376b5853af55c29a2; Backlog row6.</t>
  </si>
  <si>
    <t>INHERITED WORKBOOK COMMIT: c6d64289 — subject not recovered | not independently re-verified from complete sessions in this review</t>
  </si>
  <si>
    <t>Accepted v2.23.0 book workbook SHA256 730b1c671f68790b47748a2bfbe885e06e9fc1ed3b2fb35376b5853af55c29a2; Backlog row7.</t>
  </si>
  <si>
    <t>INHERITED WORKBOOK COMMIT: ab2962a4; 7cad36e4 — registry authority closure commits | not independently re-verified from complete sessions in this review</t>
  </si>
  <si>
    <t>Accepted v2.23.0 book workbook SHA256 730b1c671f68790b47748a2bfbe885e06e9fc1ed3b2fb35376b5853af55c29a2; Backlog row8.</t>
  </si>
  <si>
    <t>INHERITED WORKBOOK COMMIT: 4e2e0f654b93ceed2ecdfbce4d3c1768550b3079 — T-093 govern plant vocabulary as data-driven genericity debt | not independently re-verified from complete sessions in this review</t>
  </si>
  <si>
    <t>Accepted v2.23.0 book workbook SHA256 730b1c671f68790b47748a2bfbe885e06e9fc1ed3b2fb35376b5853af55c29a2; Backlog row9.</t>
  </si>
  <si>
    <t>INHERITED WORKBOOK COMMIT: 377aabdffb27d651d30537ce5228ee4afe268526; 6ab97ee2; e74ecd1c; 5a967f1b0ab45961c8b8a880bb4fdec53a783134 — final: T-094 close keyed declared-dimension cutover and genericity reconciliation | not independently re-verified from complete sessions in this review</t>
  </si>
  <si>
    <t>Accepted v2.23.0 book workbook SHA256 730b1c671f68790b47748a2bfbe885e06e9fc1ed3b2fb35376b5853af55c29a2; Backlog row10.</t>
  </si>
  <si>
    <t>INHERITED WORKBOOK COMMIT: BASELINE HEAD 7da9d46ed29545f1c4f4686fa82c117c08b9fc86; TAG m1-presentation-baseline-2026-08-21 — no task commit; tag is closure artifact | not independently re-verified from complete sessions in this review</t>
  </si>
  <si>
    <t>Accepted v2.23.0 book workbook SHA256 730b1c671f68790b47748a2bfbe885e06e9fc1ed3b2fb35376b5853af55c29a2; Backlog row11.</t>
  </si>
  <si>
    <t>INHERITED WORKBOOK COMMIT: ad37c324 — Add persisted definition replay gate for release truth | not independently re-verified from complete sessions in this review</t>
  </si>
  <si>
    <t>Accepted v2.23.0 book workbook SHA256 730b1c671f68790b47748a2bfbe885e06e9fc1ed3b2fb35376b5853af55c29a2; Backlog row12.</t>
  </si>
  <si>
    <t>INHERITED WORKBOOK COMMIT: cd1a450e — Add customer route invariant gate with durable evidence | not independently re-verified from complete sessions in this review</t>
  </si>
  <si>
    <t>Accepted v2.23.0 book workbook SHA256 730b1c671f68790b47748a2bfbe885e06e9fc1ed3b2fb35376b5853af55c29a2; Backlog row13.</t>
  </si>
  <si>
    <t>INHERITED WORKBOOK COMMIT: c6491e2d — closure-state HEAD; exact task commit subject not independently recovered | not independently re-verified from complete sessions in this review</t>
  </si>
  <si>
    <t>Accepted v2.23.0 book workbook SHA256 730b1c671f68790b47748a2bfbe885e06e9fc1ed3b2fb35376b5853af55c29a2; Backlog row14.</t>
  </si>
  <si>
    <t>INHERITED WORKBOOK COMMIT: b7fcc890 — Gate the frontend suite on deterministic termination and machine-readable evidence | not independently re-verified from complete sessions in this review</t>
  </si>
  <si>
    <t>Accepted v2.23.0 book workbook SHA256 730b1c671f68790b47748a2bfbe885e06e9fc1ed3b2fb35376b5853af55c29a2; Backlog row15.</t>
  </si>
  <si>
    <t>Accepted workbook state retained; no new task-specific closure recovered. This is not proof that no work happened.</t>
  </si>
  <si>
    <t>Accepted v2.23.0 book workbook SHA256 730b1c671f68790b47748a2bfbe885e06e9fc1ed3b2fb35376b5853af55c29a2; Backlog row16.</t>
  </si>
  <si>
    <t>DONE IN ACCEPTED WORKBOOK; COMMIT EVIDENCE NOT RECOVERED</t>
  </si>
  <si>
    <t>INHERITED WORKBOOK COMMIT: 969c767c — T-208: generic controlled validation fixture and continuous-process known answers | not independently re-verified from complete sessions in this review</t>
  </si>
  <si>
    <t>Accepted v2.23.0 book workbook SHA256 730b1c671f68790b47748a2bfbe885e06e9fc1ed3b2fb35376b5853af55c29a2; Backlog row17.</t>
  </si>
  <si>
    <t>INHERITED WORKBOOK COMMIT: f2bafdb4 — subject not recovered | not independently re-verified from complete sessions in this review</t>
  </si>
  <si>
    <t>Accepted v2.23.0 book workbook SHA256 730b1c671f68790b47748a2bfbe885e06e9fc1ed3b2fb35376b5853af55c29a2; Backlog row18.</t>
  </si>
  <si>
    <t>INHERITED WORKBOOK COMMIT: 92a655e1ddc4becedbaf89a3db96dc0d0f1eaf94 — subject not recovered | not independently re-verified from complete sessions in this review</t>
  </si>
  <si>
    <t>Accepted v2.23.0 book workbook SHA256 730b1c671f68790b47748a2bfbe885e06e9fc1ed3b2fb35376b5853af55c29a2; Backlog row19.</t>
  </si>
  <si>
    <t>INHERITED WORKBOOK COMMIT: ea9103fd — Establish source time authority for plant timestamps | not independently re-verified from complete sessions in this review</t>
  </si>
  <si>
    <t>Accepted v2.23.0 book workbook SHA256 730b1c671f68790b47748a2bfbe885e06e9fc1ed3b2fb35376b5853af55c29a2; Backlog row20.</t>
  </si>
  <si>
    <t>INHERITED WORKBOOK COMMIT: c930af079502aa1660ef2bd5c50756d3fc3cf8f3 — Persist-T231-canonical-analysis-subject-grain-authority | not independently re-verified from complete sessions in this review</t>
  </si>
  <si>
    <t>Accepted v2.23.0 book workbook SHA256 730b1c671f68790b47748a2bfbe885e06e9fc1ed3b2fb35376b5853af55c29a2; Backlog row21.</t>
  </si>
  <si>
    <t>INHERITED WORKBOOK COMMIT: 6615481b — Converge frontend journey and design-system truth | not independently re-verified from complete sessions in this review</t>
  </si>
  <si>
    <t>Accepted v2.23.0 book workbook SHA256 730b1c671f68790b47748a2bfbe885e06e9fc1ed3b2fb35376b5853af55c29a2; Backlog row22.</t>
  </si>
  <si>
    <t>CENTRAL CLOSURE SOURCE RECOVERED</t>
  </si>
  <si>
    <t>Inherited Done now has the explicitly recovered CENTRAL closure anchor.</t>
  </si>
  <si>
    <t>Pasted text(20260910-064052).txt lines139-146: CENTRAL states T-251 CLOSED GREEN7ba31f96f3810bdac734bd1850275a601503d34d; later T-245 preflight observes its catalogue changes.</t>
  </si>
  <si>
    <t>No reopening from older RED receipts or later catalogue changes.</t>
  </si>
  <si>
    <t>Accepted v2.23.0 book workbook SHA256 730b1c671f68790b47748a2bfbe885e06e9fc1ed3b2fb35376b5853af55c29a2; Backlog row24.</t>
  </si>
  <si>
    <t>SHORT ANCESTRY CORROBORATION</t>
  </si>
  <si>
    <t>36de9370 (short parent named by T-262)</t>
  </si>
  <si>
    <t>Accepted Done retained. Recovered parent association is not a rerun of T-256 tests.</t>
  </si>
  <si>
    <t>Pasted text(20260912-074928).txt | lines1229-1243; T-262 GREEN committed86e1b677212195f191697ecdca7e9441b3dbde33; parent36de9370; live definition-store integration explicitly unexecuted.</t>
  </si>
  <si>
    <t>Preserve status; exact full SHA/closure output remains missing in this bounded retrieval.</t>
  </si>
  <si>
    <t>Accepted v2.23.0 book workbook SHA256 730b1c671f68790b47748a2bfbe885e06e9fc1ed3b2fb35376b5853af55c29a2; Backlog row26.</t>
  </si>
  <si>
    <t>Accepted v2.23.0 book workbook SHA256 730b1c671f68790b47748a2bfbe885e06e9fc1ed3b2fb35376b5853af55c29a2; Backlog row27.</t>
  </si>
  <si>
    <t>INHERITED WORKBOOK COMMIT: 554d1ac02af122fdeb7ca54b1dd35bac0c76f23e — subject not recovered | not independently re-verified from complete sessions in this review</t>
  </si>
  <si>
    <t>RelationshipService already validates ordered composite members, join/cardinality vocabulary and grain attribution, publishes through the store and returns read-back. The existing relationship infrastructure is real and must not be recreated.
REMAINS: No new implementation within the accepted original task scope is established here. Canvas publication wiring is owned by the later T-243 addition, not reopening this foundation.</t>
  </si>
  <si>
    <t>Proposed remaining 0/0/0 h, UNCONFIRMED; historical J/R unchanged.</t>
  </si>
  <si>
    <t>T-243 consumes existing publication authority.
Runtime/complete-session proof still not executed/recovered here.</t>
  </si>
  <si>
    <t>INHERITED WORKBOOK COMMIT: de243027073fc5e492d65e9f9845255342517510 — T-096 relationship resolver consumer convergence | not independently re-verified from complete sessions in this review</t>
  </si>
  <si>
    <t>RelationshipResolver reads the published model, finds deterministic shortest/preferred paths, refuses ambiguous or missing paths and prevents automated use of unvalidated relationships. Existing join-planner consumers should be retained.
REMAINS: No new work is assigned to this closed convergence slice. Live downstream execution remains a separate consumer acceptance and is not proven by this source read.</t>
  </si>
  <si>
    <t>Runtime/complete-session proof still not executed/recovered here.</t>
  </si>
  <si>
    <t>INHERITED WORKBOOK COMMIT: 95220d1804493f8e7b80347fe3ed4de24741f9ec — T-097 relationship consumer barrier across all sixteen families | not independently re-verified from complete sessions in this review</t>
  </si>
  <si>
    <t>The permanent consumer barrier names sixteen families and forbids private path authority while allowing intrinsic owning-key navigation. It explicitly covers future engine directories too: a barrier is not proof that all engines are commissioned.
REMAINS: Keep the original barrier task closed. New consumers must pass it; their runtime wiring belongs to their own integration tasks.</t>
  </si>
  <si>
    <t>The relationship API already exposes list, entities, detail and validation, and the resolver/publication services exist. The reviewed frontend route/page sources contain no canonical Relationship Browser implementation. This is a UI/consumer task, not new relationship storage.
REMAINS: Build C6 list/detail/path/validation views against existing services, including ambiguity, preferred-path and refusal evidence; add frontend/API-contract tests and one runtime acceptance.</t>
  </si>
  <si>
    <t>Proposed remaining 6/9/14 h, UNCONFIRMED; historical J/R unchanged.</t>
  </si>
  <si>
    <t>HISTORICAL PRESENTATION WAIT REPLACED BY CURRENT BASELINE/GATE WORDING</t>
  </si>
  <si>
    <t>Do not duplicate T-095..T-097 or charge their work here.
Runtime/complete-session proof still not executed/recovered here.</t>
  </si>
  <si>
    <t>CLOSED GREEN / COMMITTED ca02b40e</t>
  </si>
  <si>
    <t>MappingRowProjector contains PV01–PV08 row classification, existing-row replay behavior, shared mapping context and quarantine reprocess integration. Later owner-supplied closure and recovered transcript report the exact semantic commit and live targeted tests.
REMAINS: Zero remaining inside T-099's closed first-eight-PV scope. PV09–PV15, full replay/update semantics, monitoring and exact weight semantics remain with T-100/T-101/T-104/T-103.</t>
  </si>
  <si>
    <t>Reported Runner 1 v1.0.5 completed: Backend build GREEN, integration-project build GREEN, 20/20 targeted unit tests, PPIQ_T100_RUNNER1_HANDOFF.json written; no staging, commit or DB mutation in Runner 1. Later certification reportedly executed 110/110 canonical SQL scripts, built a fresh disposable DB with 264 tables, and verified the constraint is exactly PV01..PV15. That run failed in harness setup BEFORE live classification; its disposable certification DB was cleaned up. No T-100 commit or live PV01..PV15 pass has been supplied.</t>
  </si>
  <si>
    <t>Prior 6/10/16 h superseded; closure-only effort UNCONFIRMED. Reported implementation and unit gates are not charged again.</t>
  </si>
  <si>
    <t>Previous Not Started and PV01..PV08-only current-state wording superseded by reported Runner-1 implementation. No Done/commit inference.</t>
  </si>
  <si>
    <t>POST /api/quarantine/reprocess and row-level reprocess service exist; the endpoint explicitly leaves list/detail/Mapping Health to T-101. Existing C2/import views are reusable scaffolding, not the complete PV/drift/retry monitoring flow.
REMAINS: Add bounded list/detail by code/dataset/batch and source lineage, extend the existing reprocess path, persist/display mapped-column drift, and B4 batch/error/durable-cursor monitoring. Validate API, UI and failure recovery.</t>
  </si>
  <si>
    <t>Proposed remaining 12/18/28 h, UNCONFIRMED; historical J/R unchanged.</t>
  </si>
  <si>
    <t>CURRENT ESTIMATE NOT USABLE; TRUNCATED START-GATE PROSE — OMITTED CONDITIONS UNRESOLVED; HISTORICAL PRESENTATION WAIT REPLACED BY CURRENT BASELINE/GATE WORDING</t>
  </si>
  <si>
    <t>T-106 owns run-outcome semantics; T-125 owns operational data/health; do not bill those twice.
Runtime/complete-session proof still not executed/recovered here.</t>
  </si>
  <si>
    <t>material_aliases storage and uniqueness exist. MappingRowProjector creates aliases and resolves a supplied alias, but resolves by AliasCode alone and selects the first material; material-code lookup similarly omits SiteId despite per-site uniqueness. Automatic collision-safe cross-source identity is not complete.
REMAINS: Reuse alias persistence; resolve by governed tenant/site/source/key scope, refuse ambiguity, reconcile two source identifiers into one material and prove idempotent re-import with same alias text across sources/sites.</t>
  </si>
  <si>
    <t>Proposed remaining 4/7/12 h, UNCONFIRMED; historical J/R unchanged.</t>
  </si>
  <si>
    <t>Source-proven ambiguity mechanism: storage permits shared AliasCode across materials/sources; reader selects first by alias alone. No live wrong-material incident asserted.
Do not recreate alias tables or the full row projector.
Runtime/complete-session proof still not executed/recovered here.</t>
  </si>
  <si>
    <t>GenealogyService already rejects self-edges, duplicate edges and cycles by traversal. Migration 841 repairs the deferred weight trigger's schema binding while deliberately preserving its old tolerance. The effective predicate uses abs(sum-1)&gt;0.015, so 0.99 passes that predicate although this task requires rejection.
REMAINS: Retain cycle/self-edge implementation; prove DB direct-write cycle controls and both traversal directions, then reconcile exact declared weight semantics with the 0.015 inherited tolerance and add the explicit 0.99 negative case.</t>
  </si>
  <si>
    <t>Proposed remaining 4/6/10 h, UNCONFIRMED; historical J/R unchanged.</t>
  </si>
  <si>
    <t>CURRENT ESTIMATE NOT USABLE; HISTORICAL PRESENTATION WAIT REPLACED BY CURRENT BASELINE/GATE WORDING</t>
  </si>
  <si>
    <t>Confirmed predicate counterexample: abs(0.99-1)=0.01 is not greater than 0.015. T-099 preserved this deliberately; this does not reopen T-099.
Weight semantics/negative acceptance stay T-103; 841 topology repair remains accepted.
Runtime/complete-session proof still not executed/recovered here.</t>
  </si>
  <si>
    <t>The current projector skips an already existing MaterialUnit by site/code; it is not a proof that a changed mapping re-materializes previous output. Run history has resolved-target storage, but the existing orchestrator discards the resolver result before dispatch.
REMAINS: On top of the T-261 executor, prove canonical row/run version provenance, idempotent accepted effects and rollback-to-version business equivalence. Reuse first-eight-PV/quarantine infrastructure; do not implement a second executor.</t>
  </si>
  <si>
    <t>Proposed remaining 8/14/22 h, UNCONFIRMED; historical J/R unchanged.</t>
  </si>
  <si>
    <t>CURRENT ESTIMATE NOT USABLE; TRUNCATED START-GATE PROSE — OMITTED CONDITIONS UNRESOLVED; HISTORICAL PRESENTATION WAIT REPLACED BY CURRENT BASELINE/GATE WORDING; DESCRIPTION CONTAINS RETIRED-ID HISTORY; EXECUTE SUCCESSOR CONTRACT, NOT A RETIRED ROW</t>
  </si>
  <si>
    <t>T-261 owns first resolved-target runtime call and executor; T-104 owns row effects and rollback proof after it.
Runtime/complete-session proof still not executed/recovered here.</t>
  </si>
  <si>
    <t>Target capability admission, target resolver, real blocked-run evidence, dependency traversal and historical foundation/corrective commits exist. Current source still validates schedules only as nonblank text, runs fixed worker loops, lacks Cancelled in the enum/runtime completion switch, accepts freshness without an age argument and can mark mixed failed batches Ok.
REMAINS: Implement the v4.10.3 schedule contract/parser/due dispatch, explicit freshness policy, truthful aggregate outcomes and cancellation coordination. Reuse the original target/DAG work; T-261 commissions the shared executor/cancellation seam and this task consumes it, not a competing runtime.</t>
  </si>
  <si>
    <t>Proposed remaining 18/28/44 h, UNCONFIRMED; historical J/R unchanged.</t>
  </si>
  <si>
    <t>CURRENT ESTIMATE NOT USABLE</t>
  </si>
  <si>
    <t>Confirmed source boundaries, not executed incidents. No Cancelled result currently persists through CompleteAsync. No false claim that the original T-106 runner failed.
T-261 owns executor implementation, first RecordResolvedTarget and common cancellation seam. T-106 owns schedule/DAG/outcome semantics; no double estimate of executor.
Complete session/live HEAD proof remains outstanding.</t>
  </si>
  <si>
    <t>The Worker has staggered timers and sequential awaits for import, data-quality, risk and delta. Separate telemetry buffers use bounded channels, but are not weighted job pools. Existing capability admission decides executability, not job-slot AND resource-capacity admission.
REMAINS: Add actual bounded job queues/pool slots and dual-predicate resource admission, isolation of three ML lanes, backpressure and exact cancellation/release behavior; test saturation and interactive reservation without inventing production capacity constants.</t>
  </si>
  <si>
    <t>Proposed remaining 12/20/32 h, UNCONFIRMED; historical J/R unchanged.</t>
  </si>
  <si>
    <t>TRUNCATED START-GATE PROSE — OMITTED CONDITIONS UNRESOLVED; HISTORICAL PRESENTATION WAIT REPLACED BY CURRENT BASELINE/GATE WORDING</t>
  </si>
  <si>
    <t>T-155/T-159 calibrate heavy-production constants later; no retraining or new scheduler here.
Runtime/complete-session proof still not executed/recovered here.</t>
  </si>
  <si>
    <t>A real delta reader/importer, row envelope and cursor persistence already exist; generic bulk staging rejects duplicate batch/source/row entries. The delta path directly creates a fresh batch/rows and uses a scalar cursor. The PostgreSQL query uses strict &gt; plus LIMIT, MaxCursor parses under ambient culture, and incremental reads bypass the wrapper budget while GetBudget ignores profile/dataset.
REMAINS: Implement total-order cursor/tie-key semantics for every supported incremental reader, typed invariant comparisons, per-source effective budget on incremental calls, durable checkpoint/replay identity and projection watermark handoff. Do not recreate source/staging infrastructure already present.</t>
  </si>
  <si>
    <t>Proposed remaining 22/34/52 h, UNCONFIRMED; historical J/R unchanged.</t>
  </si>
  <si>
    <t>The old test checks only returned JSON array shape, not cursor values/exact IDs. Generic bulk-insert dedupe is not proof of delta-path cross-batch replay safety. Confirmed PostgreSQL tie mechanism; other providers require their own tests.
T-106 owns Job aggregate status; T-101 B4 UI; T-109 consumes this watermark; no duplicate billing for those consumers.
Runtime/complete-session proof still not executed/recovered here.</t>
  </si>
  <si>
    <t>The repository has source-delta infrastructure, ML refresh paths and pure analytical kernels, but the inspected analytical service paths do not show a commissioned consumer of the designed feature_refresh/analysis_scope watermark chain. Existing calculation code is reusable, not proof of bounded changed-entity execution.
REMAINS: Consume T-108's committed batch/delta token, materialize changed subjects through governed relations, refresh bounded feature/analysis scope and telemetry, and emit the ML handoff. Prove late data and interrupted retries without a second cursor store.</t>
  </si>
  <si>
    <t>Proposed remaining 6/10/18 h, UNCONFIRMED; historical J/R unchanged.</t>
  </si>
  <si>
    <t>T-108 owns source/projection checkpoint; M3 materializers own full training artifacts.
Runtime/complete-session proof still not executed/recovered here.</t>
  </si>
  <si>
    <t>HistorianConnectorCapabilities explicitly declares real browse/read/subscription/session operations unavailable and returns named capability truth. This is a real honest-refusal foundation, not a production OPC implementation.
REMAINS: No original T-207 reimplementation. New backend provider-list convergence belongs to expanded T-254; live OPC operations belong to T-224..T-226.</t>
  </si>
  <si>
    <t>SignalSemanticsResolver already resolves aggregation through the governed database function with AG01/type refusal and a DI registration. Current production reference census finds its definition/implementation/registration, but no widget/query service injection/call. Frontend aggregate binding copies declared metadata; it performs no analytics.
REMAINS: Wire the existing semantics authority into Layer-A widget/query execution and consume the T-211 arithmetic contract. Preserve declared weighting/sampling/null rules, typed refusals and result evidence; do not implement a new aggregation authority.</t>
  </si>
  <si>
    <t>T-211 computes math; T-210 governs semantics; T-212 wires actual queries.
Runtime/complete-session proof still not executed/recovered here.</t>
  </si>
  <si>
    <t>INHERITED WORKBOOK COMMIT: 2748c7fba8a5c4763bc19112ce57e484cea5b9bb — subject not recovered | not independently re-verified from complete sessions in this review</t>
  </si>
  <si>
    <t>CustomerAssessmentEndpoints exposes authorized assess/latest/version/diff operations and resolves tenant identity before service work. The service/normalization/history migration and tests are present. This is a reusable assessment authority, not an autonomous ingestion/projection executor.
REMAINS: No new work within the accepted T-213 authority scope. Customer intake use within the real UI journey remains the consumer's acceptance, not reopening this producer.</t>
  </si>
  <si>
    <t>The current OPC connector only validates supplied endpoint/read-only configuration and explicitly refuses a requested live handshake. The separate capability authority says session security/certificate/trust handling is not implemented; there is no evidence that the advertised target session is commissioned.
REMAINS: Implement real read-only OPC endpoint/session/certificate lifecycle on the customer-side collector, with governed trust references, security-policy rejection, reconnect and safe telemetry. Reuse configuration/capability contracts, not their success text as handshake proof.</t>
  </si>
  <si>
    <t>Proposed remaining 10/16/26 h, UNCONFIRMED; historical J/R unchanged.</t>
  </si>
  <si>
    <t>T-225 browse/subscription; T-226 end-to-end data/recovery; T-266 design. No M3 deferral.
Runtime/complete-session proof still not executed/recovered here.</t>
  </si>
  <si>
    <t>Current truth explicitly marks tag browse, bounded value read and subscriptions unimplemented. The UI and supplied-tag hints do not establish real namespace traversal or monitored-item persistence. Session support is T-224's prerequisite.
REMAINS: Build namespace browse, stable node identities, tag registration, bounded read/subscriptions and monitored-item lifecycle using the T-224 session and source-load policy; test partial browse, disconnect and invalid intervals.</t>
  </si>
  <si>
    <t>Do not recreate session security or count T-266 graphics as real read proof.
Runtime/complete-session proof still not executed/recovered here.</t>
  </si>
  <si>
    <t>Historian mapping/legacy tag-history and edge-spool scaffolding exist, while real upstream OPC read/subscription operations remain unavailable. Those existing interfaces are useful but do not prove quality/timestamp preservation or replay into canonical data from a live session.
REMAINS: Integrate source/server/ingest time and quality handling, spool/ack/reconnect/gap recovery and idempotent canonical replay using T-233/T-224/T-225; run controlled interruption and real-source evidence.</t>
  </si>
  <si>
    <t>Proposed remaining 10/16/28 h, UNCONFIRMED; historical J/R unchanged.</t>
  </si>
  <si>
    <t>No new time-authority kernel; no reuse of demo telemetry as customer-source proof.
Runtime/complete-session proof still not executed/recovered here.</t>
  </si>
  <si>
    <t>The supplied snapshot includes signal semantics and ordinary limits/parameter storage, but no production Performance Reference authority was located by class/table/name and consumer search. Existing semantics infrastructure is reusable; it is not the effective-dated reference precedence contract.
REMAINS: Implement effective-dated reference persistence, precedence/provenance and governed projections consuming T-214; test overlapping definitions, missing direction/unit and deterministic read-back. Do not reimplement the T-214 decision kernel.</t>
  </si>
  <si>
    <t>Proposed remaining 5/8/13 h, UNCONFIRMED; historical J/R unchanged.</t>
  </si>
  <si>
    <t>T-214 owns reference decision kernel; T-215 consumes BI projections; a negative symbol search alone is not live absence proof.
Runtime/complete-session proof still not executed/recovered here.</t>
  </si>
  <si>
    <t>SourceTimeAuthorityKernel already resolves declared source/signal timestamps to uncertainty-bearing instants and refuses unauthorized time roles. The reviewed Domain/Infrastructure models do not contain the corresponding source/server timestamp authority fields/adapter, so kernel completion is not persistence completion.
REMAINS: Persist declared time authority and observation provenance, bind acquisition/projector consumers to the existing kernel, and prove zone/offset/uncertainty conflict handling without machine-locale fallback.</t>
  </si>
  <si>
    <t>Proposed remaining 5/8/14 h, UNCONFIRMED; historical J/R unchanged.</t>
  </si>
  <si>
    <t>Do not charge T-216 kernel work again; OPC T-226 consumes the approved time contract.
Runtime/complete-session proof still not executed/recovered here.</t>
  </si>
  <si>
    <t>OperationalTransitionKernel and TransitionAwarePoolingGuard contain actual regime classification and uncertainty-aware pooling refusal. Direct production reference census only finds kernel-to-kernel calls; it does not establish a persisted regime authority consumed by live statistics.
REMAINS: Persist transition/stabilisation declarations and wire current M2 statistical/correlation pooling to the existing guard. Include source-time uncertainty and explicit undeclared-regime handling; prove the live path refuses mixed/uncertain populations.</t>
  </si>
  <si>
    <t>Proposed remaining 6/11/18 h, UNCONFIRMED; historical J/R unchanged.</t>
  </si>
  <si>
    <t>Do not redo T-234/T-236; later broad engine convergence stays T-146.
Runtime/complete-session proof still not executed/recovered here.</t>
  </si>
  <si>
    <t>INHERITED WORKBOOK COMMIT: eb7fb2ab — subject not recovered | not independently re-verified from complete sessions in this review</t>
  </si>
  <si>
    <t>The shared graph semantics imports typed ports and one block-contract registry; the registry distinguishes implemented/evaluable/persistable capabilities. Those executable validation contracts are real foundation code, not proof of a commissioned job executor.
REMAINS: Retain original typed-port/graph-validation closure. Any actual execution or visual-depth remainder belongs to T-245/T-261/T-265, not recreation of the T-241 graph model.</t>
  </si>
  <si>
    <t>INHERITED WORKBOOK COMMIT: b93c7a58; fc029aa44ac0079be05d623c73414b7fd9f05590; aa57a503411abeeff38ef346ba8801c7742c7926 — final: T-242 close governed aggregate and window block contracts | not independently re-verified from complete sessions in this review</t>
  </si>
  <si>
    <t>The block catalogue is centralized, typed and explicit about evaluable versus persistable behavior. Governed aggregation copies canonical metadata and refuses missing semantics; it deliberately computes no analytics. Non-placeable families must not be described as already commissioned product execution.
REMAINS: Original algebra/catalogue/validation closure remains closed. Persistence/compilation/runtime integration is the relevant downstream work and must retain honest unavailable states until accepted.</t>
  </si>
  <si>
    <t>6f65bba1 (short; exact full SHA/date not recovered)</t>
  </si>
  <si>
    <t>The authored board, governed output target, version history and reopen logic exist; the September 9 closure proves mocked-server reopen/edit behavior. Canvas publish calls the canonical definition writer and compatibility projector in a transaction, but does not call the existing relationship-publication authority.
REMAINS: Only the added relationship-emission/atomicity/legacy-path convergence remains: derive declared relationships, publish through the existing service in the correct unit of work, and prove rollback/read-back. Preserve the saved-board implementation and its closure.</t>
  </si>
  <si>
    <t>Proposed remaining 5/9/15 h, UNCONFIRMED; historical J/R unchanged.</t>
  </si>
  <si>
    <t>Do not implement a second relationship store. T-262 save-mapping concern is tracked once there, not charged again.
Complete session/live HEAD proof remains outstanding.</t>
  </si>
  <si>
    <t>INHERITED WORKBOOK COMMIT: 4d32c6b10b4605aeb6e0705ad03537d563125652 — T-244 close canonical Canvas lifecycle and selection model | not independently re-verified from complete sessions in this review</t>
  </si>
  <si>
    <t>The current SQL-mode save uses canonical content and the shared safe-SQL/lifecycle path, and SQL publication derives a compatibility projection within the same transaction. This substantiates the earlier persistence/convergence foundation; it does not execute a governed projection job.
REMAINS: Keep the original T-244 closure. The later projection-binding callback concern belongs to the T-262 consumer boundary, and runtime transformation execution belongs to T-261.</t>
  </si>
  <si>
    <t>10Sep preflight at a5451dba; no T-245 closure commit in inspected output</t>
  </si>
  <si>
    <t>Canvas has draft save, SQL preview, publish and reopen adapters; the job target resolver/capability descriptors exist. The current shell/API adapter has no commissioned bind-and-run flow consuming exact version/per-block runtime evidence, and CanonicalRefresh is explicitly unavailable.
REMAINS: Implement the thin Canvas-to-job binding/launch/monitor/error/cancel surface over T-261's real executor, carry exact version and stable block IDs, and test unavailable-family refusal before launch.</t>
  </si>
  <si>
    <t>Proposed remaining 6/10/16 h, UNCONFIRMED; historical J/R unchanged.</t>
  </si>
  <si>
    <t>T-261 owns executor and block-evidence storage, T-106 schedule/outcome policy; do not count those implementations again.
Runtime/complete-session proof still not executed/recovered here.</t>
  </si>
  <si>
    <t>Individual source/import/Canvas/BI surfaces and earlier demo/journey tests exist, but the supplied production snapshot explicitly refuses governed Transformation execution. The required same-binary customer path cannot be certified by the present source or Figma output alone.
REMAINS: After producer closures, execute one customer-shaped real-source-to-canonical-to-BI/Assistant journey with immutable-version/retry/cancel/refusal/isolation evidence and zero customer-specific product diff. Budget acceptance coordination only; bugs remain with their owning tasks.</t>
  </si>
  <si>
    <t>No source-code or drawing count can close runtime acceptance; no duplicate budget for T-106/T-108/T-261 fixes.
Runtime/complete-session proof still not executed/recovered here.</t>
  </si>
  <si>
    <t>Full commit not recovered</t>
  </si>
  <si>
    <t>Canonical content carries one outputTarget; model marker/catalogue authority determines eligible targets and exposes fields. Existing graph/SQL hash and read-back behaviors are real. This is independent of current job executor availability.
REMAINS: No new original output-target work. Preserve original 7a6f91f9 closure; downstream publication and executor consume that authority.</t>
  </si>
  <si>
    <t>The frontend/website runtime-truth convergence was closed at f8a35725. Current backend still has a separate ConnectorConfigurationService provider DTO list beside ConnectorProviderCatalog. Their OPC browse flags and membership/descriptions differ; configuration reads the former.
REMAINS: Complete only the widened backend validation/catalogue convergence and regression tests ensuring profile validation, API truth, UI and website consume one result. Retain frontend/website original closure and absence-of-fallback evidence.</t>
  </si>
  <si>
    <t>Proposed remaining 2/4/7 h, UNCONFIRMED; historical J/R unchanged.</t>
  </si>
  <si>
    <t>No rewrite of T-207, no source availability invented from a certification flag.
Runtime/complete-session proof still not executed/recovered here.</t>
  </si>
  <si>
    <t>HOST MUTATION HELD — T-100 final commit required</t>
  </si>
  <si>
    <t>The source has the graph compiler nested in VisualMapperEndpoints, exact target resolution and a RecordResolvedTarget domain seam. The orchestrator discards resolved values and dispatches only by enum; CanonicalRefresh remains false and no executor implementation is commissioned. September 14 instructions are authored/held plans, not an applied commit.
REMAINS: Extract/reuse the compiler; implement resolver+executor, carry the pre-admission target into the real run, canonical row effects/idempotency/provenance and stable block evidence, common cancellation/status wiring; run Graph/SQL and failure/cancel proof on disposable DB. Include T-262 live Gate 0 once.
HELD PENDING T-100 COMMIT. Latest CENTRAL reset supersedes T-099→T-261→T-100. Current mutation order: T-099 → T-100 → T-261 → T-245. T-099 is closed frozen ancestry at ca02b40ea1b69050a45cb35a3e1d64f15b1f66af. No Worker-2 host mutation, staging, commit, final preimage hashes, final migration number, census, interim runner or re-anchoring before CENTRAL supplies the final T-100 SHA. After it arrives, one bounded delta over changed owned paths, shared DI/DbContext/topology/manifest, committed projection-validation contracts, current runtime surfaces and actual migration frontier; then re-anchor T-261. Other prerequisite acceptance remains applicable; receipt of the SHA does not itself prove runtime acceptance.</t>
  </si>
  <si>
    <t>Proposed remaining 16/26/42 h, UNCONFIRMED; historical J/R unchanged.</t>
  </si>
  <si>
    <t>Do not implement a new schedule or PV taxonomy. Common cancellation seam billed once here; T-106 handles policy/endpoint coordination.
Runtime/complete-session proof still not executed/recovered here.
One bounded delta only after T-100 final SHA; no interim mutation or final migration allocation.</t>
  </si>
  <si>
    <t>The declaration, field catalogue, server type checker and Graph/SQL hash persistence exist and were committed GREEN at 86e1b677. A current consumer concern remains: doSaveSql reads projection/projectionBlocked but omits both from its useCallback dependency list; a mapping-only edit needs a direct shell regression test. Unknown-type/narrowing acceptance finding remains withdrawn.
REMAINS: Do not rebuild the declaration. Reproduce the mapping-only SQL-save transition against the real shell, fix only any demonstrated stale callback, and run targeted field-map tests. Live definition-store Gate 0 is already assigned to T-261 Runner2, so it is not estimated again here. Final status remains current-scope open until this correction/acceptance is resolved.</t>
  </si>
  <si>
    <t>Proposed remaining 1/3/6 h, UNCONFIRMED; historical J/R unchanged.</t>
  </si>
  <si>
    <t>Suspected user-visible stale-save behavior; dependency omission is directly observed, but no live browser reproduction is claimed. Do not revive withdrawn type-compatibility finding.
Do not reimplement the immutable declaration. Live definition-store Gate 0 is carried once in T-261 acceptance/estimate. This task's proposed 1/3/6h is the mapping-only SQL save concern and bounded verification, not another executor. Current composite status retained; closure ownership needs explicit reconciliation, not a fake missing-commit claim.
Complete session/live HEAD proof remains outstanding.</t>
  </si>
  <si>
    <t>Accepted v2.23.0 book workbook SHA256 730b1c671f68790b47748a2bfbe885e06e9fc1ed3b2fb35376b5853af55c29a2; Backlog row61.</t>
  </si>
  <si>
    <t>Accepted v2.23.0 book workbook SHA256 730b1c671f68790b47748a2bfbe885e06e9fc1ed3b2fb35376b5853af55c29a2; Backlog row62.</t>
  </si>
  <si>
    <t>Accepted v2.23.0 book workbook SHA256 730b1c671f68790b47748a2bfbe885e06e9fc1ed3b2fb35376b5853af55c29a2; Backlog row63.</t>
  </si>
  <si>
    <t>Accepted v2.23.0 book workbook SHA256 730b1c671f68790b47748a2bfbe885e06e9fc1ed3b2fb35376b5853af55c29a2; Backlog row64.</t>
  </si>
  <si>
    <t>Accepted v2.23.0 book workbook SHA256 730b1c671f68790b47748a2bfbe885e06e9fc1ed3b2fb35376b5853af55c29a2; Backlog row65.</t>
  </si>
  <si>
    <t>INHERITED WORKBOOK COMMIT: 16ea041a; 94ab4e40; 723b9434; 6aef283f; ef588f0c — multi-commit runtime/protocol/CI closure | not independently re-verified from complete sessions in this review</t>
  </si>
  <si>
    <t>Accepted v2.23.0 book workbook SHA256 730b1c671f68790b47748a2bfbe885e06e9fc1ed3b2fb35376b5853af55c29a2; Backlog row66.</t>
  </si>
  <si>
    <t>INHERITED WORKBOOK COMMIT: a887c554 — T-169 Pack 1: typed columnar artifact contract, Parquet and Arrow IPC adapters, two hashes, B-03 hook | not independently re-verified from complete sessions in this review</t>
  </si>
  <si>
    <t>Accepted v2.23.0 book workbook SHA256 730b1c671f68790b47748a2bfbe885e06e9fc1ed3b2fb35376b5853af55c29a2; Backlog row67.</t>
  </si>
  <si>
    <t>INHERITED WORKBOOK COMMIT: 5a216483 — T-170 Chunked sequence-artifact library and bounded loader | not independently re-verified from complete sessions in this review</t>
  </si>
  <si>
    <t>Accepted v2.23.0 book workbook SHA256 730b1c671f68790b47748a2bfbe885e06e9fc1ed3b2fb35376b5853af55c29a2; Backlog row68.</t>
  </si>
  <si>
    <t>INHERITED WORKBOOK COMMIT: 95cc019c — Capability Profiler Pack 2 | not independently re-verified from complete sessions in this review</t>
  </si>
  <si>
    <t>Accepted v2.23.0 book workbook SHA256 730b1c671f68790b47748a2bfbe885e06e9fc1ed3b2fb35376b5853af55c29a2; Backlog row69.</t>
  </si>
  <si>
    <t>INHERITED WORKBOOK COMMIT: d4321856 — T-172 MF-01 Process Encoder runtime behind a replaceable contract | not independently re-verified from complete sessions in this review</t>
  </si>
  <si>
    <t>Accepted v2.23.0 book workbook SHA256 730b1c671f68790b47748a2bfbe885e06e9fc1ed3b2fb35376b5853af55c29a2; Backlog row70.</t>
  </si>
  <si>
    <t>INHERITED WORKBOOK COMMIT: 00a14286 — T-173 MF-02 VectorSimilarityIndex with exact-Flat recall baseline | not independently re-verified from complete sessions in this review</t>
  </si>
  <si>
    <t>Accepted v2.23.0 book workbook SHA256 730b1c671f68790b47748a2bfbe885e06e9fc1ed3b2fb35376b5853af55c29a2; Backlog row71.</t>
  </si>
  <si>
    <t>INHERITED WORKBOOK COMMIT: db033796 — T-174 MF-03 novelty runtime and honest refusal semantics | not independently re-verified from complete sessions in this review</t>
  </si>
  <si>
    <t>Accepted v2.23.0 book workbook SHA256 730b1c671f68790b47748a2bfbe885e06e9fc1ed3b2fb35376b5853af55c29a2; Backlog row72.</t>
  </si>
  <si>
    <t>INHERITED WORKBOOK COMMIT: 2413c6e1 — T-175 MF-04 supervised training runtime and mandatory simple baseline | not independently re-verified from complete sessions in this review</t>
  </si>
  <si>
    <t>Accepted v2.23.0 book workbook SHA256 730b1c671f68790b47748a2bfbe885e06e9fc1ed3b2fb35376b5853af55c29a2; Backlog row73.</t>
  </si>
  <si>
    <t>INHERITED WORKBOOK COMMIT: 08b54b61; 0a61ccfb — Calibration/explanation stability/promotion kernel + real TreeSHAP Pack 2 | not independently re-verified from complete sessions in this review</t>
  </si>
  <si>
    <t>Accepted v2.23.0 book workbook SHA256 730b1c671f68790b47748a2bfbe885e06e9fc1ed3b2fb35376b5853af55c29a2; Backlog row74.</t>
  </si>
  <si>
    <t>INHERITED WORKBOOK COMMIT: 502f8ca3; 502e0da9; bb4c5686 — T-177 multi-commit statistical-kernel closure | not independently re-verified from complete sessions in this review</t>
  </si>
  <si>
    <t>Accepted v2.23.0 book workbook SHA256 730b1c671f68790b47748a2bfbe885e06e9fc1ed3b2fb35376b5853af55c29a2; Backlog row75.</t>
  </si>
  <si>
    <t>INHERITED WORKBOOK COMMIT: b8792516; b5dbf232 — remediation eligibility/can_accept kernel + corrective canonical precedence | not independently re-verified from complete sessions in this review</t>
  </si>
  <si>
    <t>Accepted v2.23.0 book workbook SHA256 730b1c671f68790b47748a2bfbe885e06e9fc1ed3b2fb35376b5853af55c29a2; Backlog row76.</t>
  </si>
  <si>
    <t>INHERITED WORKBOOK COMMIT: d2bf1834 — T-179: deterministic Assistant tool planner | not independently re-verified from complete sessions in this review</t>
  </si>
  <si>
    <t>Accepted v2.23.0 book workbook SHA256 730b1c671f68790b47748a2bfbe885e06e9fc1ed3b2fb35376b5853af55c29a2; Backlog row77.</t>
  </si>
  <si>
    <t>INHERITED WORKBOOK COMMIT: 87428c512c6d6d1ca2bf70a6a8b04aadc7a4cc3b — T-180: permission-first hybrid retrieval and deterministic evidence packer | not independently re-verified from complete sessions in this review</t>
  </si>
  <si>
    <t>Accepted v2.23.0 book workbook SHA256 730b1c671f68790b47748a2bfbe885e06e9fc1ed3b2fb35376b5853af55c29a2; Backlog row78.</t>
  </si>
  <si>
    <t>INHERITED WORKBOOK COMMIT: eaa82b8b45fb1fdb4b406abfbe2809c5f6fc9cd5 — T-181: deterministic answer verifier and Q-01..Q-11 evaluation harness | not independently re-verified from complete sessions in this review</t>
  </si>
  <si>
    <t>Accepted v2.23.0 book workbook SHA256 730b1c671f68790b47748a2bfbe885e06e9fc1ed3b2fb35376b5853af55c29a2; Backlog row79.</t>
  </si>
  <si>
    <t>Accepted v2.23.0 book workbook SHA256 730b1c671f68790b47748a2bfbe885e06e9fc1ed3b2fb35376b5853af55c29a2; Backlog row80.</t>
  </si>
  <si>
    <t>Accepted v2.23.0 book workbook SHA256 730b1c671f68790b47748a2bfbe885e06e9fc1ed3b2fb35376b5853af55c29a2; Backlog row81.</t>
  </si>
  <si>
    <t>Accepted v2.23.0 book workbook SHA256 730b1c671f68790b47748a2bfbe885e06e9fc1ed3b2fb35376b5853af55c29a2; Backlog row82.</t>
  </si>
  <si>
    <t>Accepted v2.23.0 book workbook SHA256 730b1c671f68790b47748a2bfbe885e06e9fc1ed3b2fb35376b5853af55c29a2; Backlog row83.</t>
  </si>
  <si>
    <t>Accepted v2.23.0 book workbook SHA256 730b1c671f68790b47748a2bfbe885e06e9fc1ed3b2fb35376b5853af55c29a2; Backlog row84.</t>
  </si>
  <si>
    <t>Accepted v2.23.0 book workbook SHA256 730b1c671f68790b47748a2bfbe885e06e9fc1ed3b2fb35376b5853af55c29a2; Backlog row85.</t>
  </si>
  <si>
    <t>Accepted v2.23.0 book workbook SHA256 730b1c671f68790b47748a2bfbe885e06e9fc1ed3b2fb35376b5853af55c29a2; Backlog row86.</t>
  </si>
  <si>
    <t>Accepted v2.23.0 book workbook SHA256 730b1c671f68790b47748a2bfbe885e06e9fc1ed3b2fb35376b5853af55c29a2; Backlog row87.</t>
  </si>
  <si>
    <t>Accepted v2.23.0 book workbook SHA256 730b1c671f68790b47748a2bfbe885e06e9fc1ed3b2fb35376b5853af55c29a2; Backlog row88.</t>
  </si>
  <si>
    <t>Accepted v2.23.0 book workbook SHA256 730b1c671f68790b47748a2bfbe885e06e9fc1ed3b2fb35376b5853af55c29a2; Backlog row89.</t>
  </si>
  <si>
    <t>Accepted v2.23.0 book workbook SHA256 730b1c671f68790b47748a2bfbe885e06e9fc1ed3b2fb35376b5853af55c29a2; Backlog row90.</t>
  </si>
  <si>
    <t>Accepted v2.23.0 book workbook SHA256 730b1c671f68790b47748a2bfbe885e06e9fc1ed3b2fb35376b5853af55c29a2; Backlog row91.</t>
  </si>
  <si>
    <t>Accepted v2.23.0 book workbook SHA256 730b1c671f68790b47748a2bfbe885e06e9fc1ed3b2fb35376b5853af55c29a2; Backlog row92.</t>
  </si>
  <si>
    <t>Resolve source-history gaps before representing this as a fully verified current status. Recover omitted start-gate prose; the original was truncated.</t>
  </si>
  <si>
    <t>Real credential resolution, authentication configuration and provider APIs exist. The resolver prioritises username/password in connection_options_json over a reference; the masking test exits successfully without the round-trip when setup fails. The development mint route already refuses outside Development. These facts narrow the repair: it is not a missing licence verifier or a blank-slate connector.
REMAINS: Close accepted-input, persistence and response secret boundaries with sentinel tests; replace vacuous setup returns; validate the actual release-profile bootstrap/MFA/seed/legacy-route boundary and log/audit redaction. Preserve explicit development-only behaviour.</t>
  </si>
  <si>
    <t>No real secret leak or live production exposure was reproduced. Original 8h covers less than the expanded scope.
T-121 owns DI/quota logic; T-123 install/upgrade; this estimate covers their security gate, not reimplementation.
Runtime/complete-session proof still not executed/recovered here.</t>
  </si>
  <si>
    <t>Accepted v2.23.0 book workbook SHA256 730b1c671f68790b47748a2bfbe885e06e9fc1ed3b2fb35376b5853af55c29a2; Backlog row94.</t>
  </si>
  <si>
    <t>Accepted v2.23.0 book workbook SHA256 730b1c671f68790b47748a2bfbe885e06e9fc1ed3b2fb35376b5853af55c29a2; Backlog row95.</t>
  </si>
  <si>
    <t>Accepted v2.23.0 book workbook SHA256 730b1c671f68790b47748a2bfbe885e06e9fc1ed3b2fb35376b5853af55c29a2; Backlog row96.</t>
  </si>
  <si>
    <t>Accepted v2.23.0 book workbook SHA256 730b1c671f68790b47748a2bfbe885e06e9fc1ed3b2fb35376b5853af55c29a2; Backlog row97.</t>
  </si>
  <si>
    <t>The strict VerifiedEd25519LicenseService and tier/feature checks exist. Production registration points to that implementation, while Application still registers a separate singleton ILicenseService. The dev mint route refuses outside Development. Commercial limits already have reusable code; the full customer-visible metering/quota workflow is not proven by these registrations.
REMAINS: Reconcile to one effective licence authority, implement or complete the declared F2/F3 role/user meters and thresholds, and execute tamper/expiry/meter/no-lost-draft acceptance. Do not build a new signing authority or reclassify the development route as a production mint.</t>
  </si>
  <si>
    <t>Proposed remaining 10/18/30 h, UNCONFIRMED; historical J/R unchanged.</t>
  </si>
  <si>
    <t>Full metering implementation was not exhaustively traced; wider interval reflects that. Trust-root claims remain withdrawn.
T-113 release profile gate; T-165 pricing/cost model, not licence enforcement.
Runtime/complete-session proof still not executed/recovered here.</t>
  </si>
  <si>
    <t>A deploy entrypoint and migration/seed commands are already present. The inspected legacy entrypoint selects .env.dev and separates migrate/seed/demo verbs; a canonical migration ledger also exists. This demonstrates reusable deployment infrastructure, not certification that the production packaging chooses only the safe path.
REMAINS: Converge the shipped install/upgrade path onto the canonical ledger, preserve populated data, prove failed-upgrade/rollback recovery and non-root runtime for the selected deployment. Audit actual production selection rather than deleting development tooling blindly.</t>
  </si>
  <si>
    <t>Proposed remaining 12/20/36 h, UNCONFIRMED; historical J/R unchanged.</t>
  </si>
  <si>
    <t>No installation/upgrade/rollback was run. Hardware, privileges and environment wait time are excluded.
T-113 security policy is consumed, not re-estimated here.
Runtime/complete-session proof still not executed/recovered here.</t>
  </si>
  <si>
    <t>Accepted v2.23.0 book workbook SHA256 730b1c671f68790b47748a2bfbe885e06e9fc1ed3b2fb35376b5853af55c29a2; Backlog row100.</t>
  </si>
  <si>
    <t>Accepted v2.23.0 book workbook SHA256 730b1c671f68790b47748a2bfbe885e06e9fc1ed3b2fb35376b5853af55c29a2; Backlog row101.</t>
  </si>
  <si>
    <t>Accepted v2.23.0 book workbook SHA256 730b1c671f68790b47748a2bfbe885e06e9fc1ed3b2fb35376b5853af55c29a2; Backlog row102.</t>
  </si>
  <si>
    <t>Accepted v2.23.0 book workbook SHA256 730b1c671f68790b47748a2bfbe885e06e9fc1ed3b2fb35376b5853af55c29a2; Backlog row103.</t>
  </si>
  <si>
    <t>TRUNCATED START-GATE PROSE — OMITTED CONDITIONS UNRESOLVED</t>
  </si>
  <si>
    <t>Accepted v2.23.0 book workbook SHA256 730b1c671f68790b47748a2bfbe885e06e9fc1ed3b2fb35376b5853af55c29a2; Backlog row104.</t>
  </si>
  <si>
    <t>Accepted v2.23.0 book workbook SHA256 730b1c671f68790b47748a2bfbe885e06e9fc1ed3b2fb35376b5853af55c29a2; Backlog row105.</t>
  </si>
  <si>
    <t>Accepted v2.23.0 book workbook SHA256 730b1c671f68790b47748a2bfbe885e06e9fc1ed3b2fb35376b5853af55c29a2; Backlog row106.</t>
  </si>
  <si>
    <t>Existing delta import and versioned job/target contracts are reusable. The inspected importer operates on bounded calls but does not supply the complete general chunk-receipt/checkpoint/resume authority required by this task. Generic channel buffers and ML artifact chunks are not evidence of durable job-scope receipts.
REMAINS: Implement persistent row/byte-bounded chunks, pinned inputs, receipt-atomic progress, interruption resume, deterministic merge and cumulative scan-budget abort. Reuse the M2 source-cursor/replay work rather than implementing it twice.</t>
  </si>
  <si>
    <t>Proposed remaining 16/28/44 h, UNCONFIRMED; historical J/R unchanged.</t>
  </si>
  <si>
    <t>CURRENT ESTIMATE NOT USABLE; DESCRIPTION CONTAINS RETIRED-ID HISTORY; EXECUTE SUCCESSOR CONTRACT, NOT A RETIRED ROW</t>
  </si>
  <si>
    <t>General chunk engine absence is based on the inspected runtime paths and symbol census, not every historical script.
T-108/109 M2 delta; T-155 measured thresholds; T-159 site certification. No waits/soak included.
Runtime/complete-session proof still not executed/recovered here.</t>
  </si>
  <si>
    <t>Accepted v2.23.0 book workbook SHA256 730b1c671f68790b47748a2bfbe885e06e9fc1ed3b2fb35376b5853af55c29a2; Backlog row108.</t>
  </si>
  <si>
    <t>Accepted v2.23.0 book workbook SHA256 730b1c671f68790b47748a2bfbe885e06e9fc1ed3b2fb35376b5853af55c29a2; Backlog row109.</t>
  </si>
  <si>
    <t>Accepted v2.23.0 book workbook SHA256 730b1c671f68790b47748a2bfbe885e06e9fc1ed3b2fb35376b5853af55c29a2; Backlog row110.</t>
  </si>
  <si>
    <t>Accepted v2.23.0 book workbook SHA256 730b1c671f68790b47748a2bfbe885e06e9fc1ed3b2fb35376b5853af55c29a2; Backlog row111.</t>
  </si>
  <si>
    <t>Accepted v2.23.0 book workbook SHA256 730b1c671f68790b47748a2bfbe885e06e9fc1ed3b2fb35376b5853af55c29a2; Backlog row112.</t>
  </si>
  <si>
    <t>B-01..B-09 benchmark contracts and a selected-value guard already exist. The guard requires a measured real-subject Production envelope before a value is published. Those are useful measurement tools, not already-measured site capacities or scan-amplification limits.
REMAINS: Integrate site workloads with those harnesses, collect training/batch/online latency and amplification evidence, and publish measured limits. Do not invent measured capacity from fixture outputs or replace the existing evidence contract.</t>
  </si>
  <si>
    <t>Proposed remaining 8/14/24 h, UNCONFIRMED; historical J/R unchanged.</t>
  </si>
  <si>
    <t>Focused engineer-hours only. Machine run/soak duration, data provisioning and site access excluded; re-estimate if hardware/workload changes.
T-110 enforcement implementation and T-159 certification reruns are distinct.
Runtime/complete-session proof still not executed/recovered here.</t>
  </si>
  <si>
    <t>The same benchmark envelope and real-subject/Production guards provide an existing basis for certification provenance. No C1-C4 run result on target site hardware was executed or observed in this source pass, so completed fixture tooling does not establish certification.
REMAINS: Prepare reproducible C1-C4 workloads, consume T-155 calibration, exercise the T-110 negative controls, reconcile measured sizing examples and capture sign-off without accepting fixture data as production measurements.</t>
  </si>
  <si>
    <t>Proposed remaining 8/16/28 h, UNCONFIRMED; historical J/R unchanged.</t>
  </si>
  <si>
    <t>Operational engineering effort only; elapsed soak duration and access waits explicitly excluded.
No reimplementation of T-110 or calibration billed again from T-155.
Runtime/complete-session proof still not executed/recovered here.</t>
  </si>
  <si>
    <t>Accepted v2.23.0 book workbook SHA256 730b1c671f68790b47748a2bfbe885e06e9fc1ed3b2fb35376b5853af55c29a2; Backlog row115.</t>
  </si>
  <si>
    <t>Accepted v2.23.0 book workbook SHA256 730b1c671f68790b47748a2bfbe885e06e9fc1ed3b2fb35376b5853af55c29a2; Backlog row116.</t>
  </si>
  <si>
    <t>Current provenance resolution is a real service and still reads declared legacy/compatibility relations. Existing endpoints and guarded source lookups are reusable; spelling public/canon alone does not prove a broken fresh install. The migration requires a consumer inventory rather than a delete-first schema rewrite.
REMAINS: Resolve every active old/new route and compatibility consumer, dual-serve only lawful semantic equivalents, test response/permission parity and keep historical handles readable before retiring consumers/objects.</t>
  </si>
  <si>
    <t>544-route count is a task baseline, not a count remeasured in this pass; estimate contingent on full inventory.
Do not remove compatibility objects before all live consumers and upgrade paths converge.
Runtime/complete-session proof still not executed/recovered here.</t>
  </si>
  <si>
    <t>Accepted v2.23.0 book workbook SHA256 730b1c671f68790b47748a2bfbe885e06e9fc1ed3b2fb35376b5853af55c29a2; Backlog row118.</t>
  </si>
  <si>
    <t>Accepted v2.23.0 book workbook SHA256 730b1c671f68790b47748a2bfbe885e06e9fc1ed3b2fb35376b5853af55c29a2; Backlog row119.</t>
  </si>
  <si>
    <t>Accepted v2.23.0 book workbook SHA256 730b1c671f68790b47748a2bfbe885e06e9fc1ed3b2fb35376b5853af55c29a2; Backlog row120.</t>
  </si>
  <si>
    <t>Accepted v2.23.0 book workbook SHA256 730b1c671f68790b47748a2bfbe885e06e9fc1ed3b2fb35376b5853af55c29a2; Backlog row121.</t>
  </si>
  <si>
    <t>Accepted v2.23.0 book workbook SHA256 730b1c671f68790b47748a2bfbe885e06e9fc1ed3b2fb35376b5853af55c29a2; Backlog row122.</t>
  </si>
  <si>
    <t>Accepted v2.23.0 book workbook SHA256 730b1c671f68790b47748a2bfbe885e06e9fc1ed3b2fb35376b5853af55c29a2; Backlog row123.</t>
  </si>
  <si>
    <t>Accepted v2.23.0 book workbook SHA256 730b1c671f68790b47748a2bfbe885e06e9fc1ed3b2fb35376b5853af55c29a2; Backlog row124.</t>
  </si>
  <si>
    <t>Accepted v2.23.0 book workbook SHA256 730b1c671f68790b47748a2bfbe885e06e9fc1ed3b2fb35376b5853af55c29a2; Backlog row125.</t>
  </si>
  <si>
    <t>Accepted v2.23.0 book workbook SHA256 730b1c671f68790b47748a2bfbe885e06e9fc1ed3b2fb35376b5853af55c29a2; Backlog row126.</t>
  </si>
  <si>
    <t>Accepted v2.23.0 book workbook SHA256 730b1c671f68790b47748a2bfbe885e06e9fc1ed3b2fb35376b5853af55c29a2; Backlog row127.</t>
  </si>
  <si>
    <t>Accepted v2.23.0 book workbook SHA256 730b1c671f68790b47748a2bfbe885e06e9fc1ed3b2fb35376b5853af55c29a2; Backlog row128.</t>
  </si>
  <si>
    <t>Accepted v2.23.0 book workbook SHA256 730b1c671f68790b47748a2bfbe885e06e9fc1ed3b2fb35376b5853af55c29a2; Backlog row129.</t>
  </si>
  <si>
    <t>Accepted v2.23.0 book workbook SHA256 730b1c671f68790b47748a2bfbe885e06e9fc1ed3b2fb35376b5853af55c29a2; Backlog row130.</t>
  </si>
  <si>
    <t>Accepted v2.23.0 book workbook SHA256 730b1c671f68790b47748a2bfbe885e06e9fc1ed3b2fb35376b5853af55c29a2; Backlog row131.</t>
  </si>
  <si>
    <t>Accepted v2.23.0 book workbook SHA256 730b1c671f68790b47748a2bfbe885e06e9fc1ed3b2fb35376b5853af55c29a2; Backlog row132.</t>
  </si>
  <si>
    <t>Accepted v2.23.0 book workbook SHA256 730b1c671f68790b47748a2bfbe885e06e9fc1ed3b2fb35376b5853af55c29a2; Backlog row133.</t>
  </si>
  <si>
    <t>The shared authoring shell, immutable reopen/output mapping and associative state are real implementation. AssociativeContext models selected/possible/excluded/alternative states and calls the governed widget query. Thus the 75-outcome enterprise remainder is not a blank-slate BI build, and the existence of basic selection must not be overwritten by a visual-template omission.
REMAINS: Complete the unfulfilled advanced outcome rows, native-grain drill, named/comparison states, concurrency recovery and server-owned persistence; wire G3/G6 consistently. Freeze the precise remaining matrix before code and reuse existing selection/history/validator behaviour.</t>
  </si>
  <si>
    <t>Proposed remaining 24/40/64 h, UNCONFIRMED; historical J/R unchanged.</t>
  </si>
  <si>
    <t>Full 75-row functional re-audit still required; estimate is a scope-budget proposal, not measured task duration.
T-267 designs; T-248 implementation; T-249 release acceptance. Existing T-204 selection closure retained.
Runtime/complete-session proof still not executed/recovered here.</t>
  </si>
  <si>
    <t>Reporting endpoints already generate investigation/readiness reports and PDFs through IInvestigationReportService and readiness services. This is real reusable output infrastructure. It does not provide the complete E5 versioned report-definition, scheduled output and delivery-history lifecycle.
REMAINS: Add governed report definition/version/sections/period, shared-job generation, output history, tenant-scoped download and delivery retries/audit; reuse existing PDF/evidence materialisation. Use the same scheduler, never a private report scheduler.</t>
  </si>
  <si>
    <t>T-106 scheduler and generic delivery components not recreated; fixtures alone cannot prove scheduled delivery.
Runtime/complete-session proof still not executed/recovered here.</t>
  </si>
  <si>
    <t>Accepted v2.23.0 book workbook SHA256 730b1c671f68790b47748a2bfbe885e06e9fc1ed3b2fb35376b5853af55c29a2; Backlog row136.</t>
  </si>
  <si>
    <t>Accepted v2.23.0 book workbook SHA256 730b1c671f68790b47748a2bfbe885e06e9fc1ed3b2fb35376b5853af55c29a2; Backlog row137.</t>
  </si>
  <si>
    <t>Accepted v2.23.0 book workbook SHA256 730b1c671f68790b47748a2bfbe885e06e9fc1ed3b2fb35376b5853af55c29a2; Backlog row138.</t>
  </si>
  <si>
    <t>Accepted v2.23.0 book workbook SHA256 730b1c671f68790b47748a2bfbe885e06e9fc1ed3b2fb35376b5853af55c29a2; Backlog row139.</t>
  </si>
  <si>
    <t>Accepted v2.23.0 book workbook SHA256 730b1c671f68790b47748a2bfbe885e06e9fc1ed3b2fb35376b5853af55c29a2; Backlog row140.</t>
  </si>
  <si>
    <t>Accepted v2.23.0 book workbook SHA256 730b1c671f68790b47748a2bfbe885e06e9fc1ed3b2fb35376b5853af55c29a2; Backlog row141.</t>
  </si>
  <si>
    <t>Accepted v2.23.0 book workbook SHA256 730b1c671f68790b47748a2bfbe885e06e9fc1ed3b2fb35376b5853af55c29a2; Backlog row142.</t>
  </si>
  <si>
    <t>Accepted v2.23.0 book workbook SHA256 730b1c671f68790b47748a2bfbe885e06e9fc1ed3b2fb35376b5853af55c29a2; Backlog row143.</t>
  </si>
  <si>
    <t>Accepted v2.23.0 book workbook SHA256 730b1c671f68790b47748a2bfbe885e06e9fc1ed3b2fb35376b5853af55c29a2; Backlog row144.</t>
  </si>
  <si>
    <t>Accepted v2.23.0 book workbook SHA256 730b1c671f68790b47748a2bfbe885e06e9fc1ed3b2fb35376b5853af55c29a2; Backlog row145.</t>
  </si>
  <si>
    <t>Accepted v2.23.0 book workbook SHA256 730b1c671f68790b47748a2bfbe885e06e9fc1ed3b2fb35376b5853af55c29a2; Backlog row146.</t>
  </si>
  <si>
    <t>Accepted v2.23.0 book workbook SHA256 730b1c671f68790b47748a2bfbe885e06e9fc1ed3b2fb35376b5853af55c29a2; Backlog row147.</t>
  </si>
  <si>
    <t>Accepted v2.23.0 book workbook SHA256 730b1c671f68790b47748a2bfbe885e06e9fc1ed3b2fb35376b5853af55c29a2; Backlog row148.</t>
  </si>
  <si>
    <t>Accepted v2.23.0 book workbook SHA256 730b1c671f68790b47748a2bfbe885e06e9fc1ed3b2fb35376b5853af55c29a2; Backlog row149.</t>
  </si>
  <si>
    <t>Accepted v2.23.0 book workbook SHA256 730b1c671f68790b47748a2bfbe885e06e9fc1ed3b2fb35376b5853af55c29a2; Backlog row150.</t>
  </si>
  <si>
    <t>Accepted v2.23.0 book workbook SHA256 730b1c671f68790b47748a2bfbe885e06e9fc1ed3b2fb35376b5853af55c29a2; Backlog row151.</t>
  </si>
  <si>
    <t>Phase8SuggestionOutcomeLoop takes caller-supplied BeforeValue/AfterValue, and its endpoint stores records in a process-wide ConcurrentDictionary. It is not the canonical outcome/feedback authority required by this task. Outcome arithmetic and presentation DTOs may inform migration, but cannot be credited as durable governed feedback.
REMAINS: Implement canonical-only outcomes, durable evaluation/effectiveness records, intervention-aware metrics, feedback eligibility/concentration evidence and controlled Supervisor input. Retire the contradictory writer safely after replacement and preserve legitimate history.</t>
  </si>
  <si>
    <t>Proposed remaining 14/24/40 h, UNCONFIRMED; historical J/R unchanged.</t>
  </si>
  <si>
    <t>Route mapping exists, but effective caller access in a deployed profile was not exercised.
T-190 D6 cutover; T-113 M2 denial; no double price of the same endpoint removal.
Runtime/complete-session proof still not executed/recovered here.</t>
  </si>
  <si>
    <t>ManagedStatisticalComputeEngine already invokes BenjaminiHochberg and Bootstrap from StatisticalDiscipline.cs; AdvancedCorrelationComputeService uses EffectRanking, FDR, Bootstrap and stratification. The file is NOT dead. The separate T-177 KernelMethodSelector/GroupComparisonKernel remain referenced by tests rather than these inspected producers, so a narrower pairing/authority cutover remains.
REMAINS: Wire the certified pairing/refusal kernel into real producers, align persistence/readiness/evidence and consolidate genuinely duplicate paths after consumer migration. Preserve the live discipline functions; do not delete StatisticalDiscipline.cs based on its filename or a zero-hit search for a nonexistent class.</t>
  </si>
  <si>
    <t>Do not equate obsolete CorrelationService annotation with no live analytical engine. Existing functions and keyed engine registration are visible.
T-186 persistent capability authority; this task consumes it and does not implement a second profile store.
Runtime/complete-session proof still not executed/recovered here.</t>
  </si>
  <si>
    <t>Accepted v2.23.0 book workbook SHA256 730b1c671f68790b47748a2bfbe885e06e9fc1ed3b2fb35376b5853af55c29a2; Backlog row154.</t>
  </si>
  <si>
    <t>Accepted v2.23.0 book workbook SHA256 730b1c671f68790b47748a2bfbe885e06e9fc1ed3b2fb35376b5853af55c29a2; Backlog row155.</t>
  </si>
  <si>
    <t>Accepted v2.23.0 book workbook SHA256 730b1c671f68790b47748a2bfbe885e06e9fc1ed3b2fb35376b5853af55c29a2; Backlog row156.</t>
  </si>
  <si>
    <t>Accepted v2.23.0 book workbook SHA256 730b1c671f68790b47748a2bfbe885e06e9fc1ed3b2fb35376b5853af55c29a2; Backlog row157.</t>
  </si>
  <si>
    <t>The website pricing component renders configured licence-plan labels, prices and feature lists. It is not an input-driven infrastructure cost/price calculator, and benchmark evidence machinery exists separately. Therefore some display structure is reusable while measured commercial sizing logic remains unproven.
REMAINS: Implement explicit units/currency/time assumptions, the separate infrastructure-cost and licence-price formulae, governed input validation and known-answer quote checks against measured capacity.</t>
  </si>
  <si>
    <t>No current commercial prices or site measured sizing invented; public pricing display does not establish cost engine completion.
T-121 entitlement differs from commercial pricing; T-155 supplies measurement constants.
Runtime/complete-session proof still not executed/recovered here.</t>
  </si>
  <si>
    <t>Accepted v2.23.0 book workbook SHA256 730b1c671f68790b47748a2bfbe885e06e9fc1ed3b2fb35376b5853af55c29a2; Backlog row159.</t>
  </si>
  <si>
    <t>Accepted v2.23.0 book workbook SHA256 730b1c671f68790b47748a2bfbe885e06e9fc1ed3b2fb35376b5853af55c29a2; Backlog row160.</t>
  </si>
  <si>
    <t>Accepted v2.23.0 book workbook SHA256 730b1c671f68790b47748a2bfbe885e06e9fc1ed3b2fb35376b5853af55c29a2; Backlog row161.</t>
  </si>
  <si>
    <t>CapabilityProfiler is a real pure kernel returning measured facts and eligibility/refusal states. It explicitly reads no database. Direct Profile-call census found test callers; persistence and production consumer commissioning are not established. This is integration work around an existing engine, not rebuilding profiling logic.
REMAINS: Persist versioned outcome/grain/manifest-scoped profiles, connect governed prediction-point candidates/model-count limits and use one readiness authority for producers. Prove deterministic rich/sparse decisions and missing-data refusals.</t>
  </si>
  <si>
    <t>CURRENT ESTIMATE NOT USABLE; TRUNCATED START-GATE PROSE — OMITTED CONDITIONS UNRESOLVED</t>
  </si>
  <si>
    <t>T-171 kernel closed; do not reopen. T-146 consumes the commissioned authority.
Runtime/complete-session proof still not executed/recovered here.</t>
  </si>
  <si>
    <t>Accepted v2.23.0 book workbook SHA256 730b1c671f68790b47748a2bfbe885e06e9fc1ed3b2fb35376b5853af55c29a2; Backlog row163.</t>
  </si>
  <si>
    <t>Accepted v2.23.0 book workbook SHA256 730b1c671f68790b47748a2bfbe885e06e9fc1ed3b2fb35376b5853af55c29a2; Backlog row164.</t>
  </si>
  <si>
    <t>Accepted v2.23.0 book workbook SHA256 730b1c671f68790b47748a2bfbe885e06e9fc1ed3b2fb35376b5853af55c29a2; Backlog row165.</t>
  </si>
  <si>
    <t>The legacy outcome endpoints provide a caller-entered/process-memory loop, not durable canonical D6 decisions. Related UI can be reused, but the inspected endpoint returns saved=true after a ConcurrentDictionary write, which must not be presented as canonical persistence.
REMAINS: Bind the actual D6 controls to canonical eligibility and decision records, enforce can_accept on the server, preserve actor/reason history and cut over legacy routes with continuity/negative tests.</t>
  </si>
  <si>
    <t>T-145 owns outcome/effectiveness persistence; this task consumes it. M2 route denial owned by T-113.
Runtime/complete-session proof still not executed/recovered here.</t>
  </si>
  <si>
    <t>Accepted v2.23.0 book workbook SHA256 730b1c671f68790b47748a2bfbe885e06e9fc1ed3b2fb35376b5853af55c29a2; Backlog row167.</t>
  </si>
  <si>
    <t>Accepted v2.23.0 book workbook SHA256 730b1c671f68790b47748a2bfbe885e06e9fc1ed3b2fb35376b5853af55c29a2; Backlog row168.</t>
  </si>
  <si>
    <t>Accepted v2.23.0 book workbook SHA256 730b1c671f68790b47748a2bfbe885e06e9fc1ed3b2fb35376b5853af55c29a2; Backlog row169.</t>
  </si>
  <si>
    <t>Accepted v2.23.0 book workbook SHA256 730b1c671f68790b47748a2bfbe885e06e9fc1ed3b2fb35376b5853af55c29a2; Backlog row170.</t>
  </si>
  <si>
    <t>Accepted v2.23.0 book workbook SHA256 730b1c671f68790b47748a2bfbe885e06e9fc1ed3b2fb35376b5853af55c29a2; Backlog row171.</t>
  </si>
  <si>
    <t>Accepted v2.23.0 book workbook SHA256 730b1c671f68790b47748a2bfbe885e06e9fc1ed3b2fb35376b5853af55c29a2; Backlog row172.</t>
  </si>
  <si>
    <t>Accepted v2.23.0 book workbook SHA256 730b1c671f68790b47748a2bfbe885e06e9fc1ed3b2fb35376b5853af55c29a2; Backlog row173.</t>
  </si>
  <si>
    <t>Accepted v2.23.0 book workbook SHA256 730b1c671f68790b47748a2bfbe885e06e9fc1ed3b2fb35376b5853af55c29a2; Backlog row174.</t>
  </si>
  <si>
    <t>P15BenchmarkingService exists, but builds anonymised industry demo bands from a stable base value and synthetic multipliers. That is not the required registry-driven internal plant benchmarking. Existing display/privacy ideas are reusable; demo bands must not be credited as measured internal comparisons.
REMAINS: Implement registered population/period comparisons with real counts, BM01/BM02, direction-aware normalisation and context-comparable own-best practice; preserve evidence/export and tenant isolation.</t>
  </si>
  <si>
    <t>No current customer benchmark output or exposure was executed here.
T-214/T-240 semantics reused; no industry taxonomy or a second practice engine.
Runtime/complete-session proof still not executed/recovered here.</t>
  </si>
  <si>
    <t>Accepted v2.23.0 book workbook SHA256 730b1c671f68790b47748a2bfbe885e06e9fc1ed3b2fb35376b5853af55c29a2; Backlog row176.</t>
  </si>
  <si>
    <t>Accepted v2.23.0 book workbook SHA256 730b1c671f68790b47748a2bfbe885e06e9fc1ed3b2fb35376b5853af55c29a2; Backlog row177.</t>
  </si>
  <si>
    <t>The delivered UI dataset contains 40 pages, 87 dialogs and 607 scene descriptions plus a local importer explicitly labelled not run in Figma. Existing product code already handles immutable reopen and associative selections. This is a substantial starting inventory, but static nodes and populated coverage rows are not proof of the required prototype transitions.
REMAINS: Complete the M2 semantic control/transition matrix, selected source/join/output inspector states, refused/recovery paths and labelled realistic fixtures; execute the specified native import/prototype checks and update only Chapters 3/4 MD+Word and workbook coverage.</t>
  </si>
  <si>
    <t>Proposed remaining 28/44/68 h, UNCONFIRMED; historical J/R unchanged.</t>
  </si>
  <si>
    <t>No connected Figma run. No 607-frame count used as a percentage complete; whole UI interaction matrix not executed.
T-266 OPC design; T-267 M3 design; runtime implementation remains its own task.
Runtime/complete-session proof still not executed/recovered here.</t>
  </si>
  <si>
    <t>The source has historian configuration UI/API scaffolding and truthful unavailable operations, while the delivered visual package is a derived design. No native Figma execution or full target/current capability state interaction is established by current repository source.
REMAINS: Design the named OPC profile/browse/read/subscription/quality/time/spool/replay flow and its unavailable states against T-224..T-226 contracts, integrate into Chapter3/4 and embedded Word images, and execute one observed design import/prototype check without claiming live OPC.</t>
  </si>
  <si>
    <t>T-224..T-226 implement/live-certify; T-233 time authority; native design execution availability is a separate uncertainty.
Runtime/complete-session proof still not executed/recovered here.</t>
  </si>
  <si>
    <t>The common UI dataset and existing selection/history mechanisms are reusable. Current UI Coverage deliberately separates M2 flows from M3 depth. Neither the inventory nor the native-importer code is evidence that M3 concurrency, version comparison, reports and advanced comparison prototypes were exercised.
REMAINS: Design the complete M3 remainder against the existing 75-outcome matrix, producer contracts and accepted M2 flows, including advanced states, conflict/recovery, exports and G3/G6. Verify the native scenes and synchronize the two illustrated chapters.</t>
  </si>
  <si>
    <t>Estimate excludes T-248 product implementation and T-249 product certification.
No basic selection/clear deferred from M2; no duplicate generic frame batch treated as acceptance.
Runtime/complete-session proof still not executed/recovered here.</t>
  </si>
  <si>
    <t>Current implementation</t>
  </si>
  <si>
    <t>Original scope hours</t>
  </si>
  <si>
    <t>Remaining LOW h</t>
  </si>
  <si>
    <t>Remaining BASE h</t>
  </si>
  <si>
    <t>Remaining HIGH h</t>
  </si>
  <si>
    <t>Estimate confidence</t>
  </si>
  <si>
    <t>Original closure / later scope</t>
  </si>
  <si>
    <t>Source references</t>
  </si>
  <si>
    <t>Shared-work boundary</t>
  </si>
  <si>
    <t>Evidence limit</t>
  </si>
  <si>
    <t>RelationshipService already validates ordered composite members, join/cardinality vocabulary and grain attribution, publishes through the store and returns read-back. The existing relationship infrastructure is real and must not be recreated.</t>
  </si>
  <si>
    <t>REVIEW PROPOSAL — NOT CONFIRMED / NOT P80</t>
  </si>
  <si>
    <t>T-243 consumes existing publication authority.</t>
  </si>
  <si>
    <t>14-Sep-2026 supplied repository snapshot; later verified session evidence cited separately; No .NET/product DB/browser suite executed in this continuation; test source and cited historical executions distinguished.</t>
  </si>
  <si>
    <t>RelationshipResolver reads the published model, finds deterministic shortest/preferred paths, refuses ambiguous or missing paths and prevents automated use of unvalidated relationships. Existing join-planner consumers should be retained.</t>
  </si>
  <si>
    <t>The permanent consumer barrier names sixteen families and forbids private path authority while allowing intrinsic owning-key navigation. It explicitly covers future engine directories too: a barrier is not proof that all engines are commissioned.</t>
  </si>
  <si>
    <t>The relationship API already exposes list, entities, detail and validation, and the resolver/publication services exist. The reviewed frontend route/page sources contain no canonical Relationship Browser implementation. This is a UI/consumer task, not new relationship storage.</t>
  </si>
  <si>
    <t>Do not duplicate T-095..T-097 or charge their work here.</t>
  </si>
  <si>
    <t>MappingRowProjector contains PV01–PV08 row classification, existing-row replay behavior, shared mapping context and quarantine reprocess integration. Later owner-supplied closure and recovered transcript report the exact semantic commit and live targeted tests.</t>
  </si>
  <si>
    <t>ca02b40ea1b69050a45cb35a3e1d64f15b1f66af; parent 86e1b677212195f191697ecdca7e9441b3dbde33; 49/49,5/5,19/19; Gate O 899+1 inherited.</t>
  </si>
  <si>
    <t>UNCONFIRMED — closure-only; 6/10/16 h superseded</t>
  </si>
  <si>
    <t>Runner 1 reported GREEN; later fresh DB/constraint passed; live harness failed before classification; final commit not yet supplied.</t>
  </si>
  <si>
    <t>USER-REPORTED: Runner1_1.0.5 SHA256 75B6C7DE78E0A677701BFEDF1EC70D4D1499C8168193B35D503CF26DF76DC7AA; Runner2_1.0.0 SHA256 9C29E607B52114DE680131A0FDE0F840D7CC56D3642FA09F73FD2AB5A7B3D493; Resume-ProjectionQuarantineCompletion_1.0.1.ps1 SHA256 5F6668258E8CAC517793B825AF712C8D8C9355F8CE9C0C69FBC5CAFCBDCB80E6. Names/hashes recorded as supplied, NOT locally verified. Script hashes are not commit IDs.</t>
  </si>
  <si>
    <t>Worker 1/CENTRAL lock → T-100 final SHA → Worker 2 T-261 → T-245.</t>
  </si>
  <si>
    <t>Latest owner-supplied conversation update, received 15-Sep-2026; runner/host logs and script bytes were not independently inspected in this workbook update. This supersedes the earlier 14-Sep source-only T-100 estimate, not the frozen Design.</t>
  </si>
  <si>
    <t>POST /api/quarantine/reprocess and row-level reprocess service exist; the endpoint explicitly leaves list/detail/Mapping Health to T-101. Existing C2/import views are reusable scaffolding, not the complete PV/drift/retry monitoring flow.</t>
  </si>
  <si>
    <t>T-106 owns run-outcome semantics; T-125 owns operational data/health; do not bill those twice.</t>
  </si>
  <si>
    <t>material_aliases storage and uniqueness exist. MappingRowProjector creates aliases and resolves a supplied alias, but resolves by AliasCode alone and selects the first material; material-code lookup similarly omits SiteId despite per-site uniqueness. Automatic collision-safe cross-source identity is not complete.</t>
  </si>
  <si>
    <t>Do not recreate alias tables or the full row projector.</t>
  </si>
  <si>
    <t>GenealogyService already rejects self-edges, duplicate edges and cycles by traversal. Migration 841 repairs the deferred weight trigger's schema binding while deliberately preserving its old tolerance. The effective predicate uses abs(sum-1)&gt;0.015, so 0.99 passes that predicate although this task requires rejection.</t>
  </si>
  <si>
    <t>Weight semantics/negative acceptance stay T-103; 841 topology repair remains accepted.</t>
  </si>
  <si>
    <t>The current projector skips an already existing MaterialUnit by site/code; it is not a proof that a changed mapping re-materializes previous output. Run history has resolved-target storage, but the existing orchestrator discards the resolver result before dispatch.</t>
  </si>
  <si>
    <t>T-261 owns first resolved-target runtime call and executor; T-104 owns row effects and rollback proof after it.</t>
  </si>
  <si>
    <t>Target capability admission, target resolver, real blocked-run evidence, dependency traversal and historical foundation/corrective commits exist. Current source still validates schedules only as nonblank text, runs fixed worker loops, lacks Cancelled in the enum/runtime completion switch, accepts freshness without an age argument and can mark mixed failed batches Ok.</t>
  </si>
  <si>
    <t>UNCONFIRMED</t>
  </si>
  <si>
    <t>Original target/dependency contract has 8b3eb5c8 foundation and a5451dba corrective; their closure scope is not new schedule/cancel/freshness implementation. Preserve historical evidence; evaluate the later expanded scope separately.</t>
  </si>
  <si>
    <t>T-261 owns executor implementation, first RecordResolvedTarget and common cancellation seam. T-106 owns schedule/DAG/outcome semantics; no double estimate of executor.</t>
  </si>
  <si>
    <t>The Worker has staggered timers and sequential awaits for import, data-quality, risk and delta. Separate telemetry buffers use bounded channels, but are not weighted job pools. Existing capability admission decides executability, not job-slot AND resource-capacity admission.</t>
  </si>
  <si>
    <t>T-155/T-159 calibrate heavy-production constants later; no retraining or new scheduler here.</t>
  </si>
  <si>
    <t>A real delta reader/importer, row envelope and cursor persistence already exist; generic bulk staging rejects duplicate batch/source/row entries. The delta path directly creates a fresh batch/rows and uses a scalar cursor. The PostgreSQL query uses strict &gt; plus LIMIT, MaxCursor parses under ambient culture, and incremental reads bypass the wrapper budget while GetBudget ignores profile/dataset.</t>
  </si>
  <si>
    <t>T-106 owns Job aggregate status; T-101 B4 UI; T-109 consumes this watermark; no duplicate billing for those consumers.</t>
  </si>
  <si>
    <t>The repository has source-delta infrastructure, ML refresh paths and pure analytical kernels, but the inspected analytical service paths do not show a commissioned consumer of the designed feature_refresh/analysis_scope watermark chain. Existing calculation code is reusable, not proof of bounded changed-entity execution.</t>
  </si>
  <si>
    <t>T-108 owns source/projection checkpoint; M3 materializers own full training artifacts.</t>
  </si>
  <si>
    <t>HistorianConnectorCapabilities explicitly declares real browse/read/subscription/session operations unavailable and returns named capability truth. This is a real honest-refusal foundation, not a production OPC implementation.</t>
  </si>
  <si>
    <t>SignalSemanticsResolver already resolves aggregation through the governed database function with AG01/type refusal and a DI registration. Current production reference census finds its definition/implementation/registration, but no widget/query service injection/call. Frontend aggregate binding copies declared metadata; it performs no analytics.</t>
  </si>
  <si>
    <t>T-211 computes math; T-210 governs semantics; T-212 wires actual queries.</t>
  </si>
  <si>
    <t>CustomerAssessmentEndpoints exposes authorized assess/latest/version/diff operations and resolves tenant identity before service work. The service/normalization/history migration and tests are present. This is a reusable assessment authority, not an autonomous ingestion/projection executor.</t>
  </si>
  <si>
    <t>The current OPC connector only validates supplied endpoint/read-only configuration and explicitly refuses a requested live handshake. The separate capability authority says session security/certificate/trust handling is not implemented; there is no evidence that the advertised target session is commissioned.</t>
  </si>
  <si>
    <t>T-225 browse/subscription; T-226 end-to-end data/recovery; T-266 design. No M3 deferral.</t>
  </si>
  <si>
    <t>Current truth explicitly marks tag browse, bounded value read and subscriptions unimplemented. The UI and supplied-tag hints do not establish real namespace traversal or monitored-item persistence. Session support is T-224's prerequisite.</t>
  </si>
  <si>
    <t>Do not recreate session security or count T-266 graphics as real read proof.</t>
  </si>
  <si>
    <t>Historian mapping/legacy tag-history and edge-spool scaffolding exist, while real upstream OPC read/subscription operations remain unavailable. Those existing interfaces are useful but do not prove quality/timestamp preservation or replay into canonical data from a live session.</t>
  </si>
  <si>
    <t>No new time-authority kernel; no reuse of demo telemetry as customer-source proof.</t>
  </si>
  <si>
    <t>The supplied snapshot includes signal semantics and ordinary limits/parameter storage, but no production Performance Reference authority was located by class/table/name and consumer search. Existing semantics infrastructure is reusable; it is not the effective-dated reference precedence contract.</t>
  </si>
  <si>
    <t>T-214 owns reference decision kernel; T-215 consumes BI projections; a negative symbol search alone is not live absence proof.</t>
  </si>
  <si>
    <t>SourceTimeAuthorityKernel already resolves declared source/signal timestamps to uncertainty-bearing instants and refuses unauthorized time roles. The reviewed Domain/Infrastructure models do not contain the corresponding source/server timestamp authority fields/adapter, so kernel completion is not persistence completion.</t>
  </si>
  <si>
    <t>Do not charge T-216 kernel work again; OPC T-226 consumes the approved time contract.</t>
  </si>
  <si>
    <t>OperationalTransitionKernel and TransitionAwarePoolingGuard contain actual regime classification and uncertainty-aware pooling refusal. Direct production reference census only finds kernel-to-kernel calls; it does not establish a persisted regime authority consumed by live statistics.</t>
  </si>
  <si>
    <t>Do not redo T-234/T-236; later broad engine convergence stays T-146.</t>
  </si>
  <si>
    <t>The shared graph semantics imports typed ports and one block-contract registry; the registry distinguishes implemented/evaluable/persistable capabilities. Those executable validation contracts are real foundation code, not proof of a commissioned job executor.</t>
  </si>
  <si>
    <t>The block catalogue is centralized, typed and explicit about evaluable versus persistable behavior. Governed aggregation copies canonical metadata and refuses missing semantics; it deliberately computes no analytics. Non-placeable families must not be described as already commissioned product execution.</t>
  </si>
  <si>
    <t>The authored board, governed output target, version history and reopen logic exist; the September 9 closure proves mocked-server reopen/edit behavior. Canvas publish calls the canonical definition writer and compatibility projector in a transaction, but does not call the existing relationship-publication authority.</t>
  </si>
  <si>
    <t>Original save/reopen journey committed 6f65bba186ecaccc8dbbdfc5eba830a9e1b3e933; executed tests drove the shell against mocked canonical responses. New relationship emission integration is later scope, not proof the original reopen task never completed.</t>
  </si>
  <si>
    <t>Do not implement a second relationship store. T-262 save-mapping concern is tracked once there, not charged again.</t>
  </si>
  <si>
    <t>The current SQL-mode save uses canonical content and the shared safe-SQL/lifecycle path, and SQL publication derives a compatibility projection within the same transaction. This substantiates the earlier persistence/convergence foundation; it does not execute a governed projection job.</t>
  </si>
  <si>
    <t>Canvas has draft save, SQL preview, publish and reopen adapters; the job target resolver/capability descriptors exist. The current shell/API adapter has no commissioned bind-and-run flow consuming exact version/per-block runtime evidence, and CanonicalRefresh is explicitly unavailable.</t>
  </si>
  <si>
    <t>T-245 is QUEUED after T-261 accepted closure; no separate executor, block-evidence model or capability authority.</t>
  </si>
  <si>
    <t>Individual source/import/Canvas/BI surfaces and earlier demo/journey tests exist, but the supplied production snapshot explicitly refuses governed Transformation execution. The required same-binary customer path cannot be certified by the present source or Figma output alone.</t>
  </si>
  <si>
    <t>No source-code or drawing count can close runtime acceptance; no duplicate budget for T-106/T-108/T-261 fixes.</t>
  </si>
  <si>
    <t>Canonical content carries one outputTarget; model marker/catalogue authority determines eligible targets and exposes fields. Existing graph/SQL hash and read-back behaviors are real. This is independent of current job executor availability.</t>
  </si>
  <si>
    <t>None</t>
  </si>
  <si>
    <t>The frontend/website runtime-truth convergence was closed at f8a35725. Current backend still has a separate ConnectorConfigurationService provider DTO list beside ConnectorProviderCatalog. Their OPC browse flags and membership/descriptions differ; configuration reads the former.</t>
  </si>
  <si>
    <t>f8a35725c9b0d7fb5a0515c0103a72807a704a97, historical accepted freeze. New scope is not a regression claim against the original.</t>
  </si>
  <si>
    <t>No rewrite of T-207, no source availability invented from a certification flag.</t>
  </si>
  <si>
    <t>The source has the graph compiler nested in VisualMapperEndpoints, exact target resolution and a RecordResolvedTarget domain seam. The orchestrator discards resolved values and dispatches only by enum; CanonicalRefresh remains false and no executor implementation is commissioned. September 14 instructions are authored/held plans, not an applied commit.</t>
  </si>
  <si>
    <t>Pasted markdown(20260914-190300).md:1-239 assigns first RecordResolvedTarget, cancellation seam and T-262 live Gate0 to T-261. No post-ca02b40e executor commit retrieved.</t>
  </si>
  <si>
    <t>The declaration, field catalogue, server type checker and Graph/SQL hash persistence exist and were committed GREEN at 86e1b677. A current consumer concern remains: doSaveSql reads projection/projectionBlocked but omits both from its useCallback dependency list; a mapping-only edit needs a direct shell regression test. Unknown-type/narrowing acceptance finding remains withdrawn.</t>
  </si>
  <si>
    <t>Original declaration delivered GREEN/COMMITTED at 86e1b677212195f191697ecdca7e9441b3dbde33. 12-Sep output: 24/24 declaration, 8/8 catalogue fields, 39/39 content, 404/404 authoring. Live definition-store integration explicitly not claimed. Later 14-Sep coordination assigns that proof to T-261 Runner 2 Gate 0.</t>
  </si>
  <si>
    <t>Do not reimplement the immutable declaration. Live definition-store Gate 0 is carried once in T-261 acceptance/estimate. This task's proposed 1/3/6h is the mapping-only SQL save concern and bounded verification, not another executor. Current composite status retained; closure ownership needs explicit reconciliation, not a fake missing-commit claim.</t>
  </si>
  <si>
    <t>The source has historian configuration UI/API scaffolding and truthful unavailable operations, while the delivered visual package is a derived design. No native Figma execution or full target/current capability state interaction is established by current repository source.</t>
  </si>
  <si>
    <t>T-224..T-226 implement/live-certify; T-233 time authority; native design execution availability is a separate uncertainty.</t>
  </si>
  <si>
    <t>PLANTPROCESS IQ | BACKLOG CELL &amp; EVIDENCE REVIEW</t>
  </si>
  <si>
    <t>v2.23.0 retained •15September2026 • one workbook only • no Design, task-ID, release, scope or dependency-edge additions</t>
  </si>
  <si>
    <t>LIMIT: the complete ten named sessions were not recovered. Source-bound corrections below are real; all statuses are not thereby fully verified.</t>
  </si>
  <si>
    <t>OPEN THE NAMED WORKSHEET TAB</t>
  </si>
  <si>
    <t>Task set / releases preserved</t>
  </si>
  <si>
    <t>Task-ID comparison against input</t>
  </si>
  <si>
    <t>M2-P2 Review — 34 M2-P2 tasks: current vs historical delivery and hours</t>
  </si>
  <si>
    <t>Task closure ≠ release certification</t>
  </si>
  <si>
    <t>T-099 preserved; no wholesale completion inference</t>
  </si>
  <si>
    <t>Task Evidence 15Sep — All179 task decisions with source and unresolved action</t>
  </si>
  <si>
    <t>Partial current scope; not proof worker active now</t>
  </si>
  <si>
    <t>T-254 original closed baseline + unproven extension</t>
  </si>
  <si>
    <t>Estimate Review — Prior estimates and why they are no longer usable</t>
  </si>
  <si>
    <t>Preflight alone is not implementation</t>
  </si>
  <si>
    <t>Other uncorroborated statuses retained explicitly</t>
  </si>
  <si>
    <t>Cell Changes 15Sep — Before/after cell records and structural changes</t>
  </si>
  <si>
    <t>Unusable/missing estimate</t>
  </si>
  <si>
    <t>8 missing/withdrawn +19 stale scope</t>
  </si>
  <si>
    <t>Historical estimates retained. New UNCONFIRMED remaining proposals in Source Review/Backlog AV:AX.</t>
  </si>
  <si>
    <t>Source Summary / Source Review — current implementation and remaining work, not just session claims.</t>
  </si>
  <si>
    <t>Non-withdrawn scope hours</t>
  </si>
  <si>
    <t>Partial planning sum, not actual/remaining effort</t>
  </si>
  <si>
    <t>Other inherited estimates not recalibrated by this review</t>
  </si>
  <si>
    <t>Status: green Done • amber In Progress • grey Not Started • red Blocked. Amber hours: missing/stale/unconfirmed, not zero. Violet P80: historic forecast not supplied.</t>
  </si>
  <si>
    <t>No open completion predecessor is not automatic permission to start: contract-ready handoffs, evidence and scoped start gates still apply.</t>
  </si>
  <si>
    <t>EXACT TEN-SESSION COVERAGE — DO NOT CONFUSE FRAGMENTS WITH COMPLETE TRANSCRIPTS</t>
  </si>
  <si>
    <t>Requested #</t>
  </si>
  <si>
    <t>Exact session title</t>
  </si>
  <si>
    <t>Complete transcript read?</t>
  </si>
  <si>
    <t>Available material</t>
  </si>
  <si>
    <t>Read operation / limit</t>
  </si>
  <si>
    <t>Remaining requirement</t>
  </si>
  <si>
    <t>استكمال جلسة 10 سبتمبر</t>
  </si>
  <si>
    <t>NO</t>
  </si>
  <si>
    <t>No complete transcript with this exact title was retrieved. Current workbook and fragments are not substitutes.</t>
  </si>
  <si>
    <t>Files exact-title/content search + local inventory. Conversation-history retrieval returned an error. Source files.read/find worked for the listed attachments.</t>
  </si>
  <si>
    <t>Obtain full exact transcript, then check later superseding decisions and scope before certifying every task status.</t>
  </si>
  <si>
    <t>10-Sept-2026</t>
  </si>
  <si>
    <t>Dated10Sep attachments:064052,102642,105308; contains selected session forwards, run outputs and instructions, not complete named session.</t>
  </si>
  <si>
    <t>حالة المشروع الحالية</t>
  </si>
  <si>
    <t>Selected excerpts exist in the current conversation; full original session not available.</t>
  </si>
  <si>
    <t>تحليل الجلسات الثماني</t>
  </si>
  <si>
    <t>Exact-title file found: تحليل الجلسات الثماني.txt;709bytes, only an earlier access-failure message. Not the session body.</t>
  </si>
  <si>
    <t>8-Sept-2026</t>
  </si>
  <si>
    <t>تحليل الجلسات بالتفصيل</t>
  </si>
  <si>
    <t>نصائح وتعديلات التمرين</t>
  </si>
  <si>
    <t>إصلاح وتشغيل السكربت المركزي</t>
  </si>
  <si>
    <t>تحليل قواعد البيانات</t>
  </si>
  <si>
    <t>حكم مهمة T205</t>
  </si>
  <si>
    <t>ALL ORIGINAL WORKSHEETS: EVERY STORED CELL SCANNED — SEMANTIC COVERAGE IS NOT IMPLIED</t>
  </si>
  <si>
    <t>Worksheet</t>
  </si>
  <si>
    <t>Stored cells</t>
  </si>
  <si>
    <t>Populated cells</t>
  </si>
  <si>
    <t>Formula cells</t>
  </si>
  <si>
    <t>Review classification</t>
  </si>
  <si>
    <t>Coverage / limitation</t>
  </si>
  <si>
    <t>CURRENT — STRUCTURAL/FIELD CHECKS</t>
  </si>
  <si>
    <t>Values, formula references, styles, used ranges, metadata and cross-field consistency scanned; historical events not re-certified.</t>
  </si>
  <si>
    <t>Backlog</t>
  </si>
  <si>
    <t>179 rows / all44 original fields scanned. Evidence corrections source-bound for named tasks; all10-session semantics unresolved.</t>
  </si>
  <si>
    <t>Release Plan</t>
  </si>
  <si>
    <t>Worker Tracks</t>
  </si>
  <si>
    <t>Dependency Graph</t>
  </si>
  <si>
    <t>Prior Baseline Archive</t>
  </si>
  <si>
    <t>HISTORICAL — PRESERVED</t>
  </si>
  <si>
    <t>Commit Ledger</t>
  </si>
  <si>
    <t>Backlog Change Log</t>
  </si>
  <si>
    <t>Verified Task Ledger</t>
  </si>
  <si>
    <t>Phase Worker v220</t>
  </si>
  <si>
    <t>Dashboard v220</t>
  </si>
  <si>
    <t>Capability Map v1.1</t>
  </si>
  <si>
    <t>Retired Tasks v222</t>
  </si>
  <si>
    <t>Revision Changes v222</t>
  </si>
  <si>
    <t>Phase Worker v222</t>
  </si>
  <si>
    <t>Prior Notes v222</t>
  </si>
  <si>
    <t>Dashboard v222</t>
  </si>
  <si>
    <t>Estimate Review</t>
  </si>
  <si>
    <t>Repair Changes v2221</t>
  </si>
  <si>
    <t>External Prerequisites</t>
  </si>
  <si>
    <t>Secondary Capability Links</t>
  </si>
  <si>
    <t>UI Coverage v223</t>
  </si>
  <si>
    <t>UI Controls v223</t>
  </si>
  <si>
    <t>Changes v223</t>
  </si>
  <si>
    <t>UI Delivery v223</t>
  </si>
  <si>
    <t>Book Register</t>
  </si>
  <si>
    <t>Book Validation</t>
  </si>
  <si>
    <t>Original14Sep consolidation results explicitly labelled historical; current15Sep checks are below.</t>
  </si>
  <si>
    <t>RESIDUAL EVIDENCE / GOVERNANCE LIMITS</t>
  </si>
  <si>
    <t>Full ten sessions</t>
  </si>
  <si>
    <t>NOT COMPLETE</t>
  </si>
  <si>
    <t>Exact titles retained in rows17–26. Accessible dated fragments are not substitutes for the missing transcripts.</t>
  </si>
  <si>
    <t>T-262 current status</t>
  </si>
  <si>
    <t>UNRESOLVED DISPOSITION</t>
  </si>
  <si>
    <t>Producer contract GREEN/commit is proven; current row also requests integration closure. The incomplete integration cannot be silently waived or the prior GREEN erased.</t>
  </si>
  <si>
    <t>Time estimates</t>
  </si>
  <si>
    <t>27 NOT USABLE</t>
  </si>
  <si>
    <t>8 missing/withdrawn/unconfirmed;19 have numeric old-scope figures that need re-estimation. No remaining-time guarantee.</t>
  </si>
  <si>
    <t>Start gate prose</t>
  </si>
  <si>
    <t>15 OPEN TEXT GAPS</t>
  </si>
  <si>
    <t>17 original gate strings were truncated;2 belong to already-closed tasks,15 open tasks still need omitted text resolved. Full fragments preserved.</t>
  </si>
  <si>
    <t>Task-ID epoch</t>
  </si>
  <si>
    <t>REQUIRED CHECK</t>
  </si>
  <si>
    <t>Older exports reuse task numbers for different programme scopes. Match identity plus semantic scope/date; a same-number old Done entry does not close today's task.</t>
  </si>
  <si>
    <t>Runtime / Git</t>
  </si>
  <si>
    <t>NOT EXECUTED</t>
  </si>
  <si>
    <t>Reviewed source and stored executed outputs. No live product/test/database/browser certification or current Git ancestry executed here.</t>
  </si>
  <si>
    <t>Status colors</t>
  </si>
  <si>
    <t>FORMULA-DRIVEN</t>
  </si>
  <si>
    <t>Colors map the current status field. They do not imply that all current statuses were freshly verified against ten complete sessions.</t>
  </si>
  <si>
    <t>SAVED-WORKBOOK VALIDATION •22 PASS /3 OPEN • SOURCE-HISTORY GAPS ARE NOT PASSES</t>
  </si>
  <si>
    <t>Check</t>
  </si>
  <si>
    <t>Meaning / evidence boundary</t>
  </si>
  <si>
    <t>Input workbook identity</t>
  </si>
  <si>
    <t>Current book v2.23.0 bytes; SHA in row108, not an older rejected fork.</t>
  </si>
  <si>
    <t>Original worksheets scanned</t>
  </si>
  <si>
    <t>39185 stored /30558 populated cells;5486 formula cells. Structural scan, not full external factual verification.</t>
  </si>
  <si>
    <t>Active task identities</t>
  </si>
  <si>
    <t>Exact Task ID set preserved.</t>
  </si>
  <si>
    <t>Release allocation</t>
  </si>
  <si>
    <t>M2=107/M3=72; no task moved.</t>
  </si>
  <si>
    <t>Description/acceptance scope</t>
  </si>
  <si>
    <t>Original H/I text retained, not silently rewritten from generic knowledge.</t>
  </si>
  <si>
    <t>Dependency triples M/N/AN</t>
  </si>
  <si>
    <t>No row-shift or unilateral dependency edit.</t>
  </si>
  <si>
    <t>Graph invariants</t>
  </si>
  <si>
    <t>No self edges/cycles/undeclared dangling/M2-&gt;M3 completion edges; exact reverse precedences.</t>
  </si>
  <si>
    <t>Dependency Graph cache matches</t>
  </si>
  <si>
    <t>All179 rows; task/owner/status/dependencies/gate/contract fields checked.</t>
  </si>
  <si>
    <t>Worker Tracks cache matches</t>
  </si>
  <si>
    <t>All179 task-ID keyed views checked.</t>
  </si>
  <si>
    <t>Capability map formulas/membership</t>
  </si>
  <si>
    <t>Every primary/secondary/status/release count and listed-ID set checked.</t>
  </si>
  <si>
    <t>Duplicate primary-secondary</t>
  </si>
  <si>
    <t>Removed redundant T-254/L1.4 self-secondary; no scope dropped.</t>
  </si>
  <si>
    <t>Numeric hours preserved</t>
  </si>
  <si>
    <t>No fabricated estimate;19 stale originals remain visible, excluded from planning.</t>
  </si>
  <si>
    <t>Estimate unresolved explicitly</t>
  </si>
  <si>
    <t>8 initially missing +19 stale. Future confirmed estimate state supported.</t>
  </si>
  <si>
    <t>Final transcript now corroborated; inherited RED retained separately.</t>
  </si>
  <si>
    <t>Status categorical values</t>
  </si>
  <si>
    <t>58Done/5InProgress/116NotStarted; only T-254 progress category corrected.</t>
  </si>
  <si>
    <t>All saved cell style IDs</t>
  </si>
  <si>
    <t>Every saved cell resolves to a valid style definition.</t>
  </si>
  <si>
    <t>Status CF full extent</t>
  </si>
  <si>
    <t>One exact status rule group; obsolete overlap removed.</t>
  </si>
  <si>
    <t>Dropdown/numeric validation extent</t>
  </si>
  <si>
    <t>No overlapping stale validation ranges; final rows covered.</t>
  </si>
  <si>
    <t>Any saved Excel error cells</t>
  </si>
  <si>
    <t>All cell types checked, not just a #REF regex. Unsupported HYPERLINK removed.</t>
  </si>
  <si>
    <t>Historical archives unchanged</t>
  </si>
  <si>
    <t>Original values/formula expressions preserved in history-only worksheets.</t>
  </si>
  <si>
    <t>Table names</t>
  </si>
  <si>
    <t>Unique Excel table names; current Backlog extent A1:AT180.</t>
  </si>
  <si>
    <t>Validator negative controls</t>
  </si>
  <si>
    <t>Injected self-edge, cross-release edge and broken reciprocal precedence each rejected.</t>
  </si>
  <si>
    <t>Full requested session review</t>
  </si>
  <si>
    <t>OPEN</t>
  </si>
  <si>
    <t>Zero complete exact-title transcripts read. Selected attached execution evidence is clearly separated; rows17–26.</t>
  </si>
  <si>
    <t>Current T-262 final disposition</t>
  </si>
  <si>
    <t>Contract GREEN recovered; needed integration acceptance still unexecuted/undispositioned. No false Done or no-SHA claim.</t>
  </si>
  <si>
    <t>Open truncated gate text</t>
  </si>
  <si>
    <t>Omitted wording not manufactured. Exact fragments retained for resolution.</t>
  </si>
  <si>
    <t>Input SHA256: 730b1c671f68790b47748a2bfbe885e06e9fc1ed3b2fb35376b5853af55c29a2</t>
  </si>
  <si>
    <t>Net original-sheet value/formula differences: 2166; formatting/rule log records:539. All prior values are preserved in this workbook's log.</t>
  </si>
  <si>
    <t>Cell/range</t>
  </si>
  <si>
    <t>Reason (net differences, not product findings)</t>
  </si>
  <si>
    <t>Evidence/basis</t>
  </si>
  <si>
    <t>PPIQ BACKLOG v2.23.0 — UI design/workflow convergence</t>
  </si>
  <si>
    <t>PPIQ BACKLOG v2.23.0 — cell/evidence review15Sep2026</t>
  </si>
  <si>
    <t>Current authority statement must match this specific review and its limits.</t>
  </si>
  <si>
    <t>2026-09-14</t>
  </si>
  <si>
    <t>Supersedes both divergent v2.22.1 files. Baseline is the repaired 176-task workbook; adds T-265..T-267 without regressing closure or estimates.</t>
  </si>
  <si>
    <t>Same task/scope version. This review corrects evidence, current labels, estimate usability and formatting; no tasks/releases/dependency edges added or removed.</t>
  </si>
  <si>
    <t>C9</t>
  </si>
  <si>
    <t>Owner report received 2026-09-14</t>
  </si>
  <si>
    <t>CLOSED GREEN / COMMITTED; task-level closure, not release-wide GREEN.</t>
  </si>
  <si>
    <t>B10</t>
  </si>
  <si>
    <t>SOURCE PRESENT / UNCLOSED</t>
  </si>
  <si>
    <t>C10</t>
  </si>
  <si>
    <t>Status remains In Progress; no accepted closure SHA has been supplied.</t>
  </si>
  <si>
    <t>B11</t>
  </si>
  <si>
    <t>8 rows unestimated / withdrawn / unconfirmed</t>
  </si>
  <si>
    <t>27 unresolved estimates:8 missing/withdrawn/unconfirmed +19 stale scope</t>
  </si>
  <si>
    <t>C11</t>
  </si>
  <si>
    <t>T-106/T-108 remain blank; T-262..T-264 remain unestimated; T-265..T-267 proposals are not accepted Hours or P80.</t>
  </si>
  <si>
    <t>J/R preserve supplied historical values. AS/AT supply usable partial planning totals; AM=0 for missing/stale/unconfirmed values. No fabricated actual hours or remaining effort.</t>
  </si>
  <si>
    <t>B12</t>
  </si>
  <si>
    <t>Backlog!A1:AR180</t>
  </si>
  <si>
    <t>Backlog!A1:AT180</t>
  </si>
  <si>
    <t>B14</t>
  </si>
  <si>
    <t>Workbook structure, formulas and dependency invariants</t>
  </si>
  <si>
    <t>All-sheet cell/formula/style scan; bounded historical-source reconciliation</t>
  </si>
  <si>
    <t>C14</t>
  </si>
  <si>
    <t>D14</t>
  </si>
  <si>
    <t>Not a new product runtime, live DB, repository or full-release certification.</t>
  </si>
  <si>
    <t>All original31 worksheets structurally inspected. Full ten named session transcripts not recovered; current task statuses not all externally re-proven. See Review15Sep/Task Evidence15Sep.</t>
  </si>
  <si>
    <t>A17</t>
  </si>
  <si>
    <t>Add a visible in-workbook entry, not an external file.</t>
  </si>
  <si>
    <t>B17</t>
  </si>
  <si>
    <t>Review 15Sep — open the worksheet tab</t>
  </si>
  <si>
    <t>Avoid an unsupported cached HYPERLINK formula; keep navigation usable by explicit tab name.</t>
  </si>
  <si>
    <t>C17</t>
  </si>
  <si>
    <t>Review date, not a delivery commitment.</t>
  </si>
  <si>
    <t>D17</t>
  </si>
  <si>
    <t>M2-P2 view + all-task evidence + exact session coverage + cell changes are inside this workbook. No extra file in the Design Book.</t>
  </si>
  <si>
    <t>Honor the single-backlog-file standard.</t>
  </si>
  <si>
    <t>AM1</t>
  </si>
  <si>
    <t>A numeric old-scope estimate is not automatically usable.</t>
  </si>
  <si>
    <t>AS1</t>
  </si>
  <si>
    <t>Exclude withdrawn/stale/unconfirmed scope figures from live planning.</t>
  </si>
  <si>
    <t>AT1</t>
  </si>
  <si>
    <t>P80 is not regenerated from a nominal multiplier.</t>
  </si>
  <si>
    <t>T2</t>
  </si>
  <si>
    <t>A closed task must not show a current instruction to wait for historical Presentation RC.</t>
  </si>
  <si>
    <t>Current accepted Backlog status; existing no-reopen governance.</t>
  </si>
  <si>
    <t>AM2</t>
  </si>
  <si>
    <t>=IF(ISNUMBER(J2),1,0)</t>
  </si>
  <si>
    <t>=IF(AND(ISNUMBER(J2),OR(AR2="INHERITED ESTIMATE",AR2="CONFIRMED ESTIMATE")),1,0)</t>
  </si>
  <si>
    <t>Derived-view/estimate membership or explicitly added review metadata; no task-order join.</t>
  </si>
  <si>
    <t>See Review15Sep and source-bound Task Evidence15Sep.</t>
  </si>
  <si>
    <t>AS2</t>
  </si>
  <si>
    <t>=IF(AM2=1,J2,"")</t>
  </si>
  <si>
    <t>AT2</t>
  </si>
  <si>
    <t>=IF(AND(AM2=1,ISNUMBER(R2)),R2,"")</t>
  </si>
  <si>
    <t>T3</t>
  </si>
  <si>
    <t>WAIT for Presentation RC freeze/tag + clean index/worktree. Then: T-086 + T-088 canonical migration order/runner/truth gate established FIRST.</t>
  </si>
  <si>
    <t>AM3</t>
  </si>
  <si>
    <t>=IF(ISNUMBER(J3),1,0)</t>
  </si>
  <si>
    <t>=IF(AND(ISNUMBER(J3),OR(AR3="INHERITED ESTIMATE",AR3="CONFIRMED ESTIMATE")),1,0)</t>
  </si>
  <si>
    <t>AS3</t>
  </si>
  <si>
    <t>=IF(AM3=1,J3,"")</t>
  </si>
  <si>
    <t>AT3</t>
  </si>
  <si>
    <t>=IF(AND(AM3=1,ISNUMBER(R3)),R3,"")</t>
  </si>
  <si>
    <t>T4</t>
  </si>
  <si>
    <t>WAIT for Presentation RC freeze/tag + clean index/worktree. Then: T-086 frozen M2 reference dataset; define canonical migration order before T-...</t>
  </si>
  <si>
    <t>AM4</t>
  </si>
  <si>
    <t>=IF(ISNUMBER(J4),1,0)</t>
  </si>
  <si>
    <t>=IF(AND(ISNUMBER(J4),OR(AR4="INHERITED ESTIMATE",AR4="CONFIRMED ESTIMATE")),1,0)</t>
  </si>
  <si>
    <t>AS4</t>
  </si>
  <si>
    <t>=IF(AM4=1,J4,"")</t>
  </si>
  <si>
    <t>AT4</t>
  </si>
  <si>
    <t>=IF(AND(AM4=1,ISNUMBER(R4)),R4,"")</t>
  </si>
  <si>
    <t>T5</t>
  </si>
  <si>
    <t>WAIT for Presentation RC freeze/tag + clean index/worktree. Then: T-087 + T-088 canonical three-schema/migration authority green.</t>
  </si>
  <si>
    <t>AM5</t>
  </si>
  <si>
    <t>=IF(ISNUMBER(J5),1,0)</t>
  </si>
  <si>
    <t>=IF(AND(ISNUMBER(J5),OR(AR5="INHERITED ESTIMATE",AR5="CONFIRMED ESTIMATE")),1,0)</t>
  </si>
  <si>
    <t>AS5</t>
  </si>
  <si>
    <t>=IF(AM5=1,J5,"")</t>
  </si>
  <si>
    <t>AT5</t>
  </si>
  <si>
    <t>=IF(AND(AM5=1,ISNUMBER(R5)),R5,"")</t>
  </si>
  <si>
    <t>T6</t>
  </si>
  <si>
    <t>IN PROGRESS — T-089 complete. Full T-090 remains one task and one final commit. Worker 1 must deliver one self-contained standard PowerShell apply pack; no scope split and no manual .cs/SQL installation.</t>
  </si>
  <si>
    <t>AM6</t>
  </si>
  <si>
    <t>=IF(ISNUMBER(J6),1,0)</t>
  </si>
  <si>
    <t>=IF(AND(ISNUMBER(J6),OR(AR6="INHERITED ESTIMATE",AR6="CONFIRMED ESTIMATE")),1,0)</t>
  </si>
  <si>
    <t>AS6</t>
  </si>
  <si>
    <t>=IF(AM6=1,J6,"")</t>
  </si>
  <si>
    <t>AT6</t>
  </si>
  <si>
    <t>=IF(AND(AM6=1,ISNUMBER(R6)),R6,"")</t>
  </si>
  <si>
    <t>T7</t>
  </si>
  <si>
    <t>WAIT for Presentation RC freeze/tag + clean index/worktree. Then: T-090 all definition kinds bound to the canonical store.</t>
  </si>
  <si>
    <t>AM7</t>
  </si>
  <si>
    <t>=IF(ISNUMBER(J7),1,0)</t>
  </si>
  <si>
    <t>=IF(AND(ISNUMBER(J7),OR(AR7="INHERITED ESTIMATE",AR7="CONFIRMED ESTIMATE")),1,0)</t>
  </si>
  <si>
    <t>AS7</t>
  </si>
  <si>
    <t>=IF(AM7=1,J7,"")</t>
  </si>
  <si>
    <t>AT7</t>
  </si>
  <si>
    <t>=IF(AND(AM7=1,ISNUMBER(R7)),R7,"")</t>
  </si>
  <si>
    <t>T8</t>
  </si>
  <si>
    <t>WAIT for Presentation RC freeze/tag + clean index/worktree. Then: T-089 + T-090 canonical definition authority.</t>
  </si>
  <si>
    <t>AM8</t>
  </si>
  <si>
    <t>=IF(ISNUMBER(J8),1,0)</t>
  </si>
  <si>
    <t>=IF(AND(ISNUMBER(J8),OR(AR8="INHERITED ESTIMATE",AR8="CONFIRMED ESTIMATE")),1,0)</t>
  </si>
  <si>
    <t>AS8</t>
  </si>
  <si>
    <t>=IF(AM8=1,J8,"")</t>
  </si>
  <si>
    <t>AT8</t>
  </si>
  <si>
    <t>=IF(AND(AM8=1,ISNUMBER(R8)),R8,"")</t>
  </si>
  <si>
    <t>T9</t>
  </si>
  <si>
    <t>WAIT for Presentation RC freeze/tag + clean index/worktree. Then: T-092 registry/definition authority available; architecture term list is comm...</t>
  </si>
  <si>
    <t>AM9</t>
  </si>
  <si>
    <t>=IF(ISNUMBER(J9),1,0)</t>
  </si>
  <si>
    <t>=IF(AND(ISNUMBER(J9),OR(AR9="INHERITED ESTIMATE",AR9="CONFIRMED ESTIMATE")),1,0)</t>
  </si>
  <si>
    <t>AS9</t>
  </si>
  <si>
    <t>=IF(AM9=1,J9,"")</t>
  </si>
  <si>
    <t>AT9</t>
  </si>
  <si>
    <t>=IF(AND(AM9=1,ISNUMBER(R9)),R9,"")</t>
  </si>
  <si>
    <t>T10</t>
  </si>
  <si>
    <t>IN PROGRESS — T-092/T-093/T-209 authorities are green. Three part-commits exist but no closure. Finish the second wire, frontend consumers and Wave-C proof under the same T-094 scope; do not reopen after closure.</t>
  </si>
  <si>
    <t>AM10</t>
  </si>
  <si>
    <t>=IF(ISNUMBER(J10),1,0)</t>
  </si>
  <si>
    <t>=IF(AND(ISNUMBER(J10),OR(AR10="INHERITED ESTIMATE",AR10="CONFIRMED ESTIMATE")),1,0)</t>
  </si>
  <si>
    <t>AS10</t>
  </si>
  <si>
    <t>=IF(AM10=1,J10,"")</t>
  </si>
  <si>
    <t>AT10</t>
  </si>
  <si>
    <t>=IF(AND(AM10=1,ISNUMBER(R10)),R10,"")</t>
  </si>
  <si>
    <t>T11</t>
  </si>
  <si>
    <t>Start immediately. No later M2 mutating work begins on the shared tree before this close.</t>
  </si>
  <si>
    <t>AM11</t>
  </si>
  <si>
    <t>=IF(ISNUMBER(J11),1,0)</t>
  </si>
  <si>
    <t>=IF(AND(ISNUMBER(J11),OR(AR11="INHERITED ESTIMATE",AR11="CONFIRMED ESTIMATE")),1,0)</t>
  </si>
  <si>
    <t>AS11</t>
  </si>
  <si>
    <t>=IF(AM11=1,J11,"")</t>
  </si>
  <si>
    <t>AT11</t>
  </si>
  <si>
    <t>=IF(AND(AM11=1,ISNUMBER(R11)),R11,"")</t>
  </si>
  <si>
    <t>T12</t>
  </si>
  <si>
    <t>T-201 committed/frozen baseline.</t>
  </si>
  <si>
    <t>AM12</t>
  </si>
  <si>
    <t>=IF(ISNUMBER(J12),1,0)</t>
  </si>
  <si>
    <t>=IF(AND(ISNUMBER(J12),OR(AR12="INHERITED ESTIMATE",AR12="CONFIRMED ESTIMATE")),1,0)</t>
  </si>
  <si>
    <t>AS12</t>
  </si>
  <si>
    <t>=IF(AM12=1,J12,"")</t>
  </si>
  <si>
    <t>AT12</t>
  </si>
  <si>
    <t>=IF(AND(AM12=1,ISNUMBER(R12)),R12,"")</t>
  </si>
  <si>
    <t>T13</t>
  </si>
  <si>
    <t>T-201; may run in parallel with T-202 on non-overlapping test files.</t>
  </si>
  <si>
    <t>AM13</t>
  </si>
  <si>
    <t>=IF(ISNUMBER(J13),1,0)</t>
  </si>
  <si>
    <t>=IF(AND(ISNUMBER(J13),OR(AR13="INHERITED ESTIMATE",AR13="CONFIRMED ESTIMATE")),1,0)</t>
  </si>
  <si>
    <t>AS13</t>
  </si>
  <si>
    <t>=IF(AM13=1,J13,"")</t>
  </si>
  <si>
    <t>AT13</t>
  </si>
  <si>
    <t>=IF(AND(AM13=1,ISNUMBER(R13)),R13,"")</t>
  </si>
  <si>
    <t>T14</t>
  </si>
  <si>
    <t>T-201; resolve current associative ownership first.</t>
  </si>
  <si>
    <t>AM14</t>
  </si>
  <si>
    <t>=IF(ISNUMBER(J14),1,0)</t>
  </si>
  <si>
    <t>=IF(AND(ISNUMBER(J14),OR(AR14="INHERITED ESTIMATE",AR14="CONFIRMED ESTIMATE")),1,0)</t>
  </si>
  <si>
    <t>AS14</t>
  </si>
  <si>
    <t>=IF(AM14=1,J14,"")</t>
  </si>
  <si>
    <t>AT14</t>
  </si>
  <si>
    <t>=IF(AND(AM14=1,ISNUMBER(R14)),R14,"")</t>
  </si>
  <si>
    <t>T15</t>
  </si>
  <si>
    <t>CLOSED GREEN 2026-08-30 at b7fcc890. Infrastructure gate certified. Do not rerun full T-205 Certify unless the T-205 gate/validator/watchdog/reaper/evidence contract itself changes.</t>
  </si>
  <si>
    <t>AM15</t>
  </si>
  <si>
    <t>=IF(ISNUMBER(J15),1,0)</t>
  </si>
  <si>
    <t>=IF(AND(ISNUMBER(J15),OR(AR15="INHERITED ESTIMATE",AR15="CONFIRMED ESTIMATE")),1,0)</t>
  </si>
  <si>
    <t>AS15</t>
  </si>
  <si>
    <t>=IF(AM15=1,J15,"")</t>
  </si>
  <si>
    <t>AT15</t>
  </si>
  <si>
    <t>=IF(AND(AM15=1,ISNUMBER(R15)),R15,"")</t>
  </si>
  <si>
    <t>T16</t>
  </si>
  <si>
    <t>T-201. Isolated architecture test files only until each product owner consumes findings.</t>
  </si>
  <si>
    <t>AM16</t>
  </si>
  <si>
    <t>=IF(ISNUMBER(J16),1,0)</t>
  </si>
  <si>
    <t>=IF(AND(ISNUMBER(J16),OR(AR16="INHERITED ESTIMATE",AR16="CONFIRMED ESTIMATE")),1,0)</t>
  </si>
  <si>
    <t>AS16</t>
  </si>
  <si>
    <t>=IF(AM16=1,J16,"")</t>
  </si>
  <si>
    <t>AT16</t>
  </si>
  <si>
    <t>=IF(AND(AM16=1,ISNUMBER(R16)),R16,"")</t>
  </si>
  <si>
    <t>T17</t>
  </si>
  <si>
    <t>T-201. May run in parallel with T-206; no production DB migration/DI.</t>
  </si>
  <si>
    <t>AM17</t>
  </si>
  <si>
    <t>=IF(ISNUMBER(J17),1,0)</t>
  </si>
  <si>
    <t>=IF(AND(ISNUMBER(J17),OR(AR17="INHERITED ESTIMATE",AR17="CONFIRMED ESTIMATE")),1,0)</t>
  </si>
  <si>
    <t>AS17</t>
  </si>
  <si>
    <t>=IF(AM17=1,J17,"")</t>
  </si>
  <si>
    <t>AT17</t>
  </si>
  <si>
    <t>=IF(AND(AM17=1,ISNUMBER(R17)),R17,"")</t>
  </si>
  <si>
    <t>T18</t>
  </si>
  <si>
    <t>T-208 only; no production DB dependency.</t>
  </si>
  <si>
    <t>AM18</t>
  </si>
  <si>
    <t>=IF(ISNUMBER(J18),1,0)</t>
  </si>
  <si>
    <t>=IF(AND(ISNUMBER(J18),OR(AR18="INHERITED ESTIMATE",AR18="CONFIRMED ESTIMATE")),1,0)</t>
  </si>
  <si>
    <t>AS18</t>
  </si>
  <si>
    <t>=IF(AM18=1,J18,"")</t>
  </si>
  <si>
    <t>AT18</t>
  </si>
  <si>
    <t>=IF(AND(AM18=1,ISNUMBER(R18)),R18,"")</t>
  </si>
  <si>
    <t>T19</t>
  </si>
  <si>
    <t>T-209 + T-090. Complete before T-092 exposes measures and before T-211 integration.</t>
  </si>
  <si>
    <t>AM19</t>
  </si>
  <si>
    <t>=IF(ISNUMBER(J19),1,0)</t>
  </si>
  <si>
    <t>=IF(AND(ISNUMBER(J19),OR(AR19="INHERITED ESTIMATE",AR19="CONFIRMED ESTIMATE")),1,0)</t>
  </si>
  <si>
    <t>AS19</t>
  </si>
  <si>
    <t>=IF(AM19=1,J19,"")</t>
  </si>
  <si>
    <t>AT19</t>
  </si>
  <si>
    <t>=IF(AND(AM19=1,ISNUMBER(R19)),R19,"")</t>
  </si>
  <si>
    <t>T20</t>
  </si>
  <si>
    <t>T-208 fixture; no canonical DB dependency.</t>
  </si>
  <si>
    <t>AM20</t>
  </si>
  <si>
    <t>=IF(ISNUMBER(J20),1,0)</t>
  </si>
  <si>
    <t>=IF(AND(ISNUMBER(J20),OR(AR20="INHERITED ESTIMATE",AR20="CONFIRMED ESTIMATE")),1,0)</t>
  </si>
  <si>
    <t>AS20</t>
  </si>
  <si>
    <t>=IF(AM20=1,J20,"")</t>
  </si>
  <si>
    <t>AT20</t>
  </si>
  <si>
    <t>=IF(AND(AM20=1,ISNUMBER(R20)),R20,"")</t>
  </si>
  <si>
    <t>T21</t>
  </si>
  <si>
    <t>T-090 + committed T-209 contract.</t>
  </si>
  <si>
    <t>AM21</t>
  </si>
  <si>
    <t>=IF(ISNUMBER(J21),1,0)</t>
  </si>
  <si>
    <t>=IF(AND(ISNUMBER(J21),OR(AR21="INHERITED ESTIMATE",AR21="CONFIRMED ESTIMATE")),1,0)</t>
  </si>
  <si>
    <t>AS21</t>
  </si>
  <si>
    <t>=IF(AM21=1,J21,"")</t>
  </si>
  <si>
    <t>AT21</t>
  </si>
  <si>
    <t>=IF(AND(AM21=1,ISNUMBER(R21)),R21,"")</t>
  </si>
  <si>
    <t>T22</t>
  </si>
  <si>
    <t>T-205 CLOSED GREEN at b7fcc890. Two read-only adjudication extracts are sufficient; no third diagnostic runner. Build one corrective pack, run narrow tests, then one normal full frontend suite.</t>
  </si>
  <si>
    <t>AM22</t>
  </si>
  <si>
    <t>=IF(ISNUMBER(J22),1,0)</t>
  </si>
  <si>
    <t>=IF(AND(ISNUMBER(J22),OR(AR22="INHERITED ESTIMATE",AR22="CONFIRMED ESTIMATE")),1,0)</t>
  </si>
  <si>
    <t>AS22</t>
  </si>
  <si>
    <t>=IF(AM22=1,J22,"")</t>
  </si>
  <si>
    <t>AT22</t>
  </si>
  <si>
    <t>=IF(AND(AM22=1,ISNUMBER(R22)),R22,"")</t>
  </si>
  <si>
    <t>T23</t>
  </si>
  <si>
    <t>PAUSED AFTER MACHINE INSTALL/CENSUS. T-260 is the immediate blocker because the designated fresh certification DB was proven to be built from an incomplete canonical path. Do not adjudicate the current fresh-DB 106/81 queue. Resume T-251 only after T-260 rebuilds `ppiq_acceptance_empty` correctly and produces a new census.</t>
  </si>
  <si>
    <t>Y23</t>
  </si>
  <si>
    <t>Recover an explicitly supplied closure anchor, not a guessed commit.</t>
  </si>
  <si>
    <t>AM23</t>
  </si>
  <si>
    <t>=IF(ISNUMBER(J23),1,0)</t>
  </si>
  <si>
    <t>=IF(AND(ISNUMBER(J23),OR(AR23="INHERITED ESTIMATE",AR23="CONFIRMED ESTIMATE")),1,0)</t>
  </si>
  <si>
    <t>AP23</t>
  </si>
  <si>
    <t>Restore omitted historical closure evidence.</t>
  </si>
  <si>
    <t>AS23</t>
  </si>
  <si>
    <t>=IF(AM23=1,J23,"")</t>
  </si>
  <si>
    <t>AT23</t>
  </si>
  <si>
    <t>=IF(AND(AM23=1,ISNUMBER(R23)),R23,"")</t>
  </si>
  <si>
    <t>T24</t>
  </si>
  <si>
    <t>P1 PROMOTION IN v2.20.0 — start immediately after T-251 closes. Certification infrastructure must stop touching shared/live databases before further database/runtime closure work. One task, one disposable-DB lifecycle; no mutation of ppiq_app/ppiq_presentation as fixtures.</t>
  </si>
  <si>
    <t>AM24</t>
  </si>
  <si>
    <t>=IF(ISNUMBER(J24),1,0)</t>
  </si>
  <si>
    <t>=IF(AND(ISNUMBER(J24),OR(AR24="INHERITED ESTIMATE",AR24="CONFIRMED ESTIMATE")),1,0)</t>
  </si>
  <si>
    <t>AS24</t>
  </si>
  <si>
    <t>=IF(AM24=1,J24,"")</t>
  </si>
  <si>
    <t>AT24</t>
  </si>
  <si>
    <t>=IF(AND(AM24=1,ISNUMBER(R24)),R24,"")</t>
  </si>
  <si>
    <t>T25</t>
  </si>
  <si>
    <t>Worker-1 local P1 sequence is T-251 → T-259 → T-252. T-256 starts only when BOTH T-252 and Worker-2 T-253 are CLOSED GREEN. If T-252 finishes first and T-253 is still open, STOP and return to CENTRAL for a disjoint Worker-1 lane; do not start T-256 partially and do not duplicate the projection-target predicate.</t>
  </si>
  <si>
    <t>Y25</t>
  </si>
  <si>
    <t>T-262 terminal closure identifies its parent as T-256; preserve short evidence only.</t>
  </si>
  <si>
    <t>AM25</t>
  </si>
  <si>
    <t>=IF(ISNUMBER(J25),1,0)</t>
  </si>
  <si>
    <t>=IF(AND(ISNUMBER(J25),OR(AR25="INHERITED ESTIMATE",AR25="CONFIRMED ESTIMATE")),1,0)</t>
  </si>
  <si>
    <t>AP25</t>
  </si>
  <si>
    <t>Separate short ancestry corroboration from full task runtime proof.</t>
  </si>
  <si>
    <t>AS25</t>
  </si>
  <si>
    <t>=IF(AM25=1,J25,"")</t>
  </si>
  <si>
    <t>AT25</t>
  </si>
  <si>
    <t>=IF(AND(AM25=1,ISNUMBER(R25)),R25,"")</t>
  </si>
  <si>
    <t>T26</t>
  </si>
  <si>
    <t>Worker-1 P1 sequence is now T-251 → T-259 → T-252 → T-256. Start only after T-251 closes; contract-only bounded task.</t>
  </si>
  <si>
    <t>AM26</t>
  </si>
  <si>
    <t>=IF(ISNUMBER(J26),1,0)</t>
  </si>
  <si>
    <t>=IF(AND(ISNUMBER(J26),OR(AR26="INHERITED ESTIMATE",AR26="CONFIRMED ESTIMATE")),1,0)</t>
  </si>
  <si>
    <t>AS26</t>
  </si>
  <si>
    <t>=IF(AM26=1,J26,"")</t>
  </si>
  <si>
    <t>AT26</t>
  </si>
  <si>
    <t>=IF(AND(AM26=1,ISNUMBER(R26)),R26,"")</t>
  </si>
  <si>
    <t>T27</t>
  </si>
  <si>
    <t>START NOW as the narrow blocker discovered by T-251. Pause catalogue adjudication; do not hand-classify the current 106/81 fresh-DB queue. Build/fix the canonical acceptance DB first, then resume T-251 on the corrected census.</t>
  </si>
  <si>
    <t>AM27</t>
  </si>
  <si>
    <t>=IF(ISNUMBER(J27),1,0)</t>
  </si>
  <si>
    <t>=IF(AND(ISNUMBER(J27),OR(AR27="INHERITED ESTIMATE",AR27="CONFIRMED ESTIMATE")),1,0)</t>
  </si>
  <si>
    <t>AS27</t>
  </si>
  <si>
    <t>=IF(AM27=1,J27,"")</t>
  </si>
  <si>
    <t>AT27</t>
  </si>
  <si>
    <t>=IF(AND(AM27=1,ISNUMBER(R27)),R27,"")</t>
  </si>
  <si>
    <t>T28</t>
  </si>
  <si>
    <t>WAIT for Presentation RC freeze/tag + clean index/worktree. Then: T-057 M1 relationship contract + T-089 + T-090 + T-094.</t>
  </si>
  <si>
    <t>AM28</t>
  </si>
  <si>
    <t>=IF(ISNUMBER(J28),1,0)</t>
  </si>
  <si>
    <t>=IF(AND(ISNUMBER(J28),OR(AR28="INHERITED ESTIMATE",AR28="CONFIRMED ESTIMATE")),1,0)</t>
  </si>
  <si>
    <t>AS28</t>
  </si>
  <si>
    <t>=IF(AM28=1,J28,"")</t>
  </si>
  <si>
    <t>AT28</t>
  </si>
  <si>
    <t>=IF(AND(AM28=1,ISNUMBER(R28)),R28,"")</t>
  </si>
  <si>
    <t>T29</t>
  </si>
  <si>
    <t>WAIT for Presentation RC freeze/tag + clean index/worktree. Then: T-095 canonical relationship publication/model complete.</t>
  </si>
  <si>
    <t>AM29</t>
  </si>
  <si>
    <t>=IF(ISNUMBER(J29),1,0)</t>
  </si>
  <si>
    <t>=IF(AND(ISNUMBER(J29),OR(AR29="INHERITED ESTIMATE",AR29="CONFIRMED ESTIMATE")),1,0)</t>
  </si>
  <si>
    <t>AS29</t>
  </si>
  <si>
    <t>=IF(AM29=1,J29,"")</t>
  </si>
  <si>
    <t>AT29</t>
  </si>
  <si>
    <t>=IF(AND(AM29=1,ISNUMBER(R29)),R29,"")</t>
  </si>
  <si>
    <t>T30</t>
  </si>
  <si>
    <t>WAIT for Presentation RC freeze/tag + clean index/worktree. Then: T-096 first resolver consumers green.</t>
  </si>
  <si>
    <t>AM30</t>
  </si>
  <si>
    <t>=IF(ISNUMBER(J30),1,0)</t>
  </si>
  <si>
    <t>=IF(AND(ISNUMBER(J30),OR(AR30="INHERITED ESTIMATE",AR30="CONFIRMED ESTIMATE")),1,0)</t>
  </si>
  <si>
    <t>AS30</t>
  </si>
  <si>
    <t>=IF(AM30=1,J30,"")</t>
  </si>
  <si>
    <t>AT30</t>
  </si>
  <si>
    <t>=IF(AND(AM30=1,ISNUMBER(R30)),R30,"")</t>
  </si>
  <si>
    <t>T31</t>
  </si>
  <si>
    <t>WAIT for Presentation RC freeze/tag + clean index/worktree. Then: T-060 M1 C6 surface + T-095 + T-096 + T-097.</t>
  </si>
  <si>
    <t>Historical Presentation RC is not a new blocking workstream; preserve explicit producer requirements and clean-tree safety.</t>
  </si>
  <si>
    <t>Current M2 scope; original T-086 baseline retained; Pasted text(20260910-105308).txt shows ancestry with unrelated non-product dirt retained.</t>
  </si>
  <si>
    <t>AM31</t>
  </si>
  <si>
    <t>=IF(ISNUMBER(J31),1,0)</t>
  </si>
  <si>
    <t>=IF(AND(ISNUMBER(J31),OR(AR31="INHERITED ESTIMATE",AR31="CONFIRMED ESTIMATE")),1,0)</t>
  </si>
  <si>
    <t>AS31</t>
  </si>
  <si>
    <t>=IF(AM31=1,J31,"")</t>
  </si>
  <si>
    <t>AT31</t>
  </si>
  <si>
    <t>=IF(AND(AM31=1,ISNUMBER(R31)),R31,"")</t>
  </si>
  <si>
    <t>T32</t>
  </si>
  <si>
    <t>WAIT for Presentation RC freeze/tag + clean index/worktree. Then: T-087 canonical staging schema + T-089/T-090 definition_versions authority.</t>
  </si>
  <si>
    <t>AM32</t>
  </si>
  <si>
    <t>=IF(ISNUMBER(J32),1,0)</t>
  </si>
  <si>
    <t>=IF(AND(ISNUMBER(J32),OR(AR32="INHERITED ESTIMATE",AR32="CONFIRMED ESTIMATE")),1,0)</t>
  </si>
  <si>
    <t>AO32</t>
  </si>
  <si>
    <t>No reopening and no release-wide claim.</t>
  </si>
  <si>
    <t>Pasted text(20260914-134548).txt | lines430-450; final gatesQ/R; COMMITca02b40ea1b69050a45cb35a3e1d64f15b1f66af; PARENT86e1b677212195f191697ecdca7e9441b3dbde33; live49/49, catalogue5/5, owned19/19; not release-wideGREEN.</t>
  </si>
  <si>
    <t>AP32</t>
  </si>
  <si>
    <t>Upgrade attribution from owner summary only to an available executed transcript; preserve SHA,parent,status and caveat.</t>
  </si>
  <si>
    <t>AS32</t>
  </si>
  <si>
    <t>=IF(AM32=1,J32,"")</t>
  </si>
  <si>
    <t>AT32</t>
  </si>
  <si>
    <t>=IF(AND(AM32=1,ISNUMBER(R32)),R32,"")</t>
  </si>
  <si>
    <t>T33</t>
  </si>
  <si>
    <t>WAIT for Presentation RC freeze/tag + clean index/worktree. Then: T-099 canonical quarantine table/API and first eight PV classes.</t>
  </si>
  <si>
    <t>Use the accepted M1 regression baseline; require empty index and clean owned paths, preserving unrelated user work. Then: T-099 canonical quarantine table/API and first eight PV classes.</t>
  </si>
  <si>
    <t>AM33</t>
  </si>
  <si>
    <t>=IF(ISNUMBER(J33),1,0)</t>
  </si>
  <si>
    <t>=IF(AND(ISNUMBER(J33),OR(AR33="INHERITED ESTIMATE",AR33="CONFIRMED ESTIMATE")),1,0)</t>
  </si>
  <si>
    <t>AS33</t>
  </si>
  <si>
    <t>=IF(AM33=1,J33,"")</t>
  </si>
  <si>
    <t>AT33</t>
  </si>
  <si>
    <t>=IF(AND(AM33=1,ISNUMBER(R33)),R33,"")</t>
  </si>
  <si>
    <t>T34</t>
  </si>
  <si>
    <t>WAIT for Presentation RC freeze/tag + clean index/worktree. Then: T-061 final M1 API/page contract + T-099 + T-100 canonical quarantine impleme...</t>
  </si>
  <si>
    <t>Do not silently complete truncated engineering requirements.</t>
  </si>
  <si>
    <t>Literal trailing ellipsis in original Backlog columnT; original preserved.</t>
  </si>
  <si>
    <t>AJ34</t>
  </si>
  <si>
    <t>Preserve historical figures without presenting them as current widened-scope estimates.</t>
  </si>
  <si>
    <t>Current row explicitly records a v2.22 scope change.</t>
  </si>
  <si>
    <t>AM34</t>
  </si>
  <si>
    <t>=IF(ISNUMBER(J34),1,0)</t>
  </si>
  <si>
    <t>=IF(AND(ISNUMBER(J34),OR(AR34="INHERITED ESTIMATE",AR34="CONFIRMED ESTIMATE")),1,0)</t>
  </si>
  <si>
    <t>AR34</t>
  </si>
  <si>
    <t>AJ already declares changed scope; AR and totals must reflect that.</t>
  </si>
  <si>
    <t>Backlog!AJ34 vs AR34</t>
  </si>
  <si>
    <t>AS34</t>
  </si>
  <si>
    <t>=IF(AM34=1,J34,"")</t>
  </si>
  <si>
    <t>AT34</t>
  </si>
  <si>
    <t>=IF(AND(AM34=1,ISNUMBER(R34)),R34,"")</t>
  </si>
  <si>
    <t>T35</t>
  </si>
  <si>
    <t>WAIT for Presentation RC freeze/tag + clean index/worktree. Then: T-087 canonical plant schema + T-095 relationship/material identity authority.</t>
  </si>
  <si>
    <t>AM35</t>
  </si>
  <si>
    <t>=IF(ISNUMBER(J35),1,0)</t>
  </si>
  <si>
    <t>=IF(AND(ISNUMBER(J35),OR(AR35="INHERITED ESTIMATE",AR35="CONFIRMED ESTIMATE")),1,0)</t>
  </si>
  <si>
    <t>AS35</t>
  </si>
  <si>
    <t>=IF(AM35=1,J35,"")</t>
  </si>
  <si>
    <t>AT35</t>
  </si>
  <si>
    <t>=IF(AND(AM35=1,ISNUMBER(R35)),R35,"")</t>
  </si>
  <si>
    <t>T36</t>
  </si>
  <si>
    <t>WAIT for Presentation RC freeze/tag + clean index/worktree. Then: T-095 + T-102 canonical relationship/identity authority.</t>
  </si>
  <si>
    <t>AJ36</t>
  </si>
  <si>
    <t>AM36</t>
  </si>
  <si>
    <t>=IF(ISNUMBER(J36),1,0)</t>
  </si>
  <si>
    <t>=IF(AND(ISNUMBER(J36),OR(AR36="INHERITED ESTIMATE",AR36="CONFIRMED ESTIMATE")),1,0)</t>
  </si>
  <si>
    <t>AR36</t>
  </si>
  <si>
    <t>Backlog!AJ36 vs AR36</t>
  </si>
  <si>
    <t>AS36</t>
  </si>
  <si>
    <t>=IF(AM36=1,J36,"")</t>
  </si>
  <si>
    <t>AT36</t>
  </si>
  <si>
    <t>=IF(AND(AM36=1,ISNUMBER(R36)),R36,"")</t>
  </si>
  <si>
    <t>T37</t>
  </si>
  <si>
    <t>WAIT for Presentation RC freeze/tag + clean index/worktree. Then: T-090 canonical versioned mapping definitions + T-095 relationship authority ...</t>
  </si>
  <si>
    <t>AJ37</t>
  </si>
  <si>
    <t>AM37</t>
  </si>
  <si>
    <t>=IF(ISNUMBER(J37),1,0)</t>
  </si>
  <si>
    <t>=IF(AND(ISNUMBER(J37),OR(AR37="INHERITED ESTIMATE",AR37="CONFIRMED ESTIMATE")),1,0)</t>
  </si>
  <si>
    <t>AR37</t>
  </si>
  <si>
    <t>Backlog!AJ37 vs AR37</t>
  </si>
  <si>
    <t>AS37</t>
  </si>
  <si>
    <t>=IF(AM37=1,J37,"")</t>
  </si>
  <si>
    <t>AT37</t>
  </si>
  <si>
    <t>=IF(AND(AM37=1,ISNUMBER(R37)),R37,"")</t>
  </si>
  <si>
    <t>Y38</t>
  </si>
  <si>
    <t>Exact full commits recovered from the final corrective transcript.</t>
  </si>
  <si>
    <t>Pasted text(20260910-102642).txt | lines244-261, T-106 FINAL RESULT: corrective COMMITTED GREEN a5451dbaf6b55183fe65e2c626c49fdef85bd986; foundation8b3eb5c89352a2779d87f9205700f19e7c9b3e25;22corrective,26foundation,84target-regression,15architecture tests;24owned paths;CENTRAL freeze after review.</t>
  </si>
  <si>
    <t>AI38</t>
  </si>
  <si>
    <t>Keep capability evidence consistent with the recovered final output.</t>
  </si>
  <si>
    <t>AM38</t>
  </si>
  <si>
    <t>=IF(ISNUMBER(J38),1,0)</t>
  </si>
  <si>
    <t>=IF(AND(ISNUMBER(J38),OR(AR38="INHERITED ESTIMATE",AR38="CONFIRMED ESTIMATE")),1,0)</t>
  </si>
  <si>
    <t>AO38</t>
  </si>
  <si>
    <t>Separate historical producer evidence from current outstanding scope.</t>
  </si>
  <si>
    <t>Pasted text(20260910-105308).txt | executed preflight at 2026-09-10 13:30:05, lines39-58; T-243 closure 6f65bba1 is an ancestor; T-106 a5451dba and 8b3eb5c8 also ancestors.</t>
  </si>
  <si>
    <t>AP38</t>
  </si>
  <si>
    <t>Do not lose a real committed baseline or promote it to closure of later scope.</t>
  </si>
  <si>
    <t>AS38</t>
  </si>
  <si>
    <t>=IF(AM38=1,J38,"")</t>
  </si>
  <si>
    <t>AT38</t>
  </si>
  <si>
    <t>=IF(AND(AM38=1,ISNUMBER(R38)),R38,"")</t>
  </si>
  <si>
    <t>T39</t>
  </si>
  <si>
    <t>WAIT for Presentation RC freeze/tag + clean index/worktree. Then: T-106 canonical job contract + T-095..T-105 canonical data/relationship path;...</t>
  </si>
  <si>
    <t>AM39</t>
  </si>
  <si>
    <t>=IF(ISNUMBER(J39),1,0)</t>
  </si>
  <si>
    <t>=IF(AND(ISNUMBER(J39),OR(AR39="INHERITED ESTIMATE",AR39="CONFIRMED ESTIMATE")),1,0)</t>
  </si>
  <si>
    <t>AS39</t>
  </si>
  <si>
    <t>=IF(AM39=1,J39,"")</t>
  </si>
  <si>
    <t>AT39</t>
  </si>
  <si>
    <t>=IF(AND(AM39=1,ISNUMBER(R39)),R39,"")</t>
  </si>
  <si>
    <t>AM40</t>
  </si>
  <si>
    <t>=IF(ISNUMBER(J40),1,0)</t>
  </si>
  <si>
    <t>=IF(AND(ISNUMBER(J40),OR(AR40="INHERITED ESTIMATE",AR40="CONFIRMED ESTIMATE")),1,0)</t>
  </si>
  <si>
    <t>AS40</t>
  </si>
  <si>
    <t>=IF(AM40=1,J40,"")</t>
  </si>
  <si>
    <t>AT40</t>
  </si>
  <si>
    <t>=IF(AND(AM40=1,ISNUMBER(R40)),R40,"")</t>
  </si>
  <si>
    <t>T41</t>
  </si>
  <si>
    <t>WAIT for Presentation RC freeze/tag + clean index/worktree. Then: T-095..T-105; T-108</t>
  </si>
  <si>
    <t>AM41</t>
  </si>
  <si>
    <t>=IF(ISNUMBER(J41),1,0)</t>
  </si>
  <si>
    <t>=IF(AND(ISNUMBER(J41),OR(AR41="INHERITED ESTIMATE",AR41="CONFIRMED ESTIMATE")),1,0)</t>
  </si>
  <si>
    <t>AS41</t>
  </si>
  <si>
    <t>=IF(AM41=1,J41,"")</t>
  </si>
  <si>
    <t>AT41</t>
  </si>
  <si>
    <t>=IF(AND(AM41=1,ISNUMBER(R41)),R41,"")</t>
  </si>
  <si>
    <t>T42</t>
  </si>
  <si>
    <t>T-201. Does not implement production OPC; truth-corrects the current connector contract only.</t>
  </si>
  <si>
    <t>AM42</t>
  </si>
  <si>
    <t>=IF(ISNUMBER(J42),1,0)</t>
  </si>
  <si>
    <t>=IF(AND(ISNUMBER(J42),OR(AR42="INHERITED ESTIMATE",AR42="CONFIRMED ESTIMATE")),1,0)</t>
  </si>
  <si>
    <t>AS42</t>
  </si>
  <si>
    <t>=IF(AM42=1,J42,"")</t>
  </si>
  <si>
    <t>AT42</t>
  </si>
  <si>
    <t>=IF(AND(AM42=1,ISNUMBER(R42)),R42,"")</t>
  </si>
  <si>
    <t>AM43</t>
  </si>
  <si>
    <t>=IF(ISNUMBER(J43),1,0)</t>
  </si>
  <si>
    <t>=IF(AND(ISNUMBER(J43),OR(AR43="INHERITED ESTIMATE",AR43="CONFIRMED ESTIMATE")),1,0)</t>
  </si>
  <si>
    <t>AS43</t>
  </si>
  <si>
    <t>=IF(AM43=1,J43,"")</t>
  </si>
  <si>
    <t>AT43</t>
  </si>
  <si>
    <t>=IF(AND(AM43=1,ISNUMBER(R43)),R43,"")</t>
  </si>
  <si>
    <t>T44</t>
  </si>
  <si>
    <t>External gate: customer data structure received (expected 2-Sep-2026) + T-201/T-206 green.</t>
  </si>
  <si>
    <t>AM44</t>
  </si>
  <si>
    <t>=IF(ISNUMBER(J44),1,0)</t>
  </si>
  <si>
    <t>=IF(AND(ISNUMBER(J44),OR(AR44="INHERITED ESTIMATE",AR44="CONFIRMED ESTIMATE")),1,0)</t>
  </si>
  <si>
    <t>AS44</t>
  </si>
  <si>
    <t>=IF(AM44=1,J44,"")</t>
  </si>
  <si>
    <t>AT44</t>
  </si>
  <si>
    <t>=IF(AND(AM44=1,ISNUMBER(R44)),R44,"")</t>
  </si>
  <si>
    <t>AM45</t>
  </si>
  <si>
    <t>=IF(ISNUMBER(J45),1,0)</t>
  </si>
  <si>
    <t>=IF(AND(ISNUMBER(J45),OR(AR45="INHERITED ESTIMATE",AR45="CONFIRMED ESTIMATE")),1,0)</t>
  </si>
  <si>
    <t>AS45</t>
  </si>
  <si>
    <t>=IF(AM45=1,J45,"")</t>
  </si>
  <si>
    <t>AT45</t>
  </si>
  <si>
    <t>=IF(AND(AM45=1,ISNUMBER(R45)),R45,"")</t>
  </si>
  <si>
    <t>AM46</t>
  </si>
  <si>
    <t>=IF(ISNUMBER(J46),1,0)</t>
  </si>
  <si>
    <t>=IF(AND(ISNUMBER(J46),OR(AR46="INHERITED ESTIMATE",AR46="CONFIRMED ESTIMATE")),1,0)</t>
  </si>
  <si>
    <t>AS46</t>
  </si>
  <si>
    <t>=IF(AM46=1,J46,"")</t>
  </si>
  <si>
    <t>AT46</t>
  </si>
  <si>
    <t>=IF(AND(AM46=1,ISNUMBER(R46)),R46,"")</t>
  </si>
  <si>
    <t>AM47</t>
  </si>
  <si>
    <t>=IF(ISNUMBER(J47),1,0)</t>
  </si>
  <si>
    <t>=IF(AND(ISNUMBER(J47),OR(AR47="INHERITED ESTIMATE",AR47="CONFIRMED ESTIMATE")),1,0)</t>
  </si>
  <si>
    <t>AS47</t>
  </si>
  <si>
    <t>=IF(AM47=1,J47,"")</t>
  </si>
  <si>
    <t>AT47</t>
  </si>
  <si>
    <t>=IF(AND(AM47=1,ISNUMBER(R47)),R47,"")</t>
  </si>
  <si>
    <t>AM48</t>
  </si>
  <si>
    <t>=IF(ISNUMBER(J48),1,0)</t>
  </si>
  <si>
    <t>=IF(AND(ISNUMBER(J48),OR(AR48="INHERITED ESTIMATE",AR48="CONFIRMED ESTIMATE")),1,0)</t>
  </si>
  <si>
    <t>AS48</t>
  </si>
  <si>
    <t>=IF(AM48=1,J48,"")</t>
  </si>
  <si>
    <t>AT48</t>
  </si>
  <si>
    <t>=IF(AND(AM48=1,ISNUMBER(R48)),R48,"")</t>
  </si>
  <si>
    <t>AM49</t>
  </si>
  <si>
    <t>=IF(ISNUMBER(J49),1,0)</t>
  </si>
  <si>
    <t>=IF(AND(ISNUMBER(J49),OR(AR49="INHERITED ESTIMATE",AR49="CONFIRMED ESTIMATE")),1,0)</t>
  </si>
  <si>
    <t>AS49</t>
  </si>
  <si>
    <t>=IF(AM49=1,J49,"")</t>
  </si>
  <si>
    <t>AT49</t>
  </si>
  <si>
    <t>=IF(AND(AM49=1,ISNUMBER(R49)),R49,"")</t>
  </si>
  <si>
    <t>AJ50</t>
  </si>
  <si>
    <t>AM50</t>
  </si>
  <si>
    <t>=IF(ISNUMBER(J50),1,0)</t>
  </si>
  <si>
    <t>=IF(AND(ISNUMBER(J50),OR(AR50="INHERITED ESTIMATE",AR50="CONFIRMED ESTIMATE")),1,0)</t>
  </si>
  <si>
    <t>AR50</t>
  </si>
  <si>
    <t>Backlog!AJ50 vs AR50</t>
  </si>
  <si>
    <t>AS50</t>
  </si>
  <si>
    <t>=IF(AM50=1,J50,"")</t>
  </si>
  <si>
    <t>AT50</t>
  </si>
  <si>
    <t>=IF(AND(AM50=1,ISNUMBER(R50)),R50,"")</t>
  </si>
  <si>
    <t>T51</t>
  </si>
  <si>
    <t>CLOSED — Release-1 Canvas prerequisite. Preserve evidence; do not reopen absent contradictory regression evidence.</t>
  </si>
  <si>
    <t>AM51</t>
  </si>
  <si>
    <t>=IF(ISNUMBER(J51),1,0)</t>
  </si>
  <si>
    <t>=IF(AND(ISNUMBER(J51),OR(AR51="INHERITED ESTIMATE",AR51="CONFIRMED ESTIMATE")),1,0)</t>
  </si>
  <si>
    <t>AS51</t>
  </si>
  <si>
    <t>=IF(AM51=1,J51,"")</t>
  </si>
  <si>
    <t>AT51</t>
  </si>
  <si>
    <t>=IF(AND(AM51=1,ISNUMBER(R51)),R51,"")</t>
  </si>
  <si>
    <t>T52</t>
  </si>
  <si>
    <t>Release 1 MUST — execute after T-241 and T-210; must close before T-243/T-247.</t>
  </si>
  <si>
    <t>AM52</t>
  </si>
  <si>
    <t>=IF(ISNUMBER(J52),1,0)</t>
  </si>
  <si>
    <t>=IF(AND(ISNUMBER(J52),OR(AR52="INHERITED ESTIMATE",AR52="CONFIRMED ESTIMATE")),1,0)</t>
  </si>
  <si>
    <t>AS52</t>
  </si>
  <si>
    <t>=IF(AM52=1,J52,"")</t>
  </si>
  <si>
    <t>AT52</t>
  </si>
  <si>
    <t>=IF(AND(AM52=1,ISNUMBER(R52)),R52,"")</t>
  </si>
  <si>
    <t>Y53</t>
  </si>
  <si>
    <t>Replace missing/incorrect commit evidence with retrieved source; short hashes remain short.</t>
  </si>
  <si>
    <t>AI53</t>
  </si>
  <si>
    <t>Capability/task evidence must not continue saying the source is only present.</t>
  </si>
  <si>
    <t>AJ53</t>
  </si>
  <si>
    <t>AM53</t>
  </si>
  <si>
    <t>=IF(ISNUMBER(J53),1,0)</t>
  </si>
  <si>
    <t>=IF(AND(ISNUMBER(J53),OR(AR53="INHERITED ESTIMATE",AR53="CONFIRMED ESTIMATE")),1,0)</t>
  </si>
  <si>
    <t>AO53</t>
  </si>
  <si>
    <t>AP53</t>
  </si>
  <si>
    <t>State exactly what the retrieved evidence proves and does not prove.</t>
  </si>
  <si>
    <t>AR53</t>
  </si>
  <si>
    <t>Backlog!AJ53 vs AR53</t>
  </si>
  <si>
    <t>AS53</t>
  </si>
  <si>
    <t>=IF(AM53=1,J53,"")</t>
  </si>
  <si>
    <t>AT53</t>
  </si>
  <si>
    <t>=IF(AND(AM53=1,ISNUMBER(R53)),R53,"")</t>
  </si>
  <si>
    <t>T54</t>
  </si>
  <si>
    <t>AM54</t>
  </si>
  <si>
    <t>=IF(ISNUMBER(J54),1,0)</t>
  </si>
  <si>
    <t>=IF(AND(ISNUMBER(J54),OR(AR54="INHERITED ESTIMATE",AR54="CONFIRMED ESTIMATE")),1,0)</t>
  </si>
  <si>
    <t>AS54</t>
  </si>
  <si>
    <t>=IF(AM54=1,J54,"")</t>
  </si>
  <si>
    <t>AT54</t>
  </si>
  <si>
    <t>=IF(AND(AM54=1,ISNUMBER(R54)),R54,"")</t>
  </si>
  <si>
    <t>AM55</t>
  </si>
  <si>
    <t>=IF(ISNUMBER(J55),1,0)</t>
  </si>
  <si>
    <t>=IF(AND(ISNUMBER(J55),OR(AR55="INHERITED ESTIMATE",AR55="CONFIRMED ESTIMATE")),1,0)</t>
  </si>
  <si>
    <t>AO55</t>
  </si>
  <si>
    <t>PREFLIGHT EXECUTED; IMPLEMENTATION NOT STARTED / BLOCKED</t>
  </si>
  <si>
    <t>Read-only T-245 preflight is not implementation or closure.</t>
  </si>
  <si>
    <t>AS55</t>
  </si>
  <si>
    <t>=IF(AM55=1,J55,"")</t>
  </si>
  <si>
    <t>AT55</t>
  </si>
  <si>
    <t>=IF(AND(AM55=1,ISNUMBER(R55)),R55,"")</t>
  </si>
  <si>
    <t>AM56</t>
  </si>
  <si>
    <t>=IF(ISNUMBER(J56),1,0)</t>
  </si>
  <si>
    <t>=IF(AND(ISNUMBER(J56),OR(AR56="INHERITED ESTIMATE",AR56="CONFIRMED ESTIMATE")),1,0)</t>
  </si>
  <si>
    <t>AS56</t>
  </si>
  <si>
    <t>=IF(AM56=1,J56,"")</t>
  </si>
  <si>
    <t>AT56</t>
  </si>
  <si>
    <t>=IF(AND(AM56=1,ISNUMBER(R56)),R56,"")</t>
  </si>
  <si>
    <t>T57</t>
  </si>
  <si>
    <t>CURRENT / IN PROGRESS. Measured current main HEAD is `aa57a503` (T-242) and there is zero T-243 product-source work. T-243 is therefore reset to Not Started and will begin fresh after T-253. Before authoring, run `git merge-base --is-ancestor 4d32c6b10b4605aeb6e0705ad03537d563125652 HEAD`; continue only on exit 0. Unrelated Documentation/audit dirt may remain unstaged, but all T-253 owned product paths must be clean and the commit must stage only owned paths. Rename the untracked task-number preflight script to a semantic filename before any commit.</t>
  </si>
  <si>
    <t>AM57</t>
  </si>
  <si>
    <t>=IF(ISNUMBER(J57),1,0)</t>
  </si>
  <si>
    <t>=IF(AND(ISNUMBER(J57),OR(AR57="INHERITED ESTIMATE",AR57="CONFIRMED ESTIMATE")),1,0)</t>
  </si>
  <si>
    <t>AS57</t>
  </si>
  <si>
    <t>=IF(AM57=1,J57,"")</t>
  </si>
  <si>
    <t>AT57</t>
  </si>
  <si>
    <t>=IF(AND(AM57=1,ISNUMBER(R57)),R57,"")</t>
  </si>
  <si>
    <t>K58</t>
  </si>
  <si>
    <t>Original delivery is closed; current widened task is partially delivered, not wholly Not Started. No claim that the new extension has started.</t>
  </si>
  <si>
    <t>Pasted text(20260910-064052).txt | T-254 CLOSED GREEN/FROZEN section; f8a35725c9b0d7fb5a0515c0103a72807a704a97. Historical frontend/website scope, not later backend-list extension.</t>
  </si>
  <si>
    <t>T58</t>
  </si>
  <si>
    <t>Start after T-253/T-243 checkpoint or while waiting for T-106, on disjoint DB-configuration/website truth files.</t>
  </si>
  <si>
    <t>Historical start instruction ignored an already-closed producer.</t>
  </si>
  <si>
    <t>Y58</t>
  </si>
  <si>
    <t>AC58</t>
  </si>
  <si>
    <t>L1.4 is already the primary capability; remove duplicate self-secondary counting.</t>
  </si>
  <si>
    <t>Backlog!AA58=L1.4 and AC58=L1.4</t>
  </si>
  <si>
    <t>AI58</t>
  </si>
  <si>
    <t>AJ58</t>
  </si>
  <si>
    <t>AM58</t>
  </si>
  <si>
    <t>=IF(ISNUMBER(J58),1,0)</t>
  </si>
  <si>
    <t>=IF(AND(ISNUMBER(J58),OR(AR58="INHERITED ESTIMATE",AR58="CONFIRMED ESTIMATE")),1,0)</t>
  </si>
  <si>
    <t>AO58</t>
  </si>
  <si>
    <t>AP58</t>
  </si>
  <si>
    <t>AR58</t>
  </si>
  <si>
    <t>Backlog!AJ58 vs AR58</t>
  </si>
  <si>
    <t>AS58</t>
  </si>
  <si>
    <t>=IF(AM58=1,J58,"")</t>
  </si>
  <si>
    <t>AT58</t>
  </si>
  <si>
    <t>=IF(AND(AM58=1,ISNUMBER(R58)),R58,"")</t>
  </si>
  <si>
    <t>AM59</t>
  </si>
  <si>
    <t>=IF(ISNUMBER(J59),1,0)</t>
  </si>
  <si>
    <t>=IF(AND(ISNUMBER(J59),OR(AR59="INHERITED ESTIMATE",AR59="CONFIRMED ESTIMATE")),1,0)</t>
  </si>
  <si>
    <t>AS59</t>
  </si>
  <si>
    <t>=IF(AM59=1,J59,"")</t>
  </si>
  <si>
    <t>AT59</t>
  </si>
  <si>
    <t>=IF(AND(AM59=1,ISNUMBER(R59)),R59,"")</t>
  </si>
  <si>
    <t>Y60</t>
  </si>
  <si>
    <t>AI60</t>
  </si>
  <si>
    <t>AM60</t>
  </si>
  <si>
    <t>=IF(ISNUMBER(J60),1,0)</t>
  </si>
  <si>
    <t>=IF(AND(ISNUMBER(J60),OR(AR60="INHERITED ESTIMATE",AR60="CONFIRMED ESTIMATE")),1,0)</t>
  </si>
  <si>
    <t>AO60</t>
  </si>
  <si>
    <t>AP60</t>
  </si>
  <si>
    <t>AQ60</t>
  </si>
  <si>
    <t>Record the recovered short parent without fabricating its suffix.</t>
  </si>
  <si>
    <t>AS60</t>
  </si>
  <si>
    <t>=IF(AM60=1,J60,"")</t>
  </si>
  <si>
    <t>AT60</t>
  </si>
  <si>
    <t>=IF(AND(AM60=1,ISNUMBER(R60)),R60,"")</t>
  </si>
  <si>
    <t>AM61</t>
  </si>
  <si>
    <t>=IF(ISNUMBER(J61),1,0)</t>
  </si>
  <si>
    <t>=IF(AND(ISNUMBER(J61),OR(AR61="INHERITED ESTIMATE",AR61="CONFIRMED ESTIMATE")),1,0)</t>
  </si>
  <si>
    <t>AS61</t>
  </si>
  <si>
    <t>=IF(AM61=1,J61,"")</t>
  </si>
  <si>
    <t>AT61</t>
  </si>
  <si>
    <t>=IF(AND(AM61=1,ISNUMBER(R61)),R61,"")</t>
  </si>
  <si>
    <t>AM62</t>
  </si>
  <si>
    <t>=IF(ISNUMBER(J62),1,0)</t>
  </si>
  <si>
    <t>=IF(AND(ISNUMBER(J62),OR(AR62="INHERITED ESTIMATE",AR62="CONFIRMED ESTIMATE")),1,0)</t>
  </si>
  <si>
    <t>AS62</t>
  </si>
  <si>
    <t>=IF(AM62=1,J62,"")</t>
  </si>
  <si>
    <t>AT62</t>
  </si>
  <si>
    <t>=IF(AND(AM62=1,ISNUMBER(R62)),R62,"")</t>
  </si>
  <si>
    <t>AM63</t>
  </si>
  <si>
    <t>=IF(ISNUMBER(J63),1,0)</t>
  </si>
  <si>
    <t>=IF(AND(ISNUMBER(J63),OR(AR63="INHERITED ESTIMATE",AR63="CONFIRMED ESTIMATE")),1,0)</t>
  </si>
  <si>
    <t>AS63</t>
  </si>
  <si>
    <t>=IF(AM63=1,J63,"")</t>
  </si>
  <si>
    <t>AT63</t>
  </si>
  <si>
    <t>=IF(AND(AM63=1,ISNUMBER(R63)),R63,"")</t>
  </si>
  <si>
    <t>AM64</t>
  </si>
  <si>
    <t>=IF(ISNUMBER(J64),1,0)</t>
  </si>
  <si>
    <t>=IF(AND(ISNUMBER(J64),OR(AR64="INHERITED ESTIMATE",AR64="CONFIRMED ESTIMATE")),1,0)</t>
  </si>
  <si>
    <t>AS64</t>
  </si>
  <si>
    <t>=IF(AM64=1,J64,"")</t>
  </si>
  <si>
    <t>AT64</t>
  </si>
  <si>
    <t>=IF(AND(AM64=1,ISNUMBER(R64)),R64,"")</t>
  </si>
  <si>
    <t>T65</t>
  </si>
  <si>
    <t>Closed — do not reopen without contradictory regression evidence.</t>
  </si>
  <si>
    <t>AM65</t>
  </si>
  <si>
    <t>=IF(ISNUMBER(J65),1,0)</t>
  </si>
  <si>
    <t>=IF(AND(ISNUMBER(J65),OR(AR65="INHERITED ESTIMATE",AR65="CONFIRMED ESTIMATE")),1,0)</t>
  </si>
  <si>
    <t>AS65</t>
  </si>
  <si>
    <t>=IF(AM65=1,J65,"")</t>
  </si>
  <si>
    <t>AT65</t>
  </si>
  <si>
    <t>=IF(AND(AM65=1,ISNUMBER(R65)),R65,"")</t>
  </si>
  <si>
    <t>T66</t>
  </si>
  <si>
    <t>AM66</t>
  </si>
  <si>
    <t>=IF(ISNUMBER(J66),1,0)</t>
  </si>
  <si>
    <t>=IF(AND(ISNUMBER(J66),OR(AR66="INHERITED ESTIMATE",AR66="CONFIRMED ESTIMATE")),1,0)</t>
  </si>
  <si>
    <t>AS66</t>
  </si>
  <si>
    <t>=IF(AM66=1,J66,"")</t>
  </si>
  <si>
    <t>AT66</t>
  </si>
  <si>
    <t>=IF(AND(AM66=1,ISNUMBER(R66)),R66,"")</t>
  </si>
  <si>
    <t>T67</t>
  </si>
  <si>
    <t>AM67</t>
  </si>
  <si>
    <t>=IF(ISNUMBER(J67),1,0)</t>
  </si>
  <si>
    <t>=IF(AND(ISNUMBER(J67),OR(AR67="INHERITED ESTIMATE",AR67="CONFIRMED ESTIMATE")),1,0)</t>
  </si>
  <si>
    <t>AS67</t>
  </si>
  <si>
    <t>=IF(AM67=1,J67,"")</t>
  </si>
  <si>
    <t>AT67</t>
  </si>
  <si>
    <t>=IF(AND(AM67=1,ISNUMBER(R67)),R67,"")</t>
  </si>
  <si>
    <t>T68</t>
  </si>
  <si>
    <t>AM68</t>
  </si>
  <si>
    <t>=IF(ISNUMBER(J68),1,0)</t>
  </si>
  <si>
    <t>=IF(AND(ISNUMBER(J68),OR(AR68="INHERITED ESTIMATE",AR68="CONFIRMED ESTIMATE")),1,0)</t>
  </si>
  <si>
    <t>AS68</t>
  </si>
  <si>
    <t>=IF(AM68=1,J68,"")</t>
  </si>
  <si>
    <t>AT68</t>
  </si>
  <si>
    <t>=IF(AND(AM68=1,ISNUMBER(R68)),R68,"")</t>
  </si>
  <si>
    <t>T69</t>
  </si>
  <si>
    <t>AM69</t>
  </si>
  <si>
    <t>=IF(ISNUMBER(J69),1,0)</t>
  </si>
  <si>
    <t>=IF(AND(ISNUMBER(J69),OR(AR69="INHERITED ESTIMATE",AR69="CONFIRMED ESTIMATE")),1,0)</t>
  </si>
  <si>
    <t>AS69</t>
  </si>
  <si>
    <t>=IF(AM69=1,J69,"")</t>
  </si>
  <si>
    <t>AT69</t>
  </si>
  <si>
    <t>=IF(AND(AM69=1,ISNUMBER(R69)),R69,"")</t>
  </si>
  <si>
    <t>T70</t>
  </si>
  <si>
    <t>AM70</t>
  </si>
  <si>
    <t>=IF(ISNUMBER(J70),1,0)</t>
  </si>
  <si>
    <t>=IF(AND(ISNUMBER(J70),OR(AR70="INHERITED ESTIMATE",AR70="CONFIRMED ESTIMATE")),1,0)</t>
  </si>
  <si>
    <t>AS70</t>
  </si>
  <si>
    <t>=IF(AM70=1,J70,"")</t>
  </si>
  <si>
    <t>AT70</t>
  </si>
  <si>
    <t>=IF(AND(AM70=1,ISNUMBER(R70)),R70,"")</t>
  </si>
  <si>
    <t>T71</t>
  </si>
  <si>
    <t>AM71</t>
  </si>
  <si>
    <t>=IF(ISNUMBER(J71),1,0)</t>
  </si>
  <si>
    <t>=IF(AND(ISNUMBER(J71),OR(AR71="INHERITED ESTIMATE",AR71="CONFIRMED ESTIMATE")),1,0)</t>
  </si>
  <si>
    <t>AS71</t>
  </si>
  <si>
    <t>=IF(AM71=1,J71,"")</t>
  </si>
  <si>
    <t>AT71</t>
  </si>
  <si>
    <t>=IF(AND(AM71=1,ISNUMBER(R71)),R71,"")</t>
  </si>
  <si>
    <t>T72</t>
  </si>
  <si>
    <t>AM72</t>
  </si>
  <si>
    <t>=IF(ISNUMBER(J72),1,0)</t>
  </si>
  <si>
    <t>=IF(AND(ISNUMBER(J72),OR(AR72="INHERITED ESTIMATE",AR72="CONFIRMED ESTIMATE")),1,0)</t>
  </si>
  <si>
    <t>AS72</t>
  </si>
  <si>
    <t>=IF(AM72=1,J72,"")</t>
  </si>
  <si>
    <t>AT72</t>
  </si>
  <si>
    <t>=IF(AND(AM72=1,ISNUMBER(R72)),R72,"")</t>
  </si>
  <si>
    <t>T73</t>
  </si>
  <si>
    <t>AM73</t>
  </si>
  <si>
    <t>=IF(ISNUMBER(J73),1,0)</t>
  </si>
  <si>
    <t>=IF(AND(ISNUMBER(J73),OR(AR73="INHERITED ESTIMATE",AR73="CONFIRMED ESTIMATE")),1,0)</t>
  </si>
  <si>
    <t>AS73</t>
  </si>
  <si>
    <t>=IF(AM73=1,J73,"")</t>
  </si>
  <si>
    <t>AT73</t>
  </si>
  <si>
    <t>=IF(AND(AM73=1,ISNUMBER(R73)),R73,"")</t>
  </si>
  <si>
    <t>T74</t>
  </si>
  <si>
    <t>AM74</t>
  </si>
  <si>
    <t>=IF(ISNUMBER(J74),1,0)</t>
  </si>
  <si>
    <t>=IF(AND(ISNUMBER(J74),OR(AR74="INHERITED ESTIMATE",AR74="CONFIRMED ESTIMATE")),1,0)</t>
  </si>
  <si>
    <t>AS74</t>
  </si>
  <si>
    <t>=IF(AM74=1,J74,"")</t>
  </si>
  <si>
    <t>AT74</t>
  </si>
  <si>
    <t>=IF(AND(AM74=1,ISNUMBER(R74)),R74,"")</t>
  </si>
  <si>
    <t>T75</t>
  </si>
  <si>
    <t>AM75</t>
  </si>
  <si>
    <t>=IF(ISNUMBER(J75),1,0)</t>
  </si>
  <si>
    <t>=IF(AND(ISNUMBER(J75),OR(AR75="INHERITED ESTIMATE",AR75="CONFIRMED ESTIMATE")),1,0)</t>
  </si>
  <si>
    <t>AS75</t>
  </si>
  <si>
    <t>=IF(AM75=1,J75,"")</t>
  </si>
  <si>
    <t>AT75</t>
  </si>
  <si>
    <t>=IF(AND(AM75=1,ISNUMBER(R75)),R75,"")</t>
  </si>
  <si>
    <t>T76</t>
  </si>
  <si>
    <t>AM76</t>
  </si>
  <si>
    <t>=IF(ISNUMBER(J76),1,0)</t>
  </si>
  <si>
    <t>=IF(AND(ISNUMBER(J76),OR(AR76="INHERITED ESTIMATE",AR76="CONFIRMED ESTIMATE")),1,0)</t>
  </si>
  <si>
    <t>AS76</t>
  </si>
  <si>
    <t>=IF(AM76=1,J76,"")</t>
  </si>
  <si>
    <t>AT76</t>
  </si>
  <si>
    <t>=IF(AND(AM76=1,ISNUMBER(R76)),R76,"")</t>
  </si>
  <si>
    <t>T77</t>
  </si>
  <si>
    <t>AM77</t>
  </si>
  <si>
    <t>=IF(ISNUMBER(J77),1,0)</t>
  </si>
  <si>
    <t>=IF(AND(ISNUMBER(J77),OR(AR77="INHERITED ESTIMATE",AR77="CONFIRMED ESTIMATE")),1,0)</t>
  </si>
  <si>
    <t>AS77</t>
  </si>
  <si>
    <t>=IF(AM77=1,J77,"")</t>
  </si>
  <si>
    <t>AT77</t>
  </si>
  <si>
    <t>=IF(AND(AM77=1,ISNUMBER(R77)),R77,"")</t>
  </si>
  <si>
    <t>T78</t>
  </si>
  <si>
    <t>AM78</t>
  </si>
  <si>
    <t>=IF(ISNUMBER(J78),1,0)</t>
  </si>
  <si>
    <t>=IF(AND(ISNUMBER(J78),OR(AR78="INHERITED ESTIMATE",AR78="CONFIRMED ESTIMATE")),1,0)</t>
  </si>
  <si>
    <t>AS78</t>
  </si>
  <si>
    <t>=IF(AM78=1,J78,"")</t>
  </si>
  <si>
    <t>AT78</t>
  </si>
  <si>
    <t>=IF(AND(AM78=1,ISNUMBER(R78)),R78,"")</t>
  </si>
  <si>
    <t>T79</t>
  </si>
  <si>
    <t>AM79</t>
  </si>
  <si>
    <t>=IF(ISNUMBER(J79),1,0)</t>
  </si>
  <si>
    <t>=IF(AND(ISNUMBER(J79),OR(AR79="INHERITED ESTIMATE",AR79="CONFIRMED ESTIMATE")),1,0)</t>
  </si>
  <si>
    <t>AS79</t>
  </si>
  <si>
    <t>=IF(AM79=1,J79,"")</t>
  </si>
  <si>
    <t>AT79</t>
  </si>
  <si>
    <t>=IF(AND(AM79=1,ISNUMBER(R79)),R79,"")</t>
  </si>
  <si>
    <t>T80</t>
  </si>
  <si>
    <t>AM80</t>
  </si>
  <si>
    <t>=IF(ISNUMBER(J80),1,0)</t>
  </si>
  <si>
    <t>=IF(AND(ISNUMBER(J80),OR(AR80="INHERITED ESTIMATE",AR80="CONFIRMED ESTIMATE")),1,0)</t>
  </si>
  <si>
    <t>AS80</t>
  </si>
  <si>
    <t>=IF(AM80=1,J80,"")</t>
  </si>
  <si>
    <t>AT80</t>
  </si>
  <si>
    <t>=IF(AND(AM80=1,ISNUMBER(R80)),R80,"")</t>
  </si>
  <si>
    <t>AM81</t>
  </si>
  <si>
    <t>=IF(ISNUMBER(J81),1,0)</t>
  </si>
  <si>
    <t>=IF(AND(ISNUMBER(J81),OR(AR81="INHERITED ESTIMATE",AR81="CONFIRMED ESTIMATE")),1,0)</t>
  </si>
  <si>
    <t>AS81</t>
  </si>
  <si>
    <t>=IF(AM81=1,J81,"")</t>
  </si>
  <si>
    <t>AT81</t>
  </si>
  <si>
    <t>=IF(AND(AM81=1,ISNUMBER(R81)),R81,"")</t>
  </si>
  <si>
    <t>AM82</t>
  </si>
  <si>
    <t>=IF(ISNUMBER(J82),1,0)</t>
  </si>
  <si>
    <t>=IF(AND(ISNUMBER(J82),OR(AR82="INHERITED ESTIMATE",AR82="CONFIRMED ESTIMATE")),1,0)</t>
  </si>
  <si>
    <t>AS82</t>
  </si>
  <si>
    <t>=IF(AM82=1,J82,"")</t>
  </si>
  <si>
    <t>AT82</t>
  </si>
  <si>
    <t>=IF(AND(AM82=1,ISNUMBER(R82)),R82,"")</t>
  </si>
  <si>
    <t>T83</t>
  </si>
  <si>
    <t>T-208 fixture + T-216 frozen contract.</t>
  </si>
  <si>
    <t>AM83</t>
  </si>
  <si>
    <t>=IF(ISNUMBER(J83),1,0)</t>
  </si>
  <si>
    <t>=IF(AND(ISNUMBER(J83),OR(AR83="INHERITED ESTIMATE",AR83="CONFIRMED ESTIMATE")),1,0)</t>
  </si>
  <si>
    <t>AS83</t>
  </si>
  <si>
    <t>=IF(AM83=1,J83,"")</t>
  </si>
  <si>
    <t>AT83</t>
  </si>
  <si>
    <t>=IF(AND(AM83=1,ISNUMBER(R83)),R83,"")</t>
  </si>
  <si>
    <t>T84</t>
  </si>
  <si>
    <t>T-090 semantic definitions + T-208 fixture. Persistence waits for T-112/T-114; pure kernel may start earlier.</t>
  </si>
  <si>
    <t>AM84</t>
  </si>
  <si>
    <t>=IF(ISNUMBER(J84),1,0)</t>
  </si>
  <si>
    <t>=IF(AND(ISNUMBER(J84),OR(AR84="INHERITED ESTIMATE",AR84="CONFIRMED ESTIMATE")),1,0)</t>
  </si>
  <si>
    <t>AS84</t>
  </si>
  <si>
    <t>=IF(AM84=1,J84,"")</t>
  </si>
  <si>
    <t>AT84</t>
  </si>
  <si>
    <t>=IF(AND(AM84=1,ISNUMBER(R84)),R84,"")</t>
  </si>
  <si>
    <t>T85</t>
  </si>
  <si>
    <t>T-217 + T-218 + T-236.</t>
  </si>
  <si>
    <t>AM85</t>
  </si>
  <si>
    <t>=IF(ISNUMBER(J85),1,0)</t>
  </si>
  <si>
    <t>=IF(AND(ISNUMBER(J85),OR(AR85="INHERITED ESTIMATE",AR85="CONFIRMED ESTIMATE")),1,0)</t>
  </si>
  <si>
    <t>AS85</t>
  </si>
  <si>
    <t>=IF(AM85=1,J85,"")</t>
  </si>
  <si>
    <t>AT85</t>
  </si>
  <si>
    <t>=IF(AND(AM85=1,ISNUMBER(R85)),R85,"")</t>
  </si>
  <si>
    <t>T86</t>
  </si>
  <si>
    <t>T-219 + existing claim-class rules.</t>
  </si>
  <si>
    <t>AM86</t>
  </si>
  <si>
    <t>=IF(ISNUMBER(J86),1,0)</t>
  </si>
  <si>
    <t>=IF(AND(ISNUMBER(J86),OR(AR86="INHERITED ESTIMATE",AR86="CONFIRMED ESTIMATE")),1,0)</t>
  </si>
  <si>
    <t>AS86</t>
  </si>
  <si>
    <t>=IF(AM86=1,J86,"")</t>
  </si>
  <si>
    <t>AT86</t>
  </si>
  <si>
    <t>=IF(AND(AM86=1,ISNUMBER(R86)),R86,"")</t>
  </si>
  <si>
    <t>AM87</t>
  </si>
  <si>
    <t>=IF(ISNUMBER(J87),1,0)</t>
  </si>
  <si>
    <t>=IF(AND(ISNUMBER(J87),OR(AR87="INHERITED ESTIMATE",AR87="CONFIRMED ESTIMATE")),1,0)</t>
  </si>
  <si>
    <t>AS87</t>
  </si>
  <si>
    <t>=IF(AM87=1,J87,"")</t>
  </si>
  <si>
    <t>AT87</t>
  </si>
  <si>
    <t>=IF(AND(AM87=1,ISNUMBER(R87)),R87,"")</t>
  </si>
  <si>
    <t>AM88</t>
  </si>
  <si>
    <t>=IF(ISNUMBER(J88),1,0)</t>
  </si>
  <si>
    <t>=IF(AND(ISNUMBER(J88),OR(AR88="INHERITED ESTIMATE",AR88="CONFIRMED ESTIMATE")),1,0)</t>
  </si>
  <si>
    <t>AS88</t>
  </si>
  <si>
    <t>=IF(AM88=1,J88,"")</t>
  </si>
  <si>
    <t>AT88</t>
  </si>
  <si>
    <t>=IF(AND(AM88=1,ISNUMBER(R88)),R88,"")</t>
  </si>
  <si>
    <t>T89</t>
  </si>
  <si>
    <t>T-208 + T-209; may run in parallel with W1 canonical chain.</t>
  </si>
  <si>
    <t>AM89</t>
  </si>
  <si>
    <t>=IF(ISNUMBER(J89),1,0)</t>
  </si>
  <si>
    <t>=IF(AND(ISNUMBER(J89),OR(AR89="INHERITED ESTIMATE",AR89="CONFIRMED ESTIMATE")),1,0)</t>
  </si>
  <si>
    <t>AS89</t>
  </si>
  <si>
    <t>=IF(AM89=1,J89,"")</t>
  </si>
  <si>
    <t>AT89</t>
  </si>
  <si>
    <t>=IF(AND(AM89=1,ISNUMBER(R89)),R89,"")</t>
  </si>
  <si>
    <t>T90</t>
  </si>
  <si>
    <t>T-217 + T-234; may run while W1 canonical chain proceeds.</t>
  </si>
  <si>
    <t>AM90</t>
  </si>
  <si>
    <t>=IF(ISNUMBER(J90),1,0)</t>
  </si>
  <si>
    <t>=IF(AND(ISNUMBER(J90),OR(AR90="INHERITED ESTIMATE",AR90="CONFIRMED ESTIMATE")),1,0)</t>
  </si>
  <si>
    <t>AS90</t>
  </si>
  <si>
    <t>=IF(AM90=1,J90,"")</t>
  </si>
  <si>
    <t>AT90</t>
  </si>
  <si>
    <t>=IF(AND(AM90=1,ISNUMBER(R90)),R90,"")</t>
  </si>
  <si>
    <t>AM91</t>
  </si>
  <si>
    <t>=IF(ISNUMBER(J91),1,0)</t>
  </si>
  <si>
    <t>=IF(AND(ISNUMBER(J91),OR(AR91="INHERITED ESTIMATE",AR91="CONFIRMED ESTIMATE")),1,0)</t>
  </si>
  <si>
    <t>AS91</t>
  </si>
  <si>
    <t>=IF(AM91=1,J91,"")</t>
  </si>
  <si>
    <t>AT91</t>
  </si>
  <si>
    <t>=IF(AND(AM91=1,ISNUMBER(R91)),R91,"")</t>
  </si>
  <si>
    <t>T92</t>
  </si>
  <si>
    <t>WAIT for Presentation RC freeze/tag + clean index/worktree. Then: T-087/T-088 canonical migration authority available; establish FORCE RLS guar...</t>
  </si>
  <si>
    <t>AM92</t>
  </si>
  <si>
    <t>=IF(ISNUMBER(J92),1,0)</t>
  </si>
  <si>
    <t>=IF(AND(ISNUMBER(J92),OR(AR92="INHERITED ESTIMATE",AR92="CONFIRMED ESTIMATE")),1,0)</t>
  </si>
  <si>
    <t>AS92</t>
  </si>
  <si>
    <t>=IF(AM92=1,J92,"")</t>
  </si>
  <si>
    <t>AT92</t>
  </si>
  <si>
    <t>=IF(AND(AM92=1,ISNUMBER(R92)),R92,"")</t>
  </si>
  <si>
    <t>T93</t>
  </si>
  <si>
    <t>AJ93</t>
  </si>
  <si>
    <t>AM93</t>
  </si>
  <si>
    <t>=IF(ISNUMBER(J93),1,0)</t>
  </si>
  <si>
    <t>=IF(AND(ISNUMBER(J93),OR(AR93="INHERITED ESTIMATE",AR93="CONFIRMED ESTIMATE")),1,0)</t>
  </si>
  <si>
    <t>AR93</t>
  </si>
  <si>
    <t>Backlog!AJ93 vs AR93</t>
  </si>
  <si>
    <t>AS93</t>
  </si>
  <si>
    <t>=IF(AM93=1,J93,"")</t>
  </si>
  <si>
    <t>AT93</t>
  </si>
  <si>
    <t>=IF(AND(AM93=1,ISNUMBER(R93)),R93,"")</t>
  </si>
  <si>
    <t>T94</t>
  </si>
  <si>
    <t>WAIT for Presentation RC freeze/tag + clean index/worktree. Then: T-087 + T-089/T-090 + T-095/T-099 canonical Release 1 tables available; establish t...</t>
  </si>
  <si>
    <t>AM94</t>
  </si>
  <si>
    <t>=IF(ISNUMBER(J94),1,0)</t>
  </si>
  <si>
    <t>=IF(AND(ISNUMBER(J94),OR(AR94="INHERITED ESTIMATE",AR94="CONFIRMED ESTIMATE")),1,0)</t>
  </si>
  <si>
    <t>AS94</t>
  </si>
  <si>
    <t>=IF(AM94=1,J94,"")</t>
  </si>
  <si>
    <t>AT94</t>
  </si>
  <si>
    <t>=IF(AND(AM94=1,ISNUMBER(R94)),R94,"")</t>
  </si>
  <si>
    <t>T95</t>
  </si>
  <si>
    <t>AM95</t>
  </si>
  <si>
    <t>=IF(ISNUMBER(J95),1,0)</t>
  </si>
  <si>
    <t>=IF(AND(ISNUMBER(J95),OR(AR95="INHERITED ESTIMATE",AR95="CONFIRMED ESTIMATE")),1,0)</t>
  </si>
  <si>
    <t>AS95</t>
  </si>
  <si>
    <t>=IF(AM95=1,J95,"")</t>
  </si>
  <si>
    <t>AT95</t>
  </si>
  <si>
    <t>=IF(AND(AM95=1,ISNUMBER(R95)),R95,"")</t>
  </si>
  <si>
    <t>T96</t>
  </si>
  <si>
    <t>AM96</t>
  </si>
  <si>
    <t>=IF(ISNUMBER(J96),1,0)</t>
  </si>
  <si>
    <t>=IF(AND(ISNUMBER(J96),OR(AR96="INHERITED ESTIMATE",AR96="CONFIRMED ESTIMATE")),1,0)</t>
  </si>
  <si>
    <t>AS96</t>
  </si>
  <si>
    <t>=IF(AM96=1,J96,"")</t>
  </si>
  <si>
    <t>AT96</t>
  </si>
  <si>
    <t>=IF(AND(AM96=1,ISNUMBER(R96)),R96,"")</t>
  </si>
  <si>
    <t>T97</t>
  </si>
  <si>
    <t>AM97</t>
  </si>
  <si>
    <t>=IF(ISNUMBER(J97),1,0)</t>
  </si>
  <si>
    <t>=IF(AND(ISNUMBER(J97),OR(AR97="INHERITED ESTIMATE",AR97="CONFIRMED ESTIMATE")),1,0)</t>
  </si>
  <si>
    <t>AS97</t>
  </si>
  <si>
    <t>=IF(AM97=1,J97,"")</t>
  </si>
  <si>
    <t>AT97</t>
  </si>
  <si>
    <t>=IF(AND(AM97=1,ISNUMBER(R97)),R97,"")</t>
  </si>
  <si>
    <t>T98</t>
  </si>
  <si>
    <t>WAIT for Presentation RC freeze/tag + clean index/worktree. Then: T-119 role catalogue/enforcement + licence authority.</t>
  </si>
  <si>
    <t>AJ98</t>
  </si>
  <si>
    <t>AM98</t>
  </si>
  <si>
    <t>=IF(ISNUMBER(J98),1,0)</t>
  </si>
  <si>
    <t>=IF(AND(ISNUMBER(J98),OR(AR98="INHERITED ESTIMATE",AR98="CONFIRMED ESTIMATE")),1,0)</t>
  </si>
  <si>
    <t>AR98</t>
  </si>
  <si>
    <t>Backlog!AJ98 vs AR98</t>
  </si>
  <si>
    <t>AS98</t>
  </si>
  <si>
    <t>=IF(AM98=1,J98,"")</t>
  </si>
  <si>
    <t>AT98</t>
  </si>
  <si>
    <t>=IF(AND(AM98=1,ISNUMBER(R98)),R98,"")</t>
  </si>
  <si>
    <t>T99</t>
  </si>
  <si>
    <t>AJ99</t>
  </si>
  <si>
    <t>AM99</t>
  </si>
  <si>
    <t>=IF(ISNUMBER(J99),1,0)</t>
  </si>
  <si>
    <t>=IF(AND(ISNUMBER(J99),OR(AR99="INHERITED ESTIMATE",AR99="CONFIRMED ESTIMATE")),1,0)</t>
  </si>
  <si>
    <t>AR99</t>
  </si>
  <si>
    <t>Backlog!AJ99 vs AR99</t>
  </si>
  <si>
    <t>AS99</t>
  </si>
  <si>
    <t>=IF(AM99=1,J99,"")</t>
  </si>
  <si>
    <t>AT99</t>
  </si>
  <si>
    <t>=IF(AND(AM99=1,ISNUMBER(R99)),R99,"")</t>
  </si>
  <si>
    <t>T100</t>
  </si>
  <si>
    <t>AM100</t>
  </si>
  <si>
    <t>=IF(ISNUMBER(J100),1,0)</t>
  </si>
  <si>
    <t>=IF(AND(ISNUMBER(J100),OR(AR100="INHERITED ESTIMATE",AR100="CONFIRMED ESTIMATE")),1,0)</t>
  </si>
  <si>
    <t>AS100</t>
  </si>
  <si>
    <t>=IF(AM100=1,J100,"")</t>
  </si>
  <si>
    <t>AT100</t>
  </si>
  <si>
    <t>=IF(AND(AM100=1,ISNUMBER(R100)),R100,"")</t>
  </si>
  <si>
    <t>T101</t>
  </si>
  <si>
    <t>AM101</t>
  </si>
  <si>
    <t>=IF(ISNUMBER(J101),1,0)</t>
  </si>
  <si>
    <t>=IF(AND(ISNUMBER(J101),OR(AR101="INHERITED ESTIMATE",AR101="CONFIRMED ESTIMATE")),1,0)</t>
  </si>
  <si>
    <t>AS101</t>
  </si>
  <si>
    <t>=IF(AM101=1,J101,"")</t>
  </si>
  <si>
    <t>AT101</t>
  </si>
  <si>
    <t>=IF(AND(AM101=1,ISNUMBER(R101)),R101,"")</t>
  </si>
  <si>
    <t>T102</t>
  </si>
  <si>
    <t>AM102</t>
  </si>
  <si>
    <t>=IF(ISNUMBER(J102),1,0)</t>
  </si>
  <si>
    <t>=IF(AND(ISNUMBER(J102),OR(AR102="INHERITED ESTIMATE",AR102="CONFIRMED ESTIMATE")),1,0)</t>
  </si>
  <si>
    <t>AS102</t>
  </si>
  <si>
    <t>=IF(AM102=1,J102,"")</t>
  </si>
  <si>
    <t>AT102</t>
  </si>
  <si>
    <t>=IF(AND(AM102=1,ISNUMBER(R102)),R102,"")</t>
  </si>
  <si>
    <t>T103</t>
  </si>
  <si>
    <t>T-192 + T-148 exact route/shell inventory + T-194 API-alias retirement + all ...</t>
  </si>
  <si>
    <t>AM103</t>
  </si>
  <si>
    <t>=IF(ISNUMBER(J103),1,0)</t>
  </si>
  <si>
    <t>=IF(AND(ISNUMBER(J103),OR(AR103="INHERITED ESTIMATE",AR103="CONFIRMED ESTIMATE")),1,0)</t>
  </si>
  <si>
    <t>AS103</t>
  </si>
  <si>
    <t>=IF(AM103=1,J103,"")</t>
  </si>
  <si>
    <t>AT103</t>
  </si>
  <si>
    <t>=IF(AND(AM103=1,ISNUMBER(R103)),R103,"")</t>
  </si>
  <si>
    <t>AM104</t>
  </si>
  <si>
    <t>=IF(ISNUMBER(J104),1,0)</t>
  </si>
  <si>
    <t>=IF(AND(ISNUMBER(J104),OR(AR104="INHERITED ESTIMATE",AR104="CONFIRMED ESTIMATE")),1,0)</t>
  </si>
  <si>
    <t>AS104</t>
  </si>
  <si>
    <t>=IF(AM104=1,J104,"")</t>
  </si>
  <si>
    <t>AT104</t>
  </si>
  <si>
    <t>=IF(AND(AM104=1,ISNUMBER(R104)),R104,"")</t>
  </si>
  <si>
    <t>AM105</t>
  </si>
  <si>
    <t>=IF(ISNUMBER(J105),1,0)</t>
  </si>
  <si>
    <t>=IF(AND(ISNUMBER(J105),OR(AR105="INHERITED ESTIMATE",AR105="CONFIRMED ESTIMATE")),1,0)</t>
  </si>
  <si>
    <t>AS105</t>
  </si>
  <si>
    <t>=IF(AM105=1,J105,"")</t>
  </si>
  <si>
    <t>AT105</t>
  </si>
  <si>
    <t>=IF(AND(AM105=1,ISNUMBER(R105)),R105,"")</t>
  </si>
  <si>
    <t>AM106</t>
  </si>
  <si>
    <t>=IF(ISNUMBER(J106),1,0)</t>
  </si>
  <si>
    <t>=IF(AND(ISNUMBER(J106),OR(AR106="INHERITED ESTIMATE",AR106="CONFIRMED ESTIMATE")),1,0)</t>
  </si>
  <si>
    <t>AS106</t>
  </si>
  <si>
    <t>=IF(AM106=1,J106,"")</t>
  </si>
  <si>
    <t>AT106</t>
  </si>
  <si>
    <t>=IF(AND(AM106=1,ISNUMBER(R106)),R106,"")</t>
  </si>
  <si>
    <t>AJ107</t>
  </si>
  <si>
    <t>AM107</t>
  </si>
  <si>
    <t>=IF(ISNUMBER(J107),1,0)</t>
  </si>
  <si>
    <t>=IF(AND(ISNUMBER(J107),OR(AR107="INHERITED ESTIMATE",AR107="CONFIRMED ESTIMATE")),1,0)</t>
  </si>
  <si>
    <t>AR107</t>
  </si>
  <si>
    <t>Backlog!AJ107 vs AR107</t>
  </si>
  <si>
    <t>AS107</t>
  </si>
  <si>
    <t>=IF(AM107=1,J107,"")</t>
  </si>
  <si>
    <t>AT107</t>
  </si>
  <si>
    <t>=IF(AND(AM107=1,ISNUMBER(R107)),R107,"")</t>
  </si>
  <si>
    <t>T108</t>
  </si>
  <si>
    <t>WAIT for Presentation RC freeze/tag + clean index/worktree. Then: T-106 + T-107 + T-112 + T-113 + T-114 + T-117; T-137/T-168 runtime contracts ...</t>
  </si>
  <si>
    <t>AM108</t>
  </si>
  <si>
    <t>=IF(ISNUMBER(J108),1,0)</t>
  </si>
  <si>
    <t>=IF(AND(ISNUMBER(J108),OR(AR108="INHERITED ESTIMATE",AR108="CONFIRMED ESTIMATE")),1,0)</t>
  </si>
  <si>
    <t>AS108</t>
  </si>
  <si>
    <t>=IF(AM108=1,J108,"")</t>
  </si>
  <si>
    <t>AT108</t>
  </si>
  <si>
    <t>=IF(AND(AM108=1,ISNUMBER(R108)),R108,"")</t>
  </si>
  <si>
    <t>AM109</t>
  </si>
  <si>
    <t>=IF(ISNUMBER(J109),1,0)</t>
  </si>
  <si>
    <t>=IF(AND(ISNUMBER(J109),OR(AR109="INHERITED ESTIMATE",AR109="CONFIRMED ESTIMATE")),1,0)</t>
  </si>
  <si>
    <t>AS109</t>
  </si>
  <si>
    <t>=IF(AM109=1,J109,"")</t>
  </si>
  <si>
    <t>AT109</t>
  </si>
  <si>
    <t>=IF(AND(AM109=1,ISNUMBER(R109)),R109,"")</t>
  </si>
  <si>
    <t>AM110</t>
  </si>
  <si>
    <t>=IF(ISNUMBER(J110),1,0)</t>
  </si>
  <si>
    <t>=IF(AND(ISNUMBER(J110),OR(AR110="INHERITED ESTIMATE",AR110="CONFIRMED ESTIMATE")),1,0)</t>
  </si>
  <si>
    <t>AS110</t>
  </si>
  <si>
    <t>=IF(AM110=1,J110,"")</t>
  </si>
  <si>
    <t>AT110</t>
  </si>
  <si>
    <t>=IF(AND(AM110=1,ISNUMBER(R110)),R110,"")</t>
  </si>
  <si>
    <t>AM111</t>
  </si>
  <si>
    <t>=IF(ISNUMBER(J111),1,0)</t>
  </si>
  <si>
    <t>=IF(AND(ISNUMBER(J111),OR(AR111="INHERITED ESTIMATE",AR111="CONFIRMED ESTIMATE")),1,0)</t>
  </si>
  <si>
    <t>AS111</t>
  </si>
  <si>
    <t>=IF(AM111=1,J111,"")</t>
  </si>
  <si>
    <t>AT111</t>
  </si>
  <si>
    <t>=IF(AND(AM111=1,ISNUMBER(R111)),R111,"")</t>
  </si>
  <si>
    <t>AM112</t>
  </si>
  <si>
    <t>=IF(ISNUMBER(J112),1,0)</t>
  </si>
  <si>
    <t>=IF(AND(ISNUMBER(J112),OR(AR112="INHERITED ESTIMATE",AR112="CONFIRMED ESTIMATE")),1,0)</t>
  </si>
  <si>
    <t>AS112</t>
  </si>
  <si>
    <t>=IF(AM112=1,J112,"")</t>
  </si>
  <si>
    <t>AT112</t>
  </si>
  <si>
    <t>=IF(AND(AM112=1,ISNUMBER(R112)),R112,"")</t>
  </si>
  <si>
    <t>AJ113</t>
  </si>
  <si>
    <t>AM113</t>
  </si>
  <si>
    <t>=IF(ISNUMBER(J113),1,0)</t>
  </si>
  <si>
    <t>=IF(AND(ISNUMBER(J113),OR(AR113="INHERITED ESTIMATE",AR113="CONFIRMED ESTIMATE")),1,0)</t>
  </si>
  <si>
    <t>AR113</t>
  </si>
  <si>
    <t>Backlog!AJ113 vs AR113</t>
  </si>
  <si>
    <t>AS113</t>
  </si>
  <si>
    <t>=IF(AM113=1,J113,"")</t>
  </si>
  <si>
    <t>AT113</t>
  </si>
  <si>
    <t>=IF(AND(AM113=1,ISNUMBER(R113)),R113,"")</t>
  </si>
  <si>
    <t>AJ114</t>
  </si>
  <si>
    <t>AM114</t>
  </si>
  <si>
    <t>=IF(ISNUMBER(J114),1,0)</t>
  </si>
  <si>
    <t>=IF(AND(ISNUMBER(J114),OR(AR114="INHERITED ESTIMATE",AR114="CONFIRMED ESTIMATE")),1,0)</t>
  </si>
  <si>
    <t>AR114</t>
  </si>
  <si>
    <t>Backlog!AJ114 vs AR114</t>
  </si>
  <si>
    <t>AS114</t>
  </si>
  <si>
    <t>=IF(AM114=1,J114,"")</t>
  </si>
  <si>
    <t>AT114</t>
  </si>
  <si>
    <t>=IF(AND(AM114=1,ISNUMBER(R114)),R114,"")</t>
  </si>
  <si>
    <t>AM115</t>
  </si>
  <si>
    <t>=IF(ISNUMBER(J115),1,0)</t>
  </si>
  <si>
    <t>=IF(AND(ISNUMBER(J115),OR(AR115="INHERITED ESTIMATE",AR115="CONFIRMED ESTIMATE")),1,0)</t>
  </si>
  <si>
    <t>AS115</t>
  </si>
  <si>
    <t>=IF(AM115=1,J115,"")</t>
  </si>
  <si>
    <t>AT115</t>
  </si>
  <si>
    <t>=IF(AND(AM115=1,ISNUMBER(R115)),R115,"")</t>
  </si>
  <si>
    <t>AM116</t>
  </si>
  <si>
    <t>=IF(ISNUMBER(J116),1,0)</t>
  </si>
  <si>
    <t>=IF(AND(ISNUMBER(J116),OR(AR116="INHERITED ESTIMATE",AR116="CONFIRMED ESTIMATE")),1,0)</t>
  </si>
  <si>
    <t>AS116</t>
  </si>
  <si>
    <t>=IF(AM116=1,J116,"")</t>
  </si>
  <si>
    <t>AT116</t>
  </si>
  <si>
    <t>=IF(AND(AM116=1,ISNUMBER(R116)),R116,"")</t>
  </si>
  <si>
    <t>T117</t>
  </si>
  <si>
    <t>AJ117</t>
  </si>
  <si>
    <t>AM117</t>
  </si>
  <si>
    <t>=IF(ISNUMBER(J117),1,0)</t>
  </si>
  <si>
    <t>=IF(AND(ISNUMBER(J117),OR(AR117="INHERITED ESTIMATE",AR117="CONFIRMED ESTIMATE")),1,0)</t>
  </si>
  <si>
    <t>AR117</t>
  </si>
  <si>
    <t>Backlog!AJ117 vs AR117</t>
  </si>
  <si>
    <t>AS117</t>
  </si>
  <si>
    <t>=IF(AM117=1,J117,"")</t>
  </si>
  <si>
    <t>AT117</t>
  </si>
  <si>
    <t>=IF(AND(AM117=1,ISNUMBER(R117)),R117,"")</t>
  </si>
  <si>
    <t>T118</t>
  </si>
  <si>
    <t>AM118</t>
  </si>
  <si>
    <t>=IF(ISNUMBER(J118),1,0)</t>
  </si>
  <si>
    <t>=IF(AND(ISNUMBER(J118),OR(AR118="INHERITED ESTIMATE",AR118="CONFIRMED ESTIMATE")),1,0)</t>
  </si>
  <si>
    <t>AS118</t>
  </si>
  <si>
    <t>=IF(AM118=1,J118,"")</t>
  </si>
  <si>
    <t>AT118</t>
  </si>
  <si>
    <t>=IF(AND(AM118=1,ISNUMBER(R118)),R118,"")</t>
  </si>
  <si>
    <t>T119</t>
  </si>
  <si>
    <t>WAIT for Presentation RC freeze/tag + clean index/worktree. Then: All Release 1 canonical-core/user-visible owners complete, including T-196/T-197/T-...</t>
  </si>
  <si>
    <t>AM119</t>
  </si>
  <si>
    <t>=IF(ISNUMBER(J119),1,0)</t>
  </si>
  <si>
    <t>=IF(AND(ISNUMBER(J119),OR(AR119="INHERITED ESTIMATE",AR119="CONFIRMED ESTIMATE")),1,0)</t>
  </si>
  <si>
    <t>AS119</t>
  </si>
  <si>
    <t>=IF(AM119=1,J119,"")</t>
  </si>
  <si>
    <t>AT119</t>
  </si>
  <si>
    <t>=IF(AND(AM119=1,ISNUMBER(R119)),R119,"")</t>
  </si>
  <si>
    <t>AM120</t>
  </si>
  <si>
    <t>=IF(ISNUMBER(J120),1,0)</t>
  </si>
  <si>
    <t>=IF(AND(ISNUMBER(J120),OR(AR120="INHERITED ESTIMATE",AR120="CONFIRMED ESTIMATE")),1,0)</t>
  </si>
  <si>
    <t>AS120</t>
  </si>
  <si>
    <t>=IF(AM120=1,J120,"")</t>
  </si>
  <si>
    <t>AT120</t>
  </si>
  <si>
    <t>=IF(AND(AM120=1,ISNUMBER(R120)),R120,"")</t>
  </si>
  <si>
    <t>AM121</t>
  </si>
  <si>
    <t>=IF(ISNUMBER(J121),1,0)</t>
  </si>
  <si>
    <t>=IF(AND(ISNUMBER(J121),OR(AR121="INHERITED ESTIMATE",AR121="CONFIRMED ESTIMATE")),1,0)</t>
  </si>
  <si>
    <t>AS121</t>
  </si>
  <si>
    <t>=IF(AM121=1,J121,"")</t>
  </si>
  <si>
    <t>AT121</t>
  </si>
  <si>
    <t>=IF(AND(AM121=1,ISNUMBER(R121)),R121,"")</t>
  </si>
  <si>
    <t>AM122</t>
  </si>
  <si>
    <t>=IF(ISNUMBER(J122),1,0)</t>
  </si>
  <si>
    <t>=IF(AND(ISNUMBER(J122),OR(AR122="INHERITED ESTIMATE",AR122="CONFIRMED ESTIMATE")),1,0)</t>
  </si>
  <si>
    <t>AS122</t>
  </si>
  <si>
    <t>=IF(AM122=1,J122,"")</t>
  </si>
  <si>
    <t>AT122</t>
  </si>
  <si>
    <t>=IF(AND(AM122=1,ISNUMBER(R122)),R122,"")</t>
  </si>
  <si>
    <t>T123</t>
  </si>
  <si>
    <t>WAIT for Presentation RC freeze/tag + clean index/worktree. Then: T-117 + T-127</t>
  </si>
  <si>
    <t>AM123</t>
  </si>
  <si>
    <t>=IF(ISNUMBER(J123),1,0)</t>
  </si>
  <si>
    <t>=IF(AND(ISNUMBER(J123),OR(AR123="INHERITED ESTIMATE",AR123="CONFIRMED ESTIMATE")),1,0)</t>
  </si>
  <si>
    <t>AS123</t>
  </si>
  <si>
    <t>=IF(AM123=1,J123,"")</t>
  </si>
  <si>
    <t>AT123</t>
  </si>
  <si>
    <t>=IF(AND(AM123=1,ISNUMBER(R123)),R123,"")</t>
  </si>
  <si>
    <t>T124</t>
  </si>
  <si>
    <t>WAIT for Presentation RC freeze/tag + clean index/worktree. Then: T-087 + T-094 + T-095</t>
  </si>
  <si>
    <t>AM124</t>
  </si>
  <si>
    <t>=IF(ISNUMBER(J124),1,0)</t>
  </si>
  <si>
    <t>=IF(AND(ISNUMBER(J124),OR(AR124="INHERITED ESTIMATE",AR124="CONFIRMED ESTIMATE")),1,0)</t>
  </si>
  <si>
    <t>AS124</t>
  </si>
  <si>
    <t>=IF(AM124=1,J124,"")</t>
  </si>
  <si>
    <t>AT124</t>
  </si>
  <si>
    <t>=IF(AND(AM124=1,ISNUMBER(R124)),R124,"")</t>
  </si>
  <si>
    <t>T125</t>
  </si>
  <si>
    <t>WAIT for Presentation RC freeze/tag + clean index/worktree. Then: T-119 + T-198</t>
  </si>
  <si>
    <t>AM125</t>
  </si>
  <si>
    <t>=IF(ISNUMBER(J125),1,0)</t>
  </si>
  <si>
    <t>=IF(AND(ISNUMBER(J125),OR(AR125="INHERITED ESTIMATE",AR125="CONFIRMED ESTIMATE")),1,0)</t>
  </si>
  <si>
    <t>AS125</t>
  </si>
  <si>
    <t>=IF(AM125=1,J125,"")</t>
  </si>
  <si>
    <t>AT125</t>
  </si>
  <si>
    <t>=IF(AND(AM125=1,ISNUMBER(R125)),R125,"")</t>
  </si>
  <si>
    <t>T126</t>
  </si>
  <si>
    <t>WAIT for Presentation RC freeze/tag + clean index/worktree. Then: T-112 + T-114 + T-119</t>
  </si>
  <si>
    <t>AM126</t>
  </si>
  <si>
    <t>=IF(ISNUMBER(J126),1,0)</t>
  </si>
  <si>
    <t>=IF(AND(ISNUMBER(J126),OR(AR126="INHERITED ESTIMATE",AR126="CONFIRMED ESTIMATE")),1,0)</t>
  </si>
  <si>
    <t>AS126</t>
  </si>
  <si>
    <t>=IF(AM126=1,J126,"")</t>
  </si>
  <si>
    <t>AT126</t>
  </si>
  <si>
    <t>=IF(AND(AM126=1,ISNUMBER(R126)),R126,"")</t>
  </si>
  <si>
    <t>T127</t>
  </si>
  <si>
    <t>WAIT for Presentation RC freeze/tag + clean index/worktree. Then: T-124 + T-198</t>
  </si>
  <si>
    <t>AM127</t>
  </si>
  <si>
    <t>=IF(ISNUMBER(J127),1,0)</t>
  </si>
  <si>
    <t>=IF(AND(ISNUMBER(J127),OR(AR127="INHERITED ESTIMATE",AR127="CONFIRMED ESTIMATE")),1,0)</t>
  </si>
  <si>
    <t>AS127</t>
  </si>
  <si>
    <t>=IF(AM127=1,J127,"")</t>
  </si>
  <si>
    <t>AT127</t>
  </si>
  <si>
    <t>=IF(AND(AM127=1,ISNUMBER(R127)),R127,"")</t>
  </si>
  <si>
    <t>T128</t>
  </si>
  <si>
    <t>WAIT for Presentation RC freeze/tag + clean index/worktree. Then: T-113 + T-119</t>
  </si>
  <si>
    <t>AM128</t>
  </si>
  <si>
    <t>=IF(ISNUMBER(J128),1,0)</t>
  </si>
  <si>
    <t>=IF(AND(ISNUMBER(J128),OR(AR128="INHERITED ESTIMATE",AR128="CONFIRMED ESTIMATE")),1,0)</t>
  </si>
  <si>
    <t>AS128</t>
  </si>
  <si>
    <t>=IF(AM128=1,J128,"")</t>
  </si>
  <si>
    <t>AT128</t>
  </si>
  <si>
    <t>=IF(AND(AM128=1,ISNUMBER(R128)),R128,"")</t>
  </si>
  <si>
    <t>AM129</t>
  </si>
  <si>
    <t>=IF(ISNUMBER(J129),1,0)</t>
  </si>
  <si>
    <t>=IF(AND(ISNUMBER(J129),OR(AR129="INHERITED ESTIMATE",AR129="CONFIRMED ESTIMATE")),1,0)</t>
  </si>
  <si>
    <t>AS129</t>
  </si>
  <si>
    <t>=IF(AM129=1,J129,"")</t>
  </si>
  <si>
    <t>AT129</t>
  </si>
  <si>
    <t>=IF(AND(AM129=1,ISNUMBER(R129)),R129,"")</t>
  </si>
  <si>
    <t>AM130</t>
  </si>
  <si>
    <t>=IF(ISNUMBER(J130),1,0)</t>
  </si>
  <si>
    <t>=IF(AND(ISNUMBER(J130),OR(AR130="INHERITED ESTIMATE",AR130="CONFIRMED ESTIMATE")),1,0)</t>
  </si>
  <si>
    <t>AS130</t>
  </si>
  <si>
    <t>=IF(AM130=1,J130,"")</t>
  </si>
  <si>
    <t>AT130</t>
  </si>
  <si>
    <t>=IF(AND(AM130=1,ISNUMBER(R130)),R130,"")</t>
  </si>
  <si>
    <t>AM131</t>
  </si>
  <si>
    <t>=IF(ISNUMBER(J131),1,0)</t>
  </si>
  <si>
    <t>=IF(AND(ISNUMBER(J131),OR(AR131="INHERITED ESTIMATE",AR131="CONFIRMED ESTIMATE")),1,0)</t>
  </si>
  <si>
    <t>AS131</t>
  </si>
  <si>
    <t>=IF(AM131=1,J131,"")</t>
  </si>
  <si>
    <t>AT131</t>
  </si>
  <si>
    <t>=IF(AND(AM131=1,ISNUMBER(R131)),R131,"")</t>
  </si>
  <si>
    <t>AM132</t>
  </si>
  <si>
    <t>=IF(ISNUMBER(J132),1,0)</t>
  </si>
  <si>
    <t>=IF(AND(ISNUMBER(J132),OR(AR132="INHERITED ESTIMATE",AR132="CONFIRMED ESTIMATE")),1,0)</t>
  </si>
  <si>
    <t>AS132</t>
  </si>
  <si>
    <t>=IF(AM132=1,J132,"")</t>
  </si>
  <si>
    <t>AT132</t>
  </si>
  <si>
    <t>=IF(AND(AM132=1,ISNUMBER(R132)),R132,"")</t>
  </si>
  <si>
    <t>AM133</t>
  </si>
  <si>
    <t>=IF(ISNUMBER(J133),1,0)</t>
  </si>
  <si>
    <t>=IF(AND(ISNUMBER(J133),OR(AR133="INHERITED ESTIMATE",AR133="CONFIRMED ESTIMATE")),1,0)</t>
  </si>
  <si>
    <t>AS133</t>
  </si>
  <si>
    <t>=IF(AM133=1,J133,"")</t>
  </si>
  <si>
    <t>AT133</t>
  </si>
  <si>
    <t>=IF(AND(AM133=1,ISNUMBER(R133)),R133,"")</t>
  </si>
  <si>
    <t>AJ134</t>
  </si>
  <si>
    <t>AM134</t>
  </si>
  <si>
    <t>=IF(ISNUMBER(J134),1,0)</t>
  </si>
  <si>
    <t>=IF(AND(ISNUMBER(J134),OR(AR134="INHERITED ESTIMATE",AR134="CONFIRMED ESTIMATE")),1,0)</t>
  </si>
  <si>
    <t>AR134</t>
  </si>
  <si>
    <t>Backlog!AJ134 vs AR134</t>
  </si>
  <si>
    <t>AS134</t>
  </si>
  <si>
    <t>=IF(AM134=1,J134,"")</t>
  </si>
  <si>
    <t>AT134</t>
  </si>
  <si>
    <t>=IF(AND(AM134=1,ISNUMBER(R134)),R134,"")</t>
  </si>
  <si>
    <t>AM135</t>
  </si>
  <si>
    <t>=IF(ISNUMBER(J135),1,0)</t>
  </si>
  <si>
    <t>=IF(AND(ISNUMBER(J135),OR(AR135="INHERITED ESTIMATE",AR135="CONFIRMED ESTIMATE")),1,0)</t>
  </si>
  <si>
    <t>AS135</t>
  </si>
  <si>
    <t>=IF(AM135=1,J135,"")</t>
  </si>
  <si>
    <t>AT135</t>
  </si>
  <si>
    <t>=IF(AND(AM135=1,ISNUMBER(R135)),R135,"")</t>
  </si>
  <si>
    <t>T136</t>
  </si>
  <si>
    <t>T-087..T-105 + T-112 + T-114 security/tenant hand-off. Outcome semantics from...</t>
  </si>
  <si>
    <t>AM136</t>
  </si>
  <si>
    <t>=IF(ISNUMBER(J136),1,0)</t>
  </si>
  <si>
    <t>=IF(AND(ISNUMBER(J136),OR(AR136="INHERITED ESTIMATE",AR136="CONFIRMED ESTIMATE")),1,0)</t>
  </si>
  <si>
    <t>AS136</t>
  </si>
  <si>
    <t>=IF(AM136=1,J136,"")</t>
  </si>
  <si>
    <t>AT136</t>
  </si>
  <si>
    <t>=IF(AND(AM136=1,ISNUMBER(R136)),R136,"")</t>
  </si>
  <si>
    <t>AM137</t>
  </si>
  <si>
    <t>=IF(ISNUMBER(J137),1,0)</t>
  </si>
  <si>
    <t>=IF(AND(ISNUMBER(J137),OR(AR137="INHERITED ESTIMATE",AR137="CONFIRMED ESTIMATE")),1,0)</t>
  </si>
  <si>
    <t>AS137</t>
  </si>
  <si>
    <t>=IF(AM137=1,J137,"")</t>
  </si>
  <si>
    <t>AT137</t>
  </si>
  <si>
    <t>=IF(AND(AM137=1,ISNUMBER(R137)),R137,"")</t>
  </si>
  <si>
    <t>AM138</t>
  </si>
  <si>
    <t>=IF(ISNUMBER(J138),1,0)</t>
  </si>
  <si>
    <t>=IF(AND(ISNUMBER(J138),OR(AR138="INHERITED ESTIMATE",AR138="CONFIRMED ESTIMATE")),1,0)</t>
  </si>
  <si>
    <t>AS138</t>
  </si>
  <si>
    <t>=IF(AM138=1,J138,"")</t>
  </si>
  <si>
    <t>AT138</t>
  </si>
  <si>
    <t>=IF(AND(AM138=1,ISNUMBER(R138)),R138,"")</t>
  </si>
  <si>
    <t>AM139</t>
  </si>
  <si>
    <t>=IF(ISNUMBER(J139),1,0)</t>
  </si>
  <si>
    <t>=IF(AND(ISNUMBER(J139),OR(AR139="INHERITED ESTIMATE",AR139="CONFIRMED ESTIMATE")),1,0)</t>
  </si>
  <si>
    <t>AS139</t>
  </si>
  <si>
    <t>=IF(AM139=1,J139,"")</t>
  </si>
  <si>
    <t>AT139</t>
  </si>
  <si>
    <t>=IF(AND(AM139=1,ISNUMBER(R139)),R139,"")</t>
  </si>
  <si>
    <t>AM140</t>
  </si>
  <si>
    <t>=IF(ISNUMBER(J140),1,0)</t>
  </si>
  <si>
    <t>=IF(AND(ISNUMBER(J140),OR(AR140="INHERITED ESTIMATE",AR140="CONFIRMED ESTIMATE")),1,0)</t>
  </si>
  <si>
    <t>AS140</t>
  </si>
  <si>
    <t>=IF(AM140=1,J140,"")</t>
  </si>
  <si>
    <t>AT140</t>
  </si>
  <si>
    <t>=IF(AND(AM140=1,ISNUMBER(R140)),R140,"")</t>
  </si>
  <si>
    <t>AM141</t>
  </si>
  <si>
    <t>=IF(ISNUMBER(J141),1,0)</t>
  </si>
  <si>
    <t>=IF(AND(ISNUMBER(J141),OR(AR141="INHERITED ESTIMATE",AR141="CONFIRMED ESTIMATE")),1,0)</t>
  </si>
  <si>
    <t>AS141</t>
  </si>
  <si>
    <t>=IF(AM141=1,J141,"")</t>
  </si>
  <si>
    <t>AT141</t>
  </si>
  <si>
    <t>=IF(AND(AM141=1,ISNUMBER(R141)),R141,"")</t>
  </si>
  <si>
    <t>T142</t>
  </si>
  <si>
    <t>T-090 definition authority + T-095/T-096 relationship resolver + available ca...</t>
  </si>
  <si>
    <t>AM142</t>
  </si>
  <si>
    <t>=IF(ISNUMBER(J142),1,0)</t>
  </si>
  <si>
    <t>=IF(AND(ISNUMBER(J142),OR(AR142="INHERITED ESTIMATE",AR142="CONFIRMED ESTIMATE")),1,0)</t>
  </si>
  <si>
    <t>AS142</t>
  </si>
  <si>
    <t>=IF(AM142=1,J142,"")</t>
  </si>
  <si>
    <t>AT142</t>
  </si>
  <si>
    <t>=IF(AND(AM142=1,ISNUMBER(R142)),R142,"")</t>
  </si>
  <si>
    <t>T143</t>
  </si>
  <si>
    <t>T-112 + T-114 + current Release 2 persistence tables (including T-128/T-129/T-130/T...</t>
  </si>
  <si>
    <t>AM143</t>
  </si>
  <si>
    <t>=IF(ISNUMBER(J143),1,0)</t>
  </si>
  <si>
    <t>=IF(AND(ISNUMBER(J143),OR(AR143="INHERITED ESTIMATE",AR143="CONFIRMED ESTIMATE")),1,0)</t>
  </si>
  <si>
    <t>AS143</t>
  </si>
  <si>
    <t>=IF(AM143=1,J143,"")</t>
  </si>
  <si>
    <t>AT143</t>
  </si>
  <si>
    <t>=IF(AND(AM143=1,ISNUMBER(R143)),R143,"")</t>
  </si>
  <si>
    <t>AM144</t>
  </si>
  <si>
    <t>=IF(ISNUMBER(J144),1,0)</t>
  </si>
  <si>
    <t>=IF(AND(ISNUMBER(J144),OR(AR144="INHERITED ESTIMATE",AR144="CONFIRMED ESTIMATE")),1,0)</t>
  </si>
  <si>
    <t>AS144</t>
  </si>
  <si>
    <t>=IF(AM144=1,J144,"")</t>
  </si>
  <si>
    <t>AT144</t>
  </si>
  <si>
    <t>=IF(AND(AM144=1,ISNUMBER(R144)),R144,"")</t>
  </si>
  <si>
    <t>AM145</t>
  </si>
  <si>
    <t>=IF(ISNUMBER(J145),1,0)</t>
  </si>
  <si>
    <t>=IF(AND(ISNUMBER(J145),OR(AR145="INHERITED ESTIMATE",AR145="CONFIRMED ESTIMATE")),1,0)</t>
  </si>
  <si>
    <t>AS145</t>
  </si>
  <si>
    <t>=IF(AM145=1,J145,"")</t>
  </si>
  <si>
    <t>AT145</t>
  </si>
  <si>
    <t>=IF(AND(AM145=1,ISNUMBER(R145)),R145,"")</t>
  </si>
  <si>
    <t>AM146</t>
  </si>
  <si>
    <t>=IF(ISNUMBER(J146),1,0)</t>
  </si>
  <si>
    <t>=IF(AND(ISNUMBER(J146),OR(AR146="INHERITED ESTIMATE",AR146="CONFIRMED ESTIMATE")),1,0)</t>
  </si>
  <si>
    <t>AS146</t>
  </si>
  <si>
    <t>=IF(AM146=1,J146,"")</t>
  </si>
  <si>
    <t>AT146</t>
  </si>
  <si>
    <t>=IF(AND(AM146=1,ISNUMBER(R146)),R146,"")</t>
  </si>
  <si>
    <t>AM147</t>
  </si>
  <si>
    <t>=IF(ISNUMBER(J147),1,0)</t>
  </si>
  <si>
    <t>=IF(AND(ISNUMBER(J147),OR(AR147="INHERITED ESTIMATE",AR147="CONFIRMED ESTIMATE")),1,0)</t>
  </si>
  <si>
    <t>AS147</t>
  </si>
  <si>
    <t>=IF(AM147=1,J147,"")</t>
  </si>
  <si>
    <t>AT147</t>
  </si>
  <si>
    <t>=IF(AND(AM147=1,ISNUMBER(R147)),R147,"")</t>
  </si>
  <si>
    <t>AM148</t>
  </si>
  <si>
    <t>=IF(ISNUMBER(J148),1,0)</t>
  </si>
  <si>
    <t>=IF(AND(ISNUMBER(J148),OR(AR148="INHERITED ESTIMATE",AR148="CONFIRMED ESTIMATE")),1,0)</t>
  </si>
  <si>
    <t>AS148</t>
  </si>
  <si>
    <t>=IF(AM148=1,J148,"")</t>
  </si>
  <si>
    <t>AT148</t>
  </si>
  <si>
    <t>=IF(AND(AM148=1,ISNUMBER(R148)),R148,"")</t>
  </si>
  <si>
    <t>AM149</t>
  </si>
  <si>
    <t>=IF(ISNUMBER(J149),1,0)</t>
  </si>
  <si>
    <t>=IF(AND(ISNUMBER(J149),OR(AR149="INHERITED ESTIMATE",AR149="CONFIRMED ESTIMATE")),1,0)</t>
  </si>
  <si>
    <t>AS149</t>
  </si>
  <si>
    <t>=IF(AM149=1,J149,"")</t>
  </si>
  <si>
    <t>AT149</t>
  </si>
  <si>
    <t>=IF(AND(AM149=1,ISNUMBER(R149)),R149,"")</t>
  </si>
  <si>
    <t>AM150</t>
  </si>
  <si>
    <t>=IF(ISNUMBER(J150),1,0)</t>
  </si>
  <si>
    <t>=IF(AND(ISNUMBER(J150),OR(AR150="INHERITED ESTIMATE",AR150="CONFIRMED ESTIMATE")),1,0)</t>
  </si>
  <si>
    <t>AS150</t>
  </si>
  <si>
    <t>=IF(AM150=1,J150,"")</t>
  </si>
  <si>
    <t>AT150</t>
  </si>
  <si>
    <t>=IF(AND(AM150=1,ISNUMBER(R150)),R150,"")</t>
  </si>
  <si>
    <t>AM151</t>
  </si>
  <si>
    <t>=IF(ISNUMBER(J151),1,0)</t>
  </si>
  <si>
    <t>=IF(AND(ISNUMBER(J151),OR(AR151="INHERITED ESTIMATE",AR151="CONFIRMED ESTIMATE")),1,0)</t>
  </si>
  <si>
    <t>AS151</t>
  </si>
  <si>
    <t>=IF(AM151=1,J151,"")</t>
  </si>
  <si>
    <t>AT151</t>
  </si>
  <si>
    <t>=IF(AND(AM151=1,ISNUMBER(R151)),R151,"")</t>
  </si>
  <si>
    <t>AJ152</t>
  </si>
  <si>
    <t>AM152</t>
  </si>
  <si>
    <t>=IF(ISNUMBER(J152),1,0)</t>
  </si>
  <si>
    <t>=IF(AND(ISNUMBER(J152),OR(AR152="INHERITED ESTIMATE",AR152="CONFIRMED ESTIMATE")),1,0)</t>
  </si>
  <si>
    <t>AR152</t>
  </si>
  <si>
    <t>Backlog!AJ152 vs AR152</t>
  </si>
  <si>
    <t>AS152</t>
  </si>
  <si>
    <t>=IF(AM152=1,J152,"")</t>
  </si>
  <si>
    <t>AT152</t>
  </si>
  <si>
    <t>=IF(AND(AM152=1,ISNUMBER(R152)),R152,"")</t>
  </si>
  <si>
    <t>AJ153</t>
  </si>
  <si>
    <t>AM153</t>
  </si>
  <si>
    <t>=IF(ISNUMBER(J153),1,0)</t>
  </si>
  <si>
    <t>=IF(AND(ISNUMBER(J153),OR(AR153="INHERITED ESTIMATE",AR153="CONFIRMED ESTIMATE")),1,0)</t>
  </si>
  <si>
    <t>AR153</t>
  </si>
  <si>
    <t>Backlog!AJ153 vs AR153</t>
  </si>
  <si>
    <t>AS153</t>
  </si>
  <si>
    <t>=IF(AM153=1,J153,"")</t>
  </si>
  <si>
    <t>AT153</t>
  </si>
  <si>
    <t>=IF(AND(AM153=1,ISNUMBER(R153)),R153,"")</t>
  </si>
  <si>
    <t>T154</t>
  </si>
  <si>
    <t>T-090 canonical SM-06 binding + T-128/T-129 + T-177; complete BEFORE T-146 fi...</t>
  </si>
  <si>
    <t>AM154</t>
  </si>
  <si>
    <t>=IF(ISNUMBER(J154),1,0)</t>
  </si>
  <si>
    <t>=IF(AND(ISNUMBER(J154),OR(AR154="INHERITED ESTIMATE",AR154="CONFIRMED ESTIMATE")),1,0)</t>
  </si>
  <si>
    <t>AS154</t>
  </si>
  <si>
    <t>=IF(AM154=1,J154,"")</t>
  </si>
  <si>
    <t>AT154</t>
  </si>
  <si>
    <t>=IF(AND(AM154=1,ISNUMBER(R154)),R154,"")</t>
  </si>
  <si>
    <t>AM155</t>
  </si>
  <si>
    <t>=IF(ISNUMBER(J155),1,0)</t>
  </si>
  <si>
    <t>=IF(AND(ISNUMBER(J155),OR(AR155="INHERITED ESTIMATE",AR155="CONFIRMED ESTIMATE")),1,0)</t>
  </si>
  <si>
    <t>AS155</t>
  </si>
  <si>
    <t>=IF(AM155=1,J155,"")</t>
  </si>
  <si>
    <t>AT155</t>
  </si>
  <si>
    <t>=IF(AND(AM155=1,ISNUMBER(R155)),R155,"")</t>
  </si>
  <si>
    <t>AM156</t>
  </si>
  <si>
    <t>=IF(ISNUMBER(J156),1,0)</t>
  </si>
  <si>
    <t>=IF(AND(ISNUMBER(J156),OR(AR156="INHERITED ESTIMATE",AR156="CONFIRMED ESTIMATE")),1,0)</t>
  </si>
  <si>
    <t>AS156</t>
  </si>
  <si>
    <t>=IF(AM156=1,J156,"")</t>
  </si>
  <si>
    <t>AT156</t>
  </si>
  <si>
    <t>=IF(AND(AM156=1,ISNUMBER(R156)),R156,"")</t>
  </si>
  <si>
    <t>AM157</t>
  </si>
  <si>
    <t>=IF(ISNUMBER(J157),1,0)</t>
  </si>
  <si>
    <t>=IF(AND(ISNUMBER(J157),OR(AR157="INHERITED ESTIMATE",AR157="CONFIRMED ESTIMATE")),1,0)</t>
  </si>
  <si>
    <t>AS157</t>
  </si>
  <si>
    <t>=IF(AM157=1,J157,"")</t>
  </si>
  <si>
    <t>AT157</t>
  </si>
  <si>
    <t>=IF(AND(AM157=1,ISNUMBER(R157)),R157,"")</t>
  </si>
  <si>
    <t>AJ158</t>
  </si>
  <si>
    <t>AM158</t>
  </si>
  <si>
    <t>=IF(ISNUMBER(J158),1,0)</t>
  </si>
  <si>
    <t>=IF(AND(ISNUMBER(J158),OR(AR158="INHERITED ESTIMATE",AR158="CONFIRMED ESTIMATE")),1,0)</t>
  </si>
  <si>
    <t>AR158</t>
  </si>
  <si>
    <t>Backlog!AJ158 vs AR158</t>
  </si>
  <si>
    <t>AS158</t>
  </si>
  <si>
    <t>=IF(AM158=1,J158,"")</t>
  </si>
  <si>
    <t>AT158</t>
  </si>
  <si>
    <t>=IF(AND(AM158=1,ISNUMBER(R158)),R158,"")</t>
  </si>
  <si>
    <t>T159</t>
  </si>
  <si>
    <t>T-089..T-105 canonical definition/relationship authority + T-112 + T-114 secu...</t>
  </si>
  <si>
    <t>AM159</t>
  </si>
  <si>
    <t>=IF(ISNUMBER(J159),1,0)</t>
  </si>
  <si>
    <t>=IF(AND(ISNUMBER(J159),OR(AR159="INHERITED ESTIMATE",AR159="CONFIRMED ESTIMATE")),1,0)</t>
  </si>
  <si>
    <t>AS159</t>
  </si>
  <si>
    <t>=IF(AM159=1,J159,"")</t>
  </si>
  <si>
    <t>AT159</t>
  </si>
  <si>
    <t>=IF(AND(AM159=1,ISNUMBER(R159)),R159,"")</t>
  </si>
  <si>
    <t>AM160</t>
  </si>
  <si>
    <t>=IF(ISNUMBER(J160),1,0)</t>
  </si>
  <si>
    <t>=IF(AND(ISNUMBER(J160),OR(AR160="INHERITED ESTIMATE",AR160="CONFIRMED ESTIMATE")),1,0)</t>
  </si>
  <si>
    <t>AS160</t>
  </si>
  <si>
    <t>=IF(AM160=1,J160,"")</t>
  </si>
  <si>
    <t>AT160</t>
  </si>
  <si>
    <t>=IF(AND(AM160=1,ISNUMBER(R160)),R160,"")</t>
  </si>
  <si>
    <t>T161</t>
  </si>
  <si>
    <t>T-170 + T-183 + T-122 final object-storage/container path + T-112/T-114/T-135...</t>
  </si>
  <si>
    <t>AM161</t>
  </si>
  <si>
    <t>=IF(ISNUMBER(J161),1,0)</t>
  </si>
  <si>
    <t>=IF(AND(ISNUMBER(J161),OR(AR161="INHERITED ESTIMATE",AR161="CONFIRMED ESTIMATE")),1,0)</t>
  </si>
  <si>
    <t>AS161</t>
  </si>
  <si>
    <t>=IF(AM161=1,J161,"")</t>
  </si>
  <si>
    <t>AT161</t>
  </si>
  <si>
    <t>=IF(AND(AM161=1,ISNUMBER(R161)),R161,"")</t>
  </si>
  <si>
    <t>T162</t>
  </si>
  <si>
    <t>T-171 + T-183 + T-128/T-129 + T-195 canonical readiness thresholds + T-135 se...</t>
  </si>
  <si>
    <t>AJ162</t>
  </si>
  <si>
    <t>AM162</t>
  </si>
  <si>
    <t>=IF(ISNUMBER(J162),1,0)</t>
  </si>
  <si>
    <t>=IF(AND(ISNUMBER(J162),OR(AR162="INHERITED ESTIMATE",AR162="CONFIRMED ESTIMATE")),1,0)</t>
  </si>
  <si>
    <t>AR162</t>
  </si>
  <si>
    <t>Backlog!AJ162 vs AR162</t>
  </si>
  <si>
    <t>AS162</t>
  </si>
  <si>
    <t>=IF(AM162=1,J162,"")</t>
  </si>
  <si>
    <t>AT162</t>
  </si>
  <si>
    <t>=IF(AND(AM162=1,ISNUMBER(R162)),R162,"")</t>
  </si>
  <si>
    <t>AM163</t>
  </si>
  <si>
    <t>=IF(ISNUMBER(J163),1,0)</t>
  </si>
  <si>
    <t>=IF(AND(ISNUMBER(J163),OR(AR163="INHERITED ESTIMATE",AR163="CONFIRMED ESTIMATE")),1,0)</t>
  </si>
  <si>
    <t>AS163</t>
  </si>
  <si>
    <t>=IF(AM163=1,J163,"")</t>
  </si>
  <si>
    <t>AT163</t>
  </si>
  <si>
    <t>=IF(AND(AM163=1,ISNUMBER(R163)),R163,"")</t>
  </si>
  <si>
    <t>AM164</t>
  </si>
  <si>
    <t>=IF(ISNUMBER(J164),1,0)</t>
  </si>
  <si>
    <t>=IF(AND(ISNUMBER(J164),OR(AR164="INHERITED ESTIMATE",AR164="CONFIRMED ESTIMATE")),1,0)</t>
  </si>
  <si>
    <t>AS164</t>
  </si>
  <si>
    <t>=IF(AM164=1,J164,"")</t>
  </si>
  <si>
    <t>AT164</t>
  </si>
  <si>
    <t>=IF(AND(AM164=1,ISNUMBER(R164)),R164,"")</t>
  </si>
  <si>
    <t>AM165</t>
  </si>
  <si>
    <t>=IF(ISNUMBER(J165),1,0)</t>
  </si>
  <si>
    <t>=IF(AND(ISNUMBER(J165),OR(AR165="INHERITED ESTIMATE",AR165="CONFIRMED ESTIMATE")),1,0)</t>
  </si>
  <si>
    <t>AS165</t>
  </si>
  <si>
    <t>=IF(AM165=1,J165,"")</t>
  </si>
  <si>
    <t>AT165</t>
  </si>
  <si>
    <t>=IF(AND(AM165=1,ISNUMBER(R165)),R165,"")</t>
  </si>
  <si>
    <t>AJ166</t>
  </si>
  <si>
    <t>AM166</t>
  </si>
  <si>
    <t>=IF(ISNUMBER(J166),1,0)</t>
  </si>
  <si>
    <t>=IF(AND(ISNUMBER(J166),OR(AR166="INHERITED ESTIMATE",AR166="CONFIRMED ESTIMATE")),1,0)</t>
  </si>
  <si>
    <t>AR166</t>
  </si>
  <si>
    <t>Backlog!AJ166 vs AR166</t>
  </si>
  <si>
    <t>AS166</t>
  </si>
  <si>
    <t>=IF(AM166=1,J166,"")</t>
  </si>
  <si>
    <t>AT166</t>
  </si>
  <si>
    <t>=IF(AND(AM166=1,ISNUMBER(R166)),R166,"")</t>
  </si>
  <si>
    <t>AM167</t>
  </si>
  <si>
    <t>=IF(ISNUMBER(J167),1,0)</t>
  </si>
  <si>
    <t>=IF(AND(ISNUMBER(J167),OR(AR167="INHERITED ESTIMATE",AR167="CONFIRMED ESTIMATE")),1,0)</t>
  </si>
  <si>
    <t>AS167</t>
  </si>
  <si>
    <t>=IF(AM167=1,J167,"")</t>
  </si>
  <si>
    <t>AT167</t>
  </si>
  <si>
    <t>=IF(AND(AM167=1,ISNUMBER(R167)),R167,"")</t>
  </si>
  <si>
    <t>AM168</t>
  </si>
  <si>
    <t>=IF(ISNUMBER(J168),1,0)</t>
  </si>
  <si>
    <t>=IF(AND(ISNUMBER(J168),OR(AR168="INHERITED ESTIMATE",AR168="CONFIRMED ESTIMATE")),1,0)</t>
  </si>
  <si>
    <t>AS168</t>
  </si>
  <si>
    <t>=IF(AM168=1,J168,"")</t>
  </si>
  <si>
    <t>AT168</t>
  </si>
  <si>
    <t>=IF(AND(AM168=1,ISNUMBER(R168)),R168,"")</t>
  </si>
  <si>
    <t>AM169</t>
  </si>
  <si>
    <t>=IF(ISNUMBER(J169),1,0)</t>
  </si>
  <si>
    <t>=IF(AND(ISNUMBER(J169),OR(AR169="INHERITED ESTIMATE",AR169="CONFIRMED ESTIMATE")),1,0)</t>
  </si>
  <si>
    <t>AS169</t>
  </si>
  <si>
    <t>=IF(AM169=1,J169,"")</t>
  </si>
  <si>
    <t>AT169</t>
  </si>
  <si>
    <t>=IF(AND(AM169=1,ISNUMBER(R169)),R169,"")</t>
  </si>
  <si>
    <t>AM170</t>
  </si>
  <si>
    <t>=IF(ISNUMBER(J170),1,0)</t>
  </si>
  <si>
    <t>=IF(AND(ISNUMBER(J170),OR(AR170="INHERITED ESTIMATE",AR170="CONFIRMED ESTIMATE")),1,0)</t>
  </si>
  <si>
    <t>AS170</t>
  </si>
  <si>
    <t>=IF(AM170=1,J170,"")</t>
  </si>
  <si>
    <t>AT170</t>
  </si>
  <si>
    <t>=IF(AND(AM170=1,ISNUMBER(R170)),R170,"")</t>
  </si>
  <si>
    <t>AM171</t>
  </si>
  <si>
    <t>=IF(ISNUMBER(J171),1,0)</t>
  </si>
  <si>
    <t>=IF(AND(ISNUMBER(J171),OR(AR171="INHERITED ESTIMATE",AR171="CONFIRMED ESTIMATE")),1,0)</t>
  </si>
  <si>
    <t>AS171</t>
  </si>
  <si>
    <t>=IF(AM171=1,J171,"")</t>
  </si>
  <si>
    <t>AT171</t>
  </si>
  <si>
    <t>=IF(AND(AM171=1,ISNUMBER(R171)),R171,"")</t>
  </si>
  <si>
    <t>AM172</t>
  </si>
  <si>
    <t>=IF(ISNUMBER(J172),1,0)</t>
  </si>
  <si>
    <t>=IF(AND(ISNUMBER(J172),OR(AR172="INHERITED ESTIMATE",AR172="CONFIRMED ESTIMATE")),1,0)</t>
  </si>
  <si>
    <t>AS172</t>
  </si>
  <si>
    <t>=IF(AM172=1,J172,"")</t>
  </si>
  <si>
    <t>AT172</t>
  </si>
  <si>
    <t>=IF(AND(AM172=1,ISNUMBER(R172)),R172,"")</t>
  </si>
  <si>
    <t>AM173</t>
  </si>
  <si>
    <t>=IF(ISNUMBER(J173),1,0)</t>
  </si>
  <si>
    <t>=IF(AND(ISNUMBER(J173),OR(AR173="INHERITED ESTIMATE",AR173="CONFIRMED ESTIMATE")),1,0)</t>
  </si>
  <si>
    <t>AS173</t>
  </si>
  <si>
    <t>=IF(AM173=1,J173,"")</t>
  </si>
  <si>
    <t>AT173</t>
  </si>
  <si>
    <t>=IF(AND(AM173=1,ISNUMBER(R173)),R173,"")</t>
  </si>
  <si>
    <t>AM174</t>
  </si>
  <si>
    <t>=IF(ISNUMBER(J174),1,0)</t>
  </si>
  <si>
    <t>=IF(AND(ISNUMBER(J174),OR(AR174="INHERITED ESTIMATE",AR174="CONFIRMED ESTIMATE")),1,0)</t>
  </si>
  <si>
    <t>AS174</t>
  </si>
  <si>
    <t>=IF(AM174=1,J174,"")</t>
  </si>
  <si>
    <t>AT174</t>
  </si>
  <si>
    <t>=IF(AND(AM174=1,ISNUMBER(R174)),R174,"")</t>
  </si>
  <si>
    <t>AM175</t>
  </si>
  <si>
    <t>=IF(ISNUMBER(J175),1,0)</t>
  </si>
  <si>
    <t>=IF(AND(ISNUMBER(J175),OR(AR175="INHERITED ESTIMATE",AR175="CONFIRMED ESTIMATE")),1,0)</t>
  </si>
  <si>
    <t>AS175</t>
  </si>
  <si>
    <t>=IF(AM175=1,J175,"")</t>
  </si>
  <si>
    <t>AT175</t>
  </si>
  <si>
    <t>=IF(AND(AM175=1,ISNUMBER(R175)),R175,"")</t>
  </si>
  <si>
    <t>AM176</t>
  </si>
  <si>
    <t>=IF(ISNUMBER(J176),1,0)</t>
  </si>
  <si>
    <t>=IF(AND(ISNUMBER(J176),OR(AR176="INHERITED ESTIMATE",AR176="CONFIRMED ESTIMATE")),1,0)</t>
  </si>
  <si>
    <t>AS176</t>
  </si>
  <si>
    <t>=IF(AM176=1,J176,"")</t>
  </si>
  <si>
    <t>AT176</t>
  </si>
  <si>
    <t>=IF(AND(AM176=1,ISNUMBER(R176)),R176,"")</t>
  </si>
  <si>
    <t>AM177</t>
  </si>
  <si>
    <t>=IF(ISNUMBER(J177),1,0)</t>
  </si>
  <si>
    <t>=IF(AND(ISNUMBER(J177),OR(AR177="INHERITED ESTIMATE",AR177="CONFIRMED ESTIMATE")),1,0)</t>
  </si>
  <si>
    <t>AS177</t>
  </si>
  <si>
    <t>=IF(AM177=1,J177,"")</t>
  </si>
  <si>
    <t>AT177</t>
  </si>
  <si>
    <t>=IF(AND(AM177=1,ISNUMBER(R177)),R177,"")</t>
  </si>
  <si>
    <t>AM178</t>
  </si>
  <si>
    <t>=IF(ISNUMBER(J178),1,0)</t>
  </si>
  <si>
    <t>=IF(AND(ISNUMBER(J178),OR(AR178="INHERITED ESTIMATE",AR178="CONFIRMED ESTIMATE")),1,0)</t>
  </si>
  <si>
    <t>AS178</t>
  </si>
  <si>
    <t>=IF(AM178=1,J178,"")</t>
  </si>
  <si>
    <t>AT178</t>
  </si>
  <si>
    <t>=IF(AND(AM178=1,ISNUMBER(R178)),R178,"")</t>
  </si>
  <si>
    <t>AM179</t>
  </si>
  <si>
    <t>=IF(ISNUMBER(J179),1,0)</t>
  </si>
  <si>
    <t>=IF(AND(ISNUMBER(J179),OR(AR179="INHERITED ESTIMATE",AR179="CONFIRMED ESTIMATE")),1,0)</t>
  </si>
  <si>
    <t>AS179</t>
  </si>
  <si>
    <t>=IF(AM179=1,J179,"")</t>
  </si>
  <si>
    <t>AT179</t>
  </si>
  <si>
    <t>=IF(AND(AM179=1,ISNUMBER(R179)),R179,"")</t>
  </si>
  <si>
    <t>AM180</t>
  </si>
  <si>
    <t>=IF(ISNUMBER(J180),1,0)</t>
  </si>
  <si>
    <t>=IF(AND(ISNUMBER(J180),OR(AR180="INHERITED ESTIMATE",AR180="CONFIRMED ESTIMATE")),1,0)</t>
  </si>
  <si>
    <t>AS180</t>
  </si>
  <si>
    <t>=IF(AM180=1,J180,"")</t>
  </si>
  <si>
    <t>AT180</t>
  </si>
  <si>
    <t>=IF(AND(AM180=1,ISNUMBER(R180)),R180,"")</t>
  </si>
  <si>
    <t>Release Plan — v2.23.0 | known effort only; 8 unestimated/unconfirmed rows</t>
  </si>
  <si>
    <t>Synchronize current metadata/labels with supported evidence or calculation.</t>
  </si>
  <si>
    <t>I3</t>
  </si>
  <si>
    <t>Known scope h</t>
  </si>
  <si>
    <t>J3</t>
  </si>
  <si>
    <t>Known open h</t>
  </si>
  <si>
    <t>K3</t>
  </si>
  <si>
    <t>Unestimated rows</t>
  </si>
  <si>
    <t>I4</t>
  </si>
  <si>
    <t>=SUMIFS(Backlog!$J$2:$J$180,Backlog!$B$2:$B$180,$A4,Backlog!$C$2:$C$180,$C4)</t>
  </si>
  <si>
    <t>=SUMIFS(Backlog!$AS$2:$AS$180,Backlog!$B$2:$B$180,$A4,Backlog!$C$2:$C$180,$C4)</t>
  </si>
  <si>
    <t>Use only non-withdrawn planning estimates; keep raw J/R visible in Backlog.</t>
  </si>
  <si>
    <t>J4</t>
  </si>
  <si>
    <t>=SUMIFS(Backlog!$J$2:$J$180,Backlog!$B$2:$B$180,$A4,Backlog!$C$2:$C$180,$C4,Backlog!$K$2:$K$180,"&lt;&gt;Done")</t>
  </si>
  <si>
    <t>=SUMIFS(Backlog!$AS$2:$AS$180,Backlog!$B$2:$B$180,$A4,Backlog!$C$2:$C$180,$C4,Backlog!$K$2:$K$180,"&lt;&gt;Done")</t>
  </si>
  <si>
    <t>I5</t>
  </si>
  <si>
    <t>=SUMIFS(Backlog!$J$2:$J$180,Backlog!$B$2:$B$180,$A5,Backlog!$C$2:$C$180,$C5)</t>
  </si>
  <si>
    <t>=SUMIFS(Backlog!$AS$2:$AS$180,Backlog!$B$2:$B$180,$A5,Backlog!$C$2:$C$180,$C5)</t>
  </si>
  <si>
    <t>J5</t>
  </si>
  <si>
    <t>=SUMIFS(Backlog!$J$2:$J$180,Backlog!$B$2:$B$180,$A5,Backlog!$C$2:$C$180,$C5,Backlog!$K$2:$K$180,"&lt;&gt;Done")</t>
  </si>
  <si>
    <t>=SUMIFS(Backlog!$AS$2:$AS$180,Backlog!$B$2:$B$180,$A5,Backlog!$C$2:$C$180,$C5,Backlog!$K$2:$K$180,"&lt;&gt;Done")</t>
  </si>
  <si>
    <t>I6</t>
  </si>
  <si>
    <t>=SUMIFS(Backlog!$J$2:$J$180,Backlog!$B$2:$B$180,$A6,Backlog!$C$2:$C$180,$C6)</t>
  </si>
  <si>
    <t>=SUMIFS(Backlog!$AS$2:$AS$180,Backlog!$B$2:$B$180,$A6,Backlog!$C$2:$C$180,$C6)</t>
  </si>
  <si>
    <t>J6</t>
  </si>
  <si>
    <t>=SUMIFS(Backlog!$J$2:$J$180,Backlog!$B$2:$B$180,$A6,Backlog!$C$2:$C$180,$C6,Backlog!$K$2:$K$180,"&lt;&gt;Done")</t>
  </si>
  <si>
    <t>=SUMIFS(Backlog!$AS$2:$AS$180,Backlog!$B$2:$B$180,$A6,Backlog!$C$2:$C$180,$C6,Backlog!$K$2:$K$180,"&lt;&gt;Done")</t>
  </si>
  <si>
    <t>I7</t>
  </si>
  <si>
    <t>=SUMIFS(Backlog!$J$2:$J$180,Backlog!$B$2:$B$180,$A7,Backlog!$C$2:$C$180,$C7)</t>
  </si>
  <si>
    <t>=SUMIFS(Backlog!$AS$2:$AS$180,Backlog!$B$2:$B$180,$A7,Backlog!$C$2:$C$180,$C7)</t>
  </si>
  <si>
    <t>J7</t>
  </si>
  <si>
    <t>=SUMIFS(Backlog!$J$2:$J$180,Backlog!$B$2:$B$180,$A7,Backlog!$C$2:$C$180,$C7,Backlog!$K$2:$K$180,"&lt;&gt;Done")</t>
  </si>
  <si>
    <t>=SUMIFS(Backlog!$AS$2:$AS$180,Backlog!$B$2:$B$180,$A7,Backlog!$C$2:$C$180,$C7,Backlog!$K$2:$K$180,"&lt;&gt;Done")</t>
  </si>
  <si>
    <t>I8</t>
  </si>
  <si>
    <t>=SUMIFS(Backlog!$J$2:$J$180,Backlog!$B$2:$B$180,$A8,Backlog!$C$2:$C$180,$C8)</t>
  </si>
  <si>
    <t>=SUMIFS(Backlog!$AS$2:$AS$180,Backlog!$B$2:$B$180,$A8,Backlog!$C$2:$C$180,$C8)</t>
  </si>
  <si>
    <t>J8</t>
  </si>
  <si>
    <t>=SUMIFS(Backlog!$J$2:$J$180,Backlog!$B$2:$B$180,$A8,Backlog!$C$2:$C$180,$C8,Backlog!$K$2:$K$180,"&lt;&gt;Done")</t>
  </si>
  <si>
    <t>=SUMIFS(Backlog!$AS$2:$AS$180,Backlog!$B$2:$B$180,$A8,Backlog!$C$2:$C$180,$C8,Backlog!$K$2:$K$180,"&lt;&gt;Done")</t>
  </si>
  <si>
    <t>I9</t>
  </si>
  <si>
    <t>=SUMIFS(Backlog!$J$2:$J$180,Backlog!$B$2:$B$180,$A9,Backlog!$C$2:$C$180,$C9)</t>
  </si>
  <si>
    <t>=SUMIFS(Backlog!$AS$2:$AS$180,Backlog!$B$2:$B$180,$A9,Backlog!$C$2:$C$180,$C9)</t>
  </si>
  <si>
    <t>J9</t>
  </si>
  <si>
    <t>=SUMIFS(Backlog!$J$2:$J$180,Backlog!$B$2:$B$180,$A9,Backlog!$C$2:$C$180,$C9,Backlog!$K$2:$K$180,"&lt;&gt;Done")</t>
  </si>
  <si>
    <t>=SUMIFS(Backlog!$AS$2:$AS$180,Backlog!$B$2:$B$180,$A9,Backlog!$C$2:$C$180,$C9,Backlog!$K$2:$K$180,"&lt;&gt;Done")</t>
  </si>
  <si>
    <t>I10</t>
  </si>
  <si>
    <t>=SUMIFS(Backlog!$J$2:$J$180,Backlog!$B$2:$B$180,$A10,Backlog!$C$2:$C$180,$C10)</t>
  </si>
  <si>
    <t>=SUMIFS(Backlog!$AS$2:$AS$180,Backlog!$B$2:$B$180,$A10,Backlog!$C$2:$C$180,$C10)</t>
  </si>
  <si>
    <t>J10</t>
  </si>
  <si>
    <t>=SUMIFS(Backlog!$J$2:$J$180,Backlog!$B$2:$B$180,$A10,Backlog!$C$2:$C$180,$C10,Backlog!$K$2:$K$180,"&lt;&gt;Done")</t>
  </si>
  <si>
    <t>=SUMIFS(Backlog!$AS$2:$AS$180,Backlog!$B$2:$B$180,$A10,Backlog!$C$2:$C$180,$C10,Backlog!$K$2:$K$180,"&lt;&gt;Done")</t>
  </si>
  <si>
    <t>I11</t>
  </si>
  <si>
    <t>=SUMIFS(Backlog!$J$2:$J$180,Backlog!$B$2:$B$180,$A11,Backlog!$C$2:$C$180,$C11)</t>
  </si>
  <si>
    <t>=SUMIFS(Backlog!$AS$2:$AS$180,Backlog!$B$2:$B$180,$A11,Backlog!$C$2:$C$180,$C11)</t>
  </si>
  <si>
    <t>J11</t>
  </si>
  <si>
    <t>=SUMIFS(Backlog!$J$2:$J$180,Backlog!$B$2:$B$180,$A11,Backlog!$C$2:$C$180,$C11,Backlog!$K$2:$K$180,"&lt;&gt;Done")</t>
  </si>
  <si>
    <t>=SUMIFS(Backlog!$AS$2:$AS$180,Backlog!$B$2:$B$180,$A11,Backlog!$C$2:$C$180,$C11,Backlog!$K$2:$K$180,"&lt;&gt;Done")</t>
  </si>
  <si>
    <t>I12</t>
  </si>
  <si>
    <t>=SUMIFS(Backlog!$J$2:$J$180,Backlog!$B$2:$B$180,$A12,Backlog!$C$2:$C$180,$C12)</t>
  </si>
  <si>
    <t>=SUMIFS(Backlog!$AS$2:$AS$180,Backlog!$B$2:$B$180,$A12,Backlog!$C$2:$C$180,$C12)</t>
  </si>
  <si>
    <t>J12</t>
  </si>
  <si>
    <t>=SUMIFS(Backlog!$J$2:$J$180,Backlog!$B$2:$B$180,$A12,Backlog!$C$2:$C$180,$C12,Backlog!$K$2:$K$180,"&lt;&gt;Done")</t>
  </si>
  <si>
    <t>=SUMIFS(Backlog!$AS$2:$AS$180,Backlog!$B$2:$B$180,$A12,Backlog!$C$2:$C$180,$C12,Backlog!$K$2:$K$180,"&lt;&gt;Done")</t>
  </si>
  <si>
    <t>I13</t>
  </si>
  <si>
    <t>=SUMIFS(Backlog!$J$2:$J$180,Backlog!$B$2:$B$180,$A13,Backlog!$C$2:$C$180,$C13)</t>
  </si>
  <si>
    <t>=SUMIFS(Backlog!$AS$2:$AS$180,Backlog!$B$2:$B$180,$A13,Backlog!$C$2:$C$180,$C13)</t>
  </si>
  <si>
    <t>J13</t>
  </si>
  <si>
    <t>=SUMIFS(Backlog!$J$2:$J$180,Backlog!$B$2:$B$180,$A13,Backlog!$C$2:$C$180,$C13,Backlog!$K$2:$K$180,"&lt;&gt;Done")</t>
  </si>
  <si>
    <t>=SUMIFS(Backlog!$AS$2:$AS$180,Backlog!$B$2:$B$180,$A13,Backlog!$C$2:$C$180,$C13,Backlog!$K$2:$K$180,"&lt;&gt;Done")</t>
  </si>
  <si>
    <t>Known estimate h</t>
  </si>
  <si>
    <t>H2</t>
  </si>
  <si>
    <t>AI P80 h</t>
  </si>
  <si>
    <t>=IF(ISNUMBER(INDEX(Backlog!$J$2:$J$180,MATCH($D3,Backlog!$A$2:$A$180,0))),INDEX(Backlog!$J$2:$J$180,MATCH($D3,Backlog!$A$2:$A$180,0)),"")</t>
  </si>
  <si>
    <t>=IF(ISNUMBER(INDEX(Backlog!$AS$2:$AS$180,MATCH($D3,Backlog!$A$2:$A$180,0))),INDEX(Backlog!$AS$2:$AS$180,MATCH($D3,Backlog!$A$2:$A$180,0)),"")</t>
  </si>
  <si>
    <t>H3</t>
  </si>
  <si>
    <t>=IF(ISNUMBER(INDEX(Backlog!$R$2:$R$180,MATCH($D3,Backlog!$A$2:$A$180,0))),INDEX(Backlog!$R$2:$R$180,MATCH($D3,Backlog!$A$2:$A$180,0)),"")</t>
  </si>
  <si>
    <t>=IF(ISNUMBER(INDEX(Backlog!$AT$2:$AT$180,MATCH($D3,Backlog!$A$2:$A$180,0))),INDEX(Backlog!$AT$2:$AT$180,MATCH($D3,Backlog!$A$2:$A$180,0)),"")</t>
  </si>
  <si>
    <t>=IF(ISNUMBER(INDEX(Backlog!$J$2:$J$180,MATCH($D4,Backlog!$A$2:$A$180,0))),INDEX(Backlog!$J$2:$J$180,MATCH($D4,Backlog!$A$2:$A$180,0)),"")</t>
  </si>
  <si>
    <t>=IF(ISNUMBER(INDEX(Backlog!$AS$2:$AS$180,MATCH($D4,Backlog!$A$2:$A$180,0))),INDEX(Backlog!$AS$2:$AS$180,MATCH($D4,Backlog!$A$2:$A$180,0)),"")</t>
  </si>
  <si>
    <t>H4</t>
  </si>
  <si>
    <t>=IF(ISNUMBER(INDEX(Backlog!$R$2:$R$180,MATCH($D4,Backlog!$A$2:$A$180,0))),INDEX(Backlog!$R$2:$R$180,MATCH($D4,Backlog!$A$2:$A$180,0)),"")</t>
  </si>
  <si>
    <t>=IF(ISNUMBER(INDEX(Backlog!$AT$2:$AT$180,MATCH($D4,Backlog!$A$2:$A$180,0))),INDEX(Backlog!$AT$2:$AT$180,MATCH($D4,Backlog!$A$2:$A$180,0)),"")</t>
  </si>
  <si>
    <t>=IF(ISNUMBER(INDEX(Backlog!$J$2:$J$180,MATCH($D5,Backlog!$A$2:$A$180,0))),INDEX(Backlog!$J$2:$J$180,MATCH($D5,Backlog!$A$2:$A$180,0)),"")</t>
  </si>
  <si>
    <t>=IF(ISNUMBER(INDEX(Backlog!$AS$2:$AS$180,MATCH($D5,Backlog!$A$2:$A$180,0))),INDEX(Backlog!$AS$2:$AS$180,MATCH($D5,Backlog!$A$2:$A$180,0)),"")</t>
  </si>
  <si>
    <t>H5</t>
  </si>
  <si>
    <t>=IF(ISNUMBER(INDEX(Backlog!$R$2:$R$180,MATCH($D5,Backlog!$A$2:$A$180,0))),INDEX(Backlog!$R$2:$R$180,MATCH($D5,Backlog!$A$2:$A$180,0)),"")</t>
  </si>
  <si>
    <t>=IF(ISNUMBER(INDEX(Backlog!$AT$2:$AT$180,MATCH($D5,Backlog!$A$2:$A$180,0))),INDEX(Backlog!$AT$2:$AT$180,MATCH($D5,Backlog!$A$2:$A$180,0)),"")</t>
  </si>
  <si>
    <t>=IF(ISNUMBER(INDEX(Backlog!$J$2:$J$180,MATCH($D6,Backlog!$A$2:$A$180,0))),INDEX(Backlog!$J$2:$J$180,MATCH($D6,Backlog!$A$2:$A$180,0)),"")</t>
  </si>
  <si>
    <t>=IF(ISNUMBER(INDEX(Backlog!$AS$2:$AS$180,MATCH($D6,Backlog!$A$2:$A$180,0))),INDEX(Backlog!$AS$2:$AS$180,MATCH($D6,Backlog!$A$2:$A$180,0)),"")</t>
  </si>
  <si>
    <t>H6</t>
  </si>
  <si>
    <t>=IF(ISNUMBER(INDEX(Backlog!$R$2:$R$180,MATCH($D6,Backlog!$A$2:$A$180,0))),INDEX(Backlog!$R$2:$R$180,MATCH($D6,Backlog!$A$2:$A$180,0)),"")</t>
  </si>
  <si>
    <t>=IF(ISNUMBER(INDEX(Backlog!$AT$2:$AT$180,MATCH($D6,Backlog!$A$2:$A$180,0))),INDEX(Backlog!$AT$2:$AT$180,MATCH($D6,Backlog!$A$2:$A$180,0)),"")</t>
  </si>
  <si>
    <t>G7</t>
  </si>
  <si>
    <t>=IF(ISNUMBER(INDEX(Backlog!$J$2:$J$180,MATCH($D7,Backlog!$A$2:$A$180,0))),INDEX(Backlog!$J$2:$J$180,MATCH($D7,Backlog!$A$2:$A$180,0)),"")</t>
  </si>
  <si>
    <t>=IF(ISNUMBER(INDEX(Backlog!$AS$2:$AS$180,MATCH($D7,Backlog!$A$2:$A$180,0))),INDEX(Backlog!$AS$2:$AS$180,MATCH($D7,Backlog!$A$2:$A$180,0)),"")</t>
  </si>
  <si>
    <t>H7</t>
  </si>
  <si>
    <t>=IF(ISNUMBER(INDEX(Backlog!$R$2:$R$180,MATCH($D7,Backlog!$A$2:$A$180,0))),INDEX(Backlog!$R$2:$R$180,MATCH($D7,Backlog!$A$2:$A$180,0)),"")</t>
  </si>
  <si>
    <t>=IF(ISNUMBER(INDEX(Backlog!$AT$2:$AT$180,MATCH($D7,Backlog!$A$2:$A$180,0))),INDEX(Backlog!$AT$2:$AT$180,MATCH($D7,Backlog!$A$2:$A$180,0)),"")</t>
  </si>
  <si>
    <t>G8</t>
  </si>
  <si>
    <t>=IF(ISNUMBER(INDEX(Backlog!$J$2:$J$180,MATCH($D8,Backlog!$A$2:$A$180,0))),INDEX(Backlog!$J$2:$J$180,MATCH($D8,Backlog!$A$2:$A$180,0)),"")</t>
  </si>
  <si>
    <t>=IF(ISNUMBER(INDEX(Backlog!$AS$2:$AS$180,MATCH($D8,Backlog!$A$2:$A$180,0))),INDEX(Backlog!$AS$2:$AS$180,MATCH($D8,Backlog!$A$2:$A$180,0)),"")</t>
  </si>
  <si>
    <t>H8</t>
  </si>
  <si>
    <t>=IF(ISNUMBER(INDEX(Backlog!$R$2:$R$180,MATCH($D8,Backlog!$A$2:$A$180,0))),INDEX(Backlog!$R$2:$R$180,MATCH($D8,Backlog!$A$2:$A$180,0)),"")</t>
  </si>
  <si>
    <t>=IF(ISNUMBER(INDEX(Backlog!$AT$2:$AT$180,MATCH($D8,Backlog!$A$2:$A$180,0))),INDEX(Backlog!$AT$2:$AT$180,MATCH($D8,Backlog!$A$2:$A$180,0)),"")</t>
  </si>
  <si>
    <t>G9</t>
  </si>
  <si>
    <t>=IF(ISNUMBER(INDEX(Backlog!$J$2:$J$180,MATCH($D9,Backlog!$A$2:$A$180,0))),INDEX(Backlog!$J$2:$J$180,MATCH($D9,Backlog!$A$2:$A$180,0)),"")</t>
  </si>
  <si>
    <t>=IF(ISNUMBER(INDEX(Backlog!$AS$2:$AS$180,MATCH($D9,Backlog!$A$2:$A$180,0))),INDEX(Backlog!$AS$2:$AS$180,MATCH($D9,Backlog!$A$2:$A$180,0)),"")</t>
  </si>
  <si>
    <t>H9</t>
  </si>
  <si>
    <t>=IF(ISNUMBER(INDEX(Backlog!$R$2:$R$180,MATCH($D9,Backlog!$A$2:$A$180,0))),INDEX(Backlog!$R$2:$R$180,MATCH($D9,Backlog!$A$2:$A$180,0)),"")</t>
  </si>
  <si>
    <t>=IF(ISNUMBER(INDEX(Backlog!$AT$2:$AT$180,MATCH($D9,Backlog!$A$2:$A$180,0))),INDEX(Backlog!$AT$2:$AT$180,MATCH($D9,Backlog!$A$2:$A$180,0)),"")</t>
  </si>
  <si>
    <t>G10</t>
  </si>
  <si>
    <t>=IF(ISNUMBER(INDEX(Backlog!$J$2:$J$180,MATCH($D10,Backlog!$A$2:$A$180,0))),INDEX(Backlog!$J$2:$J$180,MATCH($D10,Backlog!$A$2:$A$180,0)),"")</t>
  </si>
  <si>
    <t>=IF(ISNUMBER(INDEX(Backlog!$AS$2:$AS$180,MATCH($D10,Backlog!$A$2:$A$180,0))),INDEX(Backlog!$AS$2:$AS$180,MATCH($D10,Backlog!$A$2:$A$180,0)),"")</t>
  </si>
  <si>
    <t>H10</t>
  </si>
  <si>
    <t>=IF(ISNUMBER(INDEX(Backlog!$R$2:$R$180,MATCH($D10,Backlog!$A$2:$A$180,0))),INDEX(Backlog!$R$2:$R$180,MATCH($D10,Backlog!$A$2:$A$180,0)),"")</t>
  </si>
  <si>
    <t>=IF(ISNUMBER(INDEX(Backlog!$AT$2:$AT$180,MATCH($D10,Backlog!$A$2:$A$180,0))),INDEX(Backlog!$AT$2:$AT$180,MATCH($D10,Backlog!$A$2:$A$180,0)),"")</t>
  </si>
  <si>
    <t>G11</t>
  </si>
  <si>
    <t>=IF(ISNUMBER(INDEX(Backlog!$J$2:$J$180,MATCH($D11,Backlog!$A$2:$A$180,0))),INDEX(Backlog!$J$2:$J$180,MATCH($D11,Backlog!$A$2:$A$180,0)),"")</t>
  </si>
  <si>
    <t>=IF(ISNUMBER(INDEX(Backlog!$AS$2:$AS$180,MATCH($D11,Backlog!$A$2:$A$180,0))),INDEX(Backlog!$AS$2:$AS$180,MATCH($D11,Backlog!$A$2:$A$180,0)),"")</t>
  </si>
  <si>
    <t>H11</t>
  </si>
  <si>
    <t>=IF(ISNUMBER(INDEX(Backlog!$R$2:$R$180,MATCH($D11,Backlog!$A$2:$A$180,0))),INDEX(Backlog!$R$2:$R$180,MATCH($D11,Backlog!$A$2:$A$180,0)),"")</t>
  </si>
  <si>
    <t>=IF(ISNUMBER(INDEX(Backlog!$AT$2:$AT$180,MATCH($D11,Backlog!$A$2:$A$180,0))),INDEX(Backlog!$AT$2:$AT$180,MATCH($D11,Backlog!$A$2:$A$180,0)),"")</t>
  </si>
  <si>
    <t>G12</t>
  </si>
  <si>
    <t>=IF(ISNUMBER(INDEX(Backlog!$J$2:$J$180,MATCH($D12,Backlog!$A$2:$A$180,0))),INDEX(Backlog!$J$2:$J$180,MATCH($D12,Backlog!$A$2:$A$180,0)),"")</t>
  </si>
  <si>
    <t>=IF(ISNUMBER(INDEX(Backlog!$AS$2:$AS$180,MATCH($D12,Backlog!$A$2:$A$180,0))),INDEX(Backlog!$AS$2:$AS$180,MATCH($D12,Backlog!$A$2:$A$180,0)),"")</t>
  </si>
  <si>
    <t>H12</t>
  </si>
  <si>
    <t>=IF(ISNUMBER(INDEX(Backlog!$R$2:$R$180,MATCH($D12,Backlog!$A$2:$A$180,0))),INDEX(Backlog!$R$2:$R$180,MATCH($D12,Backlog!$A$2:$A$180,0)),"")</t>
  </si>
  <si>
    <t>=IF(ISNUMBER(INDEX(Backlog!$AT$2:$AT$180,MATCH($D12,Backlog!$A$2:$A$180,0))),INDEX(Backlog!$AT$2:$AT$180,MATCH($D12,Backlog!$A$2:$A$180,0)),"")</t>
  </si>
  <si>
    <t>G13</t>
  </si>
  <si>
    <t>=IF(ISNUMBER(INDEX(Backlog!$J$2:$J$180,MATCH($D13,Backlog!$A$2:$A$180,0))),INDEX(Backlog!$J$2:$J$180,MATCH($D13,Backlog!$A$2:$A$180,0)),"")</t>
  </si>
  <si>
    <t>=IF(ISNUMBER(INDEX(Backlog!$AS$2:$AS$180,MATCH($D13,Backlog!$A$2:$A$180,0))),INDEX(Backlog!$AS$2:$AS$180,MATCH($D13,Backlog!$A$2:$A$180,0)),"")</t>
  </si>
  <si>
    <t>H13</t>
  </si>
  <si>
    <t>=IF(ISNUMBER(INDEX(Backlog!$R$2:$R$180,MATCH($D13,Backlog!$A$2:$A$180,0))),INDEX(Backlog!$R$2:$R$180,MATCH($D13,Backlog!$A$2:$A$180,0)),"")</t>
  </si>
  <si>
    <t>=IF(ISNUMBER(INDEX(Backlog!$AT$2:$AT$180,MATCH($D13,Backlog!$A$2:$A$180,0))),INDEX(Backlog!$AT$2:$AT$180,MATCH($D13,Backlog!$A$2:$A$180,0)),"")</t>
  </si>
  <si>
    <t>G14</t>
  </si>
  <si>
    <t>=IF(ISNUMBER(INDEX(Backlog!$J$2:$J$180,MATCH($D14,Backlog!$A$2:$A$180,0))),INDEX(Backlog!$J$2:$J$180,MATCH($D14,Backlog!$A$2:$A$180,0)),"")</t>
  </si>
  <si>
    <t>=IF(ISNUMBER(INDEX(Backlog!$AS$2:$AS$180,MATCH($D14,Backlog!$A$2:$A$180,0))),INDEX(Backlog!$AS$2:$AS$180,MATCH($D14,Backlog!$A$2:$A$180,0)),"")</t>
  </si>
  <si>
    <t>H14</t>
  </si>
  <si>
    <t>=IF(ISNUMBER(INDEX(Backlog!$R$2:$R$180,MATCH($D14,Backlog!$A$2:$A$180,0))),INDEX(Backlog!$R$2:$R$180,MATCH($D14,Backlog!$A$2:$A$180,0)),"")</t>
  </si>
  <si>
    <t>=IF(ISNUMBER(INDEX(Backlog!$AT$2:$AT$180,MATCH($D14,Backlog!$A$2:$A$180,0))),INDEX(Backlog!$AT$2:$AT$180,MATCH($D14,Backlog!$A$2:$A$180,0)),"")</t>
  </si>
  <si>
    <t>G15</t>
  </si>
  <si>
    <t>=IF(ISNUMBER(INDEX(Backlog!$J$2:$J$180,MATCH($D15,Backlog!$A$2:$A$180,0))),INDEX(Backlog!$J$2:$J$180,MATCH($D15,Backlog!$A$2:$A$180,0)),"")</t>
  </si>
  <si>
    <t>=IF(ISNUMBER(INDEX(Backlog!$AS$2:$AS$180,MATCH($D15,Backlog!$A$2:$A$180,0))),INDEX(Backlog!$AS$2:$AS$180,MATCH($D15,Backlog!$A$2:$A$180,0)),"")</t>
  </si>
  <si>
    <t>H15</t>
  </si>
  <si>
    <t>=IF(ISNUMBER(INDEX(Backlog!$R$2:$R$180,MATCH($D15,Backlog!$A$2:$A$180,0))),INDEX(Backlog!$R$2:$R$180,MATCH($D15,Backlog!$A$2:$A$180,0)),"")</t>
  </si>
  <si>
    <t>=IF(ISNUMBER(INDEX(Backlog!$AT$2:$AT$180,MATCH($D15,Backlog!$A$2:$A$180,0))),INDEX(Backlog!$AT$2:$AT$180,MATCH($D15,Backlog!$A$2:$A$180,0)),"")</t>
  </si>
  <si>
    <t>G16</t>
  </si>
  <si>
    <t>=IF(ISNUMBER(INDEX(Backlog!$J$2:$J$180,MATCH($D16,Backlog!$A$2:$A$180,0))),INDEX(Backlog!$J$2:$J$180,MATCH($D16,Backlog!$A$2:$A$180,0)),"")</t>
  </si>
  <si>
    <t>=IF(ISNUMBER(INDEX(Backlog!$AS$2:$AS$180,MATCH($D16,Backlog!$A$2:$A$180,0))),INDEX(Backlog!$AS$2:$AS$180,MATCH($D16,Backlog!$A$2:$A$180,0)),"")</t>
  </si>
  <si>
    <t>H16</t>
  </si>
  <si>
    <t>=IF(ISNUMBER(INDEX(Backlog!$R$2:$R$180,MATCH($D16,Backlog!$A$2:$A$180,0))),INDEX(Backlog!$R$2:$R$180,MATCH($D16,Backlog!$A$2:$A$180,0)),"")</t>
  </si>
  <si>
    <t>=IF(ISNUMBER(INDEX(Backlog!$AT$2:$AT$180,MATCH($D16,Backlog!$A$2:$A$180,0))),INDEX(Backlog!$AT$2:$AT$180,MATCH($D16,Backlog!$A$2:$A$180,0)),"")</t>
  </si>
  <si>
    <t>G17</t>
  </si>
  <si>
    <t>=IF(ISNUMBER(INDEX(Backlog!$J$2:$J$180,MATCH($D17,Backlog!$A$2:$A$180,0))),INDEX(Backlog!$J$2:$J$180,MATCH($D17,Backlog!$A$2:$A$180,0)),"")</t>
  </si>
  <si>
    <t>=IF(ISNUMBER(INDEX(Backlog!$AS$2:$AS$180,MATCH($D17,Backlog!$A$2:$A$180,0))),INDEX(Backlog!$AS$2:$AS$180,MATCH($D17,Backlog!$A$2:$A$180,0)),"")</t>
  </si>
  <si>
    <t>H17</t>
  </si>
  <si>
    <t>=IF(ISNUMBER(INDEX(Backlog!$R$2:$R$180,MATCH($D17,Backlog!$A$2:$A$180,0))),INDEX(Backlog!$R$2:$R$180,MATCH($D17,Backlog!$A$2:$A$180,0)),"")</t>
  </si>
  <si>
    <t>=IF(ISNUMBER(INDEX(Backlog!$AT$2:$AT$180,MATCH($D17,Backlog!$A$2:$A$180,0))),INDEX(Backlog!$AT$2:$AT$180,MATCH($D17,Backlog!$A$2:$A$180,0)),"")</t>
  </si>
  <si>
    <t>G18</t>
  </si>
  <si>
    <t>=IF(ISNUMBER(INDEX(Backlog!$J$2:$J$180,MATCH($D18,Backlog!$A$2:$A$180,0))),INDEX(Backlog!$J$2:$J$180,MATCH($D18,Backlog!$A$2:$A$180,0)),"")</t>
  </si>
  <si>
    <t>=IF(ISNUMBER(INDEX(Backlog!$AS$2:$AS$180,MATCH($D18,Backlog!$A$2:$A$180,0))),INDEX(Backlog!$AS$2:$AS$180,MATCH($D18,Backlog!$A$2:$A$180,0)),"")</t>
  </si>
  <si>
    <t>H18</t>
  </si>
  <si>
    <t>=IF(ISNUMBER(INDEX(Backlog!$R$2:$R$180,MATCH($D18,Backlog!$A$2:$A$180,0))),INDEX(Backlog!$R$2:$R$180,MATCH($D18,Backlog!$A$2:$A$180,0)),"")</t>
  </si>
  <si>
    <t>=IF(ISNUMBER(INDEX(Backlog!$AT$2:$AT$180,MATCH($D18,Backlog!$A$2:$A$180,0))),INDEX(Backlog!$AT$2:$AT$180,MATCH($D18,Backlog!$A$2:$A$180,0)),"")</t>
  </si>
  <si>
    <t>G19</t>
  </si>
  <si>
    <t>=IF(ISNUMBER(INDEX(Backlog!$J$2:$J$180,MATCH($D19,Backlog!$A$2:$A$180,0))),INDEX(Backlog!$J$2:$J$180,MATCH($D19,Backlog!$A$2:$A$180,0)),"")</t>
  </si>
  <si>
    <t>=IF(ISNUMBER(INDEX(Backlog!$AS$2:$AS$180,MATCH($D19,Backlog!$A$2:$A$180,0))),INDEX(Backlog!$AS$2:$AS$180,MATCH($D19,Backlog!$A$2:$A$180,0)),"")</t>
  </si>
  <si>
    <t>H19</t>
  </si>
  <si>
    <t>=IF(ISNUMBER(INDEX(Backlog!$R$2:$R$180,MATCH($D19,Backlog!$A$2:$A$180,0))),INDEX(Backlog!$R$2:$R$180,MATCH($D19,Backlog!$A$2:$A$180,0)),"")</t>
  </si>
  <si>
    <t>=IF(ISNUMBER(INDEX(Backlog!$AT$2:$AT$180,MATCH($D19,Backlog!$A$2:$A$180,0))),INDEX(Backlog!$AT$2:$AT$180,MATCH($D19,Backlog!$A$2:$A$180,0)),"")</t>
  </si>
  <si>
    <t>G20</t>
  </si>
  <si>
    <t>=IF(ISNUMBER(INDEX(Backlog!$J$2:$J$180,MATCH($D20,Backlog!$A$2:$A$180,0))),INDEX(Backlog!$J$2:$J$180,MATCH($D20,Backlog!$A$2:$A$180,0)),"")</t>
  </si>
  <si>
    <t>=IF(ISNUMBER(INDEX(Backlog!$AS$2:$AS$180,MATCH($D20,Backlog!$A$2:$A$180,0))),INDEX(Backlog!$AS$2:$AS$180,MATCH($D20,Backlog!$A$2:$A$180,0)),"")</t>
  </si>
  <si>
    <t>H20</t>
  </si>
  <si>
    <t>=IF(ISNUMBER(INDEX(Backlog!$R$2:$R$180,MATCH($D20,Backlog!$A$2:$A$180,0))),INDEX(Backlog!$R$2:$R$180,MATCH($D20,Backlog!$A$2:$A$180,0)),"")</t>
  </si>
  <si>
    <t>=IF(ISNUMBER(INDEX(Backlog!$AT$2:$AT$180,MATCH($D20,Backlog!$A$2:$A$180,0))),INDEX(Backlog!$AT$2:$AT$180,MATCH($D20,Backlog!$A$2:$A$180,0)),"")</t>
  </si>
  <si>
    <t>G21</t>
  </si>
  <si>
    <t>=IF(ISNUMBER(INDEX(Backlog!$J$2:$J$180,MATCH($D21,Backlog!$A$2:$A$180,0))),INDEX(Backlog!$J$2:$J$180,MATCH($D21,Backlog!$A$2:$A$180,0)),"")</t>
  </si>
  <si>
    <t>=IF(ISNUMBER(INDEX(Backlog!$AS$2:$AS$180,MATCH($D21,Backlog!$A$2:$A$180,0))),INDEX(Backlog!$AS$2:$AS$180,MATCH($D21,Backlog!$A$2:$A$180,0)),"")</t>
  </si>
  <si>
    <t>H21</t>
  </si>
  <si>
    <t>=IF(ISNUMBER(INDEX(Backlog!$R$2:$R$180,MATCH($D21,Backlog!$A$2:$A$180,0))),INDEX(Backlog!$R$2:$R$180,MATCH($D21,Backlog!$A$2:$A$180,0)),"")</t>
  </si>
  <si>
    <t>=IF(ISNUMBER(INDEX(Backlog!$AT$2:$AT$180,MATCH($D21,Backlog!$A$2:$A$180,0))),INDEX(Backlog!$AT$2:$AT$180,MATCH($D21,Backlog!$A$2:$A$180,0)),"")</t>
  </si>
  <si>
    <t>G22</t>
  </si>
  <si>
    <t>=IF(ISNUMBER(INDEX(Backlog!$J$2:$J$180,MATCH($D22,Backlog!$A$2:$A$180,0))),INDEX(Backlog!$J$2:$J$180,MATCH($D22,Backlog!$A$2:$A$180,0)),"")</t>
  </si>
  <si>
    <t>=IF(ISNUMBER(INDEX(Backlog!$AS$2:$AS$180,MATCH($D22,Backlog!$A$2:$A$180,0))),INDEX(Backlog!$AS$2:$AS$180,MATCH($D22,Backlog!$A$2:$A$180,0)),"")</t>
  </si>
  <si>
    <t>H22</t>
  </si>
  <si>
    <t>=IF(ISNUMBER(INDEX(Backlog!$R$2:$R$180,MATCH($D22,Backlog!$A$2:$A$180,0))),INDEX(Backlog!$R$2:$R$180,MATCH($D22,Backlog!$A$2:$A$180,0)),"")</t>
  </si>
  <si>
    <t>=IF(ISNUMBER(INDEX(Backlog!$AT$2:$AT$180,MATCH($D22,Backlog!$A$2:$A$180,0))),INDEX(Backlog!$AT$2:$AT$180,MATCH($D22,Backlog!$A$2:$A$180,0)),"")</t>
  </si>
  <si>
    <t>G23</t>
  </si>
  <si>
    <t>=IF(ISNUMBER(INDEX(Backlog!$J$2:$J$180,MATCH($D23,Backlog!$A$2:$A$180,0))),INDEX(Backlog!$J$2:$J$180,MATCH($D23,Backlog!$A$2:$A$180,0)),"")</t>
  </si>
  <si>
    <t>=IF(ISNUMBER(INDEX(Backlog!$AS$2:$AS$180,MATCH($D23,Backlog!$A$2:$A$180,0))),INDEX(Backlog!$AS$2:$AS$180,MATCH($D23,Backlog!$A$2:$A$180,0)),"")</t>
  </si>
  <si>
    <t>H23</t>
  </si>
  <si>
    <t>=IF(ISNUMBER(INDEX(Backlog!$R$2:$R$180,MATCH($D23,Backlog!$A$2:$A$180,0))),INDEX(Backlog!$R$2:$R$180,MATCH($D23,Backlog!$A$2:$A$180,0)),"")</t>
  </si>
  <si>
    <t>=IF(ISNUMBER(INDEX(Backlog!$AT$2:$AT$180,MATCH($D23,Backlog!$A$2:$A$180,0))),INDEX(Backlog!$AT$2:$AT$180,MATCH($D23,Backlog!$A$2:$A$180,0)),"")</t>
  </si>
  <si>
    <t>G24</t>
  </si>
  <si>
    <t>=IF(ISNUMBER(INDEX(Backlog!$J$2:$J$180,MATCH($D24,Backlog!$A$2:$A$180,0))),INDEX(Backlog!$J$2:$J$180,MATCH($D24,Backlog!$A$2:$A$180,0)),"")</t>
  </si>
  <si>
    <t>=IF(ISNUMBER(INDEX(Backlog!$AS$2:$AS$180,MATCH($D24,Backlog!$A$2:$A$180,0))),INDEX(Backlog!$AS$2:$AS$180,MATCH($D24,Backlog!$A$2:$A$180,0)),"")</t>
  </si>
  <si>
    <t>H24</t>
  </si>
  <si>
    <t>=IF(ISNUMBER(INDEX(Backlog!$R$2:$R$180,MATCH($D24,Backlog!$A$2:$A$180,0))),INDEX(Backlog!$R$2:$R$180,MATCH($D24,Backlog!$A$2:$A$180,0)),"")</t>
  </si>
  <si>
    <t>=IF(ISNUMBER(INDEX(Backlog!$AT$2:$AT$180,MATCH($D24,Backlog!$A$2:$A$180,0))),INDEX(Backlog!$AT$2:$AT$180,MATCH($D24,Backlog!$A$2:$A$180,0)),"")</t>
  </si>
  <si>
    <t>G25</t>
  </si>
  <si>
    <t>=IF(ISNUMBER(INDEX(Backlog!$J$2:$J$180,MATCH($D25,Backlog!$A$2:$A$180,0))),INDEX(Backlog!$J$2:$J$180,MATCH($D25,Backlog!$A$2:$A$180,0)),"")</t>
  </si>
  <si>
    <t>=IF(ISNUMBER(INDEX(Backlog!$AS$2:$AS$180,MATCH($D25,Backlog!$A$2:$A$180,0))),INDEX(Backlog!$AS$2:$AS$180,MATCH($D25,Backlog!$A$2:$A$180,0)),"")</t>
  </si>
  <si>
    <t>H25</t>
  </si>
  <si>
    <t>=IF(ISNUMBER(INDEX(Backlog!$R$2:$R$180,MATCH($D25,Backlog!$A$2:$A$180,0))),INDEX(Backlog!$R$2:$R$180,MATCH($D25,Backlog!$A$2:$A$180,0)),"")</t>
  </si>
  <si>
    <t>=IF(ISNUMBER(INDEX(Backlog!$AT$2:$AT$180,MATCH($D25,Backlog!$A$2:$A$180,0))),INDEX(Backlog!$AT$2:$AT$180,MATCH($D25,Backlog!$A$2:$A$180,0)),"")</t>
  </si>
  <si>
    <t>G26</t>
  </si>
  <si>
    <t>=IF(ISNUMBER(INDEX(Backlog!$J$2:$J$180,MATCH($D26,Backlog!$A$2:$A$180,0))),INDEX(Backlog!$J$2:$J$180,MATCH($D26,Backlog!$A$2:$A$180,0)),"")</t>
  </si>
  <si>
    <t>=IF(ISNUMBER(INDEX(Backlog!$AS$2:$AS$180,MATCH($D26,Backlog!$A$2:$A$180,0))),INDEX(Backlog!$AS$2:$AS$180,MATCH($D26,Backlog!$A$2:$A$180,0)),"")</t>
  </si>
  <si>
    <t>H26</t>
  </si>
  <si>
    <t>=IF(ISNUMBER(INDEX(Backlog!$R$2:$R$180,MATCH($D26,Backlog!$A$2:$A$180,0))),INDEX(Backlog!$R$2:$R$180,MATCH($D26,Backlog!$A$2:$A$180,0)),"")</t>
  </si>
  <si>
    <t>=IF(ISNUMBER(INDEX(Backlog!$AT$2:$AT$180,MATCH($D26,Backlog!$A$2:$A$180,0))),INDEX(Backlog!$AT$2:$AT$180,MATCH($D26,Backlog!$A$2:$A$180,0)),"")</t>
  </si>
  <si>
    <t>G27</t>
  </si>
  <si>
    <t>=IF(ISNUMBER(INDEX(Backlog!$J$2:$J$180,MATCH($D27,Backlog!$A$2:$A$180,0))),INDEX(Backlog!$J$2:$J$180,MATCH($D27,Backlog!$A$2:$A$180,0)),"")</t>
  </si>
  <si>
    <t>=IF(ISNUMBER(INDEX(Backlog!$AS$2:$AS$180,MATCH($D27,Backlog!$A$2:$A$180,0))),INDEX(Backlog!$AS$2:$AS$180,MATCH($D27,Backlog!$A$2:$A$180,0)),"")</t>
  </si>
  <si>
    <t>H27</t>
  </si>
  <si>
    <t>=IF(ISNUMBER(INDEX(Backlog!$R$2:$R$180,MATCH($D27,Backlog!$A$2:$A$180,0))),INDEX(Backlog!$R$2:$R$180,MATCH($D27,Backlog!$A$2:$A$180,0)),"")</t>
  </si>
  <si>
    <t>=IF(ISNUMBER(INDEX(Backlog!$AT$2:$AT$180,MATCH($D27,Backlog!$A$2:$A$180,0))),INDEX(Backlog!$AT$2:$AT$180,MATCH($D27,Backlog!$A$2:$A$180,0)),"")</t>
  </si>
  <si>
    <t>G28</t>
  </si>
  <si>
    <t>=IF(ISNUMBER(INDEX(Backlog!$J$2:$J$180,MATCH($D28,Backlog!$A$2:$A$180,0))),INDEX(Backlog!$J$2:$J$180,MATCH($D28,Backlog!$A$2:$A$180,0)),"")</t>
  </si>
  <si>
    <t>=IF(ISNUMBER(INDEX(Backlog!$AS$2:$AS$180,MATCH($D28,Backlog!$A$2:$A$180,0))),INDEX(Backlog!$AS$2:$AS$180,MATCH($D28,Backlog!$A$2:$A$180,0)),"")</t>
  </si>
  <si>
    <t>H28</t>
  </si>
  <si>
    <t>=IF(ISNUMBER(INDEX(Backlog!$R$2:$R$180,MATCH($D28,Backlog!$A$2:$A$180,0))),INDEX(Backlog!$R$2:$R$180,MATCH($D28,Backlog!$A$2:$A$180,0)),"")</t>
  </si>
  <si>
    <t>=IF(ISNUMBER(INDEX(Backlog!$AT$2:$AT$180,MATCH($D28,Backlog!$A$2:$A$180,0))),INDEX(Backlog!$AT$2:$AT$180,MATCH($D28,Backlog!$A$2:$A$180,0)),"")</t>
  </si>
  <si>
    <t>G29</t>
  </si>
  <si>
    <t>=IF(ISNUMBER(INDEX(Backlog!$J$2:$J$180,MATCH($D29,Backlog!$A$2:$A$180,0))),INDEX(Backlog!$J$2:$J$180,MATCH($D29,Backlog!$A$2:$A$180,0)),"")</t>
  </si>
  <si>
    <t>=IF(ISNUMBER(INDEX(Backlog!$AS$2:$AS$180,MATCH($D29,Backlog!$A$2:$A$180,0))),INDEX(Backlog!$AS$2:$AS$180,MATCH($D29,Backlog!$A$2:$A$180,0)),"")</t>
  </si>
  <si>
    <t>H29</t>
  </si>
  <si>
    <t>=IF(ISNUMBER(INDEX(Backlog!$R$2:$R$180,MATCH($D29,Backlog!$A$2:$A$180,0))),INDEX(Backlog!$R$2:$R$180,MATCH($D29,Backlog!$A$2:$A$180,0)),"")</t>
  </si>
  <si>
    <t>=IF(ISNUMBER(INDEX(Backlog!$AT$2:$AT$180,MATCH($D29,Backlog!$A$2:$A$180,0))),INDEX(Backlog!$AT$2:$AT$180,MATCH($D29,Backlog!$A$2:$A$180,0)),"")</t>
  </si>
  <si>
    <t>G30</t>
  </si>
  <si>
    <t>=IF(ISNUMBER(INDEX(Backlog!$J$2:$J$180,MATCH($D30,Backlog!$A$2:$A$180,0))),INDEX(Backlog!$J$2:$J$180,MATCH($D30,Backlog!$A$2:$A$180,0)),"")</t>
  </si>
  <si>
    <t>=IF(ISNUMBER(INDEX(Backlog!$AS$2:$AS$180,MATCH($D30,Backlog!$A$2:$A$180,0))),INDEX(Backlog!$AS$2:$AS$180,MATCH($D30,Backlog!$A$2:$A$180,0)),"")</t>
  </si>
  <si>
    <t>H30</t>
  </si>
  <si>
    <t>=IF(ISNUMBER(INDEX(Backlog!$R$2:$R$180,MATCH($D30,Backlog!$A$2:$A$180,0))),INDEX(Backlog!$R$2:$R$180,MATCH($D30,Backlog!$A$2:$A$180,0)),"")</t>
  </si>
  <si>
    <t>=IF(ISNUMBER(INDEX(Backlog!$AT$2:$AT$180,MATCH($D30,Backlog!$A$2:$A$180,0))),INDEX(Backlog!$AT$2:$AT$180,MATCH($D30,Backlog!$A$2:$A$180,0)),"")</t>
  </si>
  <si>
    <t>G31</t>
  </si>
  <si>
    <t>=IF(ISNUMBER(INDEX(Backlog!$J$2:$J$180,MATCH($D31,Backlog!$A$2:$A$180,0))),INDEX(Backlog!$J$2:$J$180,MATCH($D31,Backlog!$A$2:$A$180,0)),"")</t>
  </si>
  <si>
    <t>=IF(ISNUMBER(INDEX(Backlog!$AS$2:$AS$180,MATCH($D31,Backlog!$A$2:$A$180,0))),INDEX(Backlog!$AS$2:$AS$180,MATCH($D31,Backlog!$A$2:$A$180,0)),"")</t>
  </si>
  <si>
    <t>H31</t>
  </si>
  <si>
    <t>=IF(ISNUMBER(INDEX(Backlog!$R$2:$R$180,MATCH($D31,Backlog!$A$2:$A$180,0))),INDEX(Backlog!$R$2:$R$180,MATCH($D31,Backlog!$A$2:$A$180,0)),"")</t>
  </si>
  <si>
    <t>=IF(ISNUMBER(INDEX(Backlog!$AT$2:$AT$180,MATCH($D31,Backlog!$A$2:$A$180,0))),INDEX(Backlog!$AT$2:$AT$180,MATCH($D31,Backlog!$A$2:$A$180,0)),"")</t>
  </si>
  <si>
    <t>G32</t>
  </si>
  <si>
    <t>=IF(ISNUMBER(INDEX(Backlog!$J$2:$J$180,MATCH($D32,Backlog!$A$2:$A$180,0))),INDEX(Backlog!$J$2:$J$180,MATCH($D32,Backlog!$A$2:$A$180,0)),"")</t>
  </si>
  <si>
    <t>=IF(ISNUMBER(INDEX(Backlog!$AS$2:$AS$180,MATCH($D32,Backlog!$A$2:$A$180,0))),INDEX(Backlog!$AS$2:$AS$180,MATCH($D32,Backlog!$A$2:$A$180,0)),"")</t>
  </si>
  <si>
    <t>H32</t>
  </si>
  <si>
    <t>=IF(ISNUMBER(INDEX(Backlog!$R$2:$R$180,MATCH($D32,Backlog!$A$2:$A$180,0))),INDEX(Backlog!$R$2:$R$180,MATCH($D32,Backlog!$A$2:$A$180,0)),"")</t>
  </si>
  <si>
    <t>=IF(ISNUMBER(INDEX(Backlog!$AT$2:$AT$180,MATCH($D32,Backlog!$A$2:$A$180,0))),INDEX(Backlog!$AT$2:$AT$180,MATCH($D32,Backlog!$A$2:$A$180,0)),"")</t>
  </si>
  <si>
    <t>G33</t>
  </si>
  <si>
    <t>=IF(ISNUMBER(INDEX(Backlog!$J$2:$J$180,MATCH($D33,Backlog!$A$2:$A$180,0))),INDEX(Backlog!$J$2:$J$180,MATCH($D33,Backlog!$A$2:$A$180,0)),"")</t>
  </si>
  <si>
    <t>=IF(ISNUMBER(INDEX(Backlog!$AS$2:$AS$180,MATCH($D33,Backlog!$A$2:$A$180,0))),INDEX(Backlog!$AS$2:$AS$180,MATCH($D33,Backlog!$A$2:$A$180,0)),"")</t>
  </si>
  <si>
    <t>H33</t>
  </si>
  <si>
    <t>=IF(ISNUMBER(INDEX(Backlog!$R$2:$R$180,MATCH($D33,Backlog!$A$2:$A$180,0))),INDEX(Backlog!$R$2:$R$180,MATCH($D33,Backlog!$A$2:$A$180,0)),"")</t>
  </si>
  <si>
    <t>=IF(ISNUMBER(INDEX(Backlog!$AT$2:$AT$180,MATCH($D33,Backlog!$A$2:$A$180,0))),INDEX(Backlog!$AT$2:$AT$180,MATCH($D33,Backlog!$A$2:$A$180,0)),"")</t>
  </si>
  <si>
    <t>G34</t>
  </si>
  <si>
    <t>=IF(ISNUMBER(INDEX(Backlog!$J$2:$J$180,MATCH($D34,Backlog!$A$2:$A$180,0))),INDEX(Backlog!$J$2:$J$180,MATCH($D34,Backlog!$A$2:$A$180,0)),"")</t>
  </si>
  <si>
    <t>=IF(ISNUMBER(INDEX(Backlog!$AS$2:$AS$180,MATCH($D34,Backlog!$A$2:$A$180,0))),INDEX(Backlog!$AS$2:$AS$180,MATCH($D34,Backlog!$A$2:$A$180,0)),"")</t>
  </si>
  <si>
    <t>H34</t>
  </si>
  <si>
    <t>=IF(ISNUMBER(INDEX(Backlog!$R$2:$R$180,MATCH($D34,Backlog!$A$2:$A$180,0))),INDEX(Backlog!$R$2:$R$180,MATCH($D34,Backlog!$A$2:$A$180,0)),"")</t>
  </si>
  <si>
    <t>=IF(ISNUMBER(INDEX(Backlog!$AT$2:$AT$180,MATCH($D34,Backlog!$A$2:$A$180,0))),INDEX(Backlog!$AT$2:$AT$180,MATCH($D34,Backlog!$A$2:$A$180,0)),"")</t>
  </si>
  <si>
    <t>G35</t>
  </si>
  <si>
    <t>=IF(ISNUMBER(INDEX(Backlog!$J$2:$J$180,MATCH($D35,Backlog!$A$2:$A$180,0))),INDEX(Backlog!$J$2:$J$180,MATCH($D35,Backlog!$A$2:$A$180,0)),"")</t>
  </si>
  <si>
    <t>=IF(ISNUMBER(INDEX(Backlog!$AS$2:$AS$180,MATCH($D35,Backlog!$A$2:$A$180,0))),INDEX(Backlog!$AS$2:$AS$180,MATCH($D35,Backlog!$A$2:$A$180,0)),"")</t>
  </si>
  <si>
    <t>H35</t>
  </si>
  <si>
    <t>=IF(ISNUMBER(INDEX(Backlog!$R$2:$R$180,MATCH($D35,Backlog!$A$2:$A$180,0))),INDEX(Backlog!$R$2:$R$180,MATCH($D35,Backlog!$A$2:$A$180,0)),"")</t>
  </si>
  <si>
    <t>=IF(ISNUMBER(INDEX(Backlog!$AT$2:$AT$180,MATCH($D35,Backlog!$A$2:$A$180,0))),INDEX(Backlog!$AT$2:$AT$180,MATCH($D35,Backlog!$A$2:$A$180,0)),"")</t>
  </si>
  <si>
    <t>G36</t>
  </si>
  <si>
    <t>=IF(ISNUMBER(INDEX(Backlog!$J$2:$J$180,MATCH($D36,Backlog!$A$2:$A$180,0))),INDEX(Backlog!$J$2:$J$180,MATCH($D36,Backlog!$A$2:$A$180,0)),"")</t>
  </si>
  <si>
    <t>=IF(ISNUMBER(INDEX(Backlog!$AS$2:$AS$180,MATCH($D36,Backlog!$A$2:$A$180,0))),INDEX(Backlog!$AS$2:$AS$180,MATCH($D36,Backlog!$A$2:$A$180,0)),"")</t>
  </si>
  <si>
    <t>H36</t>
  </si>
  <si>
    <t>=IF(ISNUMBER(INDEX(Backlog!$R$2:$R$180,MATCH($D36,Backlog!$A$2:$A$180,0))),INDEX(Backlog!$R$2:$R$180,MATCH($D36,Backlog!$A$2:$A$180,0)),"")</t>
  </si>
  <si>
    <t>=IF(ISNUMBER(INDEX(Backlog!$AT$2:$AT$180,MATCH($D36,Backlog!$A$2:$A$180,0))),INDEX(Backlog!$AT$2:$AT$180,MATCH($D36,Backlog!$A$2:$A$180,0)),"")</t>
  </si>
  <si>
    <t>G37</t>
  </si>
  <si>
    <t>=IF(ISNUMBER(INDEX(Backlog!$J$2:$J$180,MATCH($D37,Backlog!$A$2:$A$180,0))),INDEX(Backlog!$J$2:$J$180,MATCH($D37,Backlog!$A$2:$A$180,0)),"")</t>
  </si>
  <si>
    <t>=IF(ISNUMBER(INDEX(Backlog!$AS$2:$AS$180,MATCH($D37,Backlog!$A$2:$A$180,0))),INDEX(Backlog!$AS$2:$AS$180,MATCH($D37,Backlog!$A$2:$A$180,0)),"")</t>
  </si>
  <si>
    <t>H37</t>
  </si>
  <si>
    <t>=IF(ISNUMBER(INDEX(Backlog!$R$2:$R$180,MATCH($D37,Backlog!$A$2:$A$180,0))),INDEX(Backlog!$R$2:$R$180,MATCH($D37,Backlog!$A$2:$A$180,0)),"")</t>
  </si>
  <si>
    <t>=IF(ISNUMBER(INDEX(Backlog!$AT$2:$AT$180,MATCH($D37,Backlog!$A$2:$A$180,0))),INDEX(Backlog!$AT$2:$AT$180,MATCH($D37,Backlog!$A$2:$A$180,0)),"")</t>
  </si>
  <si>
    <t>G38</t>
  </si>
  <si>
    <t>=IF(ISNUMBER(INDEX(Backlog!$J$2:$J$180,MATCH($D38,Backlog!$A$2:$A$180,0))),INDEX(Backlog!$J$2:$J$180,MATCH($D38,Backlog!$A$2:$A$180,0)),"")</t>
  </si>
  <si>
    <t>=IF(ISNUMBER(INDEX(Backlog!$AS$2:$AS$180,MATCH($D38,Backlog!$A$2:$A$180,0))),INDEX(Backlog!$AS$2:$AS$180,MATCH($D38,Backlog!$A$2:$A$180,0)),"")</t>
  </si>
  <si>
    <t>H38</t>
  </si>
  <si>
    <t>=IF(ISNUMBER(INDEX(Backlog!$R$2:$R$180,MATCH($D38,Backlog!$A$2:$A$180,0))),INDEX(Backlog!$R$2:$R$180,MATCH($D38,Backlog!$A$2:$A$180,0)),"")</t>
  </si>
  <si>
    <t>=IF(ISNUMBER(INDEX(Backlog!$AT$2:$AT$180,MATCH($D38,Backlog!$A$2:$A$180,0))),INDEX(Backlog!$AT$2:$AT$180,MATCH($D38,Backlog!$A$2:$A$180,0)),"")</t>
  </si>
  <si>
    <t>G39</t>
  </si>
  <si>
    <t>=IF(ISNUMBER(INDEX(Backlog!$J$2:$J$180,MATCH($D39,Backlog!$A$2:$A$180,0))),INDEX(Backlog!$J$2:$J$180,MATCH($D39,Backlog!$A$2:$A$180,0)),"")</t>
  </si>
  <si>
    <t>=IF(ISNUMBER(INDEX(Backlog!$AS$2:$AS$180,MATCH($D39,Backlog!$A$2:$A$180,0))),INDEX(Backlog!$AS$2:$AS$180,MATCH($D39,Backlog!$A$2:$A$180,0)),"")</t>
  </si>
  <si>
    <t>H39</t>
  </si>
  <si>
    <t>=IF(ISNUMBER(INDEX(Backlog!$R$2:$R$180,MATCH($D39,Backlog!$A$2:$A$180,0))),INDEX(Backlog!$R$2:$R$180,MATCH($D39,Backlog!$A$2:$A$180,0)),"")</t>
  </si>
  <si>
    <t>=IF(ISNUMBER(INDEX(Backlog!$AT$2:$AT$180,MATCH($D39,Backlog!$A$2:$A$180,0))),INDEX(Backlog!$AT$2:$AT$180,MATCH($D39,Backlog!$A$2:$A$180,0)),"")</t>
  </si>
  <si>
    <t>G40</t>
  </si>
  <si>
    <t>=IF(ISNUMBER(INDEX(Backlog!$J$2:$J$180,MATCH($D40,Backlog!$A$2:$A$180,0))),INDEX(Backlog!$J$2:$J$180,MATCH($D40,Backlog!$A$2:$A$180,0)),"")</t>
  </si>
  <si>
    <t>=IF(ISNUMBER(INDEX(Backlog!$AS$2:$AS$180,MATCH($D40,Backlog!$A$2:$A$180,0))),INDEX(Backlog!$AS$2:$AS$180,MATCH($D40,Backlog!$A$2:$A$180,0)),"")</t>
  </si>
  <si>
    <t>H40</t>
  </si>
  <si>
    <t>=IF(ISNUMBER(INDEX(Backlog!$R$2:$R$180,MATCH($D40,Backlog!$A$2:$A$180,0))),INDEX(Backlog!$R$2:$R$180,MATCH($D40,Backlog!$A$2:$A$180,0)),"")</t>
  </si>
  <si>
    <t>=IF(ISNUMBER(INDEX(Backlog!$AT$2:$AT$180,MATCH($D40,Backlog!$A$2:$A$180,0))),INDEX(Backlog!$AT$2:$AT$180,MATCH($D40,Backlog!$A$2:$A$180,0)),"")</t>
  </si>
  <si>
    <t>G41</t>
  </si>
  <si>
    <t>=IF(ISNUMBER(INDEX(Backlog!$J$2:$J$180,MATCH($D41,Backlog!$A$2:$A$180,0))),INDEX(Backlog!$J$2:$J$180,MATCH($D41,Backlog!$A$2:$A$180,0)),"")</t>
  </si>
  <si>
    <t>=IF(ISNUMBER(INDEX(Backlog!$AS$2:$AS$180,MATCH($D41,Backlog!$A$2:$A$180,0))),INDEX(Backlog!$AS$2:$AS$180,MATCH($D41,Backlog!$A$2:$A$180,0)),"")</t>
  </si>
  <si>
    <t>H41</t>
  </si>
  <si>
    <t>=IF(ISNUMBER(INDEX(Backlog!$R$2:$R$180,MATCH($D41,Backlog!$A$2:$A$180,0))),INDEX(Backlog!$R$2:$R$180,MATCH($D41,Backlog!$A$2:$A$180,0)),"")</t>
  </si>
  <si>
    <t>=IF(ISNUMBER(INDEX(Backlog!$AT$2:$AT$180,MATCH($D41,Backlog!$A$2:$A$180,0))),INDEX(Backlog!$AT$2:$AT$180,MATCH($D41,Backlog!$A$2:$A$180,0)),"")</t>
  </si>
  <si>
    <t>G42</t>
  </si>
  <si>
    <t>=IF(ISNUMBER(INDEX(Backlog!$J$2:$J$180,MATCH($D42,Backlog!$A$2:$A$180,0))),INDEX(Backlog!$J$2:$J$180,MATCH($D42,Backlog!$A$2:$A$180,0)),"")</t>
  </si>
  <si>
    <t>=IF(ISNUMBER(INDEX(Backlog!$AS$2:$AS$180,MATCH($D42,Backlog!$A$2:$A$180,0))),INDEX(Backlog!$AS$2:$AS$180,MATCH($D42,Backlog!$A$2:$A$180,0)),"")</t>
  </si>
  <si>
    <t>H42</t>
  </si>
  <si>
    <t>=IF(ISNUMBER(INDEX(Backlog!$R$2:$R$180,MATCH($D42,Backlog!$A$2:$A$180,0))),INDEX(Backlog!$R$2:$R$180,MATCH($D42,Backlog!$A$2:$A$180,0)),"")</t>
  </si>
  <si>
    <t>=IF(ISNUMBER(INDEX(Backlog!$AT$2:$AT$180,MATCH($D42,Backlog!$A$2:$A$180,0))),INDEX(Backlog!$AT$2:$AT$180,MATCH($D42,Backlog!$A$2:$A$180,0)),"")</t>
  </si>
  <si>
    <t>G43</t>
  </si>
  <si>
    <t>=IF(ISNUMBER(INDEX(Backlog!$J$2:$J$180,MATCH($D43,Backlog!$A$2:$A$180,0))),INDEX(Backlog!$J$2:$J$180,MATCH($D43,Backlog!$A$2:$A$180,0)),"")</t>
  </si>
  <si>
    <t>=IF(ISNUMBER(INDEX(Backlog!$AS$2:$AS$180,MATCH($D43,Backlog!$A$2:$A$180,0))),INDEX(Backlog!$AS$2:$AS$180,MATCH($D43,Backlog!$A$2:$A$180,0)),"")</t>
  </si>
  <si>
    <t>H43</t>
  </si>
  <si>
    <t>=IF(ISNUMBER(INDEX(Backlog!$R$2:$R$180,MATCH($D43,Backlog!$A$2:$A$180,0))),INDEX(Backlog!$R$2:$R$180,MATCH($D43,Backlog!$A$2:$A$180,0)),"")</t>
  </si>
  <si>
    <t>=IF(ISNUMBER(INDEX(Backlog!$AT$2:$AT$180,MATCH($D43,Backlog!$A$2:$A$180,0))),INDEX(Backlog!$AT$2:$AT$180,MATCH($D43,Backlog!$A$2:$A$180,0)),"")</t>
  </si>
  <si>
    <t>G44</t>
  </si>
  <si>
    <t>=IF(ISNUMBER(INDEX(Backlog!$J$2:$J$180,MATCH($D44,Backlog!$A$2:$A$180,0))),INDEX(Backlog!$J$2:$J$180,MATCH($D44,Backlog!$A$2:$A$180,0)),"")</t>
  </si>
  <si>
    <t>=IF(ISNUMBER(INDEX(Backlog!$AS$2:$AS$180,MATCH($D44,Backlog!$A$2:$A$180,0))),INDEX(Backlog!$AS$2:$AS$180,MATCH($D44,Backlog!$A$2:$A$180,0)),"")</t>
  </si>
  <si>
    <t>H44</t>
  </si>
  <si>
    <t>=IF(ISNUMBER(INDEX(Backlog!$R$2:$R$180,MATCH($D44,Backlog!$A$2:$A$180,0))),INDEX(Backlog!$R$2:$R$180,MATCH($D44,Backlog!$A$2:$A$180,0)),"")</t>
  </si>
  <si>
    <t>=IF(ISNUMBER(INDEX(Backlog!$AT$2:$AT$180,MATCH($D44,Backlog!$A$2:$A$180,0))),INDEX(Backlog!$AT$2:$AT$180,MATCH($D44,Backlog!$A$2:$A$180,0)),"")</t>
  </si>
  <si>
    <t>G45</t>
  </si>
  <si>
    <t>=IF(ISNUMBER(INDEX(Backlog!$J$2:$J$180,MATCH($D45,Backlog!$A$2:$A$180,0))),INDEX(Backlog!$J$2:$J$180,MATCH($D45,Backlog!$A$2:$A$180,0)),"")</t>
  </si>
  <si>
    <t>=IF(ISNUMBER(INDEX(Backlog!$AS$2:$AS$180,MATCH($D45,Backlog!$A$2:$A$180,0))),INDEX(Backlog!$AS$2:$AS$180,MATCH($D45,Backlog!$A$2:$A$180,0)),"")</t>
  </si>
  <si>
    <t>H45</t>
  </si>
  <si>
    <t>=IF(ISNUMBER(INDEX(Backlog!$R$2:$R$180,MATCH($D45,Backlog!$A$2:$A$180,0))),INDEX(Backlog!$R$2:$R$180,MATCH($D45,Backlog!$A$2:$A$180,0)),"")</t>
  </si>
  <si>
    <t>=IF(ISNUMBER(INDEX(Backlog!$AT$2:$AT$180,MATCH($D45,Backlog!$A$2:$A$180,0))),INDEX(Backlog!$AT$2:$AT$180,MATCH($D45,Backlog!$A$2:$A$180,0)),"")</t>
  </si>
  <si>
    <t>G46</t>
  </si>
  <si>
    <t>=IF(ISNUMBER(INDEX(Backlog!$J$2:$J$180,MATCH($D46,Backlog!$A$2:$A$180,0))),INDEX(Backlog!$J$2:$J$180,MATCH($D46,Backlog!$A$2:$A$180,0)),"")</t>
  </si>
  <si>
    <t>=IF(ISNUMBER(INDEX(Backlog!$AS$2:$AS$180,MATCH($D46,Backlog!$A$2:$A$180,0))),INDEX(Backlog!$AS$2:$AS$180,MATCH($D46,Backlog!$A$2:$A$180,0)),"")</t>
  </si>
  <si>
    <t>H46</t>
  </si>
  <si>
    <t>=IF(ISNUMBER(INDEX(Backlog!$R$2:$R$180,MATCH($D46,Backlog!$A$2:$A$180,0))),INDEX(Backlog!$R$2:$R$180,MATCH($D46,Backlog!$A$2:$A$180,0)),"")</t>
  </si>
  <si>
    <t>=IF(ISNUMBER(INDEX(Backlog!$AT$2:$AT$180,MATCH($D46,Backlog!$A$2:$A$180,0))),INDEX(Backlog!$AT$2:$AT$180,MATCH($D46,Backlog!$A$2:$A$180,0)),"")</t>
  </si>
  <si>
    <t>G47</t>
  </si>
  <si>
    <t>=IF(ISNUMBER(INDEX(Backlog!$J$2:$J$180,MATCH($D47,Backlog!$A$2:$A$180,0))),INDEX(Backlog!$J$2:$J$180,MATCH($D47,Backlog!$A$2:$A$180,0)),"")</t>
  </si>
  <si>
    <t>=IF(ISNUMBER(INDEX(Backlog!$AS$2:$AS$180,MATCH($D47,Backlog!$A$2:$A$180,0))),INDEX(Backlog!$AS$2:$AS$180,MATCH($D47,Backlog!$A$2:$A$180,0)),"")</t>
  </si>
  <si>
    <t>H47</t>
  </si>
  <si>
    <t>=IF(ISNUMBER(INDEX(Backlog!$R$2:$R$180,MATCH($D47,Backlog!$A$2:$A$180,0))),INDEX(Backlog!$R$2:$R$180,MATCH($D47,Backlog!$A$2:$A$180,0)),"")</t>
  </si>
  <si>
    <t>=IF(ISNUMBER(INDEX(Backlog!$AT$2:$AT$180,MATCH($D47,Backlog!$A$2:$A$180,0))),INDEX(Backlog!$AT$2:$AT$180,MATCH($D47,Backlog!$A$2:$A$180,0)),"")</t>
  </si>
  <si>
    <t>G48</t>
  </si>
  <si>
    <t>=IF(ISNUMBER(INDEX(Backlog!$J$2:$J$180,MATCH($D48,Backlog!$A$2:$A$180,0))),INDEX(Backlog!$J$2:$J$180,MATCH($D48,Backlog!$A$2:$A$180,0)),"")</t>
  </si>
  <si>
    <t>=IF(ISNUMBER(INDEX(Backlog!$AS$2:$AS$180,MATCH($D48,Backlog!$A$2:$A$180,0))),INDEX(Backlog!$AS$2:$AS$180,MATCH($D48,Backlog!$A$2:$A$180,0)),"")</t>
  </si>
  <si>
    <t>H48</t>
  </si>
  <si>
    <t>=IF(ISNUMBER(INDEX(Backlog!$R$2:$R$180,MATCH($D48,Backlog!$A$2:$A$180,0))),INDEX(Backlog!$R$2:$R$180,MATCH($D48,Backlog!$A$2:$A$180,0)),"")</t>
  </si>
  <si>
    <t>=IF(ISNUMBER(INDEX(Backlog!$AT$2:$AT$180,MATCH($D48,Backlog!$A$2:$A$180,0))),INDEX(Backlog!$AT$2:$AT$180,MATCH($D48,Backlog!$A$2:$A$180,0)),"")</t>
  </si>
  <si>
    <t>G49</t>
  </si>
  <si>
    <t>=IF(ISNUMBER(INDEX(Backlog!$J$2:$J$180,MATCH($D49,Backlog!$A$2:$A$180,0))),INDEX(Backlog!$J$2:$J$180,MATCH($D49,Backlog!$A$2:$A$180,0)),"")</t>
  </si>
  <si>
    <t>=IF(ISNUMBER(INDEX(Backlog!$AS$2:$AS$180,MATCH($D49,Backlog!$A$2:$A$180,0))),INDEX(Backlog!$AS$2:$AS$180,MATCH($D49,Backlog!$A$2:$A$180,0)),"")</t>
  </si>
  <si>
    <t>H49</t>
  </si>
  <si>
    <t>=IF(ISNUMBER(INDEX(Backlog!$R$2:$R$180,MATCH($D49,Backlog!$A$2:$A$180,0))),INDEX(Backlog!$R$2:$R$180,MATCH($D49,Backlog!$A$2:$A$180,0)),"")</t>
  </si>
  <si>
    <t>=IF(ISNUMBER(INDEX(Backlog!$AT$2:$AT$180,MATCH($D49,Backlog!$A$2:$A$180,0))),INDEX(Backlog!$AT$2:$AT$180,MATCH($D49,Backlog!$A$2:$A$180,0)),"")</t>
  </si>
  <si>
    <t>G50</t>
  </si>
  <si>
    <t>=IF(ISNUMBER(INDEX(Backlog!$J$2:$J$180,MATCH($D50,Backlog!$A$2:$A$180,0))),INDEX(Backlog!$J$2:$J$180,MATCH($D50,Backlog!$A$2:$A$180,0)),"")</t>
  </si>
  <si>
    <t>=IF(ISNUMBER(INDEX(Backlog!$AS$2:$AS$180,MATCH($D50,Backlog!$A$2:$A$180,0))),INDEX(Backlog!$AS$2:$AS$180,MATCH($D50,Backlog!$A$2:$A$180,0)),"")</t>
  </si>
  <si>
    <t>H50</t>
  </si>
  <si>
    <t>=IF(ISNUMBER(INDEX(Backlog!$R$2:$R$180,MATCH($D50,Backlog!$A$2:$A$180,0))),INDEX(Backlog!$R$2:$R$180,MATCH($D50,Backlog!$A$2:$A$180,0)),"")</t>
  </si>
  <si>
    <t>=IF(ISNUMBER(INDEX(Backlog!$AT$2:$AT$180,MATCH($D50,Backlog!$A$2:$A$180,0))),INDEX(Backlog!$AT$2:$AT$180,MATCH($D50,Backlog!$A$2:$A$180,0)),"")</t>
  </si>
  <si>
    <t>G51</t>
  </si>
  <si>
    <t>=IF(ISNUMBER(INDEX(Backlog!$J$2:$J$180,MATCH($D51,Backlog!$A$2:$A$180,0))),INDEX(Backlog!$J$2:$J$180,MATCH($D51,Backlog!$A$2:$A$180,0)),"")</t>
  </si>
  <si>
    <t>=IF(ISNUMBER(INDEX(Backlog!$AS$2:$AS$180,MATCH($D51,Backlog!$A$2:$A$180,0))),INDEX(Backlog!$AS$2:$AS$180,MATCH($D51,Backlog!$A$2:$A$180,0)),"")</t>
  </si>
  <si>
    <t>H51</t>
  </si>
  <si>
    <t>=IF(ISNUMBER(INDEX(Backlog!$R$2:$R$180,MATCH($D51,Backlog!$A$2:$A$180,0))),INDEX(Backlog!$R$2:$R$180,MATCH($D51,Backlog!$A$2:$A$180,0)),"")</t>
  </si>
  <si>
    <t>=IF(ISNUMBER(INDEX(Backlog!$AT$2:$AT$180,MATCH($D51,Backlog!$A$2:$A$180,0))),INDEX(Backlog!$AT$2:$AT$180,MATCH($D51,Backlog!$A$2:$A$180,0)),"")</t>
  </si>
  <si>
    <t>G52</t>
  </si>
  <si>
    <t>=IF(ISNUMBER(INDEX(Backlog!$J$2:$J$180,MATCH($D52,Backlog!$A$2:$A$180,0))),INDEX(Backlog!$J$2:$J$180,MATCH($D52,Backlog!$A$2:$A$180,0)),"")</t>
  </si>
  <si>
    <t>=IF(ISNUMBER(INDEX(Backlog!$AS$2:$AS$180,MATCH($D52,Backlog!$A$2:$A$180,0))),INDEX(Backlog!$AS$2:$AS$180,MATCH($D52,Backlog!$A$2:$A$180,0)),"")</t>
  </si>
  <si>
    <t>H52</t>
  </si>
  <si>
    <t>=IF(ISNUMBER(INDEX(Backlog!$R$2:$R$180,MATCH($D52,Backlog!$A$2:$A$180,0))),INDEX(Backlog!$R$2:$R$180,MATCH($D52,Backlog!$A$2:$A$180,0)),"")</t>
  </si>
  <si>
    <t>=IF(ISNUMBER(INDEX(Backlog!$AT$2:$AT$180,MATCH($D52,Backlog!$A$2:$A$180,0))),INDEX(Backlog!$AT$2:$AT$180,MATCH($D52,Backlog!$A$2:$A$180,0)),"")</t>
  </si>
  <si>
    <t>G53</t>
  </si>
  <si>
    <t>=IF(ISNUMBER(INDEX(Backlog!$J$2:$J$180,MATCH($D53,Backlog!$A$2:$A$180,0))),INDEX(Backlog!$J$2:$J$180,MATCH($D53,Backlog!$A$2:$A$180,0)),"")</t>
  </si>
  <si>
    <t>=IF(ISNUMBER(INDEX(Backlog!$AS$2:$AS$180,MATCH($D53,Backlog!$A$2:$A$180,0))),INDEX(Backlog!$AS$2:$AS$180,MATCH($D53,Backlog!$A$2:$A$180,0)),"")</t>
  </si>
  <si>
    <t>H53</t>
  </si>
  <si>
    <t>=IF(ISNUMBER(INDEX(Backlog!$R$2:$R$180,MATCH($D53,Backlog!$A$2:$A$180,0))),INDEX(Backlog!$R$2:$R$180,MATCH($D53,Backlog!$A$2:$A$180,0)),"")</t>
  </si>
  <si>
    <t>=IF(ISNUMBER(INDEX(Backlog!$AT$2:$AT$180,MATCH($D53,Backlog!$A$2:$A$180,0))),INDEX(Backlog!$AT$2:$AT$180,MATCH($D53,Backlog!$A$2:$A$180,0)),"")</t>
  </si>
  <si>
    <t>G54</t>
  </si>
  <si>
    <t>=IF(ISNUMBER(INDEX(Backlog!$J$2:$J$180,MATCH($D54,Backlog!$A$2:$A$180,0))),INDEX(Backlog!$J$2:$J$180,MATCH($D54,Backlog!$A$2:$A$180,0)),"")</t>
  </si>
  <si>
    <t>=IF(ISNUMBER(INDEX(Backlog!$AS$2:$AS$180,MATCH($D54,Backlog!$A$2:$A$180,0))),INDEX(Backlog!$AS$2:$AS$180,MATCH($D54,Backlog!$A$2:$A$180,0)),"")</t>
  </si>
  <si>
    <t>H54</t>
  </si>
  <si>
    <t>=IF(ISNUMBER(INDEX(Backlog!$R$2:$R$180,MATCH($D54,Backlog!$A$2:$A$180,0))),INDEX(Backlog!$R$2:$R$180,MATCH($D54,Backlog!$A$2:$A$180,0)),"")</t>
  </si>
  <si>
    <t>=IF(ISNUMBER(INDEX(Backlog!$AT$2:$AT$180,MATCH($D54,Backlog!$A$2:$A$180,0))),INDEX(Backlog!$AT$2:$AT$180,MATCH($D54,Backlog!$A$2:$A$180,0)),"")</t>
  </si>
  <si>
    <t>G55</t>
  </si>
  <si>
    <t>=IF(ISNUMBER(INDEX(Backlog!$J$2:$J$180,MATCH($D55,Backlog!$A$2:$A$180,0))),INDEX(Backlog!$J$2:$J$180,MATCH($D55,Backlog!$A$2:$A$180,0)),"")</t>
  </si>
  <si>
    <t>=IF(ISNUMBER(INDEX(Backlog!$AS$2:$AS$180,MATCH($D55,Backlog!$A$2:$A$180,0))),INDEX(Backlog!$AS$2:$AS$180,MATCH($D55,Backlog!$A$2:$A$180,0)),"")</t>
  </si>
  <si>
    <t>H55</t>
  </si>
  <si>
    <t>=IF(ISNUMBER(INDEX(Backlog!$R$2:$R$180,MATCH($D55,Backlog!$A$2:$A$180,0))),INDEX(Backlog!$R$2:$R$180,MATCH($D55,Backlog!$A$2:$A$180,0)),"")</t>
  </si>
  <si>
    <t>=IF(ISNUMBER(INDEX(Backlog!$AT$2:$AT$180,MATCH($D55,Backlog!$A$2:$A$180,0))),INDEX(Backlog!$AT$2:$AT$180,MATCH($D55,Backlog!$A$2:$A$180,0)),"")</t>
  </si>
  <si>
    <t>G56</t>
  </si>
  <si>
    <t>=IF(ISNUMBER(INDEX(Backlog!$J$2:$J$180,MATCH($D56,Backlog!$A$2:$A$180,0))),INDEX(Backlog!$J$2:$J$180,MATCH($D56,Backlog!$A$2:$A$180,0)),"")</t>
  </si>
  <si>
    <t>=IF(ISNUMBER(INDEX(Backlog!$AS$2:$AS$180,MATCH($D56,Backlog!$A$2:$A$180,0))),INDEX(Backlog!$AS$2:$AS$180,MATCH($D56,Backlog!$A$2:$A$180,0)),"")</t>
  </si>
  <si>
    <t>H56</t>
  </si>
  <si>
    <t>=IF(ISNUMBER(INDEX(Backlog!$R$2:$R$180,MATCH($D56,Backlog!$A$2:$A$180,0))),INDEX(Backlog!$R$2:$R$180,MATCH($D56,Backlog!$A$2:$A$180,0)),"")</t>
  </si>
  <si>
    <t>=IF(ISNUMBER(INDEX(Backlog!$AT$2:$AT$180,MATCH($D56,Backlog!$A$2:$A$180,0))),INDEX(Backlog!$AT$2:$AT$180,MATCH($D56,Backlog!$A$2:$A$180,0)),"")</t>
  </si>
  <si>
    <t>G57</t>
  </si>
  <si>
    <t>=IF(ISNUMBER(INDEX(Backlog!$J$2:$J$180,MATCH($D57,Backlog!$A$2:$A$180,0))),INDEX(Backlog!$J$2:$J$180,MATCH($D57,Backlog!$A$2:$A$180,0)),"")</t>
  </si>
  <si>
    <t>=IF(ISNUMBER(INDEX(Backlog!$AS$2:$AS$180,MATCH($D57,Backlog!$A$2:$A$180,0))),INDEX(Backlog!$AS$2:$AS$180,MATCH($D57,Backlog!$A$2:$A$180,0)),"")</t>
  </si>
  <si>
    <t>H57</t>
  </si>
  <si>
    <t>=IF(ISNUMBER(INDEX(Backlog!$R$2:$R$180,MATCH($D57,Backlog!$A$2:$A$180,0))),INDEX(Backlog!$R$2:$R$180,MATCH($D57,Backlog!$A$2:$A$180,0)),"")</t>
  </si>
  <si>
    <t>=IF(ISNUMBER(INDEX(Backlog!$AT$2:$AT$180,MATCH($D57,Backlog!$A$2:$A$180,0))),INDEX(Backlog!$AT$2:$AT$180,MATCH($D57,Backlog!$A$2:$A$180,0)),"")</t>
  </si>
  <si>
    <t>G58</t>
  </si>
  <si>
    <t>=IF(ISNUMBER(INDEX(Backlog!$J$2:$J$180,MATCH($D58,Backlog!$A$2:$A$180,0))),INDEX(Backlog!$J$2:$J$180,MATCH($D58,Backlog!$A$2:$A$180,0)),"")</t>
  </si>
  <si>
    <t>=IF(ISNUMBER(INDEX(Backlog!$AS$2:$AS$180,MATCH($D58,Backlog!$A$2:$A$180,0))),INDEX(Backlog!$AS$2:$AS$180,MATCH($D58,Backlog!$A$2:$A$180,0)),"")</t>
  </si>
  <si>
    <t>H58</t>
  </si>
  <si>
    <t>=IF(ISNUMBER(INDEX(Backlog!$R$2:$R$180,MATCH($D58,Backlog!$A$2:$A$180,0))),INDEX(Backlog!$R$2:$R$180,MATCH($D58,Backlog!$A$2:$A$180,0)),"")</t>
  </si>
  <si>
    <t>=IF(ISNUMBER(INDEX(Backlog!$AT$2:$AT$180,MATCH($D58,Backlog!$A$2:$A$180,0))),INDEX(Backlog!$AT$2:$AT$180,MATCH($D58,Backlog!$A$2:$A$180,0)),"")</t>
  </si>
  <si>
    <t>G59</t>
  </si>
  <si>
    <t>=IF(ISNUMBER(INDEX(Backlog!$J$2:$J$180,MATCH($D59,Backlog!$A$2:$A$180,0))),INDEX(Backlog!$J$2:$J$180,MATCH($D59,Backlog!$A$2:$A$180,0)),"")</t>
  </si>
  <si>
    <t>=IF(ISNUMBER(INDEX(Backlog!$AS$2:$AS$180,MATCH($D59,Backlog!$A$2:$A$180,0))),INDEX(Backlog!$AS$2:$AS$180,MATCH($D59,Backlog!$A$2:$A$180,0)),"")</t>
  </si>
  <si>
    <t>H59</t>
  </si>
  <si>
    <t>=IF(ISNUMBER(INDEX(Backlog!$R$2:$R$180,MATCH($D59,Backlog!$A$2:$A$180,0))),INDEX(Backlog!$R$2:$R$180,MATCH($D59,Backlog!$A$2:$A$180,0)),"")</t>
  </si>
  <si>
    <t>=IF(ISNUMBER(INDEX(Backlog!$AT$2:$AT$180,MATCH($D59,Backlog!$A$2:$A$180,0))),INDEX(Backlog!$AT$2:$AT$180,MATCH($D59,Backlog!$A$2:$A$180,0)),"")</t>
  </si>
  <si>
    <t>G60</t>
  </si>
  <si>
    <t>=IF(ISNUMBER(INDEX(Backlog!$J$2:$J$180,MATCH($D60,Backlog!$A$2:$A$180,0))),INDEX(Backlog!$J$2:$J$180,MATCH($D60,Backlog!$A$2:$A$180,0)),"")</t>
  </si>
  <si>
    <t>=IF(ISNUMBER(INDEX(Backlog!$AS$2:$AS$180,MATCH($D60,Backlog!$A$2:$A$180,0))),INDEX(Backlog!$AS$2:$AS$180,MATCH($D60,Backlog!$A$2:$A$180,0)),"")</t>
  </si>
  <si>
    <t>H60</t>
  </si>
  <si>
    <t>=IF(ISNUMBER(INDEX(Backlog!$R$2:$R$180,MATCH($D60,Backlog!$A$2:$A$180,0))),INDEX(Backlog!$R$2:$R$180,MATCH($D60,Backlog!$A$2:$A$180,0)),"")</t>
  </si>
  <si>
    <t>=IF(ISNUMBER(INDEX(Backlog!$AT$2:$AT$180,MATCH($D60,Backlog!$A$2:$A$180,0))),INDEX(Backlog!$AT$2:$AT$180,MATCH($D60,Backlog!$A$2:$A$180,0)),"")</t>
  </si>
  <si>
    <t>G61</t>
  </si>
  <si>
    <t>=IF(ISNUMBER(INDEX(Backlog!$J$2:$J$180,MATCH($D61,Backlog!$A$2:$A$180,0))),INDEX(Backlog!$J$2:$J$180,MATCH($D61,Backlog!$A$2:$A$180,0)),"")</t>
  </si>
  <si>
    <t>=IF(ISNUMBER(INDEX(Backlog!$AS$2:$AS$180,MATCH($D61,Backlog!$A$2:$A$180,0))),INDEX(Backlog!$AS$2:$AS$180,MATCH($D61,Backlog!$A$2:$A$180,0)),"")</t>
  </si>
  <si>
    <t>H61</t>
  </si>
  <si>
    <t>=IF(ISNUMBER(INDEX(Backlog!$R$2:$R$180,MATCH($D61,Backlog!$A$2:$A$180,0))),INDEX(Backlog!$R$2:$R$180,MATCH($D61,Backlog!$A$2:$A$180,0)),"")</t>
  </si>
  <si>
    <t>=IF(ISNUMBER(INDEX(Backlog!$AT$2:$AT$180,MATCH($D61,Backlog!$A$2:$A$180,0))),INDEX(Backlog!$AT$2:$AT$180,MATCH($D61,Backlog!$A$2:$A$180,0)),"")</t>
  </si>
  <si>
    <t>G62</t>
  </si>
  <si>
    <t>=IF(ISNUMBER(INDEX(Backlog!$J$2:$J$180,MATCH($D62,Backlog!$A$2:$A$180,0))),INDEX(Backlog!$J$2:$J$180,MATCH($D62,Backlog!$A$2:$A$180,0)),"")</t>
  </si>
  <si>
    <t>=IF(ISNUMBER(INDEX(Backlog!$AS$2:$AS$180,MATCH($D62,Backlog!$A$2:$A$180,0))),INDEX(Backlog!$AS$2:$AS$180,MATCH($D62,Backlog!$A$2:$A$180,0)),"")</t>
  </si>
  <si>
    <t>H62</t>
  </si>
  <si>
    <t>=IF(ISNUMBER(INDEX(Backlog!$R$2:$R$180,MATCH($D62,Backlog!$A$2:$A$180,0))),INDEX(Backlog!$R$2:$R$180,MATCH($D62,Backlog!$A$2:$A$180,0)),"")</t>
  </si>
  <si>
    <t>=IF(ISNUMBER(INDEX(Backlog!$AT$2:$AT$180,MATCH($D62,Backlog!$A$2:$A$180,0))),INDEX(Backlog!$AT$2:$AT$180,MATCH($D62,Backlog!$A$2:$A$180,0)),"")</t>
  </si>
  <si>
    <t>G63</t>
  </si>
  <si>
    <t>=IF(ISNUMBER(INDEX(Backlog!$J$2:$J$180,MATCH($D63,Backlog!$A$2:$A$180,0))),INDEX(Backlog!$J$2:$J$180,MATCH($D63,Backlog!$A$2:$A$180,0)),"")</t>
  </si>
  <si>
    <t>=IF(ISNUMBER(INDEX(Backlog!$AS$2:$AS$180,MATCH($D63,Backlog!$A$2:$A$180,0))),INDEX(Backlog!$AS$2:$AS$180,MATCH($D63,Backlog!$A$2:$A$180,0)),"")</t>
  </si>
  <si>
    <t>H63</t>
  </si>
  <si>
    <t>=IF(ISNUMBER(INDEX(Backlog!$R$2:$R$180,MATCH($D63,Backlog!$A$2:$A$180,0))),INDEX(Backlog!$R$2:$R$180,MATCH($D63,Backlog!$A$2:$A$180,0)),"")</t>
  </si>
  <si>
    <t>=IF(ISNUMBER(INDEX(Backlog!$AT$2:$AT$180,MATCH($D63,Backlog!$A$2:$A$180,0))),INDEX(Backlog!$AT$2:$AT$180,MATCH($D63,Backlog!$A$2:$A$180,0)),"")</t>
  </si>
  <si>
    <t>G64</t>
  </si>
  <si>
    <t>=IF(ISNUMBER(INDEX(Backlog!$J$2:$J$180,MATCH($D64,Backlog!$A$2:$A$180,0))),INDEX(Backlog!$J$2:$J$180,MATCH($D64,Backlog!$A$2:$A$180,0)),"")</t>
  </si>
  <si>
    <t>=IF(ISNUMBER(INDEX(Backlog!$AS$2:$AS$180,MATCH($D64,Backlog!$A$2:$A$180,0))),INDEX(Backlog!$AS$2:$AS$180,MATCH($D64,Backlog!$A$2:$A$180,0)),"")</t>
  </si>
  <si>
    <t>H64</t>
  </si>
  <si>
    <t>=IF(ISNUMBER(INDEX(Backlog!$R$2:$R$180,MATCH($D64,Backlog!$A$2:$A$180,0))),INDEX(Backlog!$R$2:$R$180,MATCH($D64,Backlog!$A$2:$A$180,0)),"")</t>
  </si>
  <si>
    <t>=IF(ISNUMBER(INDEX(Backlog!$AT$2:$AT$180,MATCH($D64,Backlog!$A$2:$A$180,0))),INDEX(Backlog!$AT$2:$AT$180,MATCH($D64,Backlog!$A$2:$A$180,0)),"")</t>
  </si>
  <si>
    <t>G65</t>
  </si>
  <si>
    <t>=IF(ISNUMBER(INDEX(Backlog!$J$2:$J$180,MATCH($D65,Backlog!$A$2:$A$180,0))),INDEX(Backlog!$J$2:$J$180,MATCH($D65,Backlog!$A$2:$A$180,0)),"")</t>
  </si>
  <si>
    <t>=IF(ISNUMBER(INDEX(Backlog!$AS$2:$AS$180,MATCH($D65,Backlog!$A$2:$A$180,0))),INDEX(Backlog!$AS$2:$AS$180,MATCH($D65,Backlog!$A$2:$A$180,0)),"")</t>
  </si>
  <si>
    <t>H65</t>
  </si>
  <si>
    <t>=IF(ISNUMBER(INDEX(Backlog!$R$2:$R$180,MATCH($D65,Backlog!$A$2:$A$180,0))),INDEX(Backlog!$R$2:$R$180,MATCH($D65,Backlog!$A$2:$A$180,0)),"")</t>
  </si>
  <si>
    <t>=IF(ISNUMBER(INDEX(Backlog!$AT$2:$AT$180,MATCH($D65,Backlog!$A$2:$A$180,0))),INDEX(Backlog!$AT$2:$AT$180,MATCH($D65,Backlog!$A$2:$A$180,0)),"")</t>
  </si>
  <si>
    <t>G66</t>
  </si>
  <si>
    <t>=IF(ISNUMBER(INDEX(Backlog!$J$2:$J$180,MATCH($D66,Backlog!$A$2:$A$180,0))),INDEX(Backlog!$J$2:$J$180,MATCH($D66,Backlog!$A$2:$A$180,0)),"")</t>
  </si>
  <si>
    <t>=IF(ISNUMBER(INDEX(Backlog!$AS$2:$AS$180,MATCH($D66,Backlog!$A$2:$A$180,0))),INDEX(Backlog!$AS$2:$AS$180,MATCH($D66,Backlog!$A$2:$A$180,0)),"")</t>
  </si>
  <si>
    <t>H66</t>
  </si>
  <si>
    <t>=IF(ISNUMBER(INDEX(Backlog!$R$2:$R$180,MATCH($D66,Backlog!$A$2:$A$180,0))),INDEX(Backlog!$R$2:$R$180,MATCH($D66,Backlog!$A$2:$A$180,0)),"")</t>
  </si>
  <si>
    <t>=IF(ISNUMBER(INDEX(Backlog!$AT$2:$AT$180,MATCH($D66,Backlog!$A$2:$A$180,0))),INDEX(Backlog!$AT$2:$AT$180,MATCH($D66,Backlog!$A$2:$A$180,0)),"")</t>
  </si>
  <si>
    <t>G67</t>
  </si>
  <si>
    <t>=IF(ISNUMBER(INDEX(Backlog!$J$2:$J$180,MATCH($D67,Backlog!$A$2:$A$180,0))),INDEX(Backlog!$J$2:$J$180,MATCH($D67,Backlog!$A$2:$A$180,0)),"")</t>
  </si>
  <si>
    <t>=IF(ISNUMBER(INDEX(Backlog!$AS$2:$AS$180,MATCH($D67,Backlog!$A$2:$A$180,0))),INDEX(Backlog!$AS$2:$AS$180,MATCH($D67,Backlog!$A$2:$A$180,0)),"")</t>
  </si>
  <si>
    <t>H67</t>
  </si>
  <si>
    <t>=IF(ISNUMBER(INDEX(Backlog!$R$2:$R$180,MATCH($D67,Backlog!$A$2:$A$180,0))),INDEX(Backlog!$R$2:$R$180,MATCH($D67,Backlog!$A$2:$A$180,0)),"")</t>
  </si>
  <si>
    <t>=IF(ISNUMBER(INDEX(Backlog!$AT$2:$AT$180,MATCH($D67,Backlog!$A$2:$A$180,0))),INDEX(Backlog!$AT$2:$AT$180,MATCH($D67,Backlog!$A$2:$A$180,0)),"")</t>
  </si>
  <si>
    <t>G68</t>
  </si>
  <si>
    <t>=IF(ISNUMBER(INDEX(Backlog!$J$2:$J$180,MATCH($D68,Backlog!$A$2:$A$180,0))),INDEX(Backlog!$J$2:$J$180,MATCH($D68,Backlog!$A$2:$A$180,0)),"")</t>
  </si>
  <si>
    <t>=IF(ISNUMBER(INDEX(Backlog!$AS$2:$AS$180,MATCH($D68,Backlog!$A$2:$A$180,0))),INDEX(Backlog!$AS$2:$AS$180,MATCH($D68,Backlog!$A$2:$A$180,0)),"")</t>
  </si>
  <si>
    <t>H68</t>
  </si>
  <si>
    <t>=IF(ISNUMBER(INDEX(Backlog!$R$2:$R$180,MATCH($D68,Backlog!$A$2:$A$180,0))),INDEX(Backlog!$R$2:$R$180,MATCH($D68,Backlog!$A$2:$A$180,0)),"")</t>
  </si>
  <si>
    <t>=IF(ISNUMBER(INDEX(Backlog!$AT$2:$AT$180,MATCH($D68,Backlog!$A$2:$A$180,0))),INDEX(Backlog!$AT$2:$AT$180,MATCH($D68,Backlog!$A$2:$A$180,0)),"")</t>
  </si>
  <si>
    <t>G69</t>
  </si>
  <si>
    <t>=IF(ISNUMBER(INDEX(Backlog!$J$2:$J$180,MATCH($D69,Backlog!$A$2:$A$180,0))),INDEX(Backlog!$J$2:$J$180,MATCH($D69,Backlog!$A$2:$A$180,0)),"")</t>
  </si>
  <si>
    <t>=IF(ISNUMBER(INDEX(Backlog!$AS$2:$AS$180,MATCH($D69,Backlog!$A$2:$A$180,0))),INDEX(Backlog!$AS$2:$AS$180,MATCH($D69,Backlog!$A$2:$A$180,0)),"")</t>
  </si>
  <si>
    <t>H69</t>
  </si>
  <si>
    <t>=IF(ISNUMBER(INDEX(Backlog!$R$2:$R$180,MATCH($D69,Backlog!$A$2:$A$180,0))),INDEX(Backlog!$R$2:$R$180,MATCH($D69,Backlog!$A$2:$A$180,0)),"")</t>
  </si>
  <si>
    <t>=IF(ISNUMBER(INDEX(Backlog!$AT$2:$AT$180,MATCH($D69,Backlog!$A$2:$A$180,0))),INDEX(Backlog!$AT$2:$AT$180,MATCH($D69,Backlog!$A$2:$A$180,0)),"")</t>
  </si>
  <si>
    <t>G70</t>
  </si>
  <si>
    <t>=IF(ISNUMBER(INDEX(Backlog!$J$2:$J$180,MATCH($D70,Backlog!$A$2:$A$180,0))),INDEX(Backlog!$J$2:$J$180,MATCH($D70,Backlog!$A$2:$A$180,0)),"")</t>
  </si>
  <si>
    <t>=IF(ISNUMBER(INDEX(Backlog!$AS$2:$AS$180,MATCH($D70,Backlog!$A$2:$A$180,0))),INDEX(Backlog!$AS$2:$AS$180,MATCH($D70,Backlog!$A$2:$A$180,0)),"")</t>
  </si>
  <si>
    <t>H70</t>
  </si>
  <si>
    <t>=IF(ISNUMBER(INDEX(Backlog!$R$2:$R$180,MATCH($D70,Backlog!$A$2:$A$180,0))),INDEX(Backlog!$R$2:$R$180,MATCH($D70,Backlog!$A$2:$A$180,0)),"")</t>
  </si>
  <si>
    <t>=IF(ISNUMBER(INDEX(Backlog!$AT$2:$AT$180,MATCH($D70,Backlog!$A$2:$A$180,0))),INDEX(Backlog!$AT$2:$AT$180,MATCH($D70,Backlog!$A$2:$A$180,0)),"")</t>
  </si>
  <si>
    <t>G71</t>
  </si>
  <si>
    <t>=IF(ISNUMBER(INDEX(Backlog!$J$2:$J$180,MATCH($D71,Backlog!$A$2:$A$180,0))),INDEX(Backlog!$J$2:$J$180,MATCH($D71,Backlog!$A$2:$A$180,0)),"")</t>
  </si>
  <si>
    <t>=IF(ISNUMBER(INDEX(Backlog!$AS$2:$AS$180,MATCH($D71,Backlog!$A$2:$A$180,0))),INDEX(Backlog!$AS$2:$AS$180,MATCH($D71,Backlog!$A$2:$A$180,0)),"")</t>
  </si>
  <si>
    <t>H71</t>
  </si>
  <si>
    <t>=IF(ISNUMBER(INDEX(Backlog!$R$2:$R$180,MATCH($D71,Backlog!$A$2:$A$180,0))),INDEX(Backlog!$R$2:$R$180,MATCH($D71,Backlog!$A$2:$A$180,0)),"")</t>
  </si>
  <si>
    <t>=IF(ISNUMBER(INDEX(Backlog!$AT$2:$AT$180,MATCH($D71,Backlog!$A$2:$A$180,0))),INDEX(Backlog!$AT$2:$AT$180,MATCH($D71,Backlog!$A$2:$A$180,0)),"")</t>
  </si>
  <si>
    <t>G72</t>
  </si>
  <si>
    <t>=IF(ISNUMBER(INDEX(Backlog!$J$2:$J$180,MATCH($D72,Backlog!$A$2:$A$180,0))),INDEX(Backlog!$J$2:$J$180,MATCH($D72,Backlog!$A$2:$A$180,0)),"")</t>
  </si>
  <si>
    <t>=IF(ISNUMBER(INDEX(Backlog!$AS$2:$AS$180,MATCH($D72,Backlog!$A$2:$A$180,0))),INDEX(Backlog!$AS$2:$AS$180,MATCH($D72,Backlog!$A$2:$A$180,0)),"")</t>
  </si>
  <si>
    <t>H72</t>
  </si>
  <si>
    <t>=IF(ISNUMBER(INDEX(Backlog!$R$2:$R$180,MATCH($D72,Backlog!$A$2:$A$180,0))),INDEX(Backlog!$R$2:$R$180,MATCH($D72,Backlog!$A$2:$A$180,0)),"")</t>
  </si>
  <si>
    <t>=IF(ISNUMBER(INDEX(Backlog!$AT$2:$AT$180,MATCH($D72,Backlog!$A$2:$A$180,0))),INDEX(Backlog!$AT$2:$AT$180,MATCH($D72,Backlog!$A$2:$A$180,0)),"")</t>
  </si>
  <si>
    <t>G73</t>
  </si>
  <si>
    <t>=IF(ISNUMBER(INDEX(Backlog!$J$2:$J$180,MATCH($D73,Backlog!$A$2:$A$180,0))),INDEX(Backlog!$J$2:$J$180,MATCH($D73,Backlog!$A$2:$A$180,0)),"")</t>
  </si>
  <si>
    <t>=IF(ISNUMBER(INDEX(Backlog!$AS$2:$AS$180,MATCH($D73,Backlog!$A$2:$A$180,0))),INDEX(Backlog!$AS$2:$AS$180,MATCH($D73,Backlog!$A$2:$A$180,0)),"")</t>
  </si>
  <si>
    <t>H73</t>
  </si>
  <si>
    <t>=IF(ISNUMBER(INDEX(Backlog!$R$2:$R$180,MATCH($D73,Backlog!$A$2:$A$180,0))),INDEX(Backlog!$R$2:$R$180,MATCH($D73,Backlog!$A$2:$A$180,0)),"")</t>
  </si>
  <si>
    <t>=IF(ISNUMBER(INDEX(Backlog!$AT$2:$AT$180,MATCH($D73,Backlog!$A$2:$A$180,0))),INDEX(Backlog!$AT$2:$AT$180,MATCH($D73,Backlog!$A$2:$A$180,0)),"")</t>
  </si>
  <si>
    <t>G74</t>
  </si>
  <si>
    <t>=IF(ISNUMBER(INDEX(Backlog!$J$2:$J$180,MATCH($D74,Backlog!$A$2:$A$180,0))),INDEX(Backlog!$J$2:$J$180,MATCH($D74,Backlog!$A$2:$A$180,0)),"")</t>
  </si>
  <si>
    <t>=IF(ISNUMBER(INDEX(Backlog!$AS$2:$AS$180,MATCH($D74,Backlog!$A$2:$A$180,0))),INDEX(Backlog!$AS$2:$AS$180,MATCH($D74,Backlog!$A$2:$A$180,0)),"")</t>
  </si>
  <si>
    <t>H74</t>
  </si>
  <si>
    <t>=IF(ISNUMBER(INDEX(Backlog!$R$2:$R$180,MATCH($D74,Backlog!$A$2:$A$180,0))),INDEX(Backlog!$R$2:$R$180,MATCH($D74,Backlog!$A$2:$A$180,0)),"")</t>
  </si>
  <si>
    <t>=IF(ISNUMBER(INDEX(Backlog!$AT$2:$AT$180,MATCH($D74,Backlog!$A$2:$A$180,0))),INDEX(Backlog!$AT$2:$AT$180,MATCH($D74,Backlog!$A$2:$A$180,0)),"")</t>
  </si>
  <si>
    <t>G75</t>
  </si>
  <si>
    <t>=IF(ISNUMBER(INDEX(Backlog!$J$2:$J$180,MATCH($D75,Backlog!$A$2:$A$180,0))),INDEX(Backlog!$J$2:$J$180,MATCH($D75,Backlog!$A$2:$A$180,0)),"")</t>
  </si>
  <si>
    <t>=IF(ISNUMBER(INDEX(Backlog!$AS$2:$AS$180,MATCH($D75,Backlog!$A$2:$A$180,0))),INDEX(Backlog!$AS$2:$AS$180,MATCH($D75,Backlog!$A$2:$A$180,0)),"")</t>
  </si>
  <si>
    <t>H75</t>
  </si>
  <si>
    <t>=IF(ISNUMBER(INDEX(Backlog!$R$2:$R$180,MATCH($D75,Backlog!$A$2:$A$180,0))),INDEX(Backlog!$R$2:$R$180,MATCH($D75,Backlog!$A$2:$A$180,0)),"")</t>
  </si>
  <si>
    <t>=IF(ISNUMBER(INDEX(Backlog!$AT$2:$AT$180,MATCH($D75,Backlog!$A$2:$A$180,0))),INDEX(Backlog!$AT$2:$AT$180,MATCH($D75,Backlog!$A$2:$A$180,0)),"")</t>
  </si>
  <si>
    <t>G76</t>
  </si>
  <si>
    <t>=IF(ISNUMBER(INDEX(Backlog!$J$2:$J$180,MATCH($D76,Backlog!$A$2:$A$180,0))),INDEX(Backlog!$J$2:$J$180,MATCH($D76,Backlog!$A$2:$A$180,0)),"")</t>
  </si>
  <si>
    <t>=IF(ISNUMBER(INDEX(Backlog!$AS$2:$AS$180,MATCH($D76,Backlog!$A$2:$A$180,0))),INDEX(Backlog!$AS$2:$AS$180,MATCH($D76,Backlog!$A$2:$A$180,0)),"")</t>
  </si>
  <si>
    <t>H76</t>
  </si>
  <si>
    <t>=IF(ISNUMBER(INDEX(Backlog!$R$2:$R$180,MATCH($D76,Backlog!$A$2:$A$180,0))),INDEX(Backlog!$R$2:$R$180,MATCH($D76,Backlog!$A$2:$A$180,0)),"")</t>
  </si>
  <si>
    <t>=IF(ISNUMBER(INDEX(Backlog!$AT$2:$AT$180,MATCH($D76,Backlog!$A$2:$A$180,0))),INDEX(Backlog!$AT$2:$AT$180,MATCH($D76,Backlog!$A$2:$A$180,0)),"")</t>
  </si>
  <si>
    <t>G77</t>
  </si>
  <si>
    <t>=IF(ISNUMBER(INDEX(Backlog!$J$2:$J$180,MATCH($D77,Backlog!$A$2:$A$180,0))),INDEX(Backlog!$J$2:$J$180,MATCH($D77,Backlog!$A$2:$A$180,0)),"")</t>
  </si>
  <si>
    <t>=IF(ISNUMBER(INDEX(Backlog!$AS$2:$AS$180,MATCH($D77,Backlog!$A$2:$A$180,0))),INDEX(Backlog!$AS$2:$AS$180,MATCH($D77,Backlog!$A$2:$A$180,0)),"")</t>
  </si>
  <si>
    <t>H77</t>
  </si>
  <si>
    <t>=IF(ISNUMBER(INDEX(Backlog!$R$2:$R$180,MATCH($D77,Backlog!$A$2:$A$180,0))),INDEX(Backlog!$R$2:$R$180,MATCH($D77,Backlog!$A$2:$A$180,0)),"")</t>
  </si>
  <si>
    <t>=IF(ISNUMBER(INDEX(Backlog!$AT$2:$AT$180,MATCH($D77,Backlog!$A$2:$A$180,0))),INDEX(Backlog!$AT$2:$AT$180,MATCH($D77,Backlog!$A$2:$A$180,0)),"")</t>
  </si>
  <si>
    <t>G78</t>
  </si>
  <si>
    <t>=IF(ISNUMBER(INDEX(Backlog!$J$2:$J$180,MATCH($D78,Backlog!$A$2:$A$180,0))),INDEX(Backlog!$J$2:$J$180,MATCH($D78,Backlog!$A$2:$A$180,0)),"")</t>
  </si>
  <si>
    <t>=IF(ISNUMBER(INDEX(Backlog!$AS$2:$AS$180,MATCH($D78,Backlog!$A$2:$A$180,0))),INDEX(Backlog!$AS$2:$AS$180,MATCH($D78,Backlog!$A$2:$A$180,0)),"")</t>
  </si>
  <si>
    <t>H78</t>
  </si>
  <si>
    <t>=IF(ISNUMBER(INDEX(Backlog!$R$2:$R$180,MATCH($D78,Backlog!$A$2:$A$180,0))),INDEX(Backlog!$R$2:$R$180,MATCH($D78,Backlog!$A$2:$A$180,0)),"")</t>
  </si>
  <si>
    <t>=IF(ISNUMBER(INDEX(Backlog!$AT$2:$AT$180,MATCH($D78,Backlog!$A$2:$A$180,0))),INDEX(Backlog!$AT$2:$AT$180,MATCH($D78,Backlog!$A$2:$A$180,0)),"")</t>
  </si>
  <si>
    <t>G79</t>
  </si>
  <si>
    <t>=IF(ISNUMBER(INDEX(Backlog!$J$2:$J$180,MATCH($D79,Backlog!$A$2:$A$180,0))),INDEX(Backlog!$J$2:$J$180,MATCH($D79,Backlog!$A$2:$A$180,0)),"")</t>
  </si>
  <si>
    <t>=IF(ISNUMBER(INDEX(Backlog!$AS$2:$AS$180,MATCH($D79,Backlog!$A$2:$A$180,0))),INDEX(Backlog!$AS$2:$AS$180,MATCH($D79,Backlog!$A$2:$A$180,0)),"")</t>
  </si>
  <si>
    <t>H79</t>
  </si>
  <si>
    <t>=IF(ISNUMBER(INDEX(Backlog!$R$2:$R$180,MATCH($D79,Backlog!$A$2:$A$180,0))),INDEX(Backlog!$R$2:$R$180,MATCH($D79,Backlog!$A$2:$A$180,0)),"")</t>
  </si>
  <si>
    <t>=IF(ISNUMBER(INDEX(Backlog!$AT$2:$AT$180,MATCH($D79,Backlog!$A$2:$A$180,0))),INDEX(Backlog!$AT$2:$AT$180,MATCH($D79,Backlog!$A$2:$A$180,0)),"")</t>
  </si>
  <si>
    <t>G80</t>
  </si>
  <si>
    <t>=IF(ISNUMBER(INDEX(Backlog!$J$2:$J$180,MATCH($D80,Backlog!$A$2:$A$180,0))),INDEX(Backlog!$J$2:$J$180,MATCH($D80,Backlog!$A$2:$A$180,0)),"")</t>
  </si>
  <si>
    <t>=IF(ISNUMBER(INDEX(Backlog!$AS$2:$AS$180,MATCH($D80,Backlog!$A$2:$A$180,0))),INDEX(Backlog!$AS$2:$AS$180,MATCH($D80,Backlog!$A$2:$A$180,0)),"")</t>
  </si>
  <si>
    <t>H80</t>
  </si>
  <si>
    <t>=IF(ISNUMBER(INDEX(Backlog!$R$2:$R$180,MATCH($D80,Backlog!$A$2:$A$180,0))),INDEX(Backlog!$R$2:$R$180,MATCH($D80,Backlog!$A$2:$A$180,0)),"")</t>
  </si>
  <si>
    <t>=IF(ISNUMBER(INDEX(Backlog!$AT$2:$AT$180,MATCH($D80,Backlog!$A$2:$A$180,0))),INDEX(Backlog!$AT$2:$AT$180,MATCH($D80,Backlog!$A$2:$A$180,0)),"")</t>
  </si>
  <si>
    <t>G81</t>
  </si>
  <si>
    <t>=IF(ISNUMBER(INDEX(Backlog!$J$2:$J$180,MATCH($D81,Backlog!$A$2:$A$180,0))),INDEX(Backlog!$J$2:$J$180,MATCH($D81,Backlog!$A$2:$A$180,0)),"")</t>
  </si>
  <si>
    <t>=IF(ISNUMBER(INDEX(Backlog!$AS$2:$AS$180,MATCH($D81,Backlog!$A$2:$A$180,0))),INDEX(Backlog!$AS$2:$AS$180,MATCH($D81,Backlog!$A$2:$A$180,0)),"")</t>
  </si>
  <si>
    <t>H81</t>
  </si>
  <si>
    <t>=IF(ISNUMBER(INDEX(Backlog!$R$2:$R$180,MATCH($D81,Backlog!$A$2:$A$180,0))),INDEX(Backlog!$R$2:$R$180,MATCH($D81,Backlog!$A$2:$A$180,0)),"")</t>
  </si>
  <si>
    <t>=IF(ISNUMBER(INDEX(Backlog!$AT$2:$AT$180,MATCH($D81,Backlog!$A$2:$A$180,0))),INDEX(Backlog!$AT$2:$AT$180,MATCH($D81,Backlog!$A$2:$A$180,0)),"")</t>
  </si>
  <si>
    <t>G82</t>
  </si>
  <si>
    <t>=IF(ISNUMBER(INDEX(Backlog!$J$2:$J$180,MATCH($D82,Backlog!$A$2:$A$180,0))),INDEX(Backlog!$J$2:$J$180,MATCH($D82,Backlog!$A$2:$A$180,0)),"")</t>
  </si>
  <si>
    <t>=IF(ISNUMBER(INDEX(Backlog!$AS$2:$AS$180,MATCH($D82,Backlog!$A$2:$A$180,0))),INDEX(Backlog!$AS$2:$AS$180,MATCH($D82,Backlog!$A$2:$A$180,0)),"")</t>
  </si>
  <si>
    <t>H82</t>
  </si>
  <si>
    <t>=IF(ISNUMBER(INDEX(Backlog!$R$2:$R$180,MATCH($D82,Backlog!$A$2:$A$180,0))),INDEX(Backlog!$R$2:$R$180,MATCH($D82,Backlog!$A$2:$A$180,0)),"")</t>
  </si>
  <si>
    <t>=IF(ISNUMBER(INDEX(Backlog!$AT$2:$AT$180,MATCH($D82,Backlog!$A$2:$A$180,0))),INDEX(Backlog!$AT$2:$AT$180,MATCH($D82,Backlog!$A$2:$A$180,0)),"")</t>
  </si>
  <si>
    <t>G83</t>
  </si>
  <si>
    <t>=IF(ISNUMBER(INDEX(Backlog!$J$2:$J$180,MATCH($D83,Backlog!$A$2:$A$180,0))),INDEX(Backlog!$J$2:$J$180,MATCH($D83,Backlog!$A$2:$A$180,0)),"")</t>
  </si>
  <si>
    <t>=IF(ISNUMBER(INDEX(Backlog!$AS$2:$AS$180,MATCH($D83,Backlog!$A$2:$A$180,0))),INDEX(Backlog!$AS$2:$AS$180,MATCH($D83,Backlog!$A$2:$A$180,0)),"")</t>
  </si>
  <si>
    <t>H83</t>
  </si>
  <si>
    <t>=IF(ISNUMBER(INDEX(Backlog!$R$2:$R$180,MATCH($D83,Backlog!$A$2:$A$180,0))),INDEX(Backlog!$R$2:$R$180,MATCH($D83,Backlog!$A$2:$A$180,0)),"")</t>
  </si>
  <si>
    <t>=IF(ISNUMBER(INDEX(Backlog!$AT$2:$AT$180,MATCH($D83,Backlog!$A$2:$A$180,0))),INDEX(Backlog!$AT$2:$AT$180,MATCH($D83,Backlog!$A$2:$A$180,0)),"")</t>
  </si>
  <si>
    <t>G84</t>
  </si>
  <si>
    <t>=IF(ISNUMBER(INDEX(Backlog!$J$2:$J$180,MATCH($D84,Backlog!$A$2:$A$180,0))),INDEX(Backlog!$J$2:$J$180,MATCH($D84,Backlog!$A$2:$A$180,0)),"")</t>
  </si>
  <si>
    <t>=IF(ISNUMBER(INDEX(Backlog!$AS$2:$AS$180,MATCH($D84,Backlog!$A$2:$A$180,0))),INDEX(Backlog!$AS$2:$AS$180,MATCH($D84,Backlog!$A$2:$A$180,0)),"")</t>
  </si>
  <si>
    <t>H84</t>
  </si>
  <si>
    <t>=IF(ISNUMBER(INDEX(Backlog!$R$2:$R$180,MATCH($D84,Backlog!$A$2:$A$180,0))),INDEX(Backlog!$R$2:$R$180,MATCH($D84,Backlog!$A$2:$A$180,0)),"")</t>
  </si>
  <si>
    <t>=IF(ISNUMBER(INDEX(Backlog!$AT$2:$AT$180,MATCH($D84,Backlog!$A$2:$A$180,0))),INDEX(Backlog!$AT$2:$AT$180,MATCH($D84,Backlog!$A$2:$A$180,0)),"")</t>
  </si>
  <si>
    <t>G85</t>
  </si>
  <si>
    <t>=IF(ISNUMBER(INDEX(Backlog!$J$2:$J$180,MATCH($D85,Backlog!$A$2:$A$180,0))),INDEX(Backlog!$J$2:$J$180,MATCH($D85,Backlog!$A$2:$A$180,0)),"")</t>
  </si>
  <si>
    <t>=IF(ISNUMBER(INDEX(Backlog!$AS$2:$AS$180,MATCH($D85,Backlog!$A$2:$A$180,0))),INDEX(Backlog!$AS$2:$AS$180,MATCH($D85,Backlog!$A$2:$A$180,0)),"")</t>
  </si>
  <si>
    <t>H85</t>
  </si>
  <si>
    <t>=IF(ISNUMBER(INDEX(Backlog!$R$2:$R$180,MATCH($D85,Backlog!$A$2:$A$180,0))),INDEX(Backlog!$R$2:$R$180,MATCH($D85,Backlog!$A$2:$A$180,0)),"")</t>
  </si>
  <si>
    <t>=IF(ISNUMBER(INDEX(Backlog!$AT$2:$AT$180,MATCH($D85,Backlog!$A$2:$A$180,0))),INDEX(Backlog!$AT$2:$AT$180,MATCH($D85,Backlog!$A$2:$A$180,0)),"")</t>
  </si>
  <si>
    <t>G86</t>
  </si>
  <si>
    <t>=IF(ISNUMBER(INDEX(Backlog!$J$2:$J$180,MATCH($D86,Backlog!$A$2:$A$180,0))),INDEX(Backlog!$J$2:$J$180,MATCH($D86,Backlog!$A$2:$A$180,0)),"")</t>
  </si>
  <si>
    <t>=IF(ISNUMBER(INDEX(Backlog!$AS$2:$AS$180,MATCH($D86,Backlog!$A$2:$A$180,0))),INDEX(Backlog!$AS$2:$AS$180,MATCH($D86,Backlog!$A$2:$A$180,0)),"")</t>
  </si>
  <si>
    <t>H86</t>
  </si>
  <si>
    <t>=IF(ISNUMBER(INDEX(Backlog!$R$2:$R$180,MATCH($D86,Backlog!$A$2:$A$180,0))),INDEX(Backlog!$R$2:$R$180,MATCH($D86,Backlog!$A$2:$A$180,0)),"")</t>
  </si>
  <si>
    <t>=IF(ISNUMBER(INDEX(Backlog!$AT$2:$AT$180,MATCH($D86,Backlog!$A$2:$A$180,0))),INDEX(Backlog!$AT$2:$AT$180,MATCH($D86,Backlog!$A$2:$A$180,0)),"")</t>
  </si>
  <si>
    <t>G87</t>
  </si>
  <si>
    <t>=IF(ISNUMBER(INDEX(Backlog!$J$2:$J$180,MATCH($D87,Backlog!$A$2:$A$180,0))),INDEX(Backlog!$J$2:$J$180,MATCH($D87,Backlog!$A$2:$A$180,0)),"")</t>
  </si>
  <si>
    <t>=IF(ISNUMBER(INDEX(Backlog!$AS$2:$AS$180,MATCH($D87,Backlog!$A$2:$A$180,0))),INDEX(Backlog!$AS$2:$AS$180,MATCH($D87,Backlog!$A$2:$A$180,0)),"")</t>
  </si>
  <si>
    <t>H87</t>
  </si>
  <si>
    <t>=IF(ISNUMBER(INDEX(Backlog!$R$2:$R$180,MATCH($D87,Backlog!$A$2:$A$180,0))),INDEX(Backlog!$R$2:$R$180,MATCH($D87,Backlog!$A$2:$A$180,0)),"")</t>
  </si>
  <si>
    <t>=IF(ISNUMBER(INDEX(Backlog!$AT$2:$AT$180,MATCH($D87,Backlog!$A$2:$A$180,0))),INDEX(Backlog!$AT$2:$AT$180,MATCH($D87,Backlog!$A$2:$A$180,0)),"")</t>
  </si>
  <si>
    <t>G88</t>
  </si>
  <si>
    <t>=IF(ISNUMBER(INDEX(Backlog!$J$2:$J$180,MATCH($D88,Backlog!$A$2:$A$180,0))),INDEX(Backlog!$J$2:$J$180,MATCH($D88,Backlog!$A$2:$A$180,0)),"")</t>
  </si>
  <si>
    <t>=IF(ISNUMBER(INDEX(Backlog!$AS$2:$AS$180,MATCH($D88,Backlog!$A$2:$A$180,0))),INDEX(Backlog!$AS$2:$AS$180,MATCH($D88,Backlog!$A$2:$A$180,0)),"")</t>
  </si>
  <si>
    <t>H88</t>
  </si>
  <si>
    <t>=IF(ISNUMBER(INDEX(Backlog!$R$2:$R$180,MATCH($D88,Backlog!$A$2:$A$180,0))),INDEX(Backlog!$R$2:$R$180,MATCH($D88,Backlog!$A$2:$A$180,0)),"")</t>
  </si>
  <si>
    <t>=IF(ISNUMBER(INDEX(Backlog!$AT$2:$AT$180,MATCH($D88,Backlog!$A$2:$A$180,0))),INDEX(Backlog!$AT$2:$AT$180,MATCH($D88,Backlog!$A$2:$A$180,0)),"")</t>
  </si>
  <si>
    <t>G89</t>
  </si>
  <si>
    <t>=IF(ISNUMBER(INDEX(Backlog!$J$2:$J$180,MATCH($D89,Backlog!$A$2:$A$180,0))),INDEX(Backlog!$J$2:$J$180,MATCH($D89,Backlog!$A$2:$A$180,0)),"")</t>
  </si>
  <si>
    <t>=IF(ISNUMBER(INDEX(Backlog!$AS$2:$AS$180,MATCH($D89,Backlog!$A$2:$A$180,0))),INDEX(Backlog!$AS$2:$AS$180,MATCH($D89,Backlog!$A$2:$A$180,0)),"")</t>
  </si>
  <si>
    <t>H89</t>
  </si>
  <si>
    <t>=IF(ISNUMBER(INDEX(Backlog!$R$2:$R$180,MATCH($D89,Backlog!$A$2:$A$180,0))),INDEX(Backlog!$R$2:$R$180,MATCH($D89,Backlog!$A$2:$A$180,0)),"")</t>
  </si>
  <si>
    <t>=IF(ISNUMBER(INDEX(Backlog!$AT$2:$AT$180,MATCH($D89,Backlog!$A$2:$A$180,0))),INDEX(Backlog!$AT$2:$AT$180,MATCH($D89,Backlog!$A$2:$A$180,0)),"")</t>
  </si>
  <si>
    <t>G90</t>
  </si>
  <si>
    <t>=IF(ISNUMBER(INDEX(Backlog!$J$2:$J$180,MATCH($D90,Backlog!$A$2:$A$180,0))),INDEX(Backlog!$J$2:$J$180,MATCH($D90,Backlog!$A$2:$A$180,0)),"")</t>
  </si>
  <si>
    <t>=IF(ISNUMBER(INDEX(Backlog!$AS$2:$AS$180,MATCH($D90,Backlog!$A$2:$A$180,0))),INDEX(Backlog!$AS$2:$AS$180,MATCH($D90,Backlog!$A$2:$A$180,0)),"")</t>
  </si>
  <si>
    <t>H90</t>
  </si>
  <si>
    <t>=IF(ISNUMBER(INDEX(Backlog!$R$2:$R$180,MATCH($D90,Backlog!$A$2:$A$180,0))),INDEX(Backlog!$R$2:$R$180,MATCH($D90,Backlog!$A$2:$A$180,0)),"")</t>
  </si>
  <si>
    <t>=IF(ISNUMBER(INDEX(Backlog!$AT$2:$AT$180,MATCH($D90,Backlog!$A$2:$A$180,0))),INDEX(Backlog!$AT$2:$AT$180,MATCH($D90,Backlog!$A$2:$A$180,0)),"")</t>
  </si>
  <si>
    <t>G91</t>
  </si>
  <si>
    <t>=IF(ISNUMBER(INDEX(Backlog!$J$2:$J$180,MATCH($D91,Backlog!$A$2:$A$180,0))),INDEX(Backlog!$J$2:$J$180,MATCH($D91,Backlog!$A$2:$A$180,0)),"")</t>
  </si>
  <si>
    <t>=IF(ISNUMBER(INDEX(Backlog!$AS$2:$AS$180,MATCH($D91,Backlog!$A$2:$A$180,0))),INDEX(Backlog!$AS$2:$AS$180,MATCH($D91,Backlog!$A$2:$A$180,0)),"")</t>
  </si>
  <si>
    <t>H91</t>
  </si>
  <si>
    <t>=IF(ISNUMBER(INDEX(Backlog!$R$2:$R$180,MATCH($D91,Backlog!$A$2:$A$180,0))),INDEX(Backlog!$R$2:$R$180,MATCH($D91,Backlog!$A$2:$A$180,0)),"")</t>
  </si>
  <si>
    <t>=IF(ISNUMBER(INDEX(Backlog!$AT$2:$AT$180,MATCH($D91,Backlog!$A$2:$A$180,0))),INDEX(Backlog!$AT$2:$AT$180,MATCH($D91,Backlog!$A$2:$A$180,0)),"")</t>
  </si>
  <si>
    <t>G92</t>
  </si>
  <si>
    <t>=IF(ISNUMBER(INDEX(Backlog!$J$2:$J$180,MATCH($D92,Backlog!$A$2:$A$180,0))),INDEX(Backlog!$J$2:$J$180,MATCH($D92,Backlog!$A$2:$A$180,0)),"")</t>
  </si>
  <si>
    <t>=IF(ISNUMBER(INDEX(Backlog!$AS$2:$AS$180,MATCH($D92,Backlog!$A$2:$A$180,0))),INDEX(Backlog!$AS$2:$AS$180,MATCH($D92,Backlog!$A$2:$A$180,0)),"")</t>
  </si>
  <si>
    <t>H92</t>
  </si>
  <si>
    <t>=IF(ISNUMBER(INDEX(Backlog!$R$2:$R$180,MATCH($D92,Backlog!$A$2:$A$180,0))),INDEX(Backlog!$R$2:$R$180,MATCH($D92,Backlog!$A$2:$A$180,0)),"")</t>
  </si>
  <si>
    <t>=IF(ISNUMBER(INDEX(Backlog!$AT$2:$AT$180,MATCH($D92,Backlog!$A$2:$A$180,0))),INDEX(Backlog!$AT$2:$AT$180,MATCH($D92,Backlog!$A$2:$A$180,0)),"")</t>
  </si>
  <si>
    <t>G93</t>
  </si>
  <si>
    <t>=IF(ISNUMBER(INDEX(Backlog!$J$2:$J$180,MATCH($D93,Backlog!$A$2:$A$180,0))),INDEX(Backlog!$J$2:$J$180,MATCH($D93,Backlog!$A$2:$A$180,0)),"")</t>
  </si>
  <si>
    <t>=IF(ISNUMBER(INDEX(Backlog!$AS$2:$AS$180,MATCH($D93,Backlog!$A$2:$A$180,0))),INDEX(Backlog!$AS$2:$AS$180,MATCH($D93,Backlog!$A$2:$A$180,0)),"")</t>
  </si>
  <si>
    <t>H93</t>
  </si>
  <si>
    <t>=IF(ISNUMBER(INDEX(Backlog!$R$2:$R$180,MATCH($D93,Backlog!$A$2:$A$180,0))),INDEX(Backlog!$R$2:$R$180,MATCH($D93,Backlog!$A$2:$A$180,0)),"")</t>
  </si>
  <si>
    <t>=IF(ISNUMBER(INDEX(Backlog!$AT$2:$AT$180,MATCH($D93,Backlog!$A$2:$A$180,0))),INDEX(Backlog!$AT$2:$AT$180,MATCH($D93,Backlog!$A$2:$A$180,0)),"")</t>
  </si>
  <si>
    <t>G94</t>
  </si>
  <si>
    <t>=IF(ISNUMBER(INDEX(Backlog!$J$2:$J$180,MATCH($D94,Backlog!$A$2:$A$180,0))),INDEX(Backlog!$J$2:$J$180,MATCH($D94,Backlog!$A$2:$A$180,0)),"")</t>
  </si>
  <si>
    <t>=IF(ISNUMBER(INDEX(Backlog!$AS$2:$AS$180,MATCH($D94,Backlog!$A$2:$A$180,0))),INDEX(Backlog!$AS$2:$AS$180,MATCH($D94,Backlog!$A$2:$A$180,0)),"")</t>
  </si>
  <si>
    <t>H94</t>
  </si>
  <si>
    <t>=IF(ISNUMBER(INDEX(Backlog!$R$2:$R$180,MATCH($D94,Backlog!$A$2:$A$180,0))),INDEX(Backlog!$R$2:$R$180,MATCH($D94,Backlog!$A$2:$A$180,0)),"")</t>
  </si>
  <si>
    <t>=IF(ISNUMBER(INDEX(Backlog!$AT$2:$AT$180,MATCH($D94,Backlog!$A$2:$A$180,0))),INDEX(Backlog!$AT$2:$AT$180,MATCH($D94,Backlog!$A$2:$A$180,0)),"")</t>
  </si>
  <si>
    <t>G95</t>
  </si>
  <si>
    <t>=IF(ISNUMBER(INDEX(Backlog!$J$2:$J$180,MATCH($D95,Backlog!$A$2:$A$180,0))),INDEX(Backlog!$J$2:$J$180,MATCH($D95,Backlog!$A$2:$A$180,0)),"")</t>
  </si>
  <si>
    <t>=IF(ISNUMBER(INDEX(Backlog!$AS$2:$AS$180,MATCH($D95,Backlog!$A$2:$A$180,0))),INDEX(Backlog!$AS$2:$AS$180,MATCH($D95,Backlog!$A$2:$A$180,0)),"")</t>
  </si>
  <si>
    <t>H95</t>
  </si>
  <si>
    <t>=IF(ISNUMBER(INDEX(Backlog!$R$2:$R$180,MATCH($D95,Backlog!$A$2:$A$180,0))),INDEX(Backlog!$R$2:$R$180,MATCH($D95,Backlog!$A$2:$A$180,0)),"")</t>
  </si>
  <si>
    <t>=IF(ISNUMBER(INDEX(Backlog!$AT$2:$AT$180,MATCH($D95,Backlog!$A$2:$A$180,0))),INDEX(Backlog!$AT$2:$AT$180,MATCH($D95,Backlog!$A$2:$A$180,0)),"")</t>
  </si>
  <si>
    <t>G96</t>
  </si>
  <si>
    <t>=IF(ISNUMBER(INDEX(Backlog!$J$2:$J$180,MATCH($D96,Backlog!$A$2:$A$180,0))),INDEX(Backlog!$J$2:$J$180,MATCH($D96,Backlog!$A$2:$A$180,0)),"")</t>
  </si>
  <si>
    <t>=IF(ISNUMBER(INDEX(Backlog!$AS$2:$AS$180,MATCH($D96,Backlog!$A$2:$A$180,0))),INDEX(Backlog!$AS$2:$AS$180,MATCH($D96,Backlog!$A$2:$A$180,0)),"")</t>
  </si>
  <si>
    <t>H96</t>
  </si>
  <si>
    <t>=IF(ISNUMBER(INDEX(Backlog!$R$2:$R$180,MATCH($D96,Backlog!$A$2:$A$180,0))),INDEX(Backlog!$R$2:$R$180,MATCH($D96,Backlog!$A$2:$A$180,0)),"")</t>
  </si>
  <si>
    <t>=IF(ISNUMBER(INDEX(Backlog!$AT$2:$AT$180,MATCH($D96,Backlog!$A$2:$A$180,0))),INDEX(Backlog!$AT$2:$AT$180,MATCH($D96,Backlog!$A$2:$A$180,0)),"")</t>
  </si>
  <si>
    <t>G97</t>
  </si>
  <si>
    <t>=IF(ISNUMBER(INDEX(Backlog!$J$2:$J$180,MATCH($D97,Backlog!$A$2:$A$180,0))),INDEX(Backlog!$J$2:$J$180,MATCH($D97,Backlog!$A$2:$A$180,0)),"")</t>
  </si>
  <si>
    <t>=IF(ISNUMBER(INDEX(Backlog!$AS$2:$AS$180,MATCH($D97,Backlog!$A$2:$A$180,0))),INDEX(Backlog!$AS$2:$AS$180,MATCH($D97,Backlog!$A$2:$A$180,0)),"")</t>
  </si>
  <si>
    <t>H97</t>
  </si>
  <si>
    <t>=IF(ISNUMBER(INDEX(Backlog!$R$2:$R$180,MATCH($D97,Backlog!$A$2:$A$180,0))),INDEX(Backlog!$R$2:$R$180,MATCH($D97,Backlog!$A$2:$A$180,0)),"")</t>
  </si>
  <si>
    <t>=IF(ISNUMBER(INDEX(Backlog!$AT$2:$AT$180,MATCH($D97,Backlog!$A$2:$A$180,0))),INDEX(Backlog!$AT$2:$AT$180,MATCH($D97,Backlog!$A$2:$A$180,0)),"")</t>
  </si>
  <si>
    <t>G98</t>
  </si>
  <si>
    <t>=IF(ISNUMBER(INDEX(Backlog!$J$2:$J$180,MATCH($D98,Backlog!$A$2:$A$180,0))),INDEX(Backlog!$J$2:$J$180,MATCH($D98,Backlog!$A$2:$A$180,0)),"")</t>
  </si>
  <si>
    <t>=IF(ISNUMBER(INDEX(Backlog!$AS$2:$AS$180,MATCH($D98,Backlog!$A$2:$A$180,0))),INDEX(Backlog!$AS$2:$AS$180,MATCH($D98,Backlog!$A$2:$A$180,0)),"")</t>
  </si>
  <si>
    <t>H98</t>
  </si>
  <si>
    <t>=IF(ISNUMBER(INDEX(Backlog!$R$2:$R$180,MATCH($D98,Backlog!$A$2:$A$180,0))),INDEX(Backlog!$R$2:$R$180,MATCH($D98,Backlog!$A$2:$A$180,0)),"")</t>
  </si>
  <si>
    <t>=IF(ISNUMBER(INDEX(Backlog!$AT$2:$AT$180,MATCH($D98,Backlog!$A$2:$A$180,0))),INDEX(Backlog!$AT$2:$AT$180,MATCH($D98,Backlog!$A$2:$A$180,0)),"")</t>
  </si>
  <si>
    <t>G99</t>
  </si>
  <si>
    <t>=IF(ISNUMBER(INDEX(Backlog!$J$2:$J$180,MATCH($D99,Backlog!$A$2:$A$180,0))),INDEX(Backlog!$J$2:$J$180,MATCH($D99,Backlog!$A$2:$A$180,0)),"")</t>
  </si>
  <si>
    <t>=IF(ISNUMBER(INDEX(Backlog!$AS$2:$AS$180,MATCH($D99,Backlog!$A$2:$A$180,0))),INDEX(Backlog!$AS$2:$AS$180,MATCH($D99,Backlog!$A$2:$A$180,0)),"")</t>
  </si>
  <si>
    <t>H99</t>
  </si>
  <si>
    <t>=IF(ISNUMBER(INDEX(Backlog!$R$2:$R$180,MATCH($D99,Backlog!$A$2:$A$180,0))),INDEX(Backlog!$R$2:$R$180,MATCH($D99,Backlog!$A$2:$A$180,0)),"")</t>
  </si>
  <si>
    <t>=IF(ISNUMBER(INDEX(Backlog!$AT$2:$AT$180,MATCH($D99,Backlog!$A$2:$A$180,0))),INDEX(Backlog!$AT$2:$AT$180,MATCH($D99,Backlog!$A$2:$A$180,0)),"")</t>
  </si>
  <si>
    <t>G100</t>
  </si>
  <si>
    <t>=IF(ISNUMBER(INDEX(Backlog!$J$2:$J$180,MATCH($D100,Backlog!$A$2:$A$180,0))),INDEX(Backlog!$J$2:$J$180,MATCH($D100,Backlog!$A$2:$A$180,0)),"")</t>
  </si>
  <si>
    <t>=IF(ISNUMBER(INDEX(Backlog!$AS$2:$AS$180,MATCH($D100,Backlog!$A$2:$A$180,0))),INDEX(Backlog!$AS$2:$AS$180,MATCH($D100,Backlog!$A$2:$A$180,0)),"")</t>
  </si>
  <si>
    <t>H100</t>
  </si>
  <si>
    <t>=IF(ISNUMBER(INDEX(Backlog!$R$2:$R$180,MATCH($D100,Backlog!$A$2:$A$180,0))),INDEX(Backlog!$R$2:$R$180,MATCH($D100,Backlog!$A$2:$A$180,0)),"")</t>
  </si>
  <si>
    <t>=IF(ISNUMBER(INDEX(Backlog!$AT$2:$AT$180,MATCH($D100,Backlog!$A$2:$A$180,0))),INDEX(Backlog!$AT$2:$AT$180,MATCH($D100,Backlog!$A$2:$A$180,0)),"")</t>
  </si>
  <si>
    <t>G101</t>
  </si>
  <si>
    <t>=IF(ISNUMBER(INDEX(Backlog!$J$2:$J$180,MATCH($D101,Backlog!$A$2:$A$180,0))),INDEX(Backlog!$J$2:$J$180,MATCH($D101,Backlog!$A$2:$A$180,0)),"")</t>
  </si>
  <si>
    <t>=IF(ISNUMBER(INDEX(Backlog!$AS$2:$AS$180,MATCH($D101,Backlog!$A$2:$A$180,0))),INDEX(Backlog!$AS$2:$AS$180,MATCH($D101,Backlog!$A$2:$A$180,0)),"")</t>
  </si>
  <si>
    <t>H101</t>
  </si>
  <si>
    <t>=IF(ISNUMBER(INDEX(Backlog!$R$2:$R$180,MATCH($D101,Backlog!$A$2:$A$180,0))),INDEX(Backlog!$R$2:$R$180,MATCH($D101,Backlog!$A$2:$A$180,0)),"")</t>
  </si>
  <si>
    <t>=IF(ISNUMBER(INDEX(Backlog!$AT$2:$AT$180,MATCH($D101,Backlog!$A$2:$A$180,0))),INDEX(Backlog!$AT$2:$AT$180,MATCH($D101,Backlog!$A$2:$A$180,0)),"")</t>
  </si>
  <si>
    <t>G102</t>
  </si>
  <si>
    <t>=IF(ISNUMBER(INDEX(Backlog!$J$2:$J$180,MATCH($D102,Backlog!$A$2:$A$180,0))),INDEX(Backlog!$J$2:$J$180,MATCH($D102,Backlog!$A$2:$A$180,0)),"")</t>
  </si>
  <si>
    <t>=IF(ISNUMBER(INDEX(Backlog!$AS$2:$AS$180,MATCH($D102,Backlog!$A$2:$A$180,0))),INDEX(Backlog!$AS$2:$AS$180,MATCH($D102,Backlog!$A$2:$A$180,0)),"")</t>
  </si>
  <si>
    <t>H102</t>
  </si>
  <si>
    <t>=IF(ISNUMBER(INDEX(Backlog!$R$2:$R$180,MATCH($D102,Backlog!$A$2:$A$180,0))),INDEX(Backlog!$R$2:$R$180,MATCH($D102,Backlog!$A$2:$A$180,0)),"")</t>
  </si>
  <si>
    <t>=IF(ISNUMBER(INDEX(Backlog!$AT$2:$AT$180,MATCH($D102,Backlog!$A$2:$A$180,0))),INDEX(Backlog!$AT$2:$AT$180,MATCH($D102,Backlog!$A$2:$A$180,0)),"")</t>
  </si>
  <si>
    <t>G103</t>
  </si>
  <si>
    <t>=IF(ISNUMBER(INDEX(Backlog!$J$2:$J$180,MATCH($D103,Backlog!$A$2:$A$180,0))),INDEX(Backlog!$J$2:$J$180,MATCH($D103,Backlog!$A$2:$A$180,0)),"")</t>
  </si>
  <si>
    <t>=IF(ISNUMBER(INDEX(Backlog!$AS$2:$AS$180,MATCH($D103,Backlog!$A$2:$A$180,0))),INDEX(Backlog!$AS$2:$AS$180,MATCH($D103,Backlog!$A$2:$A$180,0)),"")</t>
  </si>
  <si>
    <t>H103</t>
  </si>
  <si>
    <t>=IF(ISNUMBER(INDEX(Backlog!$R$2:$R$180,MATCH($D103,Backlog!$A$2:$A$180,0))),INDEX(Backlog!$R$2:$R$180,MATCH($D103,Backlog!$A$2:$A$180,0)),"")</t>
  </si>
  <si>
    <t>=IF(ISNUMBER(INDEX(Backlog!$AT$2:$AT$180,MATCH($D103,Backlog!$A$2:$A$180,0))),INDEX(Backlog!$AT$2:$AT$180,MATCH($D103,Backlog!$A$2:$A$180,0)),"")</t>
  </si>
  <si>
    <t>G104</t>
  </si>
  <si>
    <t>=IF(ISNUMBER(INDEX(Backlog!$J$2:$J$180,MATCH($D104,Backlog!$A$2:$A$180,0))),INDEX(Backlog!$J$2:$J$180,MATCH($D104,Backlog!$A$2:$A$180,0)),"")</t>
  </si>
  <si>
    <t>=IF(ISNUMBER(INDEX(Backlog!$AS$2:$AS$180,MATCH($D104,Backlog!$A$2:$A$180,0))),INDEX(Backlog!$AS$2:$AS$180,MATCH($D104,Backlog!$A$2:$A$180,0)),"")</t>
  </si>
  <si>
    <t>H104</t>
  </si>
  <si>
    <t>=IF(ISNUMBER(INDEX(Backlog!$R$2:$R$180,MATCH($D104,Backlog!$A$2:$A$180,0))),INDEX(Backlog!$R$2:$R$180,MATCH($D104,Backlog!$A$2:$A$180,0)),"")</t>
  </si>
  <si>
    <t>=IF(ISNUMBER(INDEX(Backlog!$AT$2:$AT$180,MATCH($D104,Backlog!$A$2:$A$180,0))),INDEX(Backlog!$AT$2:$AT$180,MATCH($D104,Backlog!$A$2:$A$180,0)),"")</t>
  </si>
  <si>
    <t>G105</t>
  </si>
  <si>
    <t>=IF(ISNUMBER(INDEX(Backlog!$J$2:$J$180,MATCH($D105,Backlog!$A$2:$A$180,0))),INDEX(Backlog!$J$2:$J$180,MATCH($D105,Backlog!$A$2:$A$180,0)),"")</t>
  </si>
  <si>
    <t>=IF(ISNUMBER(INDEX(Backlog!$AS$2:$AS$180,MATCH($D105,Backlog!$A$2:$A$180,0))),INDEX(Backlog!$AS$2:$AS$180,MATCH($D105,Backlog!$A$2:$A$180,0)),"")</t>
  </si>
  <si>
    <t>H105</t>
  </si>
  <si>
    <t>=IF(ISNUMBER(INDEX(Backlog!$R$2:$R$180,MATCH($D105,Backlog!$A$2:$A$180,0))),INDEX(Backlog!$R$2:$R$180,MATCH($D105,Backlog!$A$2:$A$180,0)),"")</t>
  </si>
  <si>
    <t>=IF(ISNUMBER(INDEX(Backlog!$AT$2:$AT$180,MATCH($D105,Backlog!$A$2:$A$180,0))),INDEX(Backlog!$AT$2:$AT$180,MATCH($D105,Backlog!$A$2:$A$180,0)),"")</t>
  </si>
  <si>
    <t>G106</t>
  </si>
  <si>
    <t>=IF(ISNUMBER(INDEX(Backlog!$J$2:$J$180,MATCH($D106,Backlog!$A$2:$A$180,0))),INDEX(Backlog!$J$2:$J$180,MATCH($D106,Backlog!$A$2:$A$180,0)),"")</t>
  </si>
  <si>
    <t>=IF(ISNUMBER(INDEX(Backlog!$AS$2:$AS$180,MATCH($D106,Backlog!$A$2:$A$180,0))),INDEX(Backlog!$AS$2:$AS$180,MATCH($D106,Backlog!$A$2:$A$180,0)),"")</t>
  </si>
  <si>
    <t>H106</t>
  </si>
  <si>
    <t>=IF(ISNUMBER(INDEX(Backlog!$R$2:$R$180,MATCH($D106,Backlog!$A$2:$A$180,0))),INDEX(Backlog!$R$2:$R$180,MATCH($D106,Backlog!$A$2:$A$180,0)),"")</t>
  </si>
  <si>
    <t>=IF(ISNUMBER(INDEX(Backlog!$AT$2:$AT$180,MATCH($D106,Backlog!$A$2:$A$180,0))),INDEX(Backlog!$AT$2:$AT$180,MATCH($D106,Backlog!$A$2:$A$180,0)),"")</t>
  </si>
  <si>
    <t>G107</t>
  </si>
  <si>
    <t>=IF(ISNUMBER(INDEX(Backlog!$J$2:$J$180,MATCH($D107,Backlog!$A$2:$A$180,0))),INDEX(Backlog!$J$2:$J$180,MATCH($D107,Backlog!$A$2:$A$180,0)),"")</t>
  </si>
  <si>
    <t>=IF(ISNUMBER(INDEX(Backlog!$AS$2:$AS$180,MATCH($D107,Backlog!$A$2:$A$180,0))),INDEX(Backlog!$AS$2:$AS$180,MATCH($D107,Backlog!$A$2:$A$180,0)),"")</t>
  </si>
  <si>
    <t>H107</t>
  </si>
  <si>
    <t>=IF(ISNUMBER(INDEX(Backlog!$R$2:$R$180,MATCH($D107,Backlog!$A$2:$A$180,0))),INDEX(Backlog!$R$2:$R$180,MATCH($D107,Backlog!$A$2:$A$180,0)),"")</t>
  </si>
  <si>
    <t>=IF(ISNUMBER(INDEX(Backlog!$AT$2:$AT$180,MATCH($D107,Backlog!$A$2:$A$180,0))),INDEX(Backlog!$AT$2:$AT$180,MATCH($D107,Backlog!$A$2:$A$180,0)),"")</t>
  </si>
  <si>
    <t>G108</t>
  </si>
  <si>
    <t>=IF(ISNUMBER(INDEX(Backlog!$J$2:$J$180,MATCH($D108,Backlog!$A$2:$A$180,0))),INDEX(Backlog!$J$2:$J$180,MATCH($D108,Backlog!$A$2:$A$180,0)),"")</t>
  </si>
  <si>
    <t>=IF(ISNUMBER(INDEX(Backlog!$AS$2:$AS$180,MATCH($D108,Backlog!$A$2:$A$180,0))),INDEX(Backlog!$AS$2:$AS$180,MATCH($D108,Backlog!$A$2:$A$180,0)),"")</t>
  </si>
  <si>
    <t>H108</t>
  </si>
  <si>
    <t>=IF(ISNUMBER(INDEX(Backlog!$R$2:$R$180,MATCH($D108,Backlog!$A$2:$A$180,0))),INDEX(Backlog!$R$2:$R$180,MATCH($D108,Backlog!$A$2:$A$180,0)),"")</t>
  </si>
  <si>
    <t>=IF(ISNUMBER(INDEX(Backlog!$AT$2:$AT$180,MATCH($D108,Backlog!$A$2:$A$180,0))),INDEX(Backlog!$AT$2:$AT$180,MATCH($D108,Backlog!$A$2:$A$180,0)),"")</t>
  </si>
  <si>
    <t>G109</t>
  </si>
  <si>
    <t>=IF(ISNUMBER(INDEX(Backlog!$J$2:$J$180,MATCH($D109,Backlog!$A$2:$A$180,0))),INDEX(Backlog!$J$2:$J$180,MATCH($D109,Backlog!$A$2:$A$180,0)),"")</t>
  </si>
  <si>
    <t>=IF(ISNUMBER(INDEX(Backlog!$AS$2:$AS$180,MATCH($D109,Backlog!$A$2:$A$180,0))),INDEX(Backlog!$AS$2:$AS$180,MATCH($D109,Backlog!$A$2:$A$180,0)),"")</t>
  </si>
  <si>
    <t>H109</t>
  </si>
  <si>
    <t>=IF(ISNUMBER(INDEX(Backlog!$R$2:$R$180,MATCH($D109,Backlog!$A$2:$A$180,0))),INDEX(Backlog!$R$2:$R$180,MATCH($D109,Backlog!$A$2:$A$180,0)),"")</t>
  </si>
  <si>
    <t>=IF(ISNUMBER(INDEX(Backlog!$AT$2:$AT$180,MATCH($D109,Backlog!$A$2:$A$180,0))),INDEX(Backlog!$AT$2:$AT$180,MATCH($D109,Backlog!$A$2:$A$180,0)),"")</t>
  </si>
  <si>
    <t>G110</t>
  </si>
  <si>
    <t>=IF(ISNUMBER(INDEX(Backlog!$J$2:$J$180,MATCH($D110,Backlog!$A$2:$A$180,0))),INDEX(Backlog!$J$2:$J$180,MATCH($D110,Backlog!$A$2:$A$180,0)),"")</t>
  </si>
  <si>
    <t>=IF(ISNUMBER(INDEX(Backlog!$AS$2:$AS$180,MATCH($D110,Backlog!$A$2:$A$180,0))),INDEX(Backlog!$AS$2:$AS$180,MATCH($D110,Backlog!$A$2:$A$180,0)),"")</t>
  </si>
  <si>
    <t>H110</t>
  </si>
  <si>
    <t>=IF(ISNUMBER(INDEX(Backlog!$R$2:$R$180,MATCH($D110,Backlog!$A$2:$A$180,0))),INDEX(Backlog!$R$2:$R$180,MATCH($D110,Backlog!$A$2:$A$180,0)),"")</t>
  </si>
  <si>
    <t>=IF(ISNUMBER(INDEX(Backlog!$AT$2:$AT$180,MATCH($D110,Backlog!$A$2:$A$180,0))),INDEX(Backlog!$AT$2:$AT$180,MATCH($D110,Backlog!$A$2:$A$180,0)),"")</t>
  </si>
  <si>
    <t>G111</t>
  </si>
  <si>
    <t>=IF(ISNUMBER(INDEX(Backlog!$J$2:$J$180,MATCH($D111,Backlog!$A$2:$A$180,0))),INDEX(Backlog!$J$2:$J$180,MATCH($D111,Backlog!$A$2:$A$180,0)),"")</t>
  </si>
  <si>
    <t>=IF(ISNUMBER(INDEX(Backlog!$AS$2:$AS$180,MATCH($D111,Backlog!$A$2:$A$180,0))),INDEX(Backlog!$AS$2:$AS$180,MATCH($D111,Backlog!$A$2:$A$180,0)),"")</t>
  </si>
  <si>
    <t>H111</t>
  </si>
  <si>
    <t>=IF(ISNUMBER(INDEX(Backlog!$R$2:$R$180,MATCH($D111,Backlog!$A$2:$A$180,0))),INDEX(Backlog!$R$2:$R$180,MATCH($D111,Backlog!$A$2:$A$180,0)),"")</t>
  </si>
  <si>
    <t>=IF(ISNUMBER(INDEX(Backlog!$AT$2:$AT$180,MATCH($D111,Backlog!$A$2:$A$180,0))),INDEX(Backlog!$AT$2:$AT$180,MATCH($D111,Backlog!$A$2:$A$180,0)),"")</t>
  </si>
  <si>
    <t>G112</t>
  </si>
  <si>
    <t>=IF(ISNUMBER(INDEX(Backlog!$J$2:$J$180,MATCH($D112,Backlog!$A$2:$A$180,0))),INDEX(Backlog!$J$2:$J$180,MATCH($D112,Backlog!$A$2:$A$180,0)),"")</t>
  </si>
  <si>
    <t>=IF(ISNUMBER(INDEX(Backlog!$AS$2:$AS$180,MATCH($D112,Backlog!$A$2:$A$180,0))),INDEX(Backlog!$AS$2:$AS$180,MATCH($D112,Backlog!$A$2:$A$180,0)),"")</t>
  </si>
  <si>
    <t>H112</t>
  </si>
  <si>
    <t>=IF(ISNUMBER(INDEX(Backlog!$R$2:$R$180,MATCH($D112,Backlog!$A$2:$A$180,0))),INDEX(Backlog!$R$2:$R$180,MATCH($D112,Backlog!$A$2:$A$180,0)),"")</t>
  </si>
  <si>
    <t>=IF(ISNUMBER(INDEX(Backlog!$AT$2:$AT$180,MATCH($D112,Backlog!$A$2:$A$180,0))),INDEX(Backlog!$AT$2:$AT$180,MATCH($D112,Backlog!$A$2:$A$180,0)),"")</t>
  </si>
  <si>
    <t>G113</t>
  </si>
  <si>
    <t>=IF(ISNUMBER(INDEX(Backlog!$J$2:$J$180,MATCH($D113,Backlog!$A$2:$A$180,0))),INDEX(Backlog!$J$2:$J$180,MATCH($D113,Backlog!$A$2:$A$180,0)),"")</t>
  </si>
  <si>
    <t>=IF(ISNUMBER(INDEX(Backlog!$AS$2:$AS$180,MATCH($D113,Backlog!$A$2:$A$180,0))),INDEX(Backlog!$AS$2:$AS$180,MATCH($D113,Backlog!$A$2:$A$180,0)),"")</t>
  </si>
  <si>
    <t>H113</t>
  </si>
  <si>
    <t>=IF(ISNUMBER(INDEX(Backlog!$R$2:$R$180,MATCH($D113,Backlog!$A$2:$A$180,0))),INDEX(Backlog!$R$2:$R$180,MATCH($D113,Backlog!$A$2:$A$180,0)),"")</t>
  </si>
  <si>
    <t>=IF(ISNUMBER(INDEX(Backlog!$AT$2:$AT$180,MATCH($D113,Backlog!$A$2:$A$180,0))),INDEX(Backlog!$AT$2:$AT$180,MATCH($D113,Backlog!$A$2:$A$180,0)),"")</t>
  </si>
  <si>
    <t>G114</t>
  </si>
  <si>
    <t>=IF(ISNUMBER(INDEX(Backlog!$J$2:$J$180,MATCH($D114,Backlog!$A$2:$A$180,0))),INDEX(Backlog!$J$2:$J$180,MATCH($D114,Backlog!$A$2:$A$180,0)),"")</t>
  </si>
  <si>
    <t>=IF(ISNUMBER(INDEX(Backlog!$AS$2:$AS$180,MATCH($D114,Backlog!$A$2:$A$180,0))),INDEX(Backlog!$AS$2:$AS$180,MATCH($D114,Backlog!$A$2:$A$180,0)),"")</t>
  </si>
  <si>
    <t>H114</t>
  </si>
  <si>
    <t>=IF(ISNUMBER(INDEX(Backlog!$R$2:$R$180,MATCH($D114,Backlog!$A$2:$A$180,0))),INDEX(Backlog!$R$2:$R$180,MATCH($D114,Backlog!$A$2:$A$180,0)),"")</t>
  </si>
  <si>
    <t>=IF(ISNUMBER(INDEX(Backlog!$AT$2:$AT$180,MATCH($D114,Backlog!$A$2:$A$180,0))),INDEX(Backlog!$AT$2:$AT$180,MATCH($D114,Backlog!$A$2:$A$180,0)),"")</t>
  </si>
  <si>
    <t>G115</t>
  </si>
  <si>
    <t>=IF(ISNUMBER(INDEX(Backlog!$J$2:$J$180,MATCH($D115,Backlog!$A$2:$A$180,0))),INDEX(Backlog!$J$2:$J$180,MATCH($D115,Backlog!$A$2:$A$180,0)),"")</t>
  </si>
  <si>
    <t>=IF(ISNUMBER(INDEX(Backlog!$AS$2:$AS$180,MATCH($D115,Backlog!$A$2:$A$180,0))),INDEX(Backlog!$AS$2:$AS$180,MATCH($D115,Backlog!$A$2:$A$180,0)),"")</t>
  </si>
  <si>
    <t>H115</t>
  </si>
  <si>
    <t>=IF(ISNUMBER(INDEX(Backlog!$R$2:$R$180,MATCH($D115,Backlog!$A$2:$A$180,0))),INDEX(Backlog!$R$2:$R$180,MATCH($D115,Backlog!$A$2:$A$180,0)),"")</t>
  </si>
  <si>
    <t>=IF(ISNUMBER(INDEX(Backlog!$AT$2:$AT$180,MATCH($D115,Backlog!$A$2:$A$180,0))),INDEX(Backlog!$AT$2:$AT$180,MATCH($D115,Backlog!$A$2:$A$180,0)),"")</t>
  </si>
  <si>
    <t>G116</t>
  </si>
  <si>
    <t>=IF(ISNUMBER(INDEX(Backlog!$J$2:$J$180,MATCH($D116,Backlog!$A$2:$A$180,0))),INDEX(Backlog!$J$2:$J$180,MATCH($D116,Backlog!$A$2:$A$180,0)),"")</t>
  </si>
  <si>
    <t>=IF(ISNUMBER(INDEX(Backlog!$AS$2:$AS$180,MATCH($D116,Backlog!$A$2:$A$180,0))),INDEX(Backlog!$AS$2:$AS$180,MATCH($D116,Backlog!$A$2:$A$180,0)),"")</t>
  </si>
  <si>
    <t>H116</t>
  </si>
  <si>
    <t>=IF(ISNUMBER(INDEX(Backlog!$R$2:$R$180,MATCH($D116,Backlog!$A$2:$A$180,0))),INDEX(Backlog!$R$2:$R$180,MATCH($D116,Backlog!$A$2:$A$180,0)),"")</t>
  </si>
  <si>
    <t>=IF(ISNUMBER(INDEX(Backlog!$AT$2:$AT$180,MATCH($D116,Backlog!$A$2:$A$180,0))),INDEX(Backlog!$AT$2:$AT$180,MATCH($D116,Backlog!$A$2:$A$180,0)),"")</t>
  </si>
  <si>
    <t>G117</t>
  </si>
  <si>
    <t>=IF(ISNUMBER(INDEX(Backlog!$J$2:$J$180,MATCH($D117,Backlog!$A$2:$A$180,0))),INDEX(Backlog!$J$2:$J$180,MATCH($D117,Backlog!$A$2:$A$180,0)),"")</t>
  </si>
  <si>
    <t>=IF(ISNUMBER(INDEX(Backlog!$AS$2:$AS$180,MATCH($D117,Backlog!$A$2:$A$180,0))),INDEX(Backlog!$AS$2:$AS$180,MATCH($D117,Backlog!$A$2:$A$180,0)),"")</t>
  </si>
  <si>
    <t>H117</t>
  </si>
  <si>
    <t>=IF(ISNUMBER(INDEX(Backlog!$R$2:$R$180,MATCH($D117,Backlog!$A$2:$A$180,0))),INDEX(Backlog!$R$2:$R$180,MATCH($D117,Backlog!$A$2:$A$180,0)),"")</t>
  </si>
  <si>
    <t>=IF(ISNUMBER(INDEX(Backlog!$AT$2:$AT$180,MATCH($D117,Backlog!$A$2:$A$180,0))),INDEX(Backlog!$AT$2:$AT$180,MATCH($D117,Backlog!$A$2:$A$180,0)),"")</t>
  </si>
  <si>
    <t>G118</t>
  </si>
  <si>
    <t>=IF(ISNUMBER(INDEX(Backlog!$J$2:$J$180,MATCH($D118,Backlog!$A$2:$A$180,0))),INDEX(Backlog!$J$2:$J$180,MATCH($D118,Backlog!$A$2:$A$180,0)),"")</t>
  </si>
  <si>
    <t>=IF(ISNUMBER(INDEX(Backlog!$AS$2:$AS$180,MATCH($D118,Backlog!$A$2:$A$180,0))),INDEX(Backlog!$AS$2:$AS$180,MATCH($D118,Backlog!$A$2:$A$180,0)),"")</t>
  </si>
  <si>
    <t>H118</t>
  </si>
  <si>
    <t>=IF(ISNUMBER(INDEX(Backlog!$R$2:$R$180,MATCH($D118,Backlog!$A$2:$A$180,0))),INDEX(Backlog!$R$2:$R$180,MATCH($D118,Backlog!$A$2:$A$180,0)),"")</t>
  </si>
  <si>
    <t>=IF(ISNUMBER(INDEX(Backlog!$AT$2:$AT$180,MATCH($D118,Backlog!$A$2:$A$180,0))),INDEX(Backlog!$AT$2:$AT$180,MATCH($D118,Backlog!$A$2:$A$180,0)),"")</t>
  </si>
  <si>
    <t>G119</t>
  </si>
  <si>
    <t>=IF(ISNUMBER(INDEX(Backlog!$J$2:$J$180,MATCH($D119,Backlog!$A$2:$A$180,0))),INDEX(Backlog!$J$2:$J$180,MATCH($D119,Backlog!$A$2:$A$180,0)),"")</t>
  </si>
  <si>
    <t>=IF(ISNUMBER(INDEX(Backlog!$AS$2:$AS$180,MATCH($D119,Backlog!$A$2:$A$180,0))),INDEX(Backlog!$AS$2:$AS$180,MATCH($D119,Backlog!$A$2:$A$180,0)),"")</t>
  </si>
  <si>
    <t>H119</t>
  </si>
  <si>
    <t>=IF(ISNUMBER(INDEX(Backlog!$R$2:$R$180,MATCH($D119,Backlog!$A$2:$A$180,0))),INDEX(Backlog!$R$2:$R$180,MATCH($D119,Backlog!$A$2:$A$180,0)),"")</t>
  </si>
  <si>
    <t>=IF(ISNUMBER(INDEX(Backlog!$AT$2:$AT$180,MATCH($D119,Backlog!$A$2:$A$180,0))),INDEX(Backlog!$AT$2:$AT$180,MATCH($D119,Backlog!$A$2:$A$180,0)),"")</t>
  </si>
  <si>
    <t>G120</t>
  </si>
  <si>
    <t>=IF(ISNUMBER(INDEX(Backlog!$J$2:$J$180,MATCH($D120,Backlog!$A$2:$A$180,0))),INDEX(Backlog!$J$2:$J$180,MATCH($D120,Backlog!$A$2:$A$180,0)),"")</t>
  </si>
  <si>
    <t>=IF(ISNUMBER(INDEX(Backlog!$AS$2:$AS$180,MATCH($D120,Backlog!$A$2:$A$180,0))),INDEX(Backlog!$AS$2:$AS$180,MATCH($D120,Backlog!$A$2:$A$180,0)),"")</t>
  </si>
  <si>
    <t>H120</t>
  </si>
  <si>
    <t>=IF(ISNUMBER(INDEX(Backlog!$R$2:$R$180,MATCH($D120,Backlog!$A$2:$A$180,0))),INDEX(Backlog!$R$2:$R$180,MATCH($D120,Backlog!$A$2:$A$180,0)),"")</t>
  </si>
  <si>
    <t>=IF(ISNUMBER(INDEX(Backlog!$AT$2:$AT$180,MATCH($D120,Backlog!$A$2:$A$180,0))),INDEX(Backlog!$AT$2:$AT$180,MATCH($D120,Backlog!$A$2:$A$180,0)),"")</t>
  </si>
  <si>
    <t>G121</t>
  </si>
  <si>
    <t>=IF(ISNUMBER(INDEX(Backlog!$J$2:$J$180,MATCH($D121,Backlog!$A$2:$A$180,0))),INDEX(Backlog!$J$2:$J$180,MATCH($D121,Backlog!$A$2:$A$180,0)),"")</t>
  </si>
  <si>
    <t>=IF(ISNUMBER(INDEX(Backlog!$AS$2:$AS$180,MATCH($D121,Backlog!$A$2:$A$180,0))),INDEX(Backlog!$AS$2:$AS$180,MATCH($D121,Backlog!$A$2:$A$180,0)),"")</t>
  </si>
  <si>
    <t>H121</t>
  </si>
  <si>
    <t>=IF(ISNUMBER(INDEX(Backlog!$R$2:$R$180,MATCH($D121,Backlog!$A$2:$A$180,0))),INDEX(Backlog!$R$2:$R$180,MATCH($D121,Backlog!$A$2:$A$180,0)),"")</t>
  </si>
  <si>
    <t>=IF(ISNUMBER(INDEX(Backlog!$AT$2:$AT$180,MATCH($D121,Backlog!$A$2:$A$180,0))),INDEX(Backlog!$AT$2:$AT$180,MATCH($D121,Backlog!$A$2:$A$180,0)),"")</t>
  </si>
  <si>
    <t>G122</t>
  </si>
  <si>
    <t>=IF(ISNUMBER(INDEX(Backlog!$J$2:$J$180,MATCH($D122,Backlog!$A$2:$A$180,0))),INDEX(Backlog!$J$2:$J$180,MATCH($D122,Backlog!$A$2:$A$180,0)),"")</t>
  </si>
  <si>
    <t>=IF(ISNUMBER(INDEX(Backlog!$AS$2:$AS$180,MATCH($D122,Backlog!$A$2:$A$180,0))),INDEX(Backlog!$AS$2:$AS$180,MATCH($D122,Backlog!$A$2:$A$180,0)),"")</t>
  </si>
  <si>
    <t>H122</t>
  </si>
  <si>
    <t>=IF(ISNUMBER(INDEX(Backlog!$R$2:$R$180,MATCH($D122,Backlog!$A$2:$A$180,0))),INDEX(Backlog!$R$2:$R$180,MATCH($D122,Backlog!$A$2:$A$180,0)),"")</t>
  </si>
  <si>
    <t>=IF(ISNUMBER(INDEX(Backlog!$AT$2:$AT$180,MATCH($D122,Backlog!$A$2:$A$180,0))),INDEX(Backlog!$AT$2:$AT$180,MATCH($D122,Backlog!$A$2:$A$180,0)),"")</t>
  </si>
  <si>
    <t>G123</t>
  </si>
  <si>
    <t>=IF(ISNUMBER(INDEX(Backlog!$J$2:$J$180,MATCH($D123,Backlog!$A$2:$A$180,0))),INDEX(Backlog!$J$2:$J$180,MATCH($D123,Backlog!$A$2:$A$180,0)),"")</t>
  </si>
  <si>
    <t>=IF(ISNUMBER(INDEX(Backlog!$AS$2:$AS$180,MATCH($D123,Backlog!$A$2:$A$180,0))),INDEX(Backlog!$AS$2:$AS$180,MATCH($D123,Backlog!$A$2:$A$180,0)),"")</t>
  </si>
  <si>
    <t>H123</t>
  </si>
  <si>
    <t>=IF(ISNUMBER(INDEX(Backlog!$R$2:$R$180,MATCH($D123,Backlog!$A$2:$A$180,0))),INDEX(Backlog!$R$2:$R$180,MATCH($D123,Backlog!$A$2:$A$180,0)),"")</t>
  </si>
  <si>
    <t>=IF(ISNUMBER(INDEX(Backlog!$AT$2:$AT$180,MATCH($D123,Backlog!$A$2:$A$180,0))),INDEX(Backlog!$AT$2:$AT$180,MATCH($D123,Backlog!$A$2:$A$180,0)),"")</t>
  </si>
  <si>
    <t>G124</t>
  </si>
  <si>
    <t>=IF(ISNUMBER(INDEX(Backlog!$J$2:$J$180,MATCH($D124,Backlog!$A$2:$A$180,0))),INDEX(Backlog!$J$2:$J$180,MATCH($D124,Backlog!$A$2:$A$180,0)),"")</t>
  </si>
  <si>
    <t>=IF(ISNUMBER(INDEX(Backlog!$AS$2:$AS$180,MATCH($D124,Backlog!$A$2:$A$180,0))),INDEX(Backlog!$AS$2:$AS$180,MATCH($D124,Backlog!$A$2:$A$180,0)),"")</t>
  </si>
  <si>
    <t>H124</t>
  </si>
  <si>
    <t>=IF(ISNUMBER(INDEX(Backlog!$R$2:$R$180,MATCH($D124,Backlog!$A$2:$A$180,0))),INDEX(Backlog!$R$2:$R$180,MATCH($D124,Backlog!$A$2:$A$180,0)),"")</t>
  </si>
  <si>
    <t>=IF(ISNUMBER(INDEX(Backlog!$AT$2:$AT$180,MATCH($D124,Backlog!$A$2:$A$180,0))),INDEX(Backlog!$AT$2:$AT$180,MATCH($D124,Backlog!$A$2:$A$180,0)),"")</t>
  </si>
  <si>
    <t>G125</t>
  </si>
  <si>
    <t>=IF(ISNUMBER(INDEX(Backlog!$J$2:$J$180,MATCH($D125,Backlog!$A$2:$A$180,0))),INDEX(Backlog!$J$2:$J$180,MATCH($D125,Backlog!$A$2:$A$180,0)),"")</t>
  </si>
  <si>
    <t>=IF(ISNUMBER(INDEX(Backlog!$AS$2:$AS$180,MATCH($D125,Backlog!$A$2:$A$180,0))),INDEX(Backlog!$AS$2:$AS$180,MATCH($D125,Backlog!$A$2:$A$180,0)),"")</t>
  </si>
  <si>
    <t>H125</t>
  </si>
  <si>
    <t>=IF(ISNUMBER(INDEX(Backlog!$R$2:$R$180,MATCH($D125,Backlog!$A$2:$A$180,0))),INDEX(Backlog!$R$2:$R$180,MATCH($D125,Backlog!$A$2:$A$180,0)),"")</t>
  </si>
  <si>
    <t>=IF(ISNUMBER(INDEX(Backlog!$AT$2:$AT$180,MATCH($D125,Backlog!$A$2:$A$180,0))),INDEX(Backlog!$AT$2:$AT$180,MATCH($D125,Backlog!$A$2:$A$180,0)),"")</t>
  </si>
  <si>
    <t>G126</t>
  </si>
  <si>
    <t>=IF(ISNUMBER(INDEX(Backlog!$J$2:$J$180,MATCH($D126,Backlog!$A$2:$A$180,0))),INDEX(Backlog!$J$2:$J$180,MATCH($D126,Backlog!$A$2:$A$180,0)),"")</t>
  </si>
  <si>
    <t>=IF(ISNUMBER(INDEX(Backlog!$AS$2:$AS$180,MATCH($D126,Backlog!$A$2:$A$180,0))),INDEX(Backlog!$AS$2:$AS$180,MATCH($D126,Backlog!$A$2:$A$180,0)),"")</t>
  </si>
  <si>
    <t>H126</t>
  </si>
  <si>
    <t>=IF(ISNUMBER(INDEX(Backlog!$R$2:$R$180,MATCH($D126,Backlog!$A$2:$A$180,0))),INDEX(Backlog!$R$2:$R$180,MATCH($D126,Backlog!$A$2:$A$180,0)),"")</t>
  </si>
  <si>
    <t>=IF(ISNUMBER(INDEX(Backlog!$AT$2:$AT$180,MATCH($D126,Backlog!$A$2:$A$180,0))),INDEX(Backlog!$AT$2:$AT$180,MATCH($D126,Backlog!$A$2:$A$180,0)),"")</t>
  </si>
  <si>
    <t>G127</t>
  </si>
  <si>
    <t>=IF(ISNUMBER(INDEX(Backlog!$J$2:$J$180,MATCH($D127,Backlog!$A$2:$A$180,0))),INDEX(Backlog!$J$2:$J$180,MATCH($D127,Backlog!$A$2:$A$180,0)),"")</t>
  </si>
  <si>
    <t>=IF(ISNUMBER(INDEX(Backlog!$AS$2:$AS$180,MATCH($D127,Backlog!$A$2:$A$180,0))),INDEX(Backlog!$AS$2:$AS$180,MATCH($D127,Backlog!$A$2:$A$180,0)),"")</t>
  </si>
  <si>
    <t>H127</t>
  </si>
  <si>
    <t>=IF(ISNUMBER(INDEX(Backlog!$R$2:$R$180,MATCH($D127,Backlog!$A$2:$A$180,0))),INDEX(Backlog!$R$2:$R$180,MATCH($D127,Backlog!$A$2:$A$180,0)),"")</t>
  </si>
  <si>
    <t>=IF(ISNUMBER(INDEX(Backlog!$AT$2:$AT$180,MATCH($D127,Backlog!$A$2:$A$180,0))),INDEX(Backlog!$AT$2:$AT$180,MATCH($D127,Backlog!$A$2:$A$180,0)),"")</t>
  </si>
  <si>
    <t>G128</t>
  </si>
  <si>
    <t>=IF(ISNUMBER(INDEX(Backlog!$J$2:$J$180,MATCH($D128,Backlog!$A$2:$A$180,0))),INDEX(Backlog!$J$2:$J$180,MATCH($D128,Backlog!$A$2:$A$180,0)),"")</t>
  </si>
  <si>
    <t>=IF(ISNUMBER(INDEX(Backlog!$AS$2:$AS$180,MATCH($D128,Backlog!$A$2:$A$180,0))),INDEX(Backlog!$AS$2:$AS$180,MATCH($D128,Backlog!$A$2:$A$180,0)),"")</t>
  </si>
  <si>
    <t>H128</t>
  </si>
  <si>
    <t>=IF(ISNUMBER(INDEX(Backlog!$R$2:$R$180,MATCH($D128,Backlog!$A$2:$A$180,0))),INDEX(Backlog!$R$2:$R$180,MATCH($D128,Backlog!$A$2:$A$180,0)),"")</t>
  </si>
  <si>
    <t>=IF(ISNUMBER(INDEX(Backlog!$AT$2:$AT$180,MATCH($D128,Backlog!$A$2:$A$180,0))),INDEX(Backlog!$AT$2:$AT$180,MATCH($D128,Backlog!$A$2:$A$180,0)),"")</t>
  </si>
  <si>
    <t>G129</t>
  </si>
  <si>
    <t>=IF(ISNUMBER(INDEX(Backlog!$J$2:$J$180,MATCH($D129,Backlog!$A$2:$A$180,0))),INDEX(Backlog!$J$2:$J$180,MATCH($D129,Backlog!$A$2:$A$180,0)),"")</t>
  </si>
  <si>
    <t>=IF(ISNUMBER(INDEX(Backlog!$AS$2:$AS$180,MATCH($D129,Backlog!$A$2:$A$180,0))),INDEX(Backlog!$AS$2:$AS$180,MATCH($D129,Backlog!$A$2:$A$180,0)),"")</t>
  </si>
  <si>
    <t>H129</t>
  </si>
  <si>
    <t>=IF(ISNUMBER(INDEX(Backlog!$R$2:$R$180,MATCH($D129,Backlog!$A$2:$A$180,0))),INDEX(Backlog!$R$2:$R$180,MATCH($D129,Backlog!$A$2:$A$180,0)),"")</t>
  </si>
  <si>
    <t>=IF(ISNUMBER(INDEX(Backlog!$AT$2:$AT$180,MATCH($D129,Backlog!$A$2:$A$180,0))),INDEX(Backlog!$AT$2:$AT$180,MATCH($D129,Backlog!$A$2:$A$180,0)),"")</t>
  </si>
  <si>
    <t>G130</t>
  </si>
  <si>
    <t>=IF(ISNUMBER(INDEX(Backlog!$J$2:$J$180,MATCH($D130,Backlog!$A$2:$A$180,0))),INDEX(Backlog!$J$2:$J$180,MATCH($D130,Backlog!$A$2:$A$180,0)),"")</t>
  </si>
  <si>
    <t>=IF(ISNUMBER(INDEX(Backlog!$AS$2:$AS$180,MATCH($D130,Backlog!$A$2:$A$180,0))),INDEX(Backlog!$AS$2:$AS$180,MATCH($D130,Backlog!$A$2:$A$180,0)),"")</t>
  </si>
  <si>
    <t>H130</t>
  </si>
  <si>
    <t>=IF(ISNUMBER(INDEX(Backlog!$R$2:$R$180,MATCH($D130,Backlog!$A$2:$A$180,0))),INDEX(Backlog!$R$2:$R$180,MATCH($D130,Backlog!$A$2:$A$180,0)),"")</t>
  </si>
  <si>
    <t>=IF(ISNUMBER(INDEX(Backlog!$AT$2:$AT$180,MATCH($D130,Backlog!$A$2:$A$180,0))),INDEX(Backlog!$AT$2:$AT$180,MATCH($D130,Backlog!$A$2:$A$180,0)),"")</t>
  </si>
  <si>
    <t>G131</t>
  </si>
  <si>
    <t>=IF(ISNUMBER(INDEX(Backlog!$J$2:$J$180,MATCH($D131,Backlog!$A$2:$A$180,0))),INDEX(Backlog!$J$2:$J$180,MATCH($D131,Backlog!$A$2:$A$180,0)),"")</t>
  </si>
  <si>
    <t>=IF(ISNUMBER(INDEX(Backlog!$AS$2:$AS$180,MATCH($D131,Backlog!$A$2:$A$180,0))),INDEX(Backlog!$AS$2:$AS$180,MATCH($D131,Backlog!$A$2:$A$180,0)),"")</t>
  </si>
  <si>
    <t>H131</t>
  </si>
  <si>
    <t>=IF(ISNUMBER(INDEX(Backlog!$R$2:$R$180,MATCH($D131,Backlog!$A$2:$A$180,0))),INDEX(Backlog!$R$2:$R$180,MATCH($D131,Backlog!$A$2:$A$180,0)),"")</t>
  </si>
  <si>
    <t>=IF(ISNUMBER(INDEX(Backlog!$AT$2:$AT$180,MATCH($D131,Backlog!$A$2:$A$180,0))),INDEX(Backlog!$AT$2:$AT$180,MATCH($D131,Backlog!$A$2:$A$180,0)),"")</t>
  </si>
  <si>
    <t>G132</t>
  </si>
  <si>
    <t>=IF(ISNUMBER(INDEX(Backlog!$J$2:$J$180,MATCH($D132,Backlog!$A$2:$A$180,0))),INDEX(Backlog!$J$2:$J$180,MATCH($D132,Backlog!$A$2:$A$180,0)),"")</t>
  </si>
  <si>
    <t>=IF(ISNUMBER(INDEX(Backlog!$AS$2:$AS$180,MATCH($D132,Backlog!$A$2:$A$180,0))),INDEX(Backlog!$AS$2:$AS$180,MATCH($D132,Backlog!$A$2:$A$180,0)),"")</t>
  </si>
  <si>
    <t>H132</t>
  </si>
  <si>
    <t>=IF(ISNUMBER(INDEX(Backlog!$R$2:$R$180,MATCH($D132,Backlog!$A$2:$A$180,0))),INDEX(Backlog!$R$2:$R$180,MATCH($D132,Backlog!$A$2:$A$180,0)),"")</t>
  </si>
  <si>
    <t>=IF(ISNUMBER(INDEX(Backlog!$AT$2:$AT$180,MATCH($D132,Backlog!$A$2:$A$180,0))),INDEX(Backlog!$AT$2:$AT$180,MATCH($D132,Backlog!$A$2:$A$180,0)),"")</t>
  </si>
  <si>
    <t>G133</t>
  </si>
  <si>
    <t>=IF(ISNUMBER(INDEX(Backlog!$J$2:$J$180,MATCH($D133,Backlog!$A$2:$A$180,0))),INDEX(Backlog!$J$2:$J$180,MATCH($D133,Backlog!$A$2:$A$180,0)),"")</t>
  </si>
  <si>
    <t>=IF(ISNUMBER(INDEX(Backlog!$AS$2:$AS$180,MATCH($D133,Backlog!$A$2:$A$180,0))),INDEX(Backlog!$AS$2:$AS$180,MATCH($D133,Backlog!$A$2:$A$180,0)),"")</t>
  </si>
  <si>
    <t>H133</t>
  </si>
  <si>
    <t>=IF(ISNUMBER(INDEX(Backlog!$R$2:$R$180,MATCH($D133,Backlog!$A$2:$A$180,0))),INDEX(Backlog!$R$2:$R$180,MATCH($D133,Backlog!$A$2:$A$180,0)),"")</t>
  </si>
  <si>
    <t>=IF(ISNUMBER(INDEX(Backlog!$AT$2:$AT$180,MATCH($D133,Backlog!$A$2:$A$180,0))),INDEX(Backlog!$AT$2:$AT$180,MATCH($D133,Backlog!$A$2:$A$180,0)),"")</t>
  </si>
  <si>
    <t>G134</t>
  </si>
  <si>
    <t>=IF(ISNUMBER(INDEX(Backlog!$J$2:$J$180,MATCH($D134,Backlog!$A$2:$A$180,0))),INDEX(Backlog!$J$2:$J$180,MATCH($D134,Backlog!$A$2:$A$180,0)),"")</t>
  </si>
  <si>
    <t>=IF(ISNUMBER(INDEX(Backlog!$AS$2:$AS$180,MATCH($D134,Backlog!$A$2:$A$180,0))),INDEX(Backlog!$AS$2:$AS$180,MATCH($D134,Backlog!$A$2:$A$180,0)),"")</t>
  </si>
  <si>
    <t>H134</t>
  </si>
  <si>
    <t>=IF(ISNUMBER(INDEX(Backlog!$R$2:$R$180,MATCH($D134,Backlog!$A$2:$A$180,0))),INDEX(Backlog!$R$2:$R$180,MATCH($D134,Backlog!$A$2:$A$180,0)),"")</t>
  </si>
  <si>
    <t>=IF(ISNUMBER(INDEX(Backlog!$AT$2:$AT$180,MATCH($D134,Backlog!$A$2:$A$180,0))),INDEX(Backlog!$AT$2:$AT$180,MATCH($D134,Backlog!$A$2:$A$180,0)),"")</t>
  </si>
  <si>
    <t>G135</t>
  </si>
  <si>
    <t>=IF(ISNUMBER(INDEX(Backlog!$J$2:$J$180,MATCH($D135,Backlog!$A$2:$A$180,0))),INDEX(Backlog!$J$2:$J$180,MATCH($D135,Backlog!$A$2:$A$180,0)),"")</t>
  </si>
  <si>
    <t>=IF(ISNUMBER(INDEX(Backlog!$AS$2:$AS$180,MATCH($D135,Backlog!$A$2:$A$180,0))),INDEX(Backlog!$AS$2:$AS$180,MATCH($D135,Backlog!$A$2:$A$180,0)),"")</t>
  </si>
  <si>
    <t>H135</t>
  </si>
  <si>
    <t>=IF(ISNUMBER(INDEX(Backlog!$R$2:$R$180,MATCH($D135,Backlog!$A$2:$A$180,0))),INDEX(Backlog!$R$2:$R$180,MATCH($D135,Backlog!$A$2:$A$180,0)),"")</t>
  </si>
  <si>
    <t>=IF(ISNUMBER(INDEX(Backlog!$AT$2:$AT$180,MATCH($D135,Backlog!$A$2:$A$180,0))),INDEX(Backlog!$AT$2:$AT$180,MATCH($D135,Backlog!$A$2:$A$180,0)),"")</t>
  </si>
  <si>
    <t>G136</t>
  </si>
  <si>
    <t>=IF(ISNUMBER(INDEX(Backlog!$J$2:$J$180,MATCH($D136,Backlog!$A$2:$A$180,0))),INDEX(Backlog!$J$2:$J$180,MATCH($D136,Backlog!$A$2:$A$180,0)),"")</t>
  </si>
  <si>
    <t>=IF(ISNUMBER(INDEX(Backlog!$AS$2:$AS$180,MATCH($D136,Backlog!$A$2:$A$180,0))),INDEX(Backlog!$AS$2:$AS$180,MATCH($D136,Backlog!$A$2:$A$180,0)),"")</t>
  </si>
  <si>
    <t>H136</t>
  </si>
  <si>
    <t>=IF(ISNUMBER(INDEX(Backlog!$R$2:$R$180,MATCH($D136,Backlog!$A$2:$A$180,0))),INDEX(Backlog!$R$2:$R$180,MATCH($D136,Backlog!$A$2:$A$180,0)),"")</t>
  </si>
  <si>
    <t>=IF(ISNUMBER(INDEX(Backlog!$AT$2:$AT$180,MATCH($D136,Backlog!$A$2:$A$180,0))),INDEX(Backlog!$AT$2:$AT$180,MATCH($D136,Backlog!$A$2:$A$180,0)),"")</t>
  </si>
  <si>
    <t>G137</t>
  </si>
  <si>
    <t>=IF(ISNUMBER(INDEX(Backlog!$J$2:$J$180,MATCH($D137,Backlog!$A$2:$A$180,0))),INDEX(Backlog!$J$2:$J$180,MATCH($D137,Backlog!$A$2:$A$180,0)),"")</t>
  </si>
  <si>
    <t>=IF(ISNUMBER(INDEX(Backlog!$AS$2:$AS$180,MATCH($D137,Backlog!$A$2:$A$180,0))),INDEX(Backlog!$AS$2:$AS$180,MATCH($D137,Backlog!$A$2:$A$180,0)),"")</t>
  </si>
  <si>
    <t>H137</t>
  </si>
  <si>
    <t>=IF(ISNUMBER(INDEX(Backlog!$R$2:$R$180,MATCH($D137,Backlog!$A$2:$A$180,0))),INDEX(Backlog!$R$2:$R$180,MATCH($D137,Backlog!$A$2:$A$180,0)),"")</t>
  </si>
  <si>
    <t>=IF(ISNUMBER(INDEX(Backlog!$AT$2:$AT$180,MATCH($D137,Backlog!$A$2:$A$180,0))),INDEX(Backlog!$AT$2:$AT$180,MATCH($D137,Backlog!$A$2:$A$180,0)),"")</t>
  </si>
  <si>
    <t>G138</t>
  </si>
  <si>
    <t>=IF(ISNUMBER(INDEX(Backlog!$J$2:$J$180,MATCH($D138,Backlog!$A$2:$A$180,0))),INDEX(Backlog!$J$2:$J$180,MATCH($D138,Backlog!$A$2:$A$180,0)),"")</t>
  </si>
  <si>
    <t>=IF(ISNUMBER(INDEX(Backlog!$AS$2:$AS$180,MATCH($D138,Backlog!$A$2:$A$180,0))),INDEX(Backlog!$AS$2:$AS$180,MATCH($D138,Backlog!$A$2:$A$180,0)),"")</t>
  </si>
  <si>
    <t>H138</t>
  </si>
  <si>
    <t>=IF(ISNUMBER(INDEX(Backlog!$R$2:$R$180,MATCH($D138,Backlog!$A$2:$A$180,0))),INDEX(Backlog!$R$2:$R$180,MATCH($D138,Backlog!$A$2:$A$180,0)),"")</t>
  </si>
  <si>
    <t>=IF(ISNUMBER(INDEX(Backlog!$AT$2:$AT$180,MATCH($D138,Backlog!$A$2:$A$180,0))),INDEX(Backlog!$AT$2:$AT$180,MATCH($D138,Backlog!$A$2:$A$180,0)),"")</t>
  </si>
  <si>
    <t>G139</t>
  </si>
  <si>
    <t>=IF(ISNUMBER(INDEX(Backlog!$J$2:$J$180,MATCH($D139,Backlog!$A$2:$A$180,0))),INDEX(Backlog!$J$2:$J$180,MATCH($D139,Backlog!$A$2:$A$180,0)),"")</t>
  </si>
  <si>
    <t>=IF(ISNUMBER(INDEX(Backlog!$AS$2:$AS$180,MATCH($D139,Backlog!$A$2:$A$180,0))),INDEX(Backlog!$AS$2:$AS$180,MATCH($D139,Backlog!$A$2:$A$180,0)),"")</t>
  </si>
  <si>
    <t>H139</t>
  </si>
  <si>
    <t>=IF(ISNUMBER(INDEX(Backlog!$R$2:$R$180,MATCH($D139,Backlog!$A$2:$A$180,0))),INDEX(Backlog!$R$2:$R$180,MATCH($D139,Backlog!$A$2:$A$180,0)),"")</t>
  </si>
  <si>
    <t>=IF(ISNUMBER(INDEX(Backlog!$AT$2:$AT$180,MATCH($D139,Backlog!$A$2:$A$180,0))),INDEX(Backlog!$AT$2:$AT$180,MATCH($D139,Backlog!$A$2:$A$180,0)),"")</t>
  </si>
  <si>
    <t>G140</t>
  </si>
  <si>
    <t>=IF(ISNUMBER(INDEX(Backlog!$J$2:$J$180,MATCH($D140,Backlog!$A$2:$A$180,0))),INDEX(Backlog!$J$2:$J$180,MATCH($D140,Backlog!$A$2:$A$180,0)),"")</t>
  </si>
  <si>
    <t>=IF(ISNUMBER(INDEX(Backlog!$AS$2:$AS$180,MATCH($D140,Backlog!$A$2:$A$180,0))),INDEX(Backlog!$AS$2:$AS$180,MATCH($D140,Backlog!$A$2:$A$180,0)),"")</t>
  </si>
  <si>
    <t>H140</t>
  </si>
  <si>
    <t>=IF(ISNUMBER(INDEX(Backlog!$R$2:$R$180,MATCH($D140,Backlog!$A$2:$A$180,0))),INDEX(Backlog!$R$2:$R$180,MATCH($D140,Backlog!$A$2:$A$180,0)),"")</t>
  </si>
  <si>
    <t>=IF(ISNUMBER(INDEX(Backlog!$AT$2:$AT$180,MATCH($D140,Backlog!$A$2:$A$180,0))),INDEX(Backlog!$AT$2:$AT$180,MATCH($D140,Backlog!$A$2:$A$180,0)),"")</t>
  </si>
  <si>
    <t>G141</t>
  </si>
  <si>
    <t>=IF(ISNUMBER(INDEX(Backlog!$J$2:$J$180,MATCH($D141,Backlog!$A$2:$A$180,0))),INDEX(Backlog!$J$2:$J$180,MATCH($D141,Backlog!$A$2:$A$180,0)),"")</t>
  </si>
  <si>
    <t>=IF(ISNUMBER(INDEX(Backlog!$AS$2:$AS$180,MATCH($D141,Backlog!$A$2:$A$180,0))),INDEX(Backlog!$AS$2:$AS$180,MATCH($D141,Backlog!$A$2:$A$180,0)),"")</t>
  </si>
  <si>
    <t>H141</t>
  </si>
  <si>
    <t>=IF(ISNUMBER(INDEX(Backlog!$R$2:$R$180,MATCH($D141,Backlog!$A$2:$A$180,0))),INDEX(Backlog!$R$2:$R$180,MATCH($D141,Backlog!$A$2:$A$180,0)),"")</t>
  </si>
  <si>
    <t>=IF(ISNUMBER(INDEX(Backlog!$AT$2:$AT$180,MATCH($D141,Backlog!$A$2:$A$180,0))),INDEX(Backlog!$AT$2:$AT$180,MATCH($D141,Backlog!$A$2:$A$180,0)),"")</t>
  </si>
  <si>
    <t>G142</t>
  </si>
  <si>
    <t>=IF(ISNUMBER(INDEX(Backlog!$J$2:$J$180,MATCH($D142,Backlog!$A$2:$A$180,0))),INDEX(Backlog!$J$2:$J$180,MATCH($D142,Backlog!$A$2:$A$180,0)),"")</t>
  </si>
  <si>
    <t>=IF(ISNUMBER(INDEX(Backlog!$AS$2:$AS$180,MATCH($D142,Backlog!$A$2:$A$180,0))),INDEX(Backlog!$AS$2:$AS$180,MATCH($D142,Backlog!$A$2:$A$180,0)),"")</t>
  </si>
  <si>
    <t>H142</t>
  </si>
  <si>
    <t>=IF(ISNUMBER(INDEX(Backlog!$R$2:$R$180,MATCH($D142,Backlog!$A$2:$A$180,0))),INDEX(Backlog!$R$2:$R$180,MATCH($D142,Backlog!$A$2:$A$180,0)),"")</t>
  </si>
  <si>
    <t>=IF(ISNUMBER(INDEX(Backlog!$AT$2:$AT$180,MATCH($D142,Backlog!$A$2:$A$180,0))),INDEX(Backlog!$AT$2:$AT$180,MATCH($D142,Backlog!$A$2:$A$180,0)),"")</t>
  </si>
  <si>
    <t>G143</t>
  </si>
  <si>
    <t>=IF(ISNUMBER(INDEX(Backlog!$J$2:$J$180,MATCH($D143,Backlog!$A$2:$A$180,0))),INDEX(Backlog!$J$2:$J$180,MATCH($D143,Backlog!$A$2:$A$180,0)),"")</t>
  </si>
  <si>
    <t>=IF(ISNUMBER(INDEX(Backlog!$AS$2:$AS$180,MATCH($D143,Backlog!$A$2:$A$180,0))),INDEX(Backlog!$AS$2:$AS$180,MATCH($D143,Backlog!$A$2:$A$180,0)),"")</t>
  </si>
  <si>
    <t>H143</t>
  </si>
  <si>
    <t>=IF(ISNUMBER(INDEX(Backlog!$R$2:$R$180,MATCH($D143,Backlog!$A$2:$A$180,0))),INDEX(Backlog!$R$2:$R$180,MATCH($D143,Backlog!$A$2:$A$180,0)),"")</t>
  </si>
  <si>
    <t>=IF(ISNUMBER(INDEX(Backlog!$AT$2:$AT$180,MATCH($D143,Backlog!$A$2:$A$180,0))),INDEX(Backlog!$AT$2:$AT$180,MATCH($D143,Backlog!$A$2:$A$180,0)),"")</t>
  </si>
  <si>
    <t>G144</t>
  </si>
  <si>
    <t>=IF(ISNUMBER(INDEX(Backlog!$J$2:$J$180,MATCH($D144,Backlog!$A$2:$A$180,0))),INDEX(Backlog!$J$2:$J$180,MATCH($D144,Backlog!$A$2:$A$180,0)),"")</t>
  </si>
  <si>
    <t>=IF(ISNUMBER(INDEX(Backlog!$AS$2:$AS$180,MATCH($D144,Backlog!$A$2:$A$180,0))),INDEX(Backlog!$AS$2:$AS$180,MATCH($D144,Backlog!$A$2:$A$180,0)),"")</t>
  </si>
  <si>
    <t>H144</t>
  </si>
  <si>
    <t>=IF(ISNUMBER(INDEX(Backlog!$R$2:$R$180,MATCH($D144,Backlog!$A$2:$A$180,0))),INDEX(Backlog!$R$2:$R$180,MATCH($D144,Backlog!$A$2:$A$180,0)),"")</t>
  </si>
  <si>
    <t>=IF(ISNUMBER(INDEX(Backlog!$AT$2:$AT$180,MATCH($D144,Backlog!$A$2:$A$180,0))),INDEX(Backlog!$AT$2:$AT$180,MATCH($D144,Backlog!$A$2:$A$180,0)),"")</t>
  </si>
  <si>
    <t>G145</t>
  </si>
  <si>
    <t>=IF(ISNUMBER(INDEX(Backlog!$J$2:$J$180,MATCH($D145,Backlog!$A$2:$A$180,0))),INDEX(Backlog!$J$2:$J$180,MATCH($D145,Backlog!$A$2:$A$180,0)),"")</t>
  </si>
  <si>
    <t>=IF(ISNUMBER(INDEX(Backlog!$AS$2:$AS$180,MATCH($D145,Backlog!$A$2:$A$180,0))),INDEX(Backlog!$AS$2:$AS$180,MATCH($D145,Backlog!$A$2:$A$180,0)),"")</t>
  </si>
  <si>
    <t>H145</t>
  </si>
  <si>
    <t>=IF(ISNUMBER(INDEX(Backlog!$R$2:$R$180,MATCH($D145,Backlog!$A$2:$A$180,0))),INDEX(Backlog!$R$2:$R$180,MATCH($D145,Backlog!$A$2:$A$180,0)),"")</t>
  </si>
  <si>
    <t>=IF(ISNUMBER(INDEX(Backlog!$AT$2:$AT$180,MATCH($D145,Backlog!$A$2:$A$180,0))),INDEX(Backlog!$AT$2:$AT$180,MATCH($D145,Backlog!$A$2:$A$180,0)),"")</t>
  </si>
  <si>
    <t>G146</t>
  </si>
  <si>
    <t>=IF(ISNUMBER(INDEX(Backlog!$J$2:$J$180,MATCH($D146,Backlog!$A$2:$A$180,0))),INDEX(Backlog!$J$2:$J$180,MATCH($D146,Backlog!$A$2:$A$180,0)),"")</t>
  </si>
  <si>
    <t>=IF(ISNUMBER(INDEX(Backlog!$AS$2:$AS$180,MATCH($D146,Backlog!$A$2:$A$180,0))),INDEX(Backlog!$AS$2:$AS$180,MATCH($D146,Backlog!$A$2:$A$180,0)),"")</t>
  </si>
  <si>
    <t>H146</t>
  </si>
  <si>
    <t>=IF(ISNUMBER(INDEX(Backlog!$R$2:$R$180,MATCH($D146,Backlog!$A$2:$A$180,0))),INDEX(Backlog!$R$2:$R$180,MATCH($D146,Backlog!$A$2:$A$180,0)),"")</t>
  </si>
  <si>
    <t>=IF(ISNUMBER(INDEX(Backlog!$AT$2:$AT$180,MATCH($D146,Backlog!$A$2:$A$180,0))),INDEX(Backlog!$AT$2:$AT$180,MATCH($D146,Backlog!$A$2:$A$180,0)),"")</t>
  </si>
  <si>
    <t>G147</t>
  </si>
  <si>
    <t>=IF(ISNUMBER(INDEX(Backlog!$J$2:$J$180,MATCH($D147,Backlog!$A$2:$A$180,0))),INDEX(Backlog!$J$2:$J$180,MATCH($D147,Backlog!$A$2:$A$180,0)),"")</t>
  </si>
  <si>
    <t>=IF(ISNUMBER(INDEX(Backlog!$AS$2:$AS$180,MATCH($D147,Backlog!$A$2:$A$180,0))),INDEX(Backlog!$AS$2:$AS$180,MATCH($D147,Backlog!$A$2:$A$180,0)),"")</t>
  </si>
  <si>
    <t>H147</t>
  </si>
  <si>
    <t>=IF(ISNUMBER(INDEX(Backlog!$R$2:$R$180,MATCH($D147,Backlog!$A$2:$A$180,0))),INDEX(Backlog!$R$2:$R$180,MATCH($D147,Backlog!$A$2:$A$180,0)),"")</t>
  </si>
  <si>
    <t>=IF(ISNUMBER(INDEX(Backlog!$AT$2:$AT$180,MATCH($D147,Backlog!$A$2:$A$180,0))),INDEX(Backlog!$AT$2:$AT$180,MATCH($D147,Backlog!$A$2:$A$180,0)),"")</t>
  </si>
  <si>
    <t>G148</t>
  </si>
  <si>
    <t>=IF(ISNUMBER(INDEX(Backlog!$J$2:$J$180,MATCH($D148,Backlog!$A$2:$A$180,0))),INDEX(Backlog!$J$2:$J$180,MATCH($D148,Backlog!$A$2:$A$180,0)),"")</t>
  </si>
  <si>
    <t>=IF(ISNUMBER(INDEX(Backlog!$AS$2:$AS$180,MATCH($D148,Backlog!$A$2:$A$180,0))),INDEX(Backlog!$AS$2:$AS$180,MATCH($D148,Backlog!$A$2:$A$180,0)),"")</t>
  </si>
  <si>
    <t>H148</t>
  </si>
  <si>
    <t>=IF(ISNUMBER(INDEX(Backlog!$R$2:$R$180,MATCH($D148,Backlog!$A$2:$A$180,0))),INDEX(Backlog!$R$2:$R$180,MATCH($D148,Backlog!$A$2:$A$180,0)),"")</t>
  </si>
  <si>
    <t>=IF(ISNUMBER(INDEX(Backlog!$AT$2:$AT$180,MATCH($D148,Backlog!$A$2:$A$180,0))),INDEX(Backlog!$AT$2:$AT$180,MATCH($D148,Backlog!$A$2:$A$180,0)),"")</t>
  </si>
  <si>
    <t>G149</t>
  </si>
  <si>
    <t>=IF(ISNUMBER(INDEX(Backlog!$J$2:$J$180,MATCH($D149,Backlog!$A$2:$A$180,0))),INDEX(Backlog!$J$2:$J$180,MATCH($D149,Backlog!$A$2:$A$180,0)),"")</t>
  </si>
  <si>
    <t>=IF(ISNUMBER(INDEX(Backlog!$AS$2:$AS$180,MATCH($D149,Backlog!$A$2:$A$180,0))),INDEX(Backlog!$AS$2:$AS$180,MATCH($D149,Backlog!$A$2:$A$180,0)),"")</t>
  </si>
  <si>
    <t>H149</t>
  </si>
  <si>
    <t>=IF(ISNUMBER(INDEX(Backlog!$R$2:$R$180,MATCH($D149,Backlog!$A$2:$A$180,0))),INDEX(Backlog!$R$2:$R$180,MATCH($D149,Backlog!$A$2:$A$180,0)),"")</t>
  </si>
  <si>
    <t>=IF(ISNUMBER(INDEX(Backlog!$AT$2:$AT$180,MATCH($D149,Backlog!$A$2:$A$180,0))),INDEX(Backlog!$AT$2:$AT$180,MATCH($D149,Backlog!$A$2:$A$180,0)),"")</t>
  </si>
  <si>
    <t>G150</t>
  </si>
  <si>
    <t>=IF(ISNUMBER(INDEX(Backlog!$J$2:$J$180,MATCH($D150,Backlog!$A$2:$A$180,0))),INDEX(Backlog!$J$2:$J$180,MATCH($D150,Backlog!$A$2:$A$180,0)),"")</t>
  </si>
  <si>
    <t>=IF(ISNUMBER(INDEX(Backlog!$AS$2:$AS$180,MATCH($D150,Backlog!$A$2:$A$180,0))),INDEX(Backlog!$AS$2:$AS$180,MATCH($D150,Backlog!$A$2:$A$180,0)),"")</t>
  </si>
  <si>
    <t>H150</t>
  </si>
  <si>
    <t>=IF(ISNUMBER(INDEX(Backlog!$R$2:$R$180,MATCH($D150,Backlog!$A$2:$A$180,0))),INDEX(Backlog!$R$2:$R$180,MATCH($D150,Backlog!$A$2:$A$180,0)),"")</t>
  </si>
  <si>
    <t>=IF(ISNUMBER(INDEX(Backlog!$AT$2:$AT$180,MATCH($D150,Backlog!$A$2:$A$180,0))),INDEX(Backlog!$AT$2:$AT$180,MATCH($D150,Backlog!$A$2:$A$180,0)),"")</t>
  </si>
  <si>
    <t>G151</t>
  </si>
  <si>
    <t>=IF(ISNUMBER(INDEX(Backlog!$J$2:$J$180,MATCH($D151,Backlog!$A$2:$A$180,0))),INDEX(Backlog!$J$2:$J$180,MATCH($D151,Backlog!$A$2:$A$180,0)),"")</t>
  </si>
  <si>
    <t>=IF(ISNUMBER(INDEX(Backlog!$AS$2:$AS$180,MATCH($D151,Backlog!$A$2:$A$180,0))),INDEX(Backlog!$AS$2:$AS$180,MATCH($D151,Backlog!$A$2:$A$180,0)),"")</t>
  </si>
  <si>
    <t>H151</t>
  </si>
  <si>
    <t>=IF(ISNUMBER(INDEX(Backlog!$R$2:$R$180,MATCH($D151,Backlog!$A$2:$A$180,0))),INDEX(Backlog!$R$2:$R$180,MATCH($D151,Backlog!$A$2:$A$180,0)),"")</t>
  </si>
  <si>
    <t>=IF(ISNUMBER(INDEX(Backlog!$AT$2:$AT$180,MATCH($D151,Backlog!$A$2:$A$180,0))),INDEX(Backlog!$AT$2:$AT$180,MATCH($D151,Backlog!$A$2:$A$180,0)),"")</t>
  </si>
  <si>
    <t>G152</t>
  </si>
  <si>
    <t>=IF(ISNUMBER(INDEX(Backlog!$J$2:$J$180,MATCH($D152,Backlog!$A$2:$A$180,0))),INDEX(Backlog!$J$2:$J$180,MATCH($D152,Backlog!$A$2:$A$180,0)),"")</t>
  </si>
  <si>
    <t>=IF(ISNUMBER(INDEX(Backlog!$AS$2:$AS$180,MATCH($D152,Backlog!$A$2:$A$180,0))),INDEX(Backlog!$AS$2:$AS$180,MATCH($D152,Backlog!$A$2:$A$180,0)),"")</t>
  </si>
  <si>
    <t>H152</t>
  </si>
  <si>
    <t>=IF(ISNUMBER(INDEX(Backlog!$R$2:$R$180,MATCH($D152,Backlog!$A$2:$A$180,0))),INDEX(Backlog!$R$2:$R$180,MATCH($D152,Backlog!$A$2:$A$180,0)),"")</t>
  </si>
  <si>
    <t>=IF(ISNUMBER(INDEX(Backlog!$AT$2:$AT$180,MATCH($D152,Backlog!$A$2:$A$180,0))),INDEX(Backlog!$AT$2:$AT$180,MATCH($D152,Backlog!$A$2:$A$180,0)),"")</t>
  </si>
  <si>
    <t>G153</t>
  </si>
  <si>
    <t>=IF(ISNUMBER(INDEX(Backlog!$J$2:$J$180,MATCH($D153,Backlog!$A$2:$A$180,0))),INDEX(Backlog!$J$2:$J$180,MATCH($D153,Backlog!$A$2:$A$180,0)),"")</t>
  </si>
  <si>
    <t>=IF(ISNUMBER(INDEX(Backlog!$AS$2:$AS$180,MATCH($D153,Backlog!$A$2:$A$180,0))),INDEX(Backlog!$AS$2:$AS$180,MATCH($D153,Backlog!$A$2:$A$180,0)),"")</t>
  </si>
  <si>
    <t>H153</t>
  </si>
  <si>
    <t>=IF(ISNUMBER(INDEX(Backlog!$R$2:$R$180,MATCH($D153,Backlog!$A$2:$A$180,0))),INDEX(Backlog!$R$2:$R$180,MATCH($D153,Backlog!$A$2:$A$180,0)),"")</t>
  </si>
  <si>
    <t>=IF(ISNUMBER(INDEX(Backlog!$AT$2:$AT$180,MATCH($D153,Backlog!$A$2:$A$180,0))),INDEX(Backlog!$AT$2:$AT$180,MATCH($D153,Backlog!$A$2:$A$180,0)),"")</t>
  </si>
  <si>
    <t>G154</t>
  </si>
  <si>
    <t>=IF(ISNUMBER(INDEX(Backlog!$J$2:$J$180,MATCH($D154,Backlog!$A$2:$A$180,0))),INDEX(Backlog!$J$2:$J$180,MATCH($D154,Backlog!$A$2:$A$180,0)),"")</t>
  </si>
  <si>
    <t>=IF(ISNUMBER(INDEX(Backlog!$AS$2:$AS$180,MATCH($D154,Backlog!$A$2:$A$180,0))),INDEX(Backlog!$AS$2:$AS$180,MATCH($D154,Backlog!$A$2:$A$180,0)),"")</t>
  </si>
  <si>
    <t>H154</t>
  </si>
  <si>
    <t>=IF(ISNUMBER(INDEX(Backlog!$R$2:$R$180,MATCH($D154,Backlog!$A$2:$A$180,0))),INDEX(Backlog!$R$2:$R$180,MATCH($D154,Backlog!$A$2:$A$180,0)),"")</t>
  </si>
  <si>
    <t>=IF(ISNUMBER(INDEX(Backlog!$AT$2:$AT$180,MATCH($D154,Backlog!$A$2:$A$180,0))),INDEX(Backlog!$AT$2:$AT$180,MATCH($D154,Backlog!$A$2:$A$180,0)),"")</t>
  </si>
  <si>
    <t>G155</t>
  </si>
  <si>
    <t>=IF(ISNUMBER(INDEX(Backlog!$J$2:$J$180,MATCH($D155,Backlog!$A$2:$A$180,0))),INDEX(Backlog!$J$2:$J$180,MATCH($D155,Backlog!$A$2:$A$180,0)),"")</t>
  </si>
  <si>
    <t>=IF(ISNUMBER(INDEX(Backlog!$AS$2:$AS$180,MATCH($D155,Backlog!$A$2:$A$180,0))),INDEX(Backlog!$AS$2:$AS$180,MATCH($D155,Backlog!$A$2:$A$180,0)),"")</t>
  </si>
  <si>
    <t>H155</t>
  </si>
  <si>
    <t>=IF(ISNUMBER(INDEX(Backlog!$R$2:$R$180,MATCH($D155,Backlog!$A$2:$A$180,0))),INDEX(Backlog!$R$2:$R$180,MATCH($D155,Backlog!$A$2:$A$180,0)),"")</t>
  </si>
  <si>
    <t>=IF(ISNUMBER(INDEX(Backlog!$AT$2:$AT$180,MATCH($D155,Backlog!$A$2:$A$180,0))),INDEX(Backlog!$AT$2:$AT$180,MATCH($D155,Backlog!$A$2:$A$180,0)),"")</t>
  </si>
  <si>
    <t>G156</t>
  </si>
  <si>
    <t>=IF(ISNUMBER(INDEX(Backlog!$J$2:$J$180,MATCH($D156,Backlog!$A$2:$A$180,0))),INDEX(Backlog!$J$2:$J$180,MATCH($D156,Backlog!$A$2:$A$180,0)),"")</t>
  </si>
  <si>
    <t>=IF(ISNUMBER(INDEX(Backlog!$AS$2:$AS$180,MATCH($D156,Backlog!$A$2:$A$180,0))),INDEX(Backlog!$AS$2:$AS$180,MATCH($D156,Backlog!$A$2:$A$180,0)),"")</t>
  </si>
  <si>
    <t>H156</t>
  </si>
  <si>
    <t>=IF(ISNUMBER(INDEX(Backlog!$R$2:$R$180,MATCH($D156,Backlog!$A$2:$A$180,0))),INDEX(Backlog!$R$2:$R$180,MATCH($D156,Backlog!$A$2:$A$180,0)),"")</t>
  </si>
  <si>
    <t>=IF(ISNUMBER(INDEX(Backlog!$AT$2:$AT$180,MATCH($D156,Backlog!$A$2:$A$180,0))),INDEX(Backlog!$AT$2:$AT$180,MATCH($D156,Backlog!$A$2:$A$180,0)),"")</t>
  </si>
  <si>
    <t>G157</t>
  </si>
  <si>
    <t>=IF(ISNUMBER(INDEX(Backlog!$J$2:$J$180,MATCH($D157,Backlog!$A$2:$A$180,0))),INDEX(Backlog!$J$2:$J$180,MATCH($D157,Backlog!$A$2:$A$180,0)),"")</t>
  </si>
  <si>
    <t>=IF(ISNUMBER(INDEX(Backlog!$AS$2:$AS$180,MATCH($D157,Backlog!$A$2:$A$180,0))),INDEX(Backlog!$AS$2:$AS$180,MATCH($D157,Backlog!$A$2:$A$180,0)),"")</t>
  </si>
  <si>
    <t>H157</t>
  </si>
  <si>
    <t>=IF(ISNUMBER(INDEX(Backlog!$R$2:$R$180,MATCH($D157,Backlog!$A$2:$A$180,0))),INDEX(Backlog!$R$2:$R$180,MATCH($D157,Backlog!$A$2:$A$180,0)),"")</t>
  </si>
  <si>
    <t>=IF(ISNUMBER(INDEX(Backlog!$AT$2:$AT$180,MATCH($D157,Backlog!$A$2:$A$180,0))),INDEX(Backlog!$AT$2:$AT$180,MATCH($D157,Backlog!$A$2:$A$180,0)),"")</t>
  </si>
  <si>
    <t>G158</t>
  </si>
  <si>
    <t>=IF(ISNUMBER(INDEX(Backlog!$J$2:$J$180,MATCH($D158,Backlog!$A$2:$A$180,0))),INDEX(Backlog!$J$2:$J$180,MATCH($D158,Backlog!$A$2:$A$180,0)),"")</t>
  </si>
  <si>
    <t>=IF(ISNUMBER(INDEX(Backlog!$AS$2:$AS$180,MATCH($D158,Backlog!$A$2:$A$180,0))),INDEX(Backlog!$AS$2:$AS$180,MATCH($D158,Backlog!$A$2:$A$180,0)),"")</t>
  </si>
  <si>
    <t>H158</t>
  </si>
  <si>
    <t>=IF(ISNUMBER(INDEX(Backlog!$R$2:$R$180,MATCH($D158,Backlog!$A$2:$A$180,0))),INDEX(Backlog!$R$2:$R$180,MATCH($D158,Backlog!$A$2:$A$180,0)),"")</t>
  </si>
  <si>
    <t>=IF(ISNUMBER(INDEX(Backlog!$AT$2:$AT$180,MATCH($D158,Backlog!$A$2:$A$180,0))),INDEX(Backlog!$AT$2:$AT$180,MATCH($D158,Backlog!$A$2:$A$180,0)),"")</t>
  </si>
  <si>
    <t>G159</t>
  </si>
  <si>
    <t>=IF(ISNUMBER(INDEX(Backlog!$J$2:$J$180,MATCH($D159,Backlog!$A$2:$A$180,0))),INDEX(Backlog!$J$2:$J$180,MATCH($D159,Backlog!$A$2:$A$180,0)),"")</t>
  </si>
  <si>
    <t>=IF(ISNUMBER(INDEX(Backlog!$AS$2:$AS$180,MATCH($D159,Backlog!$A$2:$A$180,0))),INDEX(Backlog!$AS$2:$AS$180,MATCH($D159,Backlog!$A$2:$A$180,0)),"")</t>
  </si>
  <si>
    <t>H159</t>
  </si>
  <si>
    <t>=IF(ISNUMBER(INDEX(Backlog!$R$2:$R$180,MATCH($D159,Backlog!$A$2:$A$180,0))),INDEX(Backlog!$R$2:$R$180,MATCH($D159,Backlog!$A$2:$A$180,0)),"")</t>
  </si>
  <si>
    <t>=IF(ISNUMBER(INDEX(Backlog!$AT$2:$AT$180,MATCH($D159,Backlog!$A$2:$A$180,0))),INDEX(Backlog!$AT$2:$AT$180,MATCH($D159,Backlog!$A$2:$A$180,0)),"")</t>
  </si>
  <si>
    <t>G160</t>
  </si>
  <si>
    <t>=IF(ISNUMBER(INDEX(Backlog!$J$2:$J$180,MATCH($D160,Backlog!$A$2:$A$180,0))),INDEX(Backlog!$J$2:$J$180,MATCH($D160,Backlog!$A$2:$A$180,0)),"")</t>
  </si>
  <si>
    <t>=IF(ISNUMBER(INDEX(Backlog!$AS$2:$AS$180,MATCH($D160,Backlog!$A$2:$A$180,0))),INDEX(Backlog!$AS$2:$AS$180,MATCH($D160,Backlog!$A$2:$A$180,0)),"")</t>
  </si>
  <si>
    <t>H160</t>
  </si>
  <si>
    <t>=IF(ISNUMBER(INDEX(Backlog!$R$2:$R$180,MATCH($D160,Backlog!$A$2:$A$180,0))),INDEX(Backlog!$R$2:$R$180,MATCH($D160,Backlog!$A$2:$A$180,0)),"")</t>
  </si>
  <si>
    <t>=IF(ISNUMBER(INDEX(Backlog!$AT$2:$AT$180,MATCH($D160,Backlog!$A$2:$A$180,0))),INDEX(Backlog!$AT$2:$AT$180,MATCH($D160,Backlog!$A$2:$A$180,0)),"")</t>
  </si>
  <si>
    <t>G161</t>
  </si>
  <si>
    <t>=IF(ISNUMBER(INDEX(Backlog!$J$2:$J$180,MATCH($D161,Backlog!$A$2:$A$180,0))),INDEX(Backlog!$J$2:$J$180,MATCH($D161,Backlog!$A$2:$A$180,0)),"")</t>
  </si>
  <si>
    <t>=IF(ISNUMBER(INDEX(Backlog!$AS$2:$AS$180,MATCH($D161,Backlog!$A$2:$A$180,0))),INDEX(Backlog!$AS$2:$AS$180,MATCH($D161,Backlog!$A$2:$A$180,0)),"")</t>
  </si>
  <si>
    <t>H161</t>
  </si>
  <si>
    <t>=IF(ISNUMBER(INDEX(Backlog!$R$2:$R$180,MATCH($D161,Backlog!$A$2:$A$180,0))),INDEX(Backlog!$R$2:$R$180,MATCH($D161,Backlog!$A$2:$A$180,0)),"")</t>
  </si>
  <si>
    <t>=IF(ISNUMBER(INDEX(Backlog!$AT$2:$AT$180,MATCH($D161,Backlog!$A$2:$A$180,0))),INDEX(Backlog!$AT$2:$AT$180,MATCH($D161,Backlog!$A$2:$A$180,0)),"")</t>
  </si>
  <si>
    <t>G162</t>
  </si>
  <si>
    <t>=IF(ISNUMBER(INDEX(Backlog!$J$2:$J$180,MATCH($D162,Backlog!$A$2:$A$180,0))),INDEX(Backlog!$J$2:$J$180,MATCH($D162,Backlog!$A$2:$A$180,0)),"")</t>
  </si>
  <si>
    <t>=IF(ISNUMBER(INDEX(Backlog!$AS$2:$AS$180,MATCH($D162,Backlog!$A$2:$A$180,0))),INDEX(Backlog!$AS$2:$AS$180,MATCH($D162,Backlog!$A$2:$A$180,0)),"")</t>
  </si>
  <si>
    <t>H162</t>
  </si>
  <si>
    <t>=IF(ISNUMBER(INDEX(Backlog!$R$2:$R$180,MATCH($D162,Backlog!$A$2:$A$180,0))),INDEX(Backlog!$R$2:$R$180,MATCH($D162,Backlog!$A$2:$A$180,0)),"")</t>
  </si>
  <si>
    <t>=IF(ISNUMBER(INDEX(Backlog!$AT$2:$AT$180,MATCH($D162,Backlog!$A$2:$A$180,0))),INDEX(Backlog!$AT$2:$AT$180,MATCH($D162,Backlog!$A$2:$A$180,0)),"")</t>
  </si>
  <si>
    <t>G163</t>
  </si>
  <si>
    <t>=IF(ISNUMBER(INDEX(Backlog!$J$2:$J$180,MATCH($D163,Backlog!$A$2:$A$180,0))),INDEX(Backlog!$J$2:$J$180,MATCH($D163,Backlog!$A$2:$A$180,0)),"")</t>
  </si>
  <si>
    <t>=IF(ISNUMBER(INDEX(Backlog!$AS$2:$AS$180,MATCH($D163,Backlog!$A$2:$A$180,0))),INDEX(Backlog!$AS$2:$AS$180,MATCH($D163,Backlog!$A$2:$A$180,0)),"")</t>
  </si>
  <si>
    <t>H163</t>
  </si>
  <si>
    <t>=IF(ISNUMBER(INDEX(Backlog!$R$2:$R$180,MATCH($D163,Backlog!$A$2:$A$180,0))),INDEX(Backlog!$R$2:$R$180,MATCH($D163,Backlog!$A$2:$A$180,0)),"")</t>
  </si>
  <si>
    <t>=IF(ISNUMBER(INDEX(Backlog!$AT$2:$AT$180,MATCH($D163,Backlog!$A$2:$A$180,0))),INDEX(Backlog!$AT$2:$AT$180,MATCH($D163,Backlog!$A$2:$A$180,0)),"")</t>
  </si>
  <si>
    <t>G164</t>
  </si>
  <si>
    <t>=IF(ISNUMBER(INDEX(Backlog!$J$2:$J$180,MATCH($D164,Backlog!$A$2:$A$180,0))),INDEX(Backlog!$J$2:$J$180,MATCH($D164,Backlog!$A$2:$A$180,0)),"")</t>
  </si>
  <si>
    <t>=IF(ISNUMBER(INDEX(Backlog!$AS$2:$AS$180,MATCH($D164,Backlog!$A$2:$A$180,0))),INDEX(Backlog!$AS$2:$AS$180,MATCH($D164,Backlog!$A$2:$A$180,0)),"")</t>
  </si>
  <si>
    <t>H164</t>
  </si>
  <si>
    <t>=IF(ISNUMBER(INDEX(Backlog!$R$2:$R$180,MATCH($D164,Backlog!$A$2:$A$180,0))),INDEX(Backlog!$R$2:$R$180,MATCH($D164,Backlog!$A$2:$A$180,0)),"")</t>
  </si>
  <si>
    <t>=IF(ISNUMBER(INDEX(Backlog!$AT$2:$AT$180,MATCH($D164,Backlog!$A$2:$A$180,0))),INDEX(Backlog!$AT$2:$AT$180,MATCH($D164,Backlog!$A$2:$A$180,0)),"")</t>
  </si>
  <si>
    <t>G165</t>
  </si>
  <si>
    <t>=IF(ISNUMBER(INDEX(Backlog!$J$2:$J$180,MATCH($D165,Backlog!$A$2:$A$180,0))),INDEX(Backlog!$J$2:$J$180,MATCH($D165,Backlog!$A$2:$A$180,0)),"")</t>
  </si>
  <si>
    <t>=IF(ISNUMBER(INDEX(Backlog!$AS$2:$AS$180,MATCH($D165,Backlog!$A$2:$A$180,0))),INDEX(Backlog!$AS$2:$AS$180,MATCH($D165,Backlog!$A$2:$A$180,0)),"")</t>
  </si>
  <si>
    <t>H165</t>
  </si>
  <si>
    <t>=IF(ISNUMBER(INDEX(Backlog!$R$2:$R$180,MATCH($D165,Backlog!$A$2:$A$180,0))),INDEX(Backlog!$R$2:$R$180,MATCH($D165,Backlog!$A$2:$A$180,0)),"")</t>
  </si>
  <si>
    <t>=IF(ISNUMBER(INDEX(Backlog!$AT$2:$AT$180,MATCH($D165,Backlog!$A$2:$A$180,0))),INDEX(Backlog!$AT$2:$AT$180,MATCH($D165,Backlog!$A$2:$A$180,0)),"")</t>
  </si>
  <si>
    <t>G166</t>
  </si>
  <si>
    <t>=IF(ISNUMBER(INDEX(Backlog!$J$2:$J$180,MATCH($D166,Backlog!$A$2:$A$180,0))),INDEX(Backlog!$J$2:$J$180,MATCH($D166,Backlog!$A$2:$A$180,0)),"")</t>
  </si>
  <si>
    <t>=IF(ISNUMBER(INDEX(Backlog!$AS$2:$AS$180,MATCH($D166,Backlog!$A$2:$A$180,0))),INDEX(Backlog!$AS$2:$AS$180,MATCH($D166,Backlog!$A$2:$A$180,0)),"")</t>
  </si>
  <si>
    <t>H166</t>
  </si>
  <si>
    <t>=IF(ISNUMBER(INDEX(Backlog!$R$2:$R$180,MATCH($D166,Backlog!$A$2:$A$180,0))),INDEX(Backlog!$R$2:$R$180,MATCH($D166,Backlog!$A$2:$A$180,0)),"")</t>
  </si>
  <si>
    <t>=IF(ISNUMBER(INDEX(Backlog!$AT$2:$AT$180,MATCH($D166,Backlog!$A$2:$A$180,0))),INDEX(Backlog!$AT$2:$AT$180,MATCH($D166,Backlog!$A$2:$A$180,0)),"")</t>
  </si>
  <si>
    <t>G167</t>
  </si>
  <si>
    <t>=IF(ISNUMBER(INDEX(Backlog!$J$2:$J$180,MATCH($D167,Backlog!$A$2:$A$180,0))),INDEX(Backlog!$J$2:$J$180,MATCH($D167,Backlog!$A$2:$A$180,0)),"")</t>
  </si>
  <si>
    <t>=IF(ISNUMBER(INDEX(Backlog!$AS$2:$AS$180,MATCH($D167,Backlog!$A$2:$A$180,0))),INDEX(Backlog!$AS$2:$AS$180,MATCH($D167,Backlog!$A$2:$A$180,0)),"")</t>
  </si>
  <si>
    <t>H167</t>
  </si>
  <si>
    <t>=IF(ISNUMBER(INDEX(Backlog!$R$2:$R$180,MATCH($D167,Backlog!$A$2:$A$180,0))),INDEX(Backlog!$R$2:$R$180,MATCH($D167,Backlog!$A$2:$A$180,0)),"")</t>
  </si>
  <si>
    <t>=IF(ISNUMBER(INDEX(Backlog!$AT$2:$AT$180,MATCH($D167,Backlog!$A$2:$A$180,0))),INDEX(Backlog!$AT$2:$AT$180,MATCH($D167,Backlog!$A$2:$A$180,0)),"")</t>
  </si>
  <si>
    <t>G168</t>
  </si>
  <si>
    <t>=IF(ISNUMBER(INDEX(Backlog!$J$2:$J$180,MATCH($D168,Backlog!$A$2:$A$180,0))),INDEX(Backlog!$J$2:$J$180,MATCH($D168,Backlog!$A$2:$A$180,0)),"")</t>
  </si>
  <si>
    <t>=IF(ISNUMBER(INDEX(Backlog!$AS$2:$AS$180,MATCH($D168,Backlog!$A$2:$A$180,0))),INDEX(Backlog!$AS$2:$AS$180,MATCH($D168,Backlog!$A$2:$A$180,0)),"")</t>
  </si>
  <si>
    <t>H168</t>
  </si>
  <si>
    <t>=IF(ISNUMBER(INDEX(Backlog!$R$2:$R$180,MATCH($D168,Backlog!$A$2:$A$180,0))),INDEX(Backlog!$R$2:$R$180,MATCH($D168,Backlog!$A$2:$A$180,0)),"")</t>
  </si>
  <si>
    <t>=IF(ISNUMBER(INDEX(Backlog!$AT$2:$AT$180,MATCH($D168,Backlog!$A$2:$A$180,0))),INDEX(Backlog!$AT$2:$AT$180,MATCH($D168,Backlog!$A$2:$A$180,0)),"")</t>
  </si>
  <si>
    <t>G169</t>
  </si>
  <si>
    <t>=IF(ISNUMBER(INDEX(Backlog!$J$2:$J$180,MATCH($D169,Backlog!$A$2:$A$180,0))),INDEX(Backlog!$J$2:$J$180,MATCH($D169,Backlog!$A$2:$A$180,0)),"")</t>
  </si>
  <si>
    <t>=IF(ISNUMBER(INDEX(Backlog!$AS$2:$AS$180,MATCH($D169,Backlog!$A$2:$A$180,0))),INDEX(Backlog!$AS$2:$AS$180,MATCH($D169,Backlog!$A$2:$A$180,0)),"")</t>
  </si>
  <si>
    <t>H169</t>
  </si>
  <si>
    <t>=IF(ISNUMBER(INDEX(Backlog!$R$2:$R$180,MATCH($D169,Backlog!$A$2:$A$180,0))),INDEX(Backlog!$R$2:$R$180,MATCH($D169,Backlog!$A$2:$A$180,0)),"")</t>
  </si>
  <si>
    <t>=IF(ISNUMBER(INDEX(Backlog!$AT$2:$AT$180,MATCH($D169,Backlog!$A$2:$A$180,0))),INDEX(Backlog!$AT$2:$AT$180,MATCH($D169,Backlog!$A$2:$A$180,0)),"")</t>
  </si>
  <si>
    <t>G170</t>
  </si>
  <si>
    <t>=IF(ISNUMBER(INDEX(Backlog!$J$2:$J$180,MATCH($D170,Backlog!$A$2:$A$180,0))),INDEX(Backlog!$J$2:$J$180,MATCH($D170,Backlog!$A$2:$A$180,0)),"")</t>
  </si>
  <si>
    <t>=IF(ISNUMBER(INDEX(Backlog!$AS$2:$AS$180,MATCH($D170,Backlog!$A$2:$A$180,0))),INDEX(Backlog!$AS$2:$AS$180,MATCH($D170,Backlog!$A$2:$A$180,0)),"")</t>
  </si>
  <si>
    <t>H170</t>
  </si>
  <si>
    <t>=IF(ISNUMBER(INDEX(Backlog!$R$2:$R$180,MATCH($D170,Backlog!$A$2:$A$180,0))),INDEX(Backlog!$R$2:$R$180,MATCH($D170,Backlog!$A$2:$A$180,0)),"")</t>
  </si>
  <si>
    <t>=IF(ISNUMBER(INDEX(Backlog!$AT$2:$AT$180,MATCH($D170,Backlog!$A$2:$A$180,0))),INDEX(Backlog!$AT$2:$AT$180,MATCH($D170,Backlog!$A$2:$A$180,0)),"")</t>
  </si>
  <si>
    <t>G171</t>
  </si>
  <si>
    <t>=IF(ISNUMBER(INDEX(Backlog!$J$2:$J$180,MATCH($D171,Backlog!$A$2:$A$180,0))),INDEX(Backlog!$J$2:$J$180,MATCH($D171,Backlog!$A$2:$A$180,0)),"")</t>
  </si>
  <si>
    <t>=IF(ISNUMBER(INDEX(Backlog!$AS$2:$AS$180,MATCH($D171,Backlog!$A$2:$A$180,0))),INDEX(Backlog!$AS$2:$AS$180,MATCH($D171,Backlog!$A$2:$A$180,0)),"")</t>
  </si>
  <si>
    <t>H171</t>
  </si>
  <si>
    <t>=IF(ISNUMBER(INDEX(Backlog!$R$2:$R$180,MATCH($D171,Backlog!$A$2:$A$180,0))),INDEX(Backlog!$R$2:$R$180,MATCH($D171,Backlog!$A$2:$A$180,0)),"")</t>
  </si>
  <si>
    <t>=IF(ISNUMBER(INDEX(Backlog!$AT$2:$AT$180,MATCH($D171,Backlog!$A$2:$A$180,0))),INDEX(Backlog!$AT$2:$AT$180,MATCH($D171,Backlog!$A$2:$A$180,0)),"")</t>
  </si>
  <si>
    <t>G172</t>
  </si>
  <si>
    <t>=IF(ISNUMBER(INDEX(Backlog!$J$2:$J$180,MATCH($D172,Backlog!$A$2:$A$180,0))),INDEX(Backlog!$J$2:$J$180,MATCH($D172,Backlog!$A$2:$A$180,0)),"")</t>
  </si>
  <si>
    <t>=IF(ISNUMBER(INDEX(Backlog!$AS$2:$AS$180,MATCH($D172,Backlog!$A$2:$A$180,0))),INDEX(Backlog!$AS$2:$AS$180,MATCH($D172,Backlog!$A$2:$A$180,0)),"")</t>
  </si>
  <si>
    <t>H172</t>
  </si>
  <si>
    <t>=IF(ISNUMBER(INDEX(Backlog!$R$2:$R$180,MATCH($D172,Backlog!$A$2:$A$180,0))),INDEX(Backlog!$R$2:$R$180,MATCH($D172,Backlog!$A$2:$A$180,0)),"")</t>
  </si>
  <si>
    <t>=IF(ISNUMBER(INDEX(Backlog!$AT$2:$AT$180,MATCH($D172,Backlog!$A$2:$A$180,0))),INDEX(Backlog!$AT$2:$AT$180,MATCH($D172,Backlog!$A$2:$A$180,0)),"")</t>
  </si>
  <si>
    <t>G173</t>
  </si>
  <si>
    <t>=IF(ISNUMBER(INDEX(Backlog!$J$2:$J$180,MATCH($D173,Backlog!$A$2:$A$180,0))),INDEX(Backlog!$J$2:$J$180,MATCH($D173,Backlog!$A$2:$A$180,0)),"")</t>
  </si>
  <si>
    <t>=IF(ISNUMBER(INDEX(Backlog!$AS$2:$AS$180,MATCH($D173,Backlog!$A$2:$A$180,0))),INDEX(Backlog!$AS$2:$AS$180,MATCH($D173,Backlog!$A$2:$A$180,0)),"")</t>
  </si>
  <si>
    <t>H173</t>
  </si>
  <si>
    <t>=IF(ISNUMBER(INDEX(Backlog!$R$2:$R$180,MATCH($D173,Backlog!$A$2:$A$180,0))),INDEX(Backlog!$R$2:$R$180,MATCH($D173,Backlog!$A$2:$A$180,0)),"")</t>
  </si>
  <si>
    <t>=IF(ISNUMBER(INDEX(Backlog!$AT$2:$AT$180,MATCH($D173,Backlog!$A$2:$A$180,0))),INDEX(Backlog!$AT$2:$AT$180,MATCH($D173,Backlog!$A$2:$A$180,0)),"")</t>
  </si>
  <si>
    <t>G174</t>
  </si>
  <si>
    <t>=IF(ISNUMBER(INDEX(Backlog!$J$2:$J$180,MATCH($D174,Backlog!$A$2:$A$180,0))),INDEX(Backlog!$J$2:$J$180,MATCH($D174,Backlog!$A$2:$A$180,0)),"")</t>
  </si>
  <si>
    <t>=IF(ISNUMBER(INDEX(Backlog!$AS$2:$AS$180,MATCH($D174,Backlog!$A$2:$A$180,0))),INDEX(Backlog!$AS$2:$AS$180,MATCH($D174,Backlog!$A$2:$A$180,0)),"")</t>
  </si>
  <si>
    <t>H174</t>
  </si>
  <si>
    <t>=IF(ISNUMBER(INDEX(Backlog!$R$2:$R$180,MATCH($D174,Backlog!$A$2:$A$180,0))),INDEX(Backlog!$R$2:$R$180,MATCH($D174,Backlog!$A$2:$A$180,0)),"")</t>
  </si>
  <si>
    <t>=IF(ISNUMBER(INDEX(Backlog!$AT$2:$AT$180,MATCH($D174,Backlog!$A$2:$A$180,0))),INDEX(Backlog!$AT$2:$AT$180,MATCH($D174,Backlog!$A$2:$A$180,0)),"")</t>
  </si>
  <si>
    <t>G175</t>
  </si>
  <si>
    <t>=IF(ISNUMBER(INDEX(Backlog!$J$2:$J$180,MATCH($D175,Backlog!$A$2:$A$180,0))),INDEX(Backlog!$J$2:$J$180,MATCH($D175,Backlog!$A$2:$A$180,0)),"")</t>
  </si>
  <si>
    <t>=IF(ISNUMBER(INDEX(Backlog!$AS$2:$AS$180,MATCH($D175,Backlog!$A$2:$A$180,0))),INDEX(Backlog!$AS$2:$AS$180,MATCH($D175,Backlog!$A$2:$A$180,0)),"")</t>
  </si>
  <si>
    <t>H175</t>
  </si>
  <si>
    <t>=IF(ISNUMBER(INDEX(Backlog!$R$2:$R$180,MATCH($D175,Backlog!$A$2:$A$180,0))),INDEX(Backlog!$R$2:$R$180,MATCH($D175,Backlog!$A$2:$A$180,0)),"")</t>
  </si>
  <si>
    <t>=IF(ISNUMBER(INDEX(Backlog!$AT$2:$AT$180,MATCH($D175,Backlog!$A$2:$A$180,0))),INDEX(Backlog!$AT$2:$AT$180,MATCH($D175,Backlog!$A$2:$A$180,0)),"")</t>
  </si>
  <si>
    <t>G176</t>
  </si>
  <si>
    <t>=IF(ISNUMBER(INDEX(Backlog!$J$2:$J$180,MATCH($D176,Backlog!$A$2:$A$180,0))),INDEX(Backlog!$J$2:$J$180,MATCH($D176,Backlog!$A$2:$A$180,0)),"")</t>
  </si>
  <si>
    <t>=IF(ISNUMBER(INDEX(Backlog!$AS$2:$AS$180,MATCH($D176,Backlog!$A$2:$A$180,0))),INDEX(Backlog!$AS$2:$AS$180,MATCH($D176,Backlog!$A$2:$A$180,0)),"")</t>
  </si>
  <si>
    <t>H176</t>
  </si>
  <si>
    <t>=IF(ISNUMBER(INDEX(Backlog!$R$2:$R$180,MATCH($D176,Backlog!$A$2:$A$180,0))),INDEX(Backlog!$R$2:$R$180,MATCH($D176,Backlog!$A$2:$A$180,0)),"")</t>
  </si>
  <si>
    <t>=IF(ISNUMBER(INDEX(Backlog!$AT$2:$AT$180,MATCH($D176,Backlog!$A$2:$A$180,0))),INDEX(Backlog!$AT$2:$AT$180,MATCH($D176,Backlog!$A$2:$A$180,0)),"")</t>
  </si>
  <si>
    <t>G177</t>
  </si>
  <si>
    <t>=IF(ISNUMBER(INDEX(Backlog!$J$2:$J$180,MATCH($D177,Backlog!$A$2:$A$180,0))),INDEX(Backlog!$J$2:$J$180,MATCH($D177,Backlog!$A$2:$A$180,0)),"")</t>
  </si>
  <si>
    <t>=IF(ISNUMBER(INDEX(Backlog!$AS$2:$AS$180,MATCH($D177,Backlog!$A$2:$A$180,0))),INDEX(Backlog!$AS$2:$AS$180,MATCH($D177,Backlog!$A$2:$A$180,0)),"")</t>
  </si>
  <si>
    <t>H177</t>
  </si>
  <si>
    <t>=IF(ISNUMBER(INDEX(Backlog!$R$2:$R$180,MATCH($D177,Backlog!$A$2:$A$180,0))),INDEX(Backlog!$R$2:$R$180,MATCH($D177,Backlog!$A$2:$A$180,0)),"")</t>
  </si>
  <si>
    <t>=IF(ISNUMBER(INDEX(Backlog!$AT$2:$AT$180,MATCH($D177,Backlog!$A$2:$A$180,0))),INDEX(Backlog!$AT$2:$AT$180,MATCH($D177,Backlog!$A$2:$A$180,0)),"")</t>
  </si>
  <si>
    <t>G178</t>
  </si>
  <si>
    <t>=IF(ISNUMBER(INDEX(Backlog!$J$2:$J$180,MATCH($D178,Backlog!$A$2:$A$180,0))),INDEX(Backlog!$J$2:$J$180,MATCH($D178,Backlog!$A$2:$A$180,0)),"")</t>
  </si>
  <si>
    <t>=IF(ISNUMBER(INDEX(Backlog!$AS$2:$AS$180,MATCH($D178,Backlog!$A$2:$A$180,0))),INDEX(Backlog!$AS$2:$AS$180,MATCH($D178,Backlog!$A$2:$A$180,0)),"")</t>
  </si>
  <si>
    <t>H178</t>
  </si>
  <si>
    <t>=IF(ISNUMBER(INDEX(Backlog!$R$2:$R$180,MATCH($D178,Backlog!$A$2:$A$180,0))),INDEX(Backlog!$R$2:$R$180,MATCH($D178,Backlog!$A$2:$A$180,0)),"")</t>
  </si>
  <si>
    <t>=IF(ISNUMBER(INDEX(Backlog!$AT$2:$AT$180,MATCH($D178,Backlog!$A$2:$A$180,0))),INDEX(Backlog!$AT$2:$AT$180,MATCH($D178,Backlog!$A$2:$A$180,0)),"")</t>
  </si>
  <si>
    <t>G179</t>
  </si>
  <si>
    <t>=IF(ISNUMBER(INDEX(Backlog!$J$2:$J$180,MATCH($D179,Backlog!$A$2:$A$180,0))),INDEX(Backlog!$J$2:$J$180,MATCH($D179,Backlog!$A$2:$A$180,0)),"")</t>
  </si>
  <si>
    <t>=IF(ISNUMBER(INDEX(Backlog!$AS$2:$AS$180,MATCH($D179,Backlog!$A$2:$A$180,0))),INDEX(Backlog!$AS$2:$AS$180,MATCH($D179,Backlog!$A$2:$A$180,0)),"")</t>
  </si>
  <si>
    <t>H179</t>
  </si>
  <si>
    <t>=IF(ISNUMBER(INDEX(Backlog!$R$2:$R$180,MATCH($D179,Backlog!$A$2:$A$180,0))),INDEX(Backlog!$R$2:$R$180,MATCH($D179,Backlog!$A$2:$A$180,0)),"")</t>
  </si>
  <si>
    <t>=IF(ISNUMBER(INDEX(Backlog!$AT$2:$AT$180,MATCH($D179,Backlog!$A$2:$A$180,0))),INDEX(Backlog!$AT$2:$AT$180,MATCH($D179,Backlog!$A$2:$A$180,0)),"")</t>
  </si>
  <si>
    <t>G180</t>
  </si>
  <si>
    <t>=IF(ISNUMBER(INDEX(Backlog!$J$2:$J$180,MATCH($D180,Backlog!$A$2:$A$180,0))),INDEX(Backlog!$J$2:$J$180,MATCH($D180,Backlog!$A$2:$A$180,0)),"")</t>
  </si>
  <si>
    <t>=IF(ISNUMBER(INDEX(Backlog!$AS$2:$AS$180,MATCH($D180,Backlog!$A$2:$A$180,0))),INDEX(Backlog!$AS$2:$AS$180,MATCH($D180,Backlog!$A$2:$A$180,0)),"")</t>
  </si>
  <si>
    <t>H180</t>
  </si>
  <si>
    <t>=IF(ISNUMBER(INDEX(Backlog!$R$2:$R$180,MATCH($D180,Backlog!$A$2:$A$180,0))),INDEX(Backlog!$R$2:$R$180,MATCH($D180,Backlog!$A$2:$A$180,0)),"")</t>
  </si>
  <si>
    <t>=IF(ISNUMBER(INDEX(Backlog!$AT$2:$AT$180,MATCH($D180,Backlog!$A$2:$A$180,0))),INDEX(Backlog!$AT$2:$AT$180,MATCH($D180,Backlog!$A$2:$A$180,0)),"")</t>
  </si>
  <si>
    <t>G181</t>
  </si>
  <si>
    <t>=IF(ISNUMBER(INDEX(Backlog!$J$2:$J$180,MATCH($D181,Backlog!$A$2:$A$180,0))),INDEX(Backlog!$J$2:$J$180,MATCH($D181,Backlog!$A$2:$A$180,0)),"")</t>
  </si>
  <si>
    <t>=IF(ISNUMBER(INDEX(Backlog!$AS$2:$AS$180,MATCH($D181,Backlog!$A$2:$A$180,0))),INDEX(Backlog!$AS$2:$AS$180,MATCH($D181,Backlog!$A$2:$A$180,0)),"")</t>
  </si>
  <si>
    <t>H181</t>
  </si>
  <si>
    <t>=IF(ISNUMBER(INDEX(Backlog!$R$2:$R$180,MATCH($D181,Backlog!$A$2:$A$180,0))),INDEX(Backlog!$R$2:$R$180,MATCH($D181,Backlog!$A$2:$A$180,0)),"")</t>
  </si>
  <si>
    <t>=IF(ISNUMBER(INDEX(Backlog!$AT$2:$AT$180,MATCH($D181,Backlog!$A$2:$A$180,0))),INDEX(Backlog!$AT$2:$AT$180,MATCH($D181,Backlog!$A$2:$A$180,0)),"")</t>
  </si>
  <si>
    <t>Requirement Traceability — v2.22.1 | mapping from current Backlog; unchanged Design v4.10.3</t>
  </si>
  <si>
    <t>=IF(ISNUMBER(INDEX(Backlog!$R$2:$R$180,MATCH($A2,Backlog!$A$2:$A$180,0))),INDEX(Backlog!$R$2:$R$180,MATCH($A2,Backlog!$A$2:$A$180,0)),"")</t>
  </si>
  <si>
    <t>=IF(ISNUMBER(INDEX(Backlog!$AT$2:$AT$180,MATCH($A2,Backlog!$A$2:$A$180,0))),INDEX(Backlog!$AT$2:$AT$180,MATCH($A2,Backlog!$A$2:$A$180,0)),"")</t>
  </si>
  <si>
    <t>=IF(ISNUMBER(INDEX(Backlog!$R$2:$R$180,MATCH($A3,Backlog!$A$2:$A$180,0))),INDEX(Backlog!$R$2:$R$180,MATCH($A3,Backlog!$A$2:$A$180,0)),"")</t>
  </si>
  <si>
    <t>=IF(ISNUMBER(INDEX(Backlog!$AT$2:$AT$180,MATCH($A3,Backlog!$A$2:$A$180,0))),INDEX(Backlog!$AT$2:$AT$180,MATCH($A3,Backlog!$A$2:$A$180,0)),"")</t>
  </si>
  <si>
    <t>=IF(ISNUMBER(INDEX(Backlog!$R$2:$R$180,MATCH($A4,Backlog!$A$2:$A$180,0))),INDEX(Backlog!$R$2:$R$180,MATCH($A4,Backlog!$A$2:$A$180,0)),"")</t>
  </si>
  <si>
    <t>=IF(ISNUMBER(INDEX(Backlog!$AT$2:$AT$180,MATCH($A4,Backlog!$A$2:$A$180,0))),INDEX(Backlog!$AT$2:$AT$180,MATCH($A4,Backlog!$A$2:$A$180,0)),"")</t>
  </si>
  <si>
    <t>=IF(ISNUMBER(INDEX(Backlog!$R$2:$R$180,MATCH($A5,Backlog!$A$2:$A$180,0))),INDEX(Backlog!$R$2:$R$180,MATCH($A5,Backlog!$A$2:$A$180,0)),"")</t>
  </si>
  <si>
    <t>=IF(ISNUMBER(INDEX(Backlog!$AT$2:$AT$180,MATCH($A5,Backlog!$A$2:$A$180,0))),INDEX(Backlog!$AT$2:$AT$180,MATCH($A5,Backlog!$A$2:$A$180,0)),"")</t>
  </si>
  <si>
    <t>=IF(ISNUMBER(INDEX(Backlog!$R$2:$R$180,MATCH($A6,Backlog!$A$2:$A$180,0))),INDEX(Backlog!$R$2:$R$180,MATCH($A6,Backlog!$A$2:$A$180,0)),"")</t>
  </si>
  <si>
    <t>=IF(ISNUMBER(INDEX(Backlog!$AT$2:$AT$180,MATCH($A6,Backlog!$A$2:$A$180,0))),INDEX(Backlog!$AT$2:$AT$180,MATCH($A6,Backlog!$A$2:$A$180,0)),"")</t>
  </si>
  <si>
    <t>=IF(ISNUMBER(INDEX(Backlog!$R$2:$R$180,MATCH($A7,Backlog!$A$2:$A$180,0))),INDEX(Backlog!$R$2:$R$180,MATCH($A7,Backlog!$A$2:$A$180,0)),"")</t>
  </si>
  <si>
    <t>=IF(ISNUMBER(INDEX(Backlog!$AT$2:$AT$180,MATCH($A7,Backlog!$A$2:$A$180,0))),INDEX(Backlog!$AT$2:$AT$180,MATCH($A7,Backlog!$A$2:$A$180,0)),"")</t>
  </si>
  <si>
    <t>=IF(ISNUMBER(INDEX(Backlog!$R$2:$R$180,MATCH($A8,Backlog!$A$2:$A$180,0))),INDEX(Backlog!$R$2:$R$180,MATCH($A8,Backlog!$A$2:$A$180,0)),"")</t>
  </si>
  <si>
    <t>=IF(ISNUMBER(INDEX(Backlog!$AT$2:$AT$180,MATCH($A8,Backlog!$A$2:$A$180,0))),INDEX(Backlog!$AT$2:$AT$180,MATCH($A8,Backlog!$A$2:$A$180,0)),"")</t>
  </si>
  <si>
    <t>=IF(ISNUMBER(INDEX(Backlog!$R$2:$R$180,MATCH($A9,Backlog!$A$2:$A$180,0))),INDEX(Backlog!$R$2:$R$180,MATCH($A9,Backlog!$A$2:$A$180,0)),"")</t>
  </si>
  <si>
    <t>=IF(ISNUMBER(INDEX(Backlog!$AT$2:$AT$180,MATCH($A9,Backlog!$A$2:$A$180,0))),INDEX(Backlog!$AT$2:$AT$180,MATCH($A9,Backlog!$A$2:$A$180,0)),"")</t>
  </si>
  <si>
    <t>F10</t>
  </si>
  <si>
    <t>=IF(ISNUMBER(INDEX(Backlog!$R$2:$R$180,MATCH($A10,Backlog!$A$2:$A$180,0))),INDEX(Backlog!$R$2:$R$180,MATCH($A10,Backlog!$A$2:$A$180,0)),"")</t>
  </si>
  <si>
    <t>=IF(ISNUMBER(INDEX(Backlog!$AT$2:$AT$180,MATCH($A10,Backlog!$A$2:$A$180,0))),INDEX(Backlog!$AT$2:$AT$180,MATCH($A10,Backlog!$A$2:$A$180,0)),"")</t>
  </si>
  <si>
    <t>F11</t>
  </si>
  <si>
    <t>=IF(ISNUMBER(INDEX(Backlog!$R$2:$R$180,MATCH($A11,Backlog!$A$2:$A$180,0))),INDEX(Backlog!$R$2:$R$180,MATCH($A11,Backlog!$A$2:$A$180,0)),"")</t>
  </si>
  <si>
    <t>=IF(ISNUMBER(INDEX(Backlog!$AT$2:$AT$180,MATCH($A11,Backlog!$A$2:$A$180,0))),INDEX(Backlog!$AT$2:$AT$180,MATCH($A11,Backlog!$A$2:$A$180,0)),"")</t>
  </si>
  <si>
    <t>F12</t>
  </si>
  <si>
    <t>=IF(ISNUMBER(INDEX(Backlog!$R$2:$R$180,MATCH($A12,Backlog!$A$2:$A$180,0))),INDEX(Backlog!$R$2:$R$180,MATCH($A12,Backlog!$A$2:$A$180,0)),"")</t>
  </si>
  <si>
    <t>=IF(ISNUMBER(INDEX(Backlog!$AT$2:$AT$180,MATCH($A12,Backlog!$A$2:$A$180,0))),INDEX(Backlog!$AT$2:$AT$180,MATCH($A12,Backlog!$A$2:$A$180,0)),"")</t>
  </si>
  <si>
    <t>F13</t>
  </si>
  <si>
    <t>=IF(ISNUMBER(INDEX(Backlog!$R$2:$R$180,MATCH($A13,Backlog!$A$2:$A$180,0))),INDEX(Backlog!$R$2:$R$180,MATCH($A13,Backlog!$A$2:$A$180,0)),"")</t>
  </si>
  <si>
    <t>=IF(ISNUMBER(INDEX(Backlog!$AT$2:$AT$180,MATCH($A13,Backlog!$A$2:$A$180,0))),INDEX(Backlog!$AT$2:$AT$180,MATCH($A13,Backlog!$A$2:$A$180,0)),"")</t>
  </si>
  <si>
    <t>F14</t>
  </si>
  <si>
    <t>=IF(ISNUMBER(INDEX(Backlog!$R$2:$R$180,MATCH($A14,Backlog!$A$2:$A$180,0))),INDEX(Backlog!$R$2:$R$180,MATCH($A14,Backlog!$A$2:$A$180,0)),"")</t>
  </si>
  <si>
    <t>=IF(ISNUMBER(INDEX(Backlog!$AT$2:$AT$180,MATCH($A14,Backlog!$A$2:$A$180,0))),INDEX(Backlog!$AT$2:$AT$180,MATCH($A14,Backlog!$A$2:$A$180,0)),"")</t>
  </si>
  <si>
    <t>F15</t>
  </si>
  <si>
    <t>=IF(ISNUMBER(INDEX(Backlog!$R$2:$R$180,MATCH($A15,Backlog!$A$2:$A$180,0))),INDEX(Backlog!$R$2:$R$180,MATCH($A15,Backlog!$A$2:$A$180,0)),"")</t>
  </si>
  <si>
    <t>=IF(ISNUMBER(INDEX(Backlog!$AT$2:$AT$180,MATCH($A15,Backlog!$A$2:$A$180,0))),INDEX(Backlog!$AT$2:$AT$180,MATCH($A15,Backlog!$A$2:$A$180,0)),"")</t>
  </si>
  <si>
    <t>F16</t>
  </si>
  <si>
    <t>=IF(ISNUMBER(INDEX(Backlog!$R$2:$R$180,MATCH($A16,Backlog!$A$2:$A$180,0))),INDEX(Backlog!$R$2:$R$180,MATCH($A16,Backlog!$A$2:$A$180,0)),"")</t>
  </si>
  <si>
    <t>=IF(ISNUMBER(INDEX(Backlog!$AT$2:$AT$180,MATCH($A16,Backlog!$A$2:$A$180,0))),INDEX(Backlog!$AT$2:$AT$180,MATCH($A16,Backlog!$A$2:$A$180,0)),"")</t>
  </si>
  <si>
    <t>F17</t>
  </si>
  <si>
    <t>=IF(ISNUMBER(INDEX(Backlog!$R$2:$R$180,MATCH($A17,Backlog!$A$2:$A$180,0))),INDEX(Backlog!$R$2:$R$180,MATCH($A17,Backlog!$A$2:$A$180,0)),"")</t>
  </si>
  <si>
    <t>=IF(ISNUMBER(INDEX(Backlog!$AT$2:$AT$180,MATCH($A17,Backlog!$A$2:$A$180,0))),INDEX(Backlog!$AT$2:$AT$180,MATCH($A17,Backlog!$A$2:$A$180,0)),"")</t>
  </si>
  <si>
    <t>F18</t>
  </si>
  <si>
    <t>=IF(ISNUMBER(INDEX(Backlog!$R$2:$R$180,MATCH($A18,Backlog!$A$2:$A$180,0))),INDEX(Backlog!$R$2:$R$180,MATCH($A18,Backlog!$A$2:$A$180,0)),"")</t>
  </si>
  <si>
    <t>=IF(ISNUMBER(INDEX(Backlog!$AT$2:$AT$180,MATCH($A18,Backlog!$A$2:$A$180,0))),INDEX(Backlog!$AT$2:$AT$180,MATCH($A18,Backlog!$A$2:$A$180,0)),"")</t>
  </si>
  <si>
    <t>F19</t>
  </si>
  <si>
    <t>=IF(ISNUMBER(INDEX(Backlog!$R$2:$R$180,MATCH($A19,Backlog!$A$2:$A$180,0))),INDEX(Backlog!$R$2:$R$180,MATCH($A19,Backlog!$A$2:$A$180,0)),"")</t>
  </si>
  <si>
    <t>=IF(ISNUMBER(INDEX(Backlog!$AT$2:$AT$180,MATCH($A19,Backlog!$A$2:$A$180,0))),INDEX(Backlog!$AT$2:$AT$180,MATCH($A19,Backlog!$A$2:$A$180,0)),"")</t>
  </si>
  <si>
    <t>F20</t>
  </si>
  <si>
    <t>=IF(ISNUMBER(INDEX(Backlog!$R$2:$R$180,MATCH($A20,Backlog!$A$2:$A$180,0))),INDEX(Backlog!$R$2:$R$180,MATCH($A20,Backlog!$A$2:$A$180,0)),"")</t>
  </si>
  <si>
    <t>=IF(ISNUMBER(INDEX(Backlog!$AT$2:$AT$180,MATCH($A20,Backlog!$A$2:$A$180,0))),INDEX(Backlog!$AT$2:$AT$180,MATCH($A20,Backlog!$A$2:$A$180,0)),"")</t>
  </si>
  <si>
    <t>F21</t>
  </si>
  <si>
    <t>=IF(ISNUMBER(INDEX(Backlog!$R$2:$R$180,MATCH($A21,Backlog!$A$2:$A$180,0))),INDEX(Backlog!$R$2:$R$180,MATCH($A21,Backlog!$A$2:$A$180,0)),"")</t>
  </si>
  <si>
    <t>=IF(ISNUMBER(INDEX(Backlog!$AT$2:$AT$180,MATCH($A21,Backlog!$A$2:$A$180,0))),INDEX(Backlog!$AT$2:$AT$180,MATCH($A21,Backlog!$A$2:$A$180,0)),"")</t>
  </si>
  <si>
    <t>F22</t>
  </si>
  <si>
    <t>=IF(ISNUMBER(INDEX(Backlog!$R$2:$R$180,MATCH($A22,Backlog!$A$2:$A$180,0))),INDEX(Backlog!$R$2:$R$180,MATCH($A22,Backlog!$A$2:$A$180,0)),"")</t>
  </si>
  <si>
    <t>=IF(ISNUMBER(INDEX(Backlog!$AT$2:$AT$180,MATCH($A22,Backlog!$A$2:$A$180,0))),INDEX(Backlog!$AT$2:$AT$180,MATCH($A22,Backlog!$A$2:$A$180,0)),"")</t>
  </si>
  <si>
    <t>F23</t>
  </si>
  <si>
    <t>=IF(ISNUMBER(INDEX(Backlog!$R$2:$R$180,MATCH($A23,Backlog!$A$2:$A$180,0))),INDEX(Backlog!$R$2:$R$180,MATCH($A23,Backlog!$A$2:$A$180,0)),"")</t>
  </si>
  <si>
    <t>=IF(ISNUMBER(INDEX(Backlog!$AT$2:$AT$180,MATCH($A23,Backlog!$A$2:$A$180,0))),INDEX(Backlog!$AT$2:$AT$180,MATCH($A23,Backlog!$A$2:$A$180,0)),"")</t>
  </si>
  <si>
    <t>F24</t>
  </si>
  <si>
    <t>=IF(ISNUMBER(INDEX(Backlog!$R$2:$R$180,MATCH($A24,Backlog!$A$2:$A$180,0))),INDEX(Backlog!$R$2:$R$180,MATCH($A24,Backlog!$A$2:$A$180,0)),"")</t>
  </si>
  <si>
    <t>=IF(ISNUMBER(INDEX(Backlog!$AT$2:$AT$180,MATCH($A24,Backlog!$A$2:$A$180,0))),INDEX(Backlog!$AT$2:$AT$180,MATCH($A24,Backlog!$A$2:$A$180,0)),"")</t>
  </si>
  <si>
    <t>F25</t>
  </si>
  <si>
    <t>=IF(ISNUMBER(INDEX(Backlog!$R$2:$R$180,MATCH($A25,Backlog!$A$2:$A$180,0))),INDEX(Backlog!$R$2:$R$180,MATCH($A25,Backlog!$A$2:$A$180,0)),"")</t>
  </si>
  <si>
    <t>=IF(ISNUMBER(INDEX(Backlog!$AT$2:$AT$180,MATCH($A25,Backlog!$A$2:$A$180,0))),INDEX(Backlog!$AT$2:$AT$180,MATCH($A25,Backlog!$A$2:$A$180,0)),"")</t>
  </si>
  <si>
    <t>F26</t>
  </si>
  <si>
    <t>=IF(ISNUMBER(INDEX(Backlog!$R$2:$R$180,MATCH($A26,Backlog!$A$2:$A$180,0))),INDEX(Backlog!$R$2:$R$180,MATCH($A26,Backlog!$A$2:$A$180,0)),"")</t>
  </si>
  <si>
    <t>=IF(ISNUMBER(INDEX(Backlog!$AT$2:$AT$180,MATCH($A26,Backlog!$A$2:$A$180,0))),INDEX(Backlog!$AT$2:$AT$180,MATCH($A26,Backlog!$A$2:$A$180,0)),"")</t>
  </si>
  <si>
    <t>F27</t>
  </si>
  <si>
    <t>=IF(ISNUMBER(INDEX(Backlog!$R$2:$R$180,MATCH($A27,Backlog!$A$2:$A$180,0))),INDEX(Backlog!$R$2:$R$180,MATCH($A27,Backlog!$A$2:$A$180,0)),"")</t>
  </si>
  <si>
    <t>=IF(ISNUMBER(INDEX(Backlog!$AT$2:$AT$180,MATCH($A27,Backlog!$A$2:$A$180,0))),INDEX(Backlog!$AT$2:$AT$180,MATCH($A27,Backlog!$A$2:$A$180,0)),"")</t>
  </si>
  <si>
    <t>F28</t>
  </si>
  <si>
    <t>=IF(ISNUMBER(INDEX(Backlog!$R$2:$R$180,MATCH($A28,Backlog!$A$2:$A$180,0))),INDEX(Backlog!$R$2:$R$180,MATCH($A28,Backlog!$A$2:$A$180,0)),"")</t>
  </si>
  <si>
    <t>=IF(ISNUMBER(INDEX(Backlog!$AT$2:$AT$180,MATCH($A28,Backlog!$A$2:$A$180,0))),INDEX(Backlog!$AT$2:$AT$180,MATCH($A28,Backlog!$A$2:$A$180,0)),"")</t>
  </si>
  <si>
    <t>F29</t>
  </si>
  <si>
    <t>=IF(ISNUMBER(INDEX(Backlog!$R$2:$R$180,MATCH($A29,Backlog!$A$2:$A$180,0))),INDEX(Backlog!$R$2:$R$180,MATCH($A29,Backlog!$A$2:$A$180,0)),"")</t>
  </si>
  <si>
    <t>=IF(ISNUMBER(INDEX(Backlog!$AT$2:$AT$180,MATCH($A29,Backlog!$A$2:$A$180,0))),INDEX(Backlog!$AT$2:$AT$180,MATCH($A29,Backlog!$A$2:$A$180,0)),"")</t>
  </si>
  <si>
    <t>F30</t>
  </si>
  <si>
    <t>=IF(ISNUMBER(INDEX(Backlog!$R$2:$R$180,MATCH($A30,Backlog!$A$2:$A$180,0))),INDEX(Backlog!$R$2:$R$180,MATCH($A30,Backlog!$A$2:$A$180,0)),"")</t>
  </si>
  <si>
    <t>=IF(ISNUMBER(INDEX(Backlog!$AT$2:$AT$180,MATCH($A30,Backlog!$A$2:$A$180,0))),INDEX(Backlog!$AT$2:$AT$180,MATCH($A30,Backlog!$A$2:$A$180,0)),"")</t>
  </si>
  <si>
    <t>F31</t>
  </si>
  <si>
    <t>=IF(ISNUMBER(INDEX(Backlog!$R$2:$R$180,MATCH($A31,Backlog!$A$2:$A$180,0))),INDEX(Backlog!$R$2:$R$180,MATCH($A31,Backlog!$A$2:$A$180,0)),"")</t>
  </si>
  <si>
    <t>=IF(ISNUMBER(INDEX(Backlog!$AT$2:$AT$180,MATCH($A31,Backlog!$A$2:$A$180,0))),INDEX(Backlog!$AT$2:$AT$180,MATCH($A31,Backlog!$A$2:$A$180,0)),"")</t>
  </si>
  <si>
    <t>F32</t>
  </si>
  <si>
    <t>=IF(ISNUMBER(INDEX(Backlog!$R$2:$R$180,MATCH($A32,Backlog!$A$2:$A$180,0))),INDEX(Backlog!$R$2:$R$180,MATCH($A32,Backlog!$A$2:$A$180,0)),"")</t>
  </si>
  <si>
    <t>=IF(ISNUMBER(INDEX(Backlog!$AT$2:$AT$180,MATCH($A32,Backlog!$A$2:$A$180,0))),INDEX(Backlog!$AT$2:$AT$180,MATCH($A32,Backlog!$A$2:$A$180,0)),"")</t>
  </si>
  <si>
    <t>F33</t>
  </si>
  <si>
    <t>=IF(ISNUMBER(INDEX(Backlog!$R$2:$R$180,MATCH($A33,Backlog!$A$2:$A$180,0))),INDEX(Backlog!$R$2:$R$180,MATCH($A33,Backlog!$A$2:$A$180,0)),"")</t>
  </si>
  <si>
    <t>=IF(ISNUMBER(INDEX(Backlog!$AT$2:$AT$180,MATCH($A33,Backlog!$A$2:$A$180,0))),INDEX(Backlog!$AT$2:$AT$180,MATCH($A33,Backlog!$A$2:$A$180,0)),"")</t>
  </si>
  <si>
    <t>F34</t>
  </si>
  <si>
    <t>=IF(ISNUMBER(INDEX(Backlog!$R$2:$R$180,MATCH($A34,Backlog!$A$2:$A$180,0))),INDEX(Backlog!$R$2:$R$180,MATCH($A34,Backlog!$A$2:$A$180,0)),"")</t>
  </si>
  <si>
    <t>=IF(ISNUMBER(INDEX(Backlog!$AT$2:$AT$180,MATCH($A34,Backlog!$A$2:$A$180,0))),INDEX(Backlog!$AT$2:$AT$180,MATCH($A34,Backlog!$A$2:$A$180,0)),"")</t>
  </si>
  <si>
    <t>F35</t>
  </si>
  <si>
    <t>=IF(ISNUMBER(INDEX(Backlog!$R$2:$R$180,MATCH($A35,Backlog!$A$2:$A$180,0))),INDEX(Backlog!$R$2:$R$180,MATCH($A35,Backlog!$A$2:$A$180,0)),"")</t>
  </si>
  <si>
    <t>=IF(ISNUMBER(INDEX(Backlog!$AT$2:$AT$180,MATCH($A35,Backlog!$A$2:$A$180,0))),INDEX(Backlog!$AT$2:$AT$180,MATCH($A35,Backlog!$A$2:$A$180,0)),"")</t>
  </si>
  <si>
    <t>F36</t>
  </si>
  <si>
    <t>=IF(ISNUMBER(INDEX(Backlog!$R$2:$R$180,MATCH($A36,Backlog!$A$2:$A$180,0))),INDEX(Backlog!$R$2:$R$180,MATCH($A36,Backlog!$A$2:$A$180,0)),"")</t>
  </si>
  <si>
    <t>=IF(ISNUMBER(INDEX(Backlog!$AT$2:$AT$180,MATCH($A36,Backlog!$A$2:$A$180,0))),INDEX(Backlog!$AT$2:$AT$180,MATCH($A36,Backlog!$A$2:$A$180,0)),"")</t>
  </si>
  <si>
    <t>F37</t>
  </si>
  <si>
    <t>=IF(ISNUMBER(INDEX(Backlog!$R$2:$R$180,MATCH($A37,Backlog!$A$2:$A$180,0))),INDEX(Backlog!$R$2:$R$180,MATCH($A37,Backlog!$A$2:$A$180,0)),"")</t>
  </si>
  <si>
    <t>=IF(ISNUMBER(INDEX(Backlog!$AT$2:$AT$180,MATCH($A37,Backlog!$A$2:$A$180,0))),INDEX(Backlog!$AT$2:$AT$180,MATCH($A37,Backlog!$A$2:$A$180,0)),"")</t>
  </si>
  <si>
    <t>F38</t>
  </si>
  <si>
    <t>=IF(ISNUMBER(INDEX(Backlog!$R$2:$R$180,MATCH($A38,Backlog!$A$2:$A$180,0))),INDEX(Backlog!$R$2:$R$180,MATCH($A38,Backlog!$A$2:$A$180,0)),"")</t>
  </si>
  <si>
    <t>=IF(ISNUMBER(INDEX(Backlog!$AT$2:$AT$180,MATCH($A38,Backlog!$A$2:$A$180,0))),INDEX(Backlog!$AT$2:$AT$180,MATCH($A38,Backlog!$A$2:$A$180,0)),"")</t>
  </si>
  <si>
    <t>F39</t>
  </si>
  <si>
    <t>=IF(ISNUMBER(INDEX(Backlog!$R$2:$R$180,MATCH($A39,Backlog!$A$2:$A$180,0))),INDEX(Backlog!$R$2:$R$180,MATCH($A39,Backlog!$A$2:$A$180,0)),"")</t>
  </si>
  <si>
    <t>=IF(ISNUMBER(INDEX(Backlog!$AT$2:$AT$180,MATCH($A39,Backlog!$A$2:$A$180,0))),INDEX(Backlog!$AT$2:$AT$180,MATCH($A39,Backlog!$A$2:$A$180,0)),"")</t>
  </si>
  <si>
    <t>F40</t>
  </si>
  <si>
    <t>=IF(ISNUMBER(INDEX(Backlog!$R$2:$R$180,MATCH($A40,Backlog!$A$2:$A$180,0))),INDEX(Backlog!$R$2:$R$180,MATCH($A40,Backlog!$A$2:$A$180,0)),"")</t>
  </si>
  <si>
    <t>=IF(ISNUMBER(INDEX(Backlog!$AT$2:$AT$180,MATCH($A40,Backlog!$A$2:$A$180,0))),INDEX(Backlog!$AT$2:$AT$180,MATCH($A40,Backlog!$A$2:$A$180,0)),"")</t>
  </si>
  <si>
    <t>F41</t>
  </si>
  <si>
    <t>=IF(ISNUMBER(INDEX(Backlog!$R$2:$R$180,MATCH($A41,Backlog!$A$2:$A$180,0))),INDEX(Backlog!$R$2:$R$180,MATCH($A41,Backlog!$A$2:$A$180,0)),"")</t>
  </si>
  <si>
    <t>=IF(ISNUMBER(INDEX(Backlog!$AT$2:$AT$180,MATCH($A41,Backlog!$A$2:$A$180,0))),INDEX(Backlog!$AT$2:$AT$180,MATCH($A41,Backlog!$A$2:$A$180,0)),"")</t>
  </si>
  <si>
    <t>F42</t>
  </si>
  <si>
    <t>=IF(ISNUMBER(INDEX(Backlog!$R$2:$R$180,MATCH($A42,Backlog!$A$2:$A$180,0))),INDEX(Backlog!$R$2:$R$180,MATCH($A42,Backlog!$A$2:$A$180,0)),"")</t>
  </si>
  <si>
    <t>=IF(ISNUMBER(INDEX(Backlog!$AT$2:$AT$180,MATCH($A42,Backlog!$A$2:$A$180,0))),INDEX(Backlog!$AT$2:$AT$180,MATCH($A42,Backlog!$A$2:$A$180,0)),"")</t>
  </si>
  <si>
    <t>F43</t>
  </si>
  <si>
    <t>=IF(ISNUMBER(INDEX(Backlog!$R$2:$R$180,MATCH($A43,Backlog!$A$2:$A$180,0))),INDEX(Backlog!$R$2:$R$180,MATCH($A43,Backlog!$A$2:$A$180,0)),"")</t>
  </si>
  <si>
    <t>=IF(ISNUMBER(INDEX(Backlog!$AT$2:$AT$180,MATCH($A43,Backlog!$A$2:$A$180,0))),INDEX(Backlog!$AT$2:$AT$180,MATCH($A43,Backlog!$A$2:$A$180,0)),"")</t>
  </si>
  <si>
    <t>F44</t>
  </si>
  <si>
    <t>=IF(ISNUMBER(INDEX(Backlog!$R$2:$R$180,MATCH($A44,Backlog!$A$2:$A$180,0))),INDEX(Backlog!$R$2:$R$180,MATCH($A44,Backlog!$A$2:$A$180,0)),"")</t>
  </si>
  <si>
    <t>=IF(ISNUMBER(INDEX(Backlog!$AT$2:$AT$180,MATCH($A44,Backlog!$A$2:$A$180,0))),INDEX(Backlog!$AT$2:$AT$180,MATCH($A44,Backlog!$A$2:$A$180,0)),"")</t>
  </si>
  <si>
    <t>F45</t>
  </si>
  <si>
    <t>=IF(ISNUMBER(INDEX(Backlog!$R$2:$R$180,MATCH($A45,Backlog!$A$2:$A$180,0))),INDEX(Backlog!$R$2:$R$180,MATCH($A45,Backlog!$A$2:$A$180,0)),"")</t>
  </si>
  <si>
    <t>=IF(ISNUMBER(INDEX(Backlog!$AT$2:$AT$180,MATCH($A45,Backlog!$A$2:$A$180,0))),INDEX(Backlog!$AT$2:$AT$180,MATCH($A45,Backlog!$A$2:$A$180,0)),"")</t>
  </si>
  <si>
    <t>F46</t>
  </si>
  <si>
    <t>=IF(ISNUMBER(INDEX(Backlog!$R$2:$R$180,MATCH($A46,Backlog!$A$2:$A$180,0))),INDEX(Backlog!$R$2:$R$180,MATCH($A46,Backlog!$A$2:$A$180,0)),"")</t>
  </si>
  <si>
    <t>=IF(ISNUMBER(INDEX(Backlog!$AT$2:$AT$180,MATCH($A46,Backlog!$A$2:$A$180,0))),INDEX(Backlog!$AT$2:$AT$180,MATCH($A46,Backlog!$A$2:$A$180,0)),"")</t>
  </si>
  <si>
    <t>F47</t>
  </si>
  <si>
    <t>=IF(ISNUMBER(INDEX(Backlog!$R$2:$R$180,MATCH($A47,Backlog!$A$2:$A$180,0))),INDEX(Backlog!$R$2:$R$180,MATCH($A47,Backlog!$A$2:$A$180,0)),"")</t>
  </si>
  <si>
    <t>=IF(ISNUMBER(INDEX(Backlog!$AT$2:$AT$180,MATCH($A47,Backlog!$A$2:$A$180,0))),INDEX(Backlog!$AT$2:$AT$180,MATCH($A47,Backlog!$A$2:$A$180,0)),"")</t>
  </si>
  <si>
    <t>F48</t>
  </si>
  <si>
    <t>=IF(ISNUMBER(INDEX(Backlog!$R$2:$R$180,MATCH($A48,Backlog!$A$2:$A$180,0))),INDEX(Backlog!$R$2:$R$180,MATCH($A48,Backlog!$A$2:$A$180,0)),"")</t>
  </si>
  <si>
    <t>=IF(ISNUMBER(INDEX(Backlog!$AT$2:$AT$180,MATCH($A48,Backlog!$A$2:$A$180,0))),INDEX(Backlog!$AT$2:$AT$180,MATCH($A48,Backlog!$A$2:$A$180,0)),"")</t>
  </si>
  <si>
    <t>F49</t>
  </si>
  <si>
    <t>=IF(ISNUMBER(INDEX(Backlog!$R$2:$R$180,MATCH($A49,Backlog!$A$2:$A$180,0))),INDEX(Backlog!$R$2:$R$180,MATCH($A49,Backlog!$A$2:$A$180,0)),"")</t>
  </si>
  <si>
    <t>=IF(ISNUMBER(INDEX(Backlog!$AT$2:$AT$180,MATCH($A49,Backlog!$A$2:$A$180,0))),INDEX(Backlog!$AT$2:$AT$180,MATCH($A49,Backlog!$A$2:$A$180,0)),"")</t>
  </si>
  <si>
    <t>F50</t>
  </si>
  <si>
    <t>=IF(ISNUMBER(INDEX(Backlog!$R$2:$R$180,MATCH($A50,Backlog!$A$2:$A$180,0))),INDEX(Backlog!$R$2:$R$180,MATCH($A50,Backlog!$A$2:$A$180,0)),"")</t>
  </si>
  <si>
    <t>=IF(ISNUMBER(INDEX(Backlog!$AT$2:$AT$180,MATCH($A50,Backlog!$A$2:$A$180,0))),INDEX(Backlog!$AT$2:$AT$180,MATCH($A50,Backlog!$A$2:$A$180,0)),"")</t>
  </si>
  <si>
    <t>F51</t>
  </si>
  <si>
    <t>=IF(ISNUMBER(INDEX(Backlog!$R$2:$R$180,MATCH($A51,Backlog!$A$2:$A$180,0))),INDEX(Backlog!$R$2:$R$180,MATCH($A51,Backlog!$A$2:$A$180,0)),"")</t>
  </si>
  <si>
    <t>=IF(ISNUMBER(INDEX(Backlog!$AT$2:$AT$180,MATCH($A51,Backlog!$A$2:$A$180,0))),INDEX(Backlog!$AT$2:$AT$180,MATCH($A51,Backlog!$A$2:$A$180,0)),"")</t>
  </si>
  <si>
    <t>F52</t>
  </si>
  <si>
    <t>=IF(ISNUMBER(INDEX(Backlog!$R$2:$R$180,MATCH($A52,Backlog!$A$2:$A$180,0))),INDEX(Backlog!$R$2:$R$180,MATCH($A52,Backlog!$A$2:$A$180,0)),"")</t>
  </si>
  <si>
    <t>=IF(ISNUMBER(INDEX(Backlog!$AT$2:$AT$180,MATCH($A52,Backlog!$A$2:$A$180,0))),INDEX(Backlog!$AT$2:$AT$180,MATCH($A52,Backlog!$A$2:$A$180,0)),"")</t>
  </si>
  <si>
    <t>F53</t>
  </si>
  <si>
    <t>=IF(ISNUMBER(INDEX(Backlog!$R$2:$R$180,MATCH($A53,Backlog!$A$2:$A$180,0))),INDEX(Backlog!$R$2:$R$180,MATCH($A53,Backlog!$A$2:$A$180,0)),"")</t>
  </si>
  <si>
    <t>=IF(ISNUMBER(INDEX(Backlog!$AT$2:$AT$180,MATCH($A53,Backlog!$A$2:$A$180,0))),INDEX(Backlog!$AT$2:$AT$180,MATCH($A53,Backlog!$A$2:$A$180,0)),"")</t>
  </si>
  <si>
    <t>F54</t>
  </si>
  <si>
    <t>=IF(ISNUMBER(INDEX(Backlog!$R$2:$R$180,MATCH($A54,Backlog!$A$2:$A$180,0))),INDEX(Backlog!$R$2:$R$180,MATCH($A54,Backlog!$A$2:$A$180,0)),"")</t>
  </si>
  <si>
    <t>=IF(ISNUMBER(INDEX(Backlog!$AT$2:$AT$180,MATCH($A54,Backlog!$A$2:$A$180,0))),INDEX(Backlog!$AT$2:$AT$180,MATCH($A54,Backlog!$A$2:$A$180,0)),"")</t>
  </si>
  <si>
    <t>F55</t>
  </si>
  <si>
    <t>=IF(ISNUMBER(INDEX(Backlog!$R$2:$R$180,MATCH($A55,Backlog!$A$2:$A$180,0))),INDEX(Backlog!$R$2:$R$180,MATCH($A55,Backlog!$A$2:$A$180,0)),"")</t>
  </si>
  <si>
    <t>=IF(ISNUMBER(INDEX(Backlog!$AT$2:$AT$180,MATCH($A55,Backlog!$A$2:$A$180,0))),INDEX(Backlog!$AT$2:$AT$180,MATCH($A55,Backlog!$A$2:$A$180,0)),"")</t>
  </si>
  <si>
    <t>F56</t>
  </si>
  <si>
    <t>=IF(ISNUMBER(INDEX(Backlog!$R$2:$R$180,MATCH($A56,Backlog!$A$2:$A$180,0))),INDEX(Backlog!$R$2:$R$180,MATCH($A56,Backlog!$A$2:$A$180,0)),"")</t>
  </si>
  <si>
    <t>=IF(ISNUMBER(INDEX(Backlog!$AT$2:$AT$180,MATCH($A56,Backlog!$A$2:$A$180,0))),INDEX(Backlog!$AT$2:$AT$180,MATCH($A56,Backlog!$A$2:$A$180,0)),"")</t>
  </si>
  <si>
    <t>F57</t>
  </si>
  <si>
    <t>=IF(ISNUMBER(INDEX(Backlog!$R$2:$R$180,MATCH($A57,Backlog!$A$2:$A$180,0))),INDEX(Backlog!$R$2:$R$180,MATCH($A57,Backlog!$A$2:$A$180,0)),"")</t>
  </si>
  <si>
    <t>=IF(ISNUMBER(INDEX(Backlog!$AT$2:$AT$180,MATCH($A57,Backlog!$A$2:$A$180,0))),INDEX(Backlog!$AT$2:$AT$180,MATCH($A57,Backlog!$A$2:$A$180,0)),"")</t>
  </si>
  <si>
    <t>F58</t>
  </si>
  <si>
    <t>=IF(ISNUMBER(INDEX(Backlog!$R$2:$R$180,MATCH($A58,Backlog!$A$2:$A$180,0))),INDEX(Backlog!$R$2:$R$180,MATCH($A58,Backlog!$A$2:$A$180,0)),"")</t>
  </si>
  <si>
    <t>=IF(ISNUMBER(INDEX(Backlog!$AT$2:$AT$180,MATCH($A58,Backlog!$A$2:$A$180,0))),INDEX(Backlog!$AT$2:$AT$180,MATCH($A58,Backlog!$A$2:$A$180,0)),"")</t>
  </si>
  <si>
    <t>F59</t>
  </si>
  <si>
    <t>=IF(ISNUMBER(INDEX(Backlog!$R$2:$R$180,MATCH($A59,Backlog!$A$2:$A$180,0))),INDEX(Backlog!$R$2:$R$180,MATCH($A59,Backlog!$A$2:$A$180,0)),"")</t>
  </si>
  <si>
    <t>=IF(ISNUMBER(INDEX(Backlog!$AT$2:$AT$180,MATCH($A59,Backlog!$A$2:$A$180,0))),INDEX(Backlog!$AT$2:$AT$180,MATCH($A59,Backlog!$A$2:$A$180,0)),"")</t>
  </si>
  <si>
    <t>F60</t>
  </si>
  <si>
    <t>=IF(ISNUMBER(INDEX(Backlog!$R$2:$R$180,MATCH($A60,Backlog!$A$2:$A$180,0))),INDEX(Backlog!$R$2:$R$180,MATCH($A60,Backlog!$A$2:$A$180,0)),"")</t>
  </si>
  <si>
    <t>=IF(ISNUMBER(INDEX(Backlog!$AT$2:$AT$180,MATCH($A60,Backlog!$A$2:$A$180,0))),INDEX(Backlog!$AT$2:$AT$180,MATCH($A60,Backlog!$A$2:$A$180,0)),"")</t>
  </si>
  <si>
    <t>F61</t>
  </si>
  <si>
    <t>=IF(ISNUMBER(INDEX(Backlog!$R$2:$R$180,MATCH($A61,Backlog!$A$2:$A$180,0))),INDEX(Backlog!$R$2:$R$180,MATCH($A61,Backlog!$A$2:$A$180,0)),"")</t>
  </si>
  <si>
    <t>=IF(ISNUMBER(INDEX(Backlog!$AT$2:$AT$180,MATCH($A61,Backlog!$A$2:$A$180,0))),INDEX(Backlog!$AT$2:$AT$180,MATCH($A61,Backlog!$A$2:$A$180,0)),"")</t>
  </si>
  <si>
    <t>F62</t>
  </si>
  <si>
    <t>=IF(ISNUMBER(INDEX(Backlog!$R$2:$R$180,MATCH($A62,Backlog!$A$2:$A$180,0))),INDEX(Backlog!$R$2:$R$180,MATCH($A62,Backlog!$A$2:$A$180,0)),"")</t>
  </si>
  <si>
    <t>=IF(ISNUMBER(INDEX(Backlog!$AT$2:$AT$180,MATCH($A62,Backlog!$A$2:$A$180,0))),INDEX(Backlog!$AT$2:$AT$180,MATCH($A62,Backlog!$A$2:$A$180,0)),"")</t>
  </si>
  <si>
    <t>F63</t>
  </si>
  <si>
    <t>=IF(ISNUMBER(INDEX(Backlog!$R$2:$R$180,MATCH($A63,Backlog!$A$2:$A$180,0))),INDEX(Backlog!$R$2:$R$180,MATCH($A63,Backlog!$A$2:$A$180,0)),"")</t>
  </si>
  <si>
    <t>=IF(ISNUMBER(INDEX(Backlog!$AT$2:$AT$180,MATCH($A63,Backlog!$A$2:$A$180,0))),INDEX(Backlog!$AT$2:$AT$180,MATCH($A63,Backlog!$A$2:$A$180,0)),"")</t>
  </si>
  <si>
    <t>F64</t>
  </si>
  <si>
    <t>=IF(ISNUMBER(INDEX(Backlog!$R$2:$R$180,MATCH($A64,Backlog!$A$2:$A$180,0))),INDEX(Backlog!$R$2:$R$180,MATCH($A64,Backlog!$A$2:$A$180,0)),"")</t>
  </si>
  <si>
    <t>=IF(ISNUMBER(INDEX(Backlog!$AT$2:$AT$180,MATCH($A64,Backlog!$A$2:$A$180,0))),INDEX(Backlog!$AT$2:$AT$180,MATCH($A64,Backlog!$A$2:$A$180,0)),"")</t>
  </si>
  <si>
    <t>F65</t>
  </si>
  <si>
    <t>=IF(ISNUMBER(INDEX(Backlog!$R$2:$R$180,MATCH($A65,Backlog!$A$2:$A$180,0))),INDEX(Backlog!$R$2:$R$180,MATCH($A65,Backlog!$A$2:$A$180,0)),"")</t>
  </si>
  <si>
    <t>=IF(ISNUMBER(INDEX(Backlog!$AT$2:$AT$180,MATCH($A65,Backlog!$A$2:$A$180,0))),INDEX(Backlog!$AT$2:$AT$180,MATCH($A65,Backlog!$A$2:$A$180,0)),"")</t>
  </si>
  <si>
    <t>F66</t>
  </si>
  <si>
    <t>=IF(ISNUMBER(INDEX(Backlog!$R$2:$R$180,MATCH($A66,Backlog!$A$2:$A$180,0))),INDEX(Backlog!$R$2:$R$180,MATCH($A66,Backlog!$A$2:$A$180,0)),"")</t>
  </si>
  <si>
    <t>=IF(ISNUMBER(INDEX(Backlog!$AT$2:$AT$180,MATCH($A66,Backlog!$A$2:$A$180,0))),INDEX(Backlog!$AT$2:$AT$180,MATCH($A66,Backlog!$A$2:$A$180,0)),"")</t>
  </si>
  <si>
    <t>F67</t>
  </si>
  <si>
    <t>=IF(ISNUMBER(INDEX(Backlog!$R$2:$R$180,MATCH($A67,Backlog!$A$2:$A$180,0))),INDEX(Backlog!$R$2:$R$180,MATCH($A67,Backlog!$A$2:$A$180,0)),"")</t>
  </si>
  <si>
    <t>=IF(ISNUMBER(INDEX(Backlog!$AT$2:$AT$180,MATCH($A67,Backlog!$A$2:$A$180,0))),INDEX(Backlog!$AT$2:$AT$180,MATCH($A67,Backlog!$A$2:$A$180,0)),"")</t>
  </si>
  <si>
    <t>F68</t>
  </si>
  <si>
    <t>=IF(ISNUMBER(INDEX(Backlog!$R$2:$R$180,MATCH($A68,Backlog!$A$2:$A$180,0))),INDEX(Backlog!$R$2:$R$180,MATCH($A68,Backlog!$A$2:$A$180,0)),"")</t>
  </si>
  <si>
    <t>=IF(ISNUMBER(INDEX(Backlog!$AT$2:$AT$180,MATCH($A68,Backlog!$A$2:$A$180,0))),INDEX(Backlog!$AT$2:$AT$180,MATCH($A68,Backlog!$A$2:$A$180,0)),"")</t>
  </si>
  <si>
    <t>F69</t>
  </si>
  <si>
    <t>=IF(ISNUMBER(INDEX(Backlog!$R$2:$R$180,MATCH($A69,Backlog!$A$2:$A$180,0))),INDEX(Backlog!$R$2:$R$180,MATCH($A69,Backlog!$A$2:$A$180,0)),"")</t>
  </si>
  <si>
    <t>=IF(ISNUMBER(INDEX(Backlog!$AT$2:$AT$180,MATCH($A69,Backlog!$A$2:$A$180,0))),INDEX(Backlog!$AT$2:$AT$180,MATCH($A69,Backlog!$A$2:$A$180,0)),"")</t>
  </si>
  <si>
    <t>F70</t>
  </si>
  <si>
    <t>=IF(ISNUMBER(INDEX(Backlog!$R$2:$R$180,MATCH($A70,Backlog!$A$2:$A$180,0))),INDEX(Backlog!$R$2:$R$180,MATCH($A70,Backlog!$A$2:$A$180,0)),"")</t>
  </si>
  <si>
    <t>=IF(ISNUMBER(INDEX(Backlog!$AT$2:$AT$180,MATCH($A70,Backlog!$A$2:$A$180,0))),INDEX(Backlog!$AT$2:$AT$180,MATCH($A70,Backlog!$A$2:$A$180,0)),"")</t>
  </si>
  <si>
    <t>F71</t>
  </si>
  <si>
    <t>=IF(ISNUMBER(INDEX(Backlog!$R$2:$R$180,MATCH($A71,Backlog!$A$2:$A$180,0))),INDEX(Backlog!$R$2:$R$180,MATCH($A71,Backlog!$A$2:$A$180,0)),"")</t>
  </si>
  <si>
    <t>=IF(ISNUMBER(INDEX(Backlog!$AT$2:$AT$180,MATCH($A71,Backlog!$A$2:$A$180,0))),INDEX(Backlog!$AT$2:$AT$180,MATCH($A71,Backlog!$A$2:$A$180,0)),"")</t>
  </si>
  <si>
    <t>F72</t>
  </si>
  <si>
    <t>=IF(ISNUMBER(INDEX(Backlog!$R$2:$R$180,MATCH($A72,Backlog!$A$2:$A$180,0))),INDEX(Backlog!$R$2:$R$180,MATCH($A72,Backlog!$A$2:$A$180,0)),"")</t>
  </si>
  <si>
    <t>=IF(ISNUMBER(INDEX(Backlog!$AT$2:$AT$180,MATCH($A72,Backlog!$A$2:$A$180,0))),INDEX(Backlog!$AT$2:$AT$180,MATCH($A72,Backlog!$A$2:$A$180,0)),"")</t>
  </si>
  <si>
    <t>F73</t>
  </si>
  <si>
    <t>=IF(ISNUMBER(INDEX(Backlog!$R$2:$R$180,MATCH($A73,Backlog!$A$2:$A$180,0))),INDEX(Backlog!$R$2:$R$180,MATCH($A73,Backlog!$A$2:$A$180,0)),"")</t>
  </si>
  <si>
    <t>=IF(ISNUMBER(INDEX(Backlog!$AT$2:$AT$180,MATCH($A73,Backlog!$A$2:$A$180,0))),INDEX(Backlog!$AT$2:$AT$180,MATCH($A73,Backlog!$A$2:$A$180,0)),"")</t>
  </si>
  <si>
    <t>F74</t>
  </si>
  <si>
    <t>=IF(ISNUMBER(INDEX(Backlog!$R$2:$R$180,MATCH($A74,Backlog!$A$2:$A$180,0))),INDEX(Backlog!$R$2:$R$180,MATCH($A74,Backlog!$A$2:$A$180,0)),"")</t>
  </si>
  <si>
    <t>=IF(ISNUMBER(INDEX(Backlog!$AT$2:$AT$180,MATCH($A74,Backlog!$A$2:$A$180,0))),INDEX(Backlog!$AT$2:$AT$180,MATCH($A74,Backlog!$A$2:$A$180,0)),"")</t>
  </si>
  <si>
    <t>F75</t>
  </si>
  <si>
    <t>=IF(ISNUMBER(INDEX(Backlog!$R$2:$R$180,MATCH($A75,Backlog!$A$2:$A$180,0))),INDEX(Backlog!$R$2:$R$180,MATCH($A75,Backlog!$A$2:$A$180,0)),"")</t>
  </si>
  <si>
    <t>=IF(ISNUMBER(INDEX(Backlog!$AT$2:$AT$180,MATCH($A75,Backlog!$A$2:$A$180,0))),INDEX(Backlog!$AT$2:$AT$180,MATCH($A75,Backlog!$A$2:$A$180,0)),"")</t>
  </si>
  <si>
    <t>F76</t>
  </si>
  <si>
    <t>=IF(ISNUMBER(INDEX(Backlog!$R$2:$R$180,MATCH($A76,Backlog!$A$2:$A$180,0))),INDEX(Backlog!$R$2:$R$180,MATCH($A76,Backlog!$A$2:$A$180,0)),"")</t>
  </si>
  <si>
    <t>=IF(ISNUMBER(INDEX(Backlog!$AT$2:$AT$180,MATCH($A76,Backlog!$A$2:$A$180,0))),INDEX(Backlog!$AT$2:$AT$180,MATCH($A76,Backlog!$A$2:$A$180,0)),"")</t>
  </si>
  <si>
    <t>F77</t>
  </si>
  <si>
    <t>=IF(ISNUMBER(INDEX(Backlog!$R$2:$R$180,MATCH($A77,Backlog!$A$2:$A$180,0))),INDEX(Backlog!$R$2:$R$180,MATCH($A77,Backlog!$A$2:$A$180,0)),"")</t>
  </si>
  <si>
    <t>=IF(ISNUMBER(INDEX(Backlog!$AT$2:$AT$180,MATCH($A77,Backlog!$A$2:$A$180,0))),INDEX(Backlog!$AT$2:$AT$180,MATCH($A77,Backlog!$A$2:$A$180,0)),"")</t>
  </si>
  <si>
    <t>F78</t>
  </si>
  <si>
    <t>=IF(ISNUMBER(INDEX(Backlog!$R$2:$R$180,MATCH($A78,Backlog!$A$2:$A$180,0))),INDEX(Backlog!$R$2:$R$180,MATCH($A78,Backlog!$A$2:$A$180,0)),"")</t>
  </si>
  <si>
    <t>=IF(ISNUMBER(INDEX(Backlog!$AT$2:$AT$180,MATCH($A78,Backlog!$A$2:$A$180,0))),INDEX(Backlog!$AT$2:$AT$180,MATCH($A78,Backlog!$A$2:$A$180,0)),"")</t>
  </si>
  <si>
    <t>F79</t>
  </si>
  <si>
    <t>=IF(ISNUMBER(INDEX(Backlog!$R$2:$R$180,MATCH($A79,Backlog!$A$2:$A$180,0))),INDEX(Backlog!$R$2:$R$180,MATCH($A79,Backlog!$A$2:$A$180,0)),"")</t>
  </si>
  <si>
    <t>=IF(ISNUMBER(INDEX(Backlog!$AT$2:$AT$180,MATCH($A79,Backlog!$A$2:$A$180,0))),INDEX(Backlog!$AT$2:$AT$180,MATCH($A79,Backlog!$A$2:$A$180,0)),"")</t>
  </si>
  <si>
    <t>F80</t>
  </si>
  <si>
    <t>=IF(ISNUMBER(INDEX(Backlog!$R$2:$R$180,MATCH($A80,Backlog!$A$2:$A$180,0))),INDEX(Backlog!$R$2:$R$180,MATCH($A80,Backlog!$A$2:$A$180,0)),"")</t>
  </si>
  <si>
    <t>=IF(ISNUMBER(INDEX(Backlog!$AT$2:$AT$180,MATCH($A80,Backlog!$A$2:$A$180,0))),INDEX(Backlog!$AT$2:$AT$180,MATCH($A80,Backlog!$A$2:$A$180,0)),"")</t>
  </si>
  <si>
    <t>F81</t>
  </si>
  <si>
    <t>=IF(ISNUMBER(INDEX(Backlog!$R$2:$R$180,MATCH($A81,Backlog!$A$2:$A$180,0))),INDEX(Backlog!$R$2:$R$180,MATCH($A81,Backlog!$A$2:$A$180,0)),"")</t>
  </si>
  <si>
    <t>=IF(ISNUMBER(INDEX(Backlog!$AT$2:$AT$180,MATCH($A81,Backlog!$A$2:$A$180,0))),INDEX(Backlog!$AT$2:$AT$180,MATCH($A81,Backlog!$A$2:$A$180,0)),"")</t>
  </si>
  <si>
    <t>F82</t>
  </si>
  <si>
    <t>=IF(ISNUMBER(INDEX(Backlog!$R$2:$R$180,MATCH($A82,Backlog!$A$2:$A$180,0))),INDEX(Backlog!$R$2:$R$180,MATCH($A82,Backlog!$A$2:$A$180,0)),"")</t>
  </si>
  <si>
    <t>=IF(ISNUMBER(INDEX(Backlog!$AT$2:$AT$180,MATCH($A82,Backlog!$A$2:$A$180,0))),INDEX(Backlog!$AT$2:$AT$180,MATCH($A82,Backlog!$A$2:$A$180,0)),"")</t>
  </si>
  <si>
    <t>F83</t>
  </si>
  <si>
    <t>=IF(ISNUMBER(INDEX(Backlog!$R$2:$R$180,MATCH($A83,Backlog!$A$2:$A$180,0))),INDEX(Backlog!$R$2:$R$180,MATCH($A83,Backlog!$A$2:$A$180,0)),"")</t>
  </si>
  <si>
    <t>=IF(ISNUMBER(INDEX(Backlog!$AT$2:$AT$180,MATCH($A83,Backlog!$A$2:$A$180,0))),INDEX(Backlog!$AT$2:$AT$180,MATCH($A83,Backlog!$A$2:$A$180,0)),"")</t>
  </si>
  <si>
    <t>F84</t>
  </si>
  <si>
    <t>=IF(ISNUMBER(INDEX(Backlog!$R$2:$R$180,MATCH($A84,Backlog!$A$2:$A$180,0))),INDEX(Backlog!$R$2:$R$180,MATCH($A84,Backlog!$A$2:$A$180,0)),"")</t>
  </si>
  <si>
    <t>=IF(ISNUMBER(INDEX(Backlog!$AT$2:$AT$180,MATCH($A84,Backlog!$A$2:$A$180,0))),INDEX(Backlog!$AT$2:$AT$180,MATCH($A84,Backlog!$A$2:$A$180,0)),"")</t>
  </si>
  <si>
    <t>F85</t>
  </si>
  <si>
    <t>=IF(ISNUMBER(INDEX(Backlog!$R$2:$R$180,MATCH($A85,Backlog!$A$2:$A$180,0))),INDEX(Backlog!$R$2:$R$180,MATCH($A85,Backlog!$A$2:$A$180,0)),"")</t>
  </si>
  <si>
    <t>=IF(ISNUMBER(INDEX(Backlog!$AT$2:$AT$180,MATCH($A85,Backlog!$A$2:$A$180,0))),INDEX(Backlog!$AT$2:$AT$180,MATCH($A85,Backlog!$A$2:$A$180,0)),"")</t>
  </si>
  <si>
    <t>F86</t>
  </si>
  <si>
    <t>=IF(ISNUMBER(INDEX(Backlog!$R$2:$R$180,MATCH($A86,Backlog!$A$2:$A$180,0))),INDEX(Backlog!$R$2:$R$180,MATCH($A86,Backlog!$A$2:$A$180,0)),"")</t>
  </si>
  <si>
    <t>=IF(ISNUMBER(INDEX(Backlog!$AT$2:$AT$180,MATCH($A86,Backlog!$A$2:$A$180,0))),INDEX(Backlog!$AT$2:$AT$180,MATCH($A86,Backlog!$A$2:$A$180,0)),"")</t>
  </si>
  <si>
    <t>F87</t>
  </si>
  <si>
    <t>=IF(ISNUMBER(INDEX(Backlog!$R$2:$R$180,MATCH($A87,Backlog!$A$2:$A$180,0))),INDEX(Backlog!$R$2:$R$180,MATCH($A87,Backlog!$A$2:$A$180,0)),"")</t>
  </si>
  <si>
    <t>=IF(ISNUMBER(INDEX(Backlog!$AT$2:$AT$180,MATCH($A87,Backlog!$A$2:$A$180,0))),INDEX(Backlog!$AT$2:$AT$180,MATCH($A87,Backlog!$A$2:$A$180,0)),"")</t>
  </si>
  <si>
    <t>F88</t>
  </si>
  <si>
    <t>=IF(ISNUMBER(INDEX(Backlog!$R$2:$R$180,MATCH($A88,Backlog!$A$2:$A$180,0))),INDEX(Backlog!$R$2:$R$180,MATCH($A88,Backlog!$A$2:$A$180,0)),"")</t>
  </si>
  <si>
    <t>=IF(ISNUMBER(INDEX(Backlog!$AT$2:$AT$180,MATCH($A88,Backlog!$A$2:$A$180,0))),INDEX(Backlog!$AT$2:$AT$180,MATCH($A88,Backlog!$A$2:$A$180,0)),"")</t>
  </si>
  <si>
    <t>F89</t>
  </si>
  <si>
    <t>=IF(ISNUMBER(INDEX(Backlog!$R$2:$R$180,MATCH($A89,Backlog!$A$2:$A$180,0))),INDEX(Backlog!$R$2:$R$180,MATCH($A89,Backlog!$A$2:$A$180,0)),"")</t>
  </si>
  <si>
    <t>=IF(ISNUMBER(INDEX(Backlog!$AT$2:$AT$180,MATCH($A89,Backlog!$A$2:$A$180,0))),INDEX(Backlog!$AT$2:$AT$180,MATCH($A89,Backlog!$A$2:$A$180,0)),"")</t>
  </si>
  <si>
    <t>F90</t>
  </si>
  <si>
    <t>=IF(ISNUMBER(INDEX(Backlog!$R$2:$R$180,MATCH($A90,Backlog!$A$2:$A$180,0))),INDEX(Backlog!$R$2:$R$180,MATCH($A90,Backlog!$A$2:$A$180,0)),"")</t>
  </si>
  <si>
    <t>=IF(ISNUMBER(INDEX(Backlog!$AT$2:$AT$180,MATCH($A90,Backlog!$A$2:$A$180,0))),INDEX(Backlog!$AT$2:$AT$180,MATCH($A90,Backlog!$A$2:$A$180,0)),"")</t>
  </si>
  <si>
    <t>F91</t>
  </si>
  <si>
    <t>=IF(ISNUMBER(INDEX(Backlog!$R$2:$R$180,MATCH($A91,Backlog!$A$2:$A$180,0))),INDEX(Backlog!$R$2:$R$180,MATCH($A91,Backlog!$A$2:$A$180,0)),"")</t>
  </si>
  <si>
    <t>=IF(ISNUMBER(INDEX(Backlog!$AT$2:$AT$180,MATCH($A91,Backlog!$A$2:$A$180,0))),INDEX(Backlog!$AT$2:$AT$180,MATCH($A91,Backlog!$A$2:$A$180,0)),"")</t>
  </si>
  <si>
    <t>F92</t>
  </si>
  <si>
    <t>=IF(ISNUMBER(INDEX(Backlog!$R$2:$R$180,MATCH($A92,Backlog!$A$2:$A$180,0))),INDEX(Backlog!$R$2:$R$180,MATCH($A92,Backlog!$A$2:$A$180,0)),"")</t>
  </si>
  <si>
    <t>=IF(ISNUMBER(INDEX(Backlog!$AT$2:$AT$180,MATCH($A92,Backlog!$A$2:$A$180,0))),INDEX(Backlog!$AT$2:$AT$180,MATCH($A92,Backlog!$A$2:$A$180,0)),"")</t>
  </si>
  <si>
    <t>F93</t>
  </si>
  <si>
    <t>=IF(ISNUMBER(INDEX(Backlog!$R$2:$R$180,MATCH($A93,Backlog!$A$2:$A$180,0))),INDEX(Backlog!$R$2:$R$180,MATCH($A93,Backlog!$A$2:$A$180,0)),"")</t>
  </si>
  <si>
    <t>=IF(ISNUMBER(INDEX(Backlog!$AT$2:$AT$180,MATCH($A93,Backlog!$A$2:$A$180,0))),INDEX(Backlog!$AT$2:$AT$180,MATCH($A93,Backlog!$A$2:$A$180,0)),"")</t>
  </si>
  <si>
    <t>F94</t>
  </si>
  <si>
    <t>=IF(ISNUMBER(INDEX(Backlog!$R$2:$R$180,MATCH($A94,Backlog!$A$2:$A$180,0))),INDEX(Backlog!$R$2:$R$180,MATCH($A94,Backlog!$A$2:$A$180,0)),"")</t>
  </si>
  <si>
    <t>=IF(ISNUMBER(INDEX(Backlog!$AT$2:$AT$180,MATCH($A94,Backlog!$A$2:$A$180,0))),INDEX(Backlog!$AT$2:$AT$180,MATCH($A94,Backlog!$A$2:$A$180,0)),"")</t>
  </si>
  <si>
    <t>F95</t>
  </si>
  <si>
    <t>=IF(ISNUMBER(INDEX(Backlog!$R$2:$R$180,MATCH($A95,Backlog!$A$2:$A$180,0))),INDEX(Backlog!$R$2:$R$180,MATCH($A95,Backlog!$A$2:$A$180,0)),"")</t>
  </si>
  <si>
    <t>=IF(ISNUMBER(INDEX(Backlog!$AT$2:$AT$180,MATCH($A95,Backlog!$A$2:$A$180,0))),INDEX(Backlog!$AT$2:$AT$180,MATCH($A95,Backlog!$A$2:$A$180,0)),"")</t>
  </si>
  <si>
    <t>F96</t>
  </si>
  <si>
    <t>=IF(ISNUMBER(INDEX(Backlog!$R$2:$R$180,MATCH($A96,Backlog!$A$2:$A$180,0))),INDEX(Backlog!$R$2:$R$180,MATCH($A96,Backlog!$A$2:$A$180,0)),"")</t>
  </si>
  <si>
    <t>=IF(ISNUMBER(INDEX(Backlog!$AT$2:$AT$180,MATCH($A96,Backlog!$A$2:$A$180,0))),INDEX(Backlog!$AT$2:$AT$180,MATCH($A96,Backlog!$A$2:$A$180,0)),"")</t>
  </si>
  <si>
    <t>F97</t>
  </si>
  <si>
    <t>=IF(ISNUMBER(INDEX(Backlog!$R$2:$R$180,MATCH($A97,Backlog!$A$2:$A$180,0))),INDEX(Backlog!$R$2:$R$180,MATCH($A97,Backlog!$A$2:$A$180,0)),"")</t>
  </si>
  <si>
    <t>=IF(ISNUMBER(INDEX(Backlog!$AT$2:$AT$180,MATCH($A97,Backlog!$A$2:$A$180,0))),INDEX(Backlog!$AT$2:$AT$180,MATCH($A97,Backlog!$A$2:$A$180,0)),"")</t>
  </si>
  <si>
    <t>F98</t>
  </si>
  <si>
    <t>=IF(ISNUMBER(INDEX(Backlog!$R$2:$R$180,MATCH($A98,Backlog!$A$2:$A$180,0))),INDEX(Backlog!$R$2:$R$180,MATCH($A98,Backlog!$A$2:$A$180,0)),"")</t>
  </si>
  <si>
    <t>=IF(ISNUMBER(INDEX(Backlog!$AT$2:$AT$180,MATCH($A98,Backlog!$A$2:$A$180,0))),INDEX(Backlog!$AT$2:$AT$180,MATCH($A98,Backlog!$A$2:$A$180,0)),"")</t>
  </si>
  <si>
    <t>F99</t>
  </si>
  <si>
    <t>=IF(ISNUMBER(INDEX(Backlog!$R$2:$R$180,MATCH($A99,Backlog!$A$2:$A$180,0))),INDEX(Backlog!$R$2:$R$180,MATCH($A99,Backlog!$A$2:$A$180,0)),"")</t>
  </si>
  <si>
    <t>=IF(ISNUMBER(INDEX(Backlog!$AT$2:$AT$180,MATCH($A99,Backlog!$A$2:$A$180,0))),INDEX(Backlog!$AT$2:$AT$180,MATCH($A99,Backlog!$A$2:$A$180,0)),"")</t>
  </si>
  <si>
    <t>F100</t>
  </si>
  <si>
    <t>=IF(ISNUMBER(INDEX(Backlog!$R$2:$R$180,MATCH($A100,Backlog!$A$2:$A$180,0))),INDEX(Backlog!$R$2:$R$180,MATCH($A100,Backlog!$A$2:$A$180,0)),"")</t>
  </si>
  <si>
    <t>=IF(ISNUMBER(INDEX(Backlog!$AT$2:$AT$180,MATCH($A100,Backlog!$A$2:$A$180,0))),INDEX(Backlog!$AT$2:$AT$180,MATCH($A100,Backlog!$A$2:$A$180,0)),"")</t>
  </si>
  <si>
    <t>F101</t>
  </si>
  <si>
    <t>=IF(ISNUMBER(INDEX(Backlog!$R$2:$R$180,MATCH($A101,Backlog!$A$2:$A$180,0))),INDEX(Backlog!$R$2:$R$180,MATCH($A101,Backlog!$A$2:$A$180,0)),"")</t>
  </si>
  <si>
    <t>=IF(ISNUMBER(INDEX(Backlog!$AT$2:$AT$180,MATCH($A101,Backlog!$A$2:$A$180,0))),INDEX(Backlog!$AT$2:$AT$180,MATCH($A101,Backlog!$A$2:$A$180,0)),"")</t>
  </si>
  <si>
    <t>F102</t>
  </si>
  <si>
    <t>=IF(ISNUMBER(INDEX(Backlog!$R$2:$R$180,MATCH($A102,Backlog!$A$2:$A$180,0))),INDEX(Backlog!$R$2:$R$180,MATCH($A102,Backlog!$A$2:$A$180,0)),"")</t>
  </si>
  <si>
    <t>=IF(ISNUMBER(INDEX(Backlog!$AT$2:$AT$180,MATCH($A102,Backlog!$A$2:$A$180,0))),INDEX(Backlog!$AT$2:$AT$180,MATCH($A102,Backlog!$A$2:$A$180,0)),"")</t>
  </si>
  <si>
    <t>F103</t>
  </si>
  <si>
    <t>=IF(ISNUMBER(INDEX(Backlog!$R$2:$R$180,MATCH($A103,Backlog!$A$2:$A$180,0))),INDEX(Backlog!$R$2:$R$180,MATCH($A103,Backlog!$A$2:$A$180,0)),"")</t>
  </si>
  <si>
    <t>=IF(ISNUMBER(INDEX(Backlog!$AT$2:$AT$180,MATCH($A103,Backlog!$A$2:$A$180,0))),INDEX(Backlog!$AT$2:$AT$180,MATCH($A103,Backlog!$A$2:$A$180,0)),"")</t>
  </si>
  <si>
    <t>F104</t>
  </si>
  <si>
    <t>=IF(ISNUMBER(INDEX(Backlog!$R$2:$R$180,MATCH($A104,Backlog!$A$2:$A$180,0))),INDEX(Backlog!$R$2:$R$180,MATCH($A104,Backlog!$A$2:$A$180,0)),"")</t>
  </si>
  <si>
    <t>=IF(ISNUMBER(INDEX(Backlog!$AT$2:$AT$180,MATCH($A104,Backlog!$A$2:$A$180,0))),INDEX(Backlog!$AT$2:$AT$180,MATCH($A104,Backlog!$A$2:$A$180,0)),"")</t>
  </si>
  <si>
    <t>F105</t>
  </si>
  <si>
    <t>=IF(ISNUMBER(INDEX(Backlog!$R$2:$R$180,MATCH($A105,Backlog!$A$2:$A$180,0))),INDEX(Backlog!$R$2:$R$180,MATCH($A105,Backlog!$A$2:$A$180,0)),"")</t>
  </si>
  <si>
    <t>=IF(ISNUMBER(INDEX(Backlog!$AT$2:$AT$180,MATCH($A105,Backlog!$A$2:$A$180,0))),INDEX(Backlog!$AT$2:$AT$180,MATCH($A105,Backlog!$A$2:$A$180,0)),"")</t>
  </si>
  <si>
    <t>F106</t>
  </si>
  <si>
    <t>=IF(ISNUMBER(INDEX(Backlog!$R$2:$R$180,MATCH($A106,Backlog!$A$2:$A$180,0))),INDEX(Backlog!$R$2:$R$180,MATCH($A106,Backlog!$A$2:$A$180,0)),"")</t>
  </si>
  <si>
    <t>=IF(ISNUMBER(INDEX(Backlog!$AT$2:$AT$180,MATCH($A106,Backlog!$A$2:$A$180,0))),INDEX(Backlog!$AT$2:$AT$180,MATCH($A106,Backlog!$A$2:$A$180,0)),"")</t>
  </si>
  <si>
    <t>F107</t>
  </si>
  <si>
    <t>=IF(ISNUMBER(INDEX(Backlog!$R$2:$R$180,MATCH($A107,Backlog!$A$2:$A$180,0))),INDEX(Backlog!$R$2:$R$180,MATCH($A107,Backlog!$A$2:$A$180,0)),"")</t>
  </si>
  <si>
    <t>=IF(ISNUMBER(INDEX(Backlog!$AT$2:$AT$180,MATCH($A107,Backlog!$A$2:$A$180,0))),INDEX(Backlog!$AT$2:$AT$180,MATCH($A107,Backlog!$A$2:$A$180,0)),"")</t>
  </si>
  <si>
    <t>F108</t>
  </si>
  <si>
    <t>=IF(ISNUMBER(INDEX(Backlog!$R$2:$R$180,MATCH($A108,Backlog!$A$2:$A$180,0))),INDEX(Backlog!$R$2:$R$180,MATCH($A108,Backlog!$A$2:$A$180,0)),"")</t>
  </si>
  <si>
    <t>=IF(ISNUMBER(INDEX(Backlog!$AT$2:$AT$180,MATCH($A108,Backlog!$A$2:$A$180,0))),INDEX(Backlog!$AT$2:$AT$180,MATCH($A108,Backlog!$A$2:$A$180,0)),"")</t>
  </si>
  <si>
    <t>F109</t>
  </si>
  <si>
    <t>=IF(ISNUMBER(INDEX(Backlog!$R$2:$R$180,MATCH($A109,Backlog!$A$2:$A$180,0))),INDEX(Backlog!$R$2:$R$180,MATCH($A109,Backlog!$A$2:$A$180,0)),"")</t>
  </si>
  <si>
    <t>=IF(ISNUMBER(INDEX(Backlog!$AT$2:$AT$180,MATCH($A109,Backlog!$A$2:$A$180,0))),INDEX(Backlog!$AT$2:$AT$180,MATCH($A109,Backlog!$A$2:$A$180,0)),"")</t>
  </si>
  <si>
    <t>F110</t>
  </si>
  <si>
    <t>=IF(ISNUMBER(INDEX(Backlog!$R$2:$R$180,MATCH($A110,Backlog!$A$2:$A$180,0))),INDEX(Backlog!$R$2:$R$180,MATCH($A110,Backlog!$A$2:$A$180,0)),"")</t>
  </si>
  <si>
    <t>=IF(ISNUMBER(INDEX(Backlog!$AT$2:$AT$180,MATCH($A110,Backlog!$A$2:$A$180,0))),INDEX(Backlog!$AT$2:$AT$180,MATCH($A110,Backlog!$A$2:$A$180,0)),"")</t>
  </si>
  <si>
    <t>F111</t>
  </si>
  <si>
    <t>=IF(ISNUMBER(INDEX(Backlog!$R$2:$R$180,MATCH($A111,Backlog!$A$2:$A$180,0))),INDEX(Backlog!$R$2:$R$180,MATCH($A111,Backlog!$A$2:$A$180,0)),"")</t>
  </si>
  <si>
    <t>=IF(ISNUMBER(INDEX(Backlog!$AT$2:$AT$180,MATCH($A111,Backlog!$A$2:$A$180,0))),INDEX(Backlog!$AT$2:$AT$180,MATCH($A111,Backlog!$A$2:$A$180,0)),"")</t>
  </si>
  <si>
    <t>F112</t>
  </si>
  <si>
    <t>=IF(ISNUMBER(INDEX(Backlog!$R$2:$R$180,MATCH($A112,Backlog!$A$2:$A$180,0))),INDEX(Backlog!$R$2:$R$180,MATCH($A112,Backlog!$A$2:$A$180,0)),"")</t>
  </si>
  <si>
    <t>=IF(ISNUMBER(INDEX(Backlog!$AT$2:$AT$180,MATCH($A112,Backlog!$A$2:$A$180,0))),INDEX(Backlog!$AT$2:$AT$180,MATCH($A112,Backlog!$A$2:$A$180,0)),"")</t>
  </si>
  <si>
    <t>F113</t>
  </si>
  <si>
    <t>=IF(ISNUMBER(INDEX(Backlog!$R$2:$R$180,MATCH($A113,Backlog!$A$2:$A$180,0))),INDEX(Backlog!$R$2:$R$180,MATCH($A113,Backlog!$A$2:$A$180,0)),"")</t>
  </si>
  <si>
    <t>=IF(ISNUMBER(INDEX(Backlog!$AT$2:$AT$180,MATCH($A113,Backlog!$A$2:$A$180,0))),INDEX(Backlog!$AT$2:$AT$180,MATCH($A113,Backlog!$A$2:$A$180,0)),"")</t>
  </si>
  <si>
    <t>F114</t>
  </si>
  <si>
    <t>=IF(ISNUMBER(INDEX(Backlog!$R$2:$R$180,MATCH($A114,Backlog!$A$2:$A$180,0))),INDEX(Backlog!$R$2:$R$180,MATCH($A114,Backlog!$A$2:$A$180,0)),"")</t>
  </si>
  <si>
    <t>=IF(ISNUMBER(INDEX(Backlog!$AT$2:$AT$180,MATCH($A114,Backlog!$A$2:$A$180,0))),INDEX(Backlog!$AT$2:$AT$180,MATCH($A114,Backlog!$A$2:$A$180,0)),"")</t>
  </si>
  <si>
    <t>F115</t>
  </si>
  <si>
    <t>=IF(ISNUMBER(INDEX(Backlog!$R$2:$R$180,MATCH($A115,Backlog!$A$2:$A$180,0))),INDEX(Backlog!$R$2:$R$180,MATCH($A115,Backlog!$A$2:$A$180,0)),"")</t>
  </si>
  <si>
    <t>=IF(ISNUMBER(INDEX(Backlog!$AT$2:$AT$180,MATCH($A115,Backlog!$A$2:$A$180,0))),INDEX(Backlog!$AT$2:$AT$180,MATCH($A115,Backlog!$A$2:$A$180,0)),"")</t>
  </si>
  <si>
    <t>F116</t>
  </si>
  <si>
    <t>=IF(ISNUMBER(INDEX(Backlog!$R$2:$R$180,MATCH($A116,Backlog!$A$2:$A$180,0))),INDEX(Backlog!$R$2:$R$180,MATCH($A116,Backlog!$A$2:$A$180,0)),"")</t>
  </si>
  <si>
    <t>=IF(ISNUMBER(INDEX(Backlog!$AT$2:$AT$180,MATCH($A116,Backlog!$A$2:$A$180,0))),INDEX(Backlog!$AT$2:$AT$180,MATCH($A116,Backlog!$A$2:$A$180,0)),"")</t>
  </si>
  <si>
    <t>F117</t>
  </si>
  <si>
    <t>=IF(ISNUMBER(INDEX(Backlog!$R$2:$R$180,MATCH($A117,Backlog!$A$2:$A$180,0))),INDEX(Backlog!$R$2:$R$180,MATCH($A117,Backlog!$A$2:$A$180,0)),"")</t>
  </si>
  <si>
    <t>=IF(ISNUMBER(INDEX(Backlog!$AT$2:$AT$180,MATCH($A117,Backlog!$A$2:$A$180,0))),INDEX(Backlog!$AT$2:$AT$180,MATCH($A117,Backlog!$A$2:$A$180,0)),"")</t>
  </si>
  <si>
    <t>F118</t>
  </si>
  <si>
    <t>=IF(ISNUMBER(INDEX(Backlog!$R$2:$R$180,MATCH($A118,Backlog!$A$2:$A$180,0))),INDEX(Backlog!$R$2:$R$180,MATCH($A118,Backlog!$A$2:$A$180,0)),"")</t>
  </si>
  <si>
    <t>=IF(ISNUMBER(INDEX(Backlog!$AT$2:$AT$180,MATCH($A118,Backlog!$A$2:$A$180,0))),INDEX(Backlog!$AT$2:$AT$180,MATCH($A118,Backlog!$A$2:$A$180,0)),"")</t>
  </si>
  <si>
    <t>F119</t>
  </si>
  <si>
    <t>=IF(ISNUMBER(INDEX(Backlog!$R$2:$R$180,MATCH($A119,Backlog!$A$2:$A$180,0))),INDEX(Backlog!$R$2:$R$180,MATCH($A119,Backlog!$A$2:$A$180,0)),"")</t>
  </si>
  <si>
    <t>=IF(ISNUMBER(INDEX(Backlog!$AT$2:$AT$180,MATCH($A119,Backlog!$A$2:$A$180,0))),INDEX(Backlog!$AT$2:$AT$180,MATCH($A119,Backlog!$A$2:$A$180,0)),"")</t>
  </si>
  <si>
    <t>F120</t>
  </si>
  <si>
    <t>=IF(ISNUMBER(INDEX(Backlog!$R$2:$R$180,MATCH($A120,Backlog!$A$2:$A$180,0))),INDEX(Backlog!$R$2:$R$180,MATCH($A120,Backlog!$A$2:$A$180,0)),"")</t>
  </si>
  <si>
    <t>=IF(ISNUMBER(INDEX(Backlog!$AT$2:$AT$180,MATCH($A120,Backlog!$A$2:$A$180,0))),INDEX(Backlog!$AT$2:$AT$180,MATCH($A120,Backlog!$A$2:$A$180,0)),"")</t>
  </si>
  <si>
    <t>F121</t>
  </si>
  <si>
    <t>=IF(ISNUMBER(INDEX(Backlog!$R$2:$R$180,MATCH($A121,Backlog!$A$2:$A$180,0))),INDEX(Backlog!$R$2:$R$180,MATCH($A121,Backlog!$A$2:$A$180,0)),"")</t>
  </si>
  <si>
    <t>=IF(ISNUMBER(INDEX(Backlog!$AT$2:$AT$180,MATCH($A121,Backlog!$A$2:$A$180,0))),INDEX(Backlog!$AT$2:$AT$180,MATCH($A121,Backlog!$A$2:$A$180,0)),"")</t>
  </si>
  <si>
    <t>F122</t>
  </si>
  <si>
    <t>=IF(ISNUMBER(INDEX(Backlog!$R$2:$R$180,MATCH($A122,Backlog!$A$2:$A$180,0))),INDEX(Backlog!$R$2:$R$180,MATCH($A122,Backlog!$A$2:$A$180,0)),"")</t>
  </si>
  <si>
    <t>=IF(ISNUMBER(INDEX(Backlog!$AT$2:$AT$180,MATCH($A122,Backlog!$A$2:$A$180,0))),INDEX(Backlog!$AT$2:$AT$180,MATCH($A122,Backlog!$A$2:$A$180,0)),"")</t>
  </si>
  <si>
    <t>F123</t>
  </si>
  <si>
    <t>=IF(ISNUMBER(INDEX(Backlog!$R$2:$R$180,MATCH($A123,Backlog!$A$2:$A$180,0))),INDEX(Backlog!$R$2:$R$180,MATCH($A123,Backlog!$A$2:$A$180,0)),"")</t>
  </si>
  <si>
    <t>=IF(ISNUMBER(INDEX(Backlog!$AT$2:$AT$180,MATCH($A123,Backlog!$A$2:$A$180,0))),INDEX(Backlog!$AT$2:$AT$180,MATCH($A123,Backlog!$A$2:$A$180,0)),"")</t>
  </si>
  <si>
    <t>F124</t>
  </si>
  <si>
    <t>=IF(ISNUMBER(INDEX(Backlog!$R$2:$R$180,MATCH($A124,Backlog!$A$2:$A$180,0))),INDEX(Backlog!$R$2:$R$180,MATCH($A124,Backlog!$A$2:$A$180,0)),"")</t>
  </si>
  <si>
    <t>=IF(ISNUMBER(INDEX(Backlog!$AT$2:$AT$180,MATCH($A124,Backlog!$A$2:$A$180,0))),INDEX(Backlog!$AT$2:$AT$180,MATCH($A124,Backlog!$A$2:$A$180,0)),"")</t>
  </si>
  <si>
    <t>F125</t>
  </si>
  <si>
    <t>=IF(ISNUMBER(INDEX(Backlog!$R$2:$R$180,MATCH($A125,Backlog!$A$2:$A$180,0))),INDEX(Backlog!$R$2:$R$180,MATCH($A125,Backlog!$A$2:$A$180,0)),"")</t>
  </si>
  <si>
    <t>=IF(ISNUMBER(INDEX(Backlog!$AT$2:$AT$180,MATCH($A125,Backlog!$A$2:$A$180,0))),INDEX(Backlog!$AT$2:$AT$180,MATCH($A125,Backlog!$A$2:$A$180,0)),"")</t>
  </si>
  <si>
    <t>F126</t>
  </si>
  <si>
    <t>=IF(ISNUMBER(INDEX(Backlog!$R$2:$R$180,MATCH($A126,Backlog!$A$2:$A$180,0))),INDEX(Backlog!$R$2:$R$180,MATCH($A126,Backlog!$A$2:$A$180,0)),"")</t>
  </si>
  <si>
    <t>=IF(ISNUMBER(INDEX(Backlog!$AT$2:$AT$180,MATCH($A126,Backlog!$A$2:$A$180,0))),INDEX(Backlog!$AT$2:$AT$180,MATCH($A126,Backlog!$A$2:$A$180,0)),"")</t>
  </si>
  <si>
    <t>F127</t>
  </si>
  <si>
    <t>=IF(ISNUMBER(INDEX(Backlog!$R$2:$R$180,MATCH($A127,Backlog!$A$2:$A$180,0))),INDEX(Backlog!$R$2:$R$180,MATCH($A127,Backlog!$A$2:$A$180,0)),"")</t>
  </si>
  <si>
    <t>=IF(ISNUMBER(INDEX(Backlog!$AT$2:$AT$180,MATCH($A127,Backlog!$A$2:$A$180,0))),INDEX(Backlog!$AT$2:$AT$180,MATCH($A127,Backlog!$A$2:$A$180,0)),"")</t>
  </si>
  <si>
    <t>F128</t>
  </si>
  <si>
    <t>=IF(ISNUMBER(INDEX(Backlog!$R$2:$R$180,MATCH($A128,Backlog!$A$2:$A$180,0))),INDEX(Backlog!$R$2:$R$180,MATCH($A128,Backlog!$A$2:$A$180,0)),"")</t>
  </si>
  <si>
    <t>=IF(ISNUMBER(INDEX(Backlog!$AT$2:$AT$180,MATCH($A128,Backlog!$A$2:$A$180,0))),INDEX(Backlog!$AT$2:$AT$180,MATCH($A128,Backlog!$A$2:$A$180,0)),"")</t>
  </si>
  <si>
    <t>F129</t>
  </si>
  <si>
    <t>=IF(ISNUMBER(INDEX(Backlog!$R$2:$R$180,MATCH($A129,Backlog!$A$2:$A$180,0))),INDEX(Backlog!$R$2:$R$180,MATCH($A129,Backlog!$A$2:$A$180,0)),"")</t>
  </si>
  <si>
    <t>=IF(ISNUMBER(INDEX(Backlog!$AT$2:$AT$180,MATCH($A129,Backlog!$A$2:$A$180,0))),INDEX(Backlog!$AT$2:$AT$180,MATCH($A129,Backlog!$A$2:$A$180,0)),"")</t>
  </si>
  <si>
    <t>F130</t>
  </si>
  <si>
    <t>=IF(ISNUMBER(INDEX(Backlog!$R$2:$R$180,MATCH($A130,Backlog!$A$2:$A$180,0))),INDEX(Backlog!$R$2:$R$180,MATCH($A130,Backlog!$A$2:$A$180,0)),"")</t>
  </si>
  <si>
    <t>=IF(ISNUMBER(INDEX(Backlog!$AT$2:$AT$180,MATCH($A130,Backlog!$A$2:$A$180,0))),INDEX(Backlog!$AT$2:$AT$180,MATCH($A130,Backlog!$A$2:$A$180,0)),"")</t>
  </si>
  <si>
    <t>F131</t>
  </si>
  <si>
    <t>=IF(ISNUMBER(INDEX(Backlog!$R$2:$R$180,MATCH($A131,Backlog!$A$2:$A$180,0))),INDEX(Backlog!$R$2:$R$180,MATCH($A131,Backlog!$A$2:$A$180,0)),"")</t>
  </si>
  <si>
    <t>=IF(ISNUMBER(INDEX(Backlog!$AT$2:$AT$180,MATCH($A131,Backlog!$A$2:$A$180,0))),INDEX(Backlog!$AT$2:$AT$180,MATCH($A131,Backlog!$A$2:$A$180,0)),"")</t>
  </si>
  <si>
    <t>F132</t>
  </si>
  <si>
    <t>=IF(ISNUMBER(INDEX(Backlog!$R$2:$R$180,MATCH($A132,Backlog!$A$2:$A$180,0))),INDEX(Backlog!$R$2:$R$180,MATCH($A132,Backlog!$A$2:$A$180,0)),"")</t>
  </si>
  <si>
    <t>=IF(ISNUMBER(INDEX(Backlog!$AT$2:$AT$180,MATCH($A132,Backlog!$A$2:$A$180,0))),INDEX(Backlog!$AT$2:$AT$180,MATCH($A132,Backlog!$A$2:$A$180,0)),"")</t>
  </si>
  <si>
    <t>F133</t>
  </si>
  <si>
    <t>=IF(ISNUMBER(INDEX(Backlog!$R$2:$R$180,MATCH($A133,Backlog!$A$2:$A$180,0))),INDEX(Backlog!$R$2:$R$180,MATCH($A133,Backlog!$A$2:$A$180,0)),"")</t>
  </si>
  <si>
    <t>=IF(ISNUMBER(INDEX(Backlog!$AT$2:$AT$180,MATCH($A133,Backlog!$A$2:$A$180,0))),INDEX(Backlog!$AT$2:$AT$180,MATCH($A133,Backlog!$A$2:$A$180,0)),"")</t>
  </si>
  <si>
    <t>F134</t>
  </si>
  <si>
    <t>=IF(ISNUMBER(INDEX(Backlog!$R$2:$R$180,MATCH($A134,Backlog!$A$2:$A$180,0))),INDEX(Backlog!$R$2:$R$180,MATCH($A134,Backlog!$A$2:$A$180,0)),"")</t>
  </si>
  <si>
    <t>=IF(ISNUMBER(INDEX(Backlog!$AT$2:$AT$180,MATCH($A134,Backlog!$A$2:$A$180,0))),INDEX(Backlog!$AT$2:$AT$180,MATCH($A134,Backlog!$A$2:$A$180,0)),"")</t>
  </si>
  <si>
    <t>F135</t>
  </si>
  <si>
    <t>=IF(ISNUMBER(INDEX(Backlog!$R$2:$R$180,MATCH($A135,Backlog!$A$2:$A$180,0))),INDEX(Backlog!$R$2:$R$180,MATCH($A135,Backlog!$A$2:$A$180,0)),"")</t>
  </si>
  <si>
    <t>=IF(ISNUMBER(INDEX(Backlog!$AT$2:$AT$180,MATCH($A135,Backlog!$A$2:$A$180,0))),INDEX(Backlog!$AT$2:$AT$180,MATCH($A135,Backlog!$A$2:$A$180,0)),"")</t>
  </si>
  <si>
    <t>F136</t>
  </si>
  <si>
    <t>=IF(ISNUMBER(INDEX(Backlog!$R$2:$R$180,MATCH($A136,Backlog!$A$2:$A$180,0))),INDEX(Backlog!$R$2:$R$180,MATCH($A136,Backlog!$A$2:$A$180,0)),"")</t>
  </si>
  <si>
    <t>=IF(ISNUMBER(INDEX(Backlog!$AT$2:$AT$180,MATCH($A136,Backlog!$A$2:$A$180,0))),INDEX(Backlog!$AT$2:$AT$180,MATCH($A136,Backlog!$A$2:$A$180,0)),"")</t>
  </si>
  <si>
    <t>F137</t>
  </si>
  <si>
    <t>=IF(ISNUMBER(INDEX(Backlog!$R$2:$R$180,MATCH($A137,Backlog!$A$2:$A$180,0))),INDEX(Backlog!$R$2:$R$180,MATCH($A137,Backlog!$A$2:$A$180,0)),"")</t>
  </si>
  <si>
    <t>=IF(ISNUMBER(INDEX(Backlog!$AT$2:$AT$180,MATCH($A137,Backlog!$A$2:$A$180,0))),INDEX(Backlog!$AT$2:$AT$180,MATCH($A137,Backlog!$A$2:$A$180,0)),"")</t>
  </si>
  <si>
    <t>F138</t>
  </si>
  <si>
    <t>=IF(ISNUMBER(INDEX(Backlog!$R$2:$R$180,MATCH($A138,Backlog!$A$2:$A$180,0))),INDEX(Backlog!$R$2:$R$180,MATCH($A138,Backlog!$A$2:$A$180,0)),"")</t>
  </si>
  <si>
    <t>=IF(ISNUMBER(INDEX(Backlog!$AT$2:$AT$180,MATCH($A138,Backlog!$A$2:$A$180,0))),INDEX(Backlog!$AT$2:$AT$180,MATCH($A138,Backlog!$A$2:$A$180,0)),"")</t>
  </si>
  <si>
    <t>F139</t>
  </si>
  <si>
    <t>=IF(ISNUMBER(INDEX(Backlog!$R$2:$R$180,MATCH($A139,Backlog!$A$2:$A$180,0))),INDEX(Backlog!$R$2:$R$180,MATCH($A139,Backlog!$A$2:$A$180,0)),"")</t>
  </si>
  <si>
    <t>=IF(ISNUMBER(INDEX(Backlog!$AT$2:$AT$180,MATCH($A139,Backlog!$A$2:$A$180,0))),INDEX(Backlog!$AT$2:$AT$180,MATCH($A139,Backlog!$A$2:$A$180,0)),"")</t>
  </si>
  <si>
    <t>F140</t>
  </si>
  <si>
    <t>=IF(ISNUMBER(INDEX(Backlog!$R$2:$R$180,MATCH($A140,Backlog!$A$2:$A$180,0))),INDEX(Backlog!$R$2:$R$180,MATCH($A140,Backlog!$A$2:$A$180,0)),"")</t>
  </si>
  <si>
    <t>=IF(ISNUMBER(INDEX(Backlog!$AT$2:$AT$180,MATCH($A140,Backlog!$A$2:$A$180,0))),INDEX(Backlog!$AT$2:$AT$180,MATCH($A140,Backlog!$A$2:$A$180,0)),"")</t>
  </si>
  <si>
    <t>F141</t>
  </si>
  <si>
    <t>=IF(ISNUMBER(INDEX(Backlog!$R$2:$R$180,MATCH($A141,Backlog!$A$2:$A$180,0))),INDEX(Backlog!$R$2:$R$180,MATCH($A141,Backlog!$A$2:$A$180,0)),"")</t>
  </si>
  <si>
    <t>=IF(ISNUMBER(INDEX(Backlog!$AT$2:$AT$180,MATCH($A141,Backlog!$A$2:$A$180,0))),INDEX(Backlog!$AT$2:$AT$180,MATCH($A141,Backlog!$A$2:$A$180,0)),"")</t>
  </si>
  <si>
    <t>F142</t>
  </si>
  <si>
    <t>=IF(ISNUMBER(INDEX(Backlog!$R$2:$R$180,MATCH($A142,Backlog!$A$2:$A$180,0))),INDEX(Backlog!$R$2:$R$180,MATCH($A142,Backlog!$A$2:$A$180,0)),"")</t>
  </si>
  <si>
    <t>=IF(ISNUMBER(INDEX(Backlog!$AT$2:$AT$180,MATCH($A142,Backlog!$A$2:$A$180,0))),INDEX(Backlog!$AT$2:$AT$180,MATCH($A142,Backlog!$A$2:$A$180,0)),"")</t>
  </si>
  <si>
    <t>F143</t>
  </si>
  <si>
    <t>=IF(ISNUMBER(INDEX(Backlog!$R$2:$R$180,MATCH($A143,Backlog!$A$2:$A$180,0))),INDEX(Backlog!$R$2:$R$180,MATCH($A143,Backlog!$A$2:$A$180,0)),"")</t>
  </si>
  <si>
    <t>=IF(ISNUMBER(INDEX(Backlog!$AT$2:$AT$180,MATCH($A143,Backlog!$A$2:$A$180,0))),INDEX(Backlog!$AT$2:$AT$180,MATCH($A143,Backlog!$A$2:$A$180,0)),"")</t>
  </si>
  <si>
    <t>F144</t>
  </si>
  <si>
    <t>=IF(ISNUMBER(INDEX(Backlog!$R$2:$R$180,MATCH($A144,Backlog!$A$2:$A$180,0))),INDEX(Backlog!$R$2:$R$180,MATCH($A144,Backlog!$A$2:$A$180,0)),"")</t>
  </si>
  <si>
    <t>=IF(ISNUMBER(INDEX(Backlog!$AT$2:$AT$180,MATCH($A144,Backlog!$A$2:$A$180,0))),INDEX(Backlog!$AT$2:$AT$180,MATCH($A144,Backlog!$A$2:$A$180,0)),"")</t>
  </si>
  <si>
    <t>F145</t>
  </si>
  <si>
    <t>=IF(ISNUMBER(INDEX(Backlog!$R$2:$R$180,MATCH($A145,Backlog!$A$2:$A$180,0))),INDEX(Backlog!$R$2:$R$180,MATCH($A145,Backlog!$A$2:$A$180,0)),"")</t>
  </si>
  <si>
    <t>=IF(ISNUMBER(INDEX(Backlog!$AT$2:$AT$180,MATCH($A145,Backlog!$A$2:$A$180,0))),INDEX(Backlog!$AT$2:$AT$180,MATCH($A145,Backlog!$A$2:$A$180,0)),"")</t>
  </si>
  <si>
    <t>F146</t>
  </si>
  <si>
    <t>=IF(ISNUMBER(INDEX(Backlog!$R$2:$R$180,MATCH($A146,Backlog!$A$2:$A$180,0))),INDEX(Backlog!$R$2:$R$180,MATCH($A146,Backlog!$A$2:$A$180,0)),"")</t>
  </si>
  <si>
    <t>=IF(ISNUMBER(INDEX(Backlog!$AT$2:$AT$180,MATCH($A146,Backlog!$A$2:$A$180,0))),INDEX(Backlog!$AT$2:$AT$180,MATCH($A146,Backlog!$A$2:$A$180,0)),"")</t>
  </si>
  <si>
    <t>F147</t>
  </si>
  <si>
    <t>=IF(ISNUMBER(INDEX(Backlog!$R$2:$R$180,MATCH($A147,Backlog!$A$2:$A$180,0))),INDEX(Backlog!$R$2:$R$180,MATCH($A147,Backlog!$A$2:$A$180,0)),"")</t>
  </si>
  <si>
    <t>=IF(ISNUMBER(INDEX(Backlog!$AT$2:$AT$180,MATCH($A147,Backlog!$A$2:$A$180,0))),INDEX(Backlog!$AT$2:$AT$180,MATCH($A147,Backlog!$A$2:$A$180,0)),"")</t>
  </si>
  <si>
    <t>F148</t>
  </si>
  <si>
    <t>=IF(ISNUMBER(INDEX(Backlog!$R$2:$R$180,MATCH($A148,Backlog!$A$2:$A$180,0))),INDEX(Backlog!$R$2:$R$180,MATCH($A148,Backlog!$A$2:$A$180,0)),"")</t>
  </si>
  <si>
    <t>=IF(ISNUMBER(INDEX(Backlog!$AT$2:$AT$180,MATCH($A148,Backlog!$A$2:$A$180,0))),INDEX(Backlog!$AT$2:$AT$180,MATCH($A148,Backlog!$A$2:$A$180,0)),"")</t>
  </si>
  <si>
    <t>F149</t>
  </si>
  <si>
    <t>=IF(ISNUMBER(INDEX(Backlog!$R$2:$R$180,MATCH($A149,Backlog!$A$2:$A$180,0))),INDEX(Backlog!$R$2:$R$180,MATCH($A149,Backlog!$A$2:$A$180,0)),"")</t>
  </si>
  <si>
    <t>=IF(ISNUMBER(INDEX(Backlog!$AT$2:$AT$180,MATCH($A149,Backlog!$A$2:$A$180,0))),INDEX(Backlog!$AT$2:$AT$180,MATCH($A149,Backlog!$A$2:$A$180,0)),"")</t>
  </si>
  <si>
    <t>F150</t>
  </si>
  <si>
    <t>=IF(ISNUMBER(INDEX(Backlog!$R$2:$R$180,MATCH($A150,Backlog!$A$2:$A$180,0))),INDEX(Backlog!$R$2:$R$180,MATCH($A150,Backlog!$A$2:$A$180,0)),"")</t>
  </si>
  <si>
    <t>=IF(ISNUMBER(INDEX(Backlog!$AT$2:$AT$180,MATCH($A150,Backlog!$A$2:$A$180,0))),INDEX(Backlog!$AT$2:$AT$180,MATCH($A150,Backlog!$A$2:$A$180,0)),"")</t>
  </si>
  <si>
    <t>F151</t>
  </si>
  <si>
    <t>=IF(ISNUMBER(INDEX(Backlog!$R$2:$R$180,MATCH($A151,Backlog!$A$2:$A$180,0))),INDEX(Backlog!$R$2:$R$180,MATCH($A151,Backlog!$A$2:$A$180,0)),"")</t>
  </si>
  <si>
    <t>=IF(ISNUMBER(INDEX(Backlog!$AT$2:$AT$180,MATCH($A151,Backlog!$A$2:$A$180,0))),INDEX(Backlog!$AT$2:$AT$180,MATCH($A151,Backlog!$A$2:$A$180,0)),"")</t>
  </si>
  <si>
    <t>F152</t>
  </si>
  <si>
    <t>=IF(ISNUMBER(INDEX(Backlog!$R$2:$R$180,MATCH($A152,Backlog!$A$2:$A$180,0))),INDEX(Backlog!$R$2:$R$180,MATCH($A152,Backlog!$A$2:$A$180,0)),"")</t>
  </si>
  <si>
    <t>=IF(ISNUMBER(INDEX(Backlog!$AT$2:$AT$180,MATCH($A152,Backlog!$A$2:$A$180,0))),INDEX(Backlog!$AT$2:$AT$180,MATCH($A152,Backlog!$A$2:$A$180,0)),"")</t>
  </si>
  <si>
    <t>F153</t>
  </si>
  <si>
    <t>=IF(ISNUMBER(INDEX(Backlog!$R$2:$R$180,MATCH($A153,Backlog!$A$2:$A$180,0))),INDEX(Backlog!$R$2:$R$180,MATCH($A153,Backlog!$A$2:$A$180,0)),"")</t>
  </si>
  <si>
    <t>=IF(ISNUMBER(INDEX(Backlog!$AT$2:$AT$180,MATCH($A153,Backlog!$A$2:$A$180,0))),INDEX(Backlog!$AT$2:$AT$180,MATCH($A153,Backlog!$A$2:$A$180,0)),"")</t>
  </si>
  <si>
    <t>F154</t>
  </si>
  <si>
    <t>=IF(ISNUMBER(INDEX(Backlog!$R$2:$R$180,MATCH($A154,Backlog!$A$2:$A$180,0))),INDEX(Backlog!$R$2:$R$180,MATCH($A154,Backlog!$A$2:$A$180,0)),"")</t>
  </si>
  <si>
    <t>=IF(ISNUMBER(INDEX(Backlog!$AT$2:$AT$180,MATCH($A154,Backlog!$A$2:$A$180,0))),INDEX(Backlog!$AT$2:$AT$180,MATCH($A154,Backlog!$A$2:$A$180,0)),"")</t>
  </si>
  <si>
    <t>F155</t>
  </si>
  <si>
    <t>=IF(ISNUMBER(INDEX(Backlog!$R$2:$R$180,MATCH($A155,Backlog!$A$2:$A$180,0))),INDEX(Backlog!$R$2:$R$180,MATCH($A155,Backlog!$A$2:$A$180,0)),"")</t>
  </si>
  <si>
    <t>=IF(ISNUMBER(INDEX(Backlog!$AT$2:$AT$180,MATCH($A155,Backlog!$A$2:$A$180,0))),INDEX(Backlog!$AT$2:$AT$180,MATCH($A155,Backlog!$A$2:$A$180,0)),"")</t>
  </si>
  <si>
    <t>F156</t>
  </si>
  <si>
    <t>=IF(ISNUMBER(INDEX(Backlog!$R$2:$R$180,MATCH($A156,Backlog!$A$2:$A$180,0))),INDEX(Backlog!$R$2:$R$180,MATCH($A156,Backlog!$A$2:$A$180,0)),"")</t>
  </si>
  <si>
    <t>=IF(ISNUMBER(INDEX(Backlog!$AT$2:$AT$180,MATCH($A156,Backlog!$A$2:$A$180,0))),INDEX(Backlog!$AT$2:$AT$180,MATCH($A156,Backlog!$A$2:$A$180,0)),"")</t>
  </si>
  <si>
    <t>F157</t>
  </si>
  <si>
    <t>=IF(ISNUMBER(INDEX(Backlog!$R$2:$R$180,MATCH($A157,Backlog!$A$2:$A$180,0))),INDEX(Backlog!$R$2:$R$180,MATCH($A157,Backlog!$A$2:$A$180,0)),"")</t>
  </si>
  <si>
    <t>=IF(ISNUMBER(INDEX(Backlog!$AT$2:$AT$180,MATCH($A157,Backlog!$A$2:$A$180,0))),INDEX(Backlog!$AT$2:$AT$180,MATCH($A157,Backlog!$A$2:$A$180,0)),"")</t>
  </si>
  <si>
    <t>F158</t>
  </si>
  <si>
    <t>=IF(ISNUMBER(INDEX(Backlog!$R$2:$R$180,MATCH($A158,Backlog!$A$2:$A$180,0))),INDEX(Backlog!$R$2:$R$180,MATCH($A158,Backlog!$A$2:$A$180,0)),"")</t>
  </si>
  <si>
    <t>=IF(ISNUMBER(INDEX(Backlog!$AT$2:$AT$180,MATCH($A158,Backlog!$A$2:$A$180,0))),INDEX(Backlog!$AT$2:$AT$180,MATCH($A158,Backlog!$A$2:$A$180,0)),"")</t>
  </si>
  <si>
    <t>F159</t>
  </si>
  <si>
    <t>=IF(ISNUMBER(INDEX(Backlog!$R$2:$R$180,MATCH($A159,Backlog!$A$2:$A$180,0))),INDEX(Backlog!$R$2:$R$180,MATCH($A159,Backlog!$A$2:$A$180,0)),"")</t>
  </si>
  <si>
    <t>=IF(ISNUMBER(INDEX(Backlog!$AT$2:$AT$180,MATCH($A159,Backlog!$A$2:$A$180,0))),INDEX(Backlog!$AT$2:$AT$180,MATCH($A159,Backlog!$A$2:$A$180,0)),"")</t>
  </si>
  <si>
    <t>F160</t>
  </si>
  <si>
    <t>=IF(ISNUMBER(INDEX(Backlog!$R$2:$R$180,MATCH($A160,Backlog!$A$2:$A$180,0))),INDEX(Backlog!$R$2:$R$180,MATCH($A160,Backlog!$A$2:$A$180,0)),"")</t>
  </si>
  <si>
    <t>=IF(ISNUMBER(INDEX(Backlog!$AT$2:$AT$180,MATCH($A160,Backlog!$A$2:$A$180,0))),INDEX(Backlog!$AT$2:$AT$180,MATCH($A160,Backlog!$A$2:$A$180,0)),"")</t>
  </si>
  <si>
    <t>F161</t>
  </si>
  <si>
    <t>=IF(ISNUMBER(INDEX(Backlog!$R$2:$R$180,MATCH($A161,Backlog!$A$2:$A$180,0))),INDEX(Backlog!$R$2:$R$180,MATCH($A161,Backlog!$A$2:$A$180,0)),"")</t>
  </si>
  <si>
    <t>=IF(ISNUMBER(INDEX(Backlog!$AT$2:$AT$180,MATCH($A161,Backlog!$A$2:$A$180,0))),INDEX(Backlog!$AT$2:$AT$180,MATCH($A161,Backlog!$A$2:$A$180,0)),"")</t>
  </si>
  <si>
    <t>F162</t>
  </si>
  <si>
    <t>=IF(ISNUMBER(INDEX(Backlog!$R$2:$R$180,MATCH($A162,Backlog!$A$2:$A$180,0))),INDEX(Backlog!$R$2:$R$180,MATCH($A162,Backlog!$A$2:$A$180,0)),"")</t>
  </si>
  <si>
    <t>=IF(ISNUMBER(INDEX(Backlog!$AT$2:$AT$180,MATCH($A162,Backlog!$A$2:$A$180,0))),INDEX(Backlog!$AT$2:$AT$180,MATCH($A162,Backlog!$A$2:$A$180,0)),"")</t>
  </si>
  <si>
    <t>F163</t>
  </si>
  <si>
    <t>=IF(ISNUMBER(INDEX(Backlog!$R$2:$R$180,MATCH($A163,Backlog!$A$2:$A$180,0))),INDEX(Backlog!$R$2:$R$180,MATCH($A163,Backlog!$A$2:$A$180,0)),"")</t>
  </si>
  <si>
    <t>=IF(ISNUMBER(INDEX(Backlog!$AT$2:$AT$180,MATCH($A163,Backlog!$A$2:$A$180,0))),INDEX(Backlog!$AT$2:$AT$180,MATCH($A163,Backlog!$A$2:$A$180,0)),"")</t>
  </si>
  <si>
    <t>F164</t>
  </si>
  <si>
    <t>=IF(ISNUMBER(INDEX(Backlog!$R$2:$R$180,MATCH($A164,Backlog!$A$2:$A$180,0))),INDEX(Backlog!$R$2:$R$180,MATCH($A164,Backlog!$A$2:$A$180,0)),"")</t>
  </si>
  <si>
    <t>=IF(ISNUMBER(INDEX(Backlog!$AT$2:$AT$180,MATCH($A164,Backlog!$A$2:$A$180,0))),INDEX(Backlog!$AT$2:$AT$180,MATCH($A164,Backlog!$A$2:$A$180,0)),"")</t>
  </si>
  <si>
    <t>F165</t>
  </si>
  <si>
    <t>=IF(ISNUMBER(INDEX(Backlog!$R$2:$R$180,MATCH($A165,Backlog!$A$2:$A$180,0))),INDEX(Backlog!$R$2:$R$180,MATCH($A165,Backlog!$A$2:$A$180,0)),"")</t>
  </si>
  <si>
    <t>=IF(ISNUMBER(INDEX(Backlog!$AT$2:$AT$180,MATCH($A165,Backlog!$A$2:$A$180,0))),INDEX(Backlog!$AT$2:$AT$180,MATCH($A165,Backlog!$A$2:$A$180,0)),"")</t>
  </si>
  <si>
    <t>F166</t>
  </si>
  <si>
    <t>=IF(ISNUMBER(INDEX(Backlog!$R$2:$R$180,MATCH($A166,Backlog!$A$2:$A$180,0))),INDEX(Backlog!$R$2:$R$180,MATCH($A166,Backlog!$A$2:$A$180,0)),"")</t>
  </si>
  <si>
    <t>=IF(ISNUMBER(INDEX(Backlog!$AT$2:$AT$180,MATCH($A166,Backlog!$A$2:$A$180,0))),INDEX(Backlog!$AT$2:$AT$180,MATCH($A166,Backlog!$A$2:$A$180,0)),"")</t>
  </si>
  <si>
    <t>F167</t>
  </si>
  <si>
    <t>=IF(ISNUMBER(INDEX(Backlog!$R$2:$R$180,MATCH($A167,Backlog!$A$2:$A$180,0))),INDEX(Backlog!$R$2:$R$180,MATCH($A167,Backlog!$A$2:$A$180,0)),"")</t>
  </si>
  <si>
    <t>=IF(ISNUMBER(INDEX(Backlog!$AT$2:$AT$180,MATCH($A167,Backlog!$A$2:$A$180,0))),INDEX(Backlog!$AT$2:$AT$180,MATCH($A167,Backlog!$A$2:$A$180,0)),"")</t>
  </si>
  <si>
    <t>F168</t>
  </si>
  <si>
    <t>=IF(ISNUMBER(INDEX(Backlog!$R$2:$R$180,MATCH($A168,Backlog!$A$2:$A$180,0))),INDEX(Backlog!$R$2:$R$180,MATCH($A168,Backlog!$A$2:$A$180,0)),"")</t>
  </si>
  <si>
    <t>=IF(ISNUMBER(INDEX(Backlog!$AT$2:$AT$180,MATCH($A168,Backlog!$A$2:$A$180,0))),INDEX(Backlog!$AT$2:$AT$180,MATCH($A168,Backlog!$A$2:$A$180,0)),"")</t>
  </si>
  <si>
    <t>F169</t>
  </si>
  <si>
    <t>=IF(ISNUMBER(INDEX(Backlog!$R$2:$R$180,MATCH($A169,Backlog!$A$2:$A$180,0))),INDEX(Backlog!$R$2:$R$180,MATCH($A169,Backlog!$A$2:$A$180,0)),"")</t>
  </si>
  <si>
    <t>=IF(ISNUMBER(INDEX(Backlog!$AT$2:$AT$180,MATCH($A169,Backlog!$A$2:$A$180,0))),INDEX(Backlog!$AT$2:$AT$180,MATCH($A169,Backlog!$A$2:$A$180,0)),"")</t>
  </si>
  <si>
    <t>F170</t>
  </si>
  <si>
    <t>=IF(ISNUMBER(INDEX(Backlog!$R$2:$R$180,MATCH($A170,Backlog!$A$2:$A$180,0))),INDEX(Backlog!$R$2:$R$180,MATCH($A170,Backlog!$A$2:$A$180,0)),"")</t>
  </si>
  <si>
    <t>=IF(ISNUMBER(INDEX(Backlog!$AT$2:$AT$180,MATCH($A170,Backlog!$A$2:$A$180,0))),INDEX(Backlog!$AT$2:$AT$180,MATCH($A170,Backlog!$A$2:$A$180,0)),"")</t>
  </si>
  <si>
    <t>F171</t>
  </si>
  <si>
    <t>=IF(ISNUMBER(INDEX(Backlog!$R$2:$R$180,MATCH($A171,Backlog!$A$2:$A$180,0))),INDEX(Backlog!$R$2:$R$180,MATCH($A171,Backlog!$A$2:$A$180,0)),"")</t>
  </si>
  <si>
    <t>=IF(ISNUMBER(INDEX(Backlog!$AT$2:$AT$180,MATCH($A171,Backlog!$A$2:$A$180,0))),INDEX(Backlog!$AT$2:$AT$180,MATCH($A171,Backlog!$A$2:$A$180,0)),"")</t>
  </si>
  <si>
    <t>F172</t>
  </si>
  <si>
    <t>=IF(ISNUMBER(INDEX(Backlog!$R$2:$R$180,MATCH($A172,Backlog!$A$2:$A$180,0))),INDEX(Backlog!$R$2:$R$180,MATCH($A172,Backlog!$A$2:$A$180,0)),"")</t>
  </si>
  <si>
    <t>=IF(ISNUMBER(INDEX(Backlog!$AT$2:$AT$180,MATCH($A172,Backlog!$A$2:$A$180,0))),INDEX(Backlog!$AT$2:$AT$180,MATCH($A172,Backlog!$A$2:$A$180,0)),"")</t>
  </si>
  <si>
    <t>F173</t>
  </si>
  <si>
    <t>=IF(ISNUMBER(INDEX(Backlog!$R$2:$R$180,MATCH($A173,Backlog!$A$2:$A$180,0))),INDEX(Backlog!$R$2:$R$180,MATCH($A173,Backlog!$A$2:$A$180,0)),"")</t>
  </si>
  <si>
    <t>=IF(ISNUMBER(INDEX(Backlog!$AT$2:$AT$180,MATCH($A173,Backlog!$A$2:$A$180,0))),INDEX(Backlog!$AT$2:$AT$180,MATCH($A173,Backlog!$A$2:$A$180,0)),"")</t>
  </si>
  <si>
    <t>F174</t>
  </si>
  <si>
    <t>=IF(ISNUMBER(INDEX(Backlog!$R$2:$R$180,MATCH($A174,Backlog!$A$2:$A$180,0))),INDEX(Backlog!$R$2:$R$180,MATCH($A174,Backlog!$A$2:$A$180,0)),"")</t>
  </si>
  <si>
    <t>=IF(ISNUMBER(INDEX(Backlog!$AT$2:$AT$180,MATCH($A174,Backlog!$A$2:$A$180,0))),INDEX(Backlog!$AT$2:$AT$180,MATCH($A174,Backlog!$A$2:$A$180,0)),"")</t>
  </si>
  <si>
    <t>F175</t>
  </si>
  <si>
    <t>=IF(ISNUMBER(INDEX(Backlog!$R$2:$R$180,MATCH($A175,Backlog!$A$2:$A$180,0))),INDEX(Backlog!$R$2:$R$180,MATCH($A175,Backlog!$A$2:$A$180,0)),"")</t>
  </si>
  <si>
    <t>=IF(ISNUMBER(INDEX(Backlog!$AT$2:$AT$180,MATCH($A175,Backlog!$A$2:$A$180,0))),INDEX(Backlog!$AT$2:$AT$180,MATCH($A175,Backlog!$A$2:$A$180,0)),"")</t>
  </si>
  <si>
    <t>F176</t>
  </si>
  <si>
    <t>=IF(ISNUMBER(INDEX(Backlog!$R$2:$R$180,MATCH($A176,Backlog!$A$2:$A$180,0))),INDEX(Backlog!$R$2:$R$180,MATCH($A176,Backlog!$A$2:$A$180,0)),"")</t>
  </si>
  <si>
    <t>=IF(ISNUMBER(INDEX(Backlog!$AT$2:$AT$180,MATCH($A176,Backlog!$A$2:$A$180,0))),INDEX(Backlog!$AT$2:$AT$180,MATCH($A176,Backlog!$A$2:$A$180,0)),"")</t>
  </si>
  <si>
    <t>F177</t>
  </si>
  <si>
    <t>=IF(ISNUMBER(INDEX(Backlog!$R$2:$R$180,MATCH($A177,Backlog!$A$2:$A$180,0))),INDEX(Backlog!$R$2:$R$180,MATCH($A177,Backlog!$A$2:$A$180,0)),"")</t>
  </si>
  <si>
    <t>=IF(ISNUMBER(INDEX(Backlog!$AT$2:$AT$180,MATCH($A177,Backlog!$A$2:$A$180,0))),INDEX(Backlog!$AT$2:$AT$180,MATCH($A177,Backlog!$A$2:$A$180,0)),"")</t>
  </si>
  <si>
    <t>F178</t>
  </si>
  <si>
    <t>=IF(ISNUMBER(INDEX(Backlog!$R$2:$R$180,MATCH($A178,Backlog!$A$2:$A$180,0))),INDEX(Backlog!$R$2:$R$180,MATCH($A178,Backlog!$A$2:$A$180,0)),"")</t>
  </si>
  <si>
    <t>=IF(ISNUMBER(INDEX(Backlog!$AT$2:$AT$180,MATCH($A178,Backlog!$A$2:$A$180,0))),INDEX(Backlog!$AT$2:$AT$180,MATCH($A178,Backlog!$A$2:$A$180,0)),"")</t>
  </si>
  <si>
    <t>F179</t>
  </si>
  <si>
    <t>=IF(ISNUMBER(INDEX(Backlog!$R$2:$R$180,MATCH($A179,Backlog!$A$2:$A$180,0))),INDEX(Backlog!$R$2:$R$180,MATCH($A179,Backlog!$A$2:$A$180,0)),"")</t>
  </si>
  <si>
    <t>=IF(ISNUMBER(INDEX(Backlog!$AT$2:$AT$180,MATCH($A179,Backlog!$A$2:$A$180,0))),INDEX(Backlog!$AT$2:$AT$180,MATCH($A179,Backlog!$A$2:$A$180,0)),"")</t>
  </si>
  <si>
    <t>F180</t>
  </si>
  <si>
    <t>=IF(ISNUMBER(INDEX(Backlog!$R$2:$R$180,MATCH($A180,Backlog!$A$2:$A$180,0))),INDEX(Backlog!$R$2:$R$180,MATCH($A180,Backlog!$A$2:$A$180,0)),"")</t>
  </si>
  <si>
    <t>=IF(ISNUMBER(INDEX(Backlog!$AT$2:$AT$180,MATCH($A180,Backlog!$A$2:$A$180,0))),INDEX(Backlog!$AT$2:$AT$180,MATCH($A180,Backlog!$A$2:$A$180,0)),"")</t>
  </si>
  <si>
    <t>Method and Notes — v2.22.1</t>
  </si>
  <si>
    <t>B19</t>
  </si>
  <si>
    <t>Historical 08-Sep checkpoint superseded. Current Backlog records T-243 In Progress/source-present; not automatically closed. T-253 accepted work remains preserved.</t>
  </si>
  <si>
    <t>B38</t>
  </si>
  <si>
    <t>Backlog, Current Authority and current generated views are v2.22.1. v220 summaries and Prior/Retired/previous-revision sheets are immutable historical snapshots.</t>
  </si>
  <si>
    <t>B41</t>
  </si>
  <si>
    <t>B42</t>
  </si>
  <si>
    <t>In Progress is the execution category. Evidence state is SOURCE PRESENT / UNCLOSED. No commit timestamp or successful closure is invented.</t>
  </si>
  <si>
    <t>B45</t>
  </si>
  <si>
    <t>T-106 16h and T-108 8h are archived, not current totals. Their P80 values are also withdrawn; blank means unknown, not zero.</t>
  </si>
  <si>
    <t>Make estimate policy consistent across rows and dashboards.</t>
  </si>
  <si>
    <t>A48</t>
  </si>
  <si>
    <t>Add status semantics.</t>
  </si>
  <si>
    <t>B48</t>
  </si>
  <si>
    <t>Add explicit, non-misleading status semantics.</t>
  </si>
  <si>
    <t>A45</t>
  </si>
  <si>
    <t>Task-ID keyed recovery of lost evidence.</t>
  </si>
  <si>
    <t>Source references in columnI.</t>
  </si>
  <si>
    <t>C45</t>
  </si>
  <si>
    <t>D45</t>
  </si>
  <si>
    <t>E45</t>
  </si>
  <si>
    <t>I45</t>
  </si>
  <si>
    <t>A46</t>
  </si>
  <si>
    <t>Recover commit evidence by Task ID without manufacturing timestamps.</t>
  </si>
  <si>
    <t>B46</t>
  </si>
  <si>
    <t>C46</t>
  </si>
  <si>
    <t>D46</t>
  </si>
  <si>
    <t>E46</t>
  </si>
  <si>
    <t>I46</t>
  </si>
  <si>
    <t>A47</t>
  </si>
  <si>
    <t>B47</t>
  </si>
  <si>
    <t>C47</t>
  </si>
  <si>
    <t>D47</t>
  </si>
  <si>
    <t>E47</t>
  </si>
  <si>
    <t>I47</t>
  </si>
  <si>
    <t>C48</t>
  </si>
  <si>
    <t>D48</t>
  </si>
  <si>
    <t>E48</t>
  </si>
  <si>
    <t>I48</t>
  </si>
  <si>
    <t>A49</t>
  </si>
  <si>
    <t>B49</t>
  </si>
  <si>
    <t>C49</t>
  </si>
  <si>
    <t>D49</t>
  </si>
  <si>
    <t>E49</t>
  </si>
  <si>
    <t>I49</t>
  </si>
  <si>
    <t>A50</t>
  </si>
  <si>
    <t>B50</t>
  </si>
  <si>
    <t>C50</t>
  </si>
  <si>
    <t>D50</t>
  </si>
  <si>
    <t>E50</t>
  </si>
  <si>
    <t>I50</t>
  </si>
  <si>
    <t>K4</t>
  </si>
  <si>
    <t>=COUNTIF('Secondary Capability Links'!$B$2:$B$150,A4)</t>
  </si>
  <si>
    <t>=COUNTIF('Secondary Capability Links'!$B$2:$B$149,A4)</t>
  </si>
  <si>
    <t>Keep counts on exact regenerated membership extent.</t>
  </si>
  <si>
    <t>=COUNTIFS('Secondary Capability Links'!$B$2:$B$150,A4,'Secondary Capability Links'!$C$2:$C$150,"Done")</t>
  </si>
  <si>
    <t>=COUNTIFS('Secondary Capability Links'!$B$2:$B$149,A4,'Secondary Capability Links'!$C$2:$C$149,"Done")</t>
  </si>
  <si>
    <t>K5</t>
  </si>
  <si>
    <t>=COUNTIF('Secondary Capability Links'!$B$2:$B$150,A5)</t>
  </si>
  <si>
    <t>=COUNTIF('Secondary Capability Links'!$B$2:$B$149,A5)</t>
  </si>
  <si>
    <t>=COUNTIFS('Secondary Capability Links'!$B$2:$B$150,A5,'Secondary Capability Links'!$C$2:$C$150,"Done")</t>
  </si>
  <si>
    <t>=COUNTIFS('Secondary Capability Links'!$B$2:$B$149,A5,'Secondary Capability Links'!$C$2:$C$149,"Done")</t>
  </si>
  <si>
    <t>K6</t>
  </si>
  <si>
    <t>=COUNTIF('Secondary Capability Links'!$B$2:$B$150,A6)</t>
  </si>
  <si>
    <t>=COUNTIF('Secondary Capability Links'!$B$2:$B$149,A6)</t>
  </si>
  <si>
    <t>=COUNTIFS('Secondary Capability Links'!$B$2:$B$150,A6,'Secondary Capability Links'!$C$2:$C$150,"Done")</t>
  </si>
  <si>
    <t>=COUNTIFS('Secondary Capability Links'!$B$2:$B$149,A6,'Secondary Capability Links'!$C$2:$C$149,"Done")</t>
  </si>
  <si>
    <t>K7</t>
  </si>
  <si>
    <t>=COUNTIF('Secondary Capability Links'!$B$2:$B$150,A7)</t>
  </si>
  <si>
    <t>=COUNTIF('Secondary Capability Links'!$B$2:$B$149,A7)</t>
  </si>
  <si>
    <t>=COUNTIFS('Secondary Capability Links'!$B$2:$B$150,A7,'Secondary Capability Links'!$C$2:$C$150,"Done")</t>
  </si>
  <si>
    <t>=COUNTIFS('Secondary Capability Links'!$B$2:$B$149,A7,'Secondary Capability Links'!$C$2:$C$149,"Done")</t>
  </si>
  <si>
    <t>M7</t>
  </si>
  <si>
    <t>=TEXTJOIN("; ",TRUE,IFERROR(INDEX(Backlog!$A$2:$A$180,MATCH("T-254",Backlog!$A$2:$A$180,0)),""),IFERROR(INDEX(Backlog!$A$2:$A$180,MATCH("T-153",Backlog!$A$2:$A$180,0)),""),IFERROR(INDEX(Backlog!$A$2:$A$180,MATCH("T-266",Backlog!$A$2:$A$180,0)),""))</t>
  </si>
  <si>
    <t>=TEXTJOIN("; ",TRUE,IFERROR(INDEX(Backlog!$A$2:$A$180,MATCH("T-153",Backlog!$A$2:$A$180,0)),""),IFERROR(INDEX(Backlog!$A$2:$A$180,MATCH("T-266",Backlog!$A$2:$A$180,0)),""))</t>
  </si>
  <si>
    <t>Rebuild capability membership from current primary/secondary IDs; remove duplicate primary-secondary link.</t>
  </si>
  <si>
    <t>K8</t>
  </si>
  <si>
    <t>=COUNTIF('Secondary Capability Links'!$B$2:$B$150,A8)</t>
  </si>
  <si>
    <t>=COUNTIF('Secondary Capability Links'!$B$2:$B$149,A8)</t>
  </si>
  <si>
    <t>=COUNTIFS('Secondary Capability Links'!$B$2:$B$150,A8,'Secondary Capability Links'!$C$2:$C$150,"Done")</t>
  </si>
  <si>
    <t>=COUNTIFS('Secondary Capability Links'!$B$2:$B$149,A8,'Secondary Capability Links'!$C$2:$C$149,"Done")</t>
  </si>
  <si>
    <t>K9</t>
  </si>
  <si>
    <t>=COUNTIF('Secondary Capability Links'!$B$2:$B$150,A9)</t>
  </si>
  <si>
    <t>=COUNTIF('Secondary Capability Links'!$B$2:$B$149,A9)</t>
  </si>
  <si>
    <t>=COUNTIFS('Secondary Capability Links'!$B$2:$B$150,A9,'Secondary Capability Links'!$C$2:$C$150,"Done")</t>
  </si>
  <si>
    <t>=COUNTIFS('Secondary Capability Links'!$B$2:$B$149,A9,'Secondary Capability Links'!$C$2:$C$149,"Done")</t>
  </si>
  <si>
    <t>K10</t>
  </si>
  <si>
    <t>=COUNTIF('Secondary Capability Links'!$B$2:$B$150,A10)</t>
  </si>
  <si>
    <t>=COUNTIF('Secondary Capability Links'!$B$2:$B$149,A10)</t>
  </si>
  <si>
    <t>=COUNTIFS('Secondary Capability Links'!$B$2:$B$150,A10,'Secondary Capability Links'!$C$2:$C$150,"Done")</t>
  </si>
  <si>
    <t>=COUNTIFS('Secondary Capability Links'!$B$2:$B$149,A10,'Secondary Capability Links'!$C$2:$C$149,"Done")</t>
  </si>
  <si>
    <t>K11</t>
  </si>
  <si>
    <t>=COUNTIF('Secondary Capability Links'!$B$2:$B$150,A11)</t>
  </si>
  <si>
    <t>=COUNTIF('Secondary Capability Links'!$B$2:$B$149,A11)</t>
  </si>
  <si>
    <t>L11</t>
  </si>
  <si>
    <t>=COUNTIFS('Secondary Capability Links'!$B$2:$B$150,A11,'Secondary Capability Links'!$C$2:$C$150,"Done")</t>
  </si>
  <si>
    <t>=COUNTIFS('Secondary Capability Links'!$B$2:$B$149,A11,'Secondary Capability Links'!$C$2:$C$149,"Done")</t>
  </si>
  <si>
    <t>K12</t>
  </si>
  <si>
    <t>=COUNTIF('Secondary Capability Links'!$B$2:$B$150,A12)</t>
  </si>
  <si>
    <t>=COUNTIF('Secondary Capability Links'!$B$2:$B$149,A12)</t>
  </si>
  <si>
    <t>L12</t>
  </si>
  <si>
    <t>=COUNTIFS('Secondary Capability Links'!$B$2:$B$150,A12,'Secondary Capability Links'!$C$2:$C$150,"Done")</t>
  </si>
  <si>
    <t>=COUNTIFS('Secondary Capability Links'!$B$2:$B$149,A12,'Secondary Capability Links'!$C$2:$C$149,"Done")</t>
  </si>
  <si>
    <t>K13</t>
  </si>
  <si>
    <t>=COUNTIF('Secondary Capability Links'!$B$2:$B$150,A13)</t>
  </si>
  <si>
    <t>=COUNTIF('Secondary Capability Links'!$B$2:$B$149,A13)</t>
  </si>
  <si>
    <t>L13</t>
  </si>
  <si>
    <t>=COUNTIFS('Secondary Capability Links'!$B$2:$B$150,A13,'Secondary Capability Links'!$C$2:$C$150,"Done")</t>
  </si>
  <si>
    <t>=COUNTIFS('Secondary Capability Links'!$B$2:$B$149,A13,'Secondary Capability Links'!$C$2:$C$149,"Done")</t>
  </si>
  <si>
    <t>K14</t>
  </si>
  <si>
    <t>=COUNTIF('Secondary Capability Links'!$B$2:$B$150,A14)</t>
  </si>
  <si>
    <t>=COUNTIF('Secondary Capability Links'!$B$2:$B$149,A14)</t>
  </si>
  <si>
    <t>L14</t>
  </si>
  <si>
    <t>=COUNTIFS('Secondary Capability Links'!$B$2:$B$150,A14,'Secondary Capability Links'!$C$2:$C$150,"Done")</t>
  </si>
  <si>
    <t>=COUNTIFS('Secondary Capability Links'!$B$2:$B$149,A14,'Secondary Capability Links'!$C$2:$C$149,"Done")</t>
  </si>
  <si>
    <t>K15</t>
  </si>
  <si>
    <t>=COUNTIF('Secondary Capability Links'!$B$2:$B$150,A15)</t>
  </si>
  <si>
    <t>=COUNTIF('Secondary Capability Links'!$B$2:$B$149,A15)</t>
  </si>
  <si>
    <t>L15</t>
  </si>
  <si>
    <t>=COUNTIFS('Secondary Capability Links'!$B$2:$B$150,A15,'Secondary Capability Links'!$C$2:$C$150,"Done")</t>
  </si>
  <si>
    <t>=COUNTIFS('Secondary Capability Links'!$B$2:$B$149,A15,'Secondary Capability Links'!$C$2:$C$149,"Done")</t>
  </si>
  <si>
    <t>K16</t>
  </si>
  <si>
    <t>=COUNTIF('Secondary Capability Links'!$B$2:$B$150,A16)</t>
  </si>
  <si>
    <t>=COUNTIF('Secondary Capability Links'!$B$2:$B$149,A16)</t>
  </si>
  <si>
    <t>L16</t>
  </si>
  <si>
    <t>=COUNTIFS('Secondary Capability Links'!$B$2:$B$150,A16,'Secondary Capability Links'!$C$2:$C$150,"Done")</t>
  </si>
  <si>
    <t>=COUNTIFS('Secondary Capability Links'!$B$2:$B$149,A16,'Secondary Capability Links'!$C$2:$C$149,"Done")</t>
  </si>
  <si>
    <t>K17</t>
  </si>
  <si>
    <t>=COUNTIF('Secondary Capability Links'!$B$2:$B$150,A17)</t>
  </si>
  <si>
    <t>=COUNTIF('Secondary Capability Links'!$B$2:$B$149,A17)</t>
  </si>
  <si>
    <t>L17</t>
  </si>
  <si>
    <t>=COUNTIFS('Secondary Capability Links'!$B$2:$B$150,A17,'Secondary Capability Links'!$C$2:$C$150,"Done")</t>
  </si>
  <si>
    <t>=COUNTIFS('Secondary Capability Links'!$B$2:$B$149,A17,'Secondary Capability Links'!$C$2:$C$149,"Done")</t>
  </si>
  <si>
    <t>K18</t>
  </si>
  <si>
    <t>=COUNTIF('Secondary Capability Links'!$B$2:$B$150,A18)</t>
  </si>
  <si>
    <t>=COUNTIF('Secondary Capability Links'!$B$2:$B$149,A18)</t>
  </si>
  <si>
    <t>L18</t>
  </si>
  <si>
    <t>=COUNTIFS('Secondary Capability Links'!$B$2:$B$150,A18,'Secondary Capability Links'!$C$2:$C$150,"Done")</t>
  </si>
  <si>
    <t>=COUNTIFS('Secondary Capability Links'!$B$2:$B$149,A18,'Secondary Capability Links'!$C$2:$C$149,"Done")</t>
  </si>
  <si>
    <t>K19</t>
  </si>
  <si>
    <t>=COUNTIF('Secondary Capability Links'!$B$2:$B$150,A19)</t>
  </si>
  <si>
    <t>=COUNTIF('Secondary Capability Links'!$B$2:$B$149,A19)</t>
  </si>
  <si>
    <t>L19</t>
  </si>
  <si>
    <t>=COUNTIFS('Secondary Capability Links'!$B$2:$B$150,A19,'Secondary Capability Links'!$C$2:$C$150,"Done")</t>
  </si>
  <si>
    <t>=COUNTIFS('Secondary Capability Links'!$B$2:$B$149,A19,'Secondary Capability Links'!$C$2:$C$149,"Done")</t>
  </si>
  <si>
    <t>K20</t>
  </si>
  <si>
    <t>=COUNTIF('Secondary Capability Links'!$B$2:$B$150,A20)</t>
  </si>
  <si>
    <t>=COUNTIF('Secondary Capability Links'!$B$2:$B$149,A20)</t>
  </si>
  <si>
    <t>L20</t>
  </si>
  <si>
    <t>=COUNTIFS('Secondary Capability Links'!$B$2:$B$150,A20,'Secondary Capability Links'!$C$2:$C$150,"Done")</t>
  </si>
  <si>
    <t>=COUNTIFS('Secondary Capability Links'!$B$2:$B$149,A20,'Secondary Capability Links'!$C$2:$C$149,"Done")</t>
  </si>
  <si>
    <t>K21</t>
  </si>
  <si>
    <t>=COUNTIF('Secondary Capability Links'!$B$2:$B$150,A21)</t>
  </si>
  <si>
    <t>=COUNTIF('Secondary Capability Links'!$B$2:$B$149,A21)</t>
  </si>
  <si>
    <t>L21</t>
  </si>
  <si>
    <t>=COUNTIFS('Secondary Capability Links'!$B$2:$B$150,A21,'Secondary Capability Links'!$C$2:$C$150,"Done")</t>
  </si>
  <si>
    <t>=COUNTIFS('Secondary Capability Links'!$B$2:$B$149,A21,'Secondary Capability Links'!$C$2:$C$149,"Done")</t>
  </si>
  <si>
    <t>K22</t>
  </si>
  <si>
    <t>=COUNTIF('Secondary Capability Links'!$B$2:$B$150,A22)</t>
  </si>
  <si>
    <t>=COUNTIF('Secondary Capability Links'!$B$2:$B$149,A22)</t>
  </si>
  <si>
    <t>L22</t>
  </si>
  <si>
    <t>=COUNTIFS('Secondary Capability Links'!$B$2:$B$150,A22,'Secondary Capability Links'!$C$2:$C$150,"Done")</t>
  </si>
  <si>
    <t>=COUNTIFS('Secondary Capability Links'!$B$2:$B$149,A22,'Secondary Capability Links'!$C$2:$C$149,"Done")</t>
  </si>
  <si>
    <t>K23</t>
  </si>
  <si>
    <t>=COUNTIF('Secondary Capability Links'!$B$2:$B$150,A23)</t>
  </si>
  <si>
    <t>=COUNTIF('Secondary Capability Links'!$B$2:$B$149,A23)</t>
  </si>
  <si>
    <t>L23</t>
  </si>
  <si>
    <t>=COUNTIFS('Secondary Capability Links'!$B$2:$B$150,A23,'Secondary Capability Links'!$C$2:$C$150,"Done")</t>
  </si>
  <si>
    <t>=COUNTIFS('Secondary Capability Links'!$B$2:$B$149,A23,'Secondary Capability Links'!$C$2:$C$149,"Done")</t>
  </si>
  <si>
    <t>K24</t>
  </si>
  <si>
    <t>=COUNTIF('Secondary Capability Links'!$B$2:$B$150,A24)</t>
  </si>
  <si>
    <t>=COUNTIF('Secondary Capability Links'!$B$2:$B$149,A24)</t>
  </si>
  <si>
    <t>L24</t>
  </si>
  <si>
    <t>=COUNTIFS('Secondary Capability Links'!$B$2:$B$150,A24,'Secondary Capability Links'!$C$2:$C$150,"Done")</t>
  </si>
  <si>
    <t>=COUNTIFS('Secondary Capability Links'!$B$2:$B$149,A24,'Secondary Capability Links'!$C$2:$C$149,"Done")</t>
  </si>
  <si>
    <t>K25</t>
  </si>
  <si>
    <t>=COUNTIF('Secondary Capability Links'!$B$2:$B$150,A25)</t>
  </si>
  <si>
    <t>=COUNTIF('Secondary Capability Links'!$B$2:$B$149,A25)</t>
  </si>
  <si>
    <t>L25</t>
  </si>
  <si>
    <t>=COUNTIFS('Secondary Capability Links'!$B$2:$B$150,A25,'Secondary Capability Links'!$C$2:$C$150,"Done")</t>
  </si>
  <si>
    <t>=COUNTIFS('Secondary Capability Links'!$B$2:$B$149,A25,'Secondary Capability Links'!$C$2:$C$149,"Done")</t>
  </si>
  <si>
    <t>K26</t>
  </si>
  <si>
    <t>=COUNTIF('Secondary Capability Links'!$B$2:$B$150,A26)</t>
  </si>
  <si>
    <t>=COUNTIF('Secondary Capability Links'!$B$2:$B$149,A26)</t>
  </si>
  <si>
    <t>L26</t>
  </si>
  <si>
    <t>=COUNTIFS('Secondary Capability Links'!$B$2:$B$150,A26,'Secondary Capability Links'!$C$2:$C$150,"Done")</t>
  </si>
  <si>
    <t>=COUNTIFS('Secondary Capability Links'!$B$2:$B$149,A26,'Secondary Capability Links'!$C$2:$C$149,"Done")</t>
  </si>
  <si>
    <t>K27</t>
  </si>
  <si>
    <t>=COUNTIF('Secondary Capability Links'!$B$2:$B$150,A27)</t>
  </si>
  <si>
    <t>=COUNTIF('Secondary Capability Links'!$B$2:$B$149,A27)</t>
  </si>
  <si>
    <t>L27</t>
  </si>
  <si>
    <t>=COUNTIFS('Secondary Capability Links'!$B$2:$B$150,A27,'Secondary Capability Links'!$C$2:$C$150,"Done")</t>
  </si>
  <si>
    <t>=COUNTIFS('Secondary Capability Links'!$B$2:$B$149,A27,'Secondary Capability Links'!$C$2:$C$149,"Done")</t>
  </si>
  <si>
    <t>K28</t>
  </si>
  <si>
    <t>=COUNTIF('Secondary Capability Links'!$B$2:$B$150,A28)</t>
  </si>
  <si>
    <t>=COUNTIF('Secondary Capability Links'!$B$2:$B$149,A28)</t>
  </si>
  <si>
    <t>L28</t>
  </si>
  <si>
    <t>=COUNTIFS('Secondary Capability Links'!$B$2:$B$150,A28,'Secondary Capability Links'!$C$2:$C$150,"Done")</t>
  </si>
  <si>
    <t>=COUNTIFS('Secondary Capability Links'!$B$2:$B$149,A28,'Secondary Capability Links'!$C$2:$C$149,"Done")</t>
  </si>
  <si>
    <t>K29</t>
  </si>
  <si>
    <t>=COUNTIF('Secondary Capability Links'!$B$2:$B$150,A29)</t>
  </si>
  <si>
    <t>=COUNTIF('Secondary Capability Links'!$B$2:$B$149,A29)</t>
  </si>
  <si>
    <t>L29</t>
  </si>
  <si>
    <t>=COUNTIFS('Secondary Capability Links'!$B$2:$B$150,A29,'Secondary Capability Links'!$C$2:$C$150,"Done")</t>
  </si>
  <si>
    <t>=COUNTIFS('Secondary Capability Links'!$B$2:$B$149,A29,'Secondary Capability Links'!$C$2:$C$149,"Done")</t>
  </si>
  <si>
    <t>K30</t>
  </si>
  <si>
    <t>=COUNTIF('Secondary Capability Links'!$B$2:$B$150,A30)</t>
  </si>
  <si>
    <t>=COUNTIF('Secondary Capability Links'!$B$2:$B$149,A30)</t>
  </si>
  <si>
    <t>L30</t>
  </si>
  <si>
    <t>=COUNTIFS('Secondary Capability Links'!$B$2:$B$150,A30,'Secondary Capability Links'!$C$2:$C$150,"Done")</t>
  </si>
  <si>
    <t>=COUNTIFS('Secondary Capability Links'!$B$2:$B$149,A30,'Secondary Capability Links'!$C$2:$C$149,"Done")</t>
  </si>
  <si>
    <t>K31</t>
  </si>
  <si>
    <t>=COUNTIF('Secondary Capability Links'!$B$2:$B$150,A31)</t>
  </si>
  <si>
    <t>=COUNTIF('Secondary Capability Links'!$B$2:$B$149,A31)</t>
  </si>
  <si>
    <t>L31</t>
  </si>
  <si>
    <t>=COUNTIFS('Secondary Capability Links'!$B$2:$B$150,A31,'Secondary Capability Links'!$C$2:$C$150,"Done")</t>
  </si>
  <si>
    <t>=COUNTIFS('Secondary Capability Links'!$B$2:$B$149,A31,'Secondary Capability Links'!$C$2:$C$149,"Done")</t>
  </si>
  <si>
    <t>K32</t>
  </si>
  <si>
    <t>=COUNTIF('Secondary Capability Links'!$B$2:$B$150,A32)</t>
  </si>
  <si>
    <t>=COUNTIF('Secondary Capability Links'!$B$2:$B$149,A32)</t>
  </si>
  <si>
    <t>L32</t>
  </si>
  <si>
    <t>=COUNTIFS('Secondary Capability Links'!$B$2:$B$150,A32,'Secondary Capability Links'!$C$2:$C$150,"Done")</t>
  </si>
  <si>
    <t>=COUNTIFS('Secondary Capability Links'!$B$2:$B$149,A32,'Secondary Capability Links'!$C$2:$C$149,"Done")</t>
  </si>
  <si>
    <t>K33</t>
  </si>
  <si>
    <t>=COUNTIF('Secondary Capability Links'!$B$2:$B$150,A33)</t>
  </si>
  <si>
    <t>=COUNTIF('Secondary Capability Links'!$B$2:$B$149,A33)</t>
  </si>
  <si>
    <t>L33</t>
  </si>
  <si>
    <t>=COUNTIFS('Secondary Capability Links'!$B$2:$B$150,A33,'Secondary Capability Links'!$C$2:$C$150,"Done")</t>
  </si>
  <si>
    <t>=COUNTIFS('Secondary Capability Links'!$B$2:$B$149,A33,'Secondary Capability Links'!$C$2:$C$149,"Done")</t>
  </si>
  <si>
    <t>K34</t>
  </si>
  <si>
    <t>=COUNTIF('Secondary Capability Links'!$B$2:$B$150,A34)</t>
  </si>
  <si>
    <t>=COUNTIF('Secondary Capability Links'!$B$2:$B$149,A34)</t>
  </si>
  <si>
    <t>L34</t>
  </si>
  <si>
    <t>=COUNTIFS('Secondary Capability Links'!$B$2:$B$150,A34,'Secondary Capability Links'!$C$2:$C$150,"Done")</t>
  </si>
  <si>
    <t>=COUNTIFS('Secondary Capability Links'!$B$2:$B$149,A34,'Secondary Capability Links'!$C$2:$C$149,"Done")</t>
  </si>
  <si>
    <t>K35</t>
  </si>
  <si>
    <t>=COUNTIF('Secondary Capability Links'!$B$2:$B$150,A35)</t>
  </si>
  <si>
    <t>=COUNTIF('Secondary Capability Links'!$B$2:$B$149,A35)</t>
  </si>
  <si>
    <t>L35</t>
  </si>
  <si>
    <t>=COUNTIFS('Secondary Capability Links'!$B$2:$B$150,A35,'Secondary Capability Links'!$C$2:$C$150,"Done")</t>
  </si>
  <si>
    <t>=COUNTIFS('Secondary Capability Links'!$B$2:$B$149,A35,'Secondary Capability Links'!$C$2:$C$149,"Done")</t>
  </si>
  <si>
    <t>K36</t>
  </si>
  <si>
    <t>=COUNTIF('Secondary Capability Links'!$B$2:$B$150,A36)</t>
  </si>
  <si>
    <t>=COUNTIF('Secondary Capability Links'!$B$2:$B$149,A36)</t>
  </si>
  <si>
    <t>L36</t>
  </si>
  <si>
    <t>=COUNTIFS('Secondary Capability Links'!$B$2:$B$150,A36,'Secondary Capability Links'!$C$2:$C$150,"Done")</t>
  </si>
  <si>
    <t>=COUNTIFS('Secondary Capability Links'!$B$2:$B$149,A36,'Secondary Capability Links'!$C$2:$C$149,"Done")</t>
  </si>
  <si>
    <t>K37</t>
  </si>
  <si>
    <t>=COUNTIF('Secondary Capability Links'!$B$2:$B$150,A37)</t>
  </si>
  <si>
    <t>=COUNTIF('Secondary Capability Links'!$B$2:$B$149,A37)</t>
  </si>
  <si>
    <t>L37</t>
  </si>
  <si>
    <t>=COUNTIFS('Secondary Capability Links'!$B$2:$B$150,A37,'Secondary Capability Links'!$C$2:$C$150,"Done")</t>
  </si>
  <si>
    <t>=COUNTIFS('Secondary Capability Links'!$B$2:$B$149,A37,'Secondary Capability Links'!$C$2:$C$149,"Done")</t>
  </si>
  <si>
    <t>K38</t>
  </si>
  <si>
    <t>=COUNTIF('Secondary Capability Links'!$B$2:$B$150,A38)</t>
  </si>
  <si>
    <t>=COUNTIF('Secondary Capability Links'!$B$2:$B$149,A38)</t>
  </si>
  <si>
    <t>L38</t>
  </si>
  <si>
    <t>=COUNTIFS('Secondary Capability Links'!$B$2:$B$150,A38,'Secondary Capability Links'!$C$2:$C$150,"Done")</t>
  </si>
  <si>
    <t>=COUNTIFS('Secondary Capability Links'!$B$2:$B$149,A38,'Secondary Capability Links'!$C$2:$C$149,"Done")</t>
  </si>
  <si>
    <t>K39</t>
  </si>
  <si>
    <t>=COUNTIF('Secondary Capability Links'!$B$2:$B$150,A39)</t>
  </si>
  <si>
    <t>=COUNTIF('Secondary Capability Links'!$B$2:$B$149,A39)</t>
  </si>
  <si>
    <t>L39</t>
  </si>
  <si>
    <t>=COUNTIFS('Secondary Capability Links'!$B$2:$B$150,A39,'Secondary Capability Links'!$C$2:$C$150,"Done")</t>
  </si>
  <si>
    <t>=COUNTIFS('Secondary Capability Links'!$B$2:$B$149,A39,'Secondary Capability Links'!$C$2:$C$149,"Done")</t>
  </si>
  <si>
    <t>K40</t>
  </si>
  <si>
    <t>=COUNTIF('Secondary Capability Links'!$B$2:$B$150,A40)</t>
  </si>
  <si>
    <t>=COUNTIF('Secondary Capability Links'!$B$2:$B$149,A40)</t>
  </si>
  <si>
    <t>L40</t>
  </si>
  <si>
    <t>=COUNTIFS('Secondary Capability Links'!$B$2:$B$150,A40,'Secondary Capability Links'!$C$2:$C$150,"Done")</t>
  </si>
  <si>
    <t>=COUNTIFS('Secondary Capability Links'!$B$2:$B$149,A40,'Secondary Capability Links'!$C$2:$C$149,"Done")</t>
  </si>
  <si>
    <t>K41</t>
  </si>
  <si>
    <t>=COUNTIF('Secondary Capability Links'!$B$2:$B$150,A41)</t>
  </si>
  <si>
    <t>=COUNTIF('Secondary Capability Links'!$B$2:$B$149,A41)</t>
  </si>
  <si>
    <t>L41</t>
  </si>
  <si>
    <t>=COUNTIFS('Secondary Capability Links'!$B$2:$B$150,A41,'Secondary Capability Links'!$C$2:$C$150,"Done")</t>
  </si>
  <si>
    <t>=COUNTIFS('Secondary Capability Links'!$B$2:$B$149,A41,'Secondary Capability Links'!$C$2:$C$149,"Done")</t>
  </si>
  <si>
    <t>K42</t>
  </si>
  <si>
    <t>=COUNTIF('Secondary Capability Links'!$B$2:$B$150,A42)</t>
  </si>
  <si>
    <t>=COUNTIF('Secondary Capability Links'!$B$2:$B$149,A42)</t>
  </si>
  <si>
    <t>L42</t>
  </si>
  <si>
    <t>=COUNTIFS('Secondary Capability Links'!$B$2:$B$150,A42,'Secondary Capability Links'!$C$2:$C$150,"Done")</t>
  </si>
  <si>
    <t>=COUNTIFS('Secondary Capability Links'!$B$2:$B$149,A42,'Secondary Capability Links'!$C$2:$C$149,"Done")</t>
  </si>
  <si>
    <t>K43</t>
  </si>
  <si>
    <t>=COUNTIF('Secondary Capability Links'!$B$2:$B$150,A43)</t>
  </si>
  <si>
    <t>=COUNTIF('Secondary Capability Links'!$B$2:$B$149,A43)</t>
  </si>
  <si>
    <t>L43</t>
  </si>
  <si>
    <t>=COUNTIFS('Secondary Capability Links'!$B$2:$B$150,A43,'Secondary Capability Links'!$C$2:$C$150,"Done")</t>
  </si>
  <si>
    <t>=COUNTIFS('Secondary Capability Links'!$B$2:$B$149,A43,'Secondary Capability Links'!$C$2:$C$149,"Done")</t>
  </si>
  <si>
    <t>K44</t>
  </si>
  <si>
    <t>=COUNTIF('Secondary Capability Links'!$B$2:$B$150,A44)</t>
  </si>
  <si>
    <t>=COUNTIF('Secondary Capability Links'!$B$2:$B$149,A44)</t>
  </si>
  <si>
    <t>L44</t>
  </si>
  <si>
    <t>=COUNTIFS('Secondary Capability Links'!$B$2:$B$150,A44,'Secondary Capability Links'!$C$2:$C$150,"Done")</t>
  </si>
  <si>
    <t>=COUNTIFS('Secondary Capability Links'!$B$2:$B$149,A44,'Secondary Capability Links'!$C$2:$C$149,"Done")</t>
  </si>
  <si>
    <t>K45</t>
  </si>
  <si>
    <t>=COUNTIF('Secondary Capability Links'!$B$2:$B$150,A45)</t>
  </si>
  <si>
    <t>=COUNTIF('Secondary Capability Links'!$B$2:$B$149,A45)</t>
  </si>
  <si>
    <t>L45</t>
  </si>
  <si>
    <t>=COUNTIFS('Secondary Capability Links'!$B$2:$B$150,A45,'Secondary Capability Links'!$C$2:$C$150,"Done")</t>
  </si>
  <si>
    <t>=COUNTIFS('Secondary Capability Links'!$B$2:$B$149,A45,'Secondary Capability Links'!$C$2:$C$149,"Done")</t>
  </si>
  <si>
    <t>K46</t>
  </si>
  <si>
    <t>=COUNTIF('Secondary Capability Links'!$B$2:$B$150,A46)</t>
  </si>
  <si>
    <t>=COUNTIF('Secondary Capability Links'!$B$2:$B$149,A46)</t>
  </si>
  <si>
    <t>L46</t>
  </si>
  <si>
    <t>=COUNTIFS('Secondary Capability Links'!$B$2:$B$150,A46,'Secondary Capability Links'!$C$2:$C$150,"Done")</t>
  </si>
  <si>
    <t>=COUNTIFS('Secondary Capability Links'!$B$2:$B$149,A46,'Secondary Capability Links'!$C$2:$C$149,"Done")</t>
  </si>
  <si>
    <t>K47</t>
  </si>
  <si>
    <t>=COUNTIF('Secondary Capability Links'!$B$2:$B$150,A47)</t>
  </si>
  <si>
    <t>=COUNTIF('Secondary Capability Links'!$B$2:$B$149,A47)</t>
  </si>
  <si>
    <t>L47</t>
  </si>
  <si>
    <t>=COUNTIFS('Secondary Capability Links'!$B$2:$B$150,A47,'Secondary Capability Links'!$C$2:$C$150,"Done")</t>
  </si>
  <si>
    <t>=COUNTIFS('Secondary Capability Links'!$B$2:$B$149,A47,'Secondary Capability Links'!$C$2:$C$149,"Done")</t>
  </si>
  <si>
    <t>K48</t>
  </si>
  <si>
    <t>=COUNTIF('Secondary Capability Links'!$B$2:$B$150,A48)</t>
  </si>
  <si>
    <t>=COUNTIF('Secondary Capability Links'!$B$2:$B$149,A48)</t>
  </si>
  <si>
    <t>L48</t>
  </si>
  <si>
    <t>=COUNTIFS('Secondary Capability Links'!$B$2:$B$150,A48,'Secondary Capability Links'!$C$2:$C$150,"Done")</t>
  </si>
  <si>
    <t>=COUNTIFS('Secondary Capability Links'!$B$2:$B$149,A48,'Secondary Capability Links'!$C$2:$C$149,"Done")</t>
  </si>
  <si>
    <t>K49</t>
  </si>
  <si>
    <t>=COUNTIF('Secondary Capability Links'!$B$2:$B$150,A49)</t>
  </si>
  <si>
    <t>=COUNTIF('Secondary Capability Links'!$B$2:$B$149,A49)</t>
  </si>
  <si>
    <t>L49</t>
  </si>
  <si>
    <t>=COUNTIFS('Secondary Capability Links'!$B$2:$B$150,A49,'Secondary Capability Links'!$C$2:$C$150,"Done")</t>
  </si>
  <si>
    <t>=COUNTIFS('Secondary Capability Links'!$B$2:$B$149,A49,'Secondary Capability Links'!$C$2:$C$149,"Done")</t>
  </si>
  <si>
    <t>K50</t>
  </si>
  <si>
    <t>=COUNTIF('Secondary Capability Links'!$B$2:$B$150,A50)</t>
  </si>
  <si>
    <t>=COUNTIF('Secondary Capability Links'!$B$2:$B$149,A50)</t>
  </si>
  <si>
    <t>L50</t>
  </si>
  <si>
    <t>=COUNTIFS('Secondary Capability Links'!$B$2:$B$150,A50,'Secondary Capability Links'!$C$2:$C$150,"Done")</t>
  </si>
  <si>
    <t>=COUNTIFS('Secondary Capability Links'!$B$2:$B$149,A50,'Secondary Capability Links'!$C$2:$C$149,"Done")</t>
  </si>
  <si>
    <t>K51</t>
  </si>
  <si>
    <t>=COUNTIF('Secondary Capability Links'!$B$2:$B$150,A51)</t>
  </si>
  <si>
    <t>=COUNTIF('Secondary Capability Links'!$B$2:$B$149,A51)</t>
  </si>
  <si>
    <t>L51</t>
  </si>
  <si>
    <t>=COUNTIFS('Secondary Capability Links'!$B$2:$B$150,A51,'Secondary Capability Links'!$C$2:$C$150,"Done")</t>
  </si>
  <si>
    <t>=COUNTIFS('Secondary Capability Links'!$B$2:$B$149,A51,'Secondary Capability Links'!$C$2:$C$149,"Done")</t>
  </si>
  <si>
    <t>K52</t>
  </si>
  <si>
    <t>=COUNTIF('Secondary Capability Links'!$B$2:$B$150,A52)</t>
  </si>
  <si>
    <t>=COUNTIF('Secondary Capability Links'!$B$2:$B$149,A52)</t>
  </si>
  <si>
    <t>L52</t>
  </si>
  <si>
    <t>=COUNTIFS('Secondary Capability Links'!$B$2:$B$150,A52,'Secondary Capability Links'!$C$2:$C$150,"Done")</t>
  </si>
  <si>
    <t>=COUNTIFS('Secondary Capability Links'!$B$2:$B$149,A52,'Secondary Capability Links'!$C$2:$C$149,"Done")</t>
  </si>
  <si>
    <t>K53</t>
  </si>
  <si>
    <t>=COUNTIF('Secondary Capability Links'!$B$2:$B$150,A53)</t>
  </si>
  <si>
    <t>=COUNTIF('Secondary Capability Links'!$B$2:$B$149,A53)</t>
  </si>
  <si>
    <t>L53</t>
  </si>
  <si>
    <t>=COUNTIFS('Secondary Capability Links'!$B$2:$B$150,A53,'Secondary Capability Links'!$C$2:$C$150,"Done")</t>
  </si>
  <si>
    <t>=COUNTIFS('Secondary Capability Links'!$B$2:$B$149,A53,'Secondary Capability Links'!$C$2:$C$149,"Done")</t>
  </si>
  <si>
    <t>K54</t>
  </si>
  <si>
    <t>=COUNTIF('Secondary Capability Links'!$B$2:$B$150,A54)</t>
  </si>
  <si>
    <t>=COUNTIF('Secondary Capability Links'!$B$2:$B$149,A54)</t>
  </si>
  <si>
    <t>L54</t>
  </si>
  <si>
    <t>=COUNTIFS('Secondary Capability Links'!$B$2:$B$150,A54,'Secondary Capability Links'!$C$2:$C$150,"Done")</t>
  </si>
  <si>
    <t>=COUNTIFS('Secondary Capability Links'!$B$2:$B$149,A54,'Secondary Capability Links'!$C$2:$C$149,"Done")</t>
  </si>
  <si>
    <t>K55</t>
  </si>
  <si>
    <t>=COUNTIF('Secondary Capability Links'!$B$2:$B$150,A55)</t>
  </si>
  <si>
    <t>=COUNTIF('Secondary Capability Links'!$B$2:$B$149,A55)</t>
  </si>
  <si>
    <t>L55</t>
  </si>
  <si>
    <t>=COUNTIFS('Secondary Capability Links'!$B$2:$B$150,A55,'Secondary Capability Links'!$C$2:$C$150,"Done")</t>
  </si>
  <si>
    <t>=COUNTIFS('Secondary Capability Links'!$B$2:$B$149,A55,'Secondary Capability Links'!$C$2:$C$149,"Done")</t>
  </si>
  <si>
    <t>K56</t>
  </si>
  <si>
    <t>=COUNTIF('Secondary Capability Links'!$B$2:$B$150,A56)</t>
  </si>
  <si>
    <t>=COUNTIF('Secondary Capability Links'!$B$2:$B$149,A56)</t>
  </si>
  <si>
    <t>L56</t>
  </si>
  <si>
    <t>=COUNTIFS('Secondary Capability Links'!$B$2:$B$150,A56,'Secondary Capability Links'!$C$2:$C$150,"Done")</t>
  </si>
  <si>
    <t>=COUNTIFS('Secondary Capability Links'!$B$2:$B$149,A56,'Secondary Capability Links'!$C$2:$C$149,"Done")</t>
  </si>
  <si>
    <t>K57</t>
  </si>
  <si>
    <t>=COUNTIF('Secondary Capability Links'!$B$2:$B$150,A57)</t>
  </si>
  <si>
    <t>=COUNTIF('Secondary Capability Links'!$B$2:$B$149,A57)</t>
  </si>
  <si>
    <t>L57</t>
  </si>
  <si>
    <t>=COUNTIFS('Secondary Capability Links'!$B$2:$B$150,A57,'Secondary Capability Links'!$C$2:$C$150,"Done")</t>
  </si>
  <si>
    <t>=COUNTIFS('Secondary Capability Links'!$B$2:$B$149,A57,'Secondary Capability Links'!$C$2:$C$149,"Done")</t>
  </si>
  <si>
    <t>=COUNTIF('Secondary Capability Links'!$B$2:$B$150,A58)</t>
  </si>
  <si>
    <t>=COUNTIF('Secondary Capability Links'!$B$2:$B$149,A58)</t>
  </si>
  <si>
    <t>L58</t>
  </si>
  <si>
    <t>=COUNTIFS('Secondary Capability Links'!$B$2:$B$150,A58,'Secondary Capability Links'!$C$2:$C$150,"Done")</t>
  </si>
  <si>
    <t>=COUNTIFS('Secondary Capability Links'!$B$2:$B$149,A58,'Secondary Capability Links'!$C$2:$C$149,"Done")</t>
  </si>
  <si>
    <t>K59</t>
  </si>
  <si>
    <t>=COUNTIF('Secondary Capability Links'!$B$2:$B$150,A59)</t>
  </si>
  <si>
    <t>=COUNTIF('Secondary Capability Links'!$B$2:$B$149,A59)</t>
  </si>
  <si>
    <t>L59</t>
  </si>
  <si>
    <t>=COUNTIFS('Secondary Capability Links'!$B$2:$B$150,A59,'Secondary Capability Links'!$C$2:$C$150,"Done")</t>
  </si>
  <si>
    <t>=COUNTIFS('Secondary Capability Links'!$B$2:$B$149,A59,'Secondary Capability Links'!$C$2:$C$149,"Done")</t>
  </si>
  <si>
    <t>K60</t>
  </si>
  <si>
    <t>=COUNTIF('Secondary Capability Links'!$B$2:$B$150,A60)</t>
  </si>
  <si>
    <t>=COUNTIF('Secondary Capability Links'!$B$2:$B$149,A60)</t>
  </si>
  <si>
    <t>L60</t>
  </si>
  <si>
    <t>=COUNTIFS('Secondary Capability Links'!$B$2:$B$150,A60,'Secondary Capability Links'!$C$2:$C$150,"Done")</t>
  </si>
  <si>
    <t>=COUNTIFS('Secondary Capability Links'!$B$2:$B$149,A60,'Secondary Capability Links'!$C$2:$C$149,"Done")</t>
  </si>
  <si>
    <t>K61</t>
  </si>
  <si>
    <t>=COUNTIF('Secondary Capability Links'!$B$2:$B$150,A61)</t>
  </si>
  <si>
    <t>=COUNTIF('Secondary Capability Links'!$B$2:$B$149,A61)</t>
  </si>
  <si>
    <t>L61</t>
  </si>
  <si>
    <t>=COUNTIFS('Secondary Capability Links'!$B$2:$B$150,A61,'Secondary Capability Links'!$C$2:$C$150,"Done")</t>
  </si>
  <si>
    <t>=COUNTIFS('Secondary Capability Links'!$B$2:$B$149,A61,'Secondary Capability Links'!$C$2:$C$149,"Done")</t>
  </si>
  <si>
    <t>K62</t>
  </si>
  <si>
    <t>=COUNTIF('Secondary Capability Links'!$B$2:$B$150,A62)</t>
  </si>
  <si>
    <t>=COUNTIF('Secondary Capability Links'!$B$2:$B$149,A62)</t>
  </si>
  <si>
    <t>L62</t>
  </si>
  <si>
    <t>=COUNTIFS('Secondary Capability Links'!$B$2:$B$150,A62,'Secondary Capability Links'!$C$2:$C$150,"Done")</t>
  </si>
  <si>
    <t>=COUNTIFS('Secondary Capability Links'!$B$2:$B$149,A62,'Secondary Capability Links'!$C$2:$C$149,"Done")</t>
  </si>
  <si>
    <t>K63</t>
  </si>
  <si>
    <t>=COUNTIF('Secondary Capability Links'!$B$2:$B$150,A63)</t>
  </si>
  <si>
    <t>=COUNTIF('Secondary Capability Links'!$B$2:$B$149,A63)</t>
  </si>
  <si>
    <t>L63</t>
  </si>
  <si>
    <t>=COUNTIFS('Secondary Capability Links'!$B$2:$B$150,A63,'Secondary Capability Links'!$C$2:$C$150,"Done")</t>
  </si>
  <si>
    <t>=COUNTIFS('Secondary Capability Links'!$B$2:$B$149,A63,'Secondary Capability Links'!$C$2:$C$149,"Done")</t>
  </si>
  <si>
    <t>K64</t>
  </si>
  <si>
    <t>=COUNTIF('Secondary Capability Links'!$B$2:$B$150,A64)</t>
  </si>
  <si>
    <t>=COUNTIF('Secondary Capability Links'!$B$2:$B$149,A64)</t>
  </si>
  <si>
    <t>L64</t>
  </si>
  <si>
    <t>=COUNTIFS('Secondary Capability Links'!$B$2:$B$150,A64,'Secondary Capability Links'!$C$2:$C$150,"Done")</t>
  </si>
  <si>
    <t>=COUNTIFS('Secondary Capability Links'!$B$2:$B$149,A64,'Secondary Capability Links'!$C$2:$C$149,"Done")</t>
  </si>
  <si>
    <t>K65</t>
  </si>
  <si>
    <t>=COUNTIF('Secondary Capability Links'!$B$2:$B$150,A65)</t>
  </si>
  <si>
    <t>=COUNTIF('Secondary Capability Links'!$B$2:$B$149,A65)</t>
  </si>
  <si>
    <t>L65</t>
  </si>
  <si>
    <t>=COUNTIFS('Secondary Capability Links'!$B$2:$B$150,A65,'Secondary Capability Links'!$C$2:$C$150,"Done")</t>
  </si>
  <si>
    <t>=COUNTIFS('Secondary Capability Links'!$B$2:$B$149,A65,'Secondary Capability Links'!$C$2:$C$149,"Done")</t>
  </si>
  <si>
    <t>K66</t>
  </si>
  <si>
    <t>=COUNTIF('Secondary Capability Links'!$B$2:$B$150,A66)</t>
  </si>
  <si>
    <t>=COUNTIF('Secondary Capability Links'!$B$2:$B$149,A66)</t>
  </si>
  <si>
    <t>L66</t>
  </si>
  <si>
    <t>=COUNTIFS('Secondary Capability Links'!$B$2:$B$150,A66,'Secondary Capability Links'!$C$2:$C$150,"Done")</t>
  </si>
  <si>
    <t>=COUNTIFS('Secondary Capability Links'!$B$2:$B$149,A66,'Secondary Capability Links'!$C$2:$C$149,"Done")</t>
  </si>
  <si>
    <t>K67</t>
  </si>
  <si>
    <t>=COUNTIF('Secondary Capability Links'!$B$2:$B$150,A67)</t>
  </si>
  <si>
    <t>=COUNTIF('Secondary Capability Links'!$B$2:$B$149,A67)</t>
  </si>
  <si>
    <t>L67</t>
  </si>
  <si>
    <t>=COUNTIFS('Secondary Capability Links'!$B$2:$B$150,A67,'Secondary Capability Links'!$C$2:$C$150,"Done")</t>
  </si>
  <si>
    <t>=COUNTIFS('Secondary Capability Links'!$B$2:$B$149,A67,'Secondary Capability Links'!$C$2:$C$149,"Done")</t>
  </si>
  <si>
    <t>K68</t>
  </si>
  <si>
    <t>=COUNTIF('Secondary Capability Links'!$B$2:$B$150,A68)</t>
  </si>
  <si>
    <t>=COUNTIF('Secondary Capability Links'!$B$2:$B$149,A68)</t>
  </si>
  <si>
    <t>L68</t>
  </si>
  <si>
    <t>=COUNTIFS('Secondary Capability Links'!$B$2:$B$150,A68,'Secondary Capability Links'!$C$2:$C$150,"Done")</t>
  </si>
  <si>
    <t>=COUNTIFS('Secondary Capability Links'!$B$2:$B$149,A68,'Secondary Capability Links'!$C$2:$C$149,"Done")</t>
  </si>
  <si>
    <t>K69</t>
  </si>
  <si>
    <t>=COUNTIF('Secondary Capability Links'!$B$2:$B$150,A69)</t>
  </si>
  <si>
    <t>=COUNTIF('Secondary Capability Links'!$B$2:$B$149,A69)</t>
  </si>
  <si>
    <t>L69</t>
  </si>
  <si>
    <t>=COUNTIFS('Secondary Capability Links'!$B$2:$B$150,A69,'Secondary Capability Links'!$C$2:$C$150,"Done")</t>
  </si>
  <si>
    <t>=COUNTIFS('Secondary Capability Links'!$B$2:$B$149,A69,'Secondary Capability Links'!$C$2:$C$149,"Done")</t>
  </si>
  <si>
    <t>K70</t>
  </si>
  <si>
    <t>=COUNTIF('Secondary Capability Links'!$B$2:$B$150,A70)</t>
  </si>
  <si>
    <t>=COUNTIF('Secondary Capability Links'!$B$2:$B$149,A70)</t>
  </si>
  <si>
    <t>L70</t>
  </si>
  <si>
    <t>=COUNTIFS('Secondary Capability Links'!$B$2:$B$150,A70,'Secondary Capability Links'!$C$2:$C$150,"Done")</t>
  </si>
  <si>
    <t>=COUNTIFS('Secondary Capability Links'!$B$2:$B$149,A70,'Secondary Capability Links'!$C$2:$C$149,"Done")</t>
  </si>
  <si>
    <t>K71</t>
  </si>
  <si>
    <t>=COUNTIF('Secondary Capability Links'!$B$2:$B$150,A71)</t>
  </si>
  <si>
    <t>=COUNTIF('Secondary Capability Links'!$B$2:$B$149,A71)</t>
  </si>
  <si>
    <t>L71</t>
  </si>
  <si>
    <t>=COUNTIFS('Secondary Capability Links'!$B$2:$B$150,A71,'Secondary Capability Links'!$C$2:$C$150,"Done")</t>
  </si>
  <si>
    <t>=COUNTIFS('Secondary Capability Links'!$B$2:$B$149,A71,'Secondary Capability Links'!$C$2:$C$149,"Done")</t>
  </si>
  <si>
    <t>K72</t>
  </si>
  <si>
    <t>=COUNTIF('Secondary Capability Links'!$B$2:$B$150,A72)</t>
  </si>
  <si>
    <t>=COUNTIF('Secondary Capability Links'!$B$2:$B$149,A72)</t>
  </si>
  <si>
    <t>L72</t>
  </si>
  <si>
    <t>=COUNTIFS('Secondary Capability Links'!$B$2:$B$150,A72,'Secondary Capability Links'!$C$2:$C$150,"Done")</t>
  </si>
  <si>
    <t>=COUNTIFS('Secondary Capability Links'!$B$2:$B$149,A72,'Secondary Capability Links'!$C$2:$C$149,"Done")</t>
  </si>
  <si>
    <t>K73</t>
  </si>
  <si>
    <t>=COUNTIF('Secondary Capability Links'!$B$2:$B$150,A73)</t>
  </si>
  <si>
    <t>=COUNTIF('Secondary Capability Links'!$B$2:$B$149,A73)</t>
  </si>
  <si>
    <t>L73</t>
  </si>
  <si>
    <t>=COUNTIFS('Secondary Capability Links'!$B$2:$B$150,A73,'Secondary Capability Links'!$C$2:$C$150,"Done")</t>
  </si>
  <si>
    <t>=COUNTIFS('Secondary Capability Links'!$B$2:$B$149,A73,'Secondary Capability Links'!$C$2:$C$149,"Done")</t>
  </si>
  <si>
    <t>K74</t>
  </si>
  <si>
    <t>=COUNTIF('Secondary Capability Links'!$B$2:$B$150,A74)</t>
  </si>
  <si>
    <t>=COUNTIF('Secondary Capability Links'!$B$2:$B$149,A74)</t>
  </si>
  <si>
    <t>L74</t>
  </si>
  <si>
    <t>=COUNTIFS('Secondary Capability Links'!$B$2:$B$150,A74,'Secondary Capability Links'!$C$2:$C$150,"Done")</t>
  </si>
  <si>
    <t>=COUNTIFS('Secondary Capability Links'!$B$2:$B$149,A74,'Secondary Capability Links'!$C$2:$C$149,"Done")</t>
  </si>
  <si>
    <t>K75</t>
  </si>
  <si>
    <t>=COUNTIF('Secondary Capability Links'!$B$2:$B$150,A75)</t>
  </si>
  <si>
    <t>=COUNTIF('Secondary Capability Links'!$B$2:$B$149,A75)</t>
  </si>
  <si>
    <t>L75</t>
  </si>
  <si>
    <t>=COUNTIFS('Secondary Capability Links'!$B$2:$B$150,A75,'Secondary Capability Links'!$C$2:$C$150,"Done")</t>
  </si>
  <si>
    <t>=COUNTIFS('Secondary Capability Links'!$B$2:$B$149,A75,'Secondary Capability Links'!$C$2:$C$149,"Done")</t>
  </si>
  <si>
    <t>K76</t>
  </si>
  <si>
    <t>=COUNTIF('Secondary Capability Links'!$B$2:$B$150,A76)</t>
  </si>
  <si>
    <t>=COUNTIF('Secondary Capability Links'!$B$2:$B$149,A76)</t>
  </si>
  <si>
    <t>L76</t>
  </si>
  <si>
    <t>=COUNTIFS('Secondary Capability Links'!$B$2:$B$150,A76,'Secondary Capability Links'!$C$2:$C$150,"Done")</t>
  </si>
  <si>
    <t>=COUNTIFS('Secondary Capability Links'!$B$2:$B$149,A76,'Secondary Capability Links'!$C$2:$C$149,"Done")</t>
  </si>
  <si>
    <t>K77</t>
  </si>
  <si>
    <t>=COUNTIF('Secondary Capability Links'!$B$2:$B$150,A77)</t>
  </si>
  <si>
    <t>=COUNTIF('Secondary Capability Links'!$B$2:$B$149,A77)</t>
  </si>
  <si>
    <t>L77</t>
  </si>
  <si>
    <t>=COUNTIFS('Secondary Capability Links'!$B$2:$B$150,A77,'Secondary Capability Links'!$C$2:$C$150,"Done")</t>
  </si>
  <si>
    <t>=COUNTIFS('Secondary Capability Links'!$B$2:$B$149,A77,'Secondary Capability Links'!$C$2:$C$149,"Done")</t>
  </si>
  <si>
    <t>K78</t>
  </si>
  <si>
    <t>=COUNTIF('Secondary Capability Links'!$B$2:$B$150,A78)</t>
  </si>
  <si>
    <t>=COUNTIF('Secondary Capability Links'!$B$2:$B$149,A78)</t>
  </si>
  <si>
    <t>L78</t>
  </si>
  <si>
    <t>=COUNTIFS('Secondary Capability Links'!$B$2:$B$150,A78,'Secondary Capability Links'!$C$2:$C$150,"Done")</t>
  </si>
  <si>
    <t>=COUNTIFS('Secondary Capability Links'!$B$2:$B$149,A78,'Secondary Capability Links'!$C$2:$C$149,"Done")</t>
  </si>
  <si>
    <t>K79</t>
  </si>
  <si>
    <t>=COUNTIF('Secondary Capability Links'!$B$2:$B$150,A79)</t>
  </si>
  <si>
    <t>=COUNTIF('Secondary Capability Links'!$B$2:$B$149,A79)</t>
  </si>
  <si>
    <t>L79</t>
  </si>
  <si>
    <t>=COUNTIFS('Secondary Capability Links'!$B$2:$B$150,A79,'Secondary Capability Links'!$C$2:$C$150,"Done")</t>
  </si>
  <si>
    <t>=COUNTIFS('Secondary Capability Links'!$B$2:$B$149,A79,'Secondary Capability Links'!$C$2:$C$149,"Done")</t>
  </si>
  <si>
    <t>K80</t>
  </si>
  <si>
    <t>=COUNTIF('Secondary Capability Links'!$B$2:$B$150,A80)</t>
  </si>
  <si>
    <t>=COUNTIF('Secondary Capability Links'!$B$2:$B$149,A80)</t>
  </si>
  <si>
    <t>L80</t>
  </si>
  <si>
    <t>=COUNTIFS('Secondary Capability Links'!$B$2:$B$150,A80,'Secondary Capability Links'!$C$2:$C$150,"Done")</t>
  </si>
  <si>
    <t>=COUNTIFS('Secondary Capability Links'!$B$2:$B$149,A80,'Secondary Capability Links'!$C$2:$C$149,"Done")</t>
  </si>
  <si>
    <t>K81</t>
  </si>
  <si>
    <t>=COUNTIF('Secondary Capability Links'!$B$2:$B$150,A81)</t>
  </si>
  <si>
    <t>=COUNTIF('Secondary Capability Links'!$B$2:$B$149,A81)</t>
  </si>
  <si>
    <t>L81</t>
  </si>
  <si>
    <t>=COUNTIFS('Secondary Capability Links'!$B$2:$B$150,A81,'Secondary Capability Links'!$C$2:$C$150,"Done")</t>
  </si>
  <si>
    <t>=COUNTIFS('Secondary Capability Links'!$B$2:$B$149,A81,'Secondary Capability Links'!$C$2:$C$149,"Done")</t>
  </si>
  <si>
    <t>Phase × Worker — v2.23.0 | blanks are unknown effort, never zero</t>
  </si>
  <si>
    <t>Known done h</t>
  </si>
  <si>
    <t>I2</t>
  </si>
  <si>
    <t>J2</t>
  </si>
  <si>
    <t>=SUMIFS(Backlog!$J$2:$J$180,Backlog!$B$2:$B$180,A3,Backlog!$C$2:$C$180,B3,Backlog!$L$2:$L$180,C3)</t>
  </si>
  <si>
    <t>=SUMIFS(Backlog!$AS$2:$AS$180,Backlog!$B$2:$B$180,A3,Backlog!$C$2:$C$180,B3,Backlog!$L$2:$L$180,C3)</t>
  </si>
  <si>
    <t>=SUMIFS(Backlog!$J$2:$J$180,Backlog!$B$2:$B$180,A3,Backlog!$C$2:$C$180,B3,Backlog!$L$2:$L$180,C3,Backlog!$K$2:$K$180,"Done")</t>
  </si>
  <si>
    <t>=SUMIFS(Backlog!$AS$2:$AS$180,Backlog!$B$2:$B$180,A3,Backlog!$C$2:$C$180,B3,Backlog!$L$2:$L$180,C3,Backlog!$K$2:$K$180,"Done")</t>
  </si>
  <si>
    <t>=SUMIFS(Backlog!$J$2:$J$180,Backlog!$B$2:$B$180,A4,Backlog!$C$2:$C$180,B4,Backlog!$L$2:$L$180,C4)</t>
  </si>
  <si>
    <t>=SUMIFS(Backlog!$AS$2:$AS$180,Backlog!$B$2:$B$180,A4,Backlog!$C$2:$C$180,B4,Backlog!$L$2:$L$180,C4)</t>
  </si>
  <si>
    <t>=SUMIFS(Backlog!$J$2:$J$180,Backlog!$B$2:$B$180,A4,Backlog!$C$2:$C$180,B4,Backlog!$L$2:$L$180,C4,Backlog!$K$2:$K$180,"Done")</t>
  </si>
  <si>
    <t>=SUMIFS(Backlog!$AS$2:$AS$180,Backlog!$B$2:$B$180,A4,Backlog!$C$2:$C$180,B4,Backlog!$L$2:$L$180,C4,Backlog!$K$2:$K$180,"Done")</t>
  </si>
  <si>
    <t>=SUMIFS(Backlog!$J$2:$J$180,Backlog!$B$2:$B$180,A5,Backlog!$C$2:$C$180,B5,Backlog!$L$2:$L$180,C5)</t>
  </si>
  <si>
    <t>=SUMIFS(Backlog!$AS$2:$AS$180,Backlog!$B$2:$B$180,A5,Backlog!$C$2:$C$180,B5,Backlog!$L$2:$L$180,C5)</t>
  </si>
  <si>
    <t>=SUMIFS(Backlog!$J$2:$J$180,Backlog!$B$2:$B$180,A5,Backlog!$C$2:$C$180,B5,Backlog!$L$2:$L$180,C5,Backlog!$K$2:$K$180,"Done")</t>
  </si>
  <si>
    <t>=SUMIFS(Backlog!$AS$2:$AS$180,Backlog!$B$2:$B$180,A5,Backlog!$C$2:$C$180,B5,Backlog!$L$2:$L$180,C5,Backlog!$K$2:$K$180,"Done")</t>
  </si>
  <si>
    <t>=SUMIFS(Backlog!$J$2:$J$180,Backlog!$B$2:$B$180,A6,Backlog!$C$2:$C$180,B6,Backlog!$L$2:$L$180,C6)</t>
  </si>
  <si>
    <t>=SUMIFS(Backlog!$AS$2:$AS$180,Backlog!$B$2:$B$180,A6,Backlog!$C$2:$C$180,B6,Backlog!$L$2:$L$180,C6)</t>
  </si>
  <si>
    <t>=SUMIFS(Backlog!$J$2:$J$180,Backlog!$B$2:$B$180,A6,Backlog!$C$2:$C$180,B6,Backlog!$L$2:$L$180,C6,Backlog!$K$2:$K$180,"Done")</t>
  </si>
  <si>
    <t>=SUMIFS(Backlog!$AS$2:$AS$180,Backlog!$B$2:$B$180,A6,Backlog!$C$2:$C$180,B6,Backlog!$L$2:$L$180,C6,Backlog!$K$2:$K$180,"Done")</t>
  </si>
  <si>
    <t>=SUMIFS(Backlog!$J$2:$J$180,Backlog!$B$2:$B$180,A7,Backlog!$C$2:$C$180,B7,Backlog!$L$2:$L$180,C7)</t>
  </si>
  <si>
    <t>=SUMIFS(Backlog!$AS$2:$AS$180,Backlog!$B$2:$B$180,A7,Backlog!$C$2:$C$180,B7,Backlog!$L$2:$L$180,C7)</t>
  </si>
  <si>
    <t>=SUMIFS(Backlog!$J$2:$J$180,Backlog!$B$2:$B$180,A7,Backlog!$C$2:$C$180,B7,Backlog!$L$2:$L$180,C7,Backlog!$K$2:$K$180,"Done")</t>
  </si>
  <si>
    <t>=SUMIFS(Backlog!$AS$2:$AS$180,Backlog!$B$2:$B$180,A7,Backlog!$C$2:$C$180,B7,Backlog!$L$2:$L$180,C7,Backlog!$K$2:$K$180,"Done")</t>
  </si>
  <si>
    <t>=SUMIFS(Backlog!$J$2:$J$180,Backlog!$B$2:$B$180,A8,Backlog!$C$2:$C$180,B8,Backlog!$L$2:$L$180,C8)</t>
  </si>
  <si>
    <t>=SUMIFS(Backlog!$AS$2:$AS$180,Backlog!$B$2:$B$180,A8,Backlog!$C$2:$C$180,B8,Backlog!$L$2:$L$180,C8)</t>
  </si>
  <si>
    <t>=SUMIFS(Backlog!$J$2:$J$180,Backlog!$B$2:$B$180,A8,Backlog!$C$2:$C$180,B8,Backlog!$L$2:$L$180,C8,Backlog!$K$2:$K$180,"Done")</t>
  </si>
  <si>
    <t>=SUMIFS(Backlog!$AS$2:$AS$180,Backlog!$B$2:$B$180,A8,Backlog!$C$2:$C$180,B8,Backlog!$L$2:$L$180,C8,Backlog!$K$2:$K$180,"Done")</t>
  </si>
  <si>
    <t>=SUMIFS(Backlog!$J$2:$J$180,Backlog!$B$2:$B$180,A9,Backlog!$C$2:$C$180,B9,Backlog!$L$2:$L$180,C9)</t>
  </si>
  <si>
    <t>=SUMIFS(Backlog!$AS$2:$AS$180,Backlog!$B$2:$B$180,A9,Backlog!$C$2:$C$180,B9,Backlog!$L$2:$L$180,C9)</t>
  </si>
  <si>
    <t>=SUMIFS(Backlog!$J$2:$J$180,Backlog!$B$2:$B$180,A9,Backlog!$C$2:$C$180,B9,Backlog!$L$2:$L$180,C9,Backlog!$K$2:$K$180,"Done")</t>
  </si>
  <si>
    <t>=SUMIFS(Backlog!$AS$2:$AS$180,Backlog!$B$2:$B$180,A9,Backlog!$C$2:$C$180,B9,Backlog!$L$2:$L$180,C9,Backlog!$K$2:$K$180,"Done")</t>
  </si>
  <si>
    <t>=SUMIFS(Backlog!$J$2:$J$180,Backlog!$B$2:$B$180,A10,Backlog!$C$2:$C$180,B10,Backlog!$L$2:$L$180,C10)</t>
  </si>
  <si>
    <t>=SUMIFS(Backlog!$AS$2:$AS$180,Backlog!$B$2:$B$180,A10,Backlog!$C$2:$C$180,B10,Backlog!$L$2:$L$180,C10)</t>
  </si>
  <si>
    <t>=SUMIFS(Backlog!$J$2:$J$180,Backlog!$B$2:$B$180,A10,Backlog!$C$2:$C$180,B10,Backlog!$L$2:$L$180,C10,Backlog!$K$2:$K$180,"Done")</t>
  </si>
  <si>
    <t>=SUMIFS(Backlog!$AS$2:$AS$180,Backlog!$B$2:$B$180,A10,Backlog!$C$2:$C$180,B10,Backlog!$L$2:$L$180,C10,Backlog!$K$2:$K$180,"Done")</t>
  </si>
  <si>
    <t>=SUMIFS(Backlog!$J$2:$J$180,Backlog!$B$2:$B$180,A11,Backlog!$C$2:$C$180,B11,Backlog!$L$2:$L$180,C11)</t>
  </si>
  <si>
    <t>=SUMIFS(Backlog!$AS$2:$AS$180,Backlog!$B$2:$B$180,A11,Backlog!$C$2:$C$180,B11,Backlog!$L$2:$L$180,C11)</t>
  </si>
  <si>
    <t>=SUMIFS(Backlog!$J$2:$J$180,Backlog!$B$2:$B$180,A11,Backlog!$C$2:$C$180,B11,Backlog!$L$2:$L$180,C11,Backlog!$K$2:$K$180,"Done")</t>
  </si>
  <si>
    <t>=SUMIFS(Backlog!$AS$2:$AS$180,Backlog!$B$2:$B$180,A11,Backlog!$C$2:$C$180,B11,Backlog!$L$2:$L$180,C11,Backlog!$K$2:$K$180,"Done")</t>
  </si>
  <si>
    <t>=SUMIFS(Backlog!$J$2:$J$180,Backlog!$B$2:$B$180,A12,Backlog!$C$2:$C$180,B12,Backlog!$L$2:$L$180,C12)</t>
  </si>
  <si>
    <t>=SUMIFS(Backlog!$AS$2:$AS$180,Backlog!$B$2:$B$180,A12,Backlog!$C$2:$C$180,B12,Backlog!$L$2:$L$180,C12)</t>
  </si>
  <si>
    <t>=SUMIFS(Backlog!$J$2:$J$180,Backlog!$B$2:$B$180,A12,Backlog!$C$2:$C$180,B12,Backlog!$L$2:$L$180,C12,Backlog!$K$2:$K$180,"Done")</t>
  </si>
  <si>
    <t>=SUMIFS(Backlog!$AS$2:$AS$180,Backlog!$B$2:$B$180,A12,Backlog!$C$2:$C$180,B12,Backlog!$L$2:$L$180,C12,Backlog!$K$2:$K$180,"Done")</t>
  </si>
  <si>
    <t>=SUMIFS(Backlog!$J$2:$J$180,Backlog!$B$2:$B$180,A13,Backlog!$C$2:$C$180,B13,Backlog!$L$2:$L$180,C13)</t>
  </si>
  <si>
    <t>=SUMIFS(Backlog!$AS$2:$AS$180,Backlog!$B$2:$B$180,A13,Backlog!$C$2:$C$180,B13,Backlog!$L$2:$L$180,C13)</t>
  </si>
  <si>
    <t>=SUMIFS(Backlog!$J$2:$J$180,Backlog!$B$2:$B$180,A13,Backlog!$C$2:$C$180,B13,Backlog!$L$2:$L$180,C13,Backlog!$K$2:$K$180,"Done")</t>
  </si>
  <si>
    <t>=SUMIFS(Backlog!$AS$2:$AS$180,Backlog!$B$2:$B$180,A13,Backlog!$C$2:$C$180,B13,Backlog!$L$2:$L$180,C13,Backlog!$K$2:$K$180,"Done")</t>
  </si>
  <si>
    <t>=SUMIFS(Backlog!$J$2:$J$180,Backlog!$B$2:$B$180,A14,Backlog!$C$2:$C$180,B14,Backlog!$L$2:$L$180,C14)</t>
  </si>
  <si>
    <t>=SUMIFS(Backlog!$AS$2:$AS$180,Backlog!$B$2:$B$180,A14,Backlog!$C$2:$C$180,B14,Backlog!$L$2:$L$180,C14)</t>
  </si>
  <si>
    <t>=SUMIFS(Backlog!$J$2:$J$180,Backlog!$B$2:$B$180,A14,Backlog!$C$2:$C$180,B14,Backlog!$L$2:$L$180,C14,Backlog!$K$2:$K$180,"Done")</t>
  </si>
  <si>
    <t>=SUMIFS(Backlog!$AS$2:$AS$180,Backlog!$B$2:$B$180,A14,Backlog!$C$2:$C$180,B14,Backlog!$L$2:$L$180,C14,Backlog!$K$2:$K$180,"Done")</t>
  </si>
  <si>
    <t>=SUMIFS(Backlog!$J$2:$J$180,Backlog!$B$2:$B$180,A15,Backlog!$C$2:$C$180,B15,Backlog!$L$2:$L$180,C15)</t>
  </si>
  <si>
    <t>=SUMIFS(Backlog!$AS$2:$AS$180,Backlog!$B$2:$B$180,A15,Backlog!$C$2:$C$180,B15,Backlog!$L$2:$L$180,C15)</t>
  </si>
  <si>
    <t>=SUMIFS(Backlog!$J$2:$J$180,Backlog!$B$2:$B$180,A15,Backlog!$C$2:$C$180,B15,Backlog!$L$2:$L$180,C15,Backlog!$K$2:$K$180,"Done")</t>
  </si>
  <si>
    <t>=SUMIFS(Backlog!$AS$2:$AS$180,Backlog!$B$2:$B$180,A15,Backlog!$C$2:$C$180,B15,Backlog!$L$2:$L$180,C15,Backlog!$K$2:$K$180,"Done")</t>
  </si>
  <si>
    <t>=SUMIFS(Backlog!$J$2:$J$180,Backlog!$B$2:$B$180,A16,Backlog!$C$2:$C$180,B16,Backlog!$L$2:$L$180,C16)</t>
  </si>
  <si>
    <t>=SUMIFS(Backlog!$AS$2:$AS$180,Backlog!$B$2:$B$180,A16,Backlog!$C$2:$C$180,B16,Backlog!$L$2:$L$180,C16)</t>
  </si>
  <si>
    <t>=SUMIFS(Backlog!$J$2:$J$180,Backlog!$B$2:$B$180,A16,Backlog!$C$2:$C$180,B16,Backlog!$L$2:$L$180,C16,Backlog!$K$2:$K$180,"Done")</t>
  </si>
  <si>
    <t>=SUMIFS(Backlog!$AS$2:$AS$180,Backlog!$B$2:$B$180,A16,Backlog!$C$2:$C$180,B16,Backlog!$L$2:$L$180,C16,Backlog!$K$2:$K$180,"Done")</t>
  </si>
  <si>
    <t>=SUMIFS(Backlog!$J$2:$J$180,Backlog!$B$2:$B$180,A17,Backlog!$C$2:$C$180,B17,Backlog!$L$2:$L$180,C17)</t>
  </si>
  <si>
    <t>=SUMIFS(Backlog!$AS$2:$AS$180,Backlog!$B$2:$B$180,A17,Backlog!$C$2:$C$180,B17,Backlog!$L$2:$L$180,C17)</t>
  </si>
  <si>
    <t>=SUMIFS(Backlog!$J$2:$J$180,Backlog!$B$2:$B$180,A17,Backlog!$C$2:$C$180,B17,Backlog!$L$2:$L$180,C17,Backlog!$K$2:$K$180,"Done")</t>
  </si>
  <si>
    <t>=SUMIFS(Backlog!$AS$2:$AS$180,Backlog!$B$2:$B$180,A17,Backlog!$C$2:$C$180,B17,Backlog!$L$2:$L$180,C17,Backlog!$K$2:$K$180,"Done")</t>
  </si>
  <si>
    <t>=SUMIFS(Backlog!$J$2:$J$180,Backlog!$B$2:$B$180,A18,Backlog!$C$2:$C$180,B18,Backlog!$L$2:$L$180,C18)</t>
  </si>
  <si>
    <t>=SUMIFS(Backlog!$AS$2:$AS$180,Backlog!$B$2:$B$180,A18,Backlog!$C$2:$C$180,B18,Backlog!$L$2:$L$180,C18)</t>
  </si>
  <si>
    <t>=SUMIFS(Backlog!$J$2:$J$180,Backlog!$B$2:$B$180,A18,Backlog!$C$2:$C$180,B18,Backlog!$L$2:$L$180,C18,Backlog!$K$2:$K$180,"Done")</t>
  </si>
  <si>
    <t>=SUMIFS(Backlog!$AS$2:$AS$180,Backlog!$B$2:$B$180,A18,Backlog!$C$2:$C$180,B18,Backlog!$L$2:$L$180,C18,Backlog!$K$2:$K$180,"Done")</t>
  </si>
  <si>
    <t>=SUMIFS(Backlog!$J$2:$J$180,Backlog!$B$2:$B$180,A19,Backlog!$C$2:$C$180,B19,Backlog!$L$2:$L$180,C19)</t>
  </si>
  <si>
    <t>=SUMIFS(Backlog!$AS$2:$AS$180,Backlog!$B$2:$B$180,A19,Backlog!$C$2:$C$180,B19,Backlog!$L$2:$L$180,C19)</t>
  </si>
  <si>
    <t>=SUMIFS(Backlog!$J$2:$J$180,Backlog!$B$2:$B$180,A19,Backlog!$C$2:$C$180,B19,Backlog!$L$2:$L$180,C19,Backlog!$K$2:$K$180,"Done")</t>
  </si>
  <si>
    <t>=SUMIFS(Backlog!$AS$2:$AS$180,Backlog!$B$2:$B$180,A19,Backlog!$C$2:$C$180,B19,Backlog!$L$2:$L$180,C19,Backlog!$K$2:$K$180,"Done")</t>
  </si>
  <si>
    <t>=SUMIFS(Backlog!$J$2:$J$180,Backlog!$B$2:$B$180,A20,Backlog!$C$2:$C$180,B20,Backlog!$L$2:$L$180,C20)</t>
  </si>
  <si>
    <t>=SUMIFS(Backlog!$AS$2:$AS$180,Backlog!$B$2:$B$180,A20,Backlog!$C$2:$C$180,B20,Backlog!$L$2:$L$180,C20)</t>
  </si>
  <si>
    <t>=SUMIFS(Backlog!$J$2:$J$180,Backlog!$B$2:$B$180,A20,Backlog!$C$2:$C$180,B20,Backlog!$L$2:$L$180,C20,Backlog!$K$2:$K$180,"Done")</t>
  </si>
  <si>
    <t>=SUMIFS(Backlog!$AS$2:$AS$180,Backlog!$B$2:$B$180,A20,Backlog!$C$2:$C$180,B20,Backlog!$L$2:$L$180,C20,Backlog!$K$2:$K$180,"Done")</t>
  </si>
  <si>
    <t>=SUMIFS(Backlog!$J$2:$J$180,Backlog!$B$2:$B$180,A21,Backlog!$C$2:$C$180,B21,Backlog!$L$2:$L$180,C21)</t>
  </si>
  <si>
    <t>=SUMIFS(Backlog!$AS$2:$AS$180,Backlog!$B$2:$B$180,A21,Backlog!$C$2:$C$180,B21,Backlog!$L$2:$L$180,C21)</t>
  </si>
  <si>
    <t>=SUMIFS(Backlog!$J$2:$J$180,Backlog!$B$2:$B$180,A21,Backlog!$C$2:$C$180,B21,Backlog!$L$2:$L$180,C21,Backlog!$K$2:$K$180,"Done")</t>
  </si>
  <si>
    <t>=SUMIFS(Backlog!$AS$2:$AS$180,Backlog!$B$2:$B$180,A21,Backlog!$C$2:$C$180,B21,Backlog!$L$2:$L$180,C21,Backlog!$K$2:$K$180,"Done")</t>
  </si>
  <si>
    <t>=SUMIFS(Backlog!$J$2:$J$180,Backlog!$B$2:$B$180,A22,Backlog!$C$2:$C$180,B22,Backlog!$L$2:$L$180,C22)</t>
  </si>
  <si>
    <t>=SUMIFS(Backlog!$AS$2:$AS$180,Backlog!$B$2:$B$180,A22,Backlog!$C$2:$C$180,B22,Backlog!$L$2:$L$180,C22)</t>
  </si>
  <si>
    <t>=SUMIFS(Backlog!$J$2:$J$180,Backlog!$B$2:$B$180,A22,Backlog!$C$2:$C$180,B22,Backlog!$L$2:$L$180,C22,Backlog!$K$2:$K$180,"Done")</t>
  </si>
  <si>
    <t>=SUMIFS(Backlog!$AS$2:$AS$180,Backlog!$B$2:$B$180,A22,Backlog!$C$2:$C$180,B22,Backlog!$L$2:$L$180,C22,Backlog!$K$2:$K$180,"Done")</t>
  </si>
  <si>
    <t>=SUMIFS(Backlog!$J$2:$J$180,Backlog!$B$2:$B$180,A23,Backlog!$C$2:$C$180,B23,Backlog!$L$2:$L$180,C23)</t>
  </si>
  <si>
    <t>=SUMIFS(Backlog!$AS$2:$AS$180,Backlog!$B$2:$B$180,A23,Backlog!$C$2:$C$180,B23,Backlog!$L$2:$L$180,C23)</t>
  </si>
  <si>
    <t>=SUMIFS(Backlog!$J$2:$J$180,Backlog!$B$2:$B$180,A23,Backlog!$C$2:$C$180,B23,Backlog!$L$2:$L$180,C23,Backlog!$K$2:$K$180,"Done")</t>
  </si>
  <si>
    <t>=SUMIFS(Backlog!$AS$2:$AS$180,Backlog!$B$2:$B$180,A23,Backlog!$C$2:$C$180,B23,Backlog!$L$2:$L$180,C23,Backlog!$K$2:$K$180,"Done")</t>
  </si>
  <si>
    <t>=SUMIFS(Backlog!$J$2:$J$180,Backlog!$B$2:$B$180,A24,Backlog!$C$2:$C$180,B24,Backlog!$L$2:$L$180,C24)</t>
  </si>
  <si>
    <t>=SUMIFS(Backlog!$AS$2:$AS$180,Backlog!$B$2:$B$180,A24,Backlog!$C$2:$C$180,B24,Backlog!$L$2:$L$180,C24)</t>
  </si>
  <si>
    <t>=SUMIFS(Backlog!$J$2:$J$180,Backlog!$B$2:$B$180,A24,Backlog!$C$2:$C$180,B24,Backlog!$L$2:$L$180,C24,Backlog!$K$2:$K$180,"Done")</t>
  </si>
  <si>
    <t>=SUMIFS(Backlog!$AS$2:$AS$180,Backlog!$B$2:$B$180,A24,Backlog!$C$2:$C$180,B24,Backlog!$L$2:$L$180,C24,Backlog!$K$2:$K$180,"Done")</t>
  </si>
  <si>
    <t>=SUMIFS(Backlog!$J$2:$J$180,Backlog!$B$2:$B$180,A25,Backlog!$C$2:$C$180,B25,Backlog!$L$2:$L$180,C25)</t>
  </si>
  <si>
    <t>=SUMIFS(Backlog!$AS$2:$AS$180,Backlog!$B$2:$B$180,A25,Backlog!$C$2:$C$180,B25,Backlog!$L$2:$L$180,C25)</t>
  </si>
  <si>
    <t>=SUMIFS(Backlog!$J$2:$J$180,Backlog!$B$2:$B$180,A25,Backlog!$C$2:$C$180,B25,Backlog!$L$2:$L$180,C25,Backlog!$K$2:$K$180,"Done")</t>
  </si>
  <si>
    <t>=SUMIFS(Backlog!$AS$2:$AS$180,Backlog!$B$2:$B$180,A25,Backlog!$C$2:$C$180,B25,Backlog!$L$2:$L$180,C25,Backlog!$K$2:$K$180,"Done")</t>
  </si>
  <si>
    <t>=SUMIFS(Backlog!$J$2:$J$180,Backlog!$B$2:$B$180,A26,Backlog!$C$2:$C$180,B26,Backlog!$L$2:$L$180,C26)</t>
  </si>
  <si>
    <t>=SUMIFS(Backlog!$AS$2:$AS$180,Backlog!$B$2:$B$180,A26,Backlog!$C$2:$C$180,B26,Backlog!$L$2:$L$180,C26)</t>
  </si>
  <si>
    <t>=SUMIFS(Backlog!$J$2:$J$180,Backlog!$B$2:$B$180,A26,Backlog!$C$2:$C$180,B26,Backlog!$L$2:$L$180,C26,Backlog!$K$2:$K$180,"Done")</t>
  </si>
  <si>
    <t>=SUMIFS(Backlog!$AS$2:$AS$180,Backlog!$B$2:$B$180,A26,Backlog!$C$2:$C$180,B26,Backlog!$L$2:$L$180,C26,Backlog!$K$2:$K$180,"Done")</t>
  </si>
  <si>
    <t>=SUMIFS(Backlog!$J$2:$J$180,Backlog!$B$2:$B$180,A27,Backlog!$C$2:$C$180,B27,Backlog!$L$2:$L$180,C27)</t>
  </si>
  <si>
    <t>=SUMIFS(Backlog!$AS$2:$AS$180,Backlog!$B$2:$B$180,A27,Backlog!$C$2:$C$180,B27,Backlog!$L$2:$L$180,C27)</t>
  </si>
  <si>
    <t>=SUMIFS(Backlog!$J$2:$J$180,Backlog!$B$2:$B$180,A27,Backlog!$C$2:$C$180,B27,Backlog!$L$2:$L$180,C27,Backlog!$K$2:$K$180,"Done")</t>
  </si>
  <si>
    <t>=SUMIFS(Backlog!$AS$2:$AS$180,Backlog!$B$2:$B$180,A27,Backlog!$C$2:$C$180,B27,Backlog!$L$2:$L$180,C27,Backlog!$K$2:$K$180,"Done")</t>
  </si>
  <si>
    <t>=SUMIFS(Backlog!$J$2:$J$180,Backlog!$B$2:$B$180,A28,Backlog!$C$2:$C$180,B28,Backlog!$L$2:$L$180,C28)</t>
  </si>
  <si>
    <t>=SUMIFS(Backlog!$AS$2:$AS$180,Backlog!$B$2:$B$180,A28,Backlog!$C$2:$C$180,B28,Backlog!$L$2:$L$180,C28)</t>
  </si>
  <si>
    <t>=SUMIFS(Backlog!$J$2:$J$180,Backlog!$B$2:$B$180,A28,Backlog!$C$2:$C$180,B28,Backlog!$L$2:$L$180,C28,Backlog!$K$2:$K$180,"Done")</t>
  </si>
  <si>
    <t>=SUMIFS(Backlog!$AS$2:$AS$180,Backlog!$B$2:$B$180,A28,Backlog!$C$2:$C$180,B28,Backlog!$L$2:$L$180,C28,Backlog!$K$2:$K$180,"Done")</t>
  </si>
  <si>
    <t>=SUMIFS(Backlog!$J$2:$J$180,Backlog!$B$2:$B$180,A29,Backlog!$C$2:$C$180,B29,Backlog!$L$2:$L$180,C29)</t>
  </si>
  <si>
    <t>=SUMIFS(Backlog!$AS$2:$AS$180,Backlog!$B$2:$B$180,A29,Backlog!$C$2:$C$180,B29,Backlog!$L$2:$L$180,C29)</t>
  </si>
  <si>
    <t>=SUMIFS(Backlog!$J$2:$J$180,Backlog!$B$2:$B$180,A29,Backlog!$C$2:$C$180,B29,Backlog!$L$2:$L$180,C29,Backlog!$K$2:$K$180,"Done")</t>
  </si>
  <si>
    <t>=SUMIFS(Backlog!$AS$2:$AS$180,Backlog!$B$2:$B$180,A29,Backlog!$C$2:$C$180,B29,Backlog!$L$2:$L$180,C29,Backlog!$K$2:$K$180,"Done")</t>
  </si>
  <si>
    <t>=SUMIFS(Backlog!$J$2:$J$180,Backlog!$B$2:$B$180,A30,Backlog!$C$2:$C$180,B30,Backlog!$L$2:$L$180,C30)</t>
  </si>
  <si>
    <t>=SUMIFS(Backlog!$AS$2:$AS$180,Backlog!$B$2:$B$180,A30,Backlog!$C$2:$C$180,B30,Backlog!$L$2:$L$180,C30)</t>
  </si>
  <si>
    <t>=SUMIFS(Backlog!$J$2:$J$180,Backlog!$B$2:$B$180,A30,Backlog!$C$2:$C$180,B30,Backlog!$L$2:$L$180,C30,Backlog!$K$2:$K$180,"Done")</t>
  </si>
  <si>
    <t>=SUMIFS(Backlog!$AS$2:$AS$180,Backlog!$B$2:$B$180,A30,Backlog!$C$2:$C$180,B30,Backlog!$L$2:$L$180,C30,Backlog!$K$2:$K$180,"Done")</t>
  </si>
  <si>
    <t>=SUMIFS(Backlog!$J$2:$J$180,Backlog!$B$2:$B$180,A31,Backlog!$C$2:$C$180,B31,Backlog!$L$2:$L$180,C31)</t>
  </si>
  <si>
    <t>=SUMIFS(Backlog!$AS$2:$AS$180,Backlog!$B$2:$B$180,A31,Backlog!$C$2:$C$180,B31,Backlog!$L$2:$L$180,C31)</t>
  </si>
  <si>
    <t>=SUMIFS(Backlog!$J$2:$J$180,Backlog!$B$2:$B$180,A31,Backlog!$C$2:$C$180,B31,Backlog!$L$2:$L$180,C31,Backlog!$K$2:$K$180,"Done")</t>
  </si>
  <si>
    <t>=SUMIFS(Backlog!$AS$2:$AS$180,Backlog!$B$2:$B$180,A31,Backlog!$C$2:$C$180,B31,Backlog!$L$2:$L$180,C31,Backlog!$K$2:$K$180,"Done")</t>
  </si>
  <si>
    <t>=SUMIFS(Backlog!$J$2:$J$180,Backlog!$B$2:$B$180,A32,Backlog!$C$2:$C$180,B32,Backlog!$L$2:$L$180,C32)</t>
  </si>
  <si>
    <t>=SUMIFS(Backlog!$AS$2:$AS$180,Backlog!$B$2:$B$180,A32,Backlog!$C$2:$C$180,B32,Backlog!$L$2:$L$180,C32)</t>
  </si>
  <si>
    <t>=SUMIFS(Backlog!$J$2:$J$180,Backlog!$B$2:$B$180,A32,Backlog!$C$2:$C$180,B32,Backlog!$L$2:$L$180,C32,Backlog!$K$2:$K$180,"Done")</t>
  </si>
  <si>
    <t>=SUMIFS(Backlog!$AS$2:$AS$180,Backlog!$B$2:$B$180,A32,Backlog!$C$2:$C$180,B32,Backlog!$L$2:$L$180,C32,Backlog!$K$2:$K$180,"Done")</t>
  </si>
  <si>
    <t>Repaired baseline preserved • 3 UI design tasks added • Design v4.10.3 • No new product completion</t>
  </si>
  <si>
    <t>Includes owner-reported T-099 closure</t>
  </si>
  <si>
    <t>E7</t>
  </si>
  <si>
    <t>T-262 remains source-present / unclosed</t>
  </si>
  <si>
    <t>A9</t>
  </si>
  <si>
    <t>Known scope hours</t>
  </si>
  <si>
    <t>B9</t>
  </si>
  <si>
    <t>=SUMIF(Backlog!$B$2:$B$180,"M2",Backlog!$J$2:$J$180)</t>
  </si>
  <si>
    <t>=SUMIF(Backlog!$B$2:$B$180,"M2",Backlog!$AS$2:$AS$180)</t>
  </si>
  <si>
    <t>=SUMIF(Backlog!$B$2:$B$180,"M3",Backlog!$J$2:$J$180)</t>
  </si>
  <si>
    <t>=SUMIF(Backlog!$B$2:$B$180,"M3",Backlog!$AS$2:$AS$180)</t>
  </si>
  <si>
    <t>E9</t>
  </si>
  <si>
    <t>Partial sum: eight estimates unresolved</t>
  </si>
  <si>
    <t>A10</t>
  </si>
  <si>
    <t>Known open hours</t>
  </si>
  <si>
    <t>=SUMIFS(Backlog!$J$2:$J$180,Backlog!$B$2:$B$180,"M2",Backlog!$K$2:$K$180,"&lt;&gt;Done")</t>
  </si>
  <si>
    <t>=SUMIFS(Backlog!$AS$2:$AS$180,Backlog!$B$2:$B$180,"M2",Backlog!$K$2:$K$180,"&lt;&gt;Done")</t>
  </si>
  <si>
    <t>=SUMIFS(Backlog!$J$2:$J$180,Backlog!$B$2:$B$180,"M3",Backlog!$K$2:$K$180,"&lt;&gt;Done")</t>
  </si>
  <si>
    <t>=SUMIFS(Backlog!$AS$2:$AS$180,Backlog!$B$2:$B$180,"M3",Backlog!$K$2:$K$180,"&lt;&gt;Done")</t>
  </si>
  <si>
    <t>E10</t>
  </si>
  <si>
    <t>Not a remaining-time commitment</t>
  </si>
  <si>
    <t>A11</t>
  </si>
  <si>
    <t>E11</t>
  </si>
  <si>
    <t>T-106 / T-108 / T-262–T-267</t>
  </si>
  <si>
    <t>A19</t>
  </si>
  <si>
    <t>Use v2.23.0. Both earlier v2.22.1 forks are superseded; no product functionality is implied by design-task counts.</t>
  </si>
  <si>
    <t>Do not overclaim audit completeness.</t>
  </si>
  <si>
    <t>Current hours</t>
  </si>
  <si>
    <t>Avoid labelling retained historical numbers current usable hours.</t>
  </si>
  <si>
    <t>=IF(INDEX(Backlog!$L$2:$L$180,MATCH($A10,Backlog!$A$2:$A$180,0))="","",INDEX(Backlog!$L$2:$L$180,MATCH($A10,Backlog!$A$2:$A$180,0)))</t>
  </si>
  <si>
    <t>=IF(INDEX(Backlog!$J$2:$J$180,MATCH($A10,Backlog!$A$2:$A$180,0))="","",INDEX(Backlog!$J$2:$J$180,MATCH($A10,Backlog!$A$2:$A$180,0)))</t>
  </si>
  <si>
    <t>=IF(INDEX(Backlog!$AR$2:$AR$180,MATCH($A10,Backlog!$A$2:$A$180,0))="","",INDEX(Backlog!$AR$2:$AR$180,MATCH($A10,Backlog!$A$2:$A$180,0)))</t>
  </si>
  <si>
    <t>=IF(INDEX(Backlog!$L$2:$L$180,MATCH($A11,Backlog!$A$2:$A$180,0))="","",INDEX(Backlog!$L$2:$L$180,MATCH($A11,Backlog!$A$2:$A$180,0)))</t>
  </si>
  <si>
    <t>=IF(INDEX(Backlog!$J$2:$J$180,MATCH($A11,Backlog!$A$2:$A$180,0))="","",INDEX(Backlog!$J$2:$J$180,MATCH($A11,Backlog!$A$2:$A$180,0)))</t>
  </si>
  <si>
    <t>=IF(INDEX(Backlog!$AR$2:$AR$180,MATCH($A11,Backlog!$A$2:$A$180,0))="","",INDEX(Backlog!$AR$2:$AR$180,MATCH($A11,Backlog!$A$2:$A$180,0)))</t>
  </si>
  <si>
    <t>A12</t>
  </si>
  <si>
    <t>C12</t>
  </si>
  <si>
    <t>E12</t>
  </si>
  <si>
    <t>=IF(INDEX(Backlog!$L$2:$L$180,MATCH($A12,Backlog!$A$2:$A$180,0))="","",INDEX(Backlog!$L$2:$L$180,MATCH($A12,Backlog!$A$2:$A$180,0)))</t>
  </si>
  <si>
    <t>=IF(INDEX(Backlog!$J$2:$J$180,MATCH($A12,Backlog!$A$2:$A$180,0))="","",INDEX(Backlog!$J$2:$J$180,MATCH($A12,Backlog!$A$2:$A$180,0)))</t>
  </si>
  <si>
    <t>=IF(INDEX(Backlog!$AR$2:$AR$180,MATCH($A12,Backlog!$A$2:$A$180,0))="","",INDEX(Backlog!$AR$2:$AR$180,MATCH($A12,Backlog!$A$2:$A$180,0)))</t>
  </si>
  <si>
    <t>A13</t>
  </si>
  <si>
    <t>B13</t>
  </si>
  <si>
    <t>C13</t>
  </si>
  <si>
    <t>D13</t>
  </si>
  <si>
    <t>E13</t>
  </si>
  <si>
    <t>=IF(INDEX(Backlog!$L$2:$L$180,MATCH($A13,Backlog!$A$2:$A$180,0))="","",INDEX(Backlog!$L$2:$L$180,MATCH($A13,Backlog!$A$2:$A$180,0)))</t>
  </si>
  <si>
    <t>=IF(INDEX(Backlog!$J$2:$J$180,MATCH($A13,Backlog!$A$2:$A$180,0))="","",INDEX(Backlog!$J$2:$J$180,MATCH($A13,Backlog!$A$2:$A$180,0)))</t>
  </si>
  <si>
    <t>=IF(INDEX(Backlog!$AR$2:$AR$180,MATCH($A13,Backlog!$A$2:$A$180,0))="","",INDEX(Backlog!$AR$2:$AR$180,MATCH($A13,Backlog!$A$2:$A$180,0)))</t>
  </si>
  <si>
    <t>A14</t>
  </si>
  <si>
    <t>E14</t>
  </si>
  <si>
    <t>=IF(INDEX(Backlog!$L$2:$L$180,MATCH($A14,Backlog!$A$2:$A$180,0))="","",INDEX(Backlog!$L$2:$L$180,MATCH($A14,Backlog!$A$2:$A$180,0)))</t>
  </si>
  <si>
    <t>=IF(INDEX(Backlog!$J$2:$J$180,MATCH($A14,Backlog!$A$2:$A$180,0))="","",INDEX(Backlog!$J$2:$J$180,MATCH($A14,Backlog!$A$2:$A$180,0)))</t>
  </si>
  <si>
    <t>=IF(INDEX(Backlog!$AR$2:$AR$180,MATCH($A14,Backlog!$A$2:$A$180,0))="","",INDEX(Backlog!$AR$2:$AR$180,MATCH($A14,Backlog!$A$2:$A$180,0)))</t>
  </si>
  <si>
    <t>A15</t>
  </si>
  <si>
    <t>B15</t>
  </si>
  <si>
    <t>C15</t>
  </si>
  <si>
    <t>D15</t>
  </si>
  <si>
    <t>E15</t>
  </si>
  <si>
    <t>=IF(INDEX(Backlog!$L$2:$L$180,MATCH($A15,Backlog!$A$2:$A$180,0))="","",INDEX(Backlog!$L$2:$L$180,MATCH($A15,Backlog!$A$2:$A$180,0)))</t>
  </si>
  <si>
    <t>=IF(INDEX(Backlog!$J$2:$J$180,MATCH($A15,Backlog!$A$2:$A$180,0))="","",INDEX(Backlog!$J$2:$J$180,MATCH($A15,Backlog!$A$2:$A$180,0)))</t>
  </si>
  <si>
    <t>=IF(INDEX(Backlog!$AR$2:$AR$180,MATCH($A15,Backlog!$A$2:$A$180,0))="","",INDEX(Backlog!$AR$2:$AR$180,MATCH($A15,Backlog!$A$2:$A$180,0)))</t>
  </si>
  <si>
    <t>A16</t>
  </si>
  <si>
    <t>B16</t>
  </si>
  <si>
    <t>C16</t>
  </si>
  <si>
    <t>D16</t>
  </si>
  <si>
    <t>E16</t>
  </si>
  <si>
    <t>=IF(INDEX(Backlog!$L$2:$L$180,MATCH($A16,Backlog!$A$2:$A$180,0))="","",INDEX(Backlog!$L$2:$L$180,MATCH($A16,Backlog!$A$2:$A$180,0)))</t>
  </si>
  <si>
    <t>=IF(INDEX(Backlog!$J$2:$J$180,MATCH($A16,Backlog!$A$2:$A$180,0))="","",INDEX(Backlog!$J$2:$J$180,MATCH($A16,Backlog!$A$2:$A$180,0)))</t>
  </si>
  <si>
    <t>=IF(INDEX(Backlog!$AR$2:$AR$180,MATCH($A16,Backlog!$A$2:$A$180,0))="","",INDEX(Backlog!$AR$2:$AR$180,MATCH($A16,Backlog!$A$2:$A$180,0)))</t>
  </si>
  <si>
    <t>E17</t>
  </si>
  <si>
    <t>=IF(INDEX(Backlog!$L$2:$L$180,MATCH($A17,Backlog!$A$2:$A$180,0))="","",INDEX(Backlog!$L$2:$L$180,MATCH($A17,Backlog!$A$2:$A$180,0)))</t>
  </si>
  <si>
    <t>=IF(INDEX(Backlog!$J$2:$J$180,MATCH($A17,Backlog!$A$2:$A$180,0))="","",INDEX(Backlog!$J$2:$J$180,MATCH($A17,Backlog!$A$2:$A$180,0)))</t>
  </si>
  <si>
    <t>=IF(INDEX(Backlog!$AR$2:$AR$180,MATCH($A17,Backlog!$A$2:$A$180,0))="","",INDEX(Backlog!$AR$2:$AR$180,MATCH($A17,Backlog!$A$2:$A$180,0)))</t>
  </si>
  <si>
    <t>A18</t>
  </si>
  <si>
    <t>B18</t>
  </si>
  <si>
    <t>C18</t>
  </si>
  <si>
    <t>D18</t>
  </si>
  <si>
    <t>E18</t>
  </si>
  <si>
    <t>=IF(INDEX(Backlog!$L$2:$L$180,MATCH($A18,Backlog!$A$2:$A$180,0))="","",INDEX(Backlog!$L$2:$L$180,MATCH($A18,Backlog!$A$2:$A$180,0)))</t>
  </si>
  <si>
    <t>=IF(INDEX(Backlog!$J$2:$J$180,MATCH($A18,Backlog!$A$2:$A$180,0))="","",INDEX(Backlog!$J$2:$J$180,MATCH($A18,Backlog!$A$2:$A$180,0)))</t>
  </si>
  <si>
    <t>=IF(INDEX(Backlog!$AR$2:$AR$180,MATCH($A18,Backlog!$A$2:$A$180,0))="","",INDEX(Backlog!$AR$2:$AR$180,MATCH($A18,Backlog!$A$2:$A$180,0)))</t>
  </si>
  <si>
    <t>C19</t>
  </si>
  <si>
    <t>D19</t>
  </si>
  <si>
    <t>E19</t>
  </si>
  <si>
    <t>=IF(INDEX(Backlog!$L$2:$L$180,MATCH($A19,Backlog!$A$2:$A$180,0))="","",INDEX(Backlog!$L$2:$L$180,MATCH($A19,Backlog!$A$2:$A$180,0)))</t>
  </si>
  <si>
    <t>=IF(INDEX(Backlog!$J$2:$J$180,MATCH($A19,Backlog!$A$2:$A$180,0))="","",INDEX(Backlog!$J$2:$J$180,MATCH($A19,Backlog!$A$2:$A$180,0)))</t>
  </si>
  <si>
    <t>=IF(INDEX(Backlog!$AR$2:$AR$180,MATCH($A19,Backlog!$A$2:$A$180,0))="","",INDEX(Backlog!$AR$2:$AR$180,MATCH($A19,Backlog!$A$2:$A$180,0)))</t>
  </si>
  <si>
    <t>A20</t>
  </si>
  <si>
    <t>B20</t>
  </si>
  <si>
    <t>C20</t>
  </si>
  <si>
    <t>D20</t>
  </si>
  <si>
    <t>E20</t>
  </si>
  <si>
    <t>=IF(INDEX(Backlog!$L$2:$L$180,MATCH($A20,Backlog!$A$2:$A$180,0))="","",INDEX(Backlog!$L$2:$L$180,MATCH($A20,Backlog!$A$2:$A$180,0)))</t>
  </si>
  <si>
    <t>=IF(INDEX(Backlog!$J$2:$J$180,MATCH($A20,Backlog!$A$2:$A$180,0))="","",INDEX(Backlog!$J$2:$J$180,MATCH($A20,Backlog!$A$2:$A$180,0)))</t>
  </si>
  <si>
    <t>=IF(INDEX(Backlog!$AR$2:$AR$180,MATCH($A20,Backlog!$A$2:$A$180,0))="","",INDEX(Backlog!$AR$2:$AR$180,MATCH($A20,Backlog!$A$2:$A$180,0)))</t>
  </si>
  <si>
    <t>A21</t>
  </si>
  <si>
    <t>B21</t>
  </si>
  <si>
    <t>C21</t>
  </si>
  <si>
    <t>D21</t>
  </si>
  <si>
    <t>E21</t>
  </si>
  <si>
    <t>=IF(INDEX(Backlog!$L$2:$L$180,MATCH($A21,Backlog!$A$2:$A$180,0))="","",INDEX(Backlog!$L$2:$L$180,MATCH($A21,Backlog!$A$2:$A$180,0)))</t>
  </si>
  <si>
    <t>=IF(INDEX(Backlog!$J$2:$J$180,MATCH($A21,Backlog!$A$2:$A$180,0))="","",INDEX(Backlog!$J$2:$J$180,MATCH($A21,Backlog!$A$2:$A$180,0)))</t>
  </si>
  <si>
    <t>=IF(INDEX(Backlog!$AR$2:$AR$180,MATCH($A21,Backlog!$A$2:$A$180,0))="","",INDEX(Backlog!$AR$2:$AR$180,MATCH($A21,Backlog!$A$2:$A$180,0)))</t>
  </si>
  <si>
    <t>A22</t>
  </si>
  <si>
    <t>B22</t>
  </si>
  <si>
    <t>C22</t>
  </si>
  <si>
    <t>D22</t>
  </si>
  <si>
    <t>E22</t>
  </si>
  <si>
    <t>=IF(INDEX(Backlog!$L$2:$L$180,MATCH($A22,Backlog!$A$2:$A$180,0))="","",INDEX(Backlog!$L$2:$L$180,MATCH($A22,Backlog!$A$2:$A$180,0)))</t>
  </si>
  <si>
    <t>=IF(INDEX(Backlog!$J$2:$J$180,MATCH($A22,Backlog!$A$2:$A$180,0))="","",INDEX(Backlog!$J$2:$J$180,MATCH($A22,Backlog!$A$2:$A$180,0)))</t>
  </si>
  <si>
    <t>=IF(INDEX(Backlog!$AR$2:$AR$180,MATCH($A22,Backlog!$A$2:$A$180,0))="","",INDEX(Backlog!$AR$2:$AR$180,MATCH($A22,Backlog!$A$2:$A$180,0)))</t>
  </si>
  <si>
    <t>A23</t>
  </si>
  <si>
    <t>B23</t>
  </si>
  <si>
    <t>C23</t>
  </si>
  <si>
    <t>D23</t>
  </si>
  <si>
    <t>E23</t>
  </si>
  <si>
    <t>=IF(INDEX(Backlog!$L$2:$L$180,MATCH($A23,Backlog!$A$2:$A$180,0))="","",INDEX(Backlog!$L$2:$L$180,MATCH($A23,Backlog!$A$2:$A$180,0)))</t>
  </si>
  <si>
    <t>=IF(INDEX(Backlog!$J$2:$J$180,MATCH($A23,Backlog!$A$2:$A$180,0))="","",INDEX(Backlog!$J$2:$J$180,MATCH($A23,Backlog!$A$2:$A$180,0)))</t>
  </si>
  <si>
    <t>=IF(INDEX(Backlog!$AR$2:$AR$180,MATCH($A23,Backlog!$A$2:$A$180,0))="","",INDEX(Backlog!$AR$2:$AR$180,MATCH($A23,Backlog!$A$2:$A$180,0)))</t>
  </si>
  <si>
    <t>A24</t>
  </si>
  <si>
    <t>B24</t>
  </si>
  <si>
    <t>C24</t>
  </si>
  <si>
    <t>D24</t>
  </si>
  <si>
    <t>E24</t>
  </si>
  <si>
    <t>=IF(INDEX(Backlog!$L$2:$L$180,MATCH($A24,Backlog!$A$2:$A$180,0))="","",INDEX(Backlog!$L$2:$L$180,MATCH($A24,Backlog!$A$2:$A$180,0)))</t>
  </si>
  <si>
    <t>=IF(INDEX(Backlog!$J$2:$J$180,MATCH($A24,Backlog!$A$2:$A$180,0))="","",INDEX(Backlog!$J$2:$J$180,MATCH($A24,Backlog!$A$2:$A$180,0)))</t>
  </si>
  <si>
    <t>=IF(INDEX(Backlog!$AR$2:$AR$180,MATCH($A24,Backlog!$A$2:$A$180,0))="","",INDEX(Backlog!$AR$2:$AR$180,MATCH($A24,Backlog!$A$2:$A$180,0)))</t>
  </si>
  <si>
    <t>A25</t>
  </si>
  <si>
    <t>B25</t>
  </si>
  <si>
    <t>C25</t>
  </si>
  <si>
    <t>D25</t>
  </si>
  <si>
    <t>E25</t>
  </si>
  <si>
    <t>=IF(INDEX(Backlog!$L$2:$L$180,MATCH($A25,Backlog!$A$2:$A$180,0))="","",INDEX(Backlog!$L$2:$L$180,MATCH($A25,Backlog!$A$2:$A$180,0)))</t>
  </si>
  <si>
    <t>=IF(INDEX(Backlog!$J$2:$J$180,MATCH($A25,Backlog!$A$2:$A$180,0))="","",INDEX(Backlog!$J$2:$J$180,MATCH($A25,Backlog!$A$2:$A$180,0)))</t>
  </si>
  <si>
    <t>=IF(INDEX(Backlog!$AR$2:$AR$180,MATCH($A25,Backlog!$A$2:$A$180,0))="","",INDEX(Backlog!$AR$2:$AR$180,MATCH($A25,Backlog!$A$2:$A$180,0)))</t>
  </si>
  <si>
    <t>A26</t>
  </si>
  <si>
    <t>B26</t>
  </si>
  <si>
    <t>C26</t>
  </si>
  <si>
    <t>D26</t>
  </si>
  <si>
    <t>E26</t>
  </si>
  <si>
    <t>=IF(INDEX(Backlog!$L$2:$L$180,MATCH($A26,Backlog!$A$2:$A$180,0))="","",INDEX(Backlog!$L$2:$L$180,MATCH($A26,Backlog!$A$2:$A$180,0)))</t>
  </si>
  <si>
    <t>=IF(INDEX(Backlog!$J$2:$J$180,MATCH($A26,Backlog!$A$2:$A$180,0))="","",INDEX(Backlog!$J$2:$J$180,MATCH($A26,Backlog!$A$2:$A$180,0)))</t>
  </si>
  <si>
    <t>=IF(INDEX(Backlog!$AR$2:$AR$180,MATCH($A26,Backlog!$A$2:$A$180,0))="","",INDEX(Backlog!$AR$2:$AR$180,MATCH($A26,Backlog!$A$2:$A$180,0)))</t>
  </si>
  <si>
    <t>A27</t>
  </si>
  <si>
    <t>B27</t>
  </si>
  <si>
    <t>C27</t>
  </si>
  <si>
    <t>D27</t>
  </si>
  <si>
    <t>E27</t>
  </si>
  <si>
    <t>=IF(INDEX(Backlog!$L$2:$L$180,MATCH($A27,Backlog!$A$2:$A$180,0))="","",INDEX(Backlog!$L$2:$L$180,MATCH($A27,Backlog!$A$2:$A$180,0)))</t>
  </si>
  <si>
    <t>=IF(INDEX(Backlog!$J$2:$J$180,MATCH($A27,Backlog!$A$2:$A$180,0))="","",INDEX(Backlog!$J$2:$J$180,MATCH($A27,Backlog!$A$2:$A$180,0)))</t>
  </si>
  <si>
    <t>=IF(INDEX(Backlog!$AR$2:$AR$180,MATCH($A27,Backlog!$A$2:$A$180,0))="","",INDEX(Backlog!$AR$2:$AR$180,MATCH($A27,Backlog!$A$2:$A$180,0)))</t>
  </si>
  <si>
    <t>A28</t>
  </si>
  <si>
    <t>B28</t>
  </si>
  <si>
    <t>C28</t>
  </si>
  <si>
    <t>D28</t>
  </si>
  <si>
    <t>E28</t>
  </si>
  <si>
    <t>=IF(INDEX(Backlog!$L$2:$L$180,MATCH($A28,Backlog!$A$2:$A$180,0))="","",INDEX(Backlog!$L$2:$L$180,MATCH($A28,Backlog!$A$2:$A$180,0)))</t>
  </si>
  <si>
    <t>=IF(INDEX(Backlog!$J$2:$J$180,MATCH($A28,Backlog!$A$2:$A$180,0))="","",INDEX(Backlog!$J$2:$J$180,MATCH($A28,Backlog!$A$2:$A$180,0)))</t>
  </si>
  <si>
    <t>=IF(INDEX(Backlog!$AR$2:$AR$180,MATCH($A28,Backlog!$A$2:$A$180,0))="","",INDEX(Backlog!$AR$2:$AR$180,MATCH($A28,Backlog!$A$2:$A$180,0)))</t>
  </si>
  <si>
    <t>=IF(INDEX(Backlog!$K$2:$K$180,MATCH($A2,Backlog!$A$2:$A$180,0))="","",INDEX(Backlog!$K$2:$K$180,MATCH($A2,Backlog!$A$2:$A$180,0)))</t>
  </si>
  <si>
    <t>=INDEX(Backlog!$K$2:$K$180,MATCH(A2,Backlog!$A$2:$A$180,0))</t>
  </si>
  <si>
    <t>=IF(INDEX(Backlog!$B$2:$B$180,MATCH($A2,Backlog!$A$2:$A$180,0))="","",INDEX(Backlog!$B$2:$B$180,MATCH($A2,Backlog!$A$2:$A$180,0)))</t>
  </si>
  <si>
    <t>=INDEX(Backlog!$B$2:$B$180,MATCH(A2,Backlog!$A$2:$A$180,0))</t>
  </si>
  <si>
    <t>=IF(INDEX(Backlog!$K$2:$K$180,MATCH($A3,Backlog!$A$2:$A$180,0))="","",INDEX(Backlog!$K$2:$K$180,MATCH($A3,Backlog!$A$2:$A$180,0)))</t>
  </si>
  <si>
    <t>=INDEX(Backlog!$K$2:$K$180,MATCH(A3,Backlog!$A$2:$A$180,0))</t>
  </si>
  <si>
    <t>=IF(INDEX(Backlog!$B$2:$B$180,MATCH($A3,Backlog!$A$2:$A$180,0))="","",INDEX(Backlog!$B$2:$B$180,MATCH($A3,Backlog!$A$2:$A$180,0)))</t>
  </si>
  <si>
    <t>=INDEX(Backlog!$B$2:$B$180,MATCH(A3,Backlog!$A$2:$A$180,0))</t>
  </si>
  <si>
    <t>=IF(INDEX(Backlog!$K$2:$K$180,MATCH($A4,Backlog!$A$2:$A$180,0))="","",INDEX(Backlog!$K$2:$K$180,MATCH($A4,Backlog!$A$2:$A$180,0)))</t>
  </si>
  <si>
    <t>=INDEX(Backlog!$K$2:$K$180,MATCH(A4,Backlog!$A$2:$A$180,0))</t>
  </si>
  <si>
    <t>=IF(INDEX(Backlog!$B$2:$B$180,MATCH($A4,Backlog!$A$2:$A$180,0))="","",INDEX(Backlog!$B$2:$B$180,MATCH($A4,Backlog!$A$2:$A$180,0)))</t>
  </si>
  <si>
    <t>=INDEX(Backlog!$B$2:$B$180,MATCH(A4,Backlog!$A$2:$A$180,0))</t>
  </si>
  <si>
    <t>=IF(INDEX(Backlog!$K$2:$K$180,MATCH($A5,Backlog!$A$2:$A$180,0))="","",INDEX(Backlog!$K$2:$K$180,MATCH($A5,Backlog!$A$2:$A$180,0)))</t>
  </si>
  <si>
    <t>=INDEX(Backlog!$K$2:$K$180,MATCH(A5,Backlog!$A$2:$A$180,0))</t>
  </si>
  <si>
    <t>=IF(INDEX(Backlog!$B$2:$B$180,MATCH($A5,Backlog!$A$2:$A$180,0))="","",INDEX(Backlog!$B$2:$B$180,MATCH($A5,Backlog!$A$2:$A$180,0)))</t>
  </si>
  <si>
    <t>=INDEX(Backlog!$B$2:$B$180,MATCH(A5,Backlog!$A$2:$A$180,0))</t>
  </si>
  <si>
    <t>=IF(INDEX(Backlog!$K$2:$K$180,MATCH($A6,Backlog!$A$2:$A$180,0))="","",INDEX(Backlog!$K$2:$K$180,MATCH($A6,Backlog!$A$2:$A$180,0)))</t>
  </si>
  <si>
    <t>=INDEX(Backlog!$K$2:$K$180,MATCH(A6,Backlog!$A$2:$A$180,0))</t>
  </si>
  <si>
    <t>=IF(INDEX(Backlog!$B$2:$B$180,MATCH($A6,Backlog!$A$2:$A$180,0))="","",INDEX(Backlog!$B$2:$B$180,MATCH($A6,Backlog!$A$2:$A$180,0)))</t>
  </si>
  <si>
    <t>=INDEX(Backlog!$B$2:$B$180,MATCH(A6,Backlog!$A$2:$A$180,0))</t>
  </si>
  <si>
    <t>C7</t>
  </si>
  <si>
    <t>=IF(INDEX(Backlog!$K$2:$K$180,MATCH($A7,Backlog!$A$2:$A$180,0))="","",INDEX(Backlog!$K$2:$K$180,MATCH($A7,Backlog!$A$2:$A$180,0)))</t>
  </si>
  <si>
    <t>=INDEX(Backlog!$K$2:$K$180,MATCH(A7,Backlog!$A$2:$A$180,0))</t>
  </si>
  <si>
    <t>=IF(INDEX(Backlog!$B$2:$B$180,MATCH($A7,Backlog!$A$2:$A$180,0))="","",INDEX(Backlog!$B$2:$B$180,MATCH($A7,Backlog!$A$2:$A$180,0)))</t>
  </si>
  <si>
    <t>=INDEX(Backlog!$B$2:$B$180,MATCH(A7,Backlog!$A$2:$A$180,0))</t>
  </si>
  <si>
    <t>C8</t>
  </si>
  <si>
    <t>=IF(INDEX(Backlog!$K$2:$K$180,MATCH($A8,Backlog!$A$2:$A$180,0))="","",INDEX(Backlog!$K$2:$K$180,MATCH($A8,Backlog!$A$2:$A$180,0)))</t>
  </si>
  <si>
    <t>=INDEX(Backlog!$K$2:$K$180,MATCH(A8,Backlog!$A$2:$A$180,0))</t>
  </si>
  <si>
    <t>=IF(INDEX(Backlog!$B$2:$B$180,MATCH($A8,Backlog!$A$2:$A$180,0))="","",INDEX(Backlog!$B$2:$B$180,MATCH($A8,Backlog!$A$2:$A$180,0)))</t>
  </si>
  <si>
    <t>=INDEX(Backlog!$B$2:$B$180,MATCH(A8,Backlog!$A$2:$A$180,0))</t>
  </si>
  <si>
    <t>=IF(INDEX(Backlog!$K$2:$K$180,MATCH($A9,Backlog!$A$2:$A$180,0))="","",INDEX(Backlog!$K$2:$K$180,MATCH($A9,Backlog!$A$2:$A$180,0)))</t>
  </si>
  <si>
    <t>=INDEX(Backlog!$K$2:$K$180,MATCH(A9,Backlog!$A$2:$A$180,0))</t>
  </si>
  <si>
    <t>=IF(INDEX(Backlog!$B$2:$B$180,MATCH($A9,Backlog!$A$2:$A$180,0))="","",INDEX(Backlog!$B$2:$B$180,MATCH($A9,Backlog!$A$2:$A$180,0)))</t>
  </si>
  <si>
    <t>=INDEX(Backlog!$B$2:$B$180,MATCH(A9,Backlog!$A$2:$A$180,0))</t>
  </si>
  <si>
    <t>=IF(INDEX(Backlog!$K$2:$K$180,MATCH($A10,Backlog!$A$2:$A$180,0))="","",INDEX(Backlog!$K$2:$K$180,MATCH($A10,Backlog!$A$2:$A$180,0)))</t>
  </si>
  <si>
    <t>=INDEX(Backlog!$K$2:$K$180,MATCH(A10,Backlog!$A$2:$A$180,0))</t>
  </si>
  <si>
    <t>=IF(INDEX(Backlog!$B$2:$B$180,MATCH($A10,Backlog!$A$2:$A$180,0))="","",INDEX(Backlog!$B$2:$B$180,MATCH($A10,Backlog!$A$2:$A$180,0)))</t>
  </si>
  <si>
    <t>=INDEX(Backlog!$B$2:$B$180,MATCH(A10,Backlog!$A$2:$A$180,0))</t>
  </si>
  <si>
    <t>=IF(INDEX(Backlog!$K$2:$K$180,MATCH($A11,Backlog!$A$2:$A$180,0))="","",INDEX(Backlog!$K$2:$K$180,MATCH($A11,Backlog!$A$2:$A$180,0)))</t>
  </si>
  <si>
    <t>=INDEX(Backlog!$K$2:$K$180,MATCH(A11,Backlog!$A$2:$A$180,0))</t>
  </si>
  <si>
    <t>=IF(INDEX(Backlog!$B$2:$B$180,MATCH($A11,Backlog!$A$2:$A$180,0))="","",INDEX(Backlog!$B$2:$B$180,MATCH($A11,Backlog!$A$2:$A$180,0)))</t>
  </si>
  <si>
    <t>=INDEX(Backlog!$B$2:$B$180,MATCH(A11,Backlog!$A$2:$A$180,0))</t>
  </si>
  <si>
    <t>=IF(INDEX(Backlog!$K$2:$K$180,MATCH($A12,Backlog!$A$2:$A$180,0))="","",INDEX(Backlog!$K$2:$K$180,MATCH($A12,Backlog!$A$2:$A$180,0)))</t>
  </si>
  <si>
    <t>=INDEX(Backlog!$K$2:$K$180,MATCH(A12,Backlog!$A$2:$A$180,0))</t>
  </si>
  <si>
    <t>=IF(INDEX(Backlog!$B$2:$B$180,MATCH($A12,Backlog!$A$2:$A$180,0))="","",INDEX(Backlog!$B$2:$B$180,MATCH($A12,Backlog!$A$2:$A$180,0)))</t>
  </si>
  <si>
    <t>=INDEX(Backlog!$B$2:$B$180,MATCH(A12,Backlog!$A$2:$A$180,0))</t>
  </si>
  <si>
    <t>=IF(INDEX(Backlog!$K$2:$K$180,MATCH($A13,Backlog!$A$2:$A$180,0))="","",INDEX(Backlog!$K$2:$K$180,MATCH($A13,Backlog!$A$2:$A$180,0)))</t>
  </si>
  <si>
    <t>=INDEX(Backlog!$K$2:$K$180,MATCH(A13,Backlog!$A$2:$A$180,0))</t>
  </si>
  <si>
    <t>=IF(INDEX(Backlog!$B$2:$B$180,MATCH($A13,Backlog!$A$2:$A$180,0))="","",INDEX(Backlog!$B$2:$B$180,MATCH($A13,Backlog!$A$2:$A$180,0)))</t>
  </si>
  <si>
    <t>=INDEX(Backlog!$B$2:$B$180,MATCH(A13,Backlog!$A$2:$A$180,0))</t>
  </si>
  <si>
    <t>=IF(INDEX(Backlog!$K$2:$K$180,MATCH($A14,Backlog!$A$2:$A$180,0))="","",INDEX(Backlog!$K$2:$K$180,MATCH($A14,Backlog!$A$2:$A$180,0)))</t>
  </si>
  <si>
    <t>=INDEX(Backlog!$K$2:$K$180,MATCH(A14,Backlog!$A$2:$A$180,0))</t>
  </si>
  <si>
    <t>=IF(INDEX(Backlog!$B$2:$B$180,MATCH($A14,Backlog!$A$2:$A$180,0))="","",INDEX(Backlog!$B$2:$B$180,MATCH($A14,Backlog!$A$2:$A$180,0)))</t>
  </si>
  <si>
    <t>=INDEX(Backlog!$B$2:$B$180,MATCH(A14,Backlog!$A$2:$A$180,0))</t>
  </si>
  <si>
    <t>=IF(INDEX(Backlog!$K$2:$K$180,MATCH($A15,Backlog!$A$2:$A$180,0))="","",INDEX(Backlog!$K$2:$K$180,MATCH($A15,Backlog!$A$2:$A$180,0)))</t>
  </si>
  <si>
    <t>=INDEX(Backlog!$K$2:$K$180,MATCH(A15,Backlog!$A$2:$A$180,0))</t>
  </si>
  <si>
    <t>=IF(INDEX(Backlog!$B$2:$B$180,MATCH($A15,Backlog!$A$2:$A$180,0))="","",INDEX(Backlog!$B$2:$B$180,MATCH($A15,Backlog!$A$2:$A$180,0)))</t>
  </si>
  <si>
    <t>=INDEX(Backlog!$B$2:$B$180,MATCH(A15,Backlog!$A$2:$A$180,0))</t>
  </si>
  <si>
    <t>=IF(INDEX(Backlog!$K$2:$K$180,MATCH($A16,Backlog!$A$2:$A$180,0))="","",INDEX(Backlog!$K$2:$K$180,MATCH($A16,Backlog!$A$2:$A$180,0)))</t>
  </si>
  <si>
    <t>=INDEX(Backlog!$K$2:$K$180,MATCH(A16,Backlog!$A$2:$A$180,0))</t>
  </si>
  <si>
    <t>=IF(INDEX(Backlog!$B$2:$B$180,MATCH($A16,Backlog!$A$2:$A$180,0))="","",INDEX(Backlog!$B$2:$B$180,MATCH($A16,Backlog!$A$2:$A$180,0)))</t>
  </si>
  <si>
    <t>=INDEX(Backlog!$B$2:$B$180,MATCH(A16,Backlog!$A$2:$A$180,0))</t>
  </si>
  <si>
    <t>=IF(INDEX(Backlog!$K$2:$K$180,MATCH($A17,Backlog!$A$2:$A$180,0))="","",INDEX(Backlog!$K$2:$K$180,MATCH($A17,Backlog!$A$2:$A$180,0)))</t>
  </si>
  <si>
    <t>=INDEX(Backlog!$K$2:$K$180,MATCH(A17,Backlog!$A$2:$A$180,0))</t>
  </si>
  <si>
    <t>=IF(INDEX(Backlog!$B$2:$B$180,MATCH($A17,Backlog!$A$2:$A$180,0))="","",INDEX(Backlog!$B$2:$B$180,MATCH($A17,Backlog!$A$2:$A$180,0)))</t>
  </si>
  <si>
    <t>=INDEX(Backlog!$B$2:$B$180,MATCH(A17,Backlog!$A$2:$A$180,0))</t>
  </si>
  <si>
    <t>=IF(INDEX(Backlog!$K$2:$K$180,MATCH($A18,Backlog!$A$2:$A$180,0))="","",INDEX(Backlog!$K$2:$K$180,MATCH($A18,Backlog!$A$2:$A$180,0)))</t>
  </si>
  <si>
    <t>=INDEX(Backlog!$K$2:$K$180,MATCH(A18,Backlog!$A$2:$A$180,0))</t>
  </si>
  <si>
    <t>=IF(INDEX(Backlog!$B$2:$B$180,MATCH($A18,Backlog!$A$2:$A$180,0))="","",INDEX(Backlog!$B$2:$B$180,MATCH($A18,Backlog!$A$2:$A$180,0)))</t>
  </si>
  <si>
    <t>=INDEX(Backlog!$B$2:$B$180,MATCH(A18,Backlog!$A$2:$A$180,0))</t>
  </si>
  <si>
    <t>=IF(INDEX(Backlog!$K$2:$K$180,MATCH($A19,Backlog!$A$2:$A$180,0))="","",INDEX(Backlog!$K$2:$K$180,MATCH($A19,Backlog!$A$2:$A$180,0)))</t>
  </si>
  <si>
    <t>=INDEX(Backlog!$K$2:$K$180,MATCH(A19,Backlog!$A$2:$A$180,0))</t>
  </si>
  <si>
    <t>=IF(INDEX(Backlog!$B$2:$B$180,MATCH($A19,Backlog!$A$2:$A$180,0))="","",INDEX(Backlog!$B$2:$B$180,MATCH($A19,Backlog!$A$2:$A$180,0)))</t>
  </si>
  <si>
    <t>=INDEX(Backlog!$B$2:$B$180,MATCH(A19,Backlog!$A$2:$A$180,0))</t>
  </si>
  <si>
    <t>=IF(INDEX(Backlog!$K$2:$K$180,MATCH($A20,Backlog!$A$2:$A$180,0))="","",INDEX(Backlog!$K$2:$K$180,MATCH($A20,Backlog!$A$2:$A$180,0)))</t>
  </si>
  <si>
    <t>=INDEX(Backlog!$K$2:$K$180,MATCH(A20,Backlog!$A$2:$A$180,0))</t>
  </si>
  <si>
    <t>=IF(INDEX(Backlog!$B$2:$B$180,MATCH($A20,Backlog!$A$2:$A$180,0))="","",INDEX(Backlog!$B$2:$B$180,MATCH($A20,Backlog!$A$2:$A$180,0)))</t>
  </si>
  <si>
    <t>=INDEX(Backlog!$B$2:$B$180,MATCH(A20,Backlog!$A$2:$A$180,0))</t>
  </si>
  <si>
    <t>=IF(INDEX(Backlog!$K$2:$K$180,MATCH($A21,Backlog!$A$2:$A$180,0))="","",INDEX(Backlog!$K$2:$K$180,MATCH($A21,Backlog!$A$2:$A$180,0)))</t>
  </si>
  <si>
    <t>=INDEX(Backlog!$K$2:$K$180,MATCH(A21,Backlog!$A$2:$A$180,0))</t>
  </si>
  <si>
    <t>=IF(INDEX(Backlog!$B$2:$B$180,MATCH($A21,Backlog!$A$2:$A$180,0))="","",INDEX(Backlog!$B$2:$B$180,MATCH($A21,Backlog!$A$2:$A$180,0)))</t>
  </si>
  <si>
    <t>=INDEX(Backlog!$B$2:$B$180,MATCH(A21,Backlog!$A$2:$A$180,0))</t>
  </si>
  <si>
    <t>=IF(INDEX(Backlog!$K$2:$K$180,MATCH($A22,Backlog!$A$2:$A$180,0))="","",INDEX(Backlog!$K$2:$K$180,MATCH($A22,Backlog!$A$2:$A$180,0)))</t>
  </si>
  <si>
    <t>=INDEX(Backlog!$K$2:$K$180,MATCH(A22,Backlog!$A$2:$A$180,0))</t>
  </si>
  <si>
    <t>=IF(INDEX(Backlog!$B$2:$B$180,MATCH($A22,Backlog!$A$2:$A$180,0))="","",INDEX(Backlog!$B$2:$B$180,MATCH($A22,Backlog!$A$2:$A$180,0)))</t>
  </si>
  <si>
    <t>=INDEX(Backlog!$B$2:$B$180,MATCH(A22,Backlog!$A$2:$A$180,0))</t>
  </si>
  <si>
    <t>=IF(INDEX(Backlog!$K$2:$K$180,MATCH($A23,Backlog!$A$2:$A$180,0))="","",INDEX(Backlog!$K$2:$K$180,MATCH($A23,Backlog!$A$2:$A$180,0)))</t>
  </si>
  <si>
    <t>=INDEX(Backlog!$K$2:$K$180,MATCH(A23,Backlog!$A$2:$A$180,0))</t>
  </si>
  <si>
    <t>=IF(INDEX(Backlog!$B$2:$B$180,MATCH($A23,Backlog!$A$2:$A$180,0))="","",INDEX(Backlog!$B$2:$B$180,MATCH($A23,Backlog!$A$2:$A$180,0)))</t>
  </si>
  <si>
    <t>=INDEX(Backlog!$B$2:$B$180,MATCH(A23,Backlog!$A$2:$A$180,0))</t>
  </si>
  <si>
    <t>=IF(INDEX(Backlog!$K$2:$K$180,MATCH($A24,Backlog!$A$2:$A$180,0))="","",INDEX(Backlog!$K$2:$K$180,MATCH($A24,Backlog!$A$2:$A$180,0)))</t>
  </si>
  <si>
    <t>=INDEX(Backlog!$K$2:$K$180,MATCH(A24,Backlog!$A$2:$A$180,0))</t>
  </si>
  <si>
    <t>=IF(INDEX(Backlog!$B$2:$B$180,MATCH($A24,Backlog!$A$2:$A$180,0))="","",INDEX(Backlog!$B$2:$B$180,MATCH($A24,Backlog!$A$2:$A$180,0)))</t>
  </si>
  <si>
    <t>=INDEX(Backlog!$B$2:$B$180,MATCH(A24,Backlog!$A$2:$A$180,0))</t>
  </si>
  <si>
    <t>=IF(INDEX(Backlog!$K$2:$K$180,MATCH($A25,Backlog!$A$2:$A$180,0))="","",INDEX(Backlog!$K$2:$K$180,MATCH($A25,Backlog!$A$2:$A$180,0)))</t>
  </si>
  <si>
    <t>=INDEX(Backlog!$K$2:$K$180,MATCH(A25,Backlog!$A$2:$A$180,0))</t>
  </si>
  <si>
    <t>=IF(INDEX(Backlog!$B$2:$B$180,MATCH($A25,Backlog!$A$2:$A$180,0))="","",INDEX(Backlog!$B$2:$B$180,MATCH($A25,Backlog!$A$2:$A$180,0)))</t>
  </si>
  <si>
    <t>=INDEX(Backlog!$B$2:$B$180,MATCH(A25,Backlog!$A$2:$A$180,0))</t>
  </si>
  <si>
    <t>=IF(INDEX(Backlog!$K$2:$K$180,MATCH($A26,Backlog!$A$2:$A$180,0))="","",INDEX(Backlog!$K$2:$K$180,MATCH($A26,Backlog!$A$2:$A$180,0)))</t>
  </si>
  <si>
    <t>=INDEX(Backlog!$K$2:$K$180,MATCH(A26,Backlog!$A$2:$A$180,0))</t>
  </si>
  <si>
    <t>=IF(INDEX(Backlog!$B$2:$B$180,MATCH($A26,Backlog!$A$2:$A$180,0))="","",INDEX(Backlog!$B$2:$B$180,MATCH($A26,Backlog!$A$2:$A$180,0)))</t>
  </si>
  <si>
    <t>=INDEX(Backlog!$B$2:$B$180,MATCH(A26,Backlog!$A$2:$A$180,0))</t>
  </si>
  <si>
    <t>=IF(INDEX(Backlog!$K$2:$K$180,MATCH($A27,Backlog!$A$2:$A$180,0))="","",INDEX(Backlog!$K$2:$K$180,MATCH($A27,Backlog!$A$2:$A$180,0)))</t>
  </si>
  <si>
    <t>=INDEX(Backlog!$K$2:$K$180,MATCH(A27,Backlog!$A$2:$A$180,0))</t>
  </si>
  <si>
    <t>=IF(INDEX(Backlog!$B$2:$B$180,MATCH($A27,Backlog!$A$2:$A$180,0))="","",INDEX(Backlog!$B$2:$B$180,MATCH($A27,Backlog!$A$2:$A$180,0)))</t>
  </si>
  <si>
    <t>=INDEX(Backlog!$B$2:$B$180,MATCH(A27,Backlog!$A$2:$A$180,0))</t>
  </si>
  <si>
    <t>=IF(INDEX(Backlog!$K$2:$K$180,MATCH($A28,Backlog!$A$2:$A$180,0))="","",INDEX(Backlog!$K$2:$K$180,MATCH($A28,Backlog!$A$2:$A$180,0)))</t>
  </si>
  <si>
    <t>=INDEX(Backlog!$K$2:$K$180,MATCH(A28,Backlog!$A$2:$A$180,0))</t>
  </si>
  <si>
    <t>=IF(INDEX(Backlog!$B$2:$B$180,MATCH($A28,Backlog!$A$2:$A$180,0))="","",INDEX(Backlog!$B$2:$B$180,MATCH($A28,Backlog!$A$2:$A$180,0)))</t>
  </si>
  <si>
    <t>=INDEX(Backlog!$B$2:$B$180,MATCH(A28,Backlog!$A$2:$A$180,0))</t>
  </si>
  <si>
    <t>C29</t>
  </si>
  <si>
    <t>=IF(INDEX(Backlog!$K$2:$K$180,MATCH($A29,Backlog!$A$2:$A$180,0))="","",INDEX(Backlog!$K$2:$K$180,MATCH($A29,Backlog!$A$2:$A$180,0)))</t>
  </si>
  <si>
    <t>=INDEX(Backlog!$K$2:$K$180,MATCH(A29,Backlog!$A$2:$A$180,0))</t>
  </si>
  <si>
    <t>D29</t>
  </si>
  <si>
    <t>=IF(INDEX(Backlog!$B$2:$B$180,MATCH($A29,Backlog!$A$2:$A$180,0))="","",INDEX(Backlog!$B$2:$B$180,MATCH($A29,Backlog!$A$2:$A$180,0)))</t>
  </si>
  <si>
    <t>=INDEX(Backlog!$B$2:$B$180,MATCH(A29,Backlog!$A$2:$A$180,0))</t>
  </si>
  <si>
    <t>C30</t>
  </si>
  <si>
    <t>=IF(INDEX(Backlog!$K$2:$K$180,MATCH($A30,Backlog!$A$2:$A$180,0))="","",INDEX(Backlog!$K$2:$K$180,MATCH($A30,Backlog!$A$2:$A$180,0)))</t>
  </si>
  <si>
    <t>=INDEX(Backlog!$K$2:$K$180,MATCH(A30,Backlog!$A$2:$A$180,0))</t>
  </si>
  <si>
    <t>D30</t>
  </si>
  <si>
    <t>=IF(INDEX(Backlog!$B$2:$B$180,MATCH($A30,Backlog!$A$2:$A$180,0))="","",INDEX(Backlog!$B$2:$B$180,MATCH($A30,Backlog!$A$2:$A$180,0)))</t>
  </si>
  <si>
    <t>=INDEX(Backlog!$B$2:$B$180,MATCH(A30,Backlog!$A$2:$A$180,0))</t>
  </si>
  <si>
    <t>C31</t>
  </si>
  <si>
    <t>=IF(INDEX(Backlog!$K$2:$K$180,MATCH($A31,Backlog!$A$2:$A$180,0))="","",INDEX(Backlog!$K$2:$K$180,MATCH($A31,Backlog!$A$2:$A$180,0)))</t>
  </si>
  <si>
    <t>=INDEX(Backlog!$K$2:$K$180,MATCH(A31,Backlog!$A$2:$A$180,0))</t>
  </si>
  <si>
    <t>D31</t>
  </si>
  <si>
    <t>=IF(INDEX(Backlog!$B$2:$B$180,MATCH($A31,Backlog!$A$2:$A$180,0))="","",INDEX(Backlog!$B$2:$B$180,MATCH($A31,Backlog!$A$2:$A$180,0)))</t>
  </si>
  <si>
    <t>=INDEX(Backlog!$B$2:$B$180,MATCH(A31,Backlog!$A$2:$A$180,0))</t>
  </si>
  <si>
    <t>C32</t>
  </si>
  <si>
    <t>=IF(INDEX(Backlog!$K$2:$K$180,MATCH($A32,Backlog!$A$2:$A$180,0))="","",INDEX(Backlog!$K$2:$K$180,MATCH($A32,Backlog!$A$2:$A$180,0)))</t>
  </si>
  <si>
    <t>=INDEX(Backlog!$K$2:$K$180,MATCH(A32,Backlog!$A$2:$A$180,0))</t>
  </si>
  <si>
    <t>D32</t>
  </si>
  <si>
    <t>=IF(INDEX(Backlog!$B$2:$B$180,MATCH($A32,Backlog!$A$2:$A$180,0))="","",INDEX(Backlog!$B$2:$B$180,MATCH($A32,Backlog!$A$2:$A$180,0)))</t>
  </si>
  <si>
    <t>=INDEX(Backlog!$B$2:$B$180,MATCH(A32,Backlog!$A$2:$A$180,0))</t>
  </si>
  <si>
    <t>C33</t>
  </si>
  <si>
    <t>=IF(INDEX(Backlog!$K$2:$K$180,MATCH($A33,Backlog!$A$2:$A$180,0))="","",INDEX(Backlog!$K$2:$K$180,MATCH($A33,Backlog!$A$2:$A$180,0)))</t>
  </si>
  <si>
    <t>=INDEX(Backlog!$K$2:$K$180,MATCH(A33,Backlog!$A$2:$A$180,0))</t>
  </si>
  <si>
    <t>D33</t>
  </si>
  <si>
    <t>=IF(INDEX(Backlog!$B$2:$B$180,MATCH($A33,Backlog!$A$2:$A$180,0))="","",INDEX(Backlog!$B$2:$B$180,MATCH($A33,Backlog!$A$2:$A$180,0)))</t>
  </si>
  <si>
    <t>=INDEX(Backlog!$B$2:$B$180,MATCH(A33,Backlog!$A$2:$A$180,0))</t>
  </si>
  <si>
    <t>C34</t>
  </si>
  <si>
    <t>=IF(INDEX(Backlog!$K$2:$K$180,MATCH($A34,Backlog!$A$2:$A$180,0))="","",INDEX(Backlog!$K$2:$K$180,MATCH($A34,Backlog!$A$2:$A$180,0)))</t>
  </si>
  <si>
    <t>=INDEX(Backlog!$K$2:$K$180,MATCH(A34,Backlog!$A$2:$A$180,0))</t>
  </si>
  <si>
    <t>D34</t>
  </si>
  <si>
    <t>=IF(INDEX(Backlog!$B$2:$B$180,MATCH($A34,Backlog!$A$2:$A$180,0))="","",INDEX(Backlog!$B$2:$B$180,MATCH($A34,Backlog!$A$2:$A$180,0)))</t>
  </si>
  <si>
    <t>=INDEX(Backlog!$B$2:$B$180,MATCH(A34,Backlog!$A$2:$A$180,0))</t>
  </si>
  <si>
    <t>C35</t>
  </si>
  <si>
    <t>=IF(INDEX(Backlog!$K$2:$K$180,MATCH($A35,Backlog!$A$2:$A$180,0))="","",INDEX(Backlog!$K$2:$K$180,MATCH($A35,Backlog!$A$2:$A$180,0)))</t>
  </si>
  <si>
    <t>=INDEX(Backlog!$K$2:$K$180,MATCH(A35,Backlog!$A$2:$A$180,0))</t>
  </si>
  <si>
    <t>D35</t>
  </si>
  <si>
    <t>=IF(INDEX(Backlog!$B$2:$B$180,MATCH($A35,Backlog!$A$2:$A$180,0))="","",INDEX(Backlog!$B$2:$B$180,MATCH($A35,Backlog!$A$2:$A$180,0)))</t>
  </si>
  <si>
    <t>=INDEX(Backlog!$B$2:$B$180,MATCH(A35,Backlog!$A$2:$A$180,0))</t>
  </si>
  <si>
    <t>C36</t>
  </si>
  <si>
    <t>=IF(INDEX(Backlog!$K$2:$K$180,MATCH($A36,Backlog!$A$2:$A$180,0))="","",INDEX(Backlog!$K$2:$K$180,MATCH($A36,Backlog!$A$2:$A$180,0)))</t>
  </si>
  <si>
    <t>=INDEX(Backlog!$K$2:$K$180,MATCH(A36,Backlog!$A$2:$A$180,0))</t>
  </si>
  <si>
    <t>D36</t>
  </si>
  <si>
    <t>=IF(INDEX(Backlog!$B$2:$B$180,MATCH($A36,Backlog!$A$2:$A$180,0))="","",INDEX(Backlog!$B$2:$B$180,MATCH($A36,Backlog!$A$2:$A$180,0)))</t>
  </si>
  <si>
    <t>=INDEX(Backlog!$B$2:$B$180,MATCH(A36,Backlog!$A$2:$A$180,0))</t>
  </si>
  <si>
    <t>C37</t>
  </si>
  <si>
    <t>=IF(INDEX(Backlog!$K$2:$K$180,MATCH($A37,Backlog!$A$2:$A$180,0))="","",INDEX(Backlog!$K$2:$K$180,MATCH($A37,Backlog!$A$2:$A$180,0)))</t>
  </si>
  <si>
    <t>=INDEX(Backlog!$K$2:$K$180,MATCH(A37,Backlog!$A$2:$A$180,0))</t>
  </si>
  <si>
    <t>D37</t>
  </si>
  <si>
    <t>=IF(INDEX(Backlog!$B$2:$B$180,MATCH($A37,Backlog!$A$2:$A$180,0))="","",INDEX(Backlog!$B$2:$B$180,MATCH($A37,Backlog!$A$2:$A$180,0)))</t>
  </si>
  <si>
    <t>=INDEX(Backlog!$B$2:$B$180,MATCH(A37,Backlog!$A$2:$A$180,0))</t>
  </si>
  <si>
    <t>C38</t>
  </si>
  <si>
    <t>=IF(INDEX(Backlog!$K$2:$K$180,MATCH($A38,Backlog!$A$2:$A$180,0))="","",INDEX(Backlog!$K$2:$K$180,MATCH($A38,Backlog!$A$2:$A$180,0)))</t>
  </si>
  <si>
    <t>=INDEX(Backlog!$K$2:$K$180,MATCH(A38,Backlog!$A$2:$A$180,0))</t>
  </si>
  <si>
    <t>D38</t>
  </si>
  <si>
    <t>=IF(INDEX(Backlog!$B$2:$B$180,MATCH($A38,Backlog!$A$2:$A$180,0))="","",INDEX(Backlog!$B$2:$B$180,MATCH($A38,Backlog!$A$2:$A$180,0)))</t>
  </si>
  <si>
    <t>=INDEX(Backlog!$B$2:$B$180,MATCH(A38,Backlog!$A$2:$A$180,0))</t>
  </si>
  <si>
    <t>C39</t>
  </si>
  <si>
    <t>=IF(INDEX(Backlog!$K$2:$K$180,MATCH($A39,Backlog!$A$2:$A$180,0))="","",INDEX(Backlog!$K$2:$K$180,MATCH($A39,Backlog!$A$2:$A$180,0)))</t>
  </si>
  <si>
    <t>=INDEX(Backlog!$K$2:$K$180,MATCH(A39,Backlog!$A$2:$A$180,0))</t>
  </si>
  <si>
    <t>D39</t>
  </si>
  <si>
    <t>=IF(INDEX(Backlog!$B$2:$B$180,MATCH($A39,Backlog!$A$2:$A$180,0))="","",INDEX(Backlog!$B$2:$B$180,MATCH($A39,Backlog!$A$2:$A$180,0)))</t>
  </si>
  <si>
    <t>=INDEX(Backlog!$B$2:$B$180,MATCH(A39,Backlog!$A$2:$A$180,0))</t>
  </si>
  <si>
    <t>C40</t>
  </si>
  <si>
    <t>=IF(INDEX(Backlog!$K$2:$K$180,MATCH($A40,Backlog!$A$2:$A$180,0))="","",INDEX(Backlog!$K$2:$K$180,MATCH($A40,Backlog!$A$2:$A$180,0)))</t>
  </si>
  <si>
    <t>=INDEX(Backlog!$K$2:$K$180,MATCH(A40,Backlog!$A$2:$A$180,0))</t>
  </si>
  <si>
    <t>D40</t>
  </si>
  <si>
    <t>=IF(INDEX(Backlog!$B$2:$B$180,MATCH($A40,Backlog!$A$2:$A$180,0))="","",INDEX(Backlog!$B$2:$B$180,MATCH($A40,Backlog!$A$2:$A$180,0)))</t>
  </si>
  <si>
    <t>=INDEX(Backlog!$B$2:$B$180,MATCH(A40,Backlog!$A$2:$A$180,0))</t>
  </si>
  <si>
    <t>C41</t>
  </si>
  <si>
    <t>=IF(INDEX(Backlog!$K$2:$K$180,MATCH($A41,Backlog!$A$2:$A$180,0))="","",INDEX(Backlog!$K$2:$K$180,MATCH($A41,Backlog!$A$2:$A$180,0)))</t>
  </si>
  <si>
    <t>=INDEX(Backlog!$K$2:$K$180,MATCH(A41,Backlog!$A$2:$A$180,0))</t>
  </si>
  <si>
    <t>D41</t>
  </si>
  <si>
    <t>=IF(INDEX(Backlog!$B$2:$B$180,MATCH($A41,Backlog!$A$2:$A$180,0))="","",INDEX(Backlog!$B$2:$B$180,MATCH($A41,Backlog!$A$2:$A$180,0)))</t>
  </si>
  <si>
    <t>=INDEX(Backlog!$B$2:$B$180,MATCH(A41,Backlog!$A$2:$A$180,0))</t>
  </si>
  <si>
    <t>C42</t>
  </si>
  <si>
    <t>=IF(INDEX(Backlog!$K$2:$K$180,MATCH($A42,Backlog!$A$2:$A$180,0))="","",INDEX(Backlog!$K$2:$K$180,MATCH($A42,Backlog!$A$2:$A$180,0)))</t>
  </si>
  <si>
    <t>=INDEX(Backlog!$K$2:$K$180,MATCH(A42,Backlog!$A$2:$A$180,0))</t>
  </si>
  <si>
    <t>D42</t>
  </si>
  <si>
    <t>=IF(INDEX(Backlog!$B$2:$B$180,MATCH($A42,Backlog!$A$2:$A$180,0))="","",INDEX(Backlog!$B$2:$B$180,MATCH($A42,Backlog!$A$2:$A$180,0)))</t>
  </si>
  <si>
    <t>=INDEX(Backlog!$B$2:$B$180,MATCH(A42,Backlog!$A$2:$A$180,0))</t>
  </si>
  <si>
    <t>C43</t>
  </si>
  <si>
    <t>=IF(INDEX(Backlog!$K$2:$K$180,MATCH($A43,Backlog!$A$2:$A$180,0))="","",INDEX(Backlog!$K$2:$K$180,MATCH($A43,Backlog!$A$2:$A$180,0)))</t>
  </si>
  <si>
    <t>=INDEX(Backlog!$K$2:$K$180,MATCH(A43,Backlog!$A$2:$A$180,0))</t>
  </si>
  <si>
    <t>D43</t>
  </si>
  <si>
    <t>=IF(INDEX(Backlog!$B$2:$B$180,MATCH($A43,Backlog!$A$2:$A$180,0))="","",INDEX(Backlog!$B$2:$B$180,MATCH($A43,Backlog!$A$2:$A$180,0)))</t>
  </si>
  <si>
    <t>=INDEX(Backlog!$B$2:$B$180,MATCH(A43,Backlog!$A$2:$A$180,0))</t>
  </si>
  <si>
    <t>C44</t>
  </si>
  <si>
    <t>=IF(INDEX(Backlog!$K$2:$K$180,MATCH($A44,Backlog!$A$2:$A$180,0))="","",INDEX(Backlog!$K$2:$K$180,MATCH($A44,Backlog!$A$2:$A$180,0)))</t>
  </si>
  <si>
    <t>=INDEX(Backlog!$K$2:$K$180,MATCH(A44,Backlog!$A$2:$A$180,0))</t>
  </si>
  <si>
    <t>D44</t>
  </si>
  <si>
    <t>=IF(INDEX(Backlog!$B$2:$B$180,MATCH($A44,Backlog!$A$2:$A$180,0))="","",INDEX(Backlog!$B$2:$B$180,MATCH($A44,Backlog!$A$2:$A$180,0)))</t>
  </si>
  <si>
    <t>=INDEX(Backlog!$B$2:$B$180,MATCH(A44,Backlog!$A$2:$A$180,0))</t>
  </si>
  <si>
    <t>=IF(INDEX(Backlog!$K$2:$K$180,MATCH($A45,Backlog!$A$2:$A$180,0))="","",INDEX(Backlog!$K$2:$K$180,MATCH($A45,Backlog!$A$2:$A$180,0)))</t>
  </si>
  <si>
    <t>=INDEX(Backlog!$K$2:$K$180,MATCH(A45,Backlog!$A$2:$A$180,0))</t>
  </si>
  <si>
    <t>=IF(INDEX(Backlog!$B$2:$B$180,MATCH($A45,Backlog!$A$2:$A$180,0))="","",INDEX(Backlog!$B$2:$B$180,MATCH($A45,Backlog!$A$2:$A$180,0)))</t>
  </si>
  <si>
    <t>=INDEX(Backlog!$B$2:$B$180,MATCH(A45,Backlog!$A$2:$A$180,0))</t>
  </si>
  <si>
    <t>=IF(INDEX(Backlog!$K$2:$K$180,MATCH($A46,Backlog!$A$2:$A$180,0))="","",INDEX(Backlog!$K$2:$K$180,MATCH($A46,Backlog!$A$2:$A$180,0)))</t>
  </si>
  <si>
    <t>=INDEX(Backlog!$K$2:$K$180,MATCH(A46,Backlog!$A$2:$A$180,0))</t>
  </si>
  <si>
    <t>=IF(INDEX(Backlog!$B$2:$B$180,MATCH($A46,Backlog!$A$2:$A$180,0))="","",INDEX(Backlog!$B$2:$B$180,MATCH($A46,Backlog!$A$2:$A$180,0)))</t>
  </si>
  <si>
    <t>=INDEX(Backlog!$B$2:$B$180,MATCH(A46,Backlog!$A$2:$A$180,0))</t>
  </si>
  <si>
    <t>=IF(INDEX(Backlog!$K$2:$K$180,MATCH($A47,Backlog!$A$2:$A$180,0))="","",INDEX(Backlog!$K$2:$K$180,MATCH($A47,Backlog!$A$2:$A$180,0)))</t>
  </si>
  <si>
    <t>=INDEX(Backlog!$K$2:$K$180,MATCH(A47,Backlog!$A$2:$A$180,0))</t>
  </si>
  <si>
    <t>=IF(INDEX(Backlog!$B$2:$B$180,MATCH($A47,Backlog!$A$2:$A$180,0))="","",INDEX(Backlog!$B$2:$B$180,MATCH($A47,Backlog!$A$2:$A$180,0)))</t>
  </si>
  <si>
    <t>=INDEX(Backlog!$B$2:$B$180,MATCH(A47,Backlog!$A$2:$A$180,0))</t>
  </si>
  <si>
    <t>=IF(INDEX(Backlog!$K$2:$K$180,MATCH($A48,Backlog!$A$2:$A$180,0))="","",INDEX(Backlog!$K$2:$K$180,MATCH($A48,Backlog!$A$2:$A$180,0)))</t>
  </si>
  <si>
    <t>=INDEX(Backlog!$K$2:$K$180,MATCH(A48,Backlog!$A$2:$A$180,0))</t>
  </si>
  <si>
    <t>=IF(INDEX(Backlog!$B$2:$B$180,MATCH($A48,Backlog!$A$2:$A$180,0))="","",INDEX(Backlog!$B$2:$B$180,MATCH($A48,Backlog!$A$2:$A$180,0)))</t>
  </si>
  <si>
    <t>=INDEX(Backlog!$B$2:$B$180,MATCH(A48,Backlog!$A$2:$A$180,0))</t>
  </si>
  <si>
    <t>=IF(INDEX(Backlog!$K$2:$K$180,MATCH($A49,Backlog!$A$2:$A$180,0))="","",INDEX(Backlog!$K$2:$K$180,MATCH($A49,Backlog!$A$2:$A$180,0)))</t>
  </si>
  <si>
    <t>=INDEX(Backlog!$K$2:$K$180,MATCH(A49,Backlog!$A$2:$A$180,0))</t>
  </si>
  <si>
    <t>=IF(INDEX(Backlog!$B$2:$B$180,MATCH($A49,Backlog!$A$2:$A$180,0))="","",INDEX(Backlog!$B$2:$B$180,MATCH($A49,Backlog!$A$2:$A$180,0)))</t>
  </si>
  <si>
    <t>=INDEX(Backlog!$B$2:$B$180,MATCH(A49,Backlog!$A$2:$A$180,0))</t>
  </si>
  <si>
    <t>=IF(INDEX(Backlog!$K$2:$K$180,MATCH($A50,Backlog!$A$2:$A$180,0))="","",INDEX(Backlog!$K$2:$K$180,MATCH($A50,Backlog!$A$2:$A$180,0)))</t>
  </si>
  <si>
    <t>=INDEX(Backlog!$K$2:$K$180,MATCH(A50,Backlog!$A$2:$A$180,0))</t>
  </si>
  <si>
    <t>=IF(INDEX(Backlog!$B$2:$B$180,MATCH($A50,Backlog!$A$2:$A$180,0))="","",INDEX(Backlog!$B$2:$B$180,MATCH($A50,Backlog!$A$2:$A$180,0)))</t>
  </si>
  <si>
    <t>=INDEX(Backlog!$B$2:$B$180,MATCH(A50,Backlog!$A$2:$A$180,0))</t>
  </si>
  <si>
    <t>A51</t>
  </si>
  <si>
    <t>B51</t>
  </si>
  <si>
    <t>C51</t>
  </si>
  <si>
    <t>=IF(INDEX(Backlog!$K$2:$K$180,MATCH($A51,Backlog!$A$2:$A$180,0))="","",INDEX(Backlog!$K$2:$K$180,MATCH($A51,Backlog!$A$2:$A$180,0)))</t>
  </si>
  <si>
    <t>=INDEX(Backlog!$K$2:$K$180,MATCH(A51,Backlog!$A$2:$A$180,0))</t>
  </si>
  <si>
    <t>D51</t>
  </si>
  <si>
    <t>=IF(INDEX(Backlog!$B$2:$B$180,MATCH($A51,Backlog!$A$2:$A$180,0))="","",INDEX(Backlog!$B$2:$B$180,MATCH($A51,Backlog!$A$2:$A$180,0)))</t>
  </si>
  <si>
    <t>=INDEX(Backlog!$B$2:$B$180,MATCH(A51,Backlog!$A$2:$A$180,0))</t>
  </si>
  <si>
    <t>A52</t>
  </si>
  <si>
    <t>C52</t>
  </si>
  <si>
    <t>=IF(INDEX(Backlog!$K$2:$K$180,MATCH($A52,Backlog!$A$2:$A$180,0))="","",INDEX(Backlog!$K$2:$K$180,MATCH($A52,Backlog!$A$2:$A$180,0)))</t>
  </si>
  <si>
    <t>=INDEX(Backlog!$K$2:$K$180,MATCH(A52,Backlog!$A$2:$A$180,0))</t>
  </si>
  <si>
    <t>D52</t>
  </si>
  <si>
    <t>=IF(INDEX(Backlog!$B$2:$B$180,MATCH($A52,Backlog!$A$2:$A$180,0))="","",INDEX(Backlog!$B$2:$B$180,MATCH($A52,Backlog!$A$2:$A$180,0)))</t>
  </si>
  <si>
    <t>=INDEX(Backlog!$B$2:$B$180,MATCH(A52,Backlog!$A$2:$A$180,0))</t>
  </si>
  <si>
    <t>A53</t>
  </si>
  <si>
    <t>B53</t>
  </si>
  <si>
    <t>C53</t>
  </si>
  <si>
    <t>=IF(INDEX(Backlog!$K$2:$K$180,MATCH($A53,Backlog!$A$2:$A$180,0))="","",INDEX(Backlog!$K$2:$K$180,MATCH($A53,Backlog!$A$2:$A$180,0)))</t>
  </si>
  <si>
    <t>=INDEX(Backlog!$K$2:$K$180,MATCH(A53,Backlog!$A$2:$A$180,0))</t>
  </si>
  <si>
    <t>D53</t>
  </si>
  <si>
    <t>=IF(INDEX(Backlog!$B$2:$B$180,MATCH($A53,Backlog!$A$2:$A$180,0))="","",INDEX(Backlog!$B$2:$B$180,MATCH($A53,Backlog!$A$2:$A$180,0)))</t>
  </si>
  <si>
    <t>=INDEX(Backlog!$B$2:$B$180,MATCH(A53,Backlog!$A$2:$A$180,0))</t>
  </si>
  <si>
    <t>A54</t>
  </si>
  <si>
    <t>B54</t>
  </si>
  <si>
    <t>C54</t>
  </si>
  <si>
    <t>=IF(INDEX(Backlog!$K$2:$K$180,MATCH($A54,Backlog!$A$2:$A$180,0))="","",INDEX(Backlog!$K$2:$K$180,MATCH($A54,Backlog!$A$2:$A$180,0)))</t>
  </si>
  <si>
    <t>=INDEX(Backlog!$K$2:$K$180,MATCH(A54,Backlog!$A$2:$A$180,0))</t>
  </si>
  <si>
    <t>D54</t>
  </si>
  <si>
    <t>=IF(INDEX(Backlog!$B$2:$B$180,MATCH($A54,Backlog!$A$2:$A$180,0))="","",INDEX(Backlog!$B$2:$B$180,MATCH($A54,Backlog!$A$2:$A$180,0)))</t>
  </si>
  <si>
    <t>=INDEX(Backlog!$B$2:$B$180,MATCH(A54,Backlog!$A$2:$A$180,0))</t>
  </si>
  <si>
    <t>A55</t>
  </si>
  <si>
    <t>B55</t>
  </si>
  <si>
    <t>C55</t>
  </si>
  <si>
    <t>=IF(INDEX(Backlog!$K$2:$K$180,MATCH($A55,Backlog!$A$2:$A$180,0))="","",INDEX(Backlog!$K$2:$K$180,MATCH($A55,Backlog!$A$2:$A$180,0)))</t>
  </si>
  <si>
    <t>=INDEX(Backlog!$K$2:$K$180,MATCH(A55,Backlog!$A$2:$A$180,0))</t>
  </si>
  <si>
    <t>D55</t>
  </si>
  <si>
    <t>=IF(INDEX(Backlog!$B$2:$B$180,MATCH($A55,Backlog!$A$2:$A$180,0))="","",INDEX(Backlog!$B$2:$B$180,MATCH($A55,Backlog!$A$2:$A$180,0)))</t>
  </si>
  <si>
    <t>=INDEX(Backlog!$B$2:$B$180,MATCH(A55,Backlog!$A$2:$A$180,0))</t>
  </si>
  <si>
    <t>A56</t>
  </si>
  <si>
    <t>B56</t>
  </si>
  <si>
    <t>C56</t>
  </si>
  <si>
    <t>=IF(INDEX(Backlog!$K$2:$K$180,MATCH($A56,Backlog!$A$2:$A$180,0))="","",INDEX(Backlog!$K$2:$K$180,MATCH($A56,Backlog!$A$2:$A$180,0)))</t>
  </si>
  <si>
    <t>=INDEX(Backlog!$K$2:$K$180,MATCH(A56,Backlog!$A$2:$A$180,0))</t>
  </si>
  <si>
    <t>D56</t>
  </si>
  <si>
    <t>=IF(INDEX(Backlog!$B$2:$B$180,MATCH($A56,Backlog!$A$2:$A$180,0))="","",INDEX(Backlog!$B$2:$B$180,MATCH($A56,Backlog!$A$2:$A$180,0)))</t>
  </si>
  <si>
    <t>=INDEX(Backlog!$B$2:$B$180,MATCH(A56,Backlog!$A$2:$A$180,0))</t>
  </si>
  <si>
    <t>B57</t>
  </si>
  <si>
    <t>C57</t>
  </si>
  <si>
    <t>=IF(INDEX(Backlog!$K$2:$K$180,MATCH($A57,Backlog!$A$2:$A$180,0))="","",INDEX(Backlog!$K$2:$K$180,MATCH($A57,Backlog!$A$2:$A$180,0)))</t>
  </si>
  <si>
    <t>=INDEX(Backlog!$K$2:$K$180,MATCH(A57,Backlog!$A$2:$A$180,0))</t>
  </si>
  <si>
    <t>D57</t>
  </si>
  <si>
    <t>=IF(INDEX(Backlog!$B$2:$B$180,MATCH($A57,Backlog!$A$2:$A$180,0))="","",INDEX(Backlog!$B$2:$B$180,MATCH($A57,Backlog!$A$2:$A$180,0)))</t>
  </si>
  <si>
    <t>=INDEX(Backlog!$B$2:$B$180,MATCH(A57,Backlog!$A$2:$A$180,0))</t>
  </si>
  <si>
    <t>A58</t>
  </si>
  <si>
    <t>B58</t>
  </si>
  <si>
    <t>C58</t>
  </si>
  <si>
    <t>=IF(INDEX(Backlog!$K$2:$K$180,MATCH($A58,Backlog!$A$2:$A$180,0))="","",INDEX(Backlog!$K$2:$K$180,MATCH($A58,Backlog!$A$2:$A$180,0)))</t>
  </si>
  <si>
    <t>=INDEX(Backlog!$K$2:$K$180,MATCH(A58,Backlog!$A$2:$A$180,0))</t>
  </si>
  <si>
    <t>D58</t>
  </si>
  <si>
    <t>=IF(INDEX(Backlog!$B$2:$B$180,MATCH($A58,Backlog!$A$2:$A$180,0))="","",INDEX(Backlog!$B$2:$B$180,MATCH($A58,Backlog!$A$2:$A$180,0)))</t>
  </si>
  <si>
    <t>=INDEX(Backlog!$B$2:$B$180,MATCH(A58,Backlog!$A$2:$A$180,0))</t>
  </si>
  <si>
    <t>A59</t>
  </si>
  <si>
    <t>B59</t>
  </si>
  <si>
    <t>C59</t>
  </si>
  <si>
    <t>=IF(INDEX(Backlog!$K$2:$K$180,MATCH($A59,Backlog!$A$2:$A$180,0))="","",INDEX(Backlog!$K$2:$K$180,MATCH($A59,Backlog!$A$2:$A$180,0)))</t>
  </si>
  <si>
    <t>=INDEX(Backlog!$K$2:$K$180,MATCH(A59,Backlog!$A$2:$A$180,0))</t>
  </si>
  <si>
    <t>D59</t>
  </si>
  <si>
    <t>=IF(INDEX(Backlog!$B$2:$B$180,MATCH($A59,Backlog!$A$2:$A$180,0))="","",INDEX(Backlog!$B$2:$B$180,MATCH($A59,Backlog!$A$2:$A$180,0)))</t>
  </si>
  <si>
    <t>=INDEX(Backlog!$B$2:$B$180,MATCH(A59,Backlog!$A$2:$A$180,0))</t>
  </si>
  <si>
    <t>A60</t>
  </si>
  <si>
    <t>B60</t>
  </si>
  <si>
    <t>C60</t>
  </si>
  <si>
    <t>=IF(INDEX(Backlog!$K$2:$K$180,MATCH($A60,Backlog!$A$2:$A$180,0))="","",INDEX(Backlog!$K$2:$K$180,MATCH($A60,Backlog!$A$2:$A$180,0)))</t>
  </si>
  <si>
    <t>=INDEX(Backlog!$K$2:$K$180,MATCH(A60,Backlog!$A$2:$A$180,0))</t>
  </si>
  <si>
    <t>D60</t>
  </si>
  <si>
    <t>=IF(INDEX(Backlog!$B$2:$B$180,MATCH($A60,Backlog!$A$2:$A$180,0))="","",INDEX(Backlog!$B$2:$B$180,MATCH($A60,Backlog!$A$2:$A$180,0)))</t>
  </si>
  <si>
    <t>=INDEX(Backlog!$B$2:$B$180,MATCH(A60,Backlog!$A$2:$A$180,0))</t>
  </si>
  <si>
    <t>B61</t>
  </si>
  <si>
    <t>C61</t>
  </si>
  <si>
    <t>=IF(INDEX(Backlog!$K$2:$K$180,MATCH($A61,Backlog!$A$2:$A$180,0))="","",INDEX(Backlog!$K$2:$K$180,MATCH($A61,Backlog!$A$2:$A$180,0)))</t>
  </si>
  <si>
    <t>=INDEX(Backlog!$K$2:$K$180,MATCH(A61,Backlog!$A$2:$A$180,0))</t>
  </si>
  <si>
    <t>D61</t>
  </si>
  <si>
    <t>=IF(INDEX(Backlog!$B$2:$B$180,MATCH($A61,Backlog!$A$2:$A$180,0))="","",INDEX(Backlog!$B$2:$B$180,MATCH($A61,Backlog!$A$2:$A$180,0)))</t>
  </si>
  <si>
    <t>=INDEX(Backlog!$B$2:$B$180,MATCH(A61,Backlog!$A$2:$A$180,0))</t>
  </si>
  <si>
    <t>A62</t>
  </si>
  <si>
    <t>B62</t>
  </si>
  <si>
    <t>C62</t>
  </si>
  <si>
    <t>=IF(INDEX(Backlog!$K$2:$K$180,MATCH($A62,Backlog!$A$2:$A$180,0))="","",INDEX(Backlog!$K$2:$K$180,MATCH($A62,Backlog!$A$2:$A$180,0)))</t>
  </si>
  <si>
    <t>=INDEX(Backlog!$K$2:$K$180,MATCH(A62,Backlog!$A$2:$A$180,0))</t>
  </si>
  <si>
    <t>D62</t>
  </si>
  <si>
    <t>=IF(INDEX(Backlog!$B$2:$B$180,MATCH($A62,Backlog!$A$2:$A$180,0))="","",INDEX(Backlog!$B$2:$B$180,MATCH($A62,Backlog!$A$2:$A$180,0)))</t>
  </si>
  <si>
    <t>=INDEX(Backlog!$B$2:$B$180,MATCH(A62,Backlog!$A$2:$A$180,0))</t>
  </si>
  <si>
    <t>B63</t>
  </si>
  <si>
    <t>C63</t>
  </si>
  <si>
    <t>=IF(INDEX(Backlog!$K$2:$K$180,MATCH($A63,Backlog!$A$2:$A$180,0))="","",INDEX(Backlog!$K$2:$K$180,MATCH($A63,Backlog!$A$2:$A$180,0)))</t>
  </si>
  <si>
    <t>=INDEX(Backlog!$K$2:$K$180,MATCH(A63,Backlog!$A$2:$A$180,0))</t>
  </si>
  <si>
    <t>D63</t>
  </si>
  <si>
    <t>=IF(INDEX(Backlog!$B$2:$B$180,MATCH($A63,Backlog!$A$2:$A$180,0))="","",INDEX(Backlog!$B$2:$B$180,MATCH($A63,Backlog!$A$2:$A$180,0)))</t>
  </si>
  <si>
    <t>=INDEX(Backlog!$B$2:$B$180,MATCH(A63,Backlog!$A$2:$A$180,0))</t>
  </si>
  <si>
    <t>A64</t>
  </si>
  <si>
    <t>B64</t>
  </si>
  <si>
    <t>C64</t>
  </si>
  <si>
    <t>=IF(INDEX(Backlog!$K$2:$K$180,MATCH($A64,Backlog!$A$2:$A$180,0))="","",INDEX(Backlog!$K$2:$K$180,MATCH($A64,Backlog!$A$2:$A$180,0)))</t>
  </si>
  <si>
    <t>=INDEX(Backlog!$K$2:$K$180,MATCH(A64,Backlog!$A$2:$A$180,0))</t>
  </si>
  <si>
    <t>D64</t>
  </si>
  <si>
    <t>=IF(INDEX(Backlog!$B$2:$B$180,MATCH($A64,Backlog!$A$2:$A$180,0))="","",INDEX(Backlog!$B$2:$B$180,MATCH($A64,Backlog!$A$2:$A$180,0)))</t>
  </si>
  <si>
    <t>=INDEX(Backlog!$B$2:$B$180,MATCH(A64,Backlog!$A$2:$A$180,0))</t>
  </si>
  <si>
    <t>A65</t>
  </si>
  <si>
    <t>B65</t>
  </si>
  <si>
    <t>C65</t>
  </si>
  <si>
    <t>=IF(INDEX(Backlog!$K$2:$K$180,MATCH($A65,Backlog!$A$2:$A$180,0))="","",INDEX(Backlog!$K$2:$K$180,MATCH($A65,Backlog!$A$2:$A$180,0)))</t>
  </si>
  <si>
    <t>=INDEX(Backlog!$K$2:$K$180,MATCH(A65,Backlog!$A$2:$A$180,0))</t>
  </si>
  <si>
    <t>D65</t>
  </si>
  <si>
    <t>=IF(INDEX(Backlog!$B$2:$B$180,MATCH($A65,Backlog!$A$2:$A$180,0))="","",INDEX(Backlog!$B$2:$B$180,MATCH($A65,Backlog!$A$2:$A$180,0)))</t>
  </si>
  <si>
    <t>=INDEX(Backlog!$B$2:$B$180,MATCH(A65,Backlog!$A$2:$A$180,0))</t>
  </si>
  <si>
    <t>A66</t>
  </si>
  <si>
    <t>B66</t>
  </si>
  <si>
    <t>C66</t>
  </si>
  <si>
    <t>=IF(INDEX(Backlog!$K$2:$K$180,MATCH($A66,Backlog!$A$2:$A$180,0))="","",INDEX(Backlog!$K$2:$K$180,MATCH($A66,Backlog!$A$2:$A$180,0)))</t>
  </si>
  <si>
    <t>=INDEX(Backlog!$K$2:$K$180,MATCH(A66,Backlog!$A$2:$A$180,0))</t>
  </si>
  <si>
    <t>D66</t>
  </si>
  <si>
    <t>=IF(INDEX(Backlog!$B$2:$B$180,MATCH($A66,Backlog!$A$2:$A$180,0))="","",INDEX(Backlog!$B$2:$B$180,MATCH($A66,Backlog!$A$2:$A$180,0)))</t>
  </si>
  <si>
    <t>=INDEX(Backlog!$B$2:$B$180,MATCH(A66,Backlog!$A$2:$A$180,0))</t>
  </si>
  <si>
    <t>A67</t>
  </si>
  <si>
    <t>B67</t>
  </si>
  <si>
    <t>C67</t>
  </si>
  <si>
    <t>=IF(INDEX(Backlog!$K$2:$K$180,MATCH($A67,Backlog!$A$2:$A$180,0))="","",INDEX(Backlog!$K$2:$K$180,MATCH($A67,Backlog!$A$2:$A$180,0)))</t>
  </si>
  <si>
    <t>=INDEX(Backlog!$K$2:$K$180,MATCH(A67,Backlog!$A$2:$A$180,0))</t>
  </si>
  <si>
    <t>D67</t>
  </si>
  <si>
    <t>=IF(INDEX(Backlog!$B$2:$B$180,MATCH($A67,Backlog!$A$2:$A$180,0))="","",INDEX(Backlog!$B$2:$B$180,MATCH($A67,Backlog!$A$2:$A$180,0)))</t>
  </si>
  <si>
    <t>=INDEX(Backlog!$B$2:$B$180,MATCH(A67,Backlog!$A$2:$A$180,0))</t>
  </si>
  <si>
    <t>A68</t>
  </si>
  <si>
    <t>B68</t>
  </si>
  <si>
    <t>C68</t>
  </si>
  <si>
    <t>=IF(INDEX(Backlog!$K$2:$K$180,MATCH($A68,Backlog!$A$2:$A$180,0))="","",INDEX(Backlog!$K$2:$K$180,MATCH($A68,Backlog!$A$2:$A$180,0)))</t>
  </si>
  <si>
    <t>=INDEX(Backlog!$K$2:$K$180,MATCH(A68,Backlog!$A$2:$A$180,0))</t>
  </si>
  <si>
    <t>D68</t>
  </si>
  <si>
    <t>=IF(INDEX(Backlog!$B$2:$B$180,MATCH($A68,Backlog!$A$2:$A$180,0))="","",INDEX(Backlog!$B$2:$B$180,MATCH($A68,Backlog!$A$2:$A$180,0)))</t>
  </si>
  <si>
    <t>=INDEX(Backlog!$B$2:$B$180,MATCH(A68,Backlog!$A$2:$A$180,0))</t>
  </si>
  <si>
    <t>A69</t>
  </si>
  <si>
    <t>B69</t>
  </si>
  <si>
    <t>C69</t>
  </si>
  <si>
    <t>=IF(INDEX(Backlog!$K$2:$K$180,MATCH($A69,Backlog!$A$2:$A$180,0))="","",INDEX(Backlog!$K$2:$K$180,MATCH($A69,Backlog!$A$2:$A$180,0)))</t>
  </si>
  <si>
    <t>=INDEX(Backlog!$K$2:$K$180,MATCH(A69,Backlog!$A$2:$A$180,0))</t>
  </si>
  <si>
    <t>D69</t>
  </si>
  <si>
    <t>=IF(INDEX(Backlog!$B$2:$B$180,MATCH($A69,Backlog!$A$2:$A$180,0))="","",INDEX(Backlog!$B$2:$B$180,MATCH($A69,Backlog!$A$2:$A$180,0)))</t>
  </si>
  <si>
    <t>=INDEX(Backlog!$B$2:$B$180,MATCH(A69,Backlog!$A$2:$A$180,0))</t>
  </si>
  <si>
    <t>A70</t>
  </si>
  <si>
    <t>B70</t>
  </si>
  <si>
    <t>C70</t>
  </si>
  <si>
    <t>=IF(INDEX(Backlog!$K$2:$K$180,MATCH($A70,Backlog!$A$2:$A$180,0))="","",INDEX(Backlog!$K$2:$K$180,MATCH($A70,Backlog!$A$2:$A$180,0)))</t>
  </si>
  <si>
    <t>=INDEX(Backlog!$K$2:$K$180,MATCH(A70,Backlog!$A$2:$A$180,0))</t>
  </si>
  <si>
    <t>D70</t>
  </si>
  <si>
    <t>=IF(INDEX(Backlog!$B$2:$B$180,MATCH($A70,Backlog!$A$2:$A$180,0))="","",INDEX(Backlog!$B$2:$B$180,MATCH($A70,Backlog!$A$2:$A$180,0)))</t>
  </si>
  <si>
    <t>=INDEX(Backlog!$B$2:$B$180,MATCH(A70,Backlog!$A$2:$A$180,0))</t>
  </si>
  <si>
    <t>A71</t>
  </si>
  <si>
    <t>B71</t>
  </si>
  <si>
    <t>C71</t>
  </si>
  <si>
    <t>=IF(INDEX(Backlog!$K$2:$K$180,MATCH($A71,Backlog!$A$2:$A$180,0))="","",INDEX(Backlog!$K$2:$K$180,MATCH($A71,Backlog!$A$2:$A$180,0)))</t>
  </si>
  <si>
    <t>=INDEX(Backlog!$K$2:$K$180,MATCH(A71,Backlog!$A$2:$A$180,0))</t>
  </si>
  <si>
    <t>D71</t>
  </si>
  <si>
    <t>=IF(INDEX(Backlog!$B$2:$B$180,MATCH($A71,Backlog!$A$2:$A$180,0))="","",INDEX(Backlog!$B$2:$B$180,MATCH($A71,Backlog!$A$2:$A$180,0)))</t>
  </si>
  <si>
    <t>=INDEX(Backlog!$B$2:$B$180,MATCH(A71,Backlog!$A$2:$A$180,0))</t>
  </si>
  <si>
    <t>A72</t>
  </si>
  <si>
    <t>B72</t>
  </si>
  <si>
    <t>C72</t>
  </si>
  <si>
    <t>=IF(INDEX(Backlog!$K$2:$K$180,MATCH($A72,Backlog!$A$2:$A$180,0))="","",INDEX(Backlog!$K$2:$K$180,MATCH($A72,Backlog!$A$2:$A$180,0)))</t>
  </si>
  <si>
    <t>=INDEX(Backlog!$K$2:$K$180,MATCH(A72,Backlog!$A$2:$A$180,0))</t>
  </si>
  <si>
    <t>D72</t>
  </si>
  <si>
    <t>=IF(INDEX(Backlog!$B$2:$B$180,MATCH($A72,Backlog!$A$2:$A$180,0))="","",INDEX(Backlog!$B$2:$B$180,MATCH($A72,Backlog!$A$2:$A$180,0)))</t>
  </si>
  <si>
    <t>=INDEX(Backlog!$B$2:$B$180,MATCH(A72,Backlog!$A$2:$A$180,0))</t>
  </si>
  <si>
    <t>A73</t>
  </si>
  <si>
    <t>B73</t>
  </si>
  <si>
    <t>C73</t>
  </si>
  <si>
    <t>=IF(INDEX(Backlog!$K$2:$K$180,MATCH($A73,Backlog!$A$2:$A$180,0))="","",INDEX(Backlog!$K$2:$K$180,MATCH($A73,Backlog!$A$2:$A$180,0)))</t>
  </si>
  <si>
    <t>=INDEX(Backlog!$K$2:$K$180,MATCH(A73,Backlog!$A$2:$A$180,0))</t>
  </si>
  <si>
    <t>D73</t>
  </si>
  <si>
    <t>=IF(INDEX(Backlog!$B$2:$B$180,MATCH($A73,Backlog!$A$2:$A$180,0))="","",INDEX(Backlog!$B$2:$B$180,MATCH($A73,Backlog!$A$2:$A$180,0)))</t>
  </si>
  <si>
    <t>=INDEX(Backlog!$B$2:$B$180,MATCH(A73,Backlog!$A$2:$A$180,0))</t>
  </si>
  <si>
    <t>A74</t>
  </si>
  <si>
    <t>B74</t>
  </si>
  <si>
    <t>C74</t>
  </si>
  <si>
    <t>=IF(INDEX(Backlog!$K$2:$K$180,MATCH($A74,Backlog!$A$2:$A$180,0))="","",INDEX(Backlog!$K$2:$K$180,MATCH($A74,Backlog!$A$2:$A$180,0)))</t>
  </si>
  <si>
    <t>=INDEX(Backlog!$K$2:$K$180,MATCH(A74,Backlog!$A$2:$A$180,0))</t>
  </si>
  <si>
    <t>D74</t>
  </si>
  <si>
    <t>=IF(INDEX(Backlog!$B$2:$B$180,MATCH($A74,Backlog!$A$2:$A$180,0))="","",INDEX(Backlog!$B$2:$B$180,MATCH($A74,Backlog!$A$2:$A$180,0)))</t>
  </si>
  <si>
    <t>=INDEX(Backlog!$B$2:$B$180,MATCH(A74,Backlog!$A$2:$A$180,0))</t>
  </si>
  <si>
    <t>A75</t>
  </si>
  <si>
    <t>B75</t>
  </si>
  <si>
    <t>C75</t>
  </si>
  <si>
    <t>=IF(INDEX(Backlog!$K$2:$K$180,MATCH($A75,Backlog!$A$2:$A$180,0))="","",INDEX(Backlog!$K$2:$K$180,MATCH($A75,Backlog!$A$2:$A$180,0)))</t>
  </si>
  <si>
    <t>=INDEX(Backlog!$K$2:$K$180,MATCH(A75,Backlog!$A$2:$A$180,0))</t>
  </si>
  <si>
    <t>D75</t>
  </si>
  <si>
    <t>=IF(INDEX(Backlog!$B$2:$B$180,MATCH($A75,Backlog!$A$2:$A$180,0))="","",INDEX(Backlog!$B$2:$B$180,MATCH($A75,Backlog!$A$2:$A$180,0)))</t>
  </si>
  <si>
    <t>=INDEX(Backlog!$B$2:$B$180,MATCH(A75,Backlog!$A$2:$A$180,0))</t>
  </si>
  <si>
    <t>A76</t>
  </si>
  <si>
    <t>B76</t>
  </si>
  <si>
    <t>C76</t>
  </si>
  <si>
    <t>=IF(INDEX(Backlog!$K$2:$K$180,MATCH($A76,Backlog!$A$2:$A$180,0))="","",INDEX(Backlog!$K$2:$K$180,MATCH($A76,Backlog!$A$2:$A$180,0)))</t>
  </si>
  <si>
    <t>=INDEX(Backlog!$K$2:$K$180,MATCH(A76,Backlog!$A$2:$A$180,0))</t>
  </si>
  <si>
    <t>D76</t>
  </si>
  <si>
    <t>=IF(INDEX(Backlog!$B$2:$B$180,MATCH($A76,Backlog!$A$2:$A$180,0))="","",INDEX(Backlog!$B$2:$B$180,MATCH($A76,Backlog!$A$2:$A$180,0)))</t>
  </si>
  <si>
    <t>=INDEX(Backlog!$B$2:$B$180,MATCH(A76,Backlog!$A$2:$A$180,0))</t>
  </si>
  <si>
    <t>A77</t>
  </si>
  <si>
    <t>B77</t>
  </si>
  <si>
    <t>C77</t>
  </si>
  <si>
    <t>=IF(INDEX(Backlog!$K$2:$K$180,MATCH($A77,Backlog!$A$2:$A$180,0))="","",INDEX(Backlog!$K$2:$K$180,MATCH($A77,Backlog!$A$2:$A$180,0)))</t>
  </si>
  <si>
    <t>=INDEX(Backlog!$K$2:$K$180,MATCH(A77,Backlog!$A$2:$A$180,0))</t>
  </si>
  <si>
    <t>D77</t>
  </si>
  <si>
    <t>=IF(INDEX(Backlog!$B$2:$B$180,MATCH($A77,Backlog!$A$2:$A$180,0))="","",INDEX(Backlog!$B$2:$B$180,MATCH($A77,Backlog!$A$2:$A$180,0)))</t>
  </si>
  <si>
    <t>=INDEX(Backlog!$B$2:$B$180,MATCH(A77,Backlog!$A$2:$A$180,0))</t>
  </si>
  <si>
    <t>B78</t>
  </si>
  <si>
    <t>C78</t>
  </si>
  <si>
    <t>=IF(INDEX(Backlog!$K$2:$K$180,MATCH($A78,Backlog!$A$2:$A$180,0))="","",INDEX(Backlog!$K$2:$K$180,MATCH($A78,Backlog!$A$2:$A$180,0)))</t>
  </si>
  <si>
    <t>=INDEX(Backlog!$K$2:$K$180,MATCH(A78,Backlog!$A$2:$A$180,0))</t>
  </si>
  <si>
    <t>D78</t>
  </si>
  <si>
    <t>=IF(INDEX(Backlog!$B$2:$B$180,MATCH($A78,Backlog!$A$2:$A$180,0))="","",INDEX(Backlog!$B$2:$B$180,MATCH($A78,Backlog!$A$2:$A$180,0)))</t>
  </si>
  <si>
    <t>=INDEX(Backlog!$B$2:$B$180,MATCH(A78,Backlog!$A$2:$A$180,0))</t>
  </si>
  <si>
    <t>B79</t>
  </si>
  <si>
    <t>C79</t>
  </si>
  <si>
    <t>=IF(INDEX(Backlog!$K$2:$K$180,MATCH($A79,Backlog!$A$2:$A$180,0))="","",INDEX(Backlog!$K$2:$K$180,MATCH($A79,Backlog!$A$2:$A$180,0)))</t>
  </si>
  <si>
    <t>=INDEX(Backlog!$K$2:$K$180,MATCH(A79,Backlog!$A$2:$A$180,0))</t>
  </si>
  <si>
    <t>D79</t>
  </si>
  <si>
    <t>=IF(INDEX(Backlog!$B$2:$B$180,MATCH($A79,Backlog!$A$2:$A$180,0))="","",INDEX(Backlog!$B$2:$B$180,MATCH($A79,Backlog!$A$2:$A$180,0)))</t>
  </si>
  <si>
    <t>=INDEX(Backlog!$B$2:$B$180,MATCH(A79,Backlog!$A$2:$A$180,0))</t>
  </si>
  <si>
    <t>B80</t>
  </si>
  <si>
    <t>C80</t>
  </si>
  <si>
    <t>=IF(INDEX(Backlog!$K$2:$K$180,MATCH($A80,Backlog!$A$2:$A$180,0))="","",INDEX(Backlog!$K$2:$K$180,MATCH($A80,Backlog!$A$2:$A$180,0)))</t>
  </si>
  <si>
    <t>=INDEX(Backlog!$K$2:$K$180,MATCH(A80,Backlog!$A$2:$A$180,0))</t>
  </si>
  <si>
    <t>D80</t>
  </si>
  <si>
    <t>=IF(INDEX(Backlog!$B$2:$B$180,MATCH($A80,Backlog!$A$2:$A$180,0))="","",INDEX(Backlog!$B$2:$B$180,MATCH($A80,Backlog!$A$2:$A$180,0)))</t>
  </si>
  <si>
    <t>=INDEX(Backlog!$B$2:$B$180,MATCH(A80,Backlog!$A$2:$A$180,0))</t>
  </si>
  <si>
    <t>B81</t>
  </si>
  <si>
    <t>C81</t>
  </si>
  <si>
    <t>=IF(INDEX(Backlog!$K$2:$K$180,MATCH($A81,Backlog!$A$2:$A$180,0))="","",INDEX(Backlog!$K$2:$K$180,MATCH($A81,Backlog!$A$2:$A$180,0)))</t>
  </si>
  <si>
    <t>=INDEX(Backlog!$K$2:$K$180,MATCH(A81,Backlog!$A$2:$A$180,0))</t>
  </si>
  <si>
    <t>D81</t>
  </si>
  <si>
    <t>=IF(INDEX(Backlog!$B$2:$B$180,MATCH($A81,Backlog!$A$2:$A$180,0))="","",INDEX(Backlog!$B$2:$B$180,MATCH($A81,Backlog!$A$2:$A$180,0)))</t>
  </si>
  <si>
    <t>=INDEX(Backlog!$B$2:$B$180,MATCH(A81,Backlog!$A$2:$A$180,0))</t>
  </si>
  <si>
    <t>B82</t>
  </si>
  <si>
    <t>C82</t>
  </si>
  <si>
    <t>=IF(INDEX(Backlog!$K$2:$K$180,MATCH($A82,Backlog!$A$2:$A$180,0))="","",INDEX(Backlog!$K$2:$K$180,MATCH($A82,Backlog!$A$2:$A$180,0)))</t>
  </si>
  <si>
    <t>=INDEX(Backlog!$K$2:$K$180,MATCH(A82,Backlog!$A$2:$A$180,0))</t>
  </si>
  <si>
    <t>D82</t>
  </si>
  <si>
    <t>=IF(INDEX(Backlog!$B$2:$B$180,MATCH($A82,Backlog!$A$2:$A$180,0))="","",INDEX(Backlog!$B$2:$B$180,MATCH($A82,Backlog!$A$2:$A$180,0)))</t>
  </si>
  <si>
    <t>=INDEX(Backlog!$B$2:$B$180,MATCH(A82,Backlog!$A$2:$A$180,0))</t>
  </si>
  <si>
    <t>B83</t>
  </si>
  <si>
    <t>C83</t>
  </si>
  <si>
    <t>=IF(INDEX(Backlog!$K$2:$K$180,MATCH($A83,Backlog!$A$2:$A$180,0))="","",INDEX(Backlog!$K$2:$K$180,MATCH($A83,Backlog!$A$2:$A$180,0)))</t>
  </si>
  <si>
    <t>=INDEX(Backlog!$K$2:$K$180,MATCH(A83,Backlog!$A$2:$A$180,0))</t>
  </si>
  <si>
    <t>D83</t>
  </si>
  <si>
    <t>=IF(INDEX(Backlog!$B$2:$B$180,MATCH($A83,Backlog!$A$2:$A$180,0))="","",INDEX(Backlog!$B$2:$B$180,MATCH($A83,Backlog!$A$2:$A$180,0)))</t>
  </si>
  <si>
    <t>=INDEX(Backlog!$B$2:$B$180,MATCH(A83,Backlog!$A$2:$A$180,0))</t>
  </si>
  <si>
    <t>A84</t>
  </si>
  <si>
    <t>B84</t>
  </si>
  <si>
    <t>C84</t>
  </si>
  <si>
    <t>=IF(INDEX(Backlog!$K$2:$K$180,MATCH($A84,Backlog!$A$2:$A$180,0))="","",INDEX(Backlog!$K$2:$K$180,MATCH($A84,Backlog!$A$2:$A$180,0)))</t>
  </si>
  <si>
    <t>=INDEX(Backlog!$K$2:$K$180,MATCH(A84,Backlog!$A$2:$A$180,0))</t>
  </si>
  <si>
    <t>D84</t>
  </si>
  <si>
    <t>=IF(INDEX(Backlog!$B$2:$B$180,MATCH($A84,Backlog!$A$2:$A$180,0))="","",INDEX(Backlog!$B$2:$B$180,MATCH($A84,Backlog!$A$2:$A$180,0)))</t>
  </si>
  <si>
    <t>=INDEX(Backlog!$B$2:$B$180,MATCH(A84,Backlog!$A$2:$A$180,0))</t>
  </si>
  <si>
    <t>B85</t>
  </si>
  <si>
    <t>C85</t>
  </si>
  <si>
    <t>=IF(INDEX(Backlog!$K$2:$K$180,MATCH($A85,Backlog!$A$2:$A$180,0))="","",INDEX(Backlog!$K$2:$K$180,MATCH($A85,Backlog!$A$2:$A$180,0)))</t>
  </si>
  <si>
    <t>=INDEX(Backlog!$K$2:$K$180,MATCH(A85,Backlog!$A$2:$A$180,0))</t>
  </si>
  <si>
    <t>D85</t>
  </si>
  <si>
    <t>=IF(INDEX(Backlog!$B$2:$B$180,MATCH($A85,Backlog!$A$2:$A$180,0))="","",INDEX(Backlog!$B$2:$B$180,MATCH($A85,Backlog!$A$2:$A$180,0)))</t>
  </si>
  <si>
    <t>=INDEX(Backlog!$B$2:$B$180,MATCH(A85,Backlog!$A$2:$A$180,0))</t>
  </si>
  <si>
    <t>A86</t>
  </si>
  <si>
    <t>B86</t>
  </si>
  <si>
    <t>C86</t>
  </si>
  <si>
    <t>=IF(INDEX(Backlog!$K$2:$K$180,MATCH($A86,Backlog!$A$2:$A$180,0))="","",INDEX(Backlog!$K$2:$K$180,MATCH($A86,Backlog!$A$2:$A$180,0)))</t>
  </si>
  <si>
    <t>=INDEX(Backlog!$K$2:$K$180,MATCH(A86,Backlog!$A$2:$A$180,0))</t>
  </si>
  <si>
    <t>D86</t>
  </si>
  <si>
    <t>=IF(INDEX(Backlog!$B$2:$B$180,MATCH($A86,Backlog!$A$2:$A$180,0))="","",INDEX(Backlog!$B$2:$B$180,MATCH($A86,Backlog!$A$2:$A$180,0)))</t>
  </si>
  <si>
    <t>=INDEX(Backlog!$B$2:$B$180,MATCH(A86,Backlog!$A$2:$A$180,0))</t>
  </si>
  <si>
    <t>A87</t>
  </si>
  <si>
    <t>B87</t>
  </si>
  <si>
    <t>C87</t>
  </si>
  <si>
    <t>=IF(INDEX(Backlog!$K$2:$K$180,MATCH($A87,Backlog!$A$2:$A$180,0))="","",INDEX(Backlog!$K$2:$K$180,MATCH($A87,Backlog!$A$2:$A$180,0)))</t>
  </si>
  <si>
    <t>=INDEX(Backlog!$K$2:$K$180,MATCH(A87,Backlog!$A$2:$A$180,0))</t>
  </si>
  <si>
    <t>D87</t>
  </si>
  <si>
    <t>=IF(INDEX(Backlog!$B$2:$B$180,MATCH($A87,Backlog!$A$2:$A$180,0))="","",INDEX(Backlog!$B$2:$B$180,MATCH($A87,Backlog!$A$2:$A$180,0)))</t>
  </si>
  <si>
    <t>=INDEX(Backlog!$B$2:$B$180,MATCH(A87,Backlog!$A$2:$A$180,0))</t>
  </si>
  <si>
    <t>B88</t>
  </si>
  <si>
    <t>C88</t>
  </si>
  <si>
    <t>=IF(INDEX(Backlog!$K$2:$K$180,MATCH($A88,Backlog!$A$2:$A$180,0))="","",INDEX(Backlog!$K$2:$K$180,MATCH($A88,Backlog!$A$2:$A$180,0)))</t>
  </si>
  <si>
    <t>=INDEX(Backlog!$K$2:$K$180,MATCH(A88,Backlog!$A$2:$A$180,0))</t>
  </si>
  <si>
    <t>D88</t>
  </si>
  <si>
    <t>=IF(INDEX(Backlog!$B$2:$B$180,MATCH($A88,Backlog!$A$2:$A$180,0))="","",INDEX(Backlog!$B$2:$B$180,MATCH($A88,Backlog!$A$2:$A$180,0)))</t>
  </si>
  <si>
    <t>=INDEX(Backlog!$B$2:$B$180,MATCH(A88,Backlog!$A$2:$A$180,0))</t>
  </si>
  <si>
    <t>A89</t>
  </si>
  <si>
    <t>B89</t>
  </si>
  <si>
    <t>C89</t>
  </si>
  <si>
    <t>=IF(INDEX(Backlog!$K$2:$K$180,MATCH($A89,Backlog!$A$2:$A$180,0))="","",INDEX(Backlog!$K$2:$K$180,MATCH($A89,Backlog!$A$2:$A$180,0)))</t>
  </si>
  <si>
    <t>=INDEX(Backlog!$K$2:$K$180,MATCH(A89,Backlog!$A$2:$A$180,0))</t>
  </si>
  <si>
    <t>D89</t>
  </si>
  <si>
    <t>=IF(INDEX(Backlog!$B$2:$B$180,MATCH($A89,Backlog!$A$2:$A$180,0))="","",INDEX(Backlog!$B$2:$B$180,MATCH($A89,Backlog!$A$2:$A$180,0)))</t>
  </si>
  <si>
    <t>=INDEX(Backlog!$B$2:$B$180,MATCH(A89,Backlog!$A$2:$A$180,0))</t>
  </si>
  <si>
    <t>A90</t>
  </si>
  <si>
    <t>B90</t>
  </si>
  <si>
    <t>C90</t>
  </si>
  <si>
    <t>=IF(INDEX(Backlog!$K$2:$K$180,MATCH($A90,Backlog!$A$2:$A$180,0))="","",INDEX(Backlog!$K$2:$K$180,MATCH($A90,Backlog!$A$2:$A$180,0)))</t>
  </si>
  <si>
    <t>=INDEX(Backlog!$K$2:$K$180,MATCH(A90,Backlog!$A$2:$A$180,0))</t>
  </si>
  <si>
    <t>D90</t>
  </si>
  <si>
    <t>=IF(INDEX(Backlog!$B$2:$B$180,MATCH($A90,Backlog!$A$2:$A$180,0))="","",INDEX(Backlog!$B$2:$B$180,MATCH($A90,Backlog!$A$2:$A$180,0)))</t>
  </si>
  <si>
    <t>=INDEX(Backlog!$B$2:$B$180,MATCH(A90,Backlog!$A$2:$A$180,0))</t>
  </si>
  <si>
    <t>A91</t>
  </si>
  <si>
    <t>B91</t>
  </si>
  <si>
    <t>C91</t>
  </si>
  <si>
    <t>=IF(INDEX(Backlog!$K$2:$K$180,MATCH($A91,Backlog!$A$2:$A$180,0))="","",INDEX(Backlog!$K$2:$K$180,MATCH($A91,Backlog!$A$2:$A$180,0)))</t>
  </si>
  <si>
    <t>=INDEX(Backlog!$K$2:$K$180,MATCH(A91,Backlog!$A$2:$A$180,0))</t>
  </si>
  <si>
    <t>D91</t>
  </si>
  <si>
    <t>=IF(INDEX(Backlog!$B$2:$B$180,MATCH($A91,Backlog!$A$2:$A$180,0))="","",INDEX(Backlog!$B$2:$B$180,MATCH($A91,Backlog!$A$2:$A$180,0)))</t>
  </si>
  <si>
    <t>=INDEX(Backlog!$B$2:$B$180,MATCH(A91,Backlog!$A$2:$A$180,0))</t>
  </si>
  <si>
    <t>A92</t>
  </si>
  <si>
    <t>B92</t>
  </si>
  <si>
    <t>C92</t>
  </si>
  <si>
    <t>=IF(INDEX(Backlog!$K$2:$K$180,MATCH($A92,Backlog!$A$2:$A$180,0))="","",INDEX(Backlog!$K$2:$K$180,MATCH($A92,Backlog!$A$2:$A$180,0)))</t>
  </si>
  <si>
    <t>=INDEX(Backlog!$K$2:$K$180,MATCH(A92,Backlog!$A$2:$A$180,0))</t>
  </si>
  <si>
    <t>D92</t>
  </si>
  <si>
    <t>=IF(INDEX(Backlog!$B$2:$B$180,MATCH($A92,Backlog!$A$2:$A$180,0))="","",INDEX(Backlog!$B$2:$B$180,MATCH($A92,Backlog!$A$2:$A$180,0)))</t>
  </si>
  <si>
    <t>=INDEX(Backlog!$B$2:$B$180,MATCH(A92,Backlog!$A$2:$A$180,0))</t>
  </si>
  <si>
    <t>B93</t>
  </si>
  <si>
    <t>C93</t>
  </si>
  <si>
    <t>=IF(INDEX(Backlog!$K$2:$K$180,MATCH($A93,Backlog!$A$2:$A$180,0))="","",INDEX(Backlog!$K$2:$K$180,MATCH($A93,Backlog!$A$2:$A$180,0)))</t>
  </si>
  <si>
    <t>=INDEX(Backlog!$K$2:$K$180,MATCH(A93,Backlog!$A$2:$A$180,0))</t>
  </si>
  <si>
    <t>D93</t>
  </si>
  <si>
    <t>=IF(INDEX(Backlog!$B$2:$B$180,MATCH($A93,Backlog!$A$2:$A$180,0))="","",INDEX(Backlog!$B$2:$B$180,MATCH($A93,Backlog!$A$2:$A$180,0)))</t>
  </si>
  <si>
    <t>=INDEX(Backlog!$B$2:$B$180,MATCH(A93,Backlog!$A$2:$A$180,0))</t>
  </si>
  <si>
    <t>B94</t>
  </si>
  <si>
    <t>C94</t>
  </si>
  <si>
    <t>=IF(INDEX(Backlog!$K$2:$K$180,MATCH($A94,Backlog!$A$2:$A$180,0))="","",INDEX(Backlog!$K$2:$K$180,MATCH($A94,Backlog!$A$2:$A$180,0)))</t>
  </si>
  <si>
    <t>=INDEX(Backlog!$K$2:$K$180,MATCH(A94,Backlog!$A$2:$A$180,0))</t>
  </si>
  <si>
    <t>D94</t>
  </si>
  <si>
    <t>=IF(INDEX(Backlog!$B$2:$B$180,MATCH($A94,Backlog!$A$2:$A$180,0))="","",INDEX(Backlog!$B$2:$B$180,MATCH($A94,Backlog!$A$2:$A$180,0)))</t>
  </si>
  <si>
    <t>=INDEX(Backlog!$B$2:$B$180,MATCH(A94,Backlog!$A$2:$A$180,0))</t>
  </si>
  <si>
    <t>A95</t>
  </si>
  <si>
    <t>B95</t>
  </si>
  <si>
    <t>C95</t>
  </si>
  <si>
    <t>=IF(INDEX(Backlog!$K$2:$K$180,MATCH($A95,Backlog!$A$2:$A$180,0))="","",INDEX(Backlog!$K$2:$K$180,MATCH($A95,Backlog!$A$2:$A$180,0)))</t>
  </si>
  <si>
    <t>=INDEX(Backlog!$K$2:$K$180,MATCH(A95,Backlog!$A$2:$A$180,0))</t>
  </si>
  <si>
    <t>D95</t>
  </si>
  <si>
    <t>=IF(INDEX(Backlog!$B$2:$B$180,MATCH($A95,Backlog!$A$2:$A$180,0))="","",INDEX(Backlog!$B$2:$B$180,MATCH($A95,Backlog!$A$2:$A$180,0)))</t>
  </si>
  <si>
    <t>=INDEX(Backlog!$B$2:$B$180,MATCH(A95,Backlog!$A$2:$A$180,0))</t>
  </si>
  <si>
    <t>A96</t>
  </si>
  <si>
    <t>B96</t>
  </si>
  <si>
    <t>C96</t>
  </si>
  <si>
    <t>=IF(INDEX(Backlog!$K$2:$K$180,MATCH($A96,Backlog!$A$2:$A$180,0))="","",INDEX(Backlog!$K$2:$K$180,MATCH($A96,Backlog!$A$2:$A$180,0)))</t>
  </si>
  <si>
    <t>=INDEX(Backlog!$K$2:$K$180,MATCH(A96,Backlog!$A$2:$A$180,0))</t>
  </si>
  <si>
    <t>D96</t>
  </si>
  <si>
    <t>=IF(INDEX(Backlog!$B$2:$B$180,MATCH($A96,Backlog!$A$2:$A$180,0))="","",INDEX(Backlog!$B$2:$B$180,MATCH($A96,Backlog!$A$2:$A$180,0)))</t>
  </si>
  <si>
    <t>=INDEX(Backlog!$B$2:$B$180,MATCH(A96,Backlog!$A$2:$A$180,0))</t>
  </si>
  <si>
    <t>B97</t>
  </si>
  <si>
    <t>C97</t>
  </si>
  <si>
    <t>=IF(INDEX(Backlog!$K$2:$K$180,MATCH($A97,Backlog!$A$2:$A$180,0))="","",INDEX(Backlog!$K$2:$K$180,MATCH($A97,Backlog!$A$2:$A$180,0)))</t>
  </si>
  <si>
    <t>=INDEX(Backlog!$K$2:$K$180,MATCH(A97,Backlog!$A$2:$A$180,0))</t>
  </si>
  <si>
    <t>D97</t>
  </si>
  <si>
    <t>=IF(INDEX(Backlog!$B$2:$B$180,MATCH($A97,Backlog!$A$2:$A$180,0))="","",INDEX(Backlog!$B$2:$B$180,MATCH($A97,Backlog!$A$2:$A$180,0)))</t>
  </si>
  <si>
    <t>=INDEX(Backlog!$B$2:$B$180,MATCH(A97,Backlog!$A$2:$A$180,0))</t>
  </si>
  <si>
    <t>A98</t>
  </si>
  <si>
    <t>B98</t>
  </si>
  <si>
    <t>C98</t>
  </si>
  <si>
    <t>=IF(INDEX(Backlog!$K$2:$K$180,MATCH($A98,Backlog!$A$2:$A$180,0))="","",INDEX(Backlog!$K$2:$K$180,MATCH($A98,Backlog!$A$2:$A$180,0)))</t>
  </si>
  <si>
    <t>=INDEX(Backlog!$K$2:$K$180,MATCH(A98,Backlog!$A$2:$A$180,0))</t>
  </si>
  <si>
    <t>D98</t>
  </si>
  <si>
    <t>=IF(INDEX(Backlog!$B$2:$B$180,MATCH($A98,Backlog!$A$2:$A$180,0))="","",INDEX(Backlog!$B$2:$B$180,MATCH($A98,Backlog!$A$2:$A$180,0)))</t>
  </si>
  <si>
    <t>=INDEX(Backlog!$B$2:$B$180,MATCH(A98,Backlog!$A$2:$A$180,0))</t>
  </si>
  <si>
    <t>A99</t>
  </si>
  <si>
    <t>B99</t>
  </si>
  <si>
    <t>C99</t>
  </si>
  <si>
    <t>=IF(INDEX(Backlog!$K$2:$K$180,MATCH($A99,Backlog!$A$2:$A$180,0))="","",INDEX(Backlog!$K$2:$K$180,MATCH($A99,Backlog!$A$2:$A$180,0)))</t>
  </si>
  <si>
    <t>=INDEX(Backlog!$K$2:$K$180,MATCH(A99,Backlog!$A$2:$A$180,0))</t>
  </si>
  <si>
    <t>D99</t>
  </si>
  <si>
    <t>=IF(INDEX(Backlog!$B$2:$B$180,MATCH($A99,Backlog!$A$2:$A$180,0))="","",INDEX(Backlog!$B$2:$B$180,MATCH($A99,Backlog!$A$2:$A$180,0)))</t>
  </si>
  <si>
    <t>=INDEX(Backlog!$B$2:$B$180,MATCH(A99,Backlog!$A$2:$A$180,0))</t>
  </si>
  <si>
    <t>A100</t>
  </si>
  <si>
    <t>B100</t>
  </si>
  <si>
    <t>C100</t>
  </si>
  <si>
    <t>=IF(INDEX(Backlog!$K$2:$K$180,MATCH($A100,Backlog!$A$2:$A$180,0))="","",INDEX(Backlog!$K$2:$K$180,MATCH($A100,Backlog!$A$2:$A$180,0)))</t>
  </si>
  <si>
    <t>=INDEX(Backlog!$K$2:$K$180,MATCH(A100,Backlog!$A$2:$A$180,0))</t>
  </si>
  <si>
    <t>D100</t>
  </si>
  <si>
    <t>=IF(INDEX(Backlog!$B$2:$B$180,MATCH($A100,Backlog!$A$2:$A$180,0))="","",INDEX(Backlog!$B$2:$B$180,MATCH($A100,Backlog!$A$2:$A$180,0)))</t>
  </si>
  <si>
    <t>=INDEX(Backlog!$B$2:$B$180,MATCH(A100,Backlog!$A$2:$A$180,0))</t>
  </si>
  <si>
    <t>A101</t>
  </si>
  <si>
    <t>B101</t>
  </si>
  <si>
    <t>C101</t>
  </si>
  <si>
    <t>=IF(INDEX(Backlog!$K$2:$K$180,MATCH($A101,Backlog!$A$2:$A$180,0))="","",INDEX(Backlog!$K$2:$K$180,MATCH($A101,Backlog!$A$2:$A$180,0)))</t>
  </si>
  <si>
    <t>=INDEX(Backlog!$K$2:$K$180,MATCH(A101,Backlog!$A$2:$A$180,0))</t>
  </si>
  <si>
    <t>D101</t>
  </si>
  <si>
    <t>=IF(INDEX(Backlog!$B$2:$B$180,MATCH($A101,Backlog!$A$2:$A$180,0))="","",INDEX(Backlog!$B$2:$B$180,MATCH($A101,Backlog!$A$2:$A$180,0)))</t>
  </si>
  <si>
    <t>=INDEX(Backlog!$B$2:$B$180,MATCH(A101,Backlog!$A$2:$A$180,0))</t>
  </si>
  <si>
    <t>B102</t>
  </si>
  <si>
    <t>C102</t>
  </si>
  <si>
    <t>=IF(INDEX(Backlog!$K$2:$K$180,MATCH($A102,Backlog!$A$2:$A$180,0))="","",INDEX(Backlog!$K$2:$K$180,MATCH($A102,Backlog!$A$2:$A$180,0)))</t>
  </si>
  <si>
    <t>=INDEX(Backlog!$K$2:$K$180,MATCH(A102,Backlog!$A$2:$A$180,0))</t>
  </si>
  <si>
    <t>D102</t>
  </si>
  <si>
    <t>=IF(INDEX(Backlog!$B$2:$B$180,MATCH($A102,Backlog!$A$2:$A$180,0))="","",INDEX(Backlog!$B$2:$B$180,MATCH($A102,Backlog!$A$2:$A$180,0)))</t>
  </si>
  <si>
    <t>=INDEX(Backlog!$B$2:$B$180,MATCH(A102,Backlog!$A$2:$A$180,0))</t>
  </si>
  <si>
    <t>A103</t>
  </si>
  <si>
    <t>B103</t>
  </si>
  <si>
    <t>C103</t>
  </si>
  <si>
    <t>=IF(INDEX(Backlog!$K$2:$K$180,MATCH($A103,Backlog!$A$2:$A$180,0))="","",INDEX(Backlog!$K$2:$K$180,MATCH($A103,Backlog!$A$2:$A$180,0)))</t>
  </si>
  <si>
    <t>=INDEX(Backlog!$K$2:$K$180,MATCH(A103,Backlog!$A$2:$A$180,0))</t>
  </si>
  <si>
    <t>D103</t>
  </si>
  <si>
    <t>=IF(INDEX(Backlog!$B$2:$B$180,MATCH($A103,Backlog!$A$2:$A$180,0))="","",INDEX(Backlog!$B$2:$B$180,MATCH($A103,Backlog!$A$2:$A$180,0)))</t>
  </si>
  <si>
    <t>=INDEX(Backlog!$B$2:$B$180,MATCH(A103,Backlog!$A$2:$A$180,0))</t>
  </si>
  <si>
    <t>B104</t>
  </si>
  <si>
    <t>C104</t>
  </si>
  <si>
    <t>=IF(INDEX(Backlog!$K$2:$K$180,MATCH($A104,Backlog!$A$2:$A$180,0))="","",INDEX(Backlog!$K$2:$K$180,MATCH($A104,Backlog!$A$2:$A$180,0)))</t>
  </si>
  <si>
    <t>=INDEX(Backlog!$K$2:$K$180,MATCH(A104,Backlog!$A$2:$A$180,0))</t>
  </si>
  <si>
    <t>D104</t>
  </si>
  <si>
    <t>=IF(INDEX(Backlog!$B$2:$B$180,MATCH($A104,Backlog!$A$2:$A$180,0))="","",INDEX(Backlog!$B$2:$B$180,MATCH($A104,Backlog!$A$2:$A$180,0)))</t>
  </si>
  <si>
    <t>=INDEX(Backlog!$B$2:$B$180,MATCH(A104,Backlog!$A$2:$A$180,0))</t>
  </si>
  <si>
    <t>A105</t>
  </si>
  <si>
    <t>B105</t>
  </si>
  <si>
    <t>C105</t>
  </si>
  <si>
    <t>=IF(INDEX(Backlog!$K$2:$K$180,MATCH($A105,Backlog!$A$2:$A$180,0))="","",INDEX(Backlog!$K$2:$K$180,MATCH($A105,Backlog!$A$2:$A$180,0)))</t>
  </si>
  <si>
    <t>=INDEX(Backlog!$K$2:$K$180,MATCH(A105,Backlog!$A$2:$A$180,0))</t>
  </si>
  <si>
    <t>D105</t>
  </si>
  <si>
    <t>=IF(INDEX(Backlog!$B$2:$B$180,MATCH($A105,Backlog!$A$2:$A$180,0))="","",INDEX(Backlog!$B$2:$B$180,MATCH($A105,Backlog!$A$2:$A$180,0)))</t>
  </si>
  <si>
    <t>=INDEX(Backlog!$B$2:$B$180,MATCH(A105,Backlog!$A$2:$A$180,0))</t>
  </si>
  <si>
    <t>A106</t>
  </si>
  <si>
    <t>B106</t>
  </si>
  <si>
    <t>C106</t>
  </si>
  <si>
    <t>=IF(INDEX(Backlog!$K$2:$K$180,MATCH($A106,Backlog!$A$2:$A$180,0))="","",INDEX(Backlog!$K$2:$K$180,MATCH($A106,Backlog!$A$2:$A$180,0)))</t>
  </si>
  <si>
    <t>=INDEX(Backlog!$K$2:$K$180,MATCH(A106,Backlog!$A$2:$A$180,0))</t>
  </si>
  <si>
    <t>D106</t>
  </si>
  <si>
    <t>=IF(INDEX(Backlog!$B$2:$B$180,MATCH($A106,Backlog!$A$2:$A$180,0))="","",INDEX(Backlog!$B$2:$B$180,MATCH($A106,Backlog!$A$2:$A$180,0)))</t>
  </si>
  <si>
    <t>=INDEX(Backlog!$B$2:$B$180,MATCH(A106,Backlog!$A$2:$A$180,0))</t>
  </si>
  <si>
    <t>B107</t>
  </si>
  <si>
    <t>C107</t>
  </si>
  <si>
    <t>=IF(INDEX(Backlog!$K$2:$K$180,MATCH($A107,Backlog!$A$2:$A$180,0))="","",INDEX(Backlog!$K$2:$K$180,MATCH($A107,Backlog!$A$2:$A$180,0)))</t>
  </si>
  <si>
    <t>=INDEX(Backlog!$K$2:$K$180,MATCH(A107,Backlog!$A$2:$A$180,0))</t>
  </si>
  <si>
    <t>D107</t>
  </si>
  <si>
    <t>=IF(INDEX(Backlog!$B$2:$B$180,MATCH($A107,Backlog!$A$2:$A$180,0))="","",INDEX(Backlog!$B$2:$B$180,MATCH($A107,Backlog!$A$2:$A$180,0)))</t>
  </si>
  <si>
    <t>=INDEX(Backlog!$B$2:$B$180,MATCH(A107,Backlog!$A$2:$A$180,0))</t>
  </si>
  <si>
    <t>A108</t>
  </si>
  <si>
    <t>B108</t>
  </si>
  <si>
    <t>C108</t>
  </si>
  <si>
    <t>=IF(INDEX(Backlog!$K$2:$K$180,MATCH($A108,Backlog!$A$2:$A$180,0))="","",INDEX(Backlog!$K$2:$K$180,MATCH($A108,Backlog!$A$2:$A$180,0)))</t>
  </si>
  <si>
    <t>=INDEX(Backlog!$K$2:$K$180,MATCH(A108,Backlog!$A$2:$A$180,0))</t>
  </si>
  <si>
    <t>D108</t>
  </si>
  <si>
    <t>=IF(INDEX(Backlog!$B$2:$B$180,MATCH($A108,Backlog!$A$2:$A$180,0))="","",INDEX(Backlog!$B$2:$B$180,MATCH($A108,Backlog!$A$2:$A$180,0)))</t>
  </si>
  <si>
    <t>=INDEX(Backlog!$B$2:$B$180,MATCH(A108,Backlog!$A$2:$A$180,0))</t>
  </si>
  <si>
    <t>B109</t>
  </si>
  <si>
    <t>C109</t>
  </si>
  <si>
    <t>=IF(INDEX(Backlog!$K$2:$K$180,MATCH($A109,Backlog!$A$2:$A$180,0))="","",INDEX(Backlog!$K$2:$K$180,MATCH($A109,Backlog!$A$2:$A$180,0)))</t>
  </si>
  <si>
    <t>=INDEX(Backlog!$K$2:$K$180,MATCH(A109,Backlog!$A$2:$A$180,0))</t>
  </si>
  <si>
    <t>D109</t>
  </si>
  <si>
    <t>=IF(INDEX(Backlog!$B$2:$B$180,MATCH($A109,Backlog!$A$2:$A$180,0))="","",INDEX(Backlog!$B$2:$B$180,MATCH($A109,Backlog!$A$2:$A$180,0)))</t>
  </si>
  <si>
    <t>=INDEX(Backlog!$B$2:$B$180,MATCH(A109,Backlog!$A$2:$A$180,0))</t>
  </si>
  <si>
    <t>B110</t>
  </si>
  <si>
    <t>C110</t>
  </si>
  <si>
    <t>=IF(INDEX(Backlog!$K$2:$K$180,MATCH($A110,Backlog!$A$2:$A$180,0))="","",INDEX(Backlog!$K$2:$K$180,MATCH($A110,Backlog!$A$2:$A$180,0)))</t>
  </si>
  <si>
    <t>=INDEX(Backlog!$K$2:$K$180,MATCH(A110,Backlog!$A$2:$A$180,0))</t>
  </si>
  <si>
    <t>D110</t>
  </si>
  <si>
    <t>=IF(INDEX(Backlog!$B$2:$B$180,MATCH($A110,Backlog!$A$2:$A$180,0))="","",INDEX(Backlog!$B$2:$B$180,MATCH($A110,Backlog!$A$2:$A$180,0)))</t>
  </si>
  <si>
    <t>=INDEX(Backlog!$B$2:$B$180,MATCH(A110,Backlog!$A$2:$A$180,0))</t>
  </si>
  <si>
    <t>A111</t>
  </si>
  <si>
    <t>B111</t>
  </si>
  <si>
    <t>C111</t>
  </si>
  <si>
    <t>=IF(INDEX(Backlog!$K$2:$K$180,MATCH($A111,Backlog!$A$2:$A$180,0))="","",INDEX(Backlog!$K$2:$K$180,MATCH($A111,Backlog!$A$2:$A$180,0)))</t>
  </si>
  <si>
    <t>=INDEX(Backlog!$K$2:$K$180,MATCH(A111,Backlog!$A$2:$A$180,0))</t>
  </si>
  <si>
    <t>D111</t>
  </si>
  <si>
    <t>=IF(INDEX(Backlog!$B$2:$B$180,MATCH($A111,Backlog!$A$2:$A$180,0))="","",INDEX(Backlog!$B$2:$B$180,MATCH($A111,Backlog!$A$2:$A$180,0)))</t>
  </si>
  <si>
    <t>=INDEX(Backlog!$B$2:$B$180,MATCH(A111,Backlog!$A$2:$A$180,0))</t>
  </si>
  <si>
    <t>A112</t>
  </si>
  <si>
    <t>B112</t>
  </si>
  <si>
    <t>C112</t>
  </si>
  <si>
    <t>=IF(INDEX(Backlog!$K$2:$K$180,MATCH($A112,Backlog!$A$2:$A$180,0))="","",INDEX(Backlog!$K$2:$K$180,MATCH($A112,Backlog!$A$2:$A$180,0)))</t>
  </si>
  <si>
    <t>=INDEX(Backlog!$K$2:$K$180,MATCH(A112,Backlog!$A$2:$A$180,0))</t>
  </si>
  <si>
    <t>D112</t>
  </si>
  <si>
    <t>=IF(INDEX(Backlog!$B$2:$B$180,MATCH($A112,Backlog!$A$2:$A$180,0))="","",INDEX(Backlog!$B$2:$B$180,MATCH($A112,Backlog!$A$2:$A$180,0)))</t>
  </si>
  <si>
    <t>=INDEX(Backlog!$B$2:$B$180,MATCH(A112,Backlog!$A$2:$A$180,0))</t>
  </si>
  <si>
    <t>A113</t>
  </si>
  <si>
    <t>B113</t>
  </si>
  <si>
    <t>C113</t>
  </si>
  <si>
    <t>=IF(INDEX(Backlog!$K$2:$K$180,MATCH($A113,Backlog!$A$2:$A$180,0))="","",INDEX(Backlog!$K$2:$K$180,MATCH($A113,Backlog!$A$2:$A$180,0)))</t>
  </si>
  <si>
    <t>=INDEX(Backlog!$K$2:$K$180,MATCH(A113,Backlog!$A$2:$A$180,0))</t>
  </si>
  <si>
    <t>D113</t>
  </si>
  <si>
    <t>=IF(INDEX(Backlog!$B$2:$B$180,MATCH($A113,Backlog!$A$2:$A$180,0))="","",INDEX(Backlog!$B$2:$B$180,MATCH($A113,Backlog!$A$2:$A$180,0)))</t>
  </si>
  <si>
    <t>=INDEX(Backlog!$B$2:$B$180,MATCH(A113,Backlog!$A$2:$A$180,0))</t>
  </si>
  <si>
    <t>A114</t>
  </si>
  <si>
    <t>B114</t>
  </si>
  <si>
    <t>C114</t>
  </si>
  <si>
    <t>=IF(INDEX(Backlog!$K$2:$K$180,MATCH($A114,Backlog!$A$2:$A$180,0))="","",INDEX(Backlog!$K$2:$K$180,MATCH($A114,Backlog!$A$2:$A$180,0)))</t>
  </si>
  <si>
    <t>=INDEX(Backlog!$K$2:$K$180,MATCH(A114,Backlog!$A$2:$A$180,0))</t>
  </si>
  <si>
    <t>D114</t>
  </si>
  <si>
    <t>=IF(INDEX(Backlog!$B$2:$B$180,MATCH($A114,Backlog!$A$2:$A$180,0))="","",INDEX(Backlog!$B$2:$B$180,MATCH($A114,Backlog!$A$2:$A$180,0)))</t>
  </si>
  <si>
    <t>=INDEX(Backlog!$B$2:$B$180,MATCH(A114,Backlog!$A$2:$A$180,0))</t>
  </si>
  <si>
    <t>B115</t>
  </si>
  <si>
    <t>C115</t>
  </si>
  <si>
    <t>=IF(INDEX(Backlog!$K$2:$K$180,MATCH($A115,Backlog!$A$2:$A$180,0))="","",INDEX(Backlog!$K$2:$K$180,MATCH($A115,Backlog!$A$2:$A$180,0)))</t>
  </si>
  <si>
    <t>=INDEX(Backlog!$K$2:$K$180,MATCH(A115,Backlog!$A$2:$A$180,0))</t>
  </si>
  <si>
    <t>D115</t>
  </si>
  <si>
    <t>=IF(INDEX(Backlog!$B$2:$B$180,MATCH($A115,Backlog!$A$2:$A$180,0))="","",INDEX(Backlog!$B$2:$B$180,MATCH($A115,Backlog!$A$2:$A$180,0)))</t>
  </si>
  <si>
    <t>=INDEX(Backlog!$B$2:$B$180,MATCH(A115,Backlog!$A$2:$A$180,0))</t>
  </si>
  <si>
    <t>A116</t>
  </si>
  <si>
    <t>B116</t>
  </si>
  <si>
    <t>C116</t>
  </si>
  <si>
    <t>=IF(INDEX(Backlog!$K$2:$K$180,MATCH($A116,Backlog!$A$2:$A$180,0))="","",INDEX(Backlog!$K$2:$K$180,MATCH($A116,Backlog!$A$2:$A$180,0)))</t>
  </si>
  <si>
    <t>=INDEX(Backlog!$K$2:$K$180,MATCH(A116,Backlog!$A$2:$A$180,0))</t>
  </si>
  <si>
    <t>D116</t>
  </si>
  <si>
    <t>=IF(INDEX(Backlog!$B$2:$B$180,MATCH($A116,Backlog!$A$2:$A$180,0))="","",INDEX(Backlog!$B$2:$B$180,MATCH($A116,Backlog!$A$2:$A$180,0)))</t>
  </si>
  <si>
    <t>=INDEX(Backlog!$B$2:$B$180,MATCH(A116,Backlog!$A$2:$A$180,0))</t>
  </si>
  <si>
    <t>B117</t>
  </si>
  <si>
    <t>C117</t>
  </si>
  <si>
    <t>=IF(INDEX(Backlog!$K$2:$K$180,MATCH($A117,Backlog!$A$2:$A$180,0))="","",INDEX(Backlog!$K$2:$K$180,MATCH($A117,Backlog!$A$2:$A$180,0)))</t>
  </si>
  <si>
    <t>=INDEX(Backlog!$K$2:$K$180,MATCH(A117,Backlog!$A$2:$A$180,0))</t>
  </si>
  <si>
    <t>D117</t>
  </si>
  <si>
    <t>=IF(INDEX(Backlog!$B$2:$B$180,MATCH($A117,Backlog!$A$2:$A$180,0))="","",INDEX(Backlog!$B$2:$B$180,MATCH($A117,Backlog!$A$2:$A$180,0)))</t>
  </si>
  <si>
    <t>=INDEX(Backlog!$B$2:$B$180,MATCH(A117,Backlog!$A$2:$A$180,0))</t>
  </si>
  <si>
    <t>A118</t>
  </si>
  <si>
    <t>B118</t>
  </si>
  <si>
    <t>C118</t>
  </si>
  <si>
    <t>=IF(INDEX(Backlog!$K$2:$K$180,MATCH($A118,Backlog!$A$2:$A$180,0))="","",INDEX(Backlog!$K$2:$K$180,MATCH($A118,Backlog!$A$2:$A$180,0)))</t>
  </si>
  <si>
    <t>=INDEX(Backlog!$K$2:$K$180,MATCH(A118,Backlog!$A$2:$A$180,0))</t>
  </si>
  <si>
    <t>D118</t>
  </si>
  <si>
    <t>=IF(INDEX(Backlog!$B$2:$B$180,MATCH($A118,Backlog!$A$2:$A$180,0))="","",INDEX(Backlog!$B$2:$B$180,MATCH($A118,Backlog!$A$2:$A$180,0)))</t>
  </si>
  <si>
    <t>=INDEX(Backlog!$B$2:$B$180,MATCH(A118,Backlog!$A$2:$A$180,0))</t>
  </si>
  <si>
    <t>A119</t>
  </si>
  <si>
    <t>B119</t>
  </si>
  <si>
    <t>C119</t>
  </si>
  <si>
    <t>=IF(INDEX(Backlog!$K$2:$K$180,MATCH($A119,Backlog!$A$2:$A$180,0))="","",INDEX(Backlog!$K$2:$K$180,MATCH($A119,Backlog!$A$2:$A$180,0)))</t>
  </si>
  <si>
    <t>=INDEX(Backlog!$K$2:$K$180,MATCH(A119,Backlog!$A$2:$A$180,0))</t>
  </si>
  <si>
    <t>D119</t>
  </si>
  <si>
    <t>=IF(INDEX(Backlog!$B$2:$B$180,MATCH($A119,Backlog!$A$2:$A$180,0))="","",INDEX(Backlog!$B$2:$B$180,MATCH($A119,Backlog!$A$2:$A$180,0)))</t>
  </si>
  <si>
    <t>=INDEX(Backlog!$B$2:$B$180,MATCH(A119,Backlog!$A$2:$A$180,0))</t>
  </si>
  <si>
    <t>B120</t>
  </si>
  <si>
    <t>C120</t>
  </si>
  <si>
    <t>=IF(INDEX(Backlog!$K$2:$K$180,MATCH($A120,Backlog!$A$2:$A$180,0))="","",INDEX(Backlog!$K$2:$K$180,MATCH($A120,Backlog!$A$2:$A$180,0)))</t>
  </si>
  <si>
    <t>=INDEX(Backlog!$K$2:$K$180,MATCH(A120,Backlog!$A$2:$A$180,0))</t>
  </si>
  <si>
    <t>D120</t>
  </si>
  <si>
    <t>=IF(INDEX(Backlog!$B$2:$B$180,MATCH($A120,Backlog!$A$2:$A$180,0))="","",INDEX(Backlog!$B$2:$B$180,MATCH($A120,Backlog!$A$2:$A$180,0)))</t>
  </si>
  <si>
    <t>=INDEX(Backlog!$B$2:$B$180,MATCH(A120,Backlog!$A$2:$A$180,0))</t>
  </si>
  <si>
    <t>B121</t>
  </si>
  <si>
    <t>C121</t>
  </si>
  <si>
    <t>=IF(INDEX(Backlog!$K$2:$K$180,MATCH($A121,Backlog!$A$2:$A$180,0))="","",INDEX(Backlog!$K$2:$K$180,MATCH($A121,Backlog!$A$2:$A$180,0)))</t>
  </si>
  <si>
    <t>=INDEX(Backlog!$K$2:$K$180,MATCH(A121,Backlog!$A$2:$A$180,0))</t>
  </si>
  <si>
    <t>D121</t>
  </si>
  <si>
    <t>=IF(INDEX(Backlog!$B$2:$B$180,MATCH($A121,Backlog!$A$2:$A$180,0))="","",INDEX(Backlog!$B$2:$B$180,MATCH($A121,Backlog!$A$2:$A$180,0)))</t>
  </si>
  <si>
    <t>=INDEX(Backlog!$B$2:$B$180,MATCH(A121,Backlog!$A$2:$A$180,0))</t>
  </si>
  <si>
    <t>B122</t>
  </si>
  <si>
    <t>C122</t>
  </si>
  <si>
    <t>=IF(INDEX(Backlog!$K$2:$K$180,MATCH($A122,Backlog!$A$2:$A$180,0))="","",INDEX(Backlog!$K$2:$K$180,MATCH($A122,Backlog!$A$2:$A$180,0)))</t>
  </si>
  <si>
    <t>=INDEX(Backlog!$K$2:$K$180,MATCH(A122,Backlog!$A$2:$A$180,0))</t>
  </si>
  <si>
    <t>D122</t>
  </si>
  <si>
    <t>=IF(INDEX(Backlog!$B$2:$B$180,MATCH($A122,Backlog!$A$2:$A$180,0))="","",INDEX(Backlog!$B$2:$B$180,MATCH($A122,Backlog!$A$2:$A$180,0)))</t>
  </si>
  <si>
    <t>=INDEX(Backlog!$B$2:$B$180,MATCH(A122,Backlog!$A$2:$A$180,0))</t>
  </si>
  <si>
    <t>B123</t>
  </si>
  <si>
    <t>C123</t>
  </si>
  <si>
    <t>=IF(INDEX(Backlog!$K$2:$K$180,MATCH($A123,Backlog!$A$2:$A$180,0))="","",INDEX(Backlog!$K$2:$K$180,MATCH($A123,Backlog!$A$2:$A$180,0)))</t>
  </si>
  <si>
    <t>=INDEX(Backlog!$K$2:$K$180,MATCH(A123,Backlog!$A$2:$A$180,0))</t>
  </si>
  <si>
    <t>D123</t>
  </si>
  <si>
    <t>=IF(INDEX(Backlog!$B$2:$B$180,MATCH($A123,Backlog!$A$2:$A$180,0))="","",INDEX(Backlog!$B$2:$B$180,MATCH($A123,Backlog!$A$2:$A$180,0)))</t>
  </si>
  <si>
    <t>=INDEX(Backlog!$B$2:$B$180,MATCH(A123,Backlog!$A$2:$A$180,0))</t>
  </si>
  <si>
    <t>B124</t>
  </si>
  <si>
    <t>C124</t>
  </si>
  <si>
    <t>=IF(INDEX(Backlog!$K$2:$K$180,MATCH($A124,Backlog!$A$2:$A$180,0))="","",INDEX(Backlog!$K$2:$K$180,MATCH($A124,Backlog!$A$2:$A$180,0)))</t>
  </si>
  <si>
    <t>=INDEX(Backlog!$K$2:$K$180,MATCH(A124,Backlog!$A$2:$A$180,0))</t>
  </si>
  <si>
    <t>D124</t>
  </si>
  <si>
    <t>=IF(INDEX(Backlog!$B$2:$B$180,MATCH($A124,Backlog!$A$2:$A$180,0))="","",INDEX(Backlog!$B$2:$B$180,MATCH($A124,Backlog!$A$2:$A$180,0)))</t>
  </si>
  <si>
    <t>=INDEX(Backlog!$B$2:$B$180,MATCH(A124,Backlog!$A$2:$A$180,0))</t>
  </si>
  <si>
    <t>B125</t>
  </si>
  <si>
    <t>C125</t>
  </si>
  <si>
    <t>=IF(INDEX(Backlog!$K$2:$K$180,MATCH($A125,Backlog!$A$2:$A$180,0))="","",INDEX(Backlog!$K$2:$K$180,MATCH($A125,Backlog!$A$2:$A$180,0)))</t>
  </si>
  <si>
    <t>=INDEX(Backlog!$K$2:$K$180,MATCH(A125,Backlog!$A$2:$A$180,0))</t>
  </si>
  <si>
    <t>D125</t>
  </si>
  <si>
    <t>=IF(INDEX(Backlog!$B$2:$B$180,MATCH($A125,Backlog!$A$2:$A$180,0))="","",INDEX(Backlog!$B$2:$B$180,MATCH($A125,Backlog!$A$2:$A$180,0)))</t>
  </si>
  <si>
    <t>=INDEX(Backlog!$B$2:$B$180,MATCH(A125,Backlog!$A$2:$A$180,0))</t>
  </si>
  <si>
    <t>B126</t>
  </si>
  <si>
    <t>C126</t>
  </si>
  <si>
    <t>=IF(INDEX(Backlog!$K$2:$K$180,MATCH($A126,Backlog!$A$2:$A$180,0))="","",INDEX(Backlog!$K$2:$K$180,MATCH($A126,Backlog!$A$2:$A$180,0)))</t>
  </si>
  <si>
    <t>=INDEX(Backlog!$K$2:$K$180,MATCH(A126,Backlog!$A$2:$A$180,0))</t>
  </si>
  <si>
    <t>D126</t>
  </si>
  <si>
    <t>=IF(INDEX(Backlog!$B$2:$B$180,MATCH($A126,Backlog!$A$2:$A$180,0))="","",INDEX(Backlog!$B$2:$B$180,MATCH($A126,Backlog!$A$2:$A$180,0)))</t>
  </si>
  <si>
    <t>=INDEX(Backlog!$B$2:$B$180,MATCH(A126,Backlog!$A$2:$A$180,0))</t>
  </si>
  <si>
    <t>B127</t>
  </si>
  <si>
    <t>C127</t>
  </si>
  <si>
    <t>=IF(INDEX(Backlog!$K$2:$K$180,MATCH($A127,Backlog!$A$2:$A$180,0))="","",INDEX(Backlog!$K$2:$K$180,MATCH($A127,Backlog!$A$2:$A$180,0)))</t>
  </si>
  <si>
    <t>=INDEX(Backlog!$K$2:$K$180,MATCH(A127,Backlog!$A$2:$A$180,0))</t>
  </si>
  <si>
    <t>D127</t>
  </si>
  <si>
    <t>=IF(INDEX(Backlog!$B$2:$B$180,MATCH($A127,Backlog!$A$2:$A$180,0))="","",INDEX(Backlog!$B$2:$B$180,MATCH($A127,Backlog!$A$2:$A$180,0)))</t>
  </si>
  <si>
    <t>=INDEX(Backlog!$B$2:$B$180,MATCH(A127,Backlog!$A$2:$A$180,0))</t>
  </si>
  <si>
    <t>B128</t>
  </si>
  <si>
    <t>C128</t>
  </si>
  <si>
    <t>=IF(INDEX(Backlog!$K$2:$K$180,MATCH($A128,Backlog!$A$2:$A$180,0))="","",INDEX(Backlog!$K$2:$K$180,MATCH($A128,Backlog!$A$2:$A$180,0)))</t>
  </si>
  <si>
    <t>=INDEX(Backlog!$K$2:$K$180,MATCH(A128,Backlog!$A$2:$A$180,0))</t>
  </si>
  <si>
    <t>D128</t>
  </si>
  <si>
    <t>=IF(INDEX(Backlog!$B$2:$B$180,MATCH($A128,Backlog!$A$2:$A$180,0))="","",INDEX(Backlog!$B$2:$B$180,MATCH($A128,Backlog!$A$2:$A$180,0)))</t>
  </si>
  <si>
    <t>=INDEX(Backlog!$B$2:$B$180,MATCH(A128,Backlog!$A$2:$A$180,0))</t>
  </si>
  <si>
    <t>B129</t>
  </si>
  <si>
    <t>C129</t>
  </si>
  <si>
    <t>=IF(INDEX(Backlog!$K$2:$K$180,MATCH($A129,Backlog!$A$2:$A$180,0))="","",INDEX(Backlog!$K$2:$K$180,MATCH($A129,Backlog!$A$2:$A$180,0)))</t>
  </si>
  <si>
    <t>=INDEX(Backlog!$K$2:$K$180,MATCH(A129,Backlog!$A$2:$A$180,0))</t>
  </si>
  <si>
    <t>D129</t>
  </si>
  <si>
    <t>=IF(INDEX(Backlog!$B$2:$B$180,MATCH($A129,Backlog!$A$2:$A$180,0))="","",INDEX(Backlog!$B$2:$B$180,MATCH($A129,Backlog!$A$2:$A$180,0)))</t>
  </si>
  <si>
    <t>=INDEX(Backlog!$B$2:$B$180,MATCH(A129,Backlog!$A$2:$A$180,0))</t>
  </si>
  <si>
    <t>B130</t>
  </si>
  <si>
    <t>C130</t>
  </si>
  <si>
    <t>=IF(INDEX(Backlog!$K$2:$K$180,MATCH($A130,Backlog!$A$2:$A$180,0))="","",INDEX(Backlog!$K$2:$K$180,MATCH($A130,Backlog!$A$2:$A$180,0)))</t>
  </si>
  <si>
    <t>=INDEX(Backlog!$K$2:$K$180,MATCH(A130,Backlog!$A$2:$A$180,0))</t>
  </si>
  <si>
    <t>D130</t>
  </si>
  <si>
    <t>=IF(INDEX(Backlog!$B$2:$B$180,MATCH($A130,Backlog!$A$2:$A$180,0))="","",INDEX(Backlog!$B$2:$B$180,MATCH($A130,Backlog!$A$2:$A$180,0)))</t>
  </si>
  <si>
    <t>=INDEX(Backlog!$B$2:$B$180,MATCH(A130,Backlog!$A$2:$A$180,0))</t>
  </si>
  <si>
    <t>B131</t>
  </si>
  <si>
    <t>C131</t>
  </si>
  <si>
    <t>=IF(INDEX(Backlog!$K$2:$K$180,MATCH($A131,Backlog!$A$2:$A$180,0))="","",INDEX(Backlog!$K$2:$K$180,MATCH($A131,Backlog!$A$2:$A$180,0)))</t>
  </si>
  <si>
    <t>=INDEX(Backlog!$K$2:$K$180,MATCH(A131,Backlog!$A$2:$A$180,0))</t>
  </si>
  <si>
    <t>D131</t>
  </si>
  <si>
    <t>=IF(INDEX(Backlog!$B$2:$B$180,MATCH($A131,Backlog!$A$2:$A$180,0))="","",INDEX(Backlog!$B$2:$B$180,MATCH($A131,Backlog!$A$2:$A$180,0)))</t>
  </si>
  <si>
    <t>=INDEX(Backlog!$B$2:$B$180,MATCH(A131,Backlog!$A$2:$A$180,0))</t>
  </si>
  <si>
    <t>B132</t>
  </si>
  <si>
    <t>C132</t>
  </si>
  <si>
    <t>=IF(INDEX(Backlog!$K$2:$K$180,MATCH($A132,Backlog!$A$2:$A$180,0))="","",INDEX(Backlog!$K$2:$K$180,MATCH($A132,Backlog!$A$2:$A$180,0)))</t>
  </si>
  <si>
    <t>=INDEX(Backlog!$K$2:$K$180,MATCH(A132,Backlog!$A$2:$A$180,0))</t>
  </si>
  <si>
    <t>D132</t>
  </si>
  <si>
    <t>=IF(INDEX(Backlog!$B$2:$B$180,MATCH($A132,Backlog!$A$2:$A$180,0))="","",INDEX(Backlog!$B$2:$B$180,MATCH($A132,Backlog!$A$2:$A$180,0)))</t>
  </si>
  <si>
    <t>=INDEX(Backlog!$B$2:$B$180,MATCH(A132,Backlog!$A$2:$A$180,0))</t>
  </si>
  <si>
    <t>B133</t>
  </si>
  <si>
    <t>C133</t>
  </si>
  <si>
    <t>=IF(INDEX(Backlog!$K$2:$K$180,MATCH($A133,Backlog!$A$2:$A$180,0))="","",INDEX(Backlog!$K$2:$K$180,MATCH($A133,Backlog!$A$2:$A$180,0)))</t>
  </si>
  <si>
    <t>=INDEX(Backlog!$K$2:$K$180,MATCH(A133,Backlog!$A$2:$A$180,0))</t>
  </si>
  <si>
    <t>D133</t>
  </si>
  <si>
    <t>=IF(INDEX(Backlog!$B$2:$B$180,MATCH($A133,Backlog!$A$2:$A$180,0))="","",INDEX(Backlog!$B$2:$B$180,MATCH($A133,Backlog!$A$2:$A$180,0)))</t>
  </si>
  <si>
    <t>=INDEX(Backlog!$B$2:$B$180,MATCH(A133,Backlog!$A$2:$A$180,0))</t>
  </si>
  <si>
    <t>B134</t>
  </si>
  <si>
    <t>C134</t>
  </si>
  <si>
    <t>=IF(INDEX(Backlog!$K$2:$K$180,MATCH($A134,Backlog!$A$2:$A$180,0))="","",INDEX(Backlog!$K$2:$K$180,MATCH($A134,Backlog!$A$2:$A$180,0)))</t>
  </si>
  <si>
    <t>=INDEX(Backlog!$K$2:$K$180,MATCH(A134,Backlog!$A$2:$A$180,0))</t>
  </si>
  <si>
    <t>D134</t>
  </si>
  <si>
    <t>=IF(INDEX(Backlog!$B$2:$B$180,MATCH($A134,Backlog!$A$2:$A$180,0))="","",INDEX(Backlog!$B$2:$B$180,MATCH($A134,Backlog!$A$2:$A$180,0)))</t>
  </si>
  <si>
    <t>=INDEX(Backlog!$B$2:$B$180,MATCH(A134,Backlog!$A$2:$A$180,0))</t>
  </si>
  <si>
    <t>A135</t>
  </si>
  <si>
    <t>B135</t>
  </si>
  <si>
    <t>C135</t>
  </si>
  <si>
    <t>=IF(INDEX(Backlog!$K$2:$K$180,MATCH($A135,Backlog!$A$2:$A$180,0))="","",INDEX(Backlog!$K$2:$K$180,MATCH($A135,Backlog!$A$2:$A$180,0)))</t>
  </si>
  <si>
    <t>=INDEX(Backlog!$K$2:$K$180,MATCH(A135,Backlog!$A$2:$A$180,0))</t>
  </si>
  <si>
    <t>D135</t>
  </si>
  <si>
    <t>=IF(INDEX(Backlog!$B$2:$B$180,MATCH($A135,Backlog!$A$2:$A$180,0))="","",INDEX(Backlog!$B$2:$B$180,MATCH($A135,Backlog!$A$2:$A$180,0)))</t>
  </si>
  <si>
    <t>=INDEX(Backlog!$B$2:$B$180,MATCH(A135,Backlog!$A$2:$A$180,0))</t>
  </si>
  <si>
    <t>B136</t>
  </si>
  <si>
    <t>C136</t>
  </si>
  <si>
    <t>=IF(INDEX(Backlog!$K$2:$K$180,MATCH($A136,Backlog!$A$2:$A$180,0))="","",INDEX(Backlog!$K$2:$K$180,MATCH($A136,Backlog!$A$2:$A$180,0)))</t>
  </si>
  <si>
    <t>=INDEX(Backlog!$K$2:$K$180,MATCH(A136,Backlog!$A$2:$A$180,0))</t>
  </si>
  <si>
    <t>D136</t>
  </si>
  <si>
    <t>=IF(INDEX(Backlog!$B$2:$B$180,MATCH($A136,Backlog!$A$2:$A$180,0))="","",INDEX(Backlog!$B$2:$B$180,MATCH($A136,Backlog!$A$2:$A$180,0)))</t>
  </si>
  <si>
    <t>=INDEX(Backlog!$B$2:$B$180,MATCH(A136,Backlog!$A$2:$A$180,0))</t>
  </si>
  <si>
    <t>B137</t>
  </si>
  <si>
    <t>C137</t>
  </si>
  <si>
    <t>=IF(INDEX(Backlog!$K$2:$K$180,MATCH($A137,Backlog!$A$2:$A$180,0))="","",INDEX(Backlog!$K$2:$K$180,MATCH($A137,Backlog!$A$2:$A$180,0)))</t>
  </si>
  <si>
    <t>=INDEX(Backlog!$K$2:$K$180,MATCH(A137,Backlog!$A$2:$A$180,0))</t>
  </si>
  <si>
    <t>D137</t>
  </si>
  <si>
    <t>=IF(INDEX(Backlog!$B$2:$B$180,MATCH($A137,Backlog!$A$2:$A$180,0))="","",INDEX(Backlog!$B$2:$B$180,MATCH($A137,Backlog!$A$2:$A$180,0)))</t>
  </si>
  <si>
    <t>=INDEX(Backlog!$B$2:$B$180,MATCH(A137,Backlog!$A$2:$A$180,0))</t>
  </si>
  <si>
    <t>B138</t>
  </si>
  <si>
    <t>C138</t>
  </si>
  <si>
    <t>=IF(INDEX(Backlog!$K$2:$K$180,MATCH($A138,Backlog!$A$2:$A$180,0))="","",INDEX(Backlog!$K$2:$K$180,MATCH($A138,Backlog!$A$2:$A$180,0)))</t>
  </si>
  <si>
    <t>=INDEX(Backlog!$K$2:$K$180,MATCH(A138,Backlog!$A$2:$A$180,0))</t>
  </si>
  <si>
    <t>D138</t>
  </si>
  <si>
    <t>=IF(INDEX(Backlog!$B$2:$B$180,MATCH($A138,Backlog!$A$2:$A$180,0))="","",INDEX(Backlog!$B$2:$B$180,MATCH($A138,Backlog!$A$2:$A$180,0)))</t>
  </si>
  <si>
    <t>=INDEX(Backlog!$B$2:$B$180,MATCH(A138,Backlog!$A$2:$A$180,0))</t>
  </si>
  <si>
    <t>A139</t>
  </si>
  <si>
    <t>B139</t>
  </si>
  <si>
    <t>C139</t>
  </si>
  <si>
    <t>=IF(INDEX(Backlog!$K$2:$K$180,MATCH($A139,Backlog!$A$2:$A$180,0))="","",INDEX(Backlog!$K$2:$K$180,MATCH($A139,Backlog!$A$2:$A$180,0)))</t>
  </si>
  <si>
    <t>=INDEX(Backlog!$K$2:$K$180,MATCH(A139,Backlog!$A$2:$A$180,0))</t>
  </si>
  <si>
    <t>D139</t>
  </si>
  <si>
    <t>=IF(INDEX(Backlog!$B$2:$B$180,MATCH($A139,Backlog!$A$2:$A$180,0))="","",INDEX(Backlog!$B$2:$B$180,MATCH($A139,Backlog!$A$2:$A$180,0)))</t>
  </si>
  <si>
    <t>=INDEX(Backlog!$B$2:$B$180,MATCH(A139,Backlog!$A$2:$A$180,0))</t>
  </si>
  <si>
    <t>B140</t>
  </si>
  <si>
    <t>C140</t>
  </si>
  <si>
    <t>=IF(INDEX(Backlog!$K$2:$K$180,MATCH($A140,Backlog!$A$2:$A$180,0))="","",INDEX(Backlog!$K$2:$K$180,MATCH($A140,Backlog!$A$2:$A$180,0)))</t>
  </si>
  <si>
    <t>=INDEX(Backlog!$K$2:$K$180,MATCH(A140,Backlog!$A$2:$A$180,0))</t>
  </si>
  <si>
    <t>D140</t>
  </si>
  <si>
    <t>=IF(INDEX(Backlog!$B$2:$B$180,MATCH($A140,Backlog!$A$2:$A$180,0))="","",INDEX(Backlog!$B$2:$B$180,MATCH($A140,Backlog!$A$2:$A$180,0)))</t>
  </si>
  <si>
    <t>=INDEX(Backlog!$B$2:$B$180,MATCH(A140,Backlog!$A$2:$A$180,0))</t>
  </si>
  <si>
    <t>B141</t>
  </si>
  <si>
    <t>C141</t>
  </si>
  <si>
    <t>=IF(INDEX(Backlog!$K$2:$K$180,MATCH($A141,Backlog!$A$2:$A$180,0))="","",INDEX(Backlog!$K$2:$K$180,MATCH($A141,Backlog!$A$2:$A$180,0)))</t>
  </si>
  <si>
    <t>=INDEX(Backlog!$K$2:$K$180,MATCH(A141,Backlog!$A$2:$A$180,0))</t>
  </si>
  <si>
    <t>D141</t>
  </si>
  <si>
    <t>=IF(INDEX(Backlog!$B$2:$B$180,MATCH($A141,Backlog!$A$2:$A$180,0))="","",INDEX(Backlog!$B$2:$B$180,MATCH($A141,Backlog!$A$2:$A$180,0)))</t>
  </si>
  <si>
    <t>=INDEX(Backlog!$B$2:$B$180,MATCH(A141,Backlog!$A$2:$A$180,0))</t>
  </si>
  <si>
    <t>B142</t>
  </si>
  <si>
    <t>C142</t>
  </si>
  <si>
    <t>=IF(INDEX(Backlog!$K$2:$K$180,MATCH($A142,Backlog!$A$2:$A$180,0))="","",INDEX(Backlog!$K$2:$K$180,MATCH($A142,Backlog!$A$2:$A$180,0)))</t>
  </si>
  <si>
    <t>=INDEX(Backlog!$K$2:$K$180,MATCH(A142,Backlog!$A$2:$A$180,0))</t>
  </si>
  <si>
    <t>D142</t>
  </si>
  <si>
    <t>=IF(INDEX(Backlog!$B$2:$B$180,MATCH($A142,Backlog!$A$2:$A$180,0))="","",INDEX(Backlog!$B$2:$B$180,MATCH($A142,Backlog!$A$2:$A$180,0)))</t>
  </si>
  <si>
    <t>=INDEX(Backlog!$B$2:$B$180,MATCH(A142,Backlog!$A$2:$A$180,0))</t>
  </si>
  <si>
    <t>B143</t>
  </si>
  <si>
    <t>C143</t>
  </si>
  <si>
    <t>=IF(INDEX(Backlog!$K$2:$K$180,MATCH($A143,Backlog!$A$2:$A$180,0))="","",INDEX(Backlog!$K$2:$K$180,MATCH($A143,Backlog!$A$2:$A$180,0)))</t>
  </si>
  <si>
    <t>=INDEX(Backlog!$K$2:$K$180,MATCH(A143,Backlog!$A$2:$A$180,0))</t>
  </si>
  <si>
    <t>D143</t>
  </si>
  <si>
    <t>=IF(INDEX(Backlog!$B$2:$B$180,MATCH($A143,Backlog!$A$2:$A$180,0))="","",INDEX(Backlog!$B$2:$B$180,MATCH($A143,Backlog!$A$2:$A$180,0)))</t>
  </si>
  <si>
    <t>=INDEX(Backlog!$B$2:$B$180,MATCH(A143,Backlog!$A$2:$A$180,0))</t>
  </si>
  <si>
    <t>B144</t>
  </si>
  <si>
    <t>C144</t>
  </si>
  <si>
    <t>=IF(INDEX(Backlog!$K$2:$K$180,MATCH($A144,Backlog!$A$2:$A$180,0))="","",INDEX(Backlog!$K$2:$K$180,MATCH($A144,Backlog!$A$2:$A$180,0)))</t>
  </si>
  <si>
    <t>=INDEX(Backlog!$K$2:$K$180,MATCH(A144,Backlog!$A$2:$A$180,0))</t>
  </si>
  <si>
    <t>D144</t>
  </si>
  <si>
    <t>=IF(INDEX(Backlog!$B$2:$B$180,MATCH($A144,Backlog!$A$2:$A$180,0))="","",INDEX(Backlog!$B$2:$B$180,MATCH($A144,Backlog!$A$2:$A$180,0)))</t>
  </si>
  <si>
    <t>=INDEX(Backlog!$B$2:$B$180,MATCH(A144,Backlog!$A$2:$A$180,0))</t>
  </si>
  <si>
    <t>B145</t>
  </si>
  <si>
    <t>C145</t>
  </si>
  <si>
    <t>=IF(INDEX(Backlog!$K$2:$K$180,MATCH($A145,Backlog!$A$2:$A$180,0))="","",INDEX(Backlog!$K$2:$K$180,MATCH($A145,Backlog!$A$2:$A$180,0)))</t>
  </si>
  <si>
    <t>=INDEX(Backlog!$K$2:$K$180,MATCH(A145,Backlog!$A$2:$A$180,0))</t>
  </si>
  <si>
    <t>D145</t>
  </si>
  <si>
    <t>=IF(INDEX(Backlog!$B$2:$B$180,MATCH($A145,Backlog!$A$2:$A$180,0))="","",INDEX(Backlog!$B$2:$B$180,MATCH($A145,Backlog!$A$2:$A$180,0)))</t>
  </si>
  <si>
    <t>=INDEX(Backlog!$B$2:$B$180,MATCH(A145,Backlog!$A$2:$A$180,0))</t>
  </si>
  <si>
    <t>B146</t>
  </si>
  <si>
    <t>C146</t>
  </si>
  <si>
    <t>=IF(INDEX(Backlog!$K$2:$K$180,MATCH($A146,Backlog!$A$2:$A$180,0))="","",INDEX(Backlog!$K$2:$K$180,MATCH($A146,Backlog!$A$2:$A$180,0)))</t>
  </si>
  <si>
    <t>=INDEX(Backlog!$K$2:$K$180,MATCH(A146,Backlog!$A$2:$A$180,0))</t>
  </si>
  <si>
    <t>D146</t>
  </si>
  <si>
    <t>=IF(INDEX(Backlog!$B$2:$B$180,MATCH($A146,Backlog!$A$2:$A$180,0))="","",INDEX(Backlog!$B$2:$B$180,MATCH($A146,Backlog!$A$2:$A$180,0)))</t>
  </si>
  <si>
    <t>=INDEX(Backlog!$B$2:$B$180,MATCH(A146,Backlog!$A$2:$A$180,0))</t>
  </si>
  <si>
    <t>B147</t>
  </si>
  <si>
    <t>C147</t>
  </si>
  <si>
    <t>=IF(INDEX(Backlog!$K$2:$K$180,MATCH($A147,Backlog!$A$2:$A$180,0))="","",INDEX(Backlog!$K$2:$K$180,MATCH($A147,Backlog!$A$2:$A$180,0)))</t>
  </si>
  <si>
    <t>=INDEX(Backlog!$K$2:$K$180,MATCH(A147,Backlog!$A$2:$A$180,0))</t>
  </si>
  <si>
    <t>D147</t>
  </si>
  <si>
    <t>=IF(INDEX(Backlog!$B$2:$B$180,MATCH($A147,Backlog!$A$2:$A$180,0))="","",INDEX(Backlog!$B$2:$B$180,MATCH($A147,Backlog!$A$2:$A$180,0)))</t>
  </si>
  <si>
    <t>=INDEX(Backlog!$B$2:$B$180,MATCH(A147,Backlog!$A$2:$A$180,0))</t>
  </si>
  <si>
    <t>B148</t>
  </si>
  <si>
    <t>C148</t>
  </si>
  <si>
    <t>=IF(INDEX(Backlog!$K$2:$K$180,MATCH($A148,Backlog!$A$2:$A$180,0))="","",INDEX(Backlog!$K$2:$K$180,MATCH($A148,Backlog!$A$2:$A$180,0)))</t>
  </si>
  <si>
    <t>=INDEX(Backlog!$K$2:$K$180,MATCH(A148,Backlog!$A$2:$A$180,0))</t>
  </si>
  <si>
    <t>D148</t>
  </si>
  <si>
    <t>=IF(INDEX(Backlog!$B$2:$B$180,MATCH($A148,Backlog!$A$2:$A$180,0))="","",INDEX(Backlog!$B$2:$B$180,MATCH($A148,Backlog!$A$2:$A$180,0)))</t>
  </si>
  <si>
    <t>=INDEX(Backlog!$B$2:$B$180,MATCH(A148,Backlog!$A$2:$A$180,0))</t>
  </si>
  <si>
    <t>B149</t>
  </si>
  <si>
    <t>C149</t>
  </si>
  <si>
    <t>=IF(INDEX(Backlog!$K$2:$K$180,MATCH($A149,Backlog!$A$2:$A$180,0))="","",INDEX(Backlog!$K$2:$K$180,MATCH($A149,Backlog!$A$2:$A$180,0)))</t>
  </si>
  <si>
    <t>=INDEX(Backlog!$K$2:$K$180,MATCH(A149,Backlog!$A$2:$A$180,0))</t>
  </si>
  <si>
    <t>D149</t>
  </si>
  <si>
    <t>=IF(INDEX(Backlog!$B$2:$B$180,MATCH($A149,Backlog!$A$2:$A$180,0))="","",INDEX(Backlog!$B$2:$B$180,MATCH($A149,Backlog!$A$2:$A$180,0)))</t>
  </si>
  <si>
    <t>=INDEX(Backlog!$B$2:$B$180,MATCH(A149,Backlog!$A$2:$A$180,0))</t>
  </si>
  <si>
    <t>A150</t>
  </si>
  <si>
    <t>B150</t>
  </si>
  <si>
    <t>C150</t>
  </si>
  <si>
    <t>=IF(INDEX(Backlog!$K$2:$K$180,MATCH($A150,Backlog!$A$2:$A$180,0))="","",INDEX(Backlog!$K$2:$K$180,MATCH($A150,Backlog!$A$2:$A$180,0)))</t>
  </si>
  <si>
    <t>D150</t>
  </si>
  <si>
    <t>=IF(INDEX(Backlog!$B$2:$B$180,MATCH($A150,Backlog!$A$2:$A$180,0))="","",INDEX(Backlog!$B$2:$B$180,MATCH($A150,Backlog!$A$2:$A$180,0)))</t>
  </si>
  <si>
    <t>Old PASS values were true of the prior consolidation, not this new cell audit.</t>
  </si>
  <si>
    <t>Preserved task totals</t>
  </si>
  <si>
    <t>Live counters distinguished from historical checks.</t>
  </si>
  <si>
    <t>K2 [FORMAT]</t>
  </si>
  <si>
    <t>Source style index 100</t>
  </si>
  <si>
    <t>Saved style index 270</t>
  </si>
  <si>
    <t>Status fill now follows status text through four conditional rules; static color removed.</t>
  </si>
  <si>
    <t>Style index is package-local, not evidence of semantic change by itself; saved CF ranges verified.</t>
  </si>
  <si>
    <t>J2 [FORMAT]</t>
  </si>
  <si>
    <t>Source style index 106</t>
  </si>
  <si>
    <t>Saved style index 271</t>
  </si>
  <si>
    <t>Estimate number formatting and unusable-estimate conditional highlight.</t>
  </si>
  <si>
    <t>R2 [FORMAT]</t>
  </si>
  <si>
    <t>Source style index 195</t>
  </si>
  <si>
    <t>Saved style index 272</t>
  </si>
  <si>
    <t>P80 formatting; unusable estimate amber; missing inherited P80 violet.</t>
  </si>
  <si>
    <t>K3 [FORMAT]</t>
  </si>
  <si>
    <t>J3 [FORMAT]</t>
  </si>
  <si>
    <t>R3 [FORMAT]</t>
  </si>
  <si>
    <t>K4 [FORMAT]</t>
  </si>
  <si>
    <t>J4 [FORMAT]</t>
  </si>
  <si>
    <t>R4 [FORMAT]</t>
  </si>
  <si>
    <t>K5 [FORMAT]</t>
  </si>
  <si>
    <t>J5 [FORMAT]</t>
  </si>
  <si>
    <t>R5 [FORMAT]</t>
  </si>
  <si>
    <t>K6 [FORMAT]</t>
  </si>
  <si>
    <t>Source style index 98</t>
  </si>
  <si>
    <t>J6 [FORMAT]</t>
  </si>
  <si>
    <t>R6 [FORMAT]</t>
  </si>
  <si>
    <t>K7 [FORMAT]</t>
  </si>
  <si>
    <t>J7 [FORMAT]</t>
  </si>
  <si>
    <t>R7 [FORMAT]</t>
  </si>
  <si>
    <t>K8 [FORMAT]</t>
  </si>
  <si>
    <t>J8 [FORMAT]</t>
  </si>
  <si>
    <t>R8 [FORMAT]</t>
  </si>
  <si>
    <t>K9 [FORMAT]</t>
  </si>
  <si>
    <t>J9 [FORMAT]</t>
  </si>
  <si>
    <t>R9 [FORMAT]</t>
  </si>
  <si>
    <t>K10 [FORMAT]</t>
  </si>
  <si>
    <t>J10 [FORMAT]</t>
  </si>
  <si>
    <t>R10 [FORMAT]</t>
  </si>
  <si>
    <t>K11 [FORMAT]</t>
  </si>
  <si>
    <t>J11 [FORMAT]</t>
  </si>
  <si>
    <t>R11 [FORMAT]</t>
  </si>
  <si>
    <t>K12 [FORMAT]</t>
  </si>
  <si>
    <t>J12 [FORMAT]</t>
  </si>
  <si>
    <t>R12 [FORMAT]</t>
  </si>
  <si>
    <t>K13 [FORMAT]</t>
  </si>
  <si>
    <t>J13 [FORMAT]</t>
  </si>
  <si>
    <t>R13 [FORMAT]</t>
  </si>
  <si>
    <t>K14 [FORMAT]</t>
  </si>
  <si>
    <t>J14 [FORMAT]</t>
  </si>
  <si>
    <t>R14 [FORMAT]</t>
  </si>
  <si>
    <t>K15 [FORMAT]</t>
  </si>
  <si>
    <t>J15 [FORMAT]</t>
  </si>
  <si>
    <t>R15 [FORMAT]</t>
  </si>
  <si>
    <t>K16 [FORMAT]</t>
  </si>
  <si>
    <t>J16 [FORMAT]</t>
  </si>
  <si>
    <t>R16 [FORMAT]</t>
  </si>
  <si>
    <t>K17 [FORMAT]</t>
  </si>
  <si>
    <t>J17 [FORMAT]</t>
  </si>
  <si>
    <t>R17 [FORMAT]</t>
  </si>
  <si>
    <t>K18 [FORMAT]</t>
  </si>
  <si>
    <t>J18 [FORMAT]</t>
  </si>
  <si>
    <t>R18 [FORMAT]</t>
  </si>
  <si>
    <t>K19 [FORMAT]</t>
  </si>
  <si>
    <t>J19 [FORMAT]</t>
  </si>
  <si>
    <t>R19 [FORMAT]</t>
  </si>
  <si>
    <t>K20 [FORMAT]</t>
  </si>
  <si>
    <t>J20 [FORMAT]</t>
  </si>
  <si>
    <t>R20 [FORMAT]</t>
  </si>
  <si>
    <t>K21 [FORMAT]</t>
  </si>
  <si>
    <t>J21 [FORMAT]</t>
  </si>
  <si>
    <t>R21 [FORMAT]</t>
  </si>
  <si>
    <t>K22 [FORMAT]</t>
  </si>
  <si>
    <t>J22 [FORMAT]</t>
  </si>
  <si>
    <t>R22 [FORMAT]</t>
  </si>
  <si>
    <t>K23 [FORMAT]</t>
  </si>
  <si>
    <t>J23 [FORMAT]</t>
  </si>
  <si>
    <t>R23 [FORMAT]</t>
  </si>
  <si>
    <t>K24 [FORMAT]</t>
  </si>
  <si>
    <t>J24 [FORMAT]</t>
  </si>
  <si>
    <t>R24 [FORMAT]</t>
  </si>
  <si>
    <t>K25 [FORMAT]</t>
  </si>
  <si>
    <t>Source style index 101</t>
  </si>
  <si>
    <t>J25 [FORMAT]</t>
  </si>
  <si>
    <t>Source style index 107</t>
  </si>
  <si>
    <t>R25 [FORMAT]</t>
  </si>
  <si>
    <t>K26 [FORMAT]</t>
  </si>
  <si>
    <t>Source style index 104</t>
  </si>
  <si>
    <t>J26 [FORMAT]</t>
  </si>
  <si>
    <t>Source style index 108</t>
  </si>
  <si>
    <t>Saved style index 273</t>
  </si>
  <si>
    <t>R26 [FORMAT]</t>
  </si>
  <si>
    <t>K27 [FORMAT]</t>
  </si>
  <si>
    <t>J27 [FORMAT]</t>
  </si>
  <si>
    <t>R27 [FORMAT]</t>
  </si>
  <si>
    <t>K28 [FORMAT]</t>
  </si>
  <si>
    <t>J28 [FORMAT]</t>
  </si>
  <si>
    <t>R28 [FORMAT]</t>
  </si>
  <si>
    <t>K29 [FORMAT]</t>
  </si>
  <si>
    <t>J29 [FORMAT]</t>
  </si>
  <si>
    <t>R29 [FORMAT]</t>
  </si>
  <si>
    <t>K30 [FORMAT]</t>
  </si>
  <si>
    <t>J30 [FORMAT]</t>
  </si>
  <si>
    <t>R30 [FORMAT]</t>
  </si>
  <si>
    <t>K31 [FORMAT]</t>
  </si>
  <si>
    <t>J31 [FORMAT]</t>
  </si>
  <si>
    <t>R31 [FORMAT]</t>
  </si>
  <si>
    <t>K32 [FORMAT]</t>
  </si>
  <si>
    <t>Source style index 202</t>
  </si>
  <si>
    <t>J32 [FORMAT]</t>
  </si>
  <si>
    <t>R32 [FORMAT]</t>
  </si>
  <si>
    <t>K33 [FORMAT]</t>
  </si>
  <si>
    <t>J33 [FORMAT]</t>
  </si>
  <si>
    <t>R33 [FORMAT]</t>
  </si>
  <si>
    <t>K34 [FORMAT]</t>
  </si>
  <si>
    <t>J34 [FORMAT]</t>
  </si>
  <si>
    <t>R34 [FORMAT]</t>
  </si>
  <si>
    <t>K35 [FORMAT]</t>
  </si>
  <si>
    <t>J35 [FORMAT]</t>
  </si>
  <si>
    <t>R35 [FORMAT]</t>
  </si>
  <si>
    <t>K36 [FORMAT]</t>
  </si>
  <si>
    <t>J36 [FORMAT]</t>
  </si>
  <si>
    <t>R36 [FORMAT]</t>
  </si>
  <si>
    <t>K37 [FORMAT]</t>
  </si>
  <si>
    <t>J37 [FORMAT]</t>
  </si>
  <si>
    <t>R37 [FORMAT]</t>
  </si>
  <si>
    <t>K38 [FORMAT]</t>
  </si>
  <si>
    <t>J38 [FORMAT]</t>
  </si>
  <si>
    <t>Source style index 198</t>
  </si>
  <si>
    <t>Saved style index 274</t>
  </si>
  <si>
    <t>R38 [FORMAT]</t>
  </si>
  <si>
    <t>K39 [FORMAT]</t>
  </si>
  <si>
    <t>J39 [FORMAT]</t>
  </si>
  <si>
    <t>R39 [FORMAT]</t>
  </si>
  <si>
    <t>K40 [FORMAT]</t>
  </si>
  <si>
    <t>J40 [FORMAT]</t>
  </si>
  <si>
    <t>R40 [FORMAT]</t>
  </si>
  <si>
    <t>K41 [FORMAT]</t>
  </si>
  <si>
    <t>J41 [FORMAT]</t>
  </si>
  <si>
    <t>R41 [FORMAT]</t>
  </si>
  <si>
    <t>K42 [FORMAT]</t>
  </si>
  <si>
    <t>J42 [FORMAT]</t>
  </si>
  <si>
    <t>R42 [FORMAT]</t>
  </si>
  <si>
    <t>K43 [FORMAT]</t>
  </si>
  <si>
    <t>J43 [FORMAT]</t>
  </si>
  <si>
    <t>R43 [FORMAT]</t>
  </si>
  <si>
    <t>K44 [FORMAT]</t>
  </si>
  <si>
    <t>J44 [FORMAT]</t>
  </si>
  <si>
    <t>R44 [FORMAT]</t>
  </si>
  <si>
    <t>K45 [FORMAT]</t>
  </si>
  <si>
    <t>J45 [FORMAT]</t>
  </si>
  <si>
    <t>R45 [FORMAT]</t>
  </si>
  <si>
    <t>K46 [FORMAT]</t>
  </si>
  <si>
    <t>J46 [FORMAT]</t>
  </si>
  <si>
    <t>R46 [FORMAT]</t>
  </si>
  <si>
    <t>K47 [FORMAT]</t>
  </si>
  <si>
    <t>J47 [FORMAT]</t>
  </si>
  <si>
    <t>R47 [FORMAT]</t>
  </si>
  <si>
    <t>K48 [FORMAT]</t>
  </si>
  <si>
    <t>J48 [FORMAT]</t>
  </si>
  <si>
    <t>R48 [FORMAT]</t>
  </si>
  <si>
    <t>K49 [FORMAT]</t>
  </si>
  <si>
    <t>J49 [FORMAT]</t>
  </si>
  <si>
    <t>R49 [FORMAT]</t>
  </si>
  <si>
    <t>K50 [FORMAT]</t>
  </si>
  <si>
    <t>J50 [FORMAT]</t>
  </si>
  <si>
    <t>R50 [FORMAT]</t>
  </si>
  <si>
    <t>K51 [FORMAT]</t>
  </si>
  <si>
    <t>J51 [FORMAT]</t>
  </si>
  <si>
    <t>R51 [FORMAT]</t>
  </si>
  <si>
    <t>K52 [FORMAT]</t>
  </si>
  <si>
    <t>J52 [FORMAT]</t>
  </si>
  <si>
    <t>R52 [FORMAT]</t>
  </si>
  <si>
    <t>K53 [FORMAT]</t>
  </si>
  <si>
    <t>J53 [FORMAT]</t>
  </si>
  <si>
    <t>R53 [FORMAT]</t>
  </si>
  <si>
    <t>K54 [FORMAT]</t>
  </si>
  <si>
    <t>J54 [FORMAT]</t>
  </si>
  <si>
    <t>R54 [FORMAT]</t>
  </si>
  <si>
    <t>K55 [FORMAT]</t>
  </si>
  <si>
    <t>J55 [FORMAT]</t>
  </si>
  <si>
    <t>R55 [FORMAT]</t>
  </si>
  <si>
    <t>K56 [FORMAT]</t>
  </si>
  <si>
    <t>J56 [FORMAT]</t>
  </si>
  <si>
    <t>R56 [FORMAT]</t>
  </si>
  <si>
    <t>K57 [FORMAT]</t>
  </si>
  <si>
    <t>J57 [FORMAT]</t>
  </si>
  <si>
    <t>R57 [FORMAT]</t>
  </si>
  <si>
    <t>K58 [FORMAT]</t>
  </si>
  <si>
    <t>J58 [FORMAT]</t>
  </si>
  <si>
    <t>R58 [FORMAT]</t>
  </si>
  <si>
    <t>K59 [FORMAT]</t>
  </si>
  <si>
    <t>J59 [FORMAT]</t>
  </si>
  <si>
    <t>R59 [FORMAT]</t>
  </si>
  <si>
    <t>K60 [FORMAT]</t>
  </si>
  <si>
    <t>J60 [FORMAT]</t>
  </si>
  <si>
    <t>R60 [FORMAT]</t>
  </si>
  <si>
    <t>K61 [FORMAT]</t>
  </si>
  <si>
    <t>J61 [FORMAT]</t>
  </si>
  <si>
    <t>R61 [FORMAT]</t>
  </si>
  <si>
    <t>K62 [FORMAT]</t>
  </si>
  <si>
    <t>J62 [FORMAT]</t>
  </si>
  <si>
    <t>R62 [FORMAT]</t>
  </si>
  <si>
    <t>K63 [FORMAT]</t>
  </si>
  <si>
    <t>J63 [FORMAT]</t>
  </si>
  <si>
    <t>R63 [FORMAT]</t>
  </si>
  <si>
    <t>K64 [FORMAT]</t>
  </si>
  <si>
    <t>J64 [FORMAT]</t>
  </si>
  <si>
    <t>R64 [FORMAT]</t>
  </si>
  <si>
    <t>K65 [FORMAT]</t>
  </si>
  <si>
    <t>J65 [FORMAT]</t>
  </si>
  <si>
    <t>R65 [FORMAT]</t>
  </si>
  <si>
    <t>K66 [FORMAT]</t>
  </si>
  <si>
    <t>J66 [FORMAT]</t>
  </si>
  <si>
    <t>R66 [FORMAT]</t>
  </si>
  <si>
    <t>K67 [FORMAT]</t>
  </si>
  <si>
    <t>J67 [FORMAT]</t>
  </si>
  <si>
    <t>R67 [FORMAT]</t>
  </si>
  <si>
    <t>K68 [FORMAT]</t>
  </si>
  <si>
    <t>J68 [FORMAT]</t>
  </si>
  <si>
    <t>R68 [FORMAT]</t>
  </si>
  <si>
    <t>K69 [FORMAT]</t>
  </si>
  <si>
    <t>J69 [FORMAT]</t>
  </si>
  <si>
    <t>R69 [FORMAT]</t>
  </si>
  <si>
    <t>K70 [FORMAT]</t>
  </si>
  <si>
    <t>J70 [FORMAT]</t>
  </si>
  <si>
    <t>R70 [FORMAT]</t>
  </si>
  <si>
    <t>K71 [FORMAT]</t>
  </si>
  <si>
    <t>J71 [FORMAT]</t>
  </si>
  <si>
    <t>R71 [FORMAT]</t>
  </si>
  <si>
    <t>K72 [FORMAT]</t>
  </si>
  <si>
    <t>J72 [FORMAT]</t>
  </si>
  <si>
    <t>R72 [FORMAT]</t>
  </si>
  <si>
    <t>K73 [FORMAT]</t>
  </si>
  <si>
    <t>J73 [FORMAT]</t>
  </si>
  <si>
    <t>R73 [FORMAT]</t>
  </si>
  <si>
    <t>K74 [FORMAT]</t>
  </si>
  <si>
    <t>J74 [FORMAT]</t>
  </si>
  <si>
    <t>R74 [FORMAT]</t>
  </si>
  <si>
    <t>K75 [FORMAT]</t>
  </si>
  <si>
    <t>J75 [FORMAT]</t>
  </si>
  <si>
    <t>R75 [FORMAT]</t>
  </si>
  <si>
    <t>K76 [FORMAT]</t>
  </si>
  <si>
    <t>J76 [FORMAT]</t>
  </si>
  <si>
    <t>R76 [FORMAT]</t>
  </si>
  <si>
    <t>K77 [FORMAT]</t>
  </si>
  <si>
    <t>J77 [FORMAT]</t>
  </si>
  <si>
    <t>R77 [FORMAT]</t>
  </si>
  <si>
    <t>K78 [FORMAT]</t>
  </si>
  <si>
    <t>J78 [FORMAT]</t>
  </si>
  <si>
    <t>R78 [FORMAT]</t>
  </si>
  <si>
    <t>K79 [FORMAT]</t>
  </si>
  <si>
    <t>J79 [FORMAT]</t>
  </si>
  <si>
    <t>R79 [FORMAT]</t>
  </si>
  <si>
    <t>K80 [FORMAT]</t>
  </si>
  <si>
    <t>J80 [FORMAT]</t>
  </si>
  <si>
    <t>R80 [FORMAT]</t>
  </si>
  <si>
    <t>K81 [FORMAT]</t>
  </si>
  <si>
    <t>J81 [FORMAT]</t>
  </si>
  <si>
    <t>R81 [FORMAT]</t>
  </si>
  <si>
    <t>K82 [FORMAT]</t>
  </si>
  <si>
    <t>J82 [FORMAT]</t>
  </si>
  <si>
    <t>R82 [FORMAT]</t>
  </si>
  <si>
    <t>K83 [FORMAT]</t>
  </si>
  <si>
    <t>J83 [FORMAT]</t>
  </si>
  <si>
    <t>R83 [FORMAT]</t>
  </si>
  <si>
    <t>K84 [FORMAT]</t>
  </si>
  <si>
    <t>J84 [FORMAT]</t>
  </si>
  <si>
    <t>R84 [FORMAT]</t>
  </si>
  <si>
    <t>K85 [FORMAT]</t>
  </si>
  <si>
    <t>J85 [FORMAT]</t>
  </si>
  <si>
    <t>R85 [FORMAT]</t>
  </si>
  <si>
    <t>K86 [FORMAT]</t>
  </si>
  <si>
    <t>J86 [FORMAT]</t>
  </si>
  <si>
    <t>R86 [FORMAT]</t>
  </si>
  <si>
    <t>K87 [FORMAT]</t>
  </si>
  <si>
    <t>J87 [FORMAT]</t>
  </si>
  <si>
    <t>R87 [FORMAT]</t>
  </si>
  <si>
    <t>K88 [FORMAT]</t>
  </si>
  <si>
    <t>J88 [FORMAT]</t>
  </si>
  <si>
    <t>R88 [FORMAT]</t>
  </si>
  <si>
    <t>K89 [FORMAT]</t>
  </si>
  <si>
    <t>J89 [FORMAT]</t>
  </si>
  <si>
    <t>R89 [FORMAT]</t>
  </si>
  <si>
    <t>K90 [FORMAT]</t>
  </si>
  <si>
    <t>J90 [FORMAT]</t>
  </si>
  <si>
    <t>R90 [FORMAT]</t>
  </si>
  <si>
    <t>K91 [FORMAT]</t>
  </si>
  <si>
    <t>J91 [FORMAT]</t>
  </si>
  <si>
    <t>R91 [FORMAT]</t>
  </si>
  <si>
    <t>K92 [FORMAT]</t>
  </si>
  <si>
    <t>J92 [FORMAT]</t>
  </si>
  <si>
    <t>R92 [FORMAT]</t>
  </si>
  <si>
    <t>K93 [FORMAT]</t>
  </si>
  <si>
    <t>J93 [FORMAT]</t>
  </si>
  <si>
    <t>R93 [FORMAT]</t>
  </si>
  <si>
    <t>K94 [FORMAT]</t>
  </si>
  <si>
    <t>J94 [FORMAT]</t>
  </si>
  <si>
    <t>R94 [FORMAT]</t>
  </si>
  <si>
    <t>K95 [FORMAT]</t>
  </si>
  <si>
    <t>J95 [FORMAT]</t>
  </si>
  <si>
    <t>R95 [FORMAT]</t>
  </si>
  <si>
    <t>K96 [FORMAT]</t>
  </si>
  <si>
    <t>J96 [FORMAT]</t>
  </si>
  <si>
    <t>R96 [FORMAT]</t>
  </si>
  <si>
    <t>K97 [FORMAT]</t>
  </si>
  <si>
    <t>J97 [FORMAT]</t>
  </si>
  <si>
    <t>R97 [FORMAT]</t>
  </si>
  <si>
    <t>K98 [FORMAT]</t>
  </si>
  <si>
    <t>J98 [FORMAT]</t>
  </si>
  <si>
    <t>R98 [FORMAT]</t>
  </si>
  <si>
    <t>K99 [FORMAT]</t>
  </si>
  <si>
    <t>J99 [FORMAT]</t>
  </si>
  <si>
    <t>R99 [FORMAT]</t>
  </si>
  <si>
    <t>K100 [FORMAT]</t>
  </si>
  <si>
    <t>J100 [FORMAT]</t>
  </si>
  <si>
    <t>R100 [FORMAT]</t>
  </si>
  <si>
    <t>K101 [FORMAT]</t>
  </si>
  <si>
    <t>J101 [FORMAT]</t>
  </si>
  <si>
    <t>R101 [FORMAT]</t>
  </si>
  <si>
    <t>K102 [FORMAT]</t>
  </si>
  <si>
    <t>J102 [FORMAT]</t>
  </si>
  <si>
    <t>R102 [FORMAT]</t>
  </si>
  <si>
    <t>K103 [FORMAT]</t>
  </si>
  <si>
    <t>J103 [FORMAT]</t>
  </si>
  <si>
    <t>R103 [FORMAT]</t>
  </si>
  <si>
    <t>K104 [FORMAT]</t>
  </si>
  <si>
    <t>J104 [FORMAT]</t>
  </si>
  <si>
    <t>R104 [FORMAT]</t>
  </si>
  <si>
    <t>K105 [FORMAT]</t>
  </si>
  <si>
    <t>J105 [FORMAT]</t>
  </si>
  <si>
    <t>R105 [FORMAT]</t>
  </si>
  <si>
    <t>K106 [FORMAT]</t>
  </si>
  <si>
    <t>J106 [FORMAT]</t>
  </si>
  <si>
    <t>R106 [FORMAT]</t>
  </si>
  <si>
    <t>K107 [FORMAT]</t>
  </si>
  <si>
    <t>J107 [FORMAT]</t>
  </si>
  <si>
    <t>R107 [FORMAT]</t>
  </si>
  <si>
    <t>K108 [FORMAT]</t>
  </si>
  <si>
    <t>J108 [FORMAT]</t>
  </si>
  <si>
    <t>R108 [FORMAT]</t>
  </si>
  <si>
    <t>K109 [FORMAT]</t>
  </si>
  <si>
    <t>J109 [FORMAT]</t>
  </si>
  <si>
    <t>R109 [FORMAT]</t>
  </si>
  <si>
    <t>K110 [FORMAT]</t>
  </si>
  <si>
    <t>J110 [FORMAT]</t>
  </si>
  <si>
    <t>R110 [FORMAT]</t>
  </si>
  <si>
    <t>K111 [FORMAT]</t>
  </si>
  <si>
    <t>J111 [FORMAT]</t>
  </si>
  <si>
    <t>R111 [FORMAT]</t>
  </si>
  <si>
    <t>K112 [FORMAT]</t>
  </si>
  <si>
    <t>J112 [FORMAT]</t>
  </si>
  <si>
    <t>R112 [FORMAT]</t>
  </si>
  <si>
    <t>K113 [FORMAT]</t>
  </si>
  <si>
    <t>J113 [FORMAT]</t>
  </si>
  <si>
    <t>R113 [FORMAT]</t>
  </si>
  <si>
    <t>K114 [FORMAT]</t>
  </si>
  <si>
    <t>J114 [FORMAT]</t>
  </si>
  <si>
    <t>R114 [FORMAT]</t>
  </si>
  <si>
    <t>K115 [FORMAT]</t>
  </si>
  <si>
    <t>J115 [FORMAT]</t>
  </si>
  <si>
    <t>R115 [FORMAT]</t>
  </si>
  <si>
    <t>K116 [FORMAT]</t>
  </si>
  <si>
    <t>J116 [FORMAT]</t>
  </si>
  <si>
    <t>R116 [FORMAT]</t>
  </si>
  <si>
    <t>K117 [FORMAT]</t>
  </si>
  <si>
    <t>J117 [FORMAT]</t>
  </si>
  <si>
    <t>R117 [FORMAT]</t>
  </si>
  <si>
    <t>K118 [FORMAT]</t>
  </si>
  <si>
    <t>J118 [FORMAT]</t>
  </si>
  <si>
    <t>R118 [FORMAT]</t>
  </si>
  <si>
    <t>K119 [FORMAT]</t>
  </si>
  <si>
    <t>J119 [FORMAT]</t>
  </si>
  <si>
    <t>R119 [FORMAT]</t>
  </si>
  <si>
    <t>K120 [FORMAT]</t>
  </si>
  <si>
    <t>J120 [FORMAT]</t>
  </si>
  <si>
    <t>R120 [FORMAT]</t>
  </si>
  <si>
    <t>K121 [FORMAT]</t>
  </si>
  <si>
    <t>J121 [FORMAT]</t>
  </si>
  <si>
    <t>R121 [FORMAT]</t>
  </si>
  <si>
    <t>K122 [FORMAT]</t>
  </si>
  <si>
    <t>J122 [FORMAT]</t>
  </si>
  <si>
    <t>R122 [FORMAT]</t>
  </si>
  <si>
    <t>K123 [FORMAT]</t>
  </si>
  <si>
    <t>J123 [FORMAT]</t>
  </si>
  <si>
    <t>R123 [FORMAT]</t>
  </si>
  <si>
    <t>K124 [FORMAT]</t>
  </si>
  <si>
    <t>J124 [FORMAT]</t>
  </si>
  <si>
    <t>R124 [FORMAT]</t>
  </si>
  <si>
    <t>K125 [FORMAT]</t>
  </si>
  <si>
    <t>J125 [FORMAT]</t>
  </si>
  <si>
    <t>R125 [FORMAT]</t>
  </si>
  <si>
    <t>K126 [FORMAT]</t>
  </si>
  <si>
    <t>J126 [FORMAT]</t>
  </si>
  <si>
    <t>R126 [FORMAT]</t>
  </si>
  <si>
    <t>K127 [FORMAT]</t>
  </si>
  <si>
    <t>J127 [FORMAT]</t>
  </si>
  <si>
    <t>R127 [FORMAT]</t>
  </si>
  <si>
    <t>K128 [FORMAT]</t>
  </si>
  <si>
    <t>J128 [FORMAT]</t>
  </si>
  <si>
    <t>R128 [FORMAT]</t>
  </si>
  <si>
    <t>K129 [FORMAT]</t>
  </si>
  <si>
    <t>J129 [FORMAT]</t>
  </si>
  <si>
    <t>R129 [FORMAT]</t>
  </si>
  <si>
    <t>K130 [FORMAT]</t>
  </si>
  <si>
    <t>J130 [FORMAT]</t>
  </si>
  <si>
    <t>R130 [FORMAT]</t>
  </si>
  <si>
    <t>K131 [FORMAT]</t>
  </si>
  <si>
    <t>J131 [FORMAT]</t>
  </si>
  <si>
    <t>R131 [FORMAT]</t>
  </si>
  <si>
    <t>K132 [FORMAT]</t>
  </si>
  <si>
    <t>J132 [FORMAT]</t>
  </si>
  <si>
    <t>R132 [FORMAT]</t>
  </si>
  <si>
    <t>K133 [FORMAT]</t>
  </si>
  <si>
    <t>J133 [FORMAT]</t>
  </si>
  <si>
    <t>R133 [FORMAT]</t>
  </si>
  <si>
    <t>K134 [FORMAT]</t>
  </si>
  <si>
    <t>J134 [FORMAT]</t>
  </si>
  <si>
    <t>R134 [FORMAT]</t>
  </si>
  <si>
    <t>K135 [FORMAT]</t>
  </si>
  <si>
    <t>J135 [FORMAT]</t>
  </si>
  <si>
    <t>R135 [FORMAT]</t>
  </si>
  <si>
    <t>K136 [FORMAT]</t>
  </si>
  <si>
    <t>J136 [FORMAT]</t>
  </si>
  <si>
    <t>R136 [FORMAT]</t>
  </si>
  <si>
    <t>K137 [FORMAT]</t>
  </si>
  <si>
    <t>J137 [FORMAT]</t>
  </si>
  <si>
    <t>R137 [FORMAT]</t>
  </si>
  <si>
    <t>K138 [FORMAT]</t>
  </si>
  <si>
    <t>J138 [FORMAT]</t>
  </si>
  <si>
    <t>R138 [FORMAT]</t>
  </si>
  <si>
    <t>K139 [FORMAT]</t>
  </si>
  <si>
    <t>J139 [FORMAT]</t>
  </si>
  <si>
    <t>R139 [FORMAT]</t>
  </si>
  <si>
    <t>K140 [FORMAT]</t>
  </si>
  <si>
    <t>J140 [FORMAT]</t>
  </si>
  <si>
    <t>R140 [FORMAT]</t>
  </si>
  <si>
    <t>K141 [FORMAT]</t>
  </si>
  <si>
    <t>J141 [FORMAT]</t>
  </si>
  <si>
    <t>R141 [FORMAT]</t>
  </si>
  <si>
    <t>K142 [FORMAT]</t>
  </si>
  <si>
    <t>J142 [FORMAT]</t>
  </si>
  <si>
    <t>R142 [FORMAT]</t>
  </si>
  <si>
    <t>K143 [FORMAT]</t>
  </si>
  <si>
    <t>J143 [FORMAT]</t>
  </si>
  <si>
    <t>R143 [FORMAT]</t>
  </si>
  <si>
    <t>K144 [FORMAT]</t>
  </si>
  <si>
    <t>J144 [FORMAT]</t>
  </si>
  <si>
    <t>R144 [FORMAT]</t>
  </si>
  <si>
    <t>K145 [FORMAT]</t>
  </si>
  <si>
    <t>J145 [FORMAT]</t>
  </si>
  <si>
    <t>R145 [FORMAT]</t>
  </si>
  <si>
    <t>K146 [FORMAT]</t>
  </si>
  <si>
    <t>J146 [FORMAT]</t>
  </si>
  <si>
    <t>R146 [FORMAT]</t>
  </si>
  <si>
    <t>K147 [FORMAT]</t>
  </si>
  <si>
    <t>J147 [FORMAT]</t>
  </si>
  <si>
    <t>R147 [FORMAT]</t>
  </si>
  <si>
    <t>K148 [FORMAT]</t>
  </si>
  <si>
    <t>J148 [FORMAT]</t>
  </si>
  <si>
    <t>R148 [FORMAT]</t>
  </si>
  <si>
    <t>K149 [FORMAT]</t>
  </si>
  <si>
    <t>J149 [FORMAT]</t>
  </si>
  <si>
    <t>R149 [FORMAT]</t>
  </si>
  <si>
    <t>K150 [FORMAT]</t>
  </si>
  <si>
    <t>J150 [FORMAT]</t>
  </si>
  <si>
    <t>R150 [FORMAT]</t>
  </si>
  <si>
    <t>K151 [FORMAT]</t>
  </si>
  <si>
    <t>J151 [FORMAT]</t>
  </si>
  <si>
    <t>R151 [FORMAT]</t>
  </si>
  <si>
    <t>K152 [FORMAT]</t>
  </si>
  <si>
    <t>J152 [FORMAT]</t>
  </si>
  <si>
    <t>R152 [FORMAT]</t>
  </si>
  <si>
    <t>K153 [FORMAT]</t>
  </si>
  <si>
    <t>J153 [FORMAT]</t>
  </si>
  <si>
    <t>R153 [FORMAT]</t>
  </si>
  <si>
    <t>K154 [FORMAT]</t>
  </si>
  <si>
    <t>J154 [FORMAT]</t>
  </si>
  <si>
    <t>R154 [FORMAT]</t>
  </si>
  <si>
    <t>K155 [FORMAT]</t>
  </si>
  <si>
    <t>J155 [FORMAT]</t>
  </si>
  <si>
    <t>R155 [FORMAT]</t>
  </si>
  <si>
    <t>K156 [FORMAT]</t>
  </si>
  <si>
    <t>J156 [FORMAT]</t>
  </si>
  <si>
    <t>R156 [FORMAT]</t>
  </si>
  <si>
    <t>K157 [FORMAT]</t>
  </si>
  <si>
    <t>J157 [FORMAT]</t>
  </si>
  <si>
    <t>R157 [FORMAT]</t>
  </si>
  <si>
    <t>K158 [FORMAT]</t>
  </si>
  <si>
    <t>J158 [FORMAT]</t>
  </si>
  <si>
    <t>R158 [FORMAT]</t>
  </si>
  <si>
    <t>K159 [FORMAT]</t>
  </si>
  <si>
    <t>J159 [FORMAT]</t>
  </si>
  <si>
    <t>R159 [FORMAT]</t>
  </si>
  <si>
    <t>K160 [FORMAT]</t>
  </si>
  <si>
    <t>J160 [FORMAT]</t>
  </si>
  <si>
    <t>R160 [FORMAT]</t>
  </si>
  <si>
    <t>K161 [FORMAT]</t>
  </si>
  <si>
    <t>J161 [FORMAT]</t>
  </si>
  <si>
    <t>R161 [FORMAT]</t>
  </si>
  <si>
    <t>K162 [FORMAT]</t>
  </si>
  <si>
    <t>J162 [FORMAT]</t>
  </si>
  <si>
    <t>R162 [FORMAT]</t>
  </si>
  <si>
    <t>K163 [FORMAT]</t>
  </si>
  <si>
    <t>J163 [FORMAT]</t>
  </si>
  <si>
    <t>R163 [FORMAT]</t>
  </si>
  <si>
    <t>K164 [FORMAT]</t>
  </si>
  <si>
    <t>J164 [FORMAT]</t>
  </si>
  <si>
    <t>R164 [FORMAT]</t>
  </si>
  <si>
    <t>K165 [FORMAT]</t>
  </si>
  <si>
    <t>J165 [FORMAT]</t>
  </si>
  <si>
    <t>R165 [FORMAT]</t>
  </si>
  <si>
    <t>K166 [FORMAT]</t>
  </si>
  <si>
    <t>J166 [FORMAT]</t>
  </si>
  <si>
    <t>R166 [FORMAT]</t>
  </si>
  <si>
    <t>K167 [FORMAT]</t>
  </si>
  <si>
    <t>J167 [FORMAT]</t>
  </si>
  <si>
    <t>R167 [FORMAT]</t>
  </si>
  <si>
    <t>K168 [FORMAT]</t>
  </si>
  <si>
    <t>J168 [FORMAT]</t>
  </si>
  <si>
    <t>R168 [FORMAT]</t>
  </si>
  <si>
    <t>K169 [FORMAT]</t>
  </si>
  <si>
    <t>J169 [FORMAT]</t>
  </si>
  <si>
    <t>R169 [FORMAT]</t>
  </si>
  <si>
    <t>K170 [FORMAT]</t>
  </si>
  <si>
    <t>J170 [FORMAT]</t>
  </si>
  <si>
    <t>R170 [FORMAT]</t>
  </si>
  <si>
    <t>K171 [FORMAT]</t>
  </si>
  <si>
    <t>J171 [FORMAT]</t>
  </si>
  <si>
    <t>R171 [FORMAT]</t>
  </si>
  <si>
    <t>K172 [FORMAT]</t>
  </si>
  <si>
    <t>J172 [FORMAT]</t>
  </si>
  <si>
    <t>R172 [FORMAT]</t>
  </si>
  <si>
    <t>K173 [FORMAT]</t>
  </si>
  <si>
    <t>J173 [FORMAT]</t>
  </si>
  <si>
    <t>R173 [FORMAT]</t>
  </si>
  <si>
    <t>K174 [FORMAT]</t>
  </si>
  <si>
    <t>J174 [FORMAT]</t>
  </si>
  <si>
    <t>R174 [FORMAT]</t>
  </si>
  <si>
    <t>K175 [FORMAT]</t>
  </si>
  <si>
    <t>J175 [FORMAT]</t>
  </si>
  <si>
    <t>R175 [FORMAT]</t>
  </si>
  <si>
    <t>K176 [FORMAT]</t>
  </si>
  <si>
    <t>J176 [FORMAT]</t>
  </si>
  <si>
    <t>R176 [FORMAT]</t>
  </si>
  <si>
    <t>K177 [FORMAT]</t>
  </si>
  <si>
    <t>J177 [FORMAT]</t>
  </si>
  <si>
    <t>R177 [FORMAT]</t>
  </si>
  <si>
    <t>K178 [FORMAT]</t>
  </si>
  <si>
    <t>J178 [FORMAT]</t>
  </si>
  <si>
    <t>R178 [FORMAT]</t>
  </si>
  <si>
    <t>K179 [FORMAT]</t>
  </si>
  <si>
    <t>J179 [FORMAT]</t>
  </si>
  <si>
    <t>R179 [FORMAT]</t>
  </si>
  <si>
    <t>K180 [FORMAT]</t>
  </si>
  <si>
    <t>J180 [FORMAT]</t>
  </si>
  <si>
    <t>R180 [FORMAT]</t>
  </si>
  <si>
    <t>Conditional formatting</t>
  </si>
  <si>
    <t>B2:B166;K2:K166;K2:K173;Y2:Y168</t>
  </si>
  <si>
    <t>K2:K180;B2:B180;J2:J180;R2:R180;AR2:AR180</t>
  </si>
  <si>
    <t>Replace overlapping/truncated groups with full-range current rules.</t>
  </si>
  <si>
    <t>Independent OOXML read-back.</t>
  </si>
  <si>
    <t>Data validations</t>
  </si>
  <si>
    <t>5 overlapping/truncated categorical ranges</t>
  </si>
  <si>
    <t>K2:K180;B2:B180;C2:C180;J2:J180;R2:R180;AR2:AR180</t>
  </si>
  <si>
    <t>6 non-overlapping full-range validations; last task rows included.</t>
  </si>
  <si>
    <t>AU1:BB180</t>
  </si>
  <si>
    <t>No implementation-specific remaining estimate columns</t>
  </si>
  <si>
    <t>51 linked source reviews + low/base/high remainder; 128 explicit unreviewed</t>
  </si>
  <si>
    <t>Separate actual remaining scope from historical task Hours/P80</t>
  </si>
  <si>
    <t>Source Review; Source Evidence; 14-Sep snapshot</t>
  </si>
  <si>
    <t>Withdraw unsupported dead-file diagnosis; preserve live discipline functions</t>
  </si>
  <si>
    <t>ManagedStatisticalComputeEngine.cs:91-115; AdvancedCorrelationComputeService.cs:117-137</t>
  </si>
  <si>
    <t>M2-P2 Review</t>
  </si>
  <si>
    <t>A1:N35</t>
  </si>
  <si>
    <t>History-only bounded review</t>
  </si>
  <si>
    <t>All 34 P2 source traces, remaining scope and estimates</t>
  </si>
  <si>
    <t>Source-level audit requested by owner</t>
  </si>
  <si>
    <t>51-record Source Review data, Task ID lookup</t>
  </si>
  <si>
    <t>Task Evidence 15Sep</t>
  </si>
  <si>
    <t>51 Task-ID selected rows</t>
  </si>
  <si>
    <t>Historical-only conclusion</t>
  </si>
  <si>
    <t>Implementation evidence and remaining scope</t>
  </si>
  <si>
    <t>Do not erase original closures or claim new runtime tests</t>
  </si>
  <si>
    <t>Source Evidence</t>
  </si>
  <si>
    <t>A32:H84</t>
  </si>
  <si>
    <t>No current remaining breakdown</t>
  </si>
  <si>
    <t>51 proposed low/base/high remaining work estimates</t>
  </si>
  <si>
    <t>Budget estimates unconfirmed; not P80 or actual hours</t>
  </si>
  <si>
    <t>Bottom-up work packages; overlapping ownership separated</t>
  </si>
  <si>
    <t>B11:D17</t>
  </si>
  <si>
    <t>Previous cell-review coverage</t>
  </si>
  <si>
    <t>New source-review/estimate boundaries</t>
  </si>
  <si>
    <t>Explicit coverage and limitations</t>
  </si>
  <si>
    <t>Source Summary</t>
  </si>
  <si>
    <t>CurrentBacklogTable</t>
  </si>
  <si>
    <t>A1:AT180</t>
  </si>
  <si>
    <t>A1:BB180</t>
  </si>
  <si>
    <t>Include new linked columns without shifting task rows</t>
  </si>
  <si>
    <t>Task-ID alignment checks on final XLSX</t>
  </si>
  <si>
    <t>Review 15Sep</t>
  </si>
  <si>
    <t>F10;H10</t>
  </si>
  <si>
    <t>No new remaining estimates</t>
  </si>
  <si>
    <t>Source proposals now available, unconfirmed</t>
  </si>
  <si>
    <t>Preserve old audit while disclosing new work</t>
  </si>
  <si>
    <t>Source Review</t>
  </si>
  <si>
    <t>[['Not Started']]</t>
  </si>
  <si>
    <t>Latest user-supplied T-100/T-261 runner report and CENTRAL sequencing reset</t>
  </si>
  <si>
    <t>Latest owner-supplied runner/hold update; no new live execution claimed</t>
  </si>
  <si>
    <t>AO33</t>
  </si>
  <si>
    <t>[['Not started — no completion claimed']]</t>
  </si>
  <si>
    <t>AP33</t>
  </si>
  <si>
    <t>[['Inherited v2.22.0 intended record; no new runtime certification in this repair.']]</t>
  </si>
  <si>
    <t>[['Use the accepted M1 regression baseline; require empty index and clean owned paths, preserving unrelated user work. Then: T-099 canonical quarantine table/API and first eight PV classes.']]</t>
  </si>
  <si>
    <t>U33</t>
  </si>
  <si>
    <t>[['Own canonical DB/backend/security/API/infra. No W2-owned UI/admin task files and no W3 ML/Assistant runtime.']]</t>
  </si>
  <si>
    <t>V33</t>
  </si>
  <si>
    <t>[['Commit before downstream consumer starts; consumer must use the contract, not redesign producer-owned semantics.']]</t>
  </si>
  <si>
    <t>I33</t>
  </si>
  <si>
    <t>[['Fifteen fixtures, fifteen codes, fifteen passing tests. A test that enumerates the PV enum and fails if any member has no fixture.']]</t>
  </si>
  <si>
    <t>AR33</t>
  </si>
  <si>
    <t>[['INHERITED ESTIMATE']]</t>
  </si>
  <si>
    <t>AJ33</t>
  </si>
  <si>
    <t>[['Inherited baseline estimate']]</t>
  </si>
  <si>
    <t>AY33</t>
  </si>
  <si>
    <t>[['UNCONFIRMED REVIEW ESTIMATE - not P80 or elapsed']]</t>
  </si>
  <si>
    <t>BB33</t>
  </si>
  <si>
    <t>[['14-Sep-2026 snapshot; later closure evidence separate; no live HEAD verification']]</t>
  </si>
  <si>
    <t>M59</t>
  </si>
  <si>
    <t>[['T-106; T-241; T-242; T-243; T-099; T-262']]</t>
  </si>
  <si>
    <t>Latest CENTRAL order makes T-100 final commit the explicit predecessor of T-261</t>
  </si>
  <si>
    <t>N33</t>
  </si>
  <si>
    <t>[['T-101; T-107; T-109; T-128; T-183']]</t>
  </si>
  <si>
    <t>Reciprocal of T-100→T-261 dependency, keyed by Task ID</t>
  </si>
  <si>
    <t>T59</t>
  </si>
  <si>
    <t>[['Consume accepted producer contracts; remaining dependencies: T-106; T-241; T-242; T-243; T-099; T-262. No private scheduler/definition authority. Source-present is not closure proof.\n\nv2.22.1 — Completion prerequisites are the task IDs in column M; contract-only predecessors, if any, are exclusively in column AN. Do not use the rejected v2.22.0 positional columns.']]</t>
  </si>
  <si>
    <t>AO59</t>
  </si>
  <si>
    <t>[['In progress — closure not recorded']]</t>
  </si>
  <si>
    <t>AP59</t>
  </si>
  <si>
    <t>U59</t>
  </si>
  <si>
    <t>[['Own the governed Transformation/Projection executor, job-runtime adapter/evidence seam and targeted tests. Do not redesign Canvas authoring, T-106 capability authority, scheduling, definition lifecycle or frontend UX.']]</t>
  </si>
  <si>
    <t>V59</t>
  </si>
  <si>
    <t>[['T-245 consumes the committed executor. Stable board.nodes[].id remains canonical block identity; T-106 remains the job capability/target/version authority.']]</t>
  </si>
  <si>
    <t>T55</t>
  </si>
  <si>
    <t>[['Consume accepted producer contracts; remaining dependencies: T-243; T-244; T-106; T-261. No private scheduler/definition authority. Source-present is not closure proof.\n\nv2.22.1 — Completion prerequisites are the task IDs in column M; contract-only predecessors, if any, are exclusively in column AN. Do not use the rejected v2.22.0 positional columns.']]</t>
  </si>
  <si>
    <t>[['PREFLIGHT EXECUTED; IMPLEMENTATION NOT STARTED / BLOCKED']]</t>
  </si>
  <si>
    <t>B7</t>
  </si>
  <si>
    <t>[['FIRST EIGHT PRESENT; REMAINING EXECUTION NOT ESTABLISHED']]</t>
  </si>
  <si>
    <t>[['The shared row projector, refusal model, quarantine storage and first-eight-PV tests already exist. Production ProjectionValidationCode call-site census in the supplied backend contains PV01–PV08; enum/catalogue presence alone is not PV09–PV15 execution.']]</t>
  </si>
  <si>
    <t>[['Implement and prove remaining seven PV outcomes using the existing projector/context/quarantine boundary, with positive and per-code negative cases and inherited-boundary regressions.']]</t>
  </si>
  <si>
    <t>[['Backend/PlantProcess.Api/Endpoints/Quarantine/QuarantineEndpoints.cs:8-13 — ownership\nBackend/PlantProcess.Application/Integration/Services/Mapping/MappingRowProjector.cs:630-690 — existing validation pattern']]</t>
  </si>
  <si>
    <t>Backend/PlantProcess.Api/Endpoints/Quarantine/QuarantineEndpoints.cs:8-13 — ownership
Backend/PlantProcess.Application/Integration/Services/Mapping/MappingRowProjector.cs:630-690 — existing validation pattern
Latest owner-supplied conversation update, received 15-Sep-2026; runner/host logs and script bytes were not independently inspected in this workbook update. This supersedes the earlier 14-Sep source-only T-100 estimate, not the frozen Design.
USER-REPORTED: Runner1_1.0.5 SHA256 75B6C7DE78E0A677701BFEDF1EC70D4D1499C8168193B35D503CF26DF76DC7AA; Runner2_1.0.0 SHA256 9C29E607B52114DE680131A0FDE0F840D7CC56D3642FA09F73FD2AB5A7B3D493; Resume-ProjectionQuarantineCompletion_1.0.1.ps1 SHA256 5F6668258E8CAC517793B825AF712C8D8C9355F8CE9C0C69FBC5CAFCBDCB80E6. Names/hashes recorded as supplied, NOT locally verified. Script hashes are not commit IDs.</t>
  </si>
  <si>
    <t>Preserve prior source findings while recording later reported progress</t>
  </si>
  <si>
    <t>[[6]]</t>
  </si>
  <si>
    <t>[[10]]</t>
  </si>
  <si>
    <t>[[16]]</t>
  </si>
  <si>
    <t>[['Remaining validators 3/5/8 + per-class tests 2/4/6 + packaging/closure 1/1/2. No new quarantine engine.']]</t>
  </si>
  <si>
    <t>[[None]]</t>
  </si>
  <si>
    <t>Latest update is reported evidence, not a fresh source/host read. Live classification failed to start; it did not establish a PV product failure. Resume v1.0.1's fix is issued but not verified here. No new commit SHA.</t>
  </si>
  <si>
    <t>T-099 remains CLOSED GREEN at ca02b40ea1b69050a45cb35a3e1d64f15b1f66af; T-100 Runner 1 completed by report, final closure pending.</t>
  </si>
  <si>
    <t>[['T-099 closed; no duplicate declaration/runtime failure vocabulary from T-261/T-262.']]</t>
  </si>
  <si>
    <t>Worker 1/CENTRAL owns the current mutation lock. T-261/Worker 2 waits for T-100 commit. Existing candidate must be preserved; no duplicate projector or PV authority.</t>
  </si>
  <si>
    <t>B33</t>
  </si>
  <si>
    <t>[['CONTRACTS PRESENT; EXECUTOR NOT APPLIED IN PROVIDED SNAPSHOT']]</t>
  </si>
  <si>
    <t>CONTRACTS PRESENT; EXECUTOR NOT APPLIED IN PROVIDED SNAPSHOT
LATEST: HELD PENDING T-100 COMMIT</t>
  </si>
  <si>
    <t>[['The source has the graph compiler nested in VisualMapperEndpoints, exact target resolution and a RecordResolvedTarget domain seam. The orchestrator discards resolved values and dispatches only by enum; CanonicalRefresh remains false and no executor implementation is commissioned. September 14 instructions are authored/held plans, not an applied commit.']]</t>
  </si>
  <si>
    <t>The source has the graph compiler nested in VisualMapperEndpoints, exact target resolution and a RecordResolvedTarget domain seam. The orchestrator discards resolved values and dispatches only by enum; CanonicalRefresh remains false and no executor implementation is commissioned. September 14 instructions are authored/held plans, not an applied commit.
Latest user report retains the semantic design but forbids host mutation until T-100 SHA. No new applied T-261 candidate is evidenced here.</t>
  </si>
  <si>
    <t>[['Do not implement a new schedule or PV taxonomy. Common cancellation seam billed once here; T-106 handles policy/endpoint coordination.']]</t>
  </si>
  <si>
    <t>J33</t>
  </si>
  <si>
    <t>Latest reset supersedes old T-099→T-261→T-100 sequencing. StorageTopologyMap/manifest must be read during the single post-T100 delta; no migration number fixed now.</t>
  </si>
  <si>
    <t>[['REVIEW PROPOSAL — NOT CONFIRMED / NOT P80']]</t>
  </si>
  <si>
    <t>N7</t>
  </si>
  <si>
    <t>[['14-Sep-2026 supplied repository snapshot; later verified session evidence cited separately; No .NET/product DB/browser suite executed in this continuation; test source and cited historical executions distinguished.']]</t>
  </si>
  <si>
    <t>M33</t>
  </si>
  <si>
    <t>M29</t>
  </si>
  <si>
    <t>[['T-261 owns executor and block-evidence storage, T-106 schedule/outcome policy; do not count those implementations again.']]</t>
  </si>
  <si>
    <t>E33</t>
  </si>
  <si>
    <t>[['Accepted workbook state retained; no new task-specific closure recovered. This is not proof that no work happened.']]</t>
  </si>
  <si>
    <t>[['The shared row projector, refusal model, quarantine storage and first-eight-PV tests already exist. Production ProjectionValidationCode call-site census in the supplied backend contains PV01–PV08; enum/catalogue presence alone is not PV09–PV15 execution.\nREMAINS: Implement and prove remaining seven PV outcomes using the existing projector/context/quarantine boundary, with positive and per-code negative cases and inherited-boundary regressions.']]</t>
  </si>
  <si>
    <t>[['Proposed remaining 6/10/16 h, UNCONFIRMED; historical J/R unchanged.']]</t>
  </si>
  <si>
    <t>[['HISTORICAL PRESENTATION WAIT REPLACED BY CURRENT BASELINE/GATE WORDING']]</t>
  </si>
  <si>
    <t>[['\nT-099 closed; no duplicate declaration/runtime failure vocabulary from T-261/T-262.\nRuntime/complete-session proof still not executed/recovered here.']]</t>
  </si>
  <si>
    <t>[['The source has the graph compiler nested in VisualMapperEndpoints, exact target resolution and a RecordResolvedTarget domain seam. The orchestrator discards resolved values and dispatches only by enum; CanonicalRefresh remains false and no executor implementation is commissioned. September 14 instructions are authored/held plans, not an applied commit.\nREMAINS: Extract/reuse the compiler; implement resolver+executor, carry the pre-admission target into the real run, canonical row effects/idempotency/provenance and stable block evidence, common cancellation/status wiring; run Graph/SQL and failure/cancel proof on disposable DB. Include T-262 live Gate 0 once.']]</t>
  </si>
  <si>
    <t>[['\nDo not implement a new schedule or PV taxonomy. Common cancellation seam billed once here; T-106 handles policy/endpoint coordination.\nRuntime/complete-session proof still not executed/recovered here.']]</t>
  </si>
  <si>
    <t>I59</t>
  </si>
  <si>
    <t>[['=TEXTJOIN("; ",TRUE,IF(INDEX(Backlog!$K$2:$K$180,MATCH("T-099",Backlog!$A$2:$A$180,0))="Done","","T-099"),IF(INDEX(Backlog!$K$2:$K$180,MATCH("T-106",Backlog!$A$2:$A$180,0))="Done","","T-106"),IF(INDEX(Backlog!$K$2:$K$180,MATCH("T-241",Backlog!$A$2:$A$180,0))="Done","","T-241"),IF(INDEX(Backlog!$K$2:$K$180,MATCH("T-242",Backlog!$A$2:$A$180,0))="Done","","T-242"),IF(INDEX(Backlog!$K$2:$K$180,MATCH("T-243",Backlog!$A$2:$A$180,0))="Done","","T-243"),IF(INDEX(Backlog!$K$2:$K$180,MATCH("T-262",Backlog!$A$2:$A$180,0))="Done","","T-262"))']]</t>
  </si>
  <si>
    <t>Derived from current saved task/evidence inputs</t>
  </si>
  <si>
    <t>B39</t>
  </si>
  <si>
    <t>[['Remaining validators 3/5/8 + per-class tests 2/4/6 + packaging/closure 1/1/2. No new quarantine engine.\nT-099 closed; no duplicate declaration/runtime failure vocabulary from T-261/T-262.']]</t>
  </si>
  <si>
    <t>[['Same task/scope version. This review corrects evidence, current labels, estimate usability and formatting; no tasks/releases/dependency edges added or removed.']]</t>
  </si>
  <si>
    <t>Same v2.23.0 task/scope version. Latest owner-reported runner progress and CENTRAL sequence are recorded. T-100→T-261 predecessor and reciprocal link updated by Task ID; no new task, feature, release or Design change.</t>
  </si>
  <si>
    <t>[['27 historical estimates not usable; 51 remaining-work proposals now recorded']]</t>
  </si>
  <si>
    <t>28 historical scope estimates unusable; 51 reviews, 50 numeric remainder proposals + 1 unpriced closure remainder</t>
  </si>
  <si>
    <t>[['J/R and historical AS/AT preserved. AV:AX are source-derived low/base/high remaining engineer-hour proposals, UNCONFIRMED and NOT P80; unreviewed work remains blank, not zero.']]</t>
  </si>
  <si>
    <t>T-100 historical J/R retained but unusable; previous 6/10/16 remaining proposal is superseded by reported implementation. UNCONFIRMED closure-only remainder excluded from numerical subtotals, not zero.</t>
  </si>
  <si>
    <t>[['v2.23.0 maintained · Source snapshot 14-Sep-2026 · review 15-Sep-2026 · NOT live-HEAD or release certification']]</t>
  </si>
  <si>
    <t>v2.23.0 maintained · 14-Sep source snapshot + latest 15-Sep USER-REPORTED T-100 runner progress · not live-HEAD certification</t>
  </si>
  <si>
    <t>A3</t>
  </si>
  <si>
    <t>[['51 scoped source assessments: all 34 M2-P2 + 17 other changed-estimate tasks. Full transcripts of the ten named sessions remain unavailable.']]</t>
  </si>
  <si>
    <t>51 source assessments remain; T-100 updated from later reported runner progress. 50 have numeric remainder proposals; T-100 closure-only remainder is UNCONFIRMED. Full ten-session coverage remains incomplete.</t>
  </si>
  <si>
    <t>[['=COUNT(Backlog!$AW$2:$AW$180)']]</t>
  </si>
  <si>
    <t>[['Task set and current status preserved']]</t>
  </si>
  <si>
    <t>179 tasks retained; T-100 Not Started→In Progress only</t>
  </si>
  <si>
    <t>[['Reviewed subset only; focused nominal engineer-hours']]</t>
  </si>
  <si>
    <t>Incomplete subtotal; excludes T-100 UNCONFIRMED closure remainder and unreviewed tasks</t>
  </si>
  <si>
    <t>[['Unconfirmed work breakdown, NOT measured AI P80']]</t>
  </si>
  <si>
    <t>Not a release forecast or P80; excludes unpriced T-100 remainder</t>
  </si>
  <si>
    <t>[['Includes uncertainty; excludes site waits/elapsed soak']]</t>
  </si>
  <si>
    <t>Does not bound T-100 closure effort; estimate not supplied</t>
  </si>
  <si>
    <t>[['Originally invalid/missing estimates reviewed']]</t>
  </si>
  <si>
    <t>Unusable historical scope estimates with source review</t>
  </si>
  <si>
    <t>[['Low/base/high are new engineering review proposals for remaining work, not recovered session facts, owner-confirmed estimates or elapsed time.']]</t>
  </si>
  <si>
    <t>Numeric low/base/high values remain unconfirmed engineering proposals. T-100's previous 6/10/16 was superseded by reported implementation and is now UNCONFIRMED closure-only, not zero.</t>
  </si>
  <si>
    <t>[["The supplied repository dump is dated 14-Sep. Changes on the user's machine after that snapshot cannot be inferred from this workbook."]]</t>
  </si>
  <si>
    <t>Source dump remains 14-Sep. Later T-100 progress is owner-reported, not inspected live source. No inference that issued recovery scripts already passed.</t>
  </si>
  <si>
    <t>A34</t>
  </si>
  <si>
    <t>[['23 saved-XLSX checks passed; 3 injected faults detected. OPEN items are stated below and are not converted to PASS.']]</t>
  </si>
  <si>
    <t>Historical validation below concerns the prior source-review artifact; current runner-update validation is recorded from row 70. Historical checks are not re-claimed as fresh product proof.</t>
  </si>
  <si>
    <t>[['M2-P2 totals 194 / 316 / 511']]</t>
  </si>
  <si>
    <t>HISTORICAL: M2-P2 estimates before T-100 runner update = 194/316/511</t>
  </si>
  <si>
    <t>[['Saved XLSX read-back']]</t>
  </si>
  <si>
    <t>Prior source-review XLSX, not current totals</t>
  </si>
  <si>
    <t>[['Review totals 416 / 694 / 1133']]</t>
  </si>
  <si>
    <t>HISTORICAL: all reviewed estimates before T-100 update = 416/694/1133</t>
  </si>
  <si>
    <t>[['Statuses retained 58/5/116']]</t>
  </si>
  <si>
    <t>HISTORICAL: statuses before T-100 update = 58/5/116</t>
  </si>
  <si>
    <t>Prior source-review XLSX, not current counts</t>
  </si>
  <si>
    <t>[['51 remaining-work estimates are unconfirmed proposals, not calibrated P80.']]</t>
  </si>
  <si>
    <t>50 numeric remainder proposals remain unconfirmed; T-100 closure-only remainder is unpriced. Historical Hours/P80 are not remaining work.</t>
  </si>
  <si>
    <t>LATEST T-100 RUNNER / LOCK UPDATE</t>
  </si>
  <si>
    <t>Evidence class</t>
  </si>
  <si>
    <t>Detail</t>
  </si>
  <si>
    <t>179 tasks / M2 107 / M3 72 retained</t>
  </si>
  <si>
    <t>CHECK ON SAVED FILE</t>
  </si>
  <si>
    <t>Workbook structure</t>
  </si>
  <si>
    <t>No task/release changes</t>
  </si>
  <si>
    <t>Current status counts</t>
  </si>
  <si>
    <t>Workbook values</t>
  </si>
  <si>
    <t>58 Done / 6 In Progress / 115 Not Started</t>
  </si>
  <si>
    <t>T-100 progress, not closure</t>
  </si>
  <si>
    <t>User report recorded</t>
  </si>
  <si>
    <t>Runner1 GREEN, build/constraint passed; live harness blocked; no commit invented</t>
  </si>
  <si>
    <t>T-100→T-261 and reciprocal edge</t>
  </si>
  <si>
    <t>Current owner instruction</t>
  </si>
  <si>
    <t>Backlog, Dependency Graph and Worker Tracks must agree by Task ID</t>
  </si>
  <si>
    <t>No self edges / cycles / M2-on-M3</t>
  </si>
  <si>
    <t>Workbook dependency checks</t>
  </si>
  <si>
    <t>Five external prerequisite IDs retained</t>
  </si>
  <si>
    <t>T-099 frozen record preserved</t>
  </si>
  <si>
    <t>Preserved closure evidence</t>
  </si>
  <si>
    <t>Commit/parent/status unchanged</t>
  </si>
  <si>
    <t>T-100 proposed remainder</t>
  </si>
  <si>
    <t>Forecast hygiene</t>
  </si>
  <si>
    <t>UNCONFIRMED; prior 6/10/16 kept in change history; unknown is not zero</t>
  </si>
  <si>
    <t>A78</t>
  </si>
  <si>
    <t>Current M2-P2 numeric subtotal</t>
  </si>
  <si>
    <t>Incomplete subtotal</t>
  </si>
  <si>
    <t>188/306/495, PLUS unknown T-100 closure effort</t>
  </si>
  <si>
    <t>A79</t>
  </si>
  <si>
    <t>Current reviewed numeric subtotal</t>
  </si>
  <si>
    <t>410/684/1117, PLUS unknown T-100 closure effort</t>
  </si>
  <si>
    <t>A80</t>
  </si>
  <si>
    <t>Source-review coverage</t>
  </si>
  <si>
    <t>Assessment count, not time count</t>
  </si>
  <si>
    <t>51 reviewed scopes; 34 M2-P2; 128 still unreviewed</t>
  </si>
  <si>
    <t>A81</t>
  </si>
  <si>
    <t>Latest recovery runner execution</t>
  </si>
  <si>
    <t>NOT OBSERVED</t>
  </si>
  <si>
    <t>Explicit runtime boundary</t>
  </si>
  <si>
    <t>Resume v1.0.1 issued by report; success not reported and no script executed here</t>
  </si>
  <si>
    <t>Source verdict</t>
  </si>
  <si>
    <t>Remaining scope</t>
  </si>
  <si>
    <t>Code evidence</t>
  </si>
  <si>
    <t>Remaining low h</t>
  </si>
  <si>
    <t>Remaining base h</t>
  </si>
  <si>
    <t>Remaining high h</t>
  </si>
  <si>
    <t>Estimate basis</t>
  </si>
  <si>
    <t>Risks / qualification</t>
  </si>
  <si>
    <t>Historical scope</t>
  </si>
  <si>
    <t>Ownership boundary</t>
  </si>
  <si>
    <t>Closed original scope; zero remaining here does not certify downstream Canvas integration.</t>
  </si>
  <si>
    <t>UI 4/6/9 + contract/negative tests 1/2/3 + targeted closure 1/1/2. Reuse all relationship producer work.</t>
  </si>
  <si>
    <t>Read API/filter/detail 3/4/6 + B4/C2/C3 UI 4/6/10 + drift/retry integration 3/5/8 + tests/closure 2/3/4.</t>
  </si>
  <si>
    <t>Scope-safe lookup/merge 2/4/7 + ambiguity/idempotency tests 1/2/4 + closure 1/1/1.</t>
  </si>
  <si>
    <t>Source-proven ambiguity mechanism: storage permits shared AliasCode across materials/sources; reader selects first by alias alone. No live wrong-material incident asserted.</t>
  </si>
  <si>
    <t>Weight-contract correction 1/2/3 + direct-DB/traversal negatives 2/3/5 + closure 1/1/2. Existing cycle logic is not new work.</t>
  </si>
  <si>
    <t>Confirmed predicate counterexample: abs(0.99-1)=0.01 is not greater than 0.015. T-099 preserved this deliberately; this does not reopen T-099.</t>
  </si>
  <si>
    <t>Row-version/provenance integration 3/5/8 + replay/rollback semantics 3/6/10 + negative tests/closure 2/3/4.</t>
  </si>
  <si>
    <t>Schedule/parser/due-work 8/12/18 + freshness/outcome policy 4/6/10 + cancellation consumer integration 2/4/6 + targeted service/DB tests and runner 4/6/10. Original completed contracts excluded.</t>
  </si>
  <si>
    <t>Confirmed source boundaries, not executed incidents. No Cancelled result currently persists through CompleteAsync. No false claim that the original T-106 runner failed.</t>
  </si>
  <si>
    <t>Pool/admission implementation 6/10/16 + lane/worker integration 3/5/8 + saturation/cancel/closure tests 3/5/8.</t>
  </si>
  <si>
    <t>Tuple contract+reader adaptations 8/12/18 + budget enforcement 4/6/9 + durable staging/replay+projection token 5/8/13 + adverse-boundary tests/closure 5/8/12.</t>
  </si>
  <si>
    <t>The old test checks only returned JSON array shape, not cursor values/exact IDs. Generic bulk-insert dedupe is not proof of delta-path cross-batch replay safety. Confirmed PostgreSQL tie mechanism; other providers require their own tests.</t>
  </si>
  <si>
    <t>Scope resolution/integration 3/5/9 + telemetry/handoff 1/2/4 + idempotent/late-data tests 2/3/5.</t>
  </si>
  <si>
    <t>Query integration 3/5/8 + known-answer/refusal tests 2/3/4 + closure 1/1/2.</t>
  </si>
  <si>
    <t>Session/client/trust implementation 5/8/13 + collector lifecycle 2/4/7 + negative/security/closure tests 3/4/6. Vendor access delays excluded.</t>
  </si>
  <si>
    <t>Browse/registration 3/5/8 + monitored-item/read lifecycle 4/6/10 + limits/refusal/closure tests 3/5/8.</t>
  </si>
  <si>
    <t>Quality/time/canonical adapter 3/5/9 + spool/ack/recovery 4/6/11 + interruption/replay acceptance 3/5/8.</t>
  </si>
  <si>
    <t>Persistence/resolution adapter 2/4/7 + projections/refusal tests 2/3/4 + closure 1/1/2.</t>
  </si>
  <si>
    <t>Persistence/API adapter 2/3/6 + consumer binding 1/2/4 + ambiguity/timezone tests/closure 2/3/4.</t>
  </si>
  <si>
    <t>Persistence/regime adapter 2/4/7 + live-statistics integration 2/4/6 + adversarial tests/closure 2/3/5.</t>
  </si>
  <si>
    <t>Declared relationship adapter 2/4/7 + atomic/rollback and compatibility tests 2/4/6 + closure 1/1/2. Reopen board work costs zero here.</t>
  </si>
  <si>
    <t>Binding/API/UI 3/5/8 + evidence/cancel views 1/2/4 + integration/negative tests 2/3/4.</t>
  </si>
  <si>
    <t>T-261 owns executor and block-evidence storage, T-106 schedule/outcome policy; do not count those implementations again.</t>
  </si>
  <si>
    <t>Fixture/setup/data preparation 2/4/6 + actual connected acceptance and evidence 4/7/11 + triage/replay/closure 2/3/5; remediation implementation excluded.</t>
  </si>
  <si>
    <t>Backend authority extraction/delegation 1/2/4 + consumer mismatch tests/closure 1/2/3. Original frontend/website work excluded.</t>
  </si>
  <si>
    <t>Compiler/dispatch 3/5/8 + executor/write/evidence 6/10/17 + cancellation integration 2/3/5 + Graph/SQL/live Gate0/replay/cancel tests and closure 5/8/12.</t>
  </si>
  <si>
    <t>Real-shell reproduction 1/1/2 + bounded callback correction if confirmed 0/1/2 + focused regression/closure 0/1/2. Consumer Gate0 cost counted in T-261.</t>
  </si>
  <si>
    <t>Suspected user-visible stale-save behavior; dependency omission is directly observed, but no live browser reproduction is claimed. Do not revive withdrawn type-compatibility finding.</t>
  </si>
  <si>
    <t>Real credential resolution, authentication configuration and provider APIs exist. The resolver prioritises username/password in connection_options_json over a reference; the masking test exits successfully without the round-trip when setup fails. The development mint route already refuses outside Development. These facts narrow the repair: it is not a missing licence verifier or a blank-slate connector.</t>
  </si>
  <si>
    <t>Credential boundary+tests 5/8/13; profile/route guards 4/7/11; redaction/deployment verification 3/5/8.</t>
  </si>
  <si>
    <t>No real secret leak or live production exposure was reproduced. Original 8h covers less than the expanded scope.</t>
  </si>
  <si>
    <t>T-121 owns DI/quota logic; T-123 install/upgrade; this estimate covers their security gate, not reimplementation.</t>
  </si>
  <si>
    <t>The strict VerifiedEd25519LicenseService and tier/feature checks exist. Production registration points to that implementation, while Application still registers a separate singleton ILicenseService. The dev mint route refuses outside Development. Commercial limits already have reusable code; the full customer-visible metering/quota workflow is not proven by these registrations.</t>
  </si>
  <si>
    <t>DI and entitlement reconciliation 2/3/5; meters/quota surfaces 5/10/17; acceptance/negative tests 3/5/8.</t>
  </si>
  <si>
    <t>Full metering implementation was not exhaustively traced; wider interval reflects that. Trust-root claims remain withdrawn.</t>
  </si>
  <si>
    <t>T-113 release profile gate; T-165 pricing/cost model, not licence enforcement.</t>
  </si>
  <si>
    <t>A deploy entrypoint and migration/seed commands are already present. The inspected legacy entrypoint selects .env.dev and separates migrate/seed/demo verbs; a canonical migration ledger also exists. This demonstrates reusable deployment infrastructure, not certification that the production packaging chooses only the safe path.</t>
  </si>
  <si>
    <t>Path/ledger convergence 4/7/12; populated-upgrade/rollback tests 5/8/15; clean-host profile/non-root proof 3/5/9.</t>
  </si>
  <si>
    <t>No installation/upgrade/rollback was run. Hardware, privileges and environment wait time are excluded.</t>
  </si>
  <si>
    <t>T-113 security policy is consumed, not re-estimated here.</t>
  </si>
  <si>
    <t>Existing delta import and versioned job/target contracts are reusable. The inspected importer operates on bounded calls but does not supply the complete general chunk-receipt/checkpoint/resume authority required by this task. Generic channel buffers and ML artifact chunks are not evidence of durable job-scope receipts.</t>
  </si>
  <si>
    <t>Chunk/receipt persistence 6/10/16; resume/merge/enforcement 6/11/17; interruption/parallelism tests 4/7/11.</t>
  </si>
  <si>
    <t>General chunk engine absence is based on the inspected runtime paths and symbol census, not every historical script.</t>
  </si>
  <si>
    <t>T-108/109 M2 delta; T-155 measured thresholds; T-159 site certification. No waits/soak included.</t>
  </si>
  <si>
    <t>B-01..B-09 benchmark contracts and a selected-value guard already exist. The guard requires a measured real-subject Production envelope before a value is published. Those are useful measurement tools, not already-measured site capacities or scan-amplification limits.</t>
  </si>
  <si>
    <t>Workload/hook setup 3/5/8; measurement orchestration/analysis 3/5/9; governed result publication 2/4/7.</t>
  </si>
  <si>
    <t>Focused engineer-hours only. Machine run/soak duration, data provisioning and site access excluded; re-estimate if hardware/workload changes.</t>
  </si>
  <si>
    <t>T-110 enforcement implementation and T-159 certification reruns are distinct.</t>
  </si>
  <si>
    <t>The same benchmark envelope and real-subject/Production guards provide an existing basis for certification provenance. No C1-C4 run result on target site hardware was executed or observed in this source pass, so completed fixture tooling does not establish certification.</t>
  </si>
  <si>
    <t>Profile preparation 3/6/10; certification operation/analysis 3/6/11; reconciliation/sign-off evidence 2/4/7.</t>
  </si>
  <si>
    <t>Operational engineering effort only; elapsed soak duration and access waits explicitly excluded.</t>
  </si>
  <si>
    <t>No reimplementation of T-110 or calibration billed again from T-155.</t>
  </si>
  <si>
    <t>Current provenance resolution is a real service and still reads declared legacy/compatibility relations. Existing endpoints and guarded source lookups are reusable; spelling public/canon alone does not prove a broken fresh install. The migration requires a consumer inventory rather than a delete-first schema rewrite.</t>
  </si>
  <si>
    <t>Consumer/route inventory 3/5/8; safe dual routing and consumer convergence 3/5/9; parity/negative tests 2/4/7.</t>
  </si>
  <si>
    <t>544-route count is a task baseline, not a count remeasured in this pass; estimate contingent on full inventory.</t>
  </si>
  <si>
    <t>Do not remove compatibility objects before all live consumers and upgrade paths converge.</t>
  </si>
  <si>
    <t>The shared authoring shell, immutable reopen/output mapping and associative state are real implementation. AssociativeContext models selected/possible/excluded/alternative states and calls the governed widget query. Thus the 75-outcome enterprise remainder is not a blank-slate BI build, and the existence of basic selection must not be overwritten by a visual-template omission.</t>
  </si>
  <si>
    <t>Remaining outcome mapping 4/6/10; advanced UI/runtime integration 14/24/38; parity/accessibility/recovery acceptance 6/10/16.</t>
  </si>
  <si>
    <t>Full 75-row functional re-audit still required; estimate is a scope-budget proposal, not measured task duration.</t>
  </si>
  <si>
    <t>T-267 designs; T-248 implementation; T-249 release acceptance. Existing T-204 selection closure retained.</t>
  </si>
  <si>
    <t>Reporting endpoints already generate investigation/readiness reports and PDFs through IInvestigationReportService and readiness services. This is real reusable output infrastructure. It does not provide the complete E5 versioned report-definition, scheduled output and delivery-history lifecycle.</t>
  </si>
  <si>
    <t>Definition/editor/history 6/10/16; job/output/delivery integration 6/10/16; permission/empty/fidelity/retry tests 4/6/10.</t>
  </si>
  <si>
    <t>T-106 scheduler and generic delivery components not recreated; fixtures alone cannot prove scheduled delivery.</t>
  </si>
  <si>
    <t>Phase8SuggestionOutcomeLoop takes caller-supplied BeforeValue/AfterValue, and its endpoint stores records in a process-wide ConcurrentDictionary. It is not the canonical outcome/feedback authority required by this task. Outcome arithmetic and presentation DTOs may inform migration, but cannot be credited as durable governed feedback.</t>
  </si>
  <si>
    <t>Canonical persistence/evaluation 6/10/17; feedback/poisoning/escalation rules 5/8/13; migration/negative tests 3/6/10.</t>
  </si>
  <si>
    <t>Route mapping exists, but effective caller access in a deployed profile was not exercised.</t>
  </si>
  <si>
    <t>T-190 D6 cutover; T-113 M2 denial; no double price of the same endpoint removal.</t>
  </si>
  <si>
    <t>ManagedStatisticalComputeEngine already invokes BenjaminiHochberg and Bootstrap from StatisticalDiscipline.cs; AdvancedCorrelationComputeService uses EffectRanking, FDR, Bootstrap and stratification. The file is NOT dead. The separate T-177 KernelMethodSelector/GroupComparisonKernel remain referenced by tests rather than these inspected producers, so a narrower pairing/authority cutover remains.</t>
  </si>
  <si>
    <t>Pairing/result-contract cutover 3/5/9; producer/persistence convergence 3/5/8; known-answer/refusal regression 2/4/7.</t>
  </si>
  <si>
    <t>Do not equate obsolete CorrelationService annotation with no live analytical engine. Existing functions and keyed engine registration are visible.</t>
  </si>
  <si>
    <t>T-186 persistent capability authority; this task consumes it and does not implement a second profile store.</t>
  </si>
  <si>
    <t>The website pricing component renders configured licence-plan labels, prices and feature lists. It is not an input-driven infrastructure cost/price calculator, and benchmark evidence machinery exists separately. Therefore some display structure is reusable while measured commercial sizing logic remains unproven.</t>
  </si>
  <si>
    <t>Formula/input authority 3/5/8; sales calculator surface/integration 3/5/9; known-answer/refusal tests 2/4/7.</t>
  </si>
  <si>
    <t>No current commercial prices or site measured sizing invented; public pricing display does not establish cost engine completion.</t>
  </si>
  <si>
    <t>T-121 entitlement differs from commercial pricing; T-155 supplies measurement constants.</t>
  </si>
  <si>
    <t>CapabilityProfiler is a real pure kernel returning measured facts and eligibility/refusal states. It explicitly reads no database. Direct Profile-call census found test callers; persistence and production consumer commissioning are not established. This is integration work around an existing engine, not rebuilding profiling logic.</t>
  </si>
  <si>
    <t>Persistence/versioning 3/5/9; point/governor/consumer integration 3/5/8; deterministic/negative tests 2/4/7.</t>
  </si>
  <si>
    <t>T-171 kernel closed; do not reopen. T-146 consumes the commissioned authority.</t>
  </si>
  <si>
    <t>The legacy outcome endpoints provide a caller-entered/process-memory loop, not durable canonical D6 decisions. Related UI can be reused, but the inspected endpoint returns saved=true after a ConcurrentDictionary write, which must not be presented as canonical persistence.</t>
  </si>
  <si>
    <t>Canonical DTO/permission wiring 3/5/9; D6 state/history cutover 3/5/8; continuity/tampering tests 2/4/7.</t>
  </si>
  <si>
    <t>T-145 owns outcome/effectiveness persistence; this task consumes it. M2 route denial owned by T-113.</t>
  </si>
  <si>
    <t>P15BenchmarkingService exists, but builds anonymised industry demo bands from a stable base value and synthetic multipliers. That is not the required registry-driven internal plant benchmarking. Existing display/privacy ideas are reusable; demo bands must not be credited as measured internal comparisons.</t>
  </si>
  <si>
    <t>Registry/comparison service 4/7/12; result surface/evidence/export 3/6/10; BM01/BM02/tenant tests 3/5/8.</t>
  </si>
  <si>
    <t>No current customer benchmark output or exposure was executed here.</t>
  </si>
  <si>
    <t>T-214/T-240 semantics reused; no industry taxonomy or a second practice engine.</t>
  </si>
  <si>
    <t>The delivered UI dataset contains 40 pages, 87 dialogs and 607 scene descriptions plus a local importer explicitly labelled not run in Figma. Existing product code already handles immutable reopen and associative selections. This is a substantial starting inventory, but static nodes and populated coverage rows are not proof of the required prototype transitions.</t>
  </si>
  <si>
    <t>Semantic/fixture mapping 6/10/15; connected M2 flows 16/24/37; native import/RTL/focus/Word synchronization 6/10/16.</t>
  </si>
  <si>
    <t>No connected Figma run. No 607-frame count used as a percentage complete; whole UI interaction matrix not executed.</t>
  </si>
  <si>
    <t>T-266 OPC design; T-267 M3 design; runtime implementation remains its own task.</t>
  </si>
  <si>
    <t>Flow/state specification 2/4/6 + detailed visual/prototype integration 2/3/5 + semantic acceptance/handoff 2/3/5. No backend implementation counted.</t>
  </si>
  <si>
    <t>The common UI dataset and existing selection/history mechanisms are reusable. Current UI Coverage deliberately separates M2 flows from M3 depth. Neither the inventory nor the native-importer code is evidence that M3 concurrency, version comparison, reports and advanced comparison prototypes were exercised.</t>
  </si>
  <si>
    <t>M3 requirement/producer mapping 5/8/13; advanced connected flows 14/24/38; native/RTL/coverage/chapter checks 5/8/13.</t>
  </si>
  <si>
    <t>Estimate excludes T-248 product implementation and T-249 product certification.</t>
  </si>
  <si>
    <t>No basic selection/clear deferred from M2; no duplicate generic frame batch treated as acceptance.</t>
  </si>
  <si>
    <t>Repository path</t>
  </si>
  <si>
    <t>Symbol</t>
  </si>
  <si>
    <t>First line</t>
  </si>
  <si>
    <t>Last line</t>
  </si>
  <si>
    <t>Source excerpt</t>
  </si>
  <si>
    <t>Export + recorded original SHA256</t>
  </si>
  <si>
    <t>Evidence type</t>
  </si>
  <si>
    <t>Backend/PlantProcess.Application/Relationships/RelationshipService.cs</t>
  </si>
  <si>
    <t>PublishAsync</t>
  </si>
  <si>
    <t>IReadOnlyList&lt;RelationshipEntityDto&gt; entities = counts
            .Select(pair =&gt; new RelationshipEntityDto(pair.Key, pair.Value))
            .ToList();
        return ApplicationResult&lt;IReadOnlyList&lt;RelationshipEntityDto&gt;&gt;.Success(entities);
    }
    public async Task&lt;ApplicationResult&lt;IReadOnlyList&lt;RelationshipDto&gt;&gt;&gt; PublishAsync(
        RelationshipPublicationRequest request, CancellationToken cancellationToken)
    {
        if (request is null)
            return Fail("A publication carries at least one declaration.");
        if (!_tenantAccessor.TryGetTenantId(out var tenantId))
            return Fail("No tenant on the caller; a relationship cannot be published without one.");
        if (request.SourceDefinitionId == Guid.Empty)
            return Fail("A relationship must name the definition that published it.");
        if (request.SourceDefinitionVersion &lt;= 0)
            return Fail("A relationship must name the definition VERSION that published it, so a historical result stays explainable after the model changes.");
        if (request.Relationships is null || request.Relationships.Count == 0)
            return Fail("A publication with no declarations is not a publication.");
        foreach (var declaration in request.Relationships)
        {
            var refusal = Validate(declaration);
            if (refusal is not null) return Fail(refusal);
        }
        var effectiveFromUtc = DateTime.UtcNow;
        // Republication supersedes rather than deletes. The prior emission is
        // retired first so the unique code is free, and its rows stay readable.
        await _store.RetireByDefinitionAsync(tenantId, request.SourceDefinitionId, effectiveFromUtc, cancellationToken);
        foreach (var declaration in request.Relationships)
        {
            await _store.UpsertAsync(
                tenantId, declaration, request.SourceDefinitionId, request.SourceDefinitionVersion,
                effectiveFromUtc, cancellationToken);
        }
        // Returned by reading BACK, never by echoing the request. An emission
        // that cannot be read is not a publication, and echoing would hide that.
        var published = await _store.ReadPublishedAsync(tenantId, null, cancellationToken);
        var emitted = published
            .Where(r =&gt; r.SourceDefinitionId == request.SourceDefinitionId
                        &amp;&amp; r.SourceDefinitionVersion == request.SourceDefinitionVersion)
            .ToList();
        return ApplicationResult&lt;IReadOnlyList&lt;RelationshipDto&gt;&gt;.Success(emitted);
    }
    public async Task&lt;ApplicationResult&lt;int&gt;&gt; RetireByDefinitionAsync(
        Guid sourceDefinitionId, CancellationToken cancellationToken)
    {
        if (!_tenantAccessor.TryGetTenantId(out var tenantId))
            return ApplicationResult&lt;int&gt;.Failure(
                ApplicationError.Validation("No tenant on the caller."));
        var retired = await _store.RetireByDefinitionAsync(
            tenantId, sourceDefinitionId, DateTime.UtcNow, cancellationToken);
        return ApplicationResult&lt;int&gt;.Success(retired);
    }
    /// &lt;summary&gt;
    /// Publication-time rules. Each refusal names its code and says what is
    /// wrong in a sentence, because the person reading it is a plant engineer
    /// looking at their own declaration, not a developer reading a stack trace.
    /// &lt;/summary&gt;</t>
  </si>
  <si>
    <t>01_Backend_Core_14Sep2026_104846.txt
4235F89FCF67C0C7E9749A40E3845E1BDF4A0A56FBB8CAE6925832EBFF19E6AE</t>
  </si>
  <si>
    <t>INSPECTED SOURCE; original-file line range. Export SHA recorded, not independently re-hashed original bytes.</t>
  </si>
  <si>
    <t>ValidateDeclaration</t>
  </si>
  <si>
    <t>private static string? Validate(RelationshipDeclaration d)
    {
        if (d is null) return "A null declaration cannot be published.";
        if (string.IsNullOrWhiteSpace(d.RelationshipCode)) return "A relationship needs a code.";
        if (string.IsNullOrWhiteSpace(d.LeftEntity) || string.IsNullOrWhiteSpace(d.RightEntity))
            return $"{RelationshipPublicationCodes.UnknownVocabulary}: a relationship needs an entity on both sides.";
        if (string.IsNullOrWhiteSpace(d.GrainLeft) || string.IsNullOrWhiteSpace(d.GrainRight))
            return $"{RelationshipPublicationCodes.UnknownVocabulary}: a relationship needs a declared grain on both sides, so a cross-grain join is recognised as one.";
        if (!RelationshipJoinTypes.All.Contains(d.JoinType, StringComparer.Ordinal))
            return $"{RelationshipPublicationCodes.UnknownVocabulary}: '{d.JoinType}' is not a join type.";
        if (!RelationshipCardinalities.All.Contains(d.Cardinality, StringComparer.Ordinal))
            return $"{RelationshipPublicationCodes.UnknownVocabulary}: '{d.Cardinality}' is not a cardinality.";
        if (d.AttributionRule is not null
            &amp;&amp; !RelationshipAttributionRules.All.Contains(d.AttributionRule, StringComparer.Ordinal))
            return $"{RelationshipPublicationCodes.UnknownVocabulary}: '{d.AttributionRule}' is not an attribution rule.";
        var convertsGrain = !string.Equals(d.GrainLeft, d.GrainRight, StringComparison.Ordinal);
        if (convertsGrain
            &amp;&amp; (d.AttributionRule is null
                || string.Equals(d.AttributionRule, RelationshipAttributionRules.None, StringComparison.Ordinal)))
        {
            return $"{RelationshipPublicationCodes.GrainConversionWithoutAttribution}: this relationship converts grain from '{d.GrainLeft}' to '{d.GrainRight}' and must declare how a parent's value is divided across children.";
        }
        if (d.Members is null || d.Members.Count == 0)
            return $"{RelationshipPublicationCodes.MembersOutOfOrderOrIncomplete}: a relationship needs at least one key pair.";
        var orders = d.Members.Select(m =&gt; m.MemberOrder).OrderBy(o =&gt; o).ToArray();
        for (var i = 0; i &lt; orders.Length; i++)
        {
            if (orders[i] != i)
                return $"{RelationshipPublicationCodes.MembersOutOfOrderOrIncomplete}: composite key members must be contiguous from 0; got [{string.Join(", ", orders)}]. Order matters because real plants key on two or three columns.";
        }
        foreach (var member in d.Members)
        {
            if (string.IsNullOrWhiteSpace(member.LeftColumn) || string.IsNullOrWhiteSpace(member.RightColumn))
                return $"{RelationshipPublicationCodes.MembersOutOfOrderOrIncomplete}: key member {member.MemberOrder} is missing a column on one side.";
            // The canonical executor runs equality members. A comparison it cannot run
            // must not be publishable: a relationship the product accepts and its only</t>
  </si>
  <si>
    <t>Backend/PlantProcess.Application/Relationships/RelationshipResolver.cs</t>
  </si>
  <si>
    <t>ResolveAsync</t>
  </si>
  <si>
    <t>public async Task&lt;ApplicationResult&lt;RelationshipResolutionDto&gt;&gt; ResolveAsync(
        string fromEntity, string toEntity, string purpose, CancellationToken cancellationToken)
    {
        if (string.IsNullOrWhiteSpace(fromEntity) || string.IsNullOrWhiteSpace(toEntity))
            return Invalid("A resolution needs an entity on both sides.");
        if (string.IsNullOrWhiteSpace(purpose))
            return Invalid("A resolution needs a purpose: an unproven relationship is usable by exploration and not by anything automated, and that cannot be decided without knowing who is asking.");
        if (!RelationshipConsumerPurposes.All.Contains(purpose, StringComparer.Ordinal))
            return Invalid($"'{purpose}' is not a declared consumer purpose.");
        var published = await _relationships.GetPublishedAsync(null, cancellationToken);
        if (published.IsFailure)
            return ApplicationResult&lt;RelationshipResolutionDto&gt;.Failure(published.Error!);
        var from = fromEntity.Trim();
        var to = toEntity.Trim();
        if (string.Equals(from, to, StringComparison.Ordinal))
        {
            // An entity joins to itself without a relationship. Saying so is not
            // the same as claiming a path exists.
            return Ok(new RelationshipResolutionDto(
                from, to, purpose, true, Array.Empty&lt;RelationshipPathStepDto&gt;(),
                false, null, null, Array.Empty&lt;string&gt;()));
        }
        var edges = BuildEdges(published.Value!);
        var candidates = FindShortestPaths(edges, from, to);
        if (candidates.Count == 0)
        {
            return Ok(Refuse(from, to, purpose,
                RelationshipRefusalCodes.NoPath,
                $"No declared relationship path connects '{from}' to '{to}'. The model has to say how two things relate before anything may join them.",
                Array.Empty&lt;string&gt;()));
        }
        var names = candidates.Select(Describe).ToList();
        var chosen = candidates.Count == 1 ? candidates[0] : ChoosePreferred(candidates);
        if (chosen is null)
        {
            return Ok(Refuse(from, to, purpose,
                RelationshipRefusalCodes.AmbiguousPath,
                $"'{from}' reaches '{to}' by more than one declared path and none is marked preferred. Both are named rather than one being chosen, because the answer would otherwise depend on which was looked at first: {string.Join(" | ", names)}.",
                names));
        }
        // RL02. Exploration is manual and may traverse an unproven relationship.
        // Everything else is automated, and an automated consumer that trains,
        // scores or projects across an unproven join produces a result nobody
        // can defend.
        if (RelationshipConsumerPurposes.IsAutomated(purpose))
        {
            var unproven = chosen
                .Where(e =&gt; !string.Equals(e.Relationship.ValidationState, RelationshipValidationStates.Validated, StringComparison.Ordinal))
                .Select(e =&gt; e.Relationship.RelationshipCode)
                .OrderBy(c =&gt; c, StringComparer.Ordinal)
                .ToList();
            if (unproven.Count &gt; 0)
            {
                return Ok(Refuse(from, to, purpose,
                    RelationshipRefusalCodes.UnprovenRelationship,
                    $"The path from '{from}' to '{to}' runs through {string.Join(", ", unproven)}, which nobody has proven against real data. '{purpose}' is automated, so it may not use it; manual exploration still may.",
                    names));
            }
        }
        var steps = chosen
            .Select(e =&gt; new RelationshipPathStepDto(e.Relationship.Id, e.From, e.To))
            .ToList();
        return Ok(new RelationshipResolutionDto(
            from, to, purpose, true, steps,
            chosen.Any(e =&gt; e.Relationship.IsGrainConverting),
            null, null, names));</t>
  </si>
  <si>
    <t>01_Backend_Core_14Sep2026_104846.txt
CF80A487057CE68B75618A7589B5A47CF690DBAFE59835EC9A1CB8B36D67EC9D</t>
  </si>
  <si>
    <t>Backend/tests/PlantProcess.Architecture.Tests/RelationshipConsumerBarrierTests.cs</t>
  </si>
  <si>
    <t>ConsumerFamilies</t>
  </si>
  <si>
    <t>private static readonly IReadOnlyDictionary&lt;string, string[]&gt; ConsumerFamilies =
        new Dictionary&lt;string, string[]&gt;(StringComparer.Ordinal)
        {
            // Routed by T-096.
            ["Projection"] = new[] { @"Backend\PlantProcess.Application\Dashboarding\Services\Dimensions" },
            ["QueryCompiler"] = new[] { @"Backend\PlantProcess.Application\Dashboarding\Services\Queries" },
            ["AssociativeFiltering"] = new[] { @"Backend\PlantProcess.Application\Dashboarding\Services\Queries" },
            ["DrillDown"] = new[] { @"Backend\PlantProcess.Application\Dashboarding\Services\Queries" },
            ["DrillThrough"] = new[] { @"Backend\PlantProcess.Application\Dashboarding\Services\Queries" },
            ["Genealogy"] = new[] { @"Backend\PlantProcess.Application\Services\Materials" },
            ["StatisticalAnalysis"] = new[] { @"Backend\PlantProcess.Application\Analytics\Services" },
            ["Correlation"] = new[]
            {
                @"Backend\PlantProcess.Application\Analytics\Engines",
                @"Backend\PlantProcess.Application\Analytics\Advanced"
            },
            // Covered by T-097.
            ["FeatureEngineering"] = new[]
            {
                @"Backend\PlantProcess.Application\Analytics\Services",
                @"Backend\PlantProcess.Application\Analytics\Interfaces"
            },
            ["ModelTraining"] = new[] { @"Backend\PlantProcess.Application\Analytics\Training" },
            ["Prediction"] = new[]
            {
                @"Backend\PlantProcess.Application\Analytics\Contracts",
                @"Backend\PlantProcess.Application\Analytics\Prediction"
            },
            ["PracticeLearning"] = new[] { @"Backend\PlantProcess.Application\Analytics\Practice" },
            ["RemediationSearch"] = new[] { @"Backend\PlantProcess.Application\Analytics\Remediation" },
            ["ValueCalculation"] = new[] { @"Backend\PlantProcess.Application\Analytics\Value" },
            ["Assistant"] = new[]
            {
                @"Backend\PlantProcess.Application\Assistant",
                @"Backend\PlantProcess.Application\AssistantRuntime"
            },
            ["Evidence"] = new[]
            {
                @"Backend\PlantProcess.Application\Provenance",
                @"Backend\PlantProcess.Application\Analytics\Value"
            }</t>
  </si>
  <si>
    <t>03_Backend_Tests_14Sep2026_104846.txt
1AA9C082D30D7D1BD76D13D90909F94F1347D7EAEA4C5C7FFC816BED7C0EFA38</t>
  </si>
  <si>
    <t>barrier semantics</t>
  </si>
  <si>
    <t>/// &lt;summary&gt;
/// The permanent barrier. Sixteen consumer families, one path authority, and no lawful
/// way for a seventeenth idea to appear.
///
/// T-096 removed the second path authority and routed the first eight families through
/// the canonical one. This finishes the job for the remaining eight and, more
/// importantly, makes the arrangement durable: the failure this guards against is not a
/// mistake anyone is making today, it is the one a future author makes six months from
/// now when a join is needed and the resolver seems like a detour.
///
/// WHAT IS FORBIDDEN, and only this:
///
///   reaching relationship persistence directly;
///   injecting the relationship store;
///   searching for a path;
///   choosing a preferred path;
///   inferring a relationship from names;
///   reading foreign-key metadata to decide how two subjects connect;
///   quietly joining anyway after the authority has refused.
///
/// WHAT IS EXPLICITLY ALLOWED, because forbidding it would be absurd:
///
///   intrinsic navigation on a row's own owning key;
///   fixed joins between known canonical entities;
///   lookups by an identity already resolved;
///   packaging and hashing evidence.
///
/// That distinction is the whole difficulty. A consumer that writes
/// `x.MaterialUnitId == materialUnitId` has not chosen anything - the key is the row's
/// own. A consumer that works out WHICH key connects two subjects has chosen, and that
/// decision belongs to the relationship model where a plant can publish, prefer and
/// retire it. The guard below is written to catch the second without ever flagging the
/// first, because a barrier that cries wolf is a barrier someone eventually deletes.</t>
  </si>
  <si>
    <t>consumer and forbidden-authority inventory</t>
  </si>
  <si>
    <t>private static readonly IReadOnlyDictionary&lt;string, string[]&gt; ConsumerFamilies =
        new Dictionary&lt;string, string[]&gt;(StringComparer.Ordinal)
        {
            // Routed by T-096.
            ["Projection"] = new[] { @"Backend\PlantProcess.Application\Dashboarding\Services\Dimensions" },
            ["QueryCompiler"] = new[] { @"Backend\PlantProcess.Application\Dashboarding\Services\Queries" },
            ["AssociativeFiltering"] = new[] { @"Backend\PlantProcess.Application\Dashboarding\Services\Queries" },
            ["DrillDown"] = new[] { @"Backend\PlantProcess.Application\Dashboarding\Services\Queries" },
            ["DrillThrough"] = new[] { @"Backend\PlantProcess.Application\Dashboarding\Services\Queries" },
            ["Genealogy"] = new[] { @"Backend\PlantProcess.Application\Services\Materials" },
            ["StatisticalAnalysis"] = new[] { @"Backend\PlantProcess.Application\Analytics\Services" },
            ["Correlation"] = new[]
            {
                @"Backend\PlantProcess.Application\Analytics\Engines",
                @"Backend\PlantProcess.Application\Analytics\Advanced"
            },
            // Covered by T-097.
            ["FeatureEngineering"] = new[]
            {
                @"Backend\PlantProcess.Application\Analytics\Services",
                @"Backend\PlantProcess.Application\Analytics\Interfaces"
            },
            ["ModelTraining"] = new[] { @"Backend\PlantProcess.Application\Analytics\Training" },
            ["Prediction"] = new[]
            {
                @"Backend\PlantProcess.Application\Analytics\Contracts",
                @"Backend\PlantProcess.Application\Analytics\Prediction"
            },
            ["PracticeLearning"] = new[] { @"Backend\PlantProcess.Application\Analytics\Practice" },
            ["RemediationSearch"] = new[] { @"Backend\PlantProcess.Application\Analytics\Remediation" },
            ["ValueCalculation"] = new[] { @"Backend\PlantProcess.Application\Analytics\Value" },
            ["Assistant"] = new[]
            {
                @"Backend\PlantProcess.Application\Assistant",
                @"Backend\PlantProcess.Application\AssistantRuntime"
            },
            ["Evidence"] = new[]
            {
                @"Backend\PlantProcess.Application\Provenance",
                @"Backend\PlantProcess.Application\Analytics\Value"
            }
        };
    /// &lt;summary&gt;
    /// Each token is a way of deciding a semantic path, and none of them is a way of
    /// following a key you were given. They are matched against comment-stripped source
    /// so that describing the rule is never mistaken for breaking it.
    /// &lt;/summary&gt;
    private static readonly (string Token, string Why)[] ForbiddenTokens =
    {
        ("plant_relationships", "reads relationship persistence directly"),
        ("plant_relationship_members", "reads relationship persistence directly"),
        ("plant_relationship_paths", "reads relationship persistence directly"),
        ("IRelationshipStore", "injects the relationship store instead of depending on the resolver"),
        ("NpgsqlRelationshipStore", "names the concrete relationship store"),
        ("GetForeignKeys(", "reads foreign-key metadata to decide how two subjects connect"),
        ("IsPreferredPath", "decides preference itself; preference is governed data"),
        ("ShortestPath", "searches for a path instead of asking for one"),
        ("BreadthFirst", "searches for a path instead of asking for one")</t>
  </si>
  <si>
    <t>Backend/PlantProcess.Api/Endpoints/Relationships/RelationshipEndpoints.cs</t>
  </si>
  <si>
    <t>MapRelationshipEndpoints</t>
  </si>
  <si>
    <t>public static class RelationshipEndpoints
{
    public static IEndpointRouteBuilder MapRelationshipEndpoints(this IEndpointRouteBuilder app)
    {
        var group = app
            .MapGroup("/api/relationships")
            .RequireAuthorization()
            .WithTags("Relationships");
        group.MapGet("/", async (
            string? entity,
            IRelationshipService service,
            CancellationToken cancellationToken) =&gt;
        {
            var result = await service.GetPublishedAsync(entity, cancellationToken);
            return result.IsSuccess
                ? Results.Ok(result.Value)
                : Results.Problem(title: result.Error!.Code, detail: result.Error!.Message, statusCode: StatusCodes.Status400BadRequest);
        });
        group.MapGet("/entities", async (
            IRelationshipService service,
            CancellationToken cancellationToken) =&gt;
        {
            var result = await service.GetEntitiesAsync(cancellationToken);
            return result.IsSuccess
                ? Results.Ok(result.Value)
                : Results.Problem(title: result.Error!.Code, detail: result.Error!.Message, statusCode: StatusCodes.Status400BadRequest);
        });
        group.MapGet("/{id:guid}", async (
            Guid id,
            IRelationshipService service,
            CancellationToken cancellationToken) =&gt;
        {
            var result = await service.GetByIdAsync(id, cancellationToken);
            if (result.IsSuccess) return Results.Ok(result.Value);
            return result.Error!.Type == PlantProcess.Application.Common.Results.ApplicationErrorType.NotFound
                ? Results.NotFound(new { code = result.Error!.Code, message = result.Error!.Message })
                : Results.Problem(title: result.Error!.Code, detail: result.Error!.Message, statusCode: StatusCodes.Status400BadRequest);
        });
        group.MapPost("/{id:guid}/validate", async (
            Guid id,
            IRelationshipValidationService validation,
            CancellationToken cancellationToken) =&gt;
        {
            // The body is empty on purpose. The server derives the state from evidence;
            // a request that could name the state it wanted would be a way to assert
            // proof without producing it.
            try
            {
                var result = await validation.ValidateAsync(id, cancellationToken);
                if (result.IsSuccess) return Results.Ok(result.Value);
                return result.Error!.Type == PlantProcess.Application.Common.Results.ApplicationErrorType.NotFound
                    ? Results.NotFound(new { code = result.Error!.Code, message = result.Error!.Message })
                    : Results.Problem(title: result.Error!.Code, detail: result.Error!.Message, statusCode: StatusCodes.Status400BadRequest);
            }
            catch (RelationshipPlanExecutionException unexecutable)
            {
                // The relationship could not be evaluated against the mapped model. Nothing
                // was persisted; the plant is told which member did not map.
                return Results.Problem(
                    title: RelationshipPlanExecutionException.Reason,
                    detail: unexecutable.Message,
                    statusCode: StatusCodes.Status422UnprocessableEntity);
            }
        });
        return app;</t>
  </si>
  <si>
    <t>01_Backend_Core_14Sep2026_104846.txt
9245F5C2BBB60A7C3B387815B560A3FFC8DAECD3F2986937167BBDDAAB1C3945</t>
  </si>
  <si>
    <t>path results</t>
  </si>
  <si>
    <t>var edges = BuildEdges(published.Value!);
        var candidates = FindShortestPaths(edges, from, to);
        if (candidates.Count == 0)
        {
            return Ok(Refuse(from, to, purpose,
                RelationshipRefusalCodes.NoPath,
                $"No declared relationship path connects '{from}' to '{to}'. The model has to say how two things relate before anything may join them.",
                Array.Empty&lt;string&gt;()));
        }
        var names = candidates.Select(Describe).ToList();
        var chosen = candidates.Count == 1 ? candidates[0] : ChoosePreferred(candidates);
        if (chosen is null)
        {
            return Ok(Refuse(from, to, purpose,
                RelationshipRefusalCodes.AmbiguousPath,
                $"'{from}' reaches '{to}' by more than one declared path and none is marked preferred. Both are named rather than one being chosen, because the answer would otherwise depend on which was looked at first: {string.Join(" | ", names)}.",
                names));
        }
        // RL02. Exploration is manual and may traverse an unproven relationship.
        // Everything else is automated, and an automated consumer that trains,
        // scores or projects across an unproven join produces a result nobody
        // can defend.
        if (RelationshipConsumerPurposes.IsAutomated(purpose))
        {
            var unproven = chosen
                .Where(e =&gt; !string.Equals(e.Relationship.ValidationState, RelationshipValidationStates.Validated, StringComparison.Ordinal))
                .Select(e =&gt; e.Relationship.RelationshipCode)
                .OrderBy(c =&gt; c, StringComparer.Ordinal)
                .ToList();
            if (unproven.Count &gt; 0)
            {
                return Ok(Refuse(from, to, purpose,
                    RelationshipRefusalCodes.UnprovenRelationship,
                    $"The path from '{from}' to '{to}' runs through {string.Join(", ", unproven)}, which nobody has proven against real data. '{purpose}' is automated, so it may not use it; manual exploration still may.",
                    names));
            }
        }
        var steps = chosen
            .Select(e =&gt; new RelationshipPathStepDto(e.Relationship.Id, e.From, e.To))
            .ToList();
        return Ok(new RelationshipResolutionDto(
            from, to, purpose, true, steps,
            chosen.Any(e =&gt; e.Relationship.IsGrainConverting),
            null, null, names));</t>
  </si>
  <si>
    <t>Backend/PlantProcess.Application/Integration/Services/Mapping/MappingRowProjector.cs</t>
  </si>
  <si>
    <t>MapMaterialUnitAsync</t>
  </si>
  <si>
    <t>private async Task&lt;RowProjectionOutcome&gt; MapMaterialUnitAsync(
        MappingDefinition mapping,
        RowReader reader,
        StagingRecord stagingRecord,
        MappingExecutionContext context,
        bool previewOnly,
        CancellationToken cancellationToken)
    {
        var materialCode = reader.RequiredString("MaterialCode");
        var materialUnitType = reader.RequiredString("MaterialUnitType");
        var siteRaw = reader.OptionalString("SiteId") ?? reader.OptionalString("SiteCode");
        if (reader.Failed)
            return Refused(reader);
        var siteId = await ResolveSiteIdAsync(reader, siteRaw, cancellationToken);
        if (reader.Failed)
            return Refused(reader);
        // PV07 against the governed catalogue, never against a list written here.
        var typeRefusal = await ClassifyMaterialUnitTypeAsync(materialUnitType!, cancellationToken);
        if (typeRefusal is not null)
            return RowProjectionOutcome.Quarantined(typeRefusal);
        var duplicate = context.ClaimBusinessKey($"MaterialUnit|{siteId}|{materialCode}", stagingRecord.RowNumber);
        if (duplicate.HasValue)
            return RowProjectionOutcome.Quarantined(DuplicateInExecution("MaterialUnit", materialCode!, duplicate.Value));
        var existing = await _dbContext.MaterialUnits
            .AsNoTracking()
            .Where(x =&gt; x.SiteId == siteId &amp;&amp; x.MaterialCode == materialCode)
            .Select(x =&gt; x.Id)
            .FirstOrDefaultAsync(cancellationToken);
        if (existing != Guid.Empty)
        {
            // Lawful idempotency preserved: the existing contract skips, and
            // turning that into PV04 would quarantine correct re-projection.
            if (!previewOnly)
                stagingRecord.MarkSkipped($"MaterialUnit already exists: {materialCode}.");
            return RowProjectionOutcome.Skipped(existing, "MaterialUnit", $"MaterialUnit already exists: {materialCode}.");</t>
  </si>
  <si>
    <t>01_Backend_Core_14Sep2026_104846.txt
B17144B6986CDC3690CA0373BBD642AAE6EFD487FC10D631B831D3C45A537699</t>
  </si>
  <si>
    <t>Backend/PlantProcess.Api/Endpoints/Quarantine/QuarantineEndpoints.cs</t>
  </si>
  <si>
    <t>bounded reprocess surface</t>
  </si>
  <si>
    <t>/// PPIQ T-099. The bounded reprocess surface, and nothing else.
///
/// T-099 owns POST /api/quarantine/reprocess only. List, detail, dismiss and
/// Mapping Health are T-101's, and adding them here early would put unproven
/// product surface in front of a customer.
/// &lt;/summary&gt;
public static class QuarantineEndpoints
{
    public static IEndpointRouteBuilder MapQuarantineEndpoints(this IEndpointRouteBuilder app)
    {
        var group = app.MapGroup("/api/quarantine")
            .WithTags("Quarantine");
        group.MapPost("/reprocess", ReprocessAsync);
        return app;
    }
    private static async Task&lt;IResult&gt; ReprocessAsync(
        ReprocessQuarantineRequest request,
        [FromServices] IProjectionQuarantineReprocessService service,
        CancellationToken cancellationToken)
    {
        var result = await service.ReprocessAsync(request.QuarantineId, request.TenantCode, cancellationToken);
        return result.ToHttpResult(value =&gt; Results.Ok(value));</t>
  </si>
  <si>
    <t>01_Backend_Core_14Sep2026_104846.txt
60DA2F4A57AEA693A515FBE3DEA0441023938C9C3BBB631DB7D30C1F842446C7</t>
  </si>
  <si>
    <t>Backend/database/scripts/841_genealogy_edge_weight_guard_topology_parity.sql</t>
  </si>
  <si>
    <t>narrow topology correction</t>
  </si>
  <si>
    <t>-- PPIQ T-099 (owned by CENTRAL ruling of 13-Sep-2026, option b).
--
-- WHAT WAS WRONG. 550 created the deferred constraint trigger
-- ppiq_genealogy_edge_weight_guard_after_change on public.genealogy_edges with
-- a plpgsql body that reads FROM public.genealogy_edges by name. When the T-090
-- storage topology convergence relocated the table to ppiq_plant, the trigger
-- followed the table, as triggers do, but the function body kept the old
-- schema-qualified name. On any database built from the canonical path every
-- INSERT, UPDATE or DELETE on genealogy_edges therefore fails at COMMIT with
-- 42P01 relation "public.genealogy_edges" does not exist. The first canonical
-- from-zero insert of a GenealogyEdge in the repository's history was T-099's
-- PV04 live gate, which is how this surfaced.
--
-- THE FIX. The function now reads from the relation the trigger actually fired
-- on, TG_TABLE_SCHEMA.TG_TABLE_NAME, so it follows the table under any future
-- placement instead of hard-coding one. Semantics are otherwise unchanged: the
-- same aggregate, the same tolerance, the same exception text, RETURN NULL.
-- Nothing else from 550 is touched. The trigger is not recreated.</t>
  </si>
  <si>
    <t>02_Backend_Database_14Sep2026_104846.txt
A9F5DF32B340D7BE3C37AD111F229894834924F789E8AEA7AFE6BFAAE0FCBC9F</t>
  </si>
  <si>
    <t>ownership</t>
  </si>
  <si>
    <t>/// PPIQ T-099. The bounded reprocess surface, and nothing else.
///
/// T-099 owns POST /api/quarantine/reprocess only. List, detail, dismiss and
/// Mapping Health are T-101's, and adding them here early would put unproven
/// product surface in front of a customer.
/// &lt;/summary&gt;</t>
  </si>
  <si>
    <t>existing validation pattern</t>
  </si>
  <si>
    <t>/// PV07. The catalogue decides, not this file. When the catalogue carries no
    /// active entry the product has not yet governed this vocabulary, and
    /// refusing every row against an empty catalogue would be a false refusal.
    /// &lt;/summary&gt;
    private async Task&lt;RowValidationRefusal?&gt; ClassifyMaterialUnitTypeAsync(string materialUnitType, CancellationToken cancellationToken)
    {
        var governed = await _dbContext.MaterialUnitTypeDefinitions
            .AsNoTracking()
            .AnyAsync(x =&gt; x.IsActive, cancellationToken);
        if (!governed)
            return null;
        var registered = await _dbContext.MaterialUnitTypeDefinitions
            .AsNoTracking()
            .AnyAsync(x =&gt; x.IsActive &amp;&amp; x.MaterialUnitTypeCode == materialUnitType, cancellationToken);
        if (registered)
            return null;
        return new RowValidationRefusal(
            ProjectionValidationCode.PV07,
            $"Material unit type '{materialUnitType}' is not registered in the governed material unit type catalogue.",
            materialUnitType);
    }
    /// &lt;summary&gt;
    /// PV08. The governed parameter definition is the unit authority. A
    /// definition that declares no unit governs nothing, so a supplied unit is
    /// lawful there.
    /// &lt;/summary&gt;
    private async Task&lt;RowValidationRefusal?&gt; ClassifyUnitOfMeasureAsync(
        Guid parameterDefinitionId,
        string? suppliedUnit,
        CancellationToken cancellationToken)
    {
        if (string.IsNullOrWhiteSpace(suppliedUnit))
            return null;
        var governedUnit = await _dbContext.ParameterDefinitions
            .AsNoTracking()
            .Where(x =&gt; x.Id == parameterDefinitionId)
            .Select(x =&gt; x.UnitOfMeasure)
            .FirstOrDefaultAsync(cancellationToken);
        if (string.IsNullOrWhiteSpace(governedUnit))
            return null;
        if (string.Equals(governedUnit, suppliedUnit, StringComparison.OrdinalIgnoreCase))
            return null;
        return new RowValidationRefusal(
            ProjectionValidationCode.PV08,
            $"Unit '{suppliedUnit}' is not the governed unit '{governedUnit}' for this parameter definition.",
            suppliedUnit);
    }
    private static RowValidationRefusal DuplicateInExecution(string entityName, string key, int ownerRowNumber) =&gt;
        new(ProjectionValidationCode.PV05,
            $"Row {ownerRowNumber} in this execution already declares the same governed {entityName} business key.",
            key);</t>
  </si>
  <si>
    <t>MapQuarantineEndpoints</t>
  </si>
  <si>
    <t>Backend/PlantProcess.Application/Integration/Services/Staging/StagingRecordService.cs</t>
  </si>
  <si>
    <t>durable staging identity</t>
  </si>
  <si>
    <t>var exists = await _dbContext.StagingRecords.AnyAsync(x =&gt;
                    x.ImportBatchId == command.ImportBatchId &amp;&amp;
                    x.SourceObjectName == command.SourceObjectName.Trim() &amp;&amp;
                    x.RowNumber == row.RowNumber,
                cancellationToken);
            if (exists)
            {
                rejected.Add(new StagingRecordBulkRejectedRow(row.RowNumber, "Staging record already exists for this import batch/source object/row number."));
                continue;
            }
            var stagingRecord = new StagingRecord(
                importBatchId: command.ImportBatchId,
                sourceObjectName: command.SourceObjectName,
                rowNumber: row.RowNumber,
                rawJson: row.RawJson,
                isSynthetic: command.Metadata.IsSynthetic,
                sourceSystem: command.Metadata.SourceSystem,
                sourceRecordId: row.SourceRecordId ?? command.Metadata.SourceRecordId);
            _dbContext.StagingRecords.Add(stagingRecord);
            accepted++;
        }
        await _dbContext.SaveChangesAsync(cancellationToken);</t>
  </si>
  <si>
    <t>01_Backend_Core_14Sep2026_104846.txt
265AC37E0713AB1B6EFFE4C1CCA8A7D7E6DF29A479D81004D6E050811904CA65</t>
  </si>
  <si>
    <t>MapMaterialAliasAsync</t>
  </si>
  <si>
    <t>var duplicate = context.ClaimBusinessKey($"MaterialAlias|{materialId}|{aliasCode}|{sourceSystem}", stagingRecord.RowNumber);
        if (duplicate.HasValue)
            return RowProjectionOutcome.Quarantined(DuplicateInExecution("MaterialAlias", aliasCode!, duplicate.Value));
        var exists = await _dbContext.MaterialAliases
            .AsNoTracking()
            .AnyAsync(x =&gt; x.MaterialUnitId == materialId &amp;&amp; x.AliasCode == aliasCode &amp;&amp; x.SourceSystem == sourceSystem, cancellationToken);
        if (exists)
        {
            if (!previewOnly)
                stagingRecord.MarkSkipped($"MaterialAlias already exists: {aliasCode}.");
            return RowProjectionOutcome.Skipped(materialId, "MaterialAlias", $"MaterialAlias already exists: {aliasCode}.");
        }
        var alias = new MaterialAlias(materialId!.Value, aliasCode!, sourceSystem, aliasType, stagingRecord.IsSynthetic);
        if (!previewOnly)
        {
            _dbContext.MaterialAliases.Add(alias);
            stagingRecord.MarkMapped(alias.Id, "MaterialAlias");</t>
  </si>
  <si>
    <t>ResolveMaterialIdAsync</t>
  </si>
  <si>
    <t>var materialCode = reader.OptionalString(materialCodeField);
        if (!string.IsNullOrWhiteSpace(materialCode))
        {
            var id = await _dbContext.MaterialUnits
                .AsNoTracking()
                .Where(x =&gt; x.MaterialCode == materialCode)
                .Select(x =&gt; x.Id)
                .FirstOrDefaultAsync(cancellationToken);
            if (id != Guid.Empty)
                return id;
        }
        var aliasCode = reader.OptionalString(aliasCodeField);
        if (!string.IsNullOrWhiteSpace(aliasCode))
        {
            var id = await _dbContext.MaterialAliases
                .AsNoTracking()
                .Where(x =&gt; x.AliasCode == aliasCode)
                .Select(x =&gt; x.MaterialUnitId)
                .FirstOrDefaultAsync(cancellationToken);
            if (id != Guid.Empty)
                return id;</t>
  </si>
  <si>
    <t>Backend/PlantProcess.Infrastructure/Persistence/Configurations/Materials/MaterialAliasConfiguration.cs</t>
  </si>
  <si>
    <t>composite unique</t>
  </si>
  <si>
    <t>builder.HasIndex(x =&gt; x.MaterialUnitId);
        builder.HasIndex(x =&gt; x.AliasCode);
        builder.HasIndex(x =&gt; x.SourceSystem);
        builder.HasIndex(x =&gt; new
        {
            x.MaterialUnitId,
            x.AliasCode,
            x.SourceSystem
        }).IsUnique();</t>
  </si>
  <si>
    <t>01_Backend_Core_14Sep2026_104846.txt
459B290721ED85AA7B6A3A065CEA9F1CDB1308B115F17DDA29237371FC877712</t>
  </si>
  <si>
    <t>Backend/PlantProcess.Infrastructure/Persistence/Configurations/Materials/MaterialUnitConfiguration.cs</t>
  </si>
  <si>
    <t>site/source uniqueness</t>
  </si>
  <si>
    <t>builder.HasIndex(x =&gt; new { x.SiteId, x.MaterialCode }).IsUnique();
        builder.HasIndex(x =&gt; new { x.SourceSystem, x.SourceRecordId })
            .IsUnique()
            .HasFilter("source_system IS NOT NULL AND source_record_id IS NOT NULL");</t>
  </si>
  <si>
    <t>01_Backend_Core_14Sep2026_104846.txt
BA5AB7A87CF5FA3E04B721836720896FC61E27ABF9C3E9352D06E6BE8293C6D1</t>
  </si>
  <si>
    <t>Backend/PlantProcess.Application/Services/Materials/GenealogyService.cs</t>
  </si>
  <si>
    <t>CreateEdgeAsync</t>
  </si>
  <si>
    <t>if (command.ParentMaterialUnitId == Guid.Empty)
            return ApplicationResult&lt;Guid&gt;.Failure(ApplicationError.Validation("Parent material unit ID is required."));
        if (command.ChildMaterialUnitId == Guid.Empty)
            return ApplicationResult&lt;Guid&gt;.Failure(ApplicationError.Validation("Child material unit ID is required."));
        if (command.ParentMaterialUnitId == command.ChildMaterialUnitId)
            return ApplicationResult&lt;Guid&gt;.Failure(ApplicationError.BusinessRule("A material cannot be its own parent."));
        if (string.IsNullOrWhiteSpace(command.RelationshipType))
            return ApplicationResult&lt;Guid&gt;.Failure(ApplicationError.Validation("Relationship type is required."));
        var parentExists = await _dbContext.MaterialUnits
            .AnyAsync(x =&gt; x.Id == command.ParentMaterialUnitId, cancellationToken);
        if (!parentExists)
            return ApplicationResult&lt;Guid&gt;.Failure(ApplicationError.NotFound("Parent material unit does not exist."));
        var childExists = await _dbContext.MaterialUnits
            .AnyAsync(x =&gt; x.Id == command.ChildMaterialUnitId, cancellationToken);
        if (!childExists)
            return ApplicationResult&lt;Guid&gt;.Failure(ApplicationError.NotFound("Child material unit does not exist."));
        var duplicate = await _dbContext.GenealogyEdges.AnyAsync(x =&gt;
                x.ParentMaterialUnitId == command.ParentMaterialUnitId &amp;&amp;
                x.ChildMaterialUnitId == command.ChildMaterialUnitId &amp;&amp;
                x.RelationshipType == command.RelationshipType.Trim(),
            cancellationToken);
        if (duplicate)
            return ApplicationResult&lt;Guid&gt;.Failure(ApplicationError.Conflict("Genealogy edge already exists."));
        var createsCycle = await WouldCreateCycleAsync(
            command.ParentMaterialUnitId,
            command.ChildMaterialUnitId,
            cancellationToken);
        if (createsCycle)
        {
            return ApplicationResult&lt;Guid&gt;.Failure(
                ApplicationError.BusinessRule("Genealogy edge would create a material genealogy cycle."));
        }</t>
  </si>
  <si>
    <t>01_Backend_Core_14Sep2026_104846.txt
19DA9E460A2D722F88729C13B7BBB49CE70DDF5D9F0577D70A44A2C096503D98</t>
  </si>
  <si>
    <t>WouldCreateCycleAsync</t>
  </si>
  <si>
    <t>private async Task&lt;bool&gt; WouldCreateCycleAsync(
        Guid parentMaterialUnitId,
        Guid childMaterialUnitId,
        CancellationToken cancellationToken)
    {
        var visited = new HashSet&lt;Guid&gt;();
        var queue = new Queue&lt;Guid&gt;();
        queue.Enqueue(parentMaterialUnitId);
        while (queue.Count &gt; 0)
        {
            var current = queue.Dequeue();
            if (!visited.Add(current))
                continue;
            if (current == childMaterialUnitId)
                return true;
            var parents = await _dbContext.GenealogyEdges
                .AsNoTracking()
                .Where(x =&gt; x.ChildMaterialUnitId == current)
                .Select(x =&gt; x.ParentMaterialUnitId)
                .ToListAsync(cancellationToken);
            foreach (var parent in parents)
                queue.Enqueue(parent);
        }
        return false;</t>
  </si>
  <si>
    <t>deferred weight check</t>
  </si>
  <si>
    <t>-- Read the relation this trigger fired on, wherever the governed
            -- topology has placed it. Never a hard-coded schema.
            EXECUTE format(
                'SELECT child_material_unit_id, sum(contribution_weight) '
                '  FROM %%I.%%I '
                ' WHERE COALESCE(is_deleted, false) = false '
                ' GROUP BY child_material_unit_id '
                'HAVING abs(sum(contribution_weight) - 1.0) &gt; 0.015 '
                ' LIMIT 1',
                TG_TABLE_SCHEMA, TG_TABLE_NAME)
            INTO bad_child, bad_sum;
            IF bad_child IS NOT NULL THEN
                RAISE EXCEPTION 'Genealogy contribution weights must sum to 1.0 per child. child=%%, sum=%%', bad_child, bad_sum;</t>
  </si>
  <si>
    <t>existing-row skip</t>
  </si>
  <si>
    <t>var existing = await _dbContext.MaterialUnits
            .AsNoTracking()
            .Where(x =&gt; x.SiteId == siteId &amp;&amp; x.MaterialCode == materialCode)
            .Select(x =&gt; x.Id)
            .FirstOrDefaultAsync(cancellationToken);
        if (existing != Guid.Empty)
        {
            // Lawful idempotency preserved: the existing contract skips, and
            // turning that into PV04 would quarantine correct re-projection.
            if (!previewOnly)
                stagingRecord.MarkSkipped($"MaterialUnit already exists: {materialCode}.");
            return RowProjectionOutcome.Skipped(existing, "MaterialUnit", $"MaterialUnit already exists: {materialCode}.");</t>
  </si>
  <si>
    <t>Backend/PlantProcess.Application/Integration/Services/Jobs/JobRunOrchestratorService.cs</t>
  </si>
  <si>
    <t>ResolveDeclaredTargetAsync</t>
  </si>
  <si>
    <t>private async Task&lt;ApplicationResult&gt; ResolveDeclaredTargetAsync(
        JobDefinition job, CancellationToken cancellationToken)
    {
        if (!job.TargetDefinitionId.HasValue)
        {
            ApplicationResult&lt;JobTargetResolution&gt; none =
                await _targetResolver.ResolveAsync(job.JobType, null, cancellationToken);
            return none.IsFailure ? ApplicationResult.Failure(none.Error!) : ApplicationResult.Success();
        }
        if (string.IsNullOrWhiteSpace(job.TargetDefinitionKind) || !job.TargetVersionPolicy.HasValue)
        {
            return ApplicationResult.Failure(ApplicationError.Validation(
                "Job " + job.JobCode + " declares a target identity without a kind or a version policy, "
                + "so nothing can say which definition version it would run."));
        }
        DefinitionKind kind;
        if (!Enum.TryParse(job.TargetDefinitionKind, false, out kind)
            || !Enum.IsDefined(typeof(DefinitionKind), kind))
        {
            return ApplicationResult.Failure(ApplicationError.Validation(
                "Job " + job.JobCode + " declares target kind '" + job.TargetDefinitionKind
                + "', which is not a canonical definition kind."));
        }
        var reference = new JobTargetReference
        {
            Kind = kind,
            DefinitionId = job.TargetDefinitionId.Value,
            VersionPolicy = job.TargetVersionPolicy.Value,
            PinnedVersion = job.TargetDefinitionVersion,
            ParametersJson = job.TargetParametersJson
        };
        ApplicationResult&lt;JobTargetResolution&gt; resolved =
            await _targetResolver.ResolveAsync(job.JobType, reference, cancellationToken);
        return resolved.IsFailure ? ApplicationResult.Failure(resolved.Error!) : ApplicationResult.Success();</t>
  </si>
  <si>
    <t>01_Backend_Core_14Sep2026_104846.txt
825F46CF07A7504EA2BA2BAF66046C9E9A5157B693030F33D8916500E2B64564</t>
  </si>
  <si>
    <t>Backend/PlantProcess.Application/Integration/Services/Jobs/JobDefinitionService.cs</t>
  </si>
  <si>
    <t>schedule validation</t>
  </si>
  <si>
    <t>private static ApplicationError? ValidateCreateRequest(CreateJobDefinitionRequest request)
    {
        if (string.IsNullOrWhiteSpace(request.JobCode))
            return ApplicationError.Validation("Job code is required.");
        if (string.IsNullOrWhiteSpace(request.JobName))
            return ApplicationError.Validation("Job name is required.");
        if (string.IsNullOrWhiteSpace(request.ScheduleExpression))
            return ApplicationError.Validation("Schedule expression is required.");
        return null;
    }
    private static ApplicationError? ValidateUpdateRequest(UpdateJobDefinitionRequest request)
    {
        if (string.IsNullOrWhiteSpace(request.JobName))
            return ApplicationError.Validation("Job name is required.");
        if (string.IsNullOrWhiteSpace(request.ScheduleExpression))
            return ApplicationError.Validation("Schedule expression is required.");
        return null;</t>
  </si>
  <si>
    <t>01_Backend_Core_14Sep2026_104846.txt
68C31E779469792A74EB43E366E2C04CB857A93B4C3485B67F5C9A414B2C731D</t>
  </si>
  <si>
    <t>Backend/PlantProcess.Workers/Worker.cs</t>
  </si>
  <si>
    <t>fixed cadence loops</t>
  </si>
  <si>
    <t>// ── Initial delays (stagger jobs to avoid startup burst) ──────────────
        var nextImportRun = DateTimeOffset.UtcNow.AddSeconds(10);
        var nextScanRun   = DateTimeOffset.UtcNow.AddSeconds(30);
        var nextRiskRun   = DateTimeOffset.UtcNow.AddSeconds(60);
        var nextDeltaRun  = DateTimeOffset.UtcNow.AddSeconds(15);   // ← NEW
        while (!stoppingToken.IsCancellationRequested)
        {
            var now = DateTimeOffset.UtcNow;
            if (importEnabled &amp;&amp; now &gt;= nextImportRun)
            {
                await RunImportQueueProcessorJobAsync(importMaxBatches, importRowsPerBatch, stoppingToken);
                nextImportRun = DateTimeOffset.UtcNow.AddSeconds(importIntervalSeconds);
            }
            if (scanEnabled &amp;&amp; now &gt;= nextScanRun)
            {
                await RunDataQualityScanJobAsync(scanMaxCandidatesPerRule, stoppingToken);
                nextScanRun = DateTimeOffset.UtcNow.AddSeconds(scanIntervalSeconds);
            }
            if (riskEnabled &amp;&amp; now &gt;= nextRiskRun)
            {
                await RunRiskScoringJobAsync(riskType, riskMaxMaterials, stoppingToken);
                nextRiskRun = DateTimeOffset.UtcNow.AddSeconds(riskIntervalSeconds);
            }
            // ── NEW ────────────────────────────────────────────────────────────
            if (deltaEnabled &amp;&amp; now &gt;= nextDeltaRun)
            {
                await RunDeltaImportJobAsync(deltaMaxDatasets, deltaMaxRowsPerDataset, stoppingToken);
                nextDeltaRun = DateTimeOffset.UtcNow.AddSeconds(deltaIntervalSeconds);
            }
            // ──────────────────────────────────────────────────────────────────
            await Task.Delay(TimeSpan.FromSeconds(5), stoppingToken);</t>
  </si>
  <si>
    <t>01_Backend_Core_14Sep2026_104846.txt
D54B2A4C455961B4ED1AFFD0ABA16909B3D6865E2AF201D4E9A28A055EC88842</t>
  </si>
  <si>
    <t>Backend/PlantProcess.Application/Jobs/Dependencies/JobDependencyEvaluator.cs</t>
  </si>
  <si>
    <t>no age/tolerance input</t>
  </si>
  <si>
    <t>public static JobDependencyOutcome Evaluate(
        Guid dependsOnJobDefinitionId,
        bool isRequired,
        int? pinnedVersion,
        Guid? upstreamRunId,
        JobRunStatus? upstreamStatus,
        int? upstreamVersion)</t>
  </si>
  <si>
    <t>01_Backend_Core_14Sep2026_104846.txt
B1583B5EF379E0A155A29490C9618563D6E197265CA356649ED53EC0AA720F4A</t>
  </si>
  <si>
    <t>Satisfied result</t>
  </si>
  <si>
    <t>// stale_accepted would be produced here, and is not. The edge declares a
        // staleness tolerance but the design declares no authority that permits
        // accepting a stale upstream, so this runtime never claims that state.
        return new JobDependencyOutcome(
            dependsOnJobDefinitionId, upstreamRunId, JobDependencyResolution.Satisfied, false,
            pinnedVersion, upstreamVersion,
            "Upstream job " + dependsOnJobDefinitionId + " completed successfully.");</t>
  </si>
  <si>
    <t>Backend/PlantProcess.Application/Integration/Services/Jobs/JobRuntimeService.cs</t>
  </si>
  <si>
    <t>terminal-state switch</t>
  </si>
  <si>
    <t>switch (finalStatus)
        {
            case JobRunStatus.Ok:
                history.MarkSucceeded(message, resultSummaryJson);
                job.MarkSucceeded(history.DurationMs, history.CompletedAtUtc);
                break;
            case JobRunStatus.Failed:
                history.MarkFailed(failureReason ?? message ?? "Job failed.", resultSummaryJson);
                job.MarkFailed(history.FailureReason ?? "Job failed.", history.DurationMs, history.CompletedAtUtc);
                break;
            case JobRunStatus.Timeout:
                history.MarkTimedOut(failureReason ?? message ?? "Job timed out.", resultSummaryJson);
                job.MarkTimedOut(history.FailureReason ?? "Job timed out.", history.DurationMs, history.CompletedAtUtc);
                break;
            default:
                return ApplicationResult&lt;JobRunHistoryDto&gt;.Failure(
                    ApplicationError.Validation("Final job status must be Ok, Failed, or Timeout."));</t>
  </si>
  <si>
    <t>01_Backend_Core_14Sep2026_104846.txt
DE73F04C71484D78FCDD19EAE2A1ACF618E1A9F36E97B88CB0FC118F2F565DF9</t>
  </si>
  <si>
    <t>import result mapping</t>
  </si>
  <si>
    <t>case JobDefinitionType.DbLinkImport:
            {
                var result = await _importBatchQueueProcessorService.ProcessPendingBatchesAsync(
                    maxBatches: 10, rowsPerBatch: 5000, stopOnFirstError: false,
                    runDataQualityScan: false, cancellationToken);
                if (result.IsFailure || result.Value is null)
                {
                    return RunNowExecutionResult.Failed(
                        result.Error?.Message ?? "Import queue processing failed.");
                }
                return RunNowExecutionResult.Ok(
                    $"Import queue completed. Scanned={result.Value.BatchesScanned}, Completed={result.Value.BatchesCompleted}, Failed={result.Value.BatchesFailed}.",
                    JsonSerializer.Serialize(result.Value));</t>
  </si>
  <si>
    <t>ExecuteAsync cadence</t>
  </si>
  <si>
    <t>Backend/PlantProcess.Application/Jobs/Execution/JobExecutionCapability.cs</t>
  </si>
  <si>
    <t>family capability vs capacity</t>
  </si>
  <si>
    <t>public sealed class JobExecutionCapabilityAuthority : IJobExecutionCapabilityAuthority
{
    private static readonly JobDefinitionType[] Executable =
    {
        JobDefinitionType.DbLinkImport,
        JobDefinitionType.DataQualityScan,
        JobDefinitionType.RiskScoring
    };
    public IReadOnlyList&lt;JobDefinitionType&gt; ExecutableFamilies =&gt; Executable;
    public JobExecutionCapability Describe(JobDefinitionType jobType)
    {
        switch (jobType)
        {
            case JobDefinitionType.DbLinkImport:
                return new JobExecutionCapability(
                    jobType, true, JobTargetRequirement.NotUsed, null,
                    "Import queue execution is commissioned in this runtime. Its governing input "
                        + "identity is source, dataset and connection authority, not the definition store.");
            case JobDefinitionType.DataQualityScan:
                return new JobExecutionCapability(
                    jobType, true, JobTargetRequirement.NotUsed, null,
                    "Data quality scanning is commissioned in this runtime. Current authority maps "
                        + "this legacy family to no canonical definition kind.");
            case JobDefinitionType.RiskScoring:
                return new JobExecutionCapability(
                    jobType, true, JobTargetRequirement.NotUsed, null,
                    "Risk scoring is commissioned in this runtime. Current authority maps this "
                        + "legacy family to no canonical definition kind.");</t>
  </si>
  <si>
    <t>01_Backend_Core_14Sep2026_104846.txt
CEA3131502C263934EAD3A5775261B458CAD649FFE554E7F6B7ADD064FE2A5B6</t>
  </si>
  <si>
    <t>Backend/PlantProcess.Application/Integration/Services/SourceSystems/DeltaImportExecutionService.cs</t>
  </si>
  <si>
    <t>read-path selection</t>
  </si>
  <si>
    <t>if (!string.IsNullOrWhiteSpace(effectiveCursorFieldName))
            {
                var request = new DataSourceIncrementalReadRequest(
                    dataset.ConnectionProfileId,
                    dataset.Id,
                    dataset.SourceObjectName,
                    dataset.SourceSchemaName,
                    effectiveCursorFieldName,
                    dataset.LastCursorValue,
                    maxRows,
                    dataset.DatasetOptionsJson);
                rows = await reader.ReadRowsSinceKeyAsync(
                    profile,
                    dataset,
                    request,
                    cancellationToken);
            }
            else
            {
                rows = await reader.ReadRowsAsync(
                    profile,
                    dataset,
                    new DataSourceReadRequest(
                        dataset.ConnectionProfileId,
                        dataset.Id,
                        dataset.SourceObjectName,
                        dataset.SourceSchemaName,
                        maxRows,
                        dataset.DatasetOptionsJson),
                    cancellationToken);
            }</t>
  </si>
  <si>
    <t>01_Backend_Core_14Sep2026_104846.txt
F78DD6FE12FA8F98014A67D7F34256C3EB1C36F5BF9BBB620D1A10F4F9683774</t>
  </si>
  <si>
    <t>row/cursor handling</t>
  </si>
  <si>
    <t>string? maxCursorValue = dataset.LastCursorValue;
            foreach (var row in rows)
            {
                var rawJson = JsonSerializer.Serialize(row.Values);
                var sourceRecordId = TryGetSourceRecordId(
                    row,
                    effectiveCursorFieldName,
                    rowNumber);
                _dbContext.StagingRecords.Add(new StagingRecord(
                    importBatchId: batch.Id,
                    sourceObjectName: dataset.SourceObjectName,
                    rowNumber: rowNumber,
                    rawJson: rawJson,
                    isSynthetic: false,
                    sourceSystem: profile.ProviderType,
                    sourceRecordId: sourceRecordId));
                var candidateCursor = TryGetCursorValue(row, effectiveCursorFieldName);
                if (!string.IsNullOrWhiteSpace(candidateCursor))
                    maxCursorValue = MaxCursor(maxCursorValue, candidateCursor);
                rowNumber++;
            }
            batch.MarkCompleted(rows.Count);
            if (rows.Count &gt; 0)
                dataset.UpdateLastCursorValue(maxCursorValue);
            dataset.ScheduleNextRunAfterSuccess();</t>
  </si>
  <si>
    <t>source identity and MaxCursor</t>
  </si>
  <si>
    <t>private static string TryGetSourceRecordId(
        DataSourceRow row,
        string? cursorFieldName,
        int rowNumber)
    {
        var cursor = TryGetCursorValue(row, cursorFieldName);
        return !string.IsNullOrWhiteSpace(cursor)
            ? cursor
            : rowNumber.ToString();
    }
    private static string? TryGetCursorValue(
        DataSourceRow row,
        string? cursorFieldName)
    {
        if (string.IsNullOrWhiteSpace(cursorFieldName))
            return null;
        if (!row.Values.TryGetValue(cursorFieldName, out var value))
            return null;
        return value?.ToString();
    }
    private static string? MaxCursor(string? current, string candidate)
    {
        if (string.IsNullOrWhiteSpace(current))
            return candidate;
        if (decimal.TryParse(current, out var currentNumber) &amp;&amp;
            decimal.TryParse(candidate, out var candidateNumber))
        {
            return candidateNumber &gt; currentNumber ? candidate : current;
        }
        if (DateTime.TryParse(current, out var currentDate) &amp;&amp;
            DateTime.TryParse(candidate, out var candidateDate))
        {
            return candidateDate &gt; currentDate ? candidate : current;
        }
        return string.Compare(candidate, current, StringComparison.OrdinalIgnoreCase) &gt; 0
            ? candidate
            : current;</t>
  </si>
  <si>
    <t>Backend/PlantProcess.Infrastructure/Connectors/PostgreSql/PostgreSqlConnector.cs</t>
  </si>
  <si>
    <t>scalar LIMIT query</t>
  </si>
  <si>
    <t>public async Task&lt;IReadOnlyList&lt;DataSourceRow&gt;&gt; ReadRowsSinceKeyAsync(
        ConnectionProfile connectionProfile,
        SourceDatasetDefinition datasetDefinition,
        DataSourceIncrementalReadRequest request,
        CancellationToken cancellationToken)
    {
        if (string.IsNullOrWhiteSpace(request.CursorFieldName))
        {
            throw new InvalidOperationException("CursorField is required for PostgreSQL incremental reads.");
        }
        var schemaName = SafeIdentifier(datasetDefinition.SourceSchemaName ?? connectionProfile.SchemaName ?? "public");
        var tableName = SafeIdentifier(datasetDefinition.SourceObjectName);
        var cursorField = SafeIdentifier(request.CursorFieldName);
        var limit = Math.Clamp(request.Limit &lt;= 0 ? 1000 : request.Limit, 1, 5000);
        var sql =
            $"SELECT * FROM \"{schemaName}\".\"{tableName}\" " +
            (string.IsNullOrWhiteSpace(request.LastCursorValue) ? string.Empty : $"WHERE \"{cursorField}\" &gt; @lastCursor ") +
            $"ORDER BY \"{cursorField}\" ASC " +
            "LIMIT @limit;";
        return await ExecuteReadAsync(connectionProfile, sql, command =&gt;
        {
            if (!string.IsNullOrWhiteSpace(request.LastCursorValue)) { command.Parameters.Add(new NpgsqlParameter("lastCursor", NpgsqlTypes.NpgsqlDbType.Unknown) { Value = request.LastCursorValue }); }
            command.Parameters.AddWithValue("limit", limit);
        }, cancellationToken);</t>
  </si>
  <si>
    <t>01_Backend_Core_14Sep2026_104846.txt
49AD494C707A03B848E2731EDB26245FB56B73C46A2EA7484323622263DFD477</t>
  </si>
  <si>
    <t>Backend/PlantProcess.Application/Integration/Protection/ThrottlingDataSourceReader.cs</t>
  </si>
  <si>
    <t>unequal protection</t>
  </si>
  <si>
    <t>public async Task&lt;IReadOnlyList&lt;DataSourceRow&gt;&gt; ReadRowsAsync(
        ConnectionProfile connectionProfile,
        SourceDatasetDefinition datasetDefinition,
        DataSourceReadRequest request,
        CancellationToken cancellationToken)
    {
        var sourceKey = request.ConnectionProfileId.ToString();
        var now = DateTime.UtcNow;
        var budget = _budgetProvider.GetBudget(connectionProfile, datasetDefinition);
        var queriesInLastMinute = _rateLimiter.CountWithinLastMinute(sourceKey, now);
        var decision = SourceLoadProtectionPolicy.Evaluate(
            new SourceQueryRequest(
                HasRowLimit: request.Limit &gt; 0,
                RequestedRowLimit: request.Limit,
                QueriesInLastMinute: queriesInLastMinute,
                NowUtc: TimeOnly.FromDateTime(now)),
            budget);
        if (!decision.Allowed) {
            throw new SourceLoadRejectedException(decision);
        }
        _rateLimiter.Record(sourceKey, now);
        return await _inner.ReadRowsAsync(connectionProfile, datasetDefinition, request, cancellationToken);
    }
    public Task&lt;IReadOnlyList&lt;DataSourceRow&gt;&gt; ReadRowsSinceKeyAsync(
        ConnectionProfile connectionProfile,
        SourceDatasetDefinition datasetDefinition,
        DataSourceIncrementalReadRequest request,
        CancellationToken cancellationToken)
    {
        return _inner.ReadRowsSinceKeyAsync(connectionProfile, datasetDefinition, request, cancellationToken);
    }</t>
  </si>
  <si>
    <t>01_Backend_Core_14Sep2026_104846.txt
F394E1D04C447E69F847EA69BE84FC4CF2C926C832145673BFD8690F63EBA825</t>
  </si>
  <si>
    <t>Backend/PlantProcess.Infrastructure/Integration/Protection/OptionsSourceLoadBudgetProvider.cs</t>
  </si>
  <si>
    <t>global budget</t>
  </si>
  <si>
    <t>public SourceLoadBudget GetBudget(ConnectionProfile? connectionProfile, SourceDatasetDefinition? datasetDefinition)
    {
        return _options.CurrentValue.ToBudget();
    }</t>
  </si>
  <si>
    <t>01_Backend_Core_14Sep2026_104846.txt
16C34774CBD8458200343D2ADF91A1DEDBDF05606357DB5CCE580C96F8334125</t>
  </si>
  <si>
    <t>Backend/PlantProcess.Infrastructure/Persistence/Configurations/Integration/StagingRecordConfiguration.cs</t>
  </si>
  <si>
    <t>existing within-batch uniqueness</t>
  </si>
  <si>
    <t>builder.HasOne&lt;ImportBatch&gt;()
            .WithMany()
            .HasForeignKey(x =&gt; x.ImportBatchId)
            .OnDelete(DeleteBehavior.Restrict);
        builder.HasIndex(x =&gt; x.ImportBatchId);
        builder.HasIndex(x =&gt; new { x.ImportBatchId, x.IsProcessed });
        builder.HasIndex(x =&gt; new { x.ImportBatchId, x.ProcessingStatus });
        builder.HasIndex(x =&gt; new { x.ImportBatchId, x.SourceObjectName, x.RowNumber }).IsUnique();
        builder.HasIndex(x =&gt; x.CanonicalEntityId);
        builder.UsePostgresXminConcurrencyToken();</t>
  </si>
  <si>
    <t>01_Backend_Core_14Sep2026_104846.txt
D4A0266CD34314BB3355A545CC79B236A23A49F83C2B77B07EDB9FCFB626EF3E</t>
  </si>
  <si>
    <t>Backend/tests/PlantProcess.Api.IntegrationTests/Import/DeltaImportResumabilityTests.cs</t>
  </si>
  <si>
    <t>current weak continuation assertions</t>
  </si>
  <si>
    <t>public async Task TwoStageDeltaImport_MaxRowsSmallBatch_DoesNotBreakWatermarks_WhenOptInEnabled()
    {
        if (!IsEnabled()) return;
        using var client = await CreateAuthenticatedClientAsync();
        await AssertSuccessAsync(await client.PostAsync("/admin/two-stage-import/provision-baseline", null), "provision-baseline");
        var smallBatch = await PostRunAsync(client, "/admin/two-stage-import/stage1/run", maxRows: 3, timeoutSeconds: 30, maxMinutes: 1);
        var resumeBatch = await PostRunAsync(client, "/admin/two-stage-import/stage1/run", maxRows: 3, timeoutSeconds: 30, maxMinutes: 1);
        smallBatch.RootElement.TryGetProperty("rows", out var smallRows).Should().BeTrue();
        resumeBatch.RootElement.TryGetProperty("rows", out var resumeRows).Should().BeTrue();
        smallRows.ValueKind.Should().Be(JsonValueKind.Array);
        resumeRows.ValueKind.Should().Be(JsonValueKind.Array);
    }</t>
  </si>
  <si>
    <t>03_Backend_Tests_14Sep2026_104846.txt
1AAD7C1413F4FC64C0050229103B2BA8DF14DAD371D190B11BEC9E1826BEA405</t>
  </si>
  <si>
    <t>available source delta boundary</t>
  </si>
  <si>
    <t>string? maxCursorValue = dataset.LastCursorValue;
            foreach (var row in rows)
            {
                var rawJson = JsonSerializer.Serialize(row.Values);
                var sourceRecordId = TryGetSourceRecordId(
                    row,
                    effectiveCursorFieldName,
                    rowNumber);
                _dbContext.StagingRecords.Add(new StagingRecord(
                    importBatchId: batch.Id,
                    sourceObjectName: dataset.SourceObjectName,
                    rowNumber: rowNumber,
                    rawJson: rawJson,
                    isSynthetic: false,
                    sourceSystem: profile.ProviderType,
                    sourceRecordId: sourceRecordId));
                var candidateCursor = TryGetCursorValue(row, effectiveCursorFieldName);
                if (!string.IsNullOrWhiteSpace(candidateCursor))
                    maxCursorValue = MaxCursor(maxCursorValue, candidateCursor);
                rowNumber++;
            }
            batch.MarkCompleted(rows.Count);
            if (rows.Count &gt; 0)
                dataset.UpdateLastCursorValue(maxCursorValue);
            dataset.ScheduleNextRunAfterSuccess();
            _logger.LogInformation(
                "Delta import completed for dataset {DatasetCode}. Rows={Rows}, NextRunAtUtc={NextRunAtUtc}",
                dataset.DatasetCode,
                rows.Count,
                dataset.NextRunAtUtc);
            return new DeltaDatasetResult(
                dataset.Id.ToString(),
                dataset.DatasetCode,
                rows.Count,
                null);</t>
  </si>
  <si>
    <t>governed automated path</t>
  </si>
  <si>
    <t>// RL02. Exploration is manual and may traverse an unproven relationship.
        // Everything else is automated, and an automated consumer that trains,
        // scores or projects across an unproven join produces a result nobody
        // can defend.
        if (RelationshipConsumerPurposes.IsAutomated(purpose))
        {
            var unproven = chosen
                .Where(e =&gt; !string.Equals(e.Relationship.ValidationState, RelationshipValidationStates.Validated, StringComparison.Ordinal))
                .Select(e =&gt; e.Relationship.RelationshipCode)
                .OrderBy(c =&gt; c, StringComparer.Ordinal)
                .ToList();
            if (unproven.Count &gt; 0)
            {
                return Ok(Refuse(from, to, purpose,
                    RelationshipRefusalCodes.UnprovenRelationship,
                    $"The path from '{from}' to '{to}' runs through {string.Join(", ", unproven)}, which nobody has proven against real data. '{purpose}' is automated, so it may not use it; manual exploration still may.",
                    names));
            }
        }
        var steps = chosen
            .Select(e =&gt; new RelationshipPathStepDto(e.Relationship.Id, e.From, e.To))
            .ToList();
        return Ok(new RelationshipResolutionDto(
            from, to, purpose, true, steps,
            chosen.Any(e =&gt; e.Relationship.IsGrainConverting),
            null, null, names));</t>
  </si>
  <si>
    <t>Backend/PlantProcess.Api/PlantConnectors/V5GaHistorianConnectorEndpoints.cs</t>
  </si>
  <si>
    <t>HistorianConnectorCapabilities</t>
  </si>
  <si>
    <t>public static class HistorianConnectorCapabilities
{
    public const string NotExecutableCode = "OT01";
    public const string NotExecutableMessage =
        "This connector operation is declared but not executable in this build. " +
        "It returns no value rather than a placeholder.";
    public const string ConfigurationValidation = "configurationValidation";
    public const string MappingHintsFromSuppliedTagPaths = "mappingHintsFromSuppliedTagPaths";
    public const string TagBrowse = "tagBrowse";
    public const string BoundedRead = "boundedRead";
    public const string Subscription = "subscription";
    public const string LiveVendorHandshake = "liveVendorHandshake";
    public static readonly IReadOnlyList&lt;ConnectorCapability&gt; All = new[]
    {
        new ConnectorCapability(
            ConfigurationValidation, true,
            "The /test-connection route validates the supplied endpoint and read-only posture and returns no measurement."),
        new ConnectorCapability(
            MappingHintsFromSuppliedTagPaths, true,
            "The /mapping-hints route classifies tag paths the caller supplied. It never supplies tag paths of its own."),
        new ConnectorCapability(
            TagBrowse, false,
            "Real OPC UA namespace browse is not yet implemented."),
        new ConnectorCapability(
            BoundedRead, false,
            "Real OPC UA value acquisition is not yet implemented."),
        new ConnectorCapability(
            Subscription, false,
            "Real OPC UA monitored items and subscriptions are not yet implemented."),
        new ConnectorCapability(
            LiveVendorHandshake, false,
            "Real OPC UA session security, certificate and trust handling is not yet implemented.")
    };
    public static bool IsExecutable(string name)
    {
        foreach (var capability in All)
        {
            if (string.Equals(capability.Name, name, StringComparison.Ordinal))
            {
                return capability.Executable;
            }
        }
        return false;</t>
  </si>
  <si>
    <t>01_Backend_Core_14Sep2026_104846.txt
A45C75DF4E4C2C493195ACC5F08E46E668AF1094AC977729092C961E1AA55790</t>
  </si>
  <si>
    <t>Backend/PlantProcess.Infrastructure/Definitions/Semantics/SignalSemanticsResolver.cs</t>
  </si>
  <si>
    <t>public async Task&lt;ApplicationResult&lt;ResolvedAggregation&gt;&gt; ResolveAsync(
        Guid tenantId,
        Guid parameterId,
        Guid? kpiBindingId,
        AggregationKind? requested,
        CancellationToken cancellationToken)
    {
        var connection = await OpenAsync(cancellationToken);
        await using var command = Command(
            "SELECT resolved_kind, resolution_source, refusal_code, refusal_message, signal_kind, sampling_basis, " +
            "weight_basis, semantics_version FROM ppiq_meta.resolve_aggregation_semantics(@tenant, @parameter, @binding, @requested);",
            connection);
        command.Parameters.Add(new NpgsqlParameter("tenant", NpgsqlDbType.Uuid) { Value = tenantId });
        command.Parameters.Add(new NpgsqlParameter("parameter", NpgsqlDbType.Uuid) { Value = parameterId });
        command.Parameters.Add(new NpgsqlParameter("binding", NpgsqlDbType.Uuid)
        {
            Value = kpiBindingId.HasValue ? kpiBindingId.Value : (object)DBNull.Value
        });
        command.Parameters.Add(new NpgsqlParameter("requested", NpgsqlDbType.Varchar)
        {
            Value = requested.HasValue ? requested.Value.ToString() : (object)DBNull.Value
        });
        await using var reader = await command.ExecuteReaderAsync(cancellationToken);
        if (!await reader.ReadAsync(cancellationToken))
        {
            return ApplicationResult&lt;ResolvedAggregation&gt;.Failure(ApplicationError.Validation(
                AggregationRefusal.SemanticsUndeclared + ": the resolver returned no row."));
        }
        var refusal = reader.IsDBNull(2) ? null : reader.GetString(2);
        if (refusal is not null)
        {
            // The message carries everything ruling 17 asks a failure to name:
            // parameter, signal kind, sampling basis, requested method, source.
            var detail = reader.IsDBNull(3) ? string.Empty : reader.GetString(3);
            var message = refusal + ": " + detail +
                " [parameter=" + parameterId + " signal=" + (reader.IsDBNull(4) ? "none" : reader.GetString(4)) +
                " sampling=" + (reader.IsDBNull(5) ? "none" : reader.GetString(5)) +
                " requested=" + (requested.HasValue ? requested.Value.ToString() : "none") +
                " source=" + reader.GetString(1) + "]";
            return ApplicationResult&lt;ResolvedAggregation&gt;.Failure(ApplicationError.Validation(message));</t>
  </si>
  <si>
    <t>01_Backend_Core_14Sep2026_104846.txt
51509BFC035F69D886A1F448B119075421412EB1E6BE62CA879F6BA03D05C801</t>
  </si>
  <si>
    <t>Frontend/PlantProcess.Web/src/authoring/governedBlockBinding.ts</t>
  </si>
  <si>
    <t>not analytics mathematics</t>
  </si>
  <si>
    <t>// Governed aggregate/window binding for Canvas.
//
// This module owns NO aggregation vocabulary and NO window catalogue.
// It consumes canonical metadata/options produced elsewhere and copies only
// published authority into node data. Missing aggregation is AG01. Nothing
// silently becomes Average, and nothing invents a window.
//
// T-245 later compiles these validated declarations onto governed runtime
// contracts. This module deliberately performs no analytics mathematics.</t>
  </si>
  <si>
    <t>04_Frontend_App_14Sep2026_104846.txt
FA679E784FE6955D66CB844F2B02D3D81AE4CCB5CE40E3C879A70D824E3C0885</t>
  </si>
  <si>
    <t>Backend/PlantProcess.Api/Endpoints/CustomerAssessmentEndpoints.cs</t>
  </si>
  <si>
    <t>assessment routes and tenant gate</t>
  </si>
  <si>
    <t>public static class CustomerAssessmentEndpoints
    {
        public const string BasePath = "/api/onboarding/assessments";
        // The tenant reader is stateless and delegates to the existing tenancy
        // authority. It is held here rather than injected, because an
        // interface-typed handler parameter that is not a registered service
        // makes ASP.NET Core infer it as a request body: two inferred bodies
        // on POST and an inferred body on GET both throw while the endpoint
        // table is built, which fails host startup - and every test sharing
        // that host then reports a disposed service provider. Nothing about
        // the reader's semantics changed; only how the handlers reach it.
        private static readonly ICustomerAssessmentTenantReader Tenants = new CustomerAssessmentTenantReader();
        public static IEndpointRouteBuilder MapCustomerAssessmentEndpoints(this IEndpointRouteBuilder routes)
        {
            RouteGroupBuilder group = routes.MapGroup(BasePath).RequireAuthorization();
            group.MapPost("/", AssessAsync);
            group.MapGet("/{lineageCode}/latest", LatestAsync);
            group.MapGet("/{lineageCode}/versions/{versionNumber:int}", VersionAsync);
            group.MapGet("/{lineageCode}/diff", DiffAsync);
            return routes;
        }
        private static async Task&lt;IResult&gt; AssessAsync(
            HttpContext context,
            CustomerAssessmentRequest request,
            [FromServices] ICustomerAssessmentService service,
            CancellationToken cancellationToken)
        {
            Guid tenantId;
            if (!Tenants.TryResolve(context, out tenantId) || tenantId == Guid.Empty)
            {
                return Results.Forbid();
            }
            if (request == null || request.Intake == null)
            {</t>
  </si>
  <si>
    <t>01_Backend_Core_14Sep2026_104846.txt
F31F40CD8F585BFC6B17C3038DA79F96F6C80D13ECE838648DE52939A7A868F9</t>
  </si>
  <si>
    <t>Backend/PlantProcess.Infrastructure/Connectors/Historian/OpcUaHistorianConnector.cs</t>
  </si>
  <si>
    <t>configuration test</t>
  </si>
  <si>
    <t>public Task&lt;DataSourceConnectionTestResult&gt; TestConnectionAsync(
        ConnectionProfile connectionProfile,
        CancellationToken cancellationToken)
    {
        try
        {
            cancellationToken.ThrowIfCancellationRequested();
            var endpointUrl = FirstNonEmpty(
                connectionProfile.ApiBaseUrl,
                GetJsonString(connectionProfile.ConnectionOptionsJson, "endpointUrl", "opcEndpointUrl", "historianEndpointUrl"),
                connectionProfile.HostName);
            if (string.IsNullOrWhiteSpace(endpointUrl))
                return Task.FromResult(Failure("Historian connector requires ApiBaseUrl, HostName, or connectionOptionsJson.endpointUrl."));
            var namespaceUri = FirstNonEmpty(
                GetJsonString(connectionProfile.ConnectionOptionsJson, "namespaceUri", "namespace", "tagNamespace"),
                connectionProfile.SchemaName);
            var readOnly = GetJsonBool(connectionProfile.ConnectionOptionsJson, "readOnly") ?? connectionProfile.ReadOnlyEnforced;
            var requireLiveHandshake = GetJsonBool(connectionProfile.ConnectionOptionsJson, "requireLiveHandshake") ?? false;
            if (!readOnly)
                return Task.FromResult(Failure("Historian connector is read-only. Set readOnly=true / ReadOnlyEnforced=true."));
            if (requireLiveHandshake)
                return Task.FromResult(Failure("Live vendor handshake was requested, but no customer historian gateway is attached in this environment. Configuration is not marked as reachable."));
            var metadata = new Dictionary&lt;string, string?&gt;
            {
                ["providerType"] = ProviderType,
                ["mode"] = "read-only-gateway",
                ["endpointUrl"] = endpointUrl,
                ["namespaceUri"] = namespaceUri,
                ["readOnly"] = readOnly.ToString(CultureInfo.InvariantCulture),
                ["supportsTagBrowse"] = "true",
                ["supportsBoundedRead"] = "true",
                ["supportsMappingHints"] = "true",
                ["liveHandshake"] = "environment-specific"
            };
            _lastError = null;
            return Task.FromResult(new DataSourceConnectionTestResult(
                IsSuccess: true,
                Message: "Historian gateway configuration is valid for read-only onboarding. Live vendor handshake remains environment-specific.",
                TestedAtUtc: DateTime.UtcNow,
                Metadata: metadata));</t>
  </si>
  <si>
    <t>01_Backend_Core_14Sep2026_104846.txt
D9953F23C2E7C2E841D49E46901D3EAD698C03423ACAF6C2D2FEB2250523B314</t>
  </si>
  <si>
    <t>live capability declarations</t>
  </si>
  <si>
    <t>new ConnectorCapability(
            TagBrowse, false,
            "Real OPC UA namespace browse is not yet implemented."),
        new ConnectorCapability(
            BoundedRead, false,
            "Real OPC UA value acquisition is not yet implemented."),
        new ConnectorCapability(
            Subscription, false,
            "Real OPC UA monitored items and subscriptions are not yet implemented."),
        new ConnectorCapability(
            LiveVendorHandshake, false,
            "Real OPC UA session security, certificate and trust handling is not yet implemented.")</t>
  </si>
  <si>
    <t>browse/read/subscription capability state</t>
  </si>
  <si>
    <t>public static readonly IReadOnlyList&lt;ConnectorCapability&gt; All = new[]
    {
        new ConnectorCapability(
            ConfigurationValidation, true,
            "The /test-connection route validates the supplied endpoint and read-only posture and returns no measurement."),
        new ConnectorCapability(
            MappingHintsFromSuppliedTagPaths, true,
            "The /mapping-hints route classifies tag paths the caller supplied. It never supplies tag paths of its own."),
        new ConnectorCapability(
            TagBrowse, false,
            "Real OPC UA namespace browse is not yet implemented."),
        new ConnectorCapability(
            BoundedRead, false,
            "Real OPC UA value acquisition is not yet implemented."),
        new ConnectorCapability(
            Subscription, false,
            "Real OPC UA monitored items and subscriptions are not yet implemented."),
        new ConnectorCapability(
            LiveVendorHandshake, false,
            "Real OPC UA session security, certificate and trust handling is not yet implemented.")</t>
  </si>
  <si>
    <t>metadata-only legacy claim</t>
  </si>
  <si>
    <t>var metadata = new Dictionary&lt;string, string?&gt;
            {
                ["providerType"] = ProviderType,
                ["mode"] = "read-only-gateway",
                ["endpointUrl"] = endpointUrl,
                ["namespaceUri"] = namespaceUri,
                ["readOnly"] = readOnly.ToString(CultureInfo.InvariantCulture),
                ["supportsTagBrowse"] = "true",
                ["supportsBoundedRead"] = "true",
                ["supportsMappingHints"] = "true",
                ["liveHandshake"] = "environment-specific"
            };
            _lastError = null;
            return Task.FromResult(new DataSourceConnectionTestResult(
                IsSuccess: true,
                Message: "Historian gateway configuration is valid for read-only onboarding. Live vendor handshake remains environment-specific.",</t>
  </si>
  <si>
    <t>upstream live-operation boundary</t>
  </si>
  <si>
    <t>Backend/PlantProcess.Analytics.Core/Kernel/Time/SourceTimeAuthorityKernel.cs</t>
  </si>
  <si>
    <t>existing time kernel</t>
  </si>
  <si>
    <t>public static SourceTimeResolution Resolve(
        SourceTimeAuthorityRegistry registry,
        string? sourceKey,
        string? signalKey,
        RawSourceTime raw)
    {
        ArgumentNullException.ThrowIfNull(registry);
        ArgumentNullException.ThrowIfNull(raw);
        if (!registry.TryGetSignal(sourceKey, signalKey, out var declaration) || declaration is null)
        {
            return Refuse(SourceTimeCodes.SignalNotDeclared);
        }
        var offset = ResolveOffset(declaration, raw, out var localValue, out var offsetCode);
        if (offset is null)
        {
            return Refuse(offsetCode);
        }
        if (!SourceTimeAuthorityRegistry.IsOffsetInRange(offset.Value))
        {
            return Refuse(SourceTimeCodes.OffsetDeclarationConflict);
        }
        var instant = new DateTimeOffset(
            DateTime.SpecifyKind(localValue, DateTimeKind.Unspecified),
            offset.Value);
        return new SourceTimeResolution(
            IsResolved: true,
            new TemporalInstant(
                instant,
                declaration.Role,
                declaration.SourceKey,
                declaration.SignalKey,
                declaration.Uncertainty),
            SourceTimeCodes.TimeResolved,
            TerminalState.Finding,
            ExclusionAttribution.None);</t>
  </si>
  <si>
    <t>01_Backend_Core_14Sep2026_104846.txt
3B93B5E6473747838D639C016E970CC96D29F28B56F7A9199E9C1B2282B2BF14</t>
  </si>
  <si>
    <t>existing semantic infrastructure only</t>
  </si>
  <si>
    <t>Resolve / ResolveAs</t>
  </si>
  <si>
    <t>public static SourceTimeResolution Resolve(
        SourceTimeAuthorityRegistry registry,
        string? sourceKey,
        string? signalKey,
        RawSourceTime raw)
    {
        ArgumentNullException.ThrowIfNull(registry);
        ArgumentNullException.ThrowIfNull(raw);
        if (!registry.TryGetSignal(sourceKey, signalKey, out var declaration) || declaration is null)
        {
            return Refuse(SourceTimeCodes.SignalNotDeclared);
        }
        var offset = ResolveOffset(declaration, raw, out var localValue, out var offsetCode);
        if (offset is null)
        {
            return Refuse(offsetCode);
        }
        if (!SourceTimeAuthorityRegistry.IsOffsetInRange(offset.Value))
        {
            return Refuse(SourceTimeCodes.OffsetDeclarationConflict);
        }
        var instant = new DateTimeOffset(
            DateTime.SpecifyKind(localValue, DateTimeKind.Unspecified),
            offset.Value);
        return new SourceTimeResolution(
            IsResolved: true,
            new TemporalInstant(
                instant,
                declaration.Role,
                declaration.SourceKey,
                declaration.SignalKey,
                declaration.Uncertainty),
            SourceTimeCodes.TimeResolved,
            TerminalState.Finding,
            ExclusionAttribution.None);
    }
    /// &lt;summary&gt;
    /// Resolve a raw timestamp and require that the signal was declared to answer a
    /// particular question. The role is verified against the declaration, never imposed
    /// on it.
    /// &lt;/summary&gt;
    public static SourceTimeResolution ResolveAs(
        SourceTimeAuthorityRegistry registry,
        string? sourceKey,
        string? signalKey,
        TimeRole requiredRole,
        RawSourceTime raw)
    {
        ArgumentNullException.ThrowIfNull(registry);
        if (!registry.TryGetSignal(sourceKey, signalKey, out var declaration) || declaration is null)
        {
            return Refuse(SourceTimeCodes.SignalNotDeclared);
        }
        if (declaration.Role != requiredRole)
        {
            // Arrival time is always available and almost never the answer. A product
            // that substitutes it produces a complete, plausible, wrong timeline.
            return Refuse(requiredRole == TimeRole.Effective
                ? SourceTimeCodes.EffectiveTimeUnavailable
                : SourceTimeCodes.RoleNotAuthorised);
        }
        return Resolve(registry, sourceKey, signalKey, raw);</t>
  </si>
  <si>
    <t>current material time fields</t>
  </si>
  <si>
    <t>var productFamily = reader.OptionalString("ProductFamily");
        var gradeOrRecipe = reader.OptionalString("GradeOrRecipe");
        var sourceRecordId = reader.OptionalString("SourceRecordId");
        var startUtc = reader.OptionalDateTime("ProductionStartUtc");
        var endUtc = reader.OptionalDateTime("ProductionEndUtc");
        var offsetMinutes = reader.OptionalInt("PlantUtcOffsetMinutes");
        var timeZoneId = reader.OptionalString("PlantTimeZoneId");
        if (reader.Failed)
            return Refused(reader);
        var material = new MaterialUnit(
            materialCode: materialCode!,
            materialUnitType: materialUnitType!,
            siteId: siteId!.Value,
            productFamily: productFamily,
            gradeOrRecipe: gradeOrRecipe,
            isSynthetic: stagingRecord.IsSynthetic,
            sourceSystem: stagingRecord.SourceSystem ?? mapping.SourceSystem,
            sourceRecordId: stagingRecord.SourceRecordId ?? sourceRecordId);
        if (startUtc.HasValue)
        {
            material.SetProductionWindow(
                startUtc.Value,
                endUtc,
                TimeSpan.FromMinutes(offsetMinutes ?? 0),
                timeZoneId ?? "UTC");</t>
  </si>
  <si>
    <t>Backend/PlantProcess.Analytics.Core/Kernel/Regime/TransitionAwarePoolingGuard.cs</t>
  </si>
  <si>
    <t>Admit</t>
  </si>
  <si>
    <t>public static PoolingAdmission Admit(
        OperationalTransitionRegistry registry,
        string? scopeKey,
        IReadOnlyList&lt;RegimeScopedSample&gt; samples,
        StabilisationObservation observation)
    {
        ArgumentNullException.ThrowIfNull(registry);
        ArgumentNullException.ThrowIfNull(samples);
        ArgumentNullException.ThrowIfNull(observation);
        if (samples.Count == 0 || samples.Any(s =&gt; s is null))
        {
            // An empty population is not a population that agrees with itself. Returning
            // an admission here would let a downstream statistic report a confident
            // answer computed from nothing.
            return Refuse(PoolingGuardCodes.EmptyPopulation, 0);
        }
        if (!DeclaredKey.TryNormalise(scopeKey, out var scope))
        {
            return Refuse(OperationalTransitionCodes.ScopeNotDeclared, samples.Count);
        }
        if (samples.Any(s =&gt; !string.Equals(Normalise(s.ScopeKey), scope, StringComparison.Ordinal)))
        {
            // Samples from different scopes have different declared transitions, so a
            // single regime verdict would not mean anything.
            return Refuse(PoolingGuardCodes.HeterogeneousScope, samples.Count);
        }
        var regimes = new List&lt;OperationalRegime&gt;();
        foreach (var sample in samples)
        {
            var atPoint = registry.IsScopeDeclared(scope)
                ? OperationalTransitionKernel.ClassifyInstant(registry, scope, sample.Instant.Instant, observation)
                : null;
            if (atPoint is null || !atPoint.IsDecided)
            {
                // The regime classifier's refusal is the guard's refusal. Nothing here
                // second-guesses it.
                return Refuse(atPoint?.Code ?? OperationalTransitionCodes.ScopeNotDeclared, samples.Count);
            }
            var earliest = OperationalTransitionKernel.ClassifyInstant(registry, scope, sample.Instant.EarliestPossible, observation);
            var latest = OperationalTransitionKernel.ClassifyInstant(registry, scope, sample.Instant.LatestPossible, observation);
            if (!earliest.IsDecided) return Refuse(earliest.Code, samples.Count);
            if (!latest.IsDecided) return Refuse(latest.Code, samples.Count);
            if (earliest.Regime != atPoint.Regime || latest.Regime != atPoint.Regime)
            {
                // This sample could have been taken on either side of a changeover. Which
                // side its point estimate happens to land on is not evidence.
                return Refuse(PoolingGuardCodes.SampleRegimeTemporallyUncertain, samples.Count);</t>
  </si>
  <si>
    <t>01_Backend_Core_14Sep2026_104846.txt
4395CEFB50AAC94D6917511AE5E2A68E42A123B30E4A123E8ED9FBAA09A00209</t>
  </si>
  <si>
    <t>time interpretation</t>
  </si>
  <si>
    <t>Frontend/PlantProcess.Web/src/authoring/graphSemantics.ts</t>
  </si>
  <si>
    <t>typed-port authority</t>
  </si>
  <si>
    <t>import {
  FILTER_OPERATORS, MATH_OPERATORS, isUnaryFilterOperator,
  fieldDisplayName, hasResolvableLineage, type FieldLineage,
} from "./operatorContract";
import type {
  DerivedSpec, FilterSpec, MapperGraph, SelectSpec, StagedDataset,
} from "@/api/canvasApi";
// Port typing lives in the canvas layer and is pure, so the refusal set can
// use it without pulling any React into this module.
import { inferPortType, portsCompatible, type PortType } from "@/canvas/ports";
import { parameterValueProblem } from "./blockParameters";
import { contractForKind } from "./blockRegistry";
/**
 * A field as the BOARD sees it.
 *
 * FieldLineage, frozen in T-033a, describes a PHYSICAL field: origin table,
 * origin column, SQL type, display identity. A DERIVED column is a real field
 * of the downstream dataset - it has a name and a known type - but it has no</t>
  </si>
  <si>
    <t>04_Frontend_App_14Sep2026_104846.txt
7F3AC3414B1A2CB82B36999804E4C04BB324CB52F297402848500231B4D69A9F</t>
  </si>
  <si>
    <t>Frontend/PlantProcess.Web/src/authoring/blockRegistry.ts</t>
  </si>
  <si>
    <t>capability separation</t>
  </si>
  <si>
    <t>// T-242 Stage 3. THE REGISTRY IS NOW THE ONLY BLOCK CATALOGUE.
//
// It previously shared that job with four hardcoded maps in the authoring
// shell - an addable-id list, a block-id-to-kind map, a kind-to-title map and
// a seed ternary - so adding one family meant editing four places that could
// disagree with each other and with this file. A row here is now the whole
// declaration: identity, kind, title, ports, group, starting parameters and
// what the product can actually DO with the block.
export interface BlockGroupDefinition {
  id: string;
  label: string;
  /** Section 5.2.14 - the advanced set is collapsed by default, never hidden. */
  advanced: boolean;
}
/**
 * WHAT THE PRODUCT CAN DO WITH A BLOCK, stated as separate facts rather than
 * one overloaded boolean nobody can define a year later.
 *
 *   implemented  its behaviour and validation exist;
 *   evaluable    the deterministic block algebra can compute it;
 *   persistable  the canonical save/version/reopen path can REPRESENT it.
 *
 * These are independent. A relational block is implemented and persistable but
 * not evaluable, because its meaning is a SELECT the server runs. A compute
 * block is implemented and evaluable but not yet persistable, because the
 * transformation representation cannot carry it.
 */
export interface BlockCapabilities {
  readonly evaluable: boolean;
  readonly persistable: boolean;
}</t>
  </si>
  <si>
    <t>04_Frontend_App_14Sep2026_104846.txt
BF4E22FC0ABF9F26AF3B9DCDBA1428BCBCE3198B7D009C828055AF54B95D0C85</t>
  </si>
  <si>
    <t>one catalogue and separate capabilities</t>
  </si>
  <si>
    <t>handoff boundary</t>
  </si>
  <si>
    <t>AG01 behavior</t>
  </si>
  <si>
    <t>export function bindGovernedAggregate(
  metadata: CanonicalRegistryMetadata,
  measureCode: string,
): GovernedAggregateBinding {
  const code = clean(measureCode);
  const measures = Array.isArray(metadata.measures) ? metadata.measures : [];
  const measure = measures.find((item) =&gt; clean(item.code) === code);
  if (!measure) {
    return {
      ok: false,
      refusal: {
        code: "MEASURE_AUTHORITY_UNDECLARED",
        message: "The selected measure is not published by canonical registry metadata.",
      },
    };
  }
  const refusal = (Array.isArray(metadata.refusals) ? metadata.refusals : [])
    .find((item) =&gt; clean(item.code) === code &amp;&amp; clean(item.errorCode) === "AG01");
  const aggregation = clean(measure.aggregation);
  if (refusal || aggregation.length === 0) {
    return {
      ok: false,
      refusal: {
        code: "AG01",
        message: clean(refusal?.message) || "aggregation_semantics_undeclared",
      },</t>
  </si>
  <si>
    <t>Backend/PlantProcess.Application/Definitions/Canvas/CanvasDefinitionContent.cs</t>
  </si>
  <si>
    <t>canonical graph/board content</t>
  </si>
  <si>
    <t>public static string ForGraph(string graphJson, string outputTarget)
    {
        if (string.IsNullOrWhiteSpace(outputTarget))
        {
            throw new ArgumentException(
                "A governed output target is required. It is never defaulted.", nameof(outputTarget));
        }
        var graph = ParseObject(graphJson, "graph");
        var declared = TrimmedOrNull(graph[GraphTargetEntity]);
        var target = outputTarget.Trim();
        // T-243. The browser sends the board INSIDE the graph payload, because that is
        // the one blob the existing session draft carries and this task introduces no
        // second transport. It is lifted out here so the stored graph stays the clean
        // execution shape the SQL generator reads, and the board stands on its own.
        JsonNode? board = null;
        if (graph[RootBoard] is JsonNode authored)
        {
            board = authored.DeepClone();
            graph.Remove(RootBoard);
        }
        if (declared is not null &amp;&amp; !string.Equals(declared, target, StringComparison.Ordinal))
        {
            throw new ArgumentException(
                "The graph names '" + declared + "' as its target entity while the governed output target is '"
                + target + "'. One definition cannot carry two output identities.",
                nameof(outputTarget));
        }
        // T-262. The declaration rides inside the graph payload for the same reason the
        // board does: the session draft is one blob and this task introduces no second
        // transport. It is lifted to the root so the stored graph stays the clean
        // execution shape, and the declaration stands beside it as its own fact.
        JsonNode? projection = null;
        if (graph[RootProjection] is JsonNode declared2)
        {
            projection = declared2.DeepClone();
            graph.Remove(RootProjection);
        }
        var root = new JsonObject
        {
            ["graph"] = Canonicalise(graph),
            [RootOutputTarget] = target,
            ["representation"] = RepresentationGraph,
        };
        if (board is not null)
        {
            root[RootBoard] = Canonicalise(board);
        }
        if (projection is not null)
        {
            root[RootProjection] = Canonicalise(projection);
        }</t>
  </si>
  <si>
    <t>01_Backend_Core_14Sep2026_104846.txt
247AF15F98CF2A8AF8C4C2FE634C9A55738829B1DE435C5BBC417D1F0B82A347</t>
  </si>
  <si>
    <t>Backend/PlantProcess.Infrastructure/Definitions/Canvas/CanvasDefinitionLifecycleService.cs</t>
  </si>
  <si>
    <t>publish transaction</t>
  </si>
  <si>
    <t>await using var transaction = await _db.Database.BeginTransactionAsync(cancellationToken);
        var published = await _writer.PublishAsync(definitionId, versionNumber, cancellationToken);
        if (published.IsFailure)
        {
            await transaction.RollbackAsync(cancellationToken);
            return ApplicationResult&lt;CanvasDefinitionVersion&gt;.Failure(published.Error!);
        }
        var version = published.Value!;
        var representation = CanvasDefinitionContent.Read(version.ContentJson);
        try
        {
            var connection = (NpgsqlConnection)_db.Database.GetDbConnection();
            var npgsqlTransaction = (NpgsqlTransaction)transaction.GetDbTransaction();
            if (representation.Representation == CanvasDefinitionContent.RepresentationGraph)
            {
                if (handles.SessionId is null)
                {
                    await transaction.RollbackAsync(cancellationToken);
                    return Refuse("A graph definition cannot be published without its session handle for the execution projection.");
                }
                await _projection.ProjectGraphVersionAsync(
                    connection, npgsqlTransaction,
                    tenantId, handles.SessionId.Value, version.VersionNumber,
                    representation.GraphJson ?? "{}",
                    handles.PublishedBy ?? "canvas",
                    cancellationToken);
            }
            else
            {
                // Built as a JsonObject rather than an anonymous type. The
                // forked graph is already JSON text, and a nullable
                // JsonElement in an anonymous object has no inferable common
                // type with null - it is a value type. Composing the node
                // keeps the absent case genuinely absent instead of emitting
                // a null the projection would have to interpret.
                var projectionNode = new JsonObject
                {
                    ["body"] = "sql",
                    ["sql"] = representation.Sql,
                    ["canonicalDefinitionId"] = definitionId.ToString(),
                    ["canonicalVersion"] = version.VersionNumber,
                };
                if (!string.IsNullOrWhiteSpace(representation.ForkedFromGraphJson))
                {
                    projectionNode["forkedFromGraph"] = JsonNode.Parse(representation.ForkedFromGraphJson);
                }
                var definitionJson = projectionNode.ToJsonString();
                await _projection.ProjectSqlVersionAsync(
                    connection, npgsqlTransaction,
                    definitionCode.Trim(), handles.DisplayName, handles.CanonicalEntity,
                    version.VersionNumber, definitionJson, SqlProjectionStatus,
                    cancellationToken);
            }
        }
        catch (Exception ex) when (ex is NpgsqlException or InvalidOperationException)
        {
            // The canonical publish succeeded inside this transaction and the
            // projection did not. Neither survives: that is the whole point.
            await transaction.RollbackAsync(cancellationToken);
            return ApplicationResult&lt;CanvasDefinitionVersion&gt;.Failure(ApplicationError.Infrastructure(
                "Published nothing. The execution projection failed and the canonical publish was rolled back with it: " + ex.Message));</t>
  </si>
  <si>
    <t>01_Backend_Core_14Sep2026_104846.txt
BBB6A7BC44D5A51F537E5142EBA51F450F12BB3F6D0C29673346F587A1F4802B</t>
  </si>
  <si>
    <t>existing publication seam</t>
  </si>
  <si>
    <t>ForSql</t>
  </si>
  <si>
    <t>public static string ForSql(
        string normalisedSql,
        string? forkedFromGraphJson,
        string outputTarget,
        string? projectionDeclarationJson = null)
    {
        if (string.IsNullOrWhiteSpace(normalisedSql))
        {
            throw new ArgumentException("Authored SQL is required.", nameof(normalisedSql));
        }
        // T-253. Before this task the SQL target reached the store only as a projection
        // handle, which the lifecycle contract itself states is outside the hash. It
        // could not survive a version and reopen could not return it. It is canonical
        // content now.
        if (string.IsNullOrWhiteSpace(outputTarget))
        {
            throw new ArgumentException(
                "A governed output target is required. It is never defaulted.", nameof(outputTarget));
        }
        var root = new JsonObject
        {
            [RootOutputTarget] = outputTarget.Trim(),
            ["representation"] = RepresentationSql,
            ["sql"] = normalisedSql,
        };
        if (!string.IsNullOrWhiteSpace(forkedFromGraphJson))
        {
            root["forkedFromGraph"] = Canonicalise(ParseObject(forkedFromGraphJson, "forkedFromGraph"));
        }</t>
  </si>
  <si>
    <t>SQL publish path</t>
  </si>
  <si>
    <t>else
            {
                // Built as a JsonObject rather than an anonymous type. The
                // forked graph is already JSON text, and a nullable
                // JsonElement in an anonymous object has no inferable common
                // type with null - it is a value type. Composing the node
                // keeps the absent case genuinely absent instead of emitting
                // a null the projection would have to interpret.
                var projectionNode = new JsonObject
                {
                    ["body"] = "sql",
                    ["sql"] = representation.Sql,
                    ["canonicalDefinitionId"] = definitionId.ToString(),
                    ["canonicalVersion"] = version.VersionNumber,
                };
                if (!string.IsNullOrWhiteSpace(representation.ForkedFromGraphJson))
                {
                    projectionNode["forkedFromGraph"] = JsonNode.Parse(representation.ForkedFromGraphJson);
                }
                var definitionJson = projectionNode.ToJsonString();
                await _projection.ProjectSqlVersionAsync(
                    connection, npgsqlTransaction,
                    definitionCode.Trim(), handles.DisplayName, handles.CanonicalEntity,
                    version.VersionNumber, definitionJson, SqlProjectionStatus,
                    cancellationToken);
            }
        }
        catch (Exception ex) when (ex is NpgsqlException or InvalidOperationException)
        {
            // The canonical publish succeeded inside this transaction and the
            // projection did not. Neither survives: that is the whole point.
            await transaction.RollbackAsync(cancellationToken);
            return ApplicationResult&lt;CanvasDefinitionVersion&gt;.Failure(ApplicationError.Infrastructure(
                "Published nothing. The execution projection failed and the canonical publish was rolled back with it: " + ex.Message));</t>
  </si>
  <si>
    <t>Frontend/PlantProcess.Web/src/api/canvasApi.ts</t>
  </si>
  <si>
    <t>SQL run/save API adapter</t>
  </si>
  <si>
    <t>export type RunSqlResult = {
  status: string; rowCount: number; columns: string[]; rows: unknown[][];
  message: string; errorCode: string | null; sql: string | null; appliedRowLimit: number;
  // T-036. The database's own type per column, from the reader's metadata.
  // Optional: the refusal and failure paths have no columns to describe, and a
  // client built before this landed is still a valid client. The browser NEVER
  // infers a type from a sample value.
  columnDetails?: AuthoredColumn[] | null;
};
export type SaveSqlVersionResult = {
  saved: boolean; versionNumber: number; id: string | null; message: string; errorCode: string | null;
};
export const runAuthoredSql = (sql: string, rowLimit = 100) =&gt;
  apiClient.post&lt;RunSqlResult&gt;("/api/prep/sql/run", { sql, rowLimit });
// T-253. THE GOVERNED OUTPUT TARGET.
//
// outputTarget is the canonical identity a definition writes to and it is REQUIRED.
// canonicalEntity survives only as the legacy execution-projection handle; it is not
// an alternative way to say the same thing, and the shell no longer sends it.
export const saveSqlVersion = (body: {
  code: string; displayName: string; canonicalEntity?: string | null;
  outputTarget: string;
  sql: string; forkedFromGraph: unknown;
  // T-262. A statement declares what it writes exactly as a board does. Omitted is
  // refused by the server with a typed code, never defaulted into something plausible.
  projection?: CanvasProjectionDeclaration | null;
}) =&gt; apiClient.post&lt;SaveSqlVersionResult&gt;("/api/prep/sql/versions", body);
export type OutputTargetsResult = {
  source: string; note?: string; targets: string[];
};
// The names come from the mapped model plus the Domain projection-target marker. The
// browser keeps no list of its own: an empty answer is shown as an empty picker, never
// backfilled with something plausible.
export const listOutputTargets = () =&gt;
  apiClient.get&lt;OutputTargetsResult&gt;("/api/prep/authoring/output-targets");
export const publishVersion = (sessionId: string) =&gt;</t>
  </si>
  <si>
    <t>04_Frontend_App_14Sep2026_104846.txt
1A78D625E9830536FE54D260C9E3CE5A62B92B3AF5B5E7F1735A5EE8541308E2</t>
  </si>
  <si>
    <t>current save/preview/publish surface</t>
  </si>
  <si>
    <t>export const saveGraph = (sessionId: string, graph: MapperGraph) =&gt; apiClient.post&lt;{ ok: boolean }&gt;(`${BASE}/sessions/${sessionId}/graph`, graph);
export const runDryRun = (sessionId: string) =&gt; apiClient.post&lt;DryRunResult&gt;(`${BASE}/sessions/${sessionId}/dry-run`, {});
// M1-19. SQL authoring. Both calls go through public.ppiq_resolve_safe_sql on
// the server before anything is executed or stored - the client never gets a
// path that skips the validator, which is the whole constraint of the task.
export type AuthoredColumn = { name: string; databaseType: string };
export type RunSqlResult = {
  status: string; rowCount: number; columns: string[]; rows: unknown[][];
  message: string; errorCode: string | null; sql: string | null; appliedRowLimit: number;
  // T-036. The database's own type per column, from the reader's metadata.
  // Optional: the refusal and failure paths have no columns to describe, and a
  // client built before this landed is still a valid client. The browser NEVER
  // infers a type from a sample value.
  columnDetails?: AuthoredColumn[] | null;
};
export type SaveSqlVersionResult = {
  saved: boolean; versionNumber: number; id: string | null; message: string; errorCode: string | null;
};
export const runAuthoredSql = (sql: string, rowLimit = 100) =&gt;
  apiClient.post&lt;RunSqlResult&gt;("/api/prep/sql/run", { sql, rowLimit });
// T-253. THE GOVERNED OUTPUT TARGET.
//
// outputTarget is the canonical identity a definition writes to and it is REQUIRED.
// canonicalEntity survives only as the legacy execution-projection handle; it is not
// an alternative way to say the same thing, and the shell no longer sends it.
export const saveSqlVersion = (body: {
  code: string; displayName: string; canonicalEntity?: string | null;
  outputTarget: string;
  sql: string; forkedFromGraph: unknown;
  // T-262. A statement declares what it writes exactly as a board does. Omitted is
  // refused by the server with a typed code, never defaulted into something plausible.
  projection?: CanvasProjectionDeclaration | null;
}) =&gt; apiClient.post&lt;SaveSqlVersionResult&gt;("/api/prep/sql/versions", body);
export type OutputTargetsResult = {
  source: string; note?: string; targets: string[];
};
// The names come from the mapped model plus the Domain projection-target marker. The
// browser keeps no list of its own: an empty answer is shown as an empty picker, never
// backfilled with something plausible.
export const listOutputTargets = () =&gt;
  apiClient.get&lt;OutputTargetsResult&gt;("/api/prep/authoring/output-targets");
export const publishVersion = (sessionId: string) =&gt;</t>
  </si>
  <si>
    <t>non-executable target families</t>
  </si>
  <si>
    <t>case JobDefinitionType.CanonicalRefresh:
                return new JobExecutionCapability(
                    jobType, false, JobTargetRequirement.Required, DefinitionKind.Transformation,
                    "Governed projection execution is not commissioned in this runtime. The only "
                        + "path this family reaches processes the generic import queue and does not "
                        + "execute the declared transformation version, so it is not advertised as "
                        + "executable. Existing schedules and history remain readable.");
            case JobDefinitionType.MlParamsVsDefects:
            case JobDefinitionType.MlParamsVsDowntime:
            case JobDefinitionType.MlParamsVsKpis:
            case JobDefinitionType.MlWeeklyFull:
                return new JobExecutionCapability(
                    jobType, false, JobTargetRequirement.Required, DefinitionKind.Model,
                    "The learning family " + jobType + " declares a governed model target, and no "
                        + "executor for it is commissioned in this runtime.");</t>
  </si>
  <si>
    <t>concrete broken journey seam</t>
  </si>
  <si>
    <t>case JobDefinitionType.CanonicalRefresh:
                return new JobExecutionCapability(
                    jobType, false, JobTargetRequirement.Required, DefinitionKind.Transformation,
                    "Governed projection execution is not commissioned in this runtime. The only "
                        + "path this family reaches processes the generic import queue and does not "
                        + "execute the declared transformation version, so it is not advertised as "
                        + "executable. Existing schedules and history remain readable.");</t>
  </si>
  <si>
    <t>earlier tests are not full new journey proof</t>
  </si>
  <si>
    <t>public async Task TwoStageDeltaImport_Stage1Stage2AndFullCycle_AreIdempotent_WhenOptInEnabled()
    {
        if (!IsEnabled()) return;
        using var client = await CreateAuthenticatedClientAsync();
        await AssertSuccessAsync(await client.PostAsync("/admin/two-stage-import/provision-baseline", null), "provision-baseline");
        var firstStage1 = await PostRunAsync(client, "/admin/two-stage-import/stage1/run", maxRows: 25, timeoutSeconds: 30, maxMinutes: 1);
        var secondStage1 = await PostRunAsync(client, "/admin/two-stage-import/stage1/run", maxRows: 25, timeoutSeconds: 30, maxMinutes: 1);
        var firstStage2 = await PostRunAsync(client, "/admin/two-stage-import/stage2/run", maxRows: 25, timeoutSeconds: 30, maxMinutes: 1);
        var fullCycle1 = await PostRunAsync(client, "/admin/two-stage-import/run-full-cycle", maxRows: 50, timeoutSeconds: 45, maxMinutes: 2);
        var fullCycle2 = await PostRunAsync(client, "/admin/two-stage-import/run-full-cycle", maxRows: 50, timeoutSeconds: 45, maxMinutes: 2);
        firstStage1.RootElement.GetProperty("stage").GetString().Should().Be("Stage1DeltaImport");
        secondStage1.RootElement.GetProperty("stage").GetString().Should().Be("Stage1DeltaImport");
        firstStage2.RootElement.GetProperty("stage").GetString().Should().Be("Stage2CanonicalRefresh");
        fullCycle1.RootElement.GetProperty("stage").GetString().Should().Be("TwoStageFullCycle");
        fullCycle2.RootElement.GetProperty("stage").GetString().Should().Be("TwoStageFullCycle");
        var overview = await ReadJsonAsync(await client.GetAsync("/admin/two-stage-import/overview"), "overview-after-full-cycle");
        overview.RootElement.TryGetProperty("sourceTables", out var sourceTables).Should().BeTrue();
        sourceTables.ValueKind.Should().Be(JsonValueKind.Array);
    }
    [SkippableFact]
    public async Task TwoStageDeltaImport_MaxRowsSmallBatch_DoesNotBreakWatermarks_WhenOptInEnabled()
    {
        if (!IsEnabled()) return;
        using var client = await CreateAuthenticatedClientAsync();
        await AssertSuccessAsync(await client.PostAsync("/admin/two-stage-import/provision-baseline", null), "provision-baseline");
        var smallBatch = await PostRunAsync(client, "/admin/two-stage-import/stage1/run", maxRows: 3, timeoutSeconds: 30, maxMinutes: 1);
        var resumeBatch = await PostRunAsync(client, "/admin/two-stage-import/stage1/run", maxRows: 3, timeoutSeconds: 30, maxMinutes: 1);
        smallBatch.RootElement.TryGetProperty("rows", out var smallRows).Should().BeTrue();
        resumeBatch.RootElement.TryGetProperty("rows", out var resumeRows).Should().BeTrue();
        smallRows.ValueKind.Should().Be(JsonValueKind.Array);
        resumeRows.ValueKind.Should().Be(JsonValueKind.Array);
    }</t>
  </si>
  <si>
    <t>ForGraph outputTarget/board</t>
  </si>
  <si>
    <t>Backend/PlantProcess.Application/Definitions/Canvas/ProjectionTypeCompatibility.cs</t>
  </si>
  <si>
    <t>strict compatibility</t>
  </si>
  <si>
    <t>public static bool IsCompatible(string? sourceType, string? targetType)
    {
        var source = FamilyOf(sourceType);
        var target = FamilyOf(targetType);
        if (source == Family.Unknown || target == Family.Unknown) { return false; }
        if (source != target)
        {
            // Integer into decimal is the one cross-family widening that cannot lose a
            // value. Everything else - text into number, number into text, date into
            // text - needs an authored conversion, not an assumption.
            return source == Family.Integer &amp;&amp; target == Family.Decimal;
        }
        if (target == Family.Integer)
        {
            return RankOf(IntegerRank, sourceType) &lt;= RankOf(IntegerRank, targetType);
        }</t>
  </si>
  <si>
    <t>01_Backend_Core_14Sep2026_104846.txt
FF480A92BB3252C2E534718EF6F77F2E46AD1FFA231C210C5059ADEC5D996E38</t>
  </si>
  <si>
    <t>Backend/PlantProcess.Application/Integration/Services/Connectors/ConnectorConfigurationService.ProviderTypes.001.GetProviderTypes.cs</t>
  </si>
  <si>
    <t>duplicate provider DTO source</t>
  </si>
  <si>
    <t>public IReadOnlyList&lt;ProviderTypeDto&gt; GetProviderTypes()
    {
        return new List&lt;ProviderTypeDto&gt;
        {
            new(
                "Csv",
                "CSV Snapshot",
                "Available now. Reads CSV snapshot exports into the PlantProcess IQ raw staging layer.",
                IsAvailableNow: ProviderAvailability.IsAvailableNow("Csv"),
                RequiresSecretReference: false,
                SupportsSchemaDiscovery: true,
                SupportsSnapshotImport: true,
                SupportsIncrementalImport: false),
            new(
                "Excel",
                "Excel Snapshot",
                "Available now. Reads Excel workbook/sheet snapshots into the PlantProcess IQ raw staging layer.",
                IsAvailableNow: ProviderAvailability.IsAvailableNow("Excel"),
                RequiresSecretReference: false,
                SupportsSchemaDiscovery: true,
                SupportsSnapshotImport: true,
                SupportsIncrementalImport: false),</t>
  </si>
  <si>
    <t>01_Backend_Core_14Sep2026_104846.txt
4A10A7107F55716CC0B80A0E55C87FB91CA06520CEA655886BBABC9BBEAADDA1</t>
  </si>
  <si>
    <t>OPC flags</t>
  </si>
  <si>
    <t>new(
                "RestApi",
                "REST API Snapshot",
                "Planned API snapshot connector. Not part of the current demo-ready connector set.",
                IsAvailableNow: ProviderAvailability.IsAvailableNow("RestApi"),
                RequiresSecretReference: true,
                SupportsSchemaDiscovery: false,
                SupportsSnapshotImport: true,
                SupportsIncrementalImport: true),
            new(
                "OpcUaHistorian",
                "OPC-UA / Historian",
                "Future historian/live-data connector. Not part of the current demo-ready connector set.",
                IsAvailableNow: ProviderAvailability.IsAvailableNow("OpcUaHistorian"),
                RequiresSecretReference: true,
                SupportsSchemaDiscovery: false,
                SupportsSnapshotImport: false,
                SupportsIncrementalImport: true)
        };
    }
}</t>
  </si>
  <si>
    <t>Backend/PlantProcess.Application/Integration/Connectors/ConnectorProviderCatalog.cs</t>
  </si>
  <si>
    <t>second catalog OPC/SAP entries</t>
  </si>
  <si>
    <t>new ProviderTypeDto(
                ProviderType: "Sap",
                DisplayName: "SAP",
                Description: "Read-only connector for SAP source systems.",
                IsAvailableNow: ProviderAvailability.IsAvailableNow("Sap"),
                RequiresSecretReference: true,
                SupportsSchemaDiscovery: true,
                SupportsSnapshotImport: true,
                SupportsIncrementalImport: true),
            new ProviderTypeDto(
                ProviderType: "RestApi",
                DisplayName: "REST API Snapshot",
                Description: "Reads snapshots from REST endpoints.",
                IsAvailableNow: ProviderAvailability.IsAvailableNow("RestApi"),
                RequiresSecretReference: true,
                SupportsSchemaDiscovery: false,
                SupportsSnapshotImport: true,
                SupportsIncrementalImport: true),
                        // PPIQ_PACK_E2_GA_HISTORIAN_PROVIDER
            new ProviderTypeDto(
                ProviderType: "OpcUaHistorian",
                DisplayName: "OPC-UA / Historian Gateway",
                Description: "Read-only gateway for OPC-UA historians and tag archives.",
                IsAvailableNow: ConnectorCertification.IsCertified("OpcUaHistorian"),
                RequiresSecretReference: true,
                SupportsSchemaDiscovery: true,
                SupportsSnapshotImport: false,
                SupportsIncrementalImport: true)
        };
    }
}</t>
  </si>
  <si>
    <t>01_Backend_Core_14Sep2026_104846.txt
BA307EC6BCE0A14F42049859F75B9087495014676C4E6E822CF956D96BF140BB</t>
  </si>
  <si>
    <t>admission before real run</t>
  </si>
  <si>
    <t>// CAPABILITY FIRST, AND NOTHING BEFORE IT. An unsupported family never
        // opens a run record and never reaches an executor, so no side effect -
        // not one import batch - can be attributed to a request the runtime
        // cannot honour.
        ApplicationResult admitted = JobRunAdmission.Admit(job, _capability);
        if (admitted.IsFailure)
            return ApplicationResult&lt;JobActionResponseDto&gt;.Failure(admitted.Error!);
        ApplicationResult targetOk = await ResolveDeclaredTargetAsync(job, cancellationToken);
        if (targetOk.IsFailure)
            return ApplicationResult&lt;JobActionResponseDto&gt;.Failure(targetOk.Error!);
        var run = await _jobRuntimeService.StartAsync(
            job.JobCode,
            triggerSource: "ManualRunNow",
            triggeredBy: requestedBy ?? "Admin",
            correlationId: correlationId ?? Guid.NewGuid().ToString("N"),
            cancellationToken);
        if (run.IsFailure || run.Value is null)
            return ApplicationResult&lt;JobActionResponseDto&gt;.Failure(run.Error!);
        try
        {
            var executionResult = await ExecuteJobAsync(job.JobType, cancellationToken);</t>
  </si>
  <si>
    <t>discarded resolution/dispatch</t>
  </si>
  <si>
    <t>private async Task&lt;ApplicationResult&gt; ResolveDeclaredTargetAsync(
        JobDefinition job, CancellationToken cancellationToken)
    {
        if (!job.TargetDefinitionId.HasValue)
        {
            ApplicationResult&lt;JobTargetResolution&gt; none =
                await _targetResolver.ResolveAsync(job.JobType, null, cancellationToken);
            return none.IsFailure ? ApplicationResult.Failure(none.Error!) : ApplicationResult.Success();
        }
        if (string.IsNullOrWhiteSpace(job.TargetDefinitionKind) || !job.TargetVersionPolicy.HasValue)
        {
            return ApplicationResult.Failure(ApplicationError.Validation(
                "Job " + job.JobCode + " declares a target identity without a kind or a version policy, "
                + "so nothing can say which definition version it would run."));
        }
        DefinitionKind kind;
        if (!Enum.TryParse(job.TargetDefinitionKind, false, out kind)
            || !Enum.IsDefined(typeof(DefinitionKind), kind))
        {
            return ApplicationResult.Failure(ApplicationError.Validation(
                "Job " + job.JobCode + " declares target kind '" + job.TargetDefinitionKind
                + "', which is not a canonical definition kind."));
        }
        var reference = new JobTargetReference
        {
            Kind = kind,
            DefinitionId = job.TargetDefinitionId.Value,
            VersionPolicy = job.TargetVersionPolicy.Value,
            PinnedVersion = job.TargetDefinitionVersion,
            ParametersJson = job.TargetParametersJson
        };
        ApplicationResult&lt;JobTargetResolution&gt; resolved =
            await _targetResolver.ResolveAsync(job.JobType, reference, cancellationToken);
        return resolved.IsFailure ? ApplicationResult.Failure(resolved.Error!) : ApplicationResult.Success();
    }
    private async Task&lt;RunNowExecutionResult&gt; ExecuteJobAsync(
        JobDefinitionType jobType, CancellationToken cancellationToken)
    {
        switch (jobType)
        {
            // CanonicalRefresh is deliberately absent. Its case used to sit here
            // beside DbLinkImport and processed the same generic queue, which is
            // not execution of a governed transformation version. The capability
            // authority now refuses it before this method is reached, and the
            // default below makes any disagreement loud instead of silent.
            case JobDefinitionType.DbLinkImport:
            {
                var result = await _importBatchQueueProcessorService.ProcessPendingBatchesAsync(
                    maxBatches: 10, rowsPerBatch: 5000, stopOnFirstError: false,
                    runDataQualityScan: false, cancellationToken);
                if (result.IsFailure || result.Value is null)
                {
                    return RunNowExecutionResult.Failed(
                        result.Error?.Message ?? "Import queue processing failed.");
                }
                return RunNowExecutionResult.Ok(
                    $"Import queue completed. Scanned={result.Value.BatchesScanned}, Completed={result.Value.BatchesCompleted}, Failed={result.Value.BatchesFailed}.",
                    JsonSerializer.Serialize(result.Value));</t>
  </si>
  <si>
    <t>uncommissioned executor</t>
  </si>
  <si>
    <t>terminal lifecycle</t>
  </si>
  <si>
    <t>switch (finalStatus)
        {
            case JobRunStatus.Ok:
                history.MarkSucceeded(message, resultSummaryJson);
                job.MarkSucceeded(history.DurationMs, history.CompletedAtUtc);
                break;
            case JobRunStatus.Failed:
                history.MarkFailed(failureReason ?? message ?? "Job failed.", resultSummaryJson);
                job.MarkFailed(history.FailureReason ?? "Job failed.", history.DurationMs, history.CompletedAtUtc);
                break;
            case JobRunStatus.Timeout:
                history.MarkTimedOut(failureReason ?? message ?? "Job timed out.", resultSummaryJson);
                job.MarkTimedOut(history.FailureReason ?? "Job timed out.", history.DurationMs, history.CompletedAtUtc);
                break;
            default:
                return ApplicationResult&lt;JobRunHistoryDto&gt;.Failure(
                    ApplicationError.Validation("Final job status must be Ok, Failed, or Timeout."));
        }
        await _dbContext.SaveChangesAsync(cancellationToken);</t>
  </si>
  <si>
    <t>immutable projection content</t>
  </si>
  <si>
    <t>// T-243. The browser sends the board INSIDE the graph payload, because that is
        // the one blob the existing session draft carries and this task introduces no
        // second transport. It is lifted out here so the stored graph stays the clean
        // execution shape the SQL generator reads, and the board stands on its own.
        JsonNode? board = null;
        if (graph[RootBoard] is JsonNode authored)
        {
            board = authored.DeepClone();
            graph.Remove(RootBoard);
        }
        if (declared is not null &amp;&amp; !string.Equals(declared, target, StringComparison.Ordinal))
        {
            throw new ArgumentException(
                "The graph names '" + declared + "' as its target entity while the governed output target is '"
                + target + "'. One definition cannot carry two output identities.",
                nameof(outputTarget));
        }
        // T-262. The declaration rides inside the graph payload for the same reason the
        // board does: the session draft is one blob and this task introduces no second
        // transport. It is lifted to the root so the stored graph stays the clean
        // execution shape, and the declaration stands beside it as its own fact.
        JsonNode? projection = null;
        if (graph[RootProjection] is JsonNode declared2)
        {
            projection = declared2.DeepClone();
            graph.Remove(RootProjection);
        }
        var root = new JsonObject
        {
            ["graph"] = Canonicalise(graph),
            [RootOutputTarget] = target,
            ["representation"] = RepresentationGraph,
        };
        if (board is not null)
        {
            root[RootBoard] = Canonicalise(board);
        }
        if (projection is not null)
        {
            root[RootProjection] = Canonicalise(projection);
        }</t>
  </si>
  <si>
    <t>unknown/narrowing refusal</t>
  </si>
  <si>
    <t>Frontend/PlantProcess.Web/src/authoring/SharedAuthoringShell.tsx</t>
  </si>
  <si>
    <t>doSaveSql callback inputs/dependencies</t>
  </si>
  <si>
    <t>const doSaveSql = useCallback(async () =&gt; {
    try {
      // T-253. The statement carries the SAME governed identity the board does. The
      // legacy canonicalEntity handle is no longer sent from here at all: it named a
      // physical relation, which was never what a definition writes to.
      if (outputTargetRefusal) {
        logError(name, outputTargetRefusal);
        return;
      }
      // T-262. Saving a governed version is the same boundary Publish is. Run SQL
      // remains open while the mapping is being authored.
      if (projectionBlocked) {
        setProjectionRefusal(projectionBlocked);
        logError(name, projectionBlocked);
        return;
      }
      const r = await saveSqlVersion({
        code: name.replace(/[^A-Za-z0-9_]+/g, "_").toLowerCase() || "sql_definition",
        displayName: name,
        outputTarget,
        sql: sqlText,
        forkedFromGraph: forkedGraph,
        projection,
      });
      if (r.saved) { logSuccess(name, r.message, "version " + r.versionNumber); }
      else { logError(name, r.message); }
    } catch (e) { logError(name, describeThrownAction(e)); }
  }, [name, sqlText, forkedGraph, outputTarget, outputTargetRefusal, logError, logSuccess]);</t>
  </si>
  <si>
    <t>04_Frontend_App_14Sep2026_104846.txt
57750D130D30FC330C4D4A15E63CAC95C69CFD026A6F73EC8F3A9CD9E1924736</t>
  </si>
  <si>
    <t>Backend/PlantProcess.Infrastructure/Connectors/ConnectorCredentialResolver.cs</t>
  </si>
  <si>
    <t>Resolve</t>
  </si>
  <si>
    <t>public static Credentials Resolve(string? connectionOptionsJson, string? secretReference, string providerLabel)
    {
        if (!string.IsNullOrWhiteSpace(connectionOptionsJson) &amp;&amp; connectionOptionsJson.Trim() != "{}")
        {
            try
            {
                using var doc = JsonDocument.Parse(connectionOptionsJson);
                var root = doc.RootElement;
                var u = TryGet(root, "username") ?? TryGet(root, "user");
                var p = TryGet(root, "password");
                if (!string.IsNullOrWhiteSpace(u) &amp;&amp; p is not null)
                {
                    return new Credentials(u!, p!);
                }
            }
            catch (JsonException)
            {
                throw new InvalidOperationException(
                    providerLabel + " connection_options_json is not valid JSON; cannot resolve credentials.");
            }
        }
        if (!string.IsNullOrWhiteSpace(secretReference))
        {
            var u = Environment.GetEnvironmentVariable(secretReference!);
            var p = Environment.GetEnvironmentVariable(secretReference + "_PASSWORD");
            if (!string.IsNullOrWhiteSpace(u) &amp;&amp; p is not null)
            {
                return new Credentials(u!, p!);
            }
        }
        throw new InvalidOperationException(
            providerLabel + " connection failed: no credentials resolved. Provide connection_options_json " +
            "with username and password, or a secret_reference resolving to REF and REF_PASSWORD " +
            "environment variables. The connector will not inherit the host account identity.");</t>
  </si>
  <si>
    <t>01_Backend_Core_14Sep2026_104846.txt
93A40F4BB733FD739E33350C746822CCF49804393802C9A82DC1940045BA8477</t>
  </si>
  <si>
    <t>Backend/tests/PlantProcess.Api.IntegrationTests/Security/T08ConnectorSecretMaskingIntegrationTests.cs</t>
  </si>
  <si>
    <t>Connector_password_is_masked_on_readback</t>
  </si>
  <si>
    <t>[SkippableFact]
    public async Task Connector_password_is_masked_on_readback()
    {
        using var client = await CreateAuthenticatedClientAsync();
        var create = await client.PostAsJsonAsync("/admin/connectors/connection-profiles", new
        {
            name = "t08-mask-probe",
            providerType = "PostgreSql",
            host = "127.0.0.1",
            port = 5432,
            database = "t08probe",
            username = "t08user",
            password = PlaintextSecret
        });
        if (!create.IsSuccessStatusCode) return; // exact create shape differs here -&gt; no-op
        var created = await create.Content.ReadFromJsonAsync&lt;JsonElement&gt;();
        string? id = created.TryGetProperty("id", out var idProp) ? idProp.GetString() : null;
        if (string.IsNullOrWhiteSpace(id)) return;
        var read = await client.GetAsync($"/admin/connectors/connection-profiles/{id}");
        read.IsSuccessStatusCode.Should().BeTrue();
        var body = await read.Content.ReadAsStringAsync();
        body.Should().NotContain(PlaintextSecret,
            "the plaintext connector secret must never be serialized back to the client");</t>
  </si>
  <si>
    <t>03_Backend_Tests_14Sep2026_104846.txt
5C1F9DE8F3E6D7528092AB2EAA6CE796531C75087597AAF68B4ED6DC964D0865</t>
  </si>
  <si>
    <t>Backend/PlantProcess.Api/SignedLicensing/V5SignedLicensingEndpoints.cs</t>
  </si>
  <si>
    <t>dev route refusal</t>
  </si>
  <si>
    <t>group.MapPost("/dev/create-license", async (
            [FromBody] CreateDevLicenseRequest request,
            NpgsqlDataSource dataSource,
            HttpContext http,
            IHostEnvironment hostEnvironment,
            CancellationToken cancellationToken) =&gt;
        {
            // P2-T01: dev-only license minting. Never expose outside Development.
            if (!hostEnvironment.IsDevelopment())
            {
                return Results.NotFound();
            }</t>
  </si>
  <si>
    <t>01_Backend_Core_14Sep2026_104846.txt
7080A63116796D48D7EBEE5511006B081C7F46CA09B648893D3EF382739CCB98</t>
  </si>
  <si>
    <t>Backend/PlantProcess.Api/SignedLicensing/VerifiedEd25519LicenseService.cs</t>
  </si>
  <si>
    <t>feature/tier authority</t>
  </si>
  <si>
    <t>public sealed class VerifiedEd25519LicenseService : ILicenseService
{
    private static readonly IReadOnlyDictionary&lt;LicenseFeature, LicenseTier&gt; RequiredTierByFeature =
        new Dictionary&lt;LicenseFeature, LicenseTier&gt;
        {
            [LicenseFeature.ReadOnlySourceRegistry] = LicenseTier.Light,
            [LicenseFeature.CsvImport] = LicenseTier.Light,
            [LicenseFeature.ExcelImport] = LicenseTier.Light,
            [LicenseFeature.PostgreSqlConnector] = LicenseTier.Pro,
            [LicenseFeature.SqlServerConnector] = LicenseTier.Enterprise,
            [LicenseFeature.OracleConnector] = LicenseTier.Enterprise,
            [LicenseFeature.MySqlConnector] = LicenseTier.Enterprise,
            [LicenseFeature.RestApiConnector] = LicenseTier.Enterprise,
            [LicenseFeature.OpcUaHistorianConnector] = LicenseTier.Enterprise,
            [LicenseFeature.DbLinkConfiguration] = LicenseTier.Light,
            [LicenseFeature.DumpStagingRetention] = LicenseTier.Light,
            [LicenseFeature.SourceSnapshotImport] = LicenseTier.Light,
            [LicenseFeature.IncrementalImport] = LicenseTier.Pro,
            [LicenseFeature.SchemaSqlViewBuilder] = LicenseTier.Pro,
            [LicenseFeature.CrossSourceJoinExecution] = LicenseTier.Pro,
            [LicenseFeature.KpiViewBuilder] = LicenseTier.ProPlus,
            [LicenseFeature.SchemaPreviewExecution] = LicenseTier.Pro,
            [LicenseFeature.MappingExecution] = LicenseTier.Pro,
            [LicenseFeature.WidgetScriptLayer] = LicenseTier.ProPlus,
            [LicenseFeature.DashboardPageBuilder] = LicenseTier.Light,
            [LicenseFeature.DashboardWidgetBuilder] = LicenseTier.Light,
            [LicenseFeature.DashboardLayoutPersistence] = LicenseTier.Light,
            [LicenseFeature.DataQualityBasicScan] = LicenseTier.Light,
            [LicenseFeature.DataQualityFullScan] = LicenseTier.Pro,
            [LicenseFeature.RiskDashboardView] = LicenseTier.Pro,
            [LicenseFeature.RiskDashboardContributors] = LicenseTier.ProPlus,
            [LicenseFeature.CorrelationManualRun] = LicenseTier.Pro,
            [LicenseFeature.CorrelationScheduledRun] = LicenseTier.ProPlus,
            [LicenseFeature.InvestigationWorkflow] = LicenseTier.ProPlus,
            [LicenseFeature.MlWorkspacePreview] = LicenseTier.ProPlus,
            [LicenseFeature.MlLearningJobs] = LicenseTier.ProPlus,
            [LicenseFeature.SuggestionRecommendation] = LicenseTier.ProPlus,
            [LicenseFeature.BasicInvestigationReportPdf] = LicenseTier.Pro,
            [LicenseFeature.FullGenealogyReportPdf] = LicenseTier.ProPlus,
            [LicenseFeature.BrandedReportPdf] = LicenseTier.Enterprise</t>
  </si>
  <si>
    <t>01_Backend_Core_14Sep2026_104846.txt
F161FA32314EB4BA58247BEFF03FF6F3F64722C589F50D06FA37E265388DC43F</t>
  </si>
  <si>
    <t>Backend/PlantProcess.Api/Program.cs</t>
  </si>
  <si>
    <t>licence DI</t>
  </si>
  <si>
    <t>builder.Services.AddV5AssistantGateway(builder.Configuration);
builder.Services.AddAssistant();
// T-057. The relationship vertical: store, service and publication seam.
// Fully qualified deliberately - a composition root should not acquire a
// using for a namespace it references once.
PlantProcess.Infrastructure.Relationships.RelationshipInfrastructureExtensions.AddRelationshipInfrastructure(builder.Services);
// PPIQ_API_STARTUP_SERVICE_INFERENCE_FIX:
// Register Phase 09/10 application services used by Minimal API endpoint handlers.
// Without this, ASP.NET cannot infer parameters named "service" and API startup fails.
builder.Services.AddScoped&lt;IPrivateModelGatewayTransport, NoopPrivateModelGatewayTransport&gt;();
builder.Services.AddScoped&lt;PrivateModelGatewayService&gt;();
builder.Services.AddScoped&lt;ConnectorBehaviourCertificationService&gt;();
builder.Services.AddScoped&lt;ILicenseService, VerifiedEd25519LicenseService&gt;();
builder.AddPpiqTestMode();   // PPIQ-T022 (validates + refuses in Production without accept-risk)</t>
  </si>
  <si>
    <t>01_Backend_Core_14Sep2026_104846.txt
81846040EF8FE25181817A9F167CC9A727AE1946E340B8B4385CF7F5E8974897</t>
  </si>
  <si>
    <t>Backend/PlantProcess.Application/DependencyInjection.cs</t>
  </si>
  <si>
    <t>legacy DI</t>
  </si>
  <si>
    <t>// Commercial license / feature enforcement
        services.AddOptions&lt;LicenseOptions&gt;()
            .BindConfiguration(LicenseOptions.SectionName)
            .Validate(options =&gt; !string.IsNullOrWhiteSpace(options.Tier), "PlantProcess:License:Tier is required.");
        services.AddSingleton&lt;ILicenseService, LicenseService&gt;();</t>
  </si>
  <si>
    <t>01_Backend_Core_14Sep2026_104846.txt
D2AB8EE19071BB139AA2EC400F7BADFC272BA1218A042EF57453BE49B1707134</t>
  </si>
  <si>
    <t>development guard</t>
  </si>
  <si>
    <t>deploy/scripts/ppiq.ps1</t>
  </si>
  <si>
    <t>command contract</t>
  </si>
  <si>
    <t># deploy/scripts/ppiq.ps1 - single entrypoint for PlantProcess IQ local + server orchestration.
#
#   ppiq.ps1 &lt;command&gt; [-Server] [-NoSources]
#
#   up           start API + web   (local: dotnet/npm on host ; -Server: full compose stack)
#   up-sources   start the demo source containers
#   migrate      apply Backend/database/scripts/*.sql in order, idempotent (ON_ERROR_STOP=1)
#   seed         apply Backend/database/seed/*.sql in order (if present)
#   demo         up-sources + migrate + seed + up   (full seeded stack, zero manual env)
#   test         dotnet test  +  vitest run
#   e2e          playwright test
#   reset        down + tear down container volumes
#   down         stop API/web + stop sources
#   status       show running components
#   help         this text
#
# All config is read from deploy/compose/.env.dev. No verb requires a hand-set environment variable.
# On the laptop the app DB is NATIVE postgres on localhost:5432; only the demo sources are containers.</t>
  </si>
  <si>
    <t>07_Tools_Validation_Misc_14Sep2026_104846.txt
7E7FCBD5CF51B86CD8C5DD421487E64C8928DA50F77CD40D3B03A3583743C17C</t>
  </si>
  <si>
    <t>profile/path selection</t>
  </si>
  <si>
    <t>$ComposeBase           = 'deploy/compose/docker-compose.yml'
$ComposeLocal          = 'deploy/compose/docker-compose.local.yml'
$ComposeServer         = 'deploy/compose/docker-compose.server.yml'
$ComposeSources        = 'deploy/compose/docker-compose.sources.yml'
$EnvFile               = 'deploy/compose/.env.dev'
$Project               = 'plantprocessiq'
$ApiProj               = 'Backend/PlantProcess.Api'
$WebDir                = 'Frontend/PlantProcess.Web'
$MigrationsDir         = 'Backend/database/scripts'
$SeedDir               = 'Backend/database/seed'
$RunDir                = Join-Path $ScriptDir '.ppiq-run'
# ---- helpers -------------------------------------------------------------------------------------
function Say($m){ Write-Host ("ppiq&gt; " + $m) -ForegroundColor Cyan }
function Die($m){ Write-Host ("ppiq: " + $m) -ForegroundColor Red; exit 1 }
function Assert-Exit($what){ if($LASTEXITCODE -ne 0){ Die ($what + " failed (exit " + $LASTEXITCODE + ")") } }
function Import-DotEnv {
  $f = Join-Path $RepoRoot $EnvFile
  if(-not (Test-Path $f)){ Die ($EnvFile + " not found - run the M1-T01/T02 setup first") }</t>
  </si>
  <si>
    <t>Backend/database/canonical-migration-order.json</t>
  </si>
  <si>
    <t>canonical ledger</t>
  </si>
  <si>
    <t>{
    "artifact":  "canonical-migration-order",
    "purpose":  "The single ordered path that builds a database from zero. A script outside this path is never replayed as part of a build.",
    "generatedAtUtc":  "2026-09-09T21:20:11Z",
    "baselineCommit":  "f8a35725c9b0d7fb5a0515c0103a72807a704a97",
    "dispositions":  [
                         "Canonical",
                         "HistoricalRepair",
                         "Superseded",
                         "FixtureOnly",
                         "DeferredWithReason"
                     ],
    "rules":  [
                  "The path is tiered: EF migrations, then Backend/database/scripts, then Backend/database/views.",
                  "Each folder numbers from its own 000, so ordinals are compared only within a tier.",
                  "Explicit adjudication beats filename heuristics. Every override records its reason.",
                  "A dependant does not run until its predecessor postcondition is proven.",
                  "Exactly one ordered path exists. This file is it.",
                  "Every SQL file carries exactly one disposition. There is no unknown state.",
                  "A new script joins this manifest in the same commit that creates it.",</t>
  </si>
  <si>
    <t>02_Backend_Database_14Sep2026_104846.txt
1F0E9A1DEC31F10BE7034CF00038C4AB36E2681F91E0B429E6D232F08F23E10D</t>
  </si>
  <si>
    <t>existing incremental reader use</t>
  </si>
  <si>
    <t>batch/cursor persistence</t>
  </si>
  <si>
    <t>existing admission/run boundary</t>
  </si>
  <si>
    <t>Backend/PlantProcess.ML.Runtime/Benchmarks/BenchmarkCatalogue.cs</t>
  </si>
  <si>
    <t>benchmark metadata</t>
  </si>
  <si>
    <t>public sealed record BenchmarkDefinition
{
    public required string BenchmarkId { get; init; }
    public required string Title { get; init; }
    public required string Question { get; init; }
    public required string Method { get; init; }
    public required string Decides { get; init; }
    public required string DecisionOwner { get; init; }
    public required string DefinitionSource { get; init; }
    /// &lt;summary&gt;The task owning the model-specific measurement hook for this benchmark.&lt;/summary&gt;
    public required string HookOwner { get; init; }
    /// &lt;summary&gt;The domain kind of the thing this benchmark measures.&lt;/summary&gt;
    public required string SubjectKind { get; init; }
    public required IReadOnlyList&lt;MetricFamily&gt; ApplicableFamilies { get; init; }</t>
  </si>
  <si>
    <t>07_Tools_Validation_Misc_14Sep2026_104846.txt
65CDF66B2DC435F755674C5F5EDB44FC4EF6F082D17FB74F4925C3275535FEF9</t>
  </si>
  <si>
    <t>Backend/PlantProcess.ML.Runtime/Benchmarks/BenchmarkManifest.cs</t>
  </si>
  <si>
    <t>SelectedValueGuard</t>
  </si>
  <si>
    <t>public static class SelectedValueGuard
{
    public static bool TryPublish(
        BenchmarkEnvelope evidence,
        string metricName,
        MetricAggregation aggregation,
        out SelectedBenchmarkValue? selected,
        out string refusalReason)
    {
        selected = null;
        if (evidence is null)
        {
            refusalReason = "no evidence envelope was supplied";
            return false;
        }
        string? invariant = evidence.Validate();
        if (invariant is not null)
        {
            refusalReason = "evidence envelope is invalid: " + invariant;
            return false;
        }
        if (evidence.TerminalState != BenchmarkTerminalState.Measured)
        {
            refusalReason = "evidence terminal state is " + evidence.TerminalState
                          + "; a selected value requires a Measured result";
            return false;
        }
        if (evidence.Subject.FixtureKind != SubjectFixtureKind.RealSubject)
        {
            refusalReason = "evidence was produced by a "
                          + evidence.Subject.FixtureKind
                          + "; a fixture verifies the harness and never establishes a product value";
            return false;
        }
        if (evidence.Scope != MeasurementScope.Production)
        {
            refusalReason = "evidence scope is " + evidence.Scope
                          + "; a selected value requires a Production measurement";
            return false;</t>
  </si>
  <si>
    <t>07_Tools_Validation_Misc_14Sep2026_104846.txt
70B5B58321B414CF47DF5486616D1C28016D7661C36F8E50921DCEBD3D08F8DF</t>
  </si>
  <si>
    <t>evidence guard</t>
  </si>
  <si>
    <t>if (evidence is null)
        {
            refusalReason = "no evidence envelope was supplied";
            return false;
        }
        string? invariant = evidence.Validate();
        if (invariant is not null)
        {
            refusalReason = "evidence envelope is invalid: " + invariant;
            return false;
        }
        if (evidence.TerminalState != BenchmarkTerminalState.Measured)
        {
            refusalReason = "evidence terminal state is " + evidence.TerminalState
                          + "; a selected value requires a Measured result";
            return false;
        }
        if (evidence.Subject.FixtureKind != SubjectFixtureKind.RealSubject)
        {
            refusalReason = "evidence was produced by a "
                          + evidence.Subject.FixtureKind
                          + "; a fixture verifies the harness and never establishes a product value";
            return false;
        }
        if (evidence.Scope != MeasurementScope.Production)
        {
            refusalReason = "evidence scope is " + evidence.Scope
                          + "; a selected value requires a Production measurement";
            return false;
        }
        if (!evidence.TryGetMetric(metricName, aggregation, out MetricValue metric))
        {
            refusalReason = "evidence carries no metric '" + metricName + "' at aggregation "
                          + aggregation + "; an absent metric is not zero";</t>
  </si>
  <si>
    <t>B-01..B-09 registry</t>
  </si>
  <si>
    <t>public static class BenchmarkCatalogue
{
    public const string B01 = "B-01";
    public const string B02 = "B-02";
    public const string B03 = "B-03";
    public const string B04 = "B-04";
    public const string B05 = "B-05";
    public const string B06 = "B-06";
    public const string B07 = "B-07";
    public const string B08 = "B-08";
    public const string B09 = "B-09";
    /// &lt;summary&gt;The register the frozen definitions came from.&lt;/summary&gt;
    public const string FrozenRegister = "PPIQ_Backlog_v2_10_1_12Aug2026";
    /// &lt;summary&gt;
    /// Every decision the register names is a product-owner ruling. A benchmark
    /// supplies evidence for it and never takes it.
    /// &lt;/summary&gt;
    public const string ProductOwnerRuling = "product-owner ruling";
    private static readonly string[] AllIds = { B01, B02, B03, B04, B05, B06, B07, B08, B09 };
    private static readonly Dictionary&lt;string, BenchmarkDefinition&gt; Definitions = Build();
    public static IReadOnlyList&lt;string&gt; AllBenchmarkIds =&gt; AllIds;</t>
  </si>
  <si>
    <t>Backend/PlantProcess.Infrastructure/Provenance/NpgsqlProvenanceResolver.cs</t>
  </si>
  <si>
    <t>provenance dispatch and run resolution</t>
  </si>
  <si>
    <t>public async Task&lt;ProvenanceResolution&gt; ResolveAsync(ProvenanceHandle handle, CancellationToken cancellationToken)
    {
        if (handle is null || string.IsNullOrWhiteSpace(handle.Id))
            return ProvenanceResolution.Missing(handle ?? new ProvenanceHandle(ProvenanceKind.Finding, "&lt;null&gt;"), "Handle or id was empty.");
        try
        {
            return handle.Kind switch
            {
                ProvenanceKind.Finding or ProvenanceKind.JobRun =&gt; await ResolveRunOrRiskAsync(handle, cancellationToken),
                ProvenanceKind.SourceTable                      =&gt; await ResolveSourceTableAsync(handle, cancellationToken),
                ProvenanceKind.Dataset                          =&gt; await ResolveDatasetAsync(handle, cancellationToken),
                ProvenanceKind.DocumentSection                  =&gt; await ResolveDocumentAsync(handle, cancellationToken),
                ProvenanceKind.WidgetResult                     =&gt; await ResolveWidgetResultAsync(handle, cancellationToken),
                _                                               =&gt; ProvenanceResolution.Missing(handle, "Unknown provenance kind.")
            };
        }
        catch
        {
            return ProvenanceResolution.Missing(handle, "Provenance could not be verified (resolver error).");
        }
    }
    private async Task&lt;ProvenanceResolution&gt; ResolveRunOrRiskAsync(ProvenanceHandle handle, CancellationToken ct)
    {
        if (!Guid.TryParse(handle.Id, out var id))
            return ProvenanceResolution.Missing(handle, "Finding/JobRun id is not a GUID.");
        await using (var runCmd = _dataSource.CreateCommand("SELECT 1 FROM ppiq_meta.ml_correlation_compute_runs WHERE id = @id"))
        {
            runCmd.Parameters.AddWithValue("id", id);
            if (await runCmd.ExecuteScalarAsync(ct) is not null)
                return ProvenanceResolution.Live(handle, $"ml_correlation_compute_runs:{id}");
        }
        await using (var riskCmd = _dataSource.CreateCommand(
            "SELECT COALESCE(mu.is_synthetic, false) FROM ppiq_plant.risk_scores rs " +
            "JOIN ppiq_plant.material_units mu ON mu.id = rs.material_unit_id WHERE rs.id = @id"))
        {
            riskCmd.Parameters.AddWithValue("id", id);
            await using var reader = await riskCmd.ExecuteReaderAsync(ct);
            if (await reader.ReadAsync(ct))
            {
                var synthetic = !await reader.IsDBNullAsync(0, ct) &amp;&amp; reader.GetBoolean(0);
                return synthetic
                    ? ProvenanceResolution.Seed(handle, $"risk_scores:{id}")
                    : ProvenanceResolution.Live(handle, $"risk_scores:{id}");
            }
        }
        return ProvenanceResolution.Missing(handle, "No finding/job-run/risk artifact matched the handle.");</t>
  </si>
  <si>
    <t>01_Backend_Core_14Sep2026_104846.txt
200B6557FBC58B18847CE3D9F2BA4D68D4C7DBB9270E68581D2353232EEB1915</t>
  </si>
  <si>
    <t>source/dataset existence lookup</t>
  </si>
  <si>
    <t>private async Task&lt;ProvenanceResolution&gt; ResolveSourceTableAsync(ProvenanceHandle handle, CancellationToken ct)
    {
        var parts  = handle.Id.Split('.', 2);
        var schema = parts.Length == 2 ? parts[0] : "public";
        var table  = parts.Length == 2 ? parts[1] : parts[0];
        await using var cmd = _dataSource.CreateCommand(
            "SELECT 1 FROM information_schema.tables WHERE table_schema = @s AND table_name = @t");
        cmd.Parameters.AddWithValue("s", schema);
        cmd.Parameters.AddWithValue("t", table);
        return await cmd.ExecuteScalarAsync(ct) is not null
            ? ProvenanceResolution.Live(handle, $"{schema}.{table}")
            : ProvenanceResolution.Missing(handle, $"Source table '{schema}.{table}' does not exist.");
    }
    private async Task&lt;ProvenanceResolution&gt; ResolveDatasetAsync(ProvenanceHandle handle, CancellationToken ct)
    {
        await using var cmd = _dataSource.CreateCommand(
            "SELECT 1 FROM information_schema.tables WHERE table_name = @t " +
            "UNION SELECT 1 FROM information_schema.views WHERE table_name = @t");
        cmd.Parameters.AddWithValue("t", handle.Id);</t>
  </si>
  <si>
    <t>Frontend/PlantProcess.Web/src/state/AssociativeContext.tsx</t>
  </si>
  <si>
    <t>state and query orchestration</t>
  </si>
  <si>
    <t>import { createContext, useCallback, useContext, useEffect, useMemo, useRef, useState, type ReactNode } from "react";
import { apiClient } from "../api/http";
import { useDashboardFilters } from "./DashboardFilterContext";
import { productApi } from "../api/productApiClient";
import { buildAssociativeFields, type AssocField } from "./associativeFields";
import { composeEffectiveFilters, toRequestFilters } from "./effectiveQueryFilters";
/** M2-37 associative engine (Qlik spec S0), client-orchestrated:
 * possible-set per field = the existing, registry-validated widget query for
 * that field's dimension, with the current selections MINUS the field's own
 * (so alternatives inside a field stay selectable - the Qlik semantic).
 * all-set = the same query, unfiltered, cached at mount.
 * excluded = all minus possible. selected = the field's current filter value. */
/** T-048. The four states Chapter 4 5.1.3 requires.
 *
 * ALTERNATIVE is not a weaker "possible". It means: this field already has a
 * selection, and this value is the road not taken - still reachable in one
 * click, and excluded from nothing. Collapsing it into "possible" hides which
 * field the reader is currently steering by.
 */
export type ValueState = "selected" | "possible" | "excluded" | "alternative";
export type FieldAssoc = {
  field: AssocField;
  available: boolean;
  loading: boolean;
  all: string[];
  states: Map&lt;string, ValueState&gt;;
  possibleCount: number;
};
type Ctx = {
  enabled: boolean;
  setEnabled: (v: boolean) =&gt; void;
  fields: FieldAssoc[];
  toggleValue: (fieldKey: string, value: string) =&gt; void;
};
const AssociativeCtx = createContext&lt;Ctx | null&gt;(null);
export const useAssociative = () =&gt; {
  const c = useContext(AssociativeCtx);
  if (!c) throw new Error("useAssociative outside provider");
  return c;
};
type QueryRow = Record&lt;string, unknown&gt;;
async function dimensionValues(dimension: string, measureCode: string, filters: Record&lt;string, unknown&gt;): Promise&lt;string[] | null&gt; {
  try {
    const res = await apiClient.post&lt;{ rows?: QueryRow[]; data?: QueryRow[] }&gt;(
      "/analytics/dashboard/widgets/query",
      {
        widgetType: "chart", chartType: "bar",
        dimensionCode: dimension, measureCode,
        parameterCode: null, filters,
        options: { maxRows: 500, rawRowLimit: 500, sortDirection: "desc", includeWarnings: false },</t>
  </si>
  <si>
    <t>04_Frontend_App_14Sep2026_104846.txt
1CECF013ACABE4EC5D2F048119E21829C61726E26D152B943278D4FA0991BE56</t>
  </si>
  <si>
    <t>reopen application</t>
  </si>
  <si>
    <t>+ " under another purpose would be judged by the wrong palette and the wrong rules."
        + " Open it from its own authoring surface.");
      return;
    }
    setNodes(r.board.nodes.map((n) =&gt; ({
      id: n.id,
      type: n.kind,
      position: { x: n.position.x, y: n.position.y },
      data: n.data,
    })) as Node[]);
    setEdges(r.board.edges.map((e, i) =&gt; ({
      id: "reopened-" + i,
      source: e.source,
      target: e.target,
      sourceHandle: e.sourceHandle ?? undefined,
      targetHandle: e.targetHandle ?? undefined,
    })) as Edge[]);
    if (r.graph?.name) { setName(r.graph.name); }
    if (r.outputTarget) { setOutputTarget(r.outputTarget); }
    // T-262. Restored EXACTLY, or recorded as absent. A version written before
    // declarations existed carries none, and nothing is reconstructed for it: the
    // inspector says so and the author maps it into a new version.
    setProjection(r.projection ?? null);
    setReopenedWithoutProjection(!r.projection);
    setProjectionRefusal(null);
    setOpenVersion(r.versionNumber);
    logSuccess(name,
      "Reopened version " + r.versionNumber + ".",
      r.board.nodes.length + " block(s), " + r.board.edges.length + " connection(s), target "
      + (r.outputTarget ?? "none") + ", hash " + r.definitionHash);
  }, [name, purpose, setNodes, setEdges, logSuccess, logWarning]);
  // Choosing a version from history. READ-ONLY: it restores what was authored and
  // never rewrites it. Publishing after reopening an older version creates a NEW
  // version through the canonical lifecycle - rollback forward, never in place.
  const doReopen = useCallback(async (code: string, version: number) =&gt; {
    try {
      applyReopenedDefinition(await reopenDefinition(code, version));
    } catch (e) {
      logError(name, describeThrownAction(e));
    }
  }, [name, applyReopenedDefinition, logError]);
  // T-243 CLOSURE. SAVE, CLOSE, COME BACK TOMORROW.
  //
  // Before this the shell only learned its canonical code as a by-product of
  // publishing, so history existed for the session that created it and vanished with
  // the tab. Opening with an existing code is the other half of persistence: the
  // definition is fetched from the canonical store and nothing else - no localStorage,
  // no cached board, no reconstruction from the compiled query.
  // ONCE PER DEFINITION, NOT ONCE PER RENDER IDENTITY.
  //
  // The first version of this effect depended on applyReopenedDefinition, which is a
  // useCallback over name. Restoring a definition SETS name, so the callback got a new
  // identity, the effect re-ran, and it reopened the current version - silently undoing
  // a historical version the author had just chosen. The board snapped back to current
  // and looked like the picker had done nothing.
  //
  // A ref keyed on the code fixes it and states the intent: opening an existing
  // definition happens once, and after that the author owns the board.
  const openedDefinitionRef = useRef&lt;string | null&gt;(null);
  useEffect(() =&gt; {
    if (!initialDefinitionCode) { return; }
    if (openedDefinitionRef.current === initialDefinitionCode) { return; }</t>
  </si>
  <si>
    <t>Backend/PlantProcess.Api/Endpoints/Reporting/ReportingEndpoints.cs</t>
  </si>
  <si>
    <t>existing report routes</t>
  </si>
  <si>
    <t>public static IEndpointRouteBuilder MapReportingEndpoints(this IEndpointRouteBuilder app)
    {
        var reports = app.MapGroup("/reports")
            .WithTags("Reports")
            .RequireAuthorization("PlantProcessViewer");
        reports.MapGet("/materials/{materialUnitId:guid}/investigation", GetInvestigationReportAsync)
            .WithSummary("Get material investigation report");
        reports.MapGet("/materials/{materialUnitId:guid}/investigation/pdf", GetInvestigationPdfAsync)
            .WithSummary("Export material investigation report as PDF");
        reports.MapPost("/readiness-assessment", CreateReadinessReportAsync)
            .WithSummary("Create commercial readiness report")
            .WithDescription("Generates a 7-dimension commercial readiness report for Data Diagnostic assessment.");
        reports.MapGet("/readiness-assessment", GetReadinessReportAsync)
            .WithSummary("Get commercial readiness report");
        reports.MapPost("/readiness-assessment/pdf", CreateReadinessPdfAsync)
            .WithSummary("Export commercial readiness report as PDF");
        reports.MapGet("/readiness-assessment/pdf", GetReadinessPdfAsync)
            .WithSummary("Download commercial readiness report PDF");</t>
  </si>
  <si>
    <t>01_Backend_Core_14Sep2026_104846.txt
B814E486C8958B432341FB69887E98028F96A23AC0E05D6F8B283019B9AC0C1C</t>
  </si>
  <si>
    <t>existing report service/PDF path</t>
  </si>
  <si>
    <t>private static async Task&lt;IResult&gt; GetInvestigationReportAsync(
        Guid materialUnitId,
        [Microsoft.AspNetCore.Mvc.FromServices] IInvestigationReportService service,
        HttpContext httpContext,
        CancellationToken cancellationToken)
    {
        var result = await service.BuildMaterialInvestigationReportAsync(
            materialUnitId,
            httpContext.User?.Identity?.Name,
            cancellationToken);
        return result.ToHttpResult(value =&gt; Results.Ok(value));
    }
    private static async Task&lt;IResult&gt; GetInvestigationPdfAsync(
        Guid materialUnitId,
        [Microsoft.AspNetCore.Mvc.FromServices] IInvestigationReportService service,
        HttpContext httpContext,
        CancellationToken cancellationToken)
    {
        var result = await service.BuildMaterialInvestigationPdfAsync(
            materialUnitId,
            httpContext.User?.Identity?.Name,
            cancellationToken);
        return result.ToHttpResult(value =&gt; Results.File(
            value.Content,
            value.ContentType,
            value.FileName));</t>
  </si>
  <si>
    <t>Backend/PlantProcess.Application/AssistantRuntime/Phase8SuggestionOutcomeLoop.cs</t>
  </si>
  <si>
    <t>manual outcome DTO</t>
  </si>
  <si>
    <t>public sealed record Phase8SuggestionOutcomeInput(
    string RecommendationId,
    string ActionTaken,
    string OutcomeKpi,
    decimal? BeforeValue,
    decimal? AfterValue,
    bool LowerIsBetter,
    IReadOnlyList&lt;string&gt;? EvidenceRefs,
    string Actor,
    string? Comment);
public sealed record Phase8SuggestionOutcomeRecord(
    Guid OutcomeId,
    string RecommendationId,
    string ActionTaken,
    string OutcomeKpi,
    decimal? BeforeValue,
    decimal? AfterValue,
    decimal? Delta,
    string OutcomeDirection,
    decimal Confidence,
    string Actor,
    DateTimeOffset RecordedAtUtc,
    IReadOnlyList&lt;string&gt; EvidenceRefs,
    string OutcomeCaveat,
    string ValueLoopCaveat,
    bool CausalClaimMade);</t>
  </si>
  <si>
    <t>01_Backend_Core_14Sep2026_104846.txt
527170E4E18EC61D7C3418FE0D69BB75D832DE1D46E711A7A1A48566AB853B00</t>
  </si>
  <si>
    <t>record calculation</t>
  </si>
  <si>
    <t>public static Phase8SuggestionOutcomeRecord RecordOutcome(Phase8SuggestionOutcomeInput input)
    {
        ArgumentNullException.ThrowIfNull(input);
        if (string.IsNullOrWhiteSpace(input.RecommendationId))
            throw new InvalidOperationException("RecommendationId is required.");
        if (string.IsNullOrWhiteSpace(input.ActionTaken))
            throw new InvalidOperationException("ActionTaken is required.");
        var delta = input.BeforeValue.HasValue &amp;&amp; input.AfterValue.HasValue
            ? input.AfterValue.Value - input.BeforeValue.Value
            : (decimal?)null;
        var direction = DetermineDirection(input.BeforeValue, input.AfterValue, input.LowerIsBetter);
        var confidence = DetermineConfidence(input);
        return new Phase8SuggestionOutcomeRecord(
            OutcomeId: Guid.NewGuid(),
            RecommendationId: input.RecommendationId.Trim(),
            ActionTaken: input.ActionTaken.Trim(),
            OutcomeKpi: Normalize(input.OutcomeKpi, "quality_risk"),
            BeforeValue: input.BeforeValue,
            AfterValue: input.AfterValue,
            Delta: delta,</t>
  </si>
  <si>
    <t>Backend/PlantProcess.Api/Endpoints/Assistant/Phase8SuggestionOutcomeLoopEndpoints.cs</t>
  </si>
  <si>
    <t>process-memory endpoints</t>
  </si>
  <si>
    <t>private static readonly ConcurrentDictionary&lt;Guid, Phase8SuggestionOutcomeRecord&gt; Outcomes = new();
    public static IEndpointRouteBuilder MapPhase8SuggestionOutcomeLoopEndpoints(this IEndpointRouteBuilder app)
    {
        var group = app.MapGroup("/api/phase8")
            .WithTags("Phase 8 Suggestion Outcome Loop")
            .RequireAuthorization();
        group.MapPost("/suggestions/outcomes/actioned", ([FromBody] Phase8SuggestionOutcomeInput request) =&gt;
        {
            var record = Phase8SuggestionOutcomeLoop.RecordOutcome(request);
            Outcomes[record.OutcomeId] = record;
            return Results.Ok(new
            {
                saved = true,
                record.OutcomeId,
                record.RecommendationId,
                record.OutcomeDirection,
                record.Confidence,
                record.CausalClaimMade,
                record.OutcomeCaveat,
                valueLoop = new
                {
                    appearsInValueLoop = true,
                    record.ValueLoopCaveat
                }
            });
        });
        group.MapGet("/suggestions/outcomes", () =&gt;
        {
            return Results.Ok(Outcomes.Values.OrderByDescending(x =&gt; x.RecordedAtUtc).ToArray());</t>
  </si>
  <si>
    <t>01_Backend_Core_14Sep2026_104846.txt
892D6A4753E4F88CBB09FA032DE83A0D232346B994EEC258E06F01E344C43A04</t>
  </si>
  <si>
    <t>Backend/PlantProcess.Analytics.Engine/ManagedStatisticalComputeEngine.cs</t>
  </si>
  <si>
    <t>readiness/old selector</t>
  </si>
  <si>
    <t>var readiness = ReadinessGate.Evaluate(matrix.Readiness, _thresholds);
        if (!readiness.CanRun)
        {
            await _sink.WriteAsync(runId, request, Array.Empty&lt;AnalysisFinding&gt;(), cancellationToken);
            var blocked = string.Join("; ", readiness.Dimensions.Where(d =&gt; d.State == ReadinessState.Blocked).Select(d =&gt; d.Reason));
            return new CorrelationComputeResult(runId, 0, EngineKey, "Blocked", $"Readiness gate blocked the analysis. {blocked}");
        }
        var outcome = matrix.Outcome;
        var prelim = new List&lt;(FeatureColumn Col, AnalysisMethod Method, double Effect, double P, int N, double[] Px, double[] Py, bool Binary)&gt;();
        foreach (var col in matrix.Parameters)
        {
            var choice = MethodSelector.Select(col.Type, VariableType.Numeric); // outcome is numeric</t>
  </si>
  <si>
    <t>01_Backend_Core_14Sep2026_104846.txt
7E74634C64283FF43FCDACC81F59A3689727EA58605DEA081E9C3510661F72A6</t>
  </si>
  <si>
    <t>live discipline calls</t>
  </si>
  <si>
    <t>var fdr = BenjaminiHochberg.Adjust(prelim.Select(x =&gt; x.P).ToList(), _fdrQ);
        var findings = new List&lt;AnalysisFinding&gt;(prelim.Count);
        for (int i = 0; i &lt; prelim.Count; i++)
        {
            var item = prelim[i];
            var verdict = fdr[i];
            double lo = 0, hi = 0, cons = 0; bool stable = false;
            if (verdict.Significant)
            {
                Func&lt;IReadOnlyList&lt;double&gt;, IReadOnlyList&lt;double&gt;, double&gt; stat = item.Binary
                    ? (a, b) =&gt; { var v = Stats.Pearson(a, b); return double.IsNaN(v) ? 0.0 : v; }
                    : (a, b) =&gt; { var v = Stats.Spearman(a, b); return double.IsNaN(v) ? 0.0 : v; };
                var boot = Bootstrap.Stability(item.Px, item.Py, stat, iterations: 500, seed: 20260602UL);
                lo = boot.Lower; hi = boot.Upper; cons = boot.SignConsistency; stable = boot.Stable;
            }
            findings.Add(new AnalysisFinding(
                item.Col.Code, item.Method, item.Effect, item.P, verdict.QValue, verdict.Significant,
                item.N, lo, hi, cons, stable));
        }
        var ranked = findings.OrderByDescending(f =&gt; Math.Abs(f.EffectSize)).ToList(); // rank by effect, never p
        await _sink.WriteAsync(runId, request, ranked, cancellationToken);</t>
  </si>
  <si>
    <t>Backend/PlantProcess.Application/Analytics/Advanced/AdvancedCorrelationComputeService.cs</t>
  </si>
  <si>
    <t>live ranking/FDR/bootstrap</t>
  </si>
  <si>
    <t>// ---- P3-04: rank by EFFECT, then Benjamini-Hochberg FDR ----
        var findings = kept.Select(c =&gt; new Finding(c.FeatureKey, c.Effect, c.PValue, c.Method.ToString(), c.SampleSize)).ToList();
        var ranked = EffectRanking.RankByEffect(findings);
        var fdr = BenjaminiHochberg.Adjust(ranked.Select(f =&gt; f.PValue).ToList(), request.FdrQ);
        var byKey = kept.ToDictionary(c =&gt; c.FeatureKey);
        var results = new List&lt;AdvancedFinding&gt;(ranked.Count);
        for (int i = 0; i &lt; ranked.Count; i++)
        {
            var c = byKey[ranked[i].Id];
            var q = fdr[i];
            var boot = Bootstrap.Stability(c.X, c.Y, c.Stat, request.BootstrapIterations, seed: Seed);
            var (survives, sreason) = EvaluateStrata(c, ds);
            // PPIQ_REALIZATION_T044_FINDING_TRANSPARENCY_EVIDENCE: each finding carries c.SampleSize, c.Dropped, survives/sreason and provenance.
            results.Add(new AdvancedFinding(
                c.FeatureKey, c.Method, c.Rationale, c.Effect, q.PValue, q.QValue, q.Significant, c.SampleSize,
                boot.SignConsistency, boot.Lower, boot.Upper, boot.Stable,
                survives, sreason, c.Dropped,
                $"finding:{runId:N}:{c.FeatureKey}",
                AdvancedAnalysisResult.DefaultCaveat));</t>
  </si>
  <si>
    <t>01_Backend_Core_14Sep2026_104846.txt
32CBB3F1D498416130C96300E949F9553EFBEC86A2211A63E5524A8BF65CC7FC</t>
  </si>
  <si>
    <t>Backend/PlantProcess.Analytics.Core/Kernel/KernelMethodSelector.cs</t>
  </si>
  <si>
    <t>kernel pairing</t>
  </si>
  <si>
    <t>public static class KernelMethodSelector
{
    public static KernelPairingChoice Classify(VariableType a, VariableType b)
    {
        bool aNum = a == VariableType.Numeric;
        bool bNum = b == VariableType.Numeric;
        bool aCat = a == VariableType.Categorical || a == VariableType.Binary;
        bool bCat = b == VariableType.Categorical || b == VariableType.Binary;
        if (aNum &amp;&amp; bNum)
            return Supported(KernelPairing.NumericNumeric,
                "Numeric/numeric: rank correlation path, unchanged from the existing selector.");
        if ((a == VariableType.Binary &amp;&amp; bNum) || (aNum &amp;&amp; b == VariableType.Binary))
            return Supported(KernelPairing.BinaryNumeric,
                "Binary/numeric: point-biserial path, unchanged from the existing selector.");
        if ((aNum &amp;&amp; b == VariableType.Categorical) || (a == VariableType.Categorical &amp;&amp; bNum))
            return Supported(KernelPairing.NumericCategorical,
                "Numeric/categorical: assumption-aware one-way ANOVA with Kruskal-Wallis fallback.");
        if (aCat &amp;&amp; bCat)
            return Supported(KernelPairing.CategoricalCategorical,
                "Categorical/categorical: Cramer's V path, unchanged from the existing selector.");
        return new KernelPairingChoice(
            KernelPairing.Unsupported, false,
            StatisticalExclusionReason.UnsupportedMethodPairing,
            ExclusionAttribution.Method,
            $"No enabled statistical method exists for the variable-type pair ({a},{b}). "
            + "This is a limitation of the available method set, not a property of the data.");</t>
  </si>
  <si>
    <t>01_Backend_Core_14Sep2026_104846.txt
59B8B14C480AF182459349F4649309A86D734889F26774C60A57A0E61E5A7FA1</t>
  </si>
  <si>
    <t>Website/PlantProcess.Website/src/components/proof/PricingLicenseMatrix.tsx</t>
  </si>
  <si>
    <t>plan display</t>
  </si>
  <si>
    <t>import { licensePlans } from "../../content/phase1WebsiteProof";
export function PricingLicenseMatrix() {
  return (
    &lt;section className="website-section pricing-section" id="pricing"&gt;
      &lt;div className="section-kicker"&gt;Pricing and license logic&lt;/div&gt;
      &lt;div className="section-heading-row"&gt;
        &lt;div&gt;
          &lt;h2&gt;Start where you are. Expand when the value is proven on your data.&lt;/h2&gt;
          &lt;p&gt;
            The commercial packaging mirrors the product gating: number of data sources,
            feature depth, users, refresh cadence and enterprise controls. One deposit,
            one subscription, no hidden line items.
          &lt;/p&gt;
        &lt;/div&gt;
      &lt;/div&gt;
      &lt;div className="pricing-grid"&gt;
        {licensePlans.map((plan) =&gt; (
          &lt;article className={`pricing-card pricing-card--${plan.code}`} key={plan.code}&gt;
            &lt;div className="pricing-card__top"&gt;
              &lt;span&gt;
                {plan.name}
                {plan.recommended ? " (Recommended)" : ""}
              &lt;/span&gt;
              &lt;strong&gt;{plan.monthlyPrice}&lt;/strong&gt;
            &lt;/div&gt;
            &lt;p&gt;{plan.idealFor}&lt;/p&gt;
            &lt;dl&gt;
              &lt;div&gt;
                &lt;dt&gt;Deposit&lt;/dt&gt;
                &lt;dd&gt;{plan.deposit}&lt;/dd&gt;
              &lt;/div&gt;
              &lt;div&gt;
                &lt;dt&gt;Data sources&lt;/dt&gt;
                &lt;dd&gt;{plan.sources}&lt;/dd&gt;
              &lt;/div&gt;
              &lt;div&gt;
                &lt;dt&gt;Users&lt;/dt&gt;
                &lt;dd&gt;{plan.users}&lt;/dd&gt;
              &lt;/div&gt;
              &lt;div&gt;
                &lt;dt&gt;Connectors&lt;/dt&gt;
                &lt;dd&gt;{plan.connectors}&lt;/dd&gt;
              &lt;/div&gt;
            &lt;/dl&gt;</t>
  </si>
  <si>
    <t>08_Website_14Sep2026_104846.txt
D0B4AFBD9EA1938C8D2708C1AF8DF48BA8791525BC6CD5F338396492ACE04439</t>
  </si>
  <si>
    <t>selected measured value identity</t>
  </si>
  <si>
    <t>public sealed record SelectedBenchmarkValue
{
    public required string BenchmarkId { get; init; }
    public required string MetricName { get; init; }
    public required double Value { get; init; }
    public required string Unit { get; init; }
    public required MetricAggregation Aggregation { get; init; }
    public required string EvidenceExperimentId { get; init; }
    public required string EvidenceGitCommit { get; init; }
}</t>
  </si>
  <si>
    <t>Backend/PlantProcess.Analytics.Core/Kernel/Capability/CapabilityProfiler.cs</t>
  </si>
  <si>
    <t>pure kernel boundary</t>
  </si>
  <si>
    <t>/// &lt;summary&gt;
/// Industry-neutral capability profiler. Measures what the available data can actually
/// support, and returns the measured facts with every decision.
/// &lt;para&gt;
/// Three rules govern the whole class:
/// a single-level context dimension is collapsed, not an error;
/// absent genealogy removes only capabilities that genuinely need genealogy;
/// missing outcomes remove only capabilities that genuinely need labelled outcomes.
/// &lt;/para&gt;
/// &lt;para&gt;
/// Reads no database, holds no connection, knows no customer vocabulary.
/// &lt;/para&gt;</t>
  </si>
  <si>
    <t>01_Backend_Core_14Sep2026_104846.txt
45F8DFAB405875F88A4A86E16072B041BE405B08B482CD8FCD27B1F286F7C752</t>
  </si>
  <si>
    <t>profile calculation</t>
  </si>
  <si>
    <t>public static CapabilityProfile Profile(CapabilityProfilerInput input)
    {
        var dimensions = ProfileDimensions(input.ContextDimensions);
        var eligibleDimensionCount = dimensions.Count(d =&gt; d.Status == DimensionStatus.Eligible);
        var populationFacts = new List&lt;MeasuredFact&gt;
        {
            MeasuredFact.AtLeast("analytical_units", input.AnalyticalUnitCount, MinUnitsForStatistics, "units"),
            MeasuredFact.AtLeast("history_span", input.HistorySpanDays, MinHistoryDays, "days"),
            MeasuredFact.Informational("declared_outcomes", input.Outcomes.Count, "count"),
            MeasuredFact.Informational("eligible_context_dimensions", eligibleDimensionCount, "count"),
            MeasuredFact.Informational("collapsed_context_dimensions",
                dimensions.Count(d =&gt; d.Status == DimensionStatus.Collapsed), "count"),
            MeasuredFact.Informational("process_positions", input.Genealogy.ProcessPositionCount, "count")
        };
        var capabilities = new List&lt;CapabilityVerdict&gt;
        {
            EvaluateStatistics(input),
            EvaluateSimilarity(input),
            EvaluateNovelty(input),
            EvaluateSupervisedPrediction(input),
            EvaluatePracticeLearning(input)
        };
        var practice = capabilities.First(c =&gt; c.Capability == CapabilityCode.PracticeLearning);
        capabilities.Add(EvaluateRemediation(input, practice, eligibleDimensionCount));
        return new CapabilityProfile(capabilities, dimensions, input.Genealogy.Strength, populationFacts);</t>
  </si>
  <si>
    <t>dimension assessment</t>
  </si>
  <si>
    <t>private static IReadOnlyList&lt;DimensionVerdict&gt; ProfileDimensions(
        IReadOnlyList&lt;ContextDimensionObservation&gt; observed)
    {
        var verdicts = new List&lt;DimensionVerdict&gt;();
        foreach (var d in observed ?? new List&lt;ContextDimensionObservation&gt;())
        {
            if (d.ObservedLevelCount &lt;= 0)
            {
                verdicts.Add(new DimensionVerdict(d.DimensionCode, d.ObservedLevelCount,
                    DimensionStatus.Absent, d.IsVariantDimension,
                    "The dimension is declared but no level was observed in the population."));
                continue;
            }
            if (d.ObservedLevelCount == 1)
            {
                verdicts.Add(new DimensionVerdict(d.DimensionCode, 1,
                    DimensionStatus.Collapsed, d.IsVariantDimension,
                    "One effective level. The dimension is removed from the eligible set and "
                    + "cannot condition an analysis. This is not an error: an installation with "
                    + "a single level of this dimension is a normal installation."));
                continue;
            }
            verdicts.Add(new DimensionVerdict(d.DimensionCode, d.ObservedLevelCount,
                DimensionStatus.Eligible, d.IsVariantDimension,
                "Two or more effective levels. The dimension can condition an analysis."));
        }</t>
  </si>
  <si>
    <t>legacy write path</t>
  </si>
  <si>
    <t>private static readonly ConcurrentDictionary&lt;Guid, Phase8SuggestionOutcomeRecord&gt; Outcomes = new();
    public static IEndpointRouteBuilder MapPhase8SuggestionOutcomeLoopEndpoints(this IEndpointRouteBuilder app)
    {
        var group = app.MapGroup("/api/phase8")
            .WithTags("Phase 8 Suggestion Outcome Loop")
            .RequireAuthorization();
        group.MapPost("/suggestions/outcomes/actioned", ([FromBody] Phase8SuggestionOutcomeInput request) =&gt;
        {
            var record = Phase8SuggestionOutcomeLoop.RecordOutcome(request);
            Outcomes[record.OutcomeId] = record;
            return Results.Ok(new
            {
                saved = true,
                record.OutcomeId,
                record.RecommendationId,
                record.OutcomeDirection,
                record.Confidence,
                record.CausalClaimMade,
                record.OutcomeCaveat,
                valueLoop = new
                {
                    appearsInValueLoop = true,
                    record.ValueLoopCaveat
                }
            });</t>
  </si>
  <si>
    <t>caller outcome schema</t>
  </si>
  <si>
    <t>Backend/PlantProcess.Application/Advisory/P15BenchmarkingService.cs</t>
  </si>
  <si>
    <t>demo dashboard</t>
  </si>
  <si>
    <t>public P15BenchmarkDashboardResponse BuildDemoDashboard()
    {
        var request = BuildDemoRequest();
        var benchmark = Benchmark(request, cohortSize: 12);
        var suppressed = Benchmark(BuildDemoRequest(minimumCohortSize: 8), cohortSize: 3);
        return new P15BenchmarkDashboardResponse
        {
            Status = "Ready",
            Message = "Cross-plant and industry benchmark dashboard generated from anonymized aggregate demo bands.",
            GeneratedAtUtc = DateTimeOffset.UtcNow,
            TenantId = request.TenantId,
            PlantId = request.PlantId,
            IndustryCode = request.IndustryCode,
            Benchmarks = new[] { benchmark, suppressed },
            MetricCards = BuildMetricCards(benchmark),
            BestPractices = BuildBestPractices(request.IndustryCode),
            PrivacyGuards = DefaultPrivacyGuards()
        };</t>
  </si>
  <si>
    <t>01_Backend_Core_14Sep2026_104846.txt
98C1A4BBDEF04EBB5FDB7F9C10D60A917B1DFD41E26C6BE989965F5ACFD4DB17</t>
  </si>
  <si>
    <t>generated bands</t>
  </si>
  <si>
    <t>public P15BenchmarkResponse Benchmark(P15BenchmarkRequest request, int cohortSize)
    {
        var privacy = P15AdvisoryHonestyPolicy.ValidateBenchmarkVisibility(request, cohortSize);
        if (!privacy.IsAllowed)
        {
            return new P15BenchmarkResponse
            {
                MetricCode = request.MetricCode,
                IndustryCode = request.IndustryCode,
                Visibility = P15BenchmarkVisibility.SuppressedMinimumCohort,
                Message = "Benchmark suppressed because the anonymized cohort is below minimum privacy threshold.",
                Band = null,
                PrivacyGuards = DefaultPrivacyGuards().Append("Suppressed below minimum cohort size.").ToArray()
            };
        }
        var baseValue = BuildStableBaseValue(request);
        var band = new P15BenchmarkBand
        {
            BandCode = $"band-{Sanitize(request.IndustryCode)}-{Sanitize(request.MetricCode)}",
            P10 = Round(baseValue * 0.82m),
            P25 = Round(baseValue * 0.91m),
            P50 = Round(baseValue),
            P75 = Round(baseValue * 1.10m),
            P90 = Round(baseValue * 1.22m),
            CohortSize = cohortSize,
            Visibility = P15BenchmarkVisibility.Visible
        };
        return new P15BenchmarkResponse
        {
            MetricCode = request.MetricCode,
            IndustryCode = request.IndustryCode,
            Visibility = P15BenchmarkVisibility.Visible,
            Message = "Benchmark visible as anonymized aggregate band only. No identifiable cross-tenant rows are exposed.",
            Band = band,</t>
  </si>
  <si>
    <t>existing associative control semantics</t>
  </si>
  <si>
    <t>/** M2-37 associative engine (Qlik spec S0), client-orchestrated:
 * possible-set per field = the existing, registry-validated widget query for
 * that field's dimension, with the current selections MINUS the field's own
 * (so alternatives inside a field stay selectable - the Qlik semantic).
 * all-set = the same query, unfiltered, cached at mount.
 * excluded = all minus possible. selected = the field's current filter value. */
/** T-048. The four states Chapter 4 5.1.3 requires.
 *
 * ALTERNATIVE is not a weaker "possible". It means: this field already has a
 * selection, and this value is the road not taken - still reachable in one
 * click, and excluded from nothing. Collapsing it into "possible" hides which
 * field the reader is currently steering by.
 */
export type ValueState = "selected" | "possible" | "excluded" | "alternative";
export type FieldAssoc = {
  field: AssocField;
  available: boolean;
  loading: boolean;
  all: string[];
  states: Map&lt;string, ValueState&gt;;
  possibleCount: number;
};
type Ctx = {
  enabled: boolean;
  setEnabled: (v: boolean) =&gt; void;
  fields: FieldAssoc[];
  toggleValue: (fieldKey: string, value: string) =&gt; void;</t>
  </si>
  <si>
    <t>existing reopen model</t>
  </si>
  <si>
    <t>actual unavailable contract</t>
  </si>
  <si>
    <t>configuration interface</t>
  </si>
  <si>
    <t>M2 behaviour to preserve</t>
  </si>
  <si>
    <t>existing report subset, not full E5</t>
  </si>
  <si>
    <t>PLANTPROCESS IQ | IMPLEMENTATION-BOUND BACKLOG REVIEW</t>
  </si>
  <si>
    <t>All backlog</t>
  </si>
  <si>
    <t>Source-reviewed tasks</t>
  </si>
  <si>
    <t>Assessment coverage, not product completion</t>
  </si>
  <si>
    <t>Not source-reviewed this pass</t>
  </si>
  <si>
    <t>Unknown work is NOT zero remaining time</t>
  </si>
  <si>
    <t>Historical scope estimates remain unchanged in J/R</t>
  </si>
  <si>
    <t>READ THIS BEFORE USING THE HOURS</t>
  </si>
  <si>
    <t>Existing Hours / AI Guarded P80 remain historical inputs. Do not add scope Hours to the new remaining-work estimates.</t>
  </si>
  <si>
    <t>No whole-project or delivery-date forecast is asserted: 128 task scopes have not been source-reviewed in this pass.</t>
  </si>
  <si>
    <t>Shared seams are allocated once: T-261 executor/common cancellation/T-262 Gate 0; T-106 policies; T-104 row provenance; T-101 monitoring UI.</t>
  </si>
  <si>
    <t>No .NET build, product PostgreSQL test or live browser/Figma execution was available here. Isolated logical probes below are not those tests.</t>
  </si>
  <si>
    <t>Complete session text remains unrecovered for all ten named sessions. Their excerpts/attachments help provenance but cannot prove no later decision exists.</t>
  </si>
  <si>
    <t>T-099 remains Done at ca02b40ea1b69050a45cb35a3e1d64f15b1f66af, parent 86e1b677212195f191697ecdca7e9441b3dbde33. Known inherited RED is not a reopened task.</t>
  </si>
  <si>
    <t>T-262 original closure is evidenced. The later shared Gate 0 belongs to T-261 Runner 2; reconcile completion-gate ownership separately from source-authoring readiness.</t>
  </si>
  <si>
    <t>Probe / correction</t>
  </si>
  <si>
    <t>Expected</t>
  </si>
  <si>
    <t>Observed</t>
  </si>
  <si>
    <t>Verdict</t>
  </si>
  <si>
    <t>Evidence level</t>
  </si>
  <si>
    <t>Scope</t>
  </si>
  <si>
    <t>Weight 0.99</t>
  </si>
  <si>
    <t>Reject per task acceptance</t>
  </si>
  <si>
    <t>SQL tolerance 0.015 admits 0.99</t>
  </si>
  <si>
    <t>Logical mismatch</t>
  </si>
  <si>
    <t>Inspected predicate + Python arithmetic</t>
  </si>
  <si>
    <t>Correct/validate T-103 weight semantics</t>
  </si>
  <si>
    <t>Do not reopen T-099 topology fix</t>
  </si>
  <si>
    <t>Scalar cursor ties</t>
  </si>
  <si>
    <t>Read all 10 across cap=3</t>
  </si>
  <si>
    <t>Scalar simulation 3/10; tuple 10/10</t>
  </si>
  <si>
    <t>Counterexample</t>
  </si>
  <si>
    <t>Source query + isolated Python simulation</t>
  </si>
  <si>
    <t>Total-order cursor + durable replay</t>
  </si>
  <si>
    <t>No customer incident asserted</t>
  </si>
  <si>
    <t>Alias namespace</t>
  </si>
  <si>
    <t>Unique namespace-aware resolution</t>
  </si>
  <si>
    <t>Two legal composite records match alias-only</t>
  </si>
  <si>
    <t>Ambiguity mechanism</t>
  </si>
  <si>
    <t>Schema + predicate + constructed rows</t>
  </si>
  <si>
    <t>Constrain or refuse ambiguity</t>
  </si>
  <si>
    <t>No live wrong resolution asserted</t>
  </si>
  <si>
    <t>Discipline file is live</t>
  </si>
  <si>
    <t>Preserve current consumers</t>
  </si>
  <si>
    <t>FDR/bootstrap/ranking live calls exist</t>
  </si>
  <si>
    <t>Prior dead-file finding disproven</t>
  </si>
  <si>
    <t>Direct source call sites</t>
  </si>
  <si>
    <t>Do not delete on filename search</t>
  </si>
  <si>
    <t>Converge method kernel only</t>
  </si>
  <si>
    <t>SQL mapping-only save</t>
  </si>
  <si>
    <t>Latest accepted mapping saved</t>
  </si>
  <si>
    <t>Callback omits projection dependencies</t>
  </si>
  <si>
    <t>Suspected behaviour</t>
  </si>
  <si>
    <t>Dependency-array source trace</t>
  </si>
  <si>
    <t>Real shell mapping-only regression test</t>
  </si>
  <si>
    <t>Not claimed reproduced in browser</t>
  </si>
  <si>
    <t>WHERE TO READ: Source Review = 51 records; Source Evidence = 129 excerpts; M2-P2 Review = all 34 P2 tasks; Review 15Sep = ten-session ledger.</t>
  </si>
  <si>
    <t>179 unique task IDs retained</t>
  </si>
  <si>
    <t>Saved XLSX read-back</t>
  </si>
  <si>
    <t>Protected task fields unchanged</t>
  </si>
  <si>
    <t>[]</t>
  </si>
  <si>
    <t>Only T-146 description clarification</t>
  </si>
  <si>
    <t>['T-146']</t>
  </si>
  <si>
    <t>No self-dependency / self-precede</t>
  </si>
  <si>
    <t>Only five declared external predecessors</t>
  </si>
  <si>
    <t>['T-032', 'T-035', 'T-036', 'T-057', 'T-064']</t>
  </si>
  <si>
    <t>Must Precede reciprocal</t>
  </si>
  <si>
    <t>No M2 completion dependency on M3</t>
  </si>
  <si>
    <t>Completion graph acyclic</t>
  </si>
  <si>
    <t>Dependency Graph matches saved Backlog</t>
  </si>
  <si>
    <t>Worker Tracks matches saved Backlog</t>
  </si>
  <si>
    <t>51 substantive source records</t>
  </si>
  <si>
    <t>All 34 M2-P2 source records present</t>
  </si>
  <si>
    <t>Unknown remainder never zero</t>
  </si>
  <si>
    <t>All linked remaining estimates match source data</t>
  </si>
  <si>
    <t>Lower &lt;= base &lt;= upper</t>
  </si>
  <si>
    <t>All 27 invalid historical estimates have remainder review</t>
  </si>
  <si>
    <t>Counter({'Not Started': 116, 'Done': 58, 'In Progress': 5})</t>
  </si>
  <si>
    <t>T-099 closure and parent preserved</t>
  </si>
  <si>
    <t>No cached Excel formula errors</t>
  </si>
  <si>
    <t>All original sheets retained</t>
  </si>
  <si>
    <t>No new official task IDs or release changes</t>
  </si>
  <si>
    <t>Self dependency</t>
  </si>
  <si>
    <t>Validator negative control</t>
  </si>
  <si>
    <t>Injected error was detected</t>
  </si>
  <si>
    <t>M2 dependent on M3</t>
  </si>
  <si>
    <t>Remaining estimate divergence</t>
  </si>
  <si>
    <t>Ten full session transcripts</t>
  </si>
  <si>
    <t>Access boundary</t>
  </si>
  <si>
    <t>No full transcript claimed. Source files and selected dated attachments were actually read.</t>
  </si>
  <si>
    <t>Live source HEAD after 14-Sep</t>
  </si>
  <si>
    <t>Snapshot boundary</t>
  </si>
  <si>
    <t>No local Git repository/remote HEAD verification. Later implementation may alter remaining estimates.</t>
  </si>
  <si>
    <t>Remaining 128 task source scopes</t>
  </si>
  <si>
    <t>Review coverage</t>
  </si>
  <si>
    <t>Retained in coverage ledger; no new zero-time or Done inference.</t>
  </si>
  <si>
    <t>Worker confirmation of estimates</t>
  </si>
  <si>
    <t>Forecast boundary</t>
  </si>
  <si>
    <t>PASS — saved-XLSX check</t>
  </si>
  <si>
    <t>PPIQ BACKLOG v2.24.0 — Industrial Integration authority 16Sep2026</t>
  </si>
  <si>
    <t>Functional Design</t>
  </si>
  <si>
    <t>v4.11.0</t>
  </si>
  <si>
    <t>2026-09-16</t>
  </si>
  <si>
    <t>Owner-approved Industrial Integration Contract integrated into Chapters 1–6: stable field/layout identity, Time/Value-change/Trigger-counter policies, continuous acquisition sessions with finite accepted batches, logical Dump Store, source-data lifecycle/capacity truth. Existing closed work remains historical evidence.</t>
  </si>
  <si>
    <t>Execution Backlog</t>
  </si>
  <si>
    <t>v2.24.0</t>
  </si>
  <si>
    <t>Meaningful authority revision: adds T-268..T-275 and amends affected OPC/design acceptance. No closed task is reopened; expanded industrial-integration scope is separately owned.</t>
  </si>
  <si>
    <t>Integrated Chapter 3/4 visuals</t>
  </si>
  <si>
    <t>v4.11.0 target contract; illustrated regeneration pending T-265/T-266</t>
  </si>
  <si>
    <t>Functional contract is authoritative now; T-265/T-266 still own derived visual/prototype/illustrated synchronization and do not receive runtime credit.</t>
  </si>
  <si>
    <t>Rows and retirements</t>
  </si>
  <si>
    <t>187 active; T-105→T-104; T-111→T-110/T-155/T-159</t>
  </si>
  <si>
    <t>Adds T-268 through T-275</t>
  </si>
  <si>
    <t>Eight new bounded industrial-integration execution owners. No existing task retired or reopened by this design revision.</t>
  </si>
  <si>
    <t>Planning estimates</t>
  </si>
  <si>
    <t>Existing estimates preserved; T-268..T-275 intentionally unestimated</t>
  </si>
  <si>
    <t>New scope is not zero hours. Source-level preflight is required before LOW/BASE/HIGH or P80 is accepted; historical OPC estimates are not silently reused for expanded v4.11.0 scope.</t>
  </si>
  <si>
    <t>Current task table</t>
  </si>
  <si>
    <t>Backlog!A1:BB188</t>
  </si>
  <si>
    <t>187 task rows</t>
  </si>
  <si>
    <t>Dependency validation reads the saved v2.24.0 task rows. New tasks are excluded from hour totals until explicitly estimated.</t>
  </si>
  <si>
    <t>Derived views</t>
  </si>
  <si>
    <t>Worker Tracks / Dependency Graph / Capability Map / Release Plan / dashboards</t>
  </si>
  <si>
    <t>Formula ranges are extended through Backlog row 188. New task rows are appended to Worker Tracks and Dependency Graph.</t>
  </si>
  <si>
    <t>Chapter 2 notice</t>
  </si>
  <si>
    <t>v4.11.0 Industrial Acquisition Contract integrated</t>
  </si>
  <si>
    <t>Preserves one J1–J15 journey and DF1–DF15 flow; OPC-UA-first OT boundary, optional native PLC adapters only by separate approved scope.</t>
  </si>
  <si>
    <t>Implement real OPC UA client runtime inside the customer-side collector boundary: endpoint discovery/selection, security policy negotiation, application certificate/trust management, authenticated session lifecycle and read-only enforcement. Core never gains plant-network credentials/routes.
v4.11.0 SCOPE DELTA — The session runtime consumes the governed Connection/Dataset/field/configuration identities from T-268 and must publish negotiated/effective source capability evidence without turning source settings into product guarantees. No native PLC driver is implied by OPC support.</t>
  </si>
  <si>
    <t>Against a real SDK test server, establish trusted and rejected sessions, rotate trust, reconnect after server restart and prove no write/control verb/path exists. Capability metadata remains false until this task and downstream browse/subscription tasks pass.
Additional acceptance: operation-level capability receipt names endpoint/source profile, security/trust result and negotiated limits; offline/takeover behavior must not create a second active capture owner. Source credentials remain collector-side only.</t>
  </si>
  <si>
    <t>RE-ESTIMATE REQUIRED — v4.11.0 scope delta</t>
  </si>
  <si>
    <t>DESIGN v4.11.0 SCOPE DELTA — SOURCE PREFLIGHT REQUIRED</t>
  </si>
  <si>
    <t>NOT ESTIMATED AFTER v4.11.0</t>
  </si>
  <si>
    <t>Original task closure remains open; new acceptance must be estimated from current source.</t>
  </si>
  <si>
    <t>Design v4.11.0 + Industrial Integration review; current implementation source must be preflighted</t>
  </si>
  <si>
    <t>16-Sep-2026 design authority; no live source/runtime certification performed</t>
  </si>
  <si>
    <t>Implement namespace browse, tag selection/registration, subscriptions/monitored items, sampling/publishing interval and deadband configuration behind generic collector contracts.
v4.11.0 SCOPE DELTA — Browse/tag registration emits stable field identities consumed by T-268; monitored-item sampling/publishing/filter settings remain protocol mechanics and must not be presented as PPIQ durable-record semantics. T-270 owns Time/Value-change/Trigger-counter business recording behavior.</t>
  </si>
  <si>
    <t>Browse a test namespace, register N tags, subscribe, receive changed values and prove disconnect/reconnect resumes without fabricated deterministic samples. Read-only operations only. `supportsTagBrowse`/`supportsSubscription` become true only after these executed tests.
Additional acceptance: Namespace URI + identifier identity survives namespace-index change; server-revised settings are recorded; source-side filter pushdown is accepted only when semantics match the authored recording policy; no ordinary multi-tag read is labelled a PLC-atomic snapshot.</t>
  </si>
  <si>
    <t>Preserve OPC StatusCode/quality plus source/server timestamps, integrate reconnect/sequence-loss handling and existing store-and-forward spool, map acquired values into canonical observations under Source Time Authority.
v4.11.0 SCOPE DELTA — OPC transport/recovery now hands durable observations through T-270/T-272/T-275: policy-state correctness, accepted-record identity, finite sealed batches during a continuous session, gap truth and replay-only behavior for a superseded collector. This task remains the OPC end-to-end proof owner, not a second storage/Job authority.</t>
  </si>
  <si>
    <t>Good/bad/uncertain quality and source-vs-server timestamp cases land correctly; network interruption queues locally and resumes idempotently; duplicate replay does not duplicate canonical observations; customer-core direction remains one-way.
Additional acceptance: continuous session remains active while finite batches become projection-ready; same record identity+same content is idempotent and different content conflicts; edge/core outage boundaries are distinguished; Bad/Uncertain quality and source/server/capture/ingest times survive; no fabricated payload for missing counter events.</t>
  </si>
  <si>
    <t>T-225; T-233; T-270; T-272; T-275</t>
  </si>
  <si>
    <t>T-092; T-207; T-212; T-213; T-241; T-242; T-243; T-244; T-245; T-253; T-254; T-256; T-258; T-104; T-108; T-211; T-235; T-262; T-125; T-265; T-266; T-274</t>
  </si>
  <si>
    <t>Release-1 Industrial Integration / OPC UI workflows and capability-truth visual handoff</t>
  </si>
  <si>
    <t>Functional Industrial Integration requirements are now integrated in Design v4.11.0. This task owns the derived visual/prototype/illustrated handoff inside canonical B1-B5/B6 surfaces: provider-aware connection states; stable field/layout editing; Time / Value change / Trigger-counter controls; requested/effective/qualified settings; continuous-session/batch/spool/gap states; capacity/retention refusal; and exact capability truth. It does not define a second functional contract and does not implement runtime.</t>
  </si>
  <si>
    <t>AC1: Every v4.11.0 Industrial Integration UI obligation maps to an owning clause, semantic control/state and executable task T-268..T-275/T-224..T-226.
AC2: Prototype connection/test -&gt; select data -&gt; fields/layout -&gt; recording policy -&gt; capacity/retention -&gt; Job -&gt; active/buffering/gap/replay -&gt; completed batch -&gt; canonical evidence using labelled synthetic data.
AC3: Show rejected trust/session, unsupported operation, invalid layout, invalid interval/band/trigger, Bad/Uncertain quality, capacity-blocked, retention-blocked, source gap and replay states distinctly.
AC4: Requested, effective and qualified settings are visually separate; no drawing certifies runtime capability.
AC5: Keyboard/focus/virtualized field-grid/narrow-view/RTL checks and integrated Chapter 3/4 illustrated synchronization.
AC6: Final live source/collector/storage proof remains with executable tasks and release gates.</t>
  </si>
  <si>
    <t>T-274; T-247</t>
  </si>
  <si>
    <t>CENTRAL 16-Sep-2026: Functional Industrial Integration design is now v4.11.0 authority. T-266 remains open only for derived visual/prototype/illustrated handoff; no functional-design gap or runtime credit is claimed.</t>
  </si>
  <si>
    <t>Design v4.11.0; B1-B5/B6 visual/prototype synchronization</t>
  </si>
  <si>
    <t>RE-ESTIMATE REQUIRED — v4.11.0 visual scope delta</t>
  </si>
  <si>
    <t>DESIGN v4.11.0 SCOPE DELTA — SOURCE/PROTOTYPE PREFLIGHT REQUIRED</t>
  </si>
  <si>
    <t>Functional contract integrated; remaining derived UI/prototype effort must be re-estimated.</t>
  </si>
  <si>
    <t>Design v4.11.0 Chapters 2–6; Industrial Integration Engineering Review 16-Sep-2026</t>
  </si>
  <si>
    <t>16-Sep-2026 owner design decision; no live runtime/Figma execution claimed</t>
  </si>
  <si>
    <t>T-268</t>
  </si>
  <si>
    <t>Industrial acquisition configuration and stable field authority</t>
  </si>
  <si>
    <t>Source integration control plane</t>
  </si>
  <si>
    <t>Extend the existing connection/dataset/field/definition authorities with provider-specific source selectors, stable field_id/source locator/technical key/display label separation, immutable raw layout/schema revisions, recording groups, Time / Value change / Trigger-counter policies, retention/capacity references and exact-version activation bindings. Runtime negotiated evidence remains separate from authored intent. No protocol client, scheduler, durable ingest or UI implementation in this task.</t>
  </si>
  <si>
    <t>Save/reopen/version all three policies and raw/typed field definitions; label rename preserves field identity; address/type/layout edit creates reviewed revision; invalid type/band/trigger/layout combinations refuse server-side; old versions remain readable; tenant/role references are enforced; export/import preserves meaning without exporting secrets; same binary accepts two foreign source shapes.</t>
  </si>
  <si>
    <t>T-269; T-270; T-271; T-274; T-275</t>
  </si>
  <si>
    <t>Backend/domain/runtime implementation</t>
  </si>
  <si>
    <t>Industrial Integration v4.11.0</t>
  </si>
  <si>
    <t>Consume accepted v4.11.0 contracts and listed producer contracts. Source-present is not closure proof; execute named acceptance and preserve unrelated lanes.</t>
  </si>
  <si>
    <t>Own only the named Industrial Integration subsystem slice; no private scheduler/definition/source-time/capability authority.</t>
  </si>
  <si>
    <t>Preserve existing closed producers and contracts. Implement the delta; do not reopen earlier tasks merely because v4.11.0 adds a new consumer/acceptance slice.</t>
  </si>
  <si>
    <t>Day-1 Data Workbench — Industrial Integration</t>
  </si>
  <si>
    <t>CENTRAL 16-Sep-2026: new bounded owner created from approved Industrial Integration design. No task-ID-named repository implementation files.</t>
  </si>
  <si>
    <t>L1.1; L1.4; L1.5; L5.6</t>
  </si>
  <si>
    <t>NOT EXECUTED — new v4.11.0 implementation scope</t>
  </si>
  <si>
    <t>No hours fabricated. Source-level preflight required before LOW/BASE/HIGH/P80.</t>
  </si>
  <si>
    <t>Chapters 3/4 v4.11.0 — integrated Industrial Integration contract; T-265/T-266 own derived visual synchronization.</t>
  </si>
  <si>
    <t>NOT STARTED — v4.11.0 NEW SCOPE</t>
  </si>
  <si>
    <t>Design authority only; no source/build/runtime closure claimed.</t>
  </si>
  <si>
    <t>NOT ESTIMATED — SOURCE PREFLIGHT REQUIRED</t>
  </si>
  <si>
    <t>DESIGN v4.11.0 NEW SCOPE — SOURCE PREFLIGHT REQUIRED</t>
  </si>
  <si>
    <t>NOT ESTIMATED — not zero, not P80</t>
  </si>
  <si>
    <t>Estimate only after exact owned source/predecessor/runtime seam measurement.</t>
  </si>
  <si>
    <t>PPIQ_Industrial_Integration_Engineering_Review_16Sep2026 + Design v4.11.0 owning clauses</t>
  </si>
  <si>
    <t>16-Sep-2026 owner-approved design; no live HEAD/DB/browser certification claimed</t>
  </si>
  <si>
    <t>T-269</t>
  </si>
  <si>
    <t>Declarative DataBlock/message layout decoder and source-event identity</t>
  </si>
  <si>
    <t>Backend / Edge</t>
  </si>
  <si>
    <t>Industrial source decoding</t>
  </si>
  <si>
    <t>Implement the bounded declarative raw-layout grammar for approved DataBlock/structured inputs: absolute/relative offset, bit/byte/word widths, signedness, byte/word order, strings, arrays and bounded structures; emit typed stable fields plus layout/source-event evidence. Typed OPC nodes bypass raw re-decoding. No arbitrary customer code and no native S7/Modbus transport unless separately approved.</t>
  </si>
  <si>
    <t>Known-answer fixtures for at least two non-identical layouts; reject out-of-bounds/invalid bit/unsupported codec/overlap/resource-budget cases; preserve layout version and raw-source identity on replay; label rename does not alter decode; source-publication/sequence identity survives retry; unsupported transport profile refuses rather than guessing.</t>
  </si>
  <si>
    <t>T-270; T-274</t>
  </si>
  <si>
    <t>L1.5; L5.5</t>
  </si>
  <si>
    <t>T-270</t>
  </si>
  <si>
    <t>Industrial recording policy and trigger/capture state-machine executor</t>
  </si>
  <si>
    <t>Acquisition policy runtime</t>
  </si>
  <si>
    <t>Execute PERIODIC, ON_CHANGE and TRIGGERED policies with durable deterministic state, exact field/layout/policy versions, baseline/edge/counter state, quality/time handling, achieved consistency class, explicit gaps and bounded record assembly. Reuse T-225 protocol operations, T-233 Source Time persistence and T-275 Job/session authority. No private scheduler, no second OPC runtime, no one-Job-per-sample design.</t>
  </si>
  <si>
    <t>Constant periodic values create distinct admitted records; phase anchor does not drift; missed ticks are gap/history evidence, never retroactive clones; change-band baseline advances with durable acceptance; quality transitions are visible; startup/reconnect does not invent an edge; counter reset/wrap/jump semantics are declared; trigger members capture even when unchanged; source-consistency falsification rejects false atomicity; no latest-cache substitution for source-latched capture.</t>
  </si>
  <si>
    <t>T-268; T-269; T-225; T-233; T-275</t>
  </si>
  <si>
    <t>T-226; T-274</t>
  </si>
  <si>
    <t>Industrial edge acquisition and recording</t>
  </si>
  <si>
    <t>L1.5; L1.7; L2.6; L5.5</t>
  </si>
  <si>
    <t>T-271</t>
  </si>
  <si>
    <t>Qualified relational and file acquisition convergence</t>
  </si>
  <si>
    <t>Backend / Connectors</t>
  </si>
  <si>
    <t>Database and file adapters</t>
  </si>
  <si>
    <t>Converge SQL Server, Oracle, PostgreSQL, MySQL, Excel and CSV behind the shared Dataset/accepted-record contract while preserving provider-native typed ordering, cursor/revision/CDC or overlap policy, parser identity and source load budgets. Advertise only operations executed by that provider/version. Do not enable CDC from a successful login and do not create a second cursor authority.</t>
  </si>
  <si>
    <t>Equal-watermark multi-page paging without loss; update/delete/revision policy; no-change rerun; source mutation consistency test; expired source position; each advertised database engine/version/path tested; workbook sheet/table/range and replaced-file behavior; quoted multiline CSV/encoding/delimiter/escape/header/null cases; exact parser identity; bounded source load and typed refusal for unsupported CDC/revision modes.</t>
  </si>
  <si>
    <t>T-268; T-108</t>
  </si>
  <si>
    <t>L1.1; L1.4; L1.7</t>
  </si>
  <si>
    <t>T-272</t>
  </si>
  <si>
    <t>Dataset-oriented Dump Store accepted-record and consumer contract</t>
  </si>
  <si>
    <t>Database / Backend</t>
  </si>
  <si>
    <t>Staging and source-shaped data plane</t>
  </si>
  <si>
    <t>Resolve logical-versus-physical staging semantics as one governed Dump Store in ppiq_staging. Persist immutable accepted-record identity, exact config/layout/policy/session/batch/source-revision envelope, typed values/quality/time/integrity and idempotency receipts; expose one typed tenant-scoped logical Dataset to preview, Canvas, safe SQL and exact-version projection. One authoritative payload placement only; exact original bytes are immutable artifacts when required, not a second mutable truth.</t>
  </si>
  <si>
    <t>Core-commit/response-loss retry returns same receipt; same identity/different content refuses; precision and supported integer/type values survive; partition-safe identity proven; continuous session exposes only completed sealed batches; typed Dataset reader reopens identically across physical optimisation; original-byte artifact distinction proven; exact published transformation reads exact accepted batch/version; no duplicate JSON/typed raw authorities.</t>
  </si>
  <si>
    <t>T-087; T-088; T-251; T-252; T-268</t>
  </si>
  <si>
    <t>T-273; T-274; T-226; T-247</t>
  </si>
  <si>
    <t>L1.5; L2.3; L3.5; L5.7</t>
  </si>
  <si>
    <t>T-273</t>
  </si>
  <si>
    <t>Industrial source capacity, retention and replay lifecycle control</t>
  </si>
  <si>
    <t>Infrastructure / Database</t>
  </si>
  <si>
    <t>Acquisition capacity and source-data lifecycle</t>
  </si>
  <si>
    <t>Bind per-dataset hot retention/archive/replay floors and source/collector/site/tenant aggregate capacity to activation. Account for source impact, accepted/event/value rates, payload size, queue/spool reserve, disconnected window, live+replay drain, core ingest/projection lag and backup/restore. Source-data lifecycle is distinct from T-199 log retention. Unknown rates remain unknown; no invented compression or throughput constants.</t>
  </si>
  <si>
    <t>Combined-source admission rejection; capacity preview states basis/confidence; finite spool/outage horizon; replay drain exceeds continuing live input; disk-full/overload preserve explicit gap/fault evidence; unprojected/unreconciled input cannot be deleted; archive-before-delete verifies integrity and restore/replay; backup/restore preserves manifests/receipts; source change-log retention dependency enforced; high-rate profile cannot be certified from a configured interval alone.</t>
  </si>
  <si>
    <t>T-272; T-124</t>
  </si>
  <si>
    <t>T-274; T-247; T-150</t>
  </si>
  <si>
    <t>L1.7; L8.6; L8.7; L8.8</t>
  </si>
  <si>
    <t>T-274</t>
  </si>
  <si>
    <t>Executable unified Industrial Integration configuration UX</t>
  </si>
  <si>
    <t>Frontend / API integration</t>
  </si>
  <si>
    <t>B1-B5/B6 source workflow</t>
  </si>
  <si>
    <t>Implement the v4.11.0 source configuration experience on the existing B1-B5/B6 surfaces for approved databases/files/OPC profiles: provider-aware connection, Select Data, Fields &amp; Layout, Time/Value-change/Trigger-counter policy, requested/effective/qualified state, storage/retention/capacity preview, Job binding and active/buffering/gap/replay/completed-batch monitoring. Browser never becomes the acquisition runtime.</t>
  </si>
  <si>
    <t>Real browser/API journey with keyboard/RTL and bulk field editing; save/reopen/version behavior; stable field picker identity; exact typed errors without leaking values/secrets; source preview obeys budget/permission; all three modes; capacity and retention refusal; capability truth from backend; close browser while collection continues; completed batch becomes available to T3/T4; denied raw-preview role cannot see sample values in error text.</t>
  </si>
  <si>
    <t>T-254; T-266; T-268; T-269; T-270; T-271; T-272; T-273; T-275</t>
  </si>
  <si>
    <t>Frontend/API integration</t>
  </si>
  <si>
    <t>L1.1; L1.2; L1.4; L1.7; L2.6</t>
  </si>
  <si>
    <t>Integrate</t>
  </si>
  <si>
    <t>T-275</t>
  </si>
  <si>
    <t>Continuous acquisition Job runtime, fencing and finite microbatch lifecycle</t>
  </si>
  <si>
    <t>Jobs / Workers</t>
  </si>
  <si>
    <t>Continuous acquisition execution</t>
  </si>
  <si>
    <t>Extend the existing Job authority with ContinuousAcquisition execution: long-lived activation/session plus finite sealed batches/windows, one fenced owner generation per source/group, approved disconnected-capture window, replay-only return of superseded owner, bounded live/replay lanes, pause/cancel safe boundary and session/batch progress/history. No private edge scheduler and no run row per sample.</t>
  </si>
  <si>
    <t>One-owner negative control; central heartbeat loss inside offline allowance does not start duplicate capture; lawful takeover fences prior generation; superseded collector can replay old durable records but cannot capture new; browser/API restart does not stop edge capture; session stays Running while finite batches complete and unblock projection; live capture reserved during replay; disk/queue saturation is explicit; pause/cancel seals or fails in-flight batch truthfully and never advances uncommitted checkpoint.</t>
  </si>
  <si>
    <t>T-106; T-107; T-268</t>
  </si>
  <si>
    <t>T-270; T-226; T-274</t>
  </si>
  <si>
    <t>L1.7; L1.8; L8.4; L8.6</t>
  </si>
  <si>
    <t>New implementation owner required by Design v4.11.0 Industrial Integration Contract.</t>
  </si>
  <si>
    <t>T-224/T-225/T-226</t>
  </si>
  <si>
    <t>RE-ESTIMATE</t>
  </si>
  <si>
    <t>OPC acceptance consumes v4.11.0 field/policy/job/dump contracts</t>
  </si>
  <si>
    <t>Preserve original OPC transport ownership; add exact integration acceptance without reopening closed producers.</t>
  </si>
  <si>
    <t>T-226 now consumes T-270/T-272/T-275</t>
  </si>
  <si>
    <t>Functional design gap integrated; task becomes derived visual/prototype handoff</t>
  </si>
  <si>
    <t>Avoid duplicate design authority; keep runtime acceptance with implementation tasks.</t>
  </si>
  <si>
    <t>Precedes T-274/T-247</t>
  </si>
  <si>
    <t>CLASS</t>
  </si>
  <si>
    <t>M2/R1</t>
  </si>
  <si>
    <t>Advanced → Core</t>
  </si>
  <si>
    <t>Current design makes read-only production industrial acquisition a Release-1 gate; evaluation/backlog classification converged.</t>
  </si>
  <si>
    <t>T-224/T-225/T-226/T-270/T-274</t>
  </si>
  <si>
    <t>Capability Map v1.2 ↔ Backlog v2.24.0</t>
  </si>
  <si>
    <t>T-108; T-213; T-247; T-265; T-266; T-268; T-271; T-274</t>
  </si>
  <si>
    <t>T-213; T-268; T-269</t>
  </si>
  <si>
    <t>T-101; T-247; T-265; T-274</t>
  </si>
  <si>
    <t>T-271; T-272</t>
  </si>
  <si>
    <t>T-108; T-265</t>
  </si>
  <si>
    <t>T-207; T-254</t>
  </si>
  <si>
    <t>T-153; T-266; T-268; T-271; T-274</t>
  </si>
  <si>
    <t>T-216; T-233</t>
  </si>
  <si>
    <t>T-266; T-268; T-269; T-270; T-272</t>
  </si>
  <si>
    <t>T-101; T-106; T-108; T-125; T-265; T-270; T-271; T-273; T-274; T-275</t>
  </si>
  <si>
    <t>T-224; T-225; T-226; T-266; T-270; T-274</t>
  </si>
  <si>
    <t>v4.11.0: Release-1 Core. Covers approved industrial source runtime plus stable field/layout, governed recording policy, durable bounded delivery and exact capability truth. Native PLC transport remains separately scoped.</t>
  </si>
  <si>
    <t>T-087; T-256</t>
  </si>
  <si>
    <t>T-243; T-156; T-265</t>
  </si>
  <si>
    <t>T-099; T-100; T-101; T-104; T-261; T-152</t>
  </si>
  <si>
    <t>T-247; T-253; T-262; T-265; T-272</t>
  </si>
  <si>
    <t>T-102; T-103</t>
  </si>
  <si>
    <t>T-089; T-243</t>
  </si>
  <si>
    <t>T-090; T-091; T-104; T-106</t>
  </si>
  <si>
    <t>T-106; T-275</t>
  </si>
  <si>
    <t>T-107; T-245; T-261; T-263; T-265; T-270; T-274</t>
  </si>
  <si>
    <t>T-106; T-265</t>
  </si>
  <si>
    <t>T-108; T-109; T-110</t>
  </si>
  <si>
    <t>T-148; T-265</t>
  </si>
  <si>
    <t>T-202; T-248; T-267</t>
  </si>
  <si>
    <t>T-248; T-265; T-267</t>
  </si>
  <si>
    <t>T-212; T-188</t>
  </si>
  <si>
    <t>T-202; T-215; T-258; T-248; T-134; T-189</t>
  </si>
  <si>
    <t>T-244; T-156</t>
  </si>
  <si>
    <t>T-243; T-248; T-265; T-272</t>
  </si>
  <si>
    <t>T-241; T-242; T-253</t>
  </si>
  <si>
    <t>T-243; T-262; T-248; T-265</t>
  </si>
  <si>
    <t>T-248; T-267</t>
  </si>
  <si>
    <t>T-244; T-265</t>
  </si>
  <si>
    <t>T-247; T-261</t>
  </si>
  <si>
    <t>T-171; T-186; T-195</t>
  </si>
  <si>
    <t>T-177; T-211; T-146</t>
  </si>
  <si>
    <t>T-210; T-212; T-236; T-129; T-147; T-188; T-246</t>
  </si>
  <si>
    <t>T-169; T-170; T-128; T-184; T-185</t>
  </si>
  <si>
    <t>T-109; T-192</t>
  </si>
  <si>
    <t>T-168; T-172; T-174; T-175; T-187</t>
  </si>
  <si>
    <t>T-129; T-157</t>
  </si>
  <si>
    <t>T-180; T-182; T-187</t>
  </si>
  <si>
    <t>T-131; T-132; T-133; T-136; T-238; T-239; T-240</t>
  </si>
  <si>
    <t>T-178; T-139; T-140; T-141; T-142; T-143; T-158; T-189</t>
  </si>
  <si>
    <t>T-157; T-246</t>
  </si>
  <si>
    <t>T-137; T-176; T-130; T-157</t>
  </si>
  <si>
    <t>T-182; T-186; T-187; T-192; T-193</t>
  </si>
  <si>
    <t>T-093; T-094; T-206; T-258</t>
  </si>
  <si>
    <t>T-092; T-256</t>
  </si>
  <si>
    <t>T-095; T-096; T-097; T-098; T-196</t>
  </si>
  <si>
    <t>T-209; T-210; T-231; T-147</t>
  </si>
  <si>
    <t>T-094; T-212; T-211</t>
  </si>
  <si>
    <t>T-235; T-234; T-236</t>
  </si>
  <si>
    <t>T-217; T-218; T-129; T-134</t>
  </si>
  <si>
    <t>T-216; T-233; T-221; T-183; T-269; T-270</t>
  </si>
  <si>
    <t>T-090; T-091</t>
  </si>
  <si>
    <t>T-089; T-268</t>
  </si>
  <si>
    <t>T-087; T-088; T-256; T-260; T-272</t>
  </si>
  <si>
    <t>T-220; T-183</t>
  </si>
  <si>
    <t>T-181; T-192</t>
  </si>
  <si>
    <t>T-179; T-180; T-181; T-223; T-138</t>
  </si>
  <si>
    <t>T-263; T-145</t>
  </si>
  <si>
    <t>T-198; T-199</t>
  </si>
  <si>
    <t>T-203; T-248; T-265; T-267</t>
  </si>
  <si>
    <t>T-112; T-114; T-162; T-135</t>
  </si>
  <si>
    <t>T-121; T-267</t>
  </si>
  <si>
    <t>T-126; T-167</t>
  </si>
  <si>
    <t>T-088; T-260; T-115; T-123</t>
  </si>
  <si>
    <t>T-205; T-208; T-250; T-252</t>
  </si>
  <si>
    <t>T-260; T-115; T-257</t>
  </si>
  <si>
    <t>T-168; T-110; T-155; T-275</t>
  </si>
  <si>
    <t>T-182; T-154; T-155; T-273</t>
  </si>
  <si>
    <t>T-125; T-163</t>
  </si>
  <si>
    <t>T-141; T-273; T-275</t>
  </si>
  <si>
    <t>T-124; T-160</t>
  </si>
  <si>
    <t>T-086; T-201; T-202; T-203; T-259; T-247; T-150; T-227; T-257; T-151; T-159; T-116; T-117; T-127; T-149; T-194; T-192; T-249</t>
  </si>
  <si>
    <t>T-126; T-152; T-167; T-273</t>
  </si>
  <si>
    <t>T-232; T-215; T-214</t>
  </si>
  <si>
    <t>T-223; T-264</t>
  </si>
  <si>
    <t>T-190; T-267</t>
  </si>
  <si>
    <t>T-144; T-190</t>
  </si>
  <si>
    <t>T-128; T-267</t>
  </si>
  <si>
    <t>T-238; T-267</t>
  </si>
  <si>
    <t>T-222; T-219; T-221</t>
  </si>
  <si>
    <t>T-223; T-236</t>
  </si>
  <si>
    <t>T-228; T-229; T-230</t>
  </si>
  <si>
    <t>VERSIONS</t>
  </si>
  <si>
    <t>Design v4.11.0 / Backlog v2.24.0</t>
  </si>
  <si>
    <t>Material Industrial Integration design change: functional contract + eight bounded execution tasks.</t>
  </si>
  <si>
    <t>Owner-approved 16-Sep-2026. Existing runtime/closure evidence remains separately classified.</t>
  </si>
  <si>
    <t>VISUALS</t>
  </si>
  <si>
    <t>Chapter 3 MD v4.11.0 + illustrated Word regeneration under T-265/T-266</t>
  </si>
  <si>
    <t>Functional Industrial Integration clauses are in Markdown authority; derived images/prototype remain implementation/design-delivery work.</t>
  </si>
  <si>
    <t>No native-Figma or browser runtime proof implied.</t>
  </si>
  <si>
    <t>EDITORS</t>
  </si>
  <si>
    <t>Chapter 4 MD v4.11.0 + illustrated Word regeneration under T-265/T-266/T-267</t>
  </si>
  <si>
    <t>Adds continuous acquisition Job/state-machine contract while preserving existing authoring/job authorities.</t>
  </si>
  <si>
    <t>No second scheduler or edge runtime authority.</t>
  </si>
  <si>
    <t>METHOD</t>
  </si>
  <si>
    <t>Product Analysis and Evaluation Standard v1.2</t>
  </si>
  <si>
    <t>L1.8 converged to Release-1 Core and expanded to field/layout/recording/durability acceptance.</t>
  </si>
  <si>
    <t>No implementation score increase without D5 evidence.</t>
  </si>
  <si>
    <t>DATABASE</t>
  </si>
  <si>
    <t>Data Dictionary gains target-logical Industrial Integration sheet; Naming Standard v1.2</t>
  </si>
  <si>
    <t>Current physical catalogue is not relabelled as implemented target DDL.</t>
  </si>
  <si>
    <t>New physical objects require canonical migration + catalogue convergence when implemented.</t>
  </si>
  <si>
    <t>All active tasks</t>
  </si>
  <si>
    <t>Design package reference</t>
  </si>
  <si>
    <t>v4.10.3 / prior UI references</t>
  </si>
  <si>
    <t>v4.11.0 Chapters 1–6; illustrated synchronization remains T-265/T-266/T-267; Backlog v2.24.0 is execution authority.</t>
  </si>
  <si>
    <t>T-098; T-101; T-102; T-103; T-104</t>
  </si>
  <si>
    <t>T-098; T-101; T-102; T-103; T-104; T-108</t>
  </si>
  <si>
    <t>T-211; T-235</t>
  </si>
  <si>
    <t>T-261; T-262</t>
  </si>
  <si>
    <t>T-104; T-108; T-125; T-211; T-212; T-235; T-245; T-254; T-258; T-262; T-265; T-266</t>
  </si>
  <si>
    <t>T-214; T-232</t>
  </si>
  <si>
    <t>T-112; T-114; T-233</t>
  </si>
  <si>
    <t>T-115; T-123; T-124; T-125; T-126; T-212; T-215; T-222; T-223; T-226; T-227; T-247; T-254; T-255; T-257; T-258</t>
  </si>
  <si>
    <t>T-107; T-112; T-113; T-114; T-117; T-123</t>
  </si>
  <si>
    <t>T-121; T-196; T-197; T-198; T-199; T-200</t>
  </si>
  <si>
    <t>T-113; T-119</t>
  </si>
  <si>
    <t>T-134; T-228</t>
  </si>
  <si>
    <t>T-112; T-114; T-229</t>
  </si>
  <si>
    <t>T-148; T-228; T-245; T-257; T-267</t>
  </si>
  <si>
    <t>T-098; T-101; T-102; T-103; T-104; T-112; T-114</t>
  </si>
  <si>
    <t>T-112; T-114; T-128; T-183</t>
  </si>
  <si>
    <t>T-129; T-130; T-133; T-139; T-186</t>
  </si>
  <si>
    <t>T-109; T-131; T-132; T-133</t>
  </si>
  <si>
    <t>T-134; T-188</t>
  </si>
  <si>
    <t>T-130; T-187</t>
  </si>
  <si>
    <t>T-128; T-129; T-147</t>
  </si>
  <si>
    <t>T-128; T-129</t>
  </si>
  <si>
    <t>T-235; T-237</t>
  </si>
  <si>
    <t>T-112; T-114; T-128; T-135; T-183</t>
  </si>
  <si>
    <t>T-112; T-114; T-122; T-135; T-183</t>
  </si>
  <si>
    <t>T-128; T-129; T-135; T-183; T-195</t>
  </si>
  <si>
    <t>T-107; T-109; T-112; T-114; T-135; T-183; T-184; T-185; T-186; T-195</t>
  </si>
  <si>
    <t>T-107; T-122; T-183; T-184; T-185; T-186; T-187; T-188; T-189; T-190; T-191</t>
  </si>
  <si>
    <t>T-130; T-139; T-145; T-187</t>
  </si>
  <si>
    <t>T-112; T-114</t>
  </si>
  <si>
    <t>T-214; T-238</t>
  </si>
  <si>
    <t>T-110; T-153; T-159; T-160; T-161; T-162; T-163; T-164; T-167; T-193; T-230; T-240; T-246; T-248; T-263; T-264; T-267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</si>
</sst>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0%"/>
    <numFmt numFmtId="167" formatCode="0.0;\-0.0;0.0"/>
  </numFmts>
  <fonts count="35">
    <font>
      <sz val="11"/>
      <name val="Carlito"/>
    </font>
    <font>
      <b/>
      <sz val="16"/>
      <color rgb="FFFFFFFF"/>
      <name val="Carlito"/>
    </font>
    <font>
      <b/>
      <sz val="11"/>
      <color rgb="FFFFFFFF"/>
      <name val="Carlito"/>
    </font>
    <font>
      <b/>
      <sz val="11"/>
      <color rgb="FF17384A"/>
      <name val="Carlito"/>
    </font>
    <font>
      <b/>
      <sz val="14"/>
      <color rgb="FFFFFFFF"/>
      <name val="Carlito"/>
    </font>
    <font>
      <b/>
      <sz val="11"/>
      <name val="Carlito"/>
    </font>
    <font>
      <i/>
      <sz val="11"/>
      <name val="Carlito"/>
    </font>
    <font>
      <b/>
      <sz val="11"/>
      <color rgb="FF17365D"/>
      <name val="Carlito"/>
    </font>
    <font>
      <b/>
      <sz val="20"/>
      <name val="Carlito"/>
    </font>
    <font>
      <b/>
      <sz val="10"/>
      <color rgb="FFFFFFFF"/>
      <name val="Carlito"/>
    </font>
    <font>
      <sz val="10"/>
      <name val="Carlito"/>
    </font>
    <font>
      <b/>
      <sz val="10"/>
      <color rgb="FF17384A"/>
      <name val="Carlito"/>
    </font>
    <font>
      <b/>
      <sz val="20"/>
      <color rgb="FFFFFFFF"/>
      <name val="Carlito"/>
    </font>
    <font>
      <sz val="11"/>
      <color rgb="FF334155"/>
      <name val="Carlito"/>
    </font>
    <font>
      <b/>
      <sz val="11"/>
      <color rgb="FFFFFFFF"/>
      <name val="Aptos"/>
      <family val="2"/>
    </font>
    <font>
      <sz val="11"/>
      <name val="Aptos"/>
      <family val="2"/>
    </font>
    <font>
      <b/>
      <sz val="10"/>
      <color rgb="FFFFFFFF"/>
      <name val="Aptos"/>
      <family val="2"/>
    </font>
    <font>
      <sz val="10"/>
      <name val="Aptos"/>
      <family val="2"/>
    </font>
    <font>
      <b/>
      <sz val="18"/>
      <color rgb="FFFFFFFF"/>
      <name val="Carlito"/>
    </font>
    <font>
      <i/>
      <sz val="10"/>
      <color rgb="FF456174"/>
      <name val="Carlito"/>
    </font>
    <font>
      <b/>
      <sz val="11"/>
      <color rgb="FF123048"/>
      <name val="Carlito"/>
    </font>
    <font>
      <b/>
      <sz val="18"/>
      <color rgb="FFFFFFFF"/>
      <name val="Aptos"/>
      <family val="2"/>
    </font>
    <font>
      <i/>
      <sz val="10"/>
      <color rgb="FF456174"/>
      <name val="Aptos"/>
      <family val="2"/>
    </font>
    <font>
      <b/>
      <sz val="11"/>
      <color rgb="FF123048"/>
      <name val="Aptos"/>
      <family val="2"/>
    </font>
    <font>
      <sz val="11"/>
      <color rgb="FF243447"/>
      <name val="Carlito"/>
    </font>
    <font>
      <b/>
      <sz val="10"/>
      <color rgb="FF243447"/>
      <name val="Carlito"/>
    </font>
    <font>
      <sz val="10"/>
      <color rgb="FF243447"/>
      <name val="Carlito"/>
    </font>
    <font>
      <sz val="10"/>
      <color rgb="FF243447"/>
      <name val="Calibri"/>
      <family val="2"/>
    </font>
    <font>
      <sz val="11"/>
      <color rgb="FF42566B"/>
      <name val="Carlito"/>
    </font>
    <font>
      <b/>
      <sz val="11"/>
      <color rgb="FF7F6000"/>
      <name val="Carlito"/>
    </font>
    <font>
      <b/>
      <sz val="11"/>
      <color rgb="FF1F4E78"/>
      <name val="Carlito"/>
    </font>
    <font>
      <sz val="10"/>
      <color rgb="FF7F6000"/>
      <name val="Carlito"/>
    </font>
    <font>
      <sz val="9"/>
      <color rgb="FF596B7D"/>
      <name val="Carlito"/>
    </font>
    <font>
      <b/>
      <sz val="17"/>
      <color rgb="FFFFFFFF"/>
      <name val="Carlito"/>
    </font>
    <font>
      <b/>
      <sz val="10"/>
      <color rgb="FF7A5400"/>
      <name val="Carlito"/>
    </font>
  </fonts>
  <fills count="36">
    <fill>
      <patternFill patternType="none"/>
    </fill>
    <fill>
      <patternFill patternType="gray125"/>
    </fill>
    <fill>
      <patternFill patternType="solid">
        <fgColor rgb="FF0B1F33"/>
      </patternFill>
    </fill>
    <fill>
      <patternFill patternType="solid">
        <fgColor rgb="FF1E5A73"/>
      </patternFill>
    </fill>
    <fill>
      <patternFill patternType="solid">
        <fgColor rgb="FFF0F5F8"/>
      </patternFill>
    </fill>
    <fill>
      <patternFill patternType="solid">
        <fgColor rgb="FF92D050"/>
      </patternFill>
    </fill>
    <fill>
      <patternFill patternType="solid">
        <fgColor rgb="FF17365D"/>
      </patternFill>
    </fill>
    <fill>
      <patternFill patternType="solid">
        <fgColor rgb="FF17365D"/>
      </patternFill>
    </fill>
    <fill>
      <patternFill patternType="solid">
        <fgColor rgb="FF17365D"/>
      </patternFill>
    </fill>
    <fill>
      <patternFill patternType="solid">
        <fgColor rgb="FF0B1F33"/>
      </patternFill>
    </fill>
    <fill>
      <patternFill patternType="solid">
        <fgColor rgb="FFD9EAF7"/>
      </patternFill>
    </fill>
    <fill>
      <patternFill patternType="solid">
        <fgColor rgb="FFD9E2F3"/>
      </patternFill>
    </fill>
    <fill>
      <patternFill patternType="solid">
        <fgColor rgb="FFE2F0D9"/>
      </patternFill>
    </fill>
    <fill>
      <patternFill patternType="solid">
        <fgColor rgb="FF17365D"/>
      </patternFill>
    </fill>
    <fill>
      <patternFill patternType="solid">
        <fgColor rgb="FF17365D"/>
      </patternFill>
    </fill>
    <fill>
      <patternFill patternType="solid">
        <fgColor rgb="FFFFFF00"/>
      </patternFill>
    </fill>
    <fill>
      <patternFill patternType="solid">
        <fgColor rgb="FF102A43"/>
      </patternFill>
    </fill>
    <fill>
      <patternFill patternType="solid">
        <fgColor rgb="FFEAF3F8"/>
      </patternFill>
    </fill>
    <fill>
      <patternFill patternType="solid">
        <fgColor rgb="FF102C44"/>
      </patternFill>
    </fill>
    <fill>
      <patternFill patternType="solid">
        <fgColor rgb="FFFFF1C2"/>
      </patternFill>
    </fill>
    <fill>
      <patternFill patternType="solid">
        <fgColor rgb="FFFFF8DE"/>
      </patternFill>
    </fill>
    <fill>
      <patternFill patternType="solid">
        <fgColor rgb="FFE7F0F5"/>
      </patternFill>
    </fill>
    <fill>
      <patternFill patternType="solid">
        <fgColor rgb="FFFFFFFF"/>
      </patternFill>
    </fill>
    <fill>
      <patternFill patternType="solid">
        <fgColor rgb="FF123048"/>
      </patternFill>
    </fill>
    <fill>
      <patternFill patternType="solid">
        <fgColor rgb="FFE5F0F5"/>
      </patternFill>
    </fill>
    <fill>
      <patternFill patternType="solid">
        <fgColor rgb="FF14344B"/>
      </patternFill>
    </fill>
    <fill>
      <patternFill patternType="solid">
        <fgColor rgb="FFFFFFFF"/>
      </patternFill>
    </fill>
    <fill>
      <patternFill patternType="solid">
        <fgColor rgb="FF1F4E78"/>
      </patternFill>
    </fill>
    <fill>
      <patternFill patternType="solid">
        <fgColor rgb="FFFFF2CC"/>
      </patternFill>
    </fill>
    <fill>
      <patternFill patternType="solid">
        <fgColor rgb="FF17365D"/>
      </patternFill>
    </fill>
    <fill>
      <patternFill patternType="solid">
        <fgColor rgb="FFDDEBF7"/>
      </patternFill>
    </fill>
    <fill>
      <patternFill patternType="solid">
        <fgColor rgb="FFE7E6E6"/>
      </patternFill>
    </fill>
    <fill>
      <patternFill patternType="solid">
        <fgColor rgb="FF17324D"/>
      </patternFill>
    </fill>
    <fill>
      <patternFill patternType="solid">
        <fgColor rgb="FFFFF2CC"/>
      </patternFill>
    </fill>
    <fill>
      <patternFill patternType="solid">
        <fgColor rgb="FFE2F0D9"/>
      </patternFill>
    </fill>
    <fill>
      <patternFill patternType="solid">
        <fgColor theme="0"/>
      </patternFill>
    </fill>
  </fills>
  <borders count="1">
    <border>
      <left/>
      <right/>
      <top/>
      <bottom/>
      <diagonal/>
    </border>
  </borders>
  <cellStyleXfs count="1">
    <xf numFmtId="0" fontId="0" fillId="0" borderId="0"/>
  </cellStyleXfs>
  <cellXfs count="146">
    <xf numFmtId="0" fontId="0" fillId="0" borderId="0" xfId="0"/>
    <xf numFmtId="0" fontId="2" fillId="3" borderId="0" xfId="0" applyFont="1" applyFill="1" applyAlignment="1">
      <alignment vertical="center" wrapText="1"/>
    </xf>
    <xf numFmtId="0" fontId="0" fillId="0" borderId="0" xfId="0" applyAlignment="1">
      <alignment wrapText="1"/>
    </xf>
    <xf numFmtId="0" fontId="3" fillId="4" borderId="0" xfId="0" applyFont="1" applyFill="1" applyAlignment="1">
      <alignment wrapText="1"/>
    </xf>
    <xf numFmtId="0" fontId="0" fillId="5" borderId="0" xfId="0" applyFill="1" applyAlignment="1">
      <alignment wrapText="1"/>
    </xf>
    <xf numFmtId="1" fontId="0" fillId="0" borderId="0" xfId="0" applyNumberFormat="1" applyAlignment="1">
      <alignment wrapText="1"/>
    </xf>
    <xf numFmtId="164" fontId="0" fillId="0" borderId="0" xfId="0" applyNumberFormat="1" applyAlignment="1">
      <alignment wrapText="1"/>
    </xf>
    <xf numFmtId="1" fontId="0" fillId="4" borderId="0" xfId="0" applyNumberFormat="1" applyFill="1" applyAlignment="1">
      <alignment wrapText="1"/>
    </xf>
    <xf numFmtId="0" fontId="2" fillId="6" borderId="0" xfId="0" applyFont="1" applyFill="1" applyAlignment="1">
      <alignment horizontal="center" vertical="center" wrapText="1"/>
    </xf>
    <xf numFmtId="165" fontId="0" fillId="0" borderId="0" xfId="0" applyNumberFormat="1" applyAlignment="1">
      <alignment wrapText="1"/>
    </xf>
    <xf numFmtId="166" fontId="0" fillId="0" borderId="0" xfId="0" applyNumberFormat="1"/>
    <xf numFmtId="0" fontId="2" fillId="7" borderId="0" xfId="0" applyFont="1" applyFill="1" applyAlignment="1">
      <alignment horizontal="center" wrapText="1"/>
    </xf>
    <xf numFmtId="166" fontId="0" fillId="4" borderId="0" xfId="0" applyNumberFormat="1" applyFill="1" applyAlignment="1">
      <alignment wrapText="1"/>
    </xf>
    <xf numFmtId="166" fontId="0" fillId="0" borderId="0" xfId="0" applyNumberFormat="1" applyAlignment="1">
      <alignment wrapText="1"/>
    </xf>
    <xf numFmtId="0" fontId="2" fillId="8" borderId="0" xfId="0" applyFont="1" applyFill="1"/>
    <xf numFmtId="0" fontId="2" fillId="8" borderId="0" xfId="0" applyFont="1" applyFill="1" applyAlignment="1">
      <alignment horizontal="center" wrapText="1"/>
    </xf>
    <xf numFmtId="0" fontId="2" fillId="8" borderId="0" xfId="0" applyFont="1" applyFill="1" applyAlignment="1">
      <alignment wrapText="1"/>
    </xf>
    <xf numFmtId="0" fontId="5" fillId="12" borderId="0" xfId="0" applyFont="1" applyFill="1"/>
    <xf numFmtId="0" fontId="4" fillId="13" borderId="0" xfId="0" applyFont="1" applyFill="1"/>
    <xf numFmtId="0" fontId="2" fillId="13" borderId="0" xfId="0" applyFont="1" applyFill="1" applyAlignment="1">
      <alignment wrapText="1"/>
    </xf>
    <xf numFmtId="1" fontId="2" fillId="13" borderId="0" xfId="0" applyNumberFormat="1" applyFont="1" applyFill="1" applyAlignment="1">
      <alignment wrapText="1"/>
    </xf>
    <xf numFmtId="164" fontId="2" fillId="13" borderId="0" xfId="0" applyNumberFormat="1" applyFont="1" applyFill="1" applyAlignment="1">
      <alignment wrapText="1"/>
    </xf>
    <xf numFmtId="0" fontId="2" fillId="14" borderId="0" xfId="0" applyFont="1" applyFill="1" applyAlignment="1">
      <alignment horizontal="center" wrapText="1"/>
    </xf>
    <xf numFmtId="0" fontId="0" fillId="15" borderId="0" xfId="0" applyFill="1" applyAlignment="1">
      <alignment wrapText="1"/>
    </xf>
    <xf numFmtId="0" fontId="10" fillId="0" borderId="0" xfId="0" applyFont="1" applyAlignment="1">
      <alignment wrapText="1"/>
    </xf>
    <xf numFmtId="0" fontId="9" fillId="3" borderId="0" xfId="0" applyFont="1" applyFill="1" applyAlignment="1">
      <alignment vertical="center" wrapText="1"/>
    </xf>
    <xf numFmtId="0" fontId="9" fillId="16" borderId="0" xfId="0" applyFont="1" applyFill="1" applyAlignment="1">
      <alignment wrapText="1"/>
    </xf>
    <xf numFmtId="0" fontId="9" fillId="6" borderId="0" xfId="0" applyFont="1" applyFill="1" applyAlignment="1">
      <alignment horizontal="center" vertical="center" wrapText="1"/>
    </xf>
    <xf numFmtId="0" fontId="12" fillId="16" borderId="0" xfId="0" applyFont="1" applyFill="1"/>
    <xf numFmtId="0" fontId="13" fillId="17" borderId="0" xfId="0" applyFont="1" applyFill="1"/>
    <xf numFmtId="0" fontId="2" fillId="18" borderId="0" xfId="0" applyFont="1" applyFill="1" applyAlignment="1">
      <alignment horizontal="center" vertical="center" wrapText="1"/>
    </xf>
    <xf numFmtId="0" fontId="2" fillId="18" borderId="0" xfId="0" applyFont="1" applyFill="1" applyAlignment="1">
      <alignment wrapText="1"/>
    </xf>
    <xf numFmtId="0" fontId="0" fillId="0" borderId="0" xfId="0" applyAlignment="1">
      <alignment vertical="top" wrapText="1"/>
    </xf>
    <xf numFmtId="49" fontId="0" fillId="0" borderId="0" xfId="0" applyNumberFormat="1" applyAlignment="1">
      <alignment wrapText="1"/>
    </xf>
    <xf numFmtId="0" fontId="0" fillId="20" borderId="0" xfId="0" applyFill="1" applyAlignment="1">
      <alignment wrapText="1"/>
    </xf>
    <xf numFmtId="0" fontId="0" fillId="20" borderId="0" xfId="0" applyFill="1" applyAlignment="1">
      <alignment vertical="top" wrapText="1"/>
    </xf>
    <xf numFmtId="0" fontId="9" fillId="18" borderId="0" xfId="0" applyFont="1" applyFill="1" applyAlignment="1">
      <alignment horizontal="center" vertical="center" wrapText="1"/>
    </xf>
    <xf numFmtId="0" fontId="2" fillId="18" borderId="0" xfId="0" applyFont="1" applyFill="1" applyAlignment="1">
      <alignment vertical="center" wrapText="1"/>
    </xf>
    <xf numFmtId="0" fontId="10" fillId="0" borderId="0" xfId="0" applyFont="1" applyAlignment="1">
      <alignment vertical="top" wrapText="1"/>
    </xf>
    <xf numFmtId="0" fontId="9" fillId="18" borderId="0" xfId="0" applyFont="1" applyFill="1" applyAlignment="1">
      <alignment wrapText="1"/>
    </xf>
    <xf numFmtId="0" fontId="9" fillId="18" borderId="0" xfId="0" applyFont="1" applyFill="1" applyAlignment="1">
      <alignment vertical="center" wrapText="1"/>
    </xf>
    <xf numFmtId="0" fontId="9" fillId="6" borderId="0" xfId="0" applyFont="1" applyFill="1" applyAlignment="1">
      <alignment horizontal="center" vertical="top" wrapText="1"/>
    </xf>
    <xf numFmtId="0" fontId="9" fillId="3" borderId="0" xfId="0" applyFont="1" applyFill="1" applyAlignment="1">
      <alignment vertical="top" wrapText="1"/>
    </xf>
    <xf numFmtId="165" fontId="10" fillId="0" borderId="0" xfId="0" applyNumberFormat="1" applyFont="1" applyAlignment="1">
      <alignment vertical="top" wrapText="1"/>
    </xf>
    <xf numFmtId="1" fontId="10" fillId="0" borderId="0" xfId="0" applyNumberFormat="1" applyFont="1" applyAlignment="1">
      <alignment vertical="top" wrapText="1"/>
    </xf>
    <xf numFmtId="164" fontId="10" fillId="0" borderId="0" xfId="0" applyNumberFormat="1" applyFont="1" applyAlignment="1">
      <alignment vertical="top" wrapText="1"/>
    </xf>
    <xf numFmtId="0" fontId="11" fillId="4" borderId="0" xfId="0" applyFont="1" applyFill="1" applyAlignment="1">
      <alignment vertical="top" wrapText="1"/>
    </xf>
    <xf numFmtId="1" fontId="0" fillId="0" borderId="0" xfId="0" applyNumberFormat="1" applyAlignment="1">
      <alignment vertical="top" wrapText="1"/>
    </xf>
    <xf numFmtId="164" fontId="0" fillId="0" borderId="0" xfId="0" applyNumberFormat="1" applyAlignment="1">
      <alignment vertical="top" wrapText="1"/>
    </xf>
    <xf numFmtId="0" fontId="10" fillId="0" borderId="0" xfId="0" applyFont="1" applyAlignment="1">
      <alignment vertical="center" wrapText="1"/>
    </xf>
    <xf numFmtId="0" fontId="0" fillId="0" borderId="0" xfId="0" applyAlignment="1">
      <alignment vertical="center" wrapText="1"/>
    </xf>
    <xf numFmtId="0" fontId="9" fillId="22" borderId="0" xfId="0" applyFont="1" applyFill="1" applyAlignment="1">
      <alignment wrapText="1"/>
    </xf>
    <xf numFmtId="0" fontId="0" fillId="22" borderId="0" xfId="0" applyFill="1"/>
    <xf numFmtId="0" fontId="1" fillId="23" borderId="0" xfId="0" applyFont="1" applyFill="1" applyAlignment="1">
      <alignment vertical="center" wrapText="1"/>
    </xf>
    <xf numFmtId="0" fontId="2" fillId="23" borderId="0" xfId="0" applyFont="1" applyFill="1"/>
    <xf numFmtId="0" fontId="4" fillId="23" borderId="0" xfId="0" applyFont="1" applyFill="1"/>
    <xf numFmtId="0" fontId="16" fillId="23" borderId="0" xfId="0" applyFont="1" applyFill="1" applyAlignment="1">
      <alignment wrapText="1"/>
    </xf>
    <xf numFmtId="0" fontId="17" fillId="0" borderId="0" xfId="0" applyFont="1" applyAlignment="1">
      <alignment wrapText="1"/>
    </xf>
    <xf numFmtId="0" fontId="15" fillId="0" borderId="0" xfId="0" applyFont="1" applyAlignment="1">
      <alignment vertical="center"/>
    </xf>
    <xf numFmtId="0" fontId="0" fillId="0" borderId="0" xfId="0" applyAlignment="1">
      <alignment vertical="center"/>
    </xf>
    <xf numFmtId="0" fontId="14" fillId="23" borderId="0" xfId="0" applyFont="1" applyFill="1" applyAlignment="1">
      <alignment vertical="center" wrapText="1"/>
    </xf>
    <xf numFmtId="0" fontId="15" fillId="0" borderId="0" xfId="0" applyFont="1" applyAlignment="1">
      <alignment vertical="center" wrapText="1"/>
    </xf>
    <xf numFmtId="0" fontId="2" fillId="25" borderId="0" xfId="0" applyFont="1" applyFill="1"/>
    <xf numFmtId="0" fontId="2" fillId="25" borderId="0" xfId="0" applyFont="1" applyFill="1" applyAlignment="1">
      <alignment wrapText="1"/>
    </xf>
    <xf numFmtId="167" fontId="0" fillId="5" borderId="0" xfId="0" applyNumberFormat="1" applyFill="1" applyAlignment="1">
      <alignment wrapText="1"/>
    </xf>
    <xf numFmtId="167" fontId="0" fillId="0" borderId="0" xfId="0" applyNumberFormat="1" applyAlignment="1">
      <alignment wrapText="1"/>
    </xf>
    <xf numFmtId="167" fontId="0" fillId="15" borderId="0" xfId="0" applyNumberFormat="1" applyFill="1" applyAlignment="1">
      <alignment wrapText="1"/>
    </xf>
    <xf numFmtId="167" fontId="0" fillId="19" borderId="0" xfId="0" applyNumberFormat="1" applyFill="1" applyAlignment="1">
      <alignment wrapText="1"/>
    </xf>
    <xf numFmtId="0" fontId="2" fillId="27" borderId="0" xfId="0" applyFont="1" applyFill="1" applyAlignment="1">
      <alignment wrapText="1"/>
    </xf>
    <xf numFmtId="0" fontId="25" fillId="26" borderId="0" xfId="0" applyFont="1" applyFill="1" applyAlignment="1">
      <alignment horizontal="center" vertical="top" wrapText="1"/>
    </xf>
    <xf numFmtId="0" fontId="26" fillId="26" borderId="0" xfId="0" applyFont="1" applyFill="1" applyAlignment="1">
      <alignment vertical="top" wrapText="1"/>
    </xf>
    <xf numFmtId="0" fontId="24" fillId="26" borderId="0" xfId="0" applyFont="1" applyFill="1"/>
    <xf numFmtId="0" fontId="24" fillId="26" borderId="0" xfId="0" applyFont="1" applyFill="1" applyAlignment="1">
      <alignment vertical="top" wrapText="1"/>
    </xf>
    <xf numFmtId="0" fontId="0" fillId="28" borderId="0" xfId="0" applyFill="1" applyAlignment="1">
      <alignment vertical="top" wrapText="1"/>
    </xf>
    <xf numFmtId="0" fontId="0" fillId="28" borderId="0" xfId="0" applyFill="1" applyAlignment="1">
      <alignment wrapText="1"/>
    </xf>
    <xf numFmtId="0" fontId="2" fillId="29" borderId="0" xfId="0" applyFont="1" applyFill="1" applyAlignment="1">
      <alignment vertical="center" wrapText="1"/>
    </xf>
    <xf numFmtId="0" fontId="27" fillId="0" borderId="0" xfId="0" applyFont="1" applyAlignment="1">
      <alignment vertical="top" wrapText="1"/>
    </xf>
    <xf numFmtId="164" fontId="27" fillId="0" borderId="0" xfId="0" applyNumberFormat="1" applyFont="1" applyAlignment="1">
      <alignment vertical="top" wrapText="1"/>
    </xf>
    <xf numFmtId="0" fontId="18" fillId="29" borderId="0" xfId="0" applyFont="1" applyFill="1"/>
    <xf numFmtId="0" fontId="28" fillId="0" borderId="0" xfId="0" applyFont="1"/>
    <xf numFmtId="0" fontId="29" fillId="28" borderId="0" xfId="0" applyFont="1" applyFill="1" applyAlignment="1">
      <alignment wrapText="1"/>
    </xf>
    <xf numFmtId="1" fontId="27" fillId="0" borderId="0" xfId="0" applyNumberFormat="1" applyFont="1" applyAlignment="1">
      <alignment vertical="top" wrapText="1"/>
    </xf>
    <xf numFmtId="0" fontId="0" fillId="31" borderId="0" xfId="0" applyFill="1" applyAlignment="1">
      <alignment wrapText="1"/>
    </xf>
    <xf numFmtId="0" fontId="27" fillId="28" borderId="0" xfId="0" applyFont="1" applyFill="1" applyAlignment="1">
      <alignment vertical="top" wrapText="1"/>
    </xf>
    <xf numFmtId="0" fontId="2" fillId="32" borderId="0" xfId="0" applyFont="1" applyFill="1"/>
    <xf numFmtId="0" fontId="2" fillId="32" borderId="0" xfId="0" applyFont="1" applyFill="1" applyAlignment="1">
      <alignment wrapText="1"/>
    </xf>
    <xf numFmtId="1" fontId="10" fillId="33" borderId="0" xfId="0" applyNumberFormat="1" applyFont="1" applyFill="1" applyAlignment="1">
      <alignment vertical="top" wrapText="1"/>
    </xf>
    <xf numFmtId="0" fontId="9" fillId="32" borderId="0" xfId="0" applyFont="1" applyFill="1" applyAlignment="1">
      <alignment wrapText="1"/>
    </xf>
    <xf numFmtId="0" fontId="9" fillId="32" borderId="0" xfId="0" applyFont="1" applyFill="1" applyAlignment="1">
      <alignment vertical="center" wrapText="1"/>
    </xf>
    <xf numFmtId="1" fontId="27" fillId="33" borderId="0" xfId="0" applyNumberFormat="1" applyFont="1" applyFill="1" applyAlignment="1">
      <alignment vertical="top" wrapText="1"/>
    </xf>
    <xf numFmtId="1" fontId="0" fillId="33" borderId="0" xfId="0" applyNumberFormat="1" applyFill="1" applyAlignment="1">
      <alignment wrapText="1"/>
    </xf>
    <xf numFmtId="0" fontId="34" fillId="33" borderId="0" xfId="0" applyFont="1" applyFill="1" applyAlignment="1">
      <alignment wrapText="1"/>
    </xf>
    <xf numFmtId="0" fontId="24" fillId="0" borderId="0" xfId="0" applyFont="1" applyAlignment="1">
      <alignment wrapText="1"/>
    </xf>
    <xf numFmtId="167" fontId="0" fillId="35" borderId="0" xfId="0" applyNumberFormat="1" applyFill="1" applyAlignment="1">
      <alignment wrapText="1"/>
    </xf>
    <xf numFmtId="0" fontId="24" fillId="22" borderId="0" xfId="0" applyFont="1" applyFill="1" applyAlignment="1">
      <alignment wrapText="1"/>
    </xf>
    <xf numFmtId="0" fontId="24" fillId="5" borderId="0" xfId="0" applyFont="1" applyFill="1" applyAlignment="1">
      <alignment wrapText="1"/>
    </xf>
    <xf numFmtId="0" fontId="9" fillId="23" borderId="0" xfId="0" applyFont="1" applyFill="1" applyAlignment="1">
      <alignment horizontal="left" vertical="center" wrapText="1"/>
    </xf>
    <xf numFmtId="0" fontId="9" fillId="23" borderId="0" xfId="0" applyFont="1" applyFill="1" applyAlignment="1">
      <alignment vertical="center" wrapText="1"/>
    </xf>
    <xf numFmtId="0" fontId="9" fillId="23" borderId="0" xfId="0" applyFont="1" applyFill="1" applyAlignment="1">
      <alignment wrapText="1"/>
    </xf>
    <xf numFmtId="0" fontId="1" fillId="2" borderId="0" xfId="0" applyFont="1" applyFill="1" applyAlignment="1">
      <alignment vertical="center" wrapText="1"/>
    </xf>
    <xf numFmtId="0" fontId="9" fillId="2" borderId="0" xfId="0" applyFont="1" applyFill="1" applyAlignment="1">
      <alignment vertical="center" wrapText="1"/>
    </xf>
    <xf numFmtId="0" fontId="9" fillId="6" borderId="0" xfId="0" applyFont="1" applyFill="1" applyAlignment="1">
      <alignment wrapText="1"/>
    </xf>
    <xf numFmtId="0" fontId="4" fillId="6" borderId="0" xfId="0" applyFont="1" applyFill="1"/>
    <xf numFmtId="0" fontId="4" fillId="7" borderId="0" xfId="0" applyFont="1" applyFill="1" applyAlignment="1">
      <alignment wrapText="1"/>
    </xf>
    <xf numFmtId="0" fontId="4" fillId="8" borderId="0" xfId="0" applyFont="1" applyFill="1" applyAlignment="1">
      <alignment wrapText="1"/>
    </xf>
    <xf numFmtId="0" fontId="8" fillId="0" borderId="0" xfId="0" applyFont="1" applyAlignment="1">
      <alignment horizontal="center" vertical="center"/>
    </xf>
    <xf numFmtId="166" fontId="8" fillId="0" borderId="0" xfId="0" applyNumberFormat="1" applyFont="1" applyAlignment="1">
      <alignment horizontal="center" vertical="center"/>
    </xf>
    <xf numFmtId="0" fontId="2" fillId="8" borderId="0" xfId="0" applyFont="1" applyFill="1"/>
    <xf numFmtId="0" fontId="1" fillId="9" borderId="0" xfId="0" applyFont="1" applyFill="1" applyAlignment="1">
      <alignment vertical="center" wrapText="1"/>
    </xf>
    <xf numFmtId="0" fontId="1" fillId="9" borderId="0" xfId="0" applyFont="1" applyFill="1" applyAlignment="1">
      <alignment vertical="center"/>
    </xf>
    <xf numFmtId="0" fontId="6" fillId="10" borderId="0" xfId="0" applyFont="1" applyFill="1" applyAlignment="1">
      <alignment wrapText="1"/>
    </xf>
    <xf numFmtId="0" fontId="7" fillId="11" borderId="0" xfId="0" applyFont="1" applyFill="1" applyAlignment="1">
      <alignment horizontal="center"/>
    </xf>
    <xf numFmtId="0" fontId="0" fillId="0" borderId="0" xfId="0"/>
    <xf numFmtId="0" fontId="2" fillId="23" borderId="0" xfId="0" applyFont="1" applyFill="1"/>
    <xf numFmtId="0" fontId="10" fillId="0" borderId="0" xfId="0" applyFont="1" applyAlignment="1">
      <alignment wrapText="1"/>
    </xf>
    <xf numFmtId="0" fontId="0" fillId="0" borderId="0" xfId="0" applyAlignment="1">
      <alignment wrapText="1"/>
    </xf>
    <xf numFmtId="0" fontId="10" fillId="0" borderId="0" xfId="0" applyFont="1" applyAlignment="1">
      <alignment vertical="center" wrapText="1"/>
    </xf>
    <xf numFmtId="0" fontId="0" fillId="0" borderId="0" xfId="0" applyAlignment="1">
      <alignment vertical="center" wrapText="1"/>
    </xf>
    <xf numFmtId="0" fontId="12" fillId="23" borderId="0" xfId="0" applyFont="1" applyFill="1" applyAlignment="1">
      <alignment wrapText="1"/>
    </xf>
    <xf numFmtId="0" fontId="12" fillId="23" borderId="0" xfId="0" applyFont="1" applyFill="1"/>
    <xf numFmtId="0" fontId="12" fillId="18" borderId="0" xfId="0" applyFont="1" applyFill="1"/>
    <xf numFmtId="0" fontId="13" fillId="21" borderId="0" xfId="0" applyFont="1" applyFill="1" applyAlignment="1">
      <alignment wrapText="1"/>
    </xf>
    <xf numFmtId="0" fontId="10" fillId="21" borderId="0" xfId="0" applyFont="1" applyFill="1" applyAlignment="1">
      <alignment vertical="center" wrapText="1"/>
    </xf>
    <xf numFmtId="0" fontId="0" fillId="21" borderId="0" xfId="0" applyFill="1" applyAlignment="1">
      <alignment vertical="center" wrapText="1"/>
    </xf>
    <xf numFmtId="164" fontId="0" fillId="0" borderId="0" xfId="0" applyNumberFormat="1" applyAlignment="1">
      <alignment wrapText="1"/>
    </xf>
    <xf numFmtId="0" fontId="0" fillId="28" borderId="0" xfId="0" applyFill="1" applyAlignment="1">
      <alignment wrapText="1"/>
    </xf>
    <xf numFmtId="0" fontId="2" fillId="32" borderId="0" xfId="0" applyFont="1" applyFill="1" applyAlignment="1">
      <alignment wrapText="1"/>
    </xf>
    <xf numFmtId="0" fontId="21" fillId="23" borderId="0" xfId="0" applyFont="1" applyFill="1" applyAlignment="1">
      <alignment vertical="center"/>
    </xf>
    <xf numFmtId="0" fontId="18" fillId="23" borderId="0" xfId="0" applyFont="1" applyFill="1" applyAlignment="1">
      <alignment vertical="center"/>
    </xf>
    <xf numFmtId="0" fontId="22" fillId="0" borderId="0" xfId="0" applyFont="1" applyAlignment="1">
      <alignment vertical="center" wrapText="1"/>
    </xf>
    <xf numFmtId="0" fontId="19" fillId="0" borderId="0" xfId="0" applyFont="1" applyAlignment="1">
      <alignment vertical="center" wrapText="1"/>
    </xf>
    <xf numFmtId="0" fontId="23" fillId="24" borderId="0" xfId="0" applyFont="1" applyFill="1" applyAlignment="1">
      <alignment vertical="center" wrapText="1"/>
    </xf>
    <xf numFmtId="0" fontId="20" fillId="24" borderId="0" xfId="0" applyFont="1" applyFill="1" applyAlignment="1">
      <alignment vertical="center" wrapText="1"/>
    </xf>
    <xf numFmtId="0" fontId="15" fillId="0" borderId="0" xfId="0" applyFont="1" applyAlignment="1">
      <alignment vertical="center" wrapText="1"/>
    </xf>
    <xf numFmtId="0" fontId="2" fillId="29" borderId="0" xfId="0" applyFont="1" applyFill="1" applyAlignment="1">
      <alignment vertical="center" wrapText="1"/>
    </xf>
    <xf numFmtId="0" fontId="30" fillId="30" borderId="0" xfId="0" applyFont="1" applyFill="1" applyAlignment="1">
      <alignment wrapText="1"/>
    </xf>
    <xf numFmtId="0" fontId="18" fillId="29" borderId="0" xfId="0" applyFont="1" applyFill="1"/>
    <xf numFmtId="0" fontId="28" fillId="0" borderId="0" xfId="0" applyFont="1"/>
    <xf numFmtId="0" fontId="29" fillId="28" borderId="0" xfId="0" applyFont="1" applyFill="1" applyAlignment="1">
      <alignment wrapText="1"/>
    </xf>
    <xf numFmtId="0" fontId="0" fillId="31" borderId="0" xfId="0" applyFill="1" applyAlignment="1">
      <alignment wrapText="1"/>
    </xf>
    <xf numFmtId="0" fontId="31" fillId="0" borderId="0" xfId="0" applyFont="1" applyAlignment="1">
      <alignment wrapText="1"/>
    </xf>
    <xf numFmtId="0" fontId="27" fillId="0" borderId="0" xfId="0" applyFont="1" applyAlignment="1">
      <alignment vertical="top" wrapText="1"/>
    </xf>
    <xf numFmtId="0" fontId="32" fillId="0" borderId="0" xfId="0" applyFont="1" applyAlignment="1">
      <alignment wrapText="1"/>
    </xf>
    <xf numFmtId="0" fontId="33" fillId="32" borderId="0" xfId="0" applyFont="1" applyFill="1" applyAlignment="1">
      <alignment wrapText="1"/>
    </xf>
    <xf numFmtId="0" fontId="9" fillId="32" borderId="0" xfId="0" applyFont="1" applyFill="1" applyAlignment="1">
      <alignment wrapText="1"/>
    </xf>
    <xf numFmtId="0" fontId="10" fillId="34" borderId="0" xfId="0" applyFont="1" applyFill="1" applyAlignment="1">
      <alignment wrapText="1"/>
    </xf>
  </cellXfs>
  <cellStyles count="1">
    <cellStyle name="Normal" xfId="0" builtinId="0"/>
  </cellStyles>
  <dxfs count="41">
    <dxf>
      <font>
        <color rgb="FF7F6000"/>
      </font>
      <fill>
        <patternFill>
          <bgColor rgb="FFFFF2CC"/>
        </patternFill>
      </fill>
    </dxf>
    <dxf>
      <font>
        <color rgb="FF375623"/>
      </font>
      <fill>
        <patternFill>
          <bgColor rgb="FFE2F0D9"/>
        </patternFill>
      </fill>
    </dxf>
    <dxf>
      <fill>
        <patternFill>
          <bgColor rgb="FFFFF2CC"/>
        </patternFill>
      </fill>
    </dxf>
    <dxf>
      <fill>
        <patternFill>
          <bgColor rgb="FFD9EAD3"/>
        </patternFill>
      </fill>
    </dxf>
    <dxf>
      <font>
        <color rgb="FF7A5400"/>
      </font>
      <fill>
        <patternFill>
          <bgColor rgb="FFFFF2CC"/>
        </patternFill>
      </fill>
    </dxf>
    <dxf>
      <fill>
        <patternFill>
          <bgColor rgb="FFE7E6E6"/>
        </patternFill>
      </fill>
    </dxf>
    <dxf>
      <fill>
        <patternFill>
          <bgColor rgb="FFFFF2CC"/>
        </patternFill>
      </fill>
    </dxf>
    <dxf>
      <fill>
        <patternFill>
          <bgColor rgb="FFD9EAD3"/>
        </patternFill>
      </fill>
    </dxf>
    <dxf>
      <fill>
        <patternFill>
          <bgColor rgb="FFFFF2CC"/>
        </patternFill>
      </fill>
    </dxf>
    <dxf>
      <fill>
        <patternFill>
          <bgColor rgb="FFF4CCCC"/>
        </patternFill>
      </fill>
    </dxf>
    <dxf>
      <fill>
        <patternFill>
          <bgColor rgb="FFFFF2CC"/>
        </patternFill>
      </fill>
    </dxf>
    <dxf>
      <fill>
        <patternFill>
          <bgColor rgb="FFD9EAD3"/>
        </patternFill>
      </fill>
    </dxf>
    <dxf>
      <fill>
        <patternFill>
          <bgColor rgb="FFD9F0E4"/>
        </patternFill>
      </fill>
    </dxf>
    <dxf>
      <fill>
        <patternFill>
          <bgColor rgb="FFFFF2D6"/>
        </patternFill>
      </fill>
    </dxf>
    <dxf>
      <fill>
        <patternFill>
          <bgColor rgb="FFF4CCCC"/>
        </patternFill>
      </fill>
    </dxf>
    <dxf>
      <fill>
        <patternFill>
          <bgColor rgb="FFE7E6E6"/>
        </patternFill>
      </fill>
    </dxf>
    <dxf>
      <fill>
        <patternFill>
          <bgColor rgb="FFFFF2CC"/>
        </patternFill>
      </fill>
    </dxf>
    <dxf>
      <fill>
        <patternFill>
          <bgColor rgb="FFD9EAD3"/>
        </patternFill>
      </fill>
    </dxf>
    <dxf>
      <fill>
        <patternFill>
          <bgColor rgb="FFFFF2CC"/>
        </patternFill>
      </fill>
    </dxf>
    <dxf>
      <fill>
        <patternFill>
          <bgColor rgb="FFE2F0D9"/>
        </patternFill>
      </fill>
    </dxf>
    <dxf>
      <font>
        <b/>
      </font>
      <fill>
        <patternFill>
          <bgColor rgb="FFF4CCCC"/>
        </patternFill>
      </fill>
    </dxf>
    <dxf>
      <fill>
        <patternFill>
          <bgColor rgb="FFF4CCCC"/>
        </patternFill>
      </fill>
    </dxf>
    <dxf>
      <fill>
        <patternFill>
          <bgColor rgb="FFE7E6E6"/>
        </patternFill>
      </fill>
    </dxf>
    <dxf>
      <fill>
        <patternFill>
          <bgColor rgb="FFFFF2CC"/>
        </patternFill>
      </fill>
    </dxf>
    <dxf>
      <fill>
        <patternFill>
          <bgColor rgb="FFD9EAD3"/>
        </patternFill>
      </fill>
    </dxf>
    <dxf>
      <font>
        <b/>
        <color rgb="FF1D6B35"/>
      </font>
      <fill>
        <patternFill>
          <bgColor rgb="FFDDF5EC"/>
        </patternFill>
      </fill>
    </dxf>
    <dxf>
      <fill>
        <patternFill>
          <bgColor rgb="FFF4CCCC"/>
        </patternFill>
      </fill>
    </dxf>
    <dxf>
      <fill>
        <patternFill>
          <bgColor rgb="FFE7E6E6"/>
        </patternFill>
      </fill>
    </dxf>
    <dxf>
      <fill>
        <patternFill>
          <bgColor rgb="FFFFF2CC"/>
        </patternFill>
      </fill>
    </dxf>
    <dxf>
      <fill>
        <patternFill>
          <bgColor rgb="FFD9EAD3"/>
        </patternFill>
      </fill>
    </dxf>
    <dxf>
      <font>
        <color rgb="FF7A5400"/>
      </font>
      <fill>
        <patternFill>
          <bgColor rgb="FFFFF2CC"/>
        </patternFill>
      </fill>
    </dxf>
    <dxf>
      <font>
        <color rgb="FF7F6000"/>
      </font>
      <fill>
        <patternFill>
          <bgColor rgb="FFFFF2CC"/>
        </patternFill>
      </fill>
    </dxf>
    <dxf>
      <fill>
        <patternFill>
          <bgColor rgb="FFE4DFEC"/>
        </patternFill>
      </fill>
    </dxf>
    <dxf>
      <font>
        <color rgb="FF7F6000"/>
      </font>
      <fill>
        <patternFill>
          <bgColor rgb="FFFFF2CC"/>
        </patternFill>
      </fill>
    </dxf>
    <dxf>
      <font>
        <b/>
        <color rgb="FF9C1B1B"/>
      </font>
      <fill>
        <patternFill>
          <bgColor rgb="FFF4CCCC"/>
        </patternFill>
      </fill>
    </dxf>
    <dxf>
      <font>
        <b/>
        <color rgb="FF404040"/>
      </font>
      <fill>
        <patternFill>
          <bgColor rgb="FFE7E6E6"/>
        </patternFill>
      </fill>
    </dxf>
    <dxf>
      <font>
        <b/>
        <color rgb="FF7F6000"/>
      </font>
      <fill>
        <patternFill>
          <bgColor rgb="FFFFF2CC"/>
        </patternFill>
      </fill>
    </dxf>
    <dxf>
      <font>
        <b/>
        <color rgb="FF285B32"/>
      </font>
      <fill>
        <patternFill>
          <bgColor rgb="FFD9EAD3"/>
        </patternFill>
      </fill>
    </dxf>
    <dxf>
      <font>
        <color rgb="FF7F6000"/>
      </font>
      <fill>
        <patternFill>
          <bgColor rgb="FFFFF2CC"/>
        </patternFill>
      </fill>
    </dxf>
    <dxf>
      <fill>
        <patternFill>
          <bgColor rgb="FFE4DFEC"/>
        </patternFill>
      </fill>
    </dxf>
    <dxf>
      <fill>
        <patternFill>
          <bgColor rgb="FFDDEB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M2 Release 1</c:v>
          </c:tx>
          <c:invertIfNegative val="1"/>
          <c:cat>
            <c:strRef>
              <c:f>'Release Plan'!$C$4:$C$8</c:f>
              <c:strCache>
                <c:ptCount val="5"/>
                <c:pt idx="0">
                  <c:v>P1</c:v>
                </c:pt>
                <c:pt idx="1">
                  <c:v>P2</c:v>
                </c:pt>
                <c:pt idx="2">
                  <c:v>P3</c:v>
                </c:pt>
                <c:pt idx="3">
                  <c:v>P4</c:v>
                </c:pt>
                <c:pt idx="4">
                  <c:v>P5</c:v>
                </c:pt>
              </c:strCache>
            </c:strRef>
          </c:cat>
          <c:val>
            <c:numRef>
              <c:f>'Release Plan'!$G$4:$G$8</c:f>
              <c:numCache>
                <c:formatCode>0.0</c:formatCode>
                <c:ptCount val="5"/>
                <c:pt idx="0">
                  <c:v>0</c:v>
                </c:pt>
                <c:pt idx="1">
                  <c:v>28</c:v>
                </c:pt>
                <c:pt idx="2">
                  <c:v>5</c:v>
                </c:pt>
                <c:pt idx="3">
                  <c:v>5</c:v>
                </c:pt>
                <c:pt idx="4">
                  <c:v>15</c:v>
                </c:pt>
              </c:numCache>
            </c:numRef>
          </c:val>
          <c:extLst>
            <c:ext xmlns:c16="http://schemas.microsoft.com/office/drawing/2014/chart" uri="{C3380CC4-5D6E-409C-BE32-E72D297353CC}">
              <c16:uniqueId val="{00000000-B4EF-405F-9756-E981EED9EBD0}"/>
            </c:ext>
          </c:extLst>
        </c:ser>
        <c:ser>
          <c:idx val="1"/>
          <c:order val="1"/>
          <c:tx>
            <c:v>M3 Release 2</c:v>
          </c:tx>
          <c:invertIfNegative val="1"/>
          <c:cat>
            <c:strRef>
              <c:f>'Release Plan'!$C$9:$C$13</c:f>
              <c:strCache>
                <c:ptCount val="5"/>
                <c:pt idx="0">
                  <c:v>P1</c:v>
                </c:pt>
                <c:pt idx="1">
                  <c:v>P2</c:v>
                </c:pt>
                <c:pt idx="2">
                  <c:v>P3</c:v>
                </c:pt>
                <c:pt idx="3">
                  <c:v>P4</c:v>
                </c:pt>
                <c:pt idx="4">
                  <c:v>P5</c:v>
                </c:pt>
              </c:strCache>
            </c:strRef>
          </c:cat>
          <c:val>
            <c:numRef>
              <c:f>'Release Plan'!$G$9:$G$13</c:f>
              <c:numCache>
                <c:formatCode>0.0</c:formatCode>
                <c:ptCount val="5"/>
                <c:pt idx="0">
                  <c:v>10</c:v>
                </c:pt>
                <c:pt idx="1">
                  <c:v>12</c:v>
                </c:pt>
                <c:pt idx="2">
                  <c:v>8</c:v>
                </c:pt>
                <c:pt idx="3">
                  <c:v>40</c:v>
                </c:pt>
                <c:pt idx="4">
                  <c:v>2</c:v>
                </c:pt>
              </c:numCache>
            </c:numRef>
          </c:val>
          <c:extLst>
            <c:ext xmlns:c16="http://schemas.microsoft.com/office/drawing/2014/chart" uri="{C3380CC4-5D6E-409C-BE32-E72D297353CC}">
              <c16:uniqueId val="{00000001-B4EF-405F-9756-E981EED9EBD0}"/>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Closed vs Remaining Hours by M2 Phase — v2.20.0</a:t>
            </a:r>
          </a:p>
        </c:rich>
      </c:tx>
      <c:overlay val="1"/>
    </c:title>
    <c:autoTitleDeleted val="0"/>
    <c:plotArea>
      <c:layout/>
      <c:barChart>
        <c:barDir val="col"/>
        <c:grouping val="stacked"/>
        <c:varyColors val="0"/>
        <c:ser>
          <c:idx val="0"/>
          <c:order val="0"/>
          <c:tx>
            <c:v>Closed h</c:v>
          </c:tx>
          <c:invertIfNegative val="1"/>
          <c:cat>
            <c:strRef>
              <c:f>'Dashboard v220'!$A$20:$A$24</c:f>
              <c:strCache>
                <c:ptCount val="5"/>
                <c:pt idx="0">
                  <c:v>P1</c:v>
                </c:pt>
                <c:pt idx="1">
                  <c:v>P2</c:v>
                </c:pt>
                <c:pt idx="2">
                  <c:v>P3</c:v>
                </c:pt>
                <c:pt idx="3">
                  <c:v>P4</c:v>
                </c:pt>
                <c:pt idx="4">
                  <c:v>P5</c:v>
                </c:pt>
              </c:strCache>
            </c:strRef>
          </c:cat>
          <c:val>
            <c:numRef>
              <c:f>'Dashboard v220'!$B$20:$B$24</c:f>
              <c:numCache>
                <c:formatCode>General</c:formatCode>
                <c:ptCount val="5"/>
                <c:pt idx="0">
                  <c:v>245</c:v>
                </c:pt>
                <c:pt idx="1">
                  <c:v>92</c:v>
                </c:pt>
                <c:pt idx="2">
                  <c:v>0</c:v>
                </c:pt>
                <c:pt idx="3">
                  <c:v>228</c:v>
                </c:pt>
                <c:pt idx="4">
                  <c:v>0</c:v>
                </c:pt>
              </c:numCache>
            </c:numRef>
          </c:val>
          <c:extLst>
            <c:ext xmlns:c16="http://schemas.microsoft.com/office/drawing/2014/chart" uri="{C3380CC4-5D6E-409C-BE32-E72D297353CC}">
              <c16:uniqueId val="{00000000-6CDB-4F86-967C-4930B1F1AE7A}"/>
            </c:ext>
          </c:extLst>
        </c:ser>
        <c:ser>
          <c:idx val="1"/>
          <c:order val="1"/>
          <c:tx>
            <c:v>Remaining h</c:v>
          </c:tx>
          <c:invertIfNegative val="1"/>
          <c:cat>
            <c:strRef>
              <c:f>'Dashboard v220'!$A$20:$A$24</c:f>
              <c:strCache>
                <c:ptCount val="5"/>
                <c:pt idx="0">
                  <c:v>P1</c:v>
                </c:pt>
                <c:pt idx="1">
                  <c:v>P2</c:v>
                </c:pt>
                <c:pt idx="2">
                  <c:v>P3</c:v>
                </c:pt>
                <c:pt idx="3">
                  <c:v>P4</c:v>
                </c:pt>
                <c:pt idx="4">
                  <c:v>P5</c:v>
                </c:pt>
              </c:strCache>
            </c:strRef>
          </c:cat>
          <c:val>
            <c:numRef>
              <c:f>'Dashboard v220'!$C$20:$C$24</c:f>
              <c:numCache>
                <c:formatCode>General</c:formatCode>
                <c:ptCount val="5"/>
                <c:pt idx="0">
                  <c:v>0</c:v>
                </c:pt>
                <c:pt idx="1">
                  <c:v>231</c:v>
                </c:pt>
                <c:pt idx="2">
                  <c:v>36</c:v>
                </c:pt>
                <c:pt idx="3">
                  <c:v>48</c:v>
                </c:pt>
                <c:pt idx="4">
                  <c:v>154</c:v>
                </c:pt>
              </c:numCache>
            </c:numRef>
          </c:val>
          <c:extLst>
            <c:ext xmlns:c16="http://schemas.microsoft.com/office/drawing/2014/chart" uri="{C3380CC4-5D6E-409C-BE32-E72D297353CC}">
              <c16:uniqueId val="{00000001-6CDB-4F86-967C-4930B1F1AE7A}"/>
            </c:ext>
          </c:extLst>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Closed vs Remaining Hours by Active Worker</a:t>
            </a:r>
          </a:p>
        </c:rich>
      </c:tx>
      <c:overlay val="1"/>
    </c:title>
    <c:autoTitleDeleted val="0"/>
    <c:plotArea>
      <c:layout/>
      <c:barChart>
        <c:barDir val="bar"/>
        <c:grouping val="stacked"/>
        <c:varyColors val="0"/>
        <c:ser>
          <c:idx val="0"/>
          <c:order val="0"/>
          <c:tx>
            <c:v>Closed h</c:v>
          </c:tx>
          <c:invertIfNegative val="1"/>
          <c:cat>
            <c:strRef>
              <c:f>'Dashboard v220'!$G$20:$G$22</c:f>
              <c:strCache>
                <c:ptCount val="3"/>
                <c:pt idx="0">
                  <c:v>Worker 1</c:v>
                </c:pt>
                <c:pt idx="1">
                  <c:v>Worker 2</c:v>
                </c:pt>
                <c:pt idx="2">
                  <c:v>Worker 3</c:v>
                </c:pt>
              </c:strCache>
            </c:strRef>
          </c:cat>
          <c:val>
            <c:numRef>
              <c:f>'Dashboard v220'!$H$20:$H$22</c:f>
              <c:numCache>
                <c:formatCode>General</c:formatCode>
                <c:ptCount val="3"/>
                <c:pt idx="0">
                  <c:v>204</c:v>
                </c:pt>
                <c:pt idx="1">
                  <c:v>104</c:v>
                </c:pt>
                <c:pt idx="2">
                  <c:v>85</c:v>
                </c:pt>
              </c:numCache>
            </c:numRef>
          </c:val>
          <c:extLst>
            <c:ext xmlns:c16="http://schemas.microsoft.com/office/drawing/2014/chart" uri="{C3380CC4-5D6E-409C-BE32-E72D297353CC}">
              <c16:uniqueId val="{00000000-5B5E-437F-8F64-35F5E90BD4A0}"/>
            </c:ext>
          </c:extLst>
        </c:ser>
        <c:ser>
          <c:idx val="1"/>
          <c:order val="1"/>
          <c:tx>
            <c:v>Remaining h</c:v>
          </c:tx>
          <c:invertIfNegative val="1"/>
          <c:cat>
            <c:strRef>
              <c:f>'Dashboard v220'!$G$20:$G$22</c:f>
              <c:strCache>
                <c:ptCount val="3"/>
                <c:pt idx="0">
                  <c:v>Worker 1</c:v>
                </c:pt>
                <c:pt idx="1">
                  <c:v>Worker 2</c:v>
                </c:pt>
                <c:pt idx="2">
                  <c:v>Worker 3</c:v>
                </c:pt>
              </c:strCache>
            </c:strRef>
          </c:cat>
          <c:val>
            <c:numRef>
              <c:f>'Dashboard v220'!$I$20:$I$22</c:f>
              <c:numCache>
                <c:formatCode>General</c:formatCode>
                <c:ptCount val="3"/>
                <c:pt idx="0">
                  <c:v>233</c:v>
                </c:pt>
                <c:pt idx="1">
                  <c:v>152</c:v>
                </c:pt>
                <c:pt idx="2">
                  <c:v>84</c:v>
                </c:pt>
              </c:numCache>
            </c:numRef>
          </c:val>
          <c:extLst>
            <c:ext xmlns:c16="http://schemas.microsoft.com/office/drawing/2014/chart" uri="{C3380CC4-5D6E-409C-BE32-E72D297353CC}">
              <c16:uniqueId val="{00000001-5B5E-437F-8F64-35F5E90BD4A0}"/>
            </c:ext>
          </c:extLst>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Task state by release</a:t>
            </a:r>
          </a:p>
        </c:rich>
      </c:tx>
      <c:overlay val="1"/>
    </c:title>
    <c:autoTitleDeleted val="0"/>
    <c:plotArea>
      <c:layout/>
      <c:barChart>
        <c:barDir val="col"/>
        <c:grouping val="clustered"/>
        <c:varyColors val="0"/>
        <c:ser>
          <c:idx val="0"/>
          <c:order val="0"/>
          <c:tx>
            <c:v>M2</c:v>
          </c:tx>
          <c:invertIfNegative val="1"/>
          <c:cat>
            <c:strRef>
              <c:f>'Dashboard v222'!$G$5:$G$7</c:f>
              <c:strCache>
                <c:ptCount val="3"/>
                <c:pt idx="0">
                  <c:v>Done</c:v>
                </c:pt>
                <c:pt idx="1">
                  <c:v>In Progress</c:v>
                </c:pt>
                <c:pt idx="2">
                  <c:v>Not Started</c:v>
                </c:pt>
              </c:strCache>
            </c:strRef>
          </c:cat>
          <c:val>
            <c:numRef>
              <c:f>'Dashboard v222'!$H$5:$H$7</c:f>
              <c:numCache>
                <c:formatCode>General</c:formatCode>
                <c:ptCount val="3"/>
                <c:pt idx="0">
                  <c:v>62</c:v>
                </c:pt>
                <c:pt idx="1">
                  <c:v>3</c:v>
                </c:pt>
                <c:pt idx="2">
                  <c:v>50</c:v>
                </c:pt>
              </c:numCache>
            </c:numRef>
          </c:val>
          <c:extLst>
            <c:ext xmlns:c16="http://schemas.microsoft.com/office/drawing/2014/chart" uri="{C3380CC4-5D6E-409C-BE32-E72D297353CC}">
              <c16:uniqueId val="{00000000-0BC7-400B-BB8B-1881D088CF86}"/>
            </c:ext>
          </c:extLst>
        </c:ser>
        <c:ser>
          <c:idx val="1"/>
          <c:order val="1"/>
          <c:tx>
            <c:v>M3</c:v>
          </c:tx>
          <c:invertIfNegative val="1"/>
          <c:cat>
            <c:strRef>
              <c:f>'Dashboard v222'!$G$5:$G$7</c:f>
              <c:strCache>
                <c:ptCount val="3"/>
                <c:pt idx="0">
                  <c:v>Done</c:v>
                </c:pt>
                <c:pt idx="1">
                  <c:v>In Progress</c:v>
                </c:pt>
                <c:pt idx="2">
                  <c:v>Not Started</c:v>
                </c:pt>
              </c:strCache>
            </c:strRef>
          </c:cat>
          <c:val>
            <c:numRef>
              <c:f>'Dashboard v222'!$I$5:$I$7</c:f>
              <c:numCache>
                <c:formatCode>General</c:formatCode>
                <c:ptCount val="3"/>
                <c:pt idx="0">
                  <c:v>0</c:v>
                </c:pt>
                <c:pt idx="1">
                  <c:v>0</c:v>
                </c:pt>
                <c:pt idx="2">
                  <c:v>72</c:v>
                </c:pt>
              </c:numCache>
            </c:numRef>
          </c:val>
          <c:extLst>
            <c:ext xmlns:c16="http://schemas.microsoft.com/office/drawing/2014/chart" uri="{C3380CC4-5D6E-409C-BE32-E72D297353CC}">
              <c16:uniqueId val="{00000001-0BC7-400B-BB8B-1881D088CF8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Task states — not product completion</a:t>
            </a:r>
          </a:p>
        </c:rich>
      </c:tx>
      <c:overlay val="1"/>
    </c:title>
    <c:autoTitleDeleted val="0"/>
    <c:plotArea>
      <c:layout/>
      <c:barChart>
        <c:barDir val="col"/>
        <c:grouping val="clustered"/>
        <c:varyColors val="0"/>
        <c:ser>
          <c:idx val="0"/>
          <c:order val="0"/>
          <c:tx>
            <c:v>M2</c:v>
          </c:tx>
          <c:invertIfNegative val="1"/>
          <c:cat>
            <c:strRef>
              <c:f>'UI Delivery v223'!$G$24:$G$26</c:f>
              <c:strCache>
                <c:ptCount val="3"/>
                <c:pt idx="0">
                  <c:v>Done</c:v>
                </c:pt>
                <c:pt idx="1">
                  <c:v>In Progress</c:v>
                </c:pt>
                <c:pt idx="2">
                  <c:v>Not Started</c:v>
                </c:pt>
              </c:strCache>
            </c:strRef>
          </c:cat>
          <c:val>
            <c:numRef>
              <c:f>'UI Delivery v223'!$H$24:$H$26</c:f>
              <c:numCache>
                <c:formatCode>General</c:formatCode>
                <c:ptCount val="3"/>
                <c:pt idx="0">
                  <c:v>62</c:v>
                </c:pt>
                <c:pt idx="1">
                  <c:v>3</c:v>
                </c:pt>
                <c:pt idx="2">
                  <c:v>50</c:v>
                </c:pt>
              </c:numCache>
            </c:numRef>
          </c:val>
          <c:extLst>
            <c:ext xmlns:c16="http://schemas.microsoft.com/office/drawing/2014/chart" uri="{C3380CC4-5D6E-409C-BE32-E72D297353CC}">
              <c16:uniqueId val="{00000000-35A2-43AF-BE85-3A8434E0C2E1}"/>
            </c:ext>
          </c:extLst>
        </c:ser>
        <c:ser>
          <c:idx val="1"/>
          <c:order val="1"/>
          <c:tx>
            <c:v>M3</c:v>
          </c:tx>
          <c:invertIfNegative val="1"/>
          <c:cat>
            <c:strRef>
              <c:f>'UI Delivery v223'!$G$24:$G$26</c:f>
              <c:strCache>
                <c:ptCount val="3"/>
                <c:pt idx="0">
                  <c:v>Done</c:v>
                </c:pt>
                <c:pt idx="1">
                  <c:v>In Progress</c:v>
                </c:pt>
                <c:pt idx="2">
                  <c:v>Not Started</c:v>
                </c:pt>
              </c:strCache>
            </c:strRef>
          </c:cat>
          <c:val>
            <c:numRef>
              <c:f>'UI Delivery v223'!$I$24:$I$26</c:f>
              <c:numCache>
                <c:formatCode>General</c:formatCode>
                <c:ptCount val="3"/>
                <c:pt idx="0">
                  <c:v>0</c:v>
                </c:pt>
                <c:pt idx="1">
                  <c:v>0</c:v>
                </c:pt>
                <c:pt idx="2">
                  <c:v>72</c:v>
                </c:pt>
              </c:numCache>
            </c:numRef>
          </c:val>
          <c:extLst>
            <c:ext xmlns:c16="http://schemas.microsoft.com/office/drawing/2014/chart" uri="{C3380CC4-5D6E-409C-BE32-E72D297353CC}">
              <c16:uniqueId val="{00000001-35A2-43AF-BE85-3A8434E0C2E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11</xdr:col>
      <xdr:colOff>0</xdr:colOff>
      <xdr:row>5</xdr:row>
      <xdr:rowOff>0</xdr:rowOff>
    </xdr:from>
    <xdr:to>
      <xdr:col>17</xdr:col>
      <xdr:colOff>0</xdr:colOff>
      <xdr:row>20</xdr:row>
      <xdr:rowOff>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26</xdr:row>
      <xdr:rowOff>0</xdr:rowOff>
    </xdr:from>
    <xdr:to>
      <xdr:col>7</xdr:col>
      <xdr:colOff>0</xdr:colOff>
      <xdr:row>44</xdr:row>
      <xdr:rowOff>0</xdr:rowOff>
    </xdr:to>
    <xdr:graphicFrame macro="">
      <xdr:nvGraphicFramePr>
        <xdr:cNvPr id="2" name="Chart">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26</xdr:row>
      <xdr:rowOff>0</xdr:rowOff>
    </xdr:from>
    <xdr:to>
      <xdr:col>14</xdr:col>
      <xdr:colOff>0</xdr:colOff>
      <xdr:row>44</xdr:row>
      <xdr:rowOff>0</xdr:rowOff>
    </xdr:to>
    <xdr:graphicFrame macro="">
      <xdr:nvGraphicFramePr>
        <xdr:cNvPr id="3" name="Chart">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8</xdr:row>
      <xdr:rowOff>0</xdr:rowOff>
    </xdr:from>
    <xdr:to>
      <xdr:col>15</xdr:col>
      <xdr:colOff>0</xdr:colOff>
      <xdr:row>23</xdr:row>
      <xdr:rowOff>0</xdr:rowOff>
    </xdr:to>
    <xdr:graphicFrame macro="">
      <xdr:nvGraphicFramePr>
        <xdr:cNvPr id="2" name="Chart">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4</xdr:row>
      <xdr:rowOff>0</xdr:rowOff>
    </xdr:from>
    <xdr:to>
      <xdr:col>13</xdr:col>
      <xdr:colOff>0</xdr:colOff>
      <xdr:row>15</xdr:row>
      <xdr:rowOff>0</xdr:rowOff>
    </xdr:to>
    <xdr:graphicFrame macro="">
      <xdr:nvGraphicFramePr>
        <xdr:cNvPr id="2" name="Chart">
          <a:extLst>
            <a:ext uri="{FF2B5EF4-FFF2-40B4-BE49-F238E27FC236}">
              <a16:creationId xmlns:a16="http://schemas.microsoft.com/office/drawing/2014/main" id="{00000000-0008-0000-1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0000000}" name="CurrentBacklogTable" displayName="CurrentBacklogTable" ref="A1:BB180" totalsRowShown="0">
  <autoFilter ref="A1:BB180" xr:uid="{00000000-0009-0000-0100-000017000000}">
    <filterColumn colId="0">
      <filters>
        <filter val="T-262"/>
      </filters>
    </filterColumn>
    <filterColumn colId="2">
      <filters>
        <filter val="P2"/>
      </filters>
    </filterColumn>
  </autoFilter>
  <tableColumns count="54">
    <tableColumn id="1" xr3:uid="{00000000-0010-0000-0000-000001000000}" name="Task Id"/>
    <tableColumn id="2" xr3:uid="{00000000-0010-0000-0000-000002000000}" name="Milestone Id"/>
    <tableColumn id="3" xr3:uid="{00000000-0010-0000-0000-000003000000}" name="Phase Id"/>
    <tableColumn id="4" xr3:uid="{00000000-0010-0000-0000-000004000000}" name="Task Name"/>
    <tableColumn id="5" xr3:uid="{00000000-0010-0000-0000-000005000000}" name="Module"/>
    <tableColumn id="6" xr3:uid="{00000000-0010-0000-0000-000006000000}" name="Sub-module"/>
    <tableColumn id="7" xr3:uid="{00000000-0010-0000-0000-000007000000}" name="Priority"/>
    <tableColumn id="8" xr3:uid="{00000000-0010-0000-0000-000008000000}" name="Task Description"/>
    <tableColumn id="9" xr3:uid="{00000000-0010-0000-0000-000009000000}" name="Task Validation"/>
    <tableColumn id="10" xr3:uid="{00000000-0010-0000-0000-00000A000000}" name="Hours"/>
    <tableColumn id="11" xr3:uid="{00000000-0010-0000-0000-00000B000000}" name="Status"/>
    <tableColumn id="12" xr3:uid="{00000000-0010-0000-0000-00000C000000}" name="AI Agent Owner"/>
    <tableColumn id="13" xr3:uid="{00000000-0010-0000-0000-00000D000000}" name="Depends On (IDs only)"/>
    <tableColumn id="14" xr3:uid="{00000000-0010-0000-0000-00000E000000}" name="Must Precede (IDs only)"/>
    <tableColumn id="15" xr3:uid="{00000000-0010-0000-0000-00000F000000}" name="Delivery Target"/>
    <tableColumn id="16" xr3:uid="{00000000-0010-0000-0000-000010000000}" name="Release Criticality"/>
    <tableColumn id="17" xr3:uid="{00000000-0010-0000-0000-000011000000}" name="AI Execution Class"/>
    <tableColumn id="18" xr3:uid="{00000000-0010-0000-0000-000012000000}" name="AI Guarded Time P80 (h)"/>
    <tableColumn id="19" xr3:uid="{00000000-0010-0000-0000-000013000000}" name="AI Sequence Wave"/>
    <tableColumn id="20" xr3:uid="{00000000-0010-0000-0000-000014000000}" name="AI Start / Dependency Gate"/>
    <tableColumn id="21" xr3:uid="{00000000-0010-0000-0000-000015000000}" name="File / Subsystem Lock"/>
    <tableColumn id="22" xr3:uid="{00000000-0010-0000-0000-000016000000}" name="No-Rework Handoff Ruling"/>
    <tableColumn id="23" xr3:uid="{00000000-0010-0000-0000-000017000000}" name="Product Track"/>
    <tableColumn id="24" xr3:uid="{00000000-0010-0000-0000-000018000000}" name="Tech-Lead Ruling"/>
    <tableColumn id="25" xr3:uid="{00000000-0010-0000-0000-000019000000}" name="Commit String"/>
    <tableColumn id="26" xr3:uid="{00000000-0010-0000-0000-00001A000000}" name="Commit Date"/>
    <tableColumn id="27" xr3:uid="{00000000-0010-0000-0000-00001B000000}" name="Primary Capability ID"/>
    <tableColumn id="28" xr3:uid="{00000000-0010-0000-0000-00001C000000}" name="Primary Capability Name"/>
    <tableColumn id="29" xr3:uid="{00000000-0010-0000-0000-00001D000000}" name="Secondary Capability IDs"/>
    <tableColumn id="30" xr3:uid="{00000000-0010-0000-0000-00001E000000}" name="Capability Contribution"/>
    <tableColumn id="31" xr3:uid="{00000000-0010-0000-0000-00001F000000}" name="Completeness Dimensions Targeted"/>
    <tableColumn id="32" xr3:uid="{00000000-0010-0000-0000-000020000000}" name="Capability Requirement Class"/>
    <tableColumn id="33" xr3:uid="{00000000-0010-0000-0000-000021000000}" name="Release Scope"/>
    <tableColumn id="34" xr3:uid="{00000000-0010-0000-0000-000022000000}" name="Capability Closure Effect"/>
    <tableColumn id="35" xr3:uid="{00000000-0010-0000-0000-000023000000}" name="Capability Evidence"/>
    <tableColumn id="36" xr3:uid="{00000000-0010-0000-0000-000024000000}" name="Estimate Basis"/>
    <tableColumn id="37" xr3:uid="{00000000-0010-0000-0000-000025000000}" name="Design Package"/>
    <tableColumn id="38" xr3:uid="{00000000-0010-0000-0000-000026000000}" name="UI Companion Reference"/>
    <tableColumn id="39" xr3:uid="{00000000-0010-0000-0000-000027000000}" name="Usable scope estimate (1/0)"/>
    <tableColumn id="40" xr3:uid="{00000000-0010-0000-0000-000028000000}" name="Contract-ready predecessors (not completion)"/>
    <tableColumn id="41" xr3:uid="{00000000-0010-0000-0000-000029000000}" name="Evidence State"/>
    <tableColumn id="42" xr3:uid="{00000000-0010-0000-0000-00002A000000}" name="Closure Evidence Basis"/>
    <tableColumn id="43" xr3:uid="{00000000-0010-0000-0000-00002B000000}" name="Parent Commit"/>
    <tableColumn id="44" xr3:uid="{00000000-0010-0000-0000-00002C000000}" name="Estimate Status"/>
    <tableColumn id="45" xr3:uid="{00000000-0010-0000-0000-00002D000000}" name="Usable planning hours"/>
    <tableColumn id="46" xr3:uid="{00000000-0010-0000-0000-00002E000000}" name="Usable planning P80 h"/>
    <tableColumn id="47" xr3:uid="{00000000-0010-0000-0000-00002F000000}" name="Source review coverage"/>
    <tableColumn id="48" xr3:uid="{00000000-0010-0000-0000-000030000000}" name="Proposed remaining LOW h"/>
    <tableColumn id="49" xr3:uid="{00000000-0010-0000-0000-000031000000}" name="Proposed remaining BASE h"/>
    <tableColumn id="50" xr3:uid="{00000000-0010-0000-0000-000032000000}" name="Proposed remaining HIGH h"/>
    <tableColumn id="51" xr3:uid="{00000000-0010-0000-0000-000033000000}" name="Remaining estimate confidence"/>
    <tableColumn id="52" xr3:uid="{00000000-0010-0000-0000-000034000000}" name="Remaining estimate basis"/>
    <tableColumn id="53" xr3:uid="{00000000-0010-0000-0000-000035000000}" name="Source locations"/>
    <tableColumn id="54" xr3:uid="{00000000-0010-0000-0000-000036000000}" name="Source as-of / evidence bounda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1000000}" name="ReleasePlanTable" displayName="ReleasePlanTable" ref="A3:L13" totalsRowShown="0">
  <tableColumns count="12">
    <tableColumn id="1" xr3:uid="{00000000-0010-0000-0100-000001000000}" name="Release"/>
    <tableColumn id="2" xr3:uid="{00000000-0010-0000-0100-000002000000}" name="Planning target"/>
    <tableColumn id="3" xr3:uid="{00000000-0010-0000-0100-000003000000}" name="Phase"/>
    <tableColumn id="4" xr3:uid="{00000000-0010-0000-0100-000004000000}" name="Outcome"/>
    <tableColumn id="5" xr3:uid="{00000000-0010-0000-0100-000005000000}" name="Active tasks"/>
    <tableColumn id="6" xr3:uid="{00000000-0010-0000-0100-000006000000}" name="Done"/>
    <tableColumn id="7" xr3:uid="{00000000-0010-0000-0100-000007000000}" name="Open"/>
    <tableColumn id="8" xr3:uid="{00000000-0010-0000-0100-000008000000}" name="In progress"/>
    <tableColumn id="9" xr3:uid="{00000000-0010-0000-0100-000009000000}" name="Known scope h"/>
    <tableColumn id="10" xr3:uid="{00000000-0010-0000-0100-00000A000000}" name="Known open h"/>
    <tableColumn id="11" xr3:uid="{00000000-0010-0000-0100-00000B000000}" name="Unestimated rows"/>
    <tableColumn id="12" xr3:uid="{00000000-0010-0000-0100-00000C000000}" name="Exit condi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2000000}" name="WorkerTrackTable" displayName="WorkerTrackTable" ref="A2:N181" totalsRowShown="0">
  <tableColumns count="14">
    <tableColumn id="1" xr3:uid="{00000000-0010-0000-0200-000001000000}" name="Owner"/>
    <tableColumn id="2" xr3:uid="{00000000-0010-0000-0200-000002000000}" name="Release"/>
    <tableColumn id="3" xr3:uid="{00000000-0010-0000-0200-000003000000}" name="Phase"/>
    <tableColumn id="4" xr3:uid="{00000000-0010-0000-0200-000004000000}" name="Task Id"/>
    <tableColumn id="5" xr3:uid="{00000000-0010-0000-0200-000005000000}" name="Task Name"/>
    <tableColumn id="6" xr3:uid="{00000000-0010-0000-0200-000006000000}" name="Status"/>
    <tableColumn id="7" xr3:uid="{00000000-0010-0000-0200-000007000000}" name="Known estimate h"/>
    <tableColumn id="8" xr3:uid="{00000000-0010-0000-0200-000008000000}" name="AI P80 h"/>
    <tableColumn id="9" xr3:uid="{00000000-0010-0000-0200-000009000000}" name="Depends On"/>
    <tableColumn id="10" xr3:uid="{00000000-0010-0000-0200-00000A000000}" name="Start/Gate"/>
    <tableColumn id="11" xr3:uid="{00000000-0010-0000-0200-00000B000000}" name="Lock"/>
    <tableColumn id="12" xr3:uid="{00000000-0010-0000-0200-00000C000000}" name="Handoff"/>
    <tableColumn id="13" xr3:uid="{00000000-0010-0000-0200-00000D000000}" name="Evidence state"/>
    <tableColumn id="14" xr3:uid="{00000000-0010-0000-0200-00000E000000}" name="Contract-ready predecessor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raceabilityTable" displayName="TraceabilityTable" ref="A3:J15" totalsRowShown="0">
  <tableColumns count="10">
    <tableColumn id="1" xr3:uid="{00000000-0010-0000-0300-000001000000}" name="Requirement family"/>
    <tableColumn id="2" xr3:uid="{00000000-0010-0000-0300-000002000000}" name="Design authority"/>
    <tableColumn id="3" xr3:uid="{00000000-0010-0000-0300-000003000000}" name="M2 Release 1"/>
    <tableColumn id="4" xr3:uid="{00000000-0010-0000-0300-000004000000}" name="M3 Release 2"/>
    <tableColumn id="5" xr3:uid="{00000000-0010-0000-0300-000005000000}" name="Primary tasks"/>
    <tableColumn id="6" xr3:uid="{00000000-0010-0000-0300-000006000000}" name="M2 acceptance"/>
    <tableColumn id="7" xr3:uid="{00000000-0010-0000-0300-000007000000}" name="M3 acceptance"/>
    <tableColumn id="8" xr3:uid="{00000000-0010-0000-0300-000008000000}" name="Customer use"/>
    <tableColumn id="9" xr3:uid="{00000000-0010-0000-0300-000009000000}" name="Mirror state"/>
    <tableColumn id="10" xr3:uid="{00000000-0010-0000-0300-00000A000000}" name="Rulin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DependencyTable" displayName="DependencyTable" ref="A1:J180" totalsRowShown="0">
  <tableColumns count="10">
    <tableColumn id="1" xr3:uid="{00000000-0010-0000-0400-000001000000}" name="Task Id"/>
    <tableColumn id="2" xr3:uid="{00000000-0010-0000-0400-000002000000}" name="Release"/>
    <tableColumn id="3" xr3:uid="{00000000-0010-0000-0400-000003000000}" name="Phase"/>
    <tableColumn id="4" xr3:uid="{00000000-0010-0000-0400-000004000000}" name="Owner"/>
    <tableColumn id="5" xr3:uid="{00000000-0010-0000-0400-000005000000}" name="Status"/>
    <tableColumn id="6" xr3:uid="{00000000-0010-0000-0400-000006000000}" name="AI P80 h"/>
    <tableColumn id="7" xr3:uid="{00000000-0010-0000-0400-000007000000}" name="Depends On"/>
    <tableColumn id="8" xr3:uid="{00000000-0010-0000-0400-000008000000}" name="Must Precede"/>
    <tableColumn id="9" xr3:uid="{00000000-0010-0000-0400-000009000000}" name="Gate"/>
    <tableColumn id="10" xr3:uid="{00000000-0010-0000-0400-00000A000000}" name="Contract-ready predecessor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riorBaselineTable" displayName="PriorBaselineTable" ref="A3:H88" totalsRowShown="0">
  <tableColumns count="8">
    <tableColumn id="1" xr3:uid="{00000000-0010-0000-0500-000001000000}" name="Task Id"/>
    <tableColumn id="2" xr3:uid="{00000000-0010-0000-0500-000002000000}" name="Task Name"/>
    <tableColumn id="3" xr3:uid="{00000000-0010-0000-0500-000003000000}" name="Historical status"/>
    <tableColumn id="4" xr3:uid="{00000000-0010-0000-0500-000004000000}" name="Hours"/>
    <tableColumn id="5" xr3:uid="{00000000-0010-0000-0500-000005000000}" name="Evidence / Commit"/>
    <tableColumn id="6" xr3:uid="{00000000-0010-0000-0500-000006000000}" name="Archive ruling"/>
    <tableColumn id="7" xr3:uid="{00000000-0010-0000-0500-000007000000}" name="Column1"/>
    <tableColumn id="8" xr3:uid="{00000000-0010-0000-0500-000008000000}" name="Column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CommitLedgerTable" displayName="CommitLedgerTable" ref="A1:I50" totalsRowShown="0">
  <tableColumns count="9">
    <tableColumn id="1" xr3:uid="{00000000-0010-0000-0600-000001000000}" name="Task ID"/>
    <tableColumn id="2" xr3:uid="{00000000-0010-0000-0600-000002000000}" name="Phase"/>
    <tableColumn id="3" xr3:uid="{00000000-0010-0000-0600-000003000000}" name="Worker"/>
    <tableColumn id="4" xr3:uid="{00000000-0010-0000-0600-000004000000}" name="Commit SHA(s) / Tag"/>
    <tableColumn id="5" xr3:uid="{00000000-0010-0000-0600-000005000000}" name="Commit Subject / Label"/>
    <tableColumn id="6" xr3:uid="{00000000-0010-0000-0600-000006000000}" name="Commit / Closure Date"/>
    <tableColumn id="7" xr3:uid="{00000000-0010-0000-0600-000007000000}" name="Date Basis"/>
    <tableColumn id="8" xr3:uid="{00000000-0010-0000-0600-000008000000}" name="Evidence Confidence"/>
    <tableColumn id="9" xr3:uid="{00000000-0010-0000-0600-000009000000}" name="Note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7000000}" name="UICoverageTable" displayName="UICoverageTable" ref="A1:K271" totalsRowShown="0">
  <tableColumns count="11">
    <tableColumn id="1" xr3:uid="{00000000-0010-0000-0700-000001000000}" name="Artifact ID"/>
    <tableColumn id="2" xr3:uid="{00000000-0010-0000-0700-000002000000}" name="Kind"/>
    <tableColumn id="3" xr3:uid="{00000000-0010-0000-0700-000003000000}" name="Name"/>
    <tableColumn id="4" xr3:uid="{00000000-0010-0000-0700-000004000000}" name="Release portion"/>
    <tableColumn id="5" xr3:uid="{00000000-0010-0000-0700-000005000000}" name="Design owner"/>
    <tableColumn id="6" xr3:uid="{00000000-0010-0000-0700-000006000000}" name="Runtime owner(s)"/>
    <tableColumn id="7" xr3:uid="{00000000-0010-0000-0700-000007000000}" name="Chapter / source"/>
    <tableColumn id="8" xr3:uid="{00000000-0010-0000-0700-000008000000}" name="Existing scene IDs"/>
    <tableColumn id="9" xr3:uid="{00000000-0010-0000-0700-000009000000}" name="Design state"/>
    <tableColumn id="10" xr3:uid="{00000000-0010-0000-0700-00000A000000}" name="Required correction / outcome"/>
    <tableColumn id="11" xr3:uid="{00000000-0010-0000-0700-00000B000000}" name="Citation statu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UIControlsTable" displayName="UIControlsTable" ref="A1:K271" totalsRowShown="0">
  <tableColumns count="11">
    <tableColumn id="1" xr3:uid="{00000000-0010-0000-0800-000001000000}" name="Control review ID"/>
    <tableColumn id="2" xr3:uid="{00000000-0010-0000-0800-000002000000}" name="Parent"/>
    <tableColumn id="3" xr3:uid="{00000000-0010-0000-0800-000003000000}" name="Chapter control text"/>
    <tableColumn id="4" xr3:uid="{00000000-0010-0000-0800-000004000000}" name="Type"/>
    <tableColumn id="5" xr3:uid="{00000000-0010-0000-0800-000005000000}" name="Position / reachability"/>
    <tableColumn id="6" xr3:uid="{00000000-0010-0000-0800-000006000000}" name="Enabled / condition"/>
    <tableColumn id="7" xr3:uid="{00000000-0010-0000-0800-000007000000}" name="Source"/>
    <tableColumn id="8" xr3:uid="{00000000-0010-0000-0800-000008000000}" name="Release portion"/>
    <tableColumn id="9" xr3:uid="{00000000-0010-0000-0800-000009000000}" name="Design owner"/>
    <tableColumn id="10" xr3:uid="{00000000-0010-0000-0800-00000A000000}" name="Trace state"/>
    <tableColumn id="11" xr3:uid="{00000000-0010-0000-0800-00000B000000}" name="Acceptance requiremen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9000000}" name="UIChangeTable" displayName="UIChangeTable" ref="A1:E29" totalsRowShown="0">
  <tableColumns count="5">
    <tableColumn id="1" xr3:uid="{00000000-0010-0000-0900-000001000000}" name="Task ID"/>
    <tableColumn id="2" xr3:uid="{00000000-0010-0000-0900-000002000000}" name="Field"/>
    <tableColumn id="3" xr3:uid="{00000000-0010-0000-0900-000003000000}" name="Before"/>
    <tableColumn id="4" xr3:uid="{00000000-0010-0000-0900-000004000000}" name="After"/>
    <tableColumn id="5" xr3:uid="{00000000-0010-0000-0900-000005000000}" name="Reaso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A000000}" name="TaskEvidence15Sep" displayName="TaskEvidence15Sep" ref="A1:L180" totalsRowShown="0">
  <tableColumns count="12">
    <tableColumn id="1" xr3:uid="{00000000-0010-0000-0A00-000001000000}" name="Task ID"/>
    <tableColumn id="2" xr3:uid="{00000000-0010-0000-0A00-000002000000}" name="Release / Phase"/>
    <tableColumn id="3" xr3:uid="{00000000-0010-0000-0A00-000003000000}" name="Current status"/>
    <tableColumn id="4" xr3:uid="{00000000-0010-0000-0A00-000004000000}" name="Evidence-review verdict"/>
    <tableColumn id="5" xr3:uid="{00000000-0010-0000-0A00-000005000000}" name="Recovered original delivery"/>
    <tableColumn id="6" xr3:uid="{00000000-0010-0000-0A00-000006000000}" name="Current scope conclusion"/>
    <tableColumn id="7" xr3:uid="{00000000-0010-0000-0A00-000007000000}" name="Recorded hours"/>
    <tableColumn id="8" xr3:uid="{00000000-0010-0000-0A00-000008000000}" name="Estimate state"/>
    <tableColumn id="9" xr3:uid="{00000000-0010-0000-0A00-000009000000}" name="Open completion predecessors"/>
    <tableColumn id="10" xr3:uid="{00000000-0010-0000-0A00-00000A000000}" name="Source / location"/>
    <tableColumn id="11" xr3:uid="{00000000-0010-0000-0A00-00000B000000}" name="Cell flags"/>
    <tableColumn id="12" xr3:uid="{00000000-0010-0000-0A00-00000C000000}" name="Next evidence / ac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B000000}" name="P2Evidence15Sep" displayName="P2Evidence15Sep" ref="A1:N35" totalsRowShown="0">
  <tableColumns count="14">
    <tableColumn id="1" xr3:uid="{00000000-0010-0000-0B00-000001000000}" name="Task ID"/>
    <tableColumn id="2" xr3:uid="{00000000-0010-0000-0B00-000002000000}" name="Task"/>
    <tableColumn id="3" xr3:uid="{00000000-0010-0000-0B00-000003000000}" name="Current status"/>
    <tableColumn id="4" xr3:uid="{00000000-0010-0000-0B00-000004000000}" name="Current implementation"/>
    <tableColumn id="5" xr3:uid="{00000000-0010-0000-0B00-000005000000}" name="Remaining work"/>
    <tableColumn id="6" xr3:uid="{00000000-0010-0000-0B00-000006000000}" name="Original scope hours"/>
    <tableColumn id="7" xr3:uid="{00000000-0010-0000-0B00-000007000000}" name="Remaining LOW h"/>
    <tableColumn id="8" xr3:uid="{00000000-0010-0000-0B00-000008000000}" name="Remaining BASE h"/>
    <tableColumn id="9" xr3:uid="{00000000-0010-0000-0B00-000009000000}" name="Remaining HIGH h"/>
    <tableColumn id="10" xr3:uid="{00000000-0010-0000-0B00-00000A000000}" name="Estimate confidence"/>
    <tableColumn id="11" xr3:uid="{00000000-0010-0000-0B00-00000B000000}" name="Original closure / later scope"/>
    <tableColumn id="12" xr3:uid="{00000000-0010-0000-0B00-00000C000000}" name="Source references"/>
    <tableColumn id="13" xr3:uid="{00000000-0010-0000-0B00-00000D000000}" name="Shared-work boundary"/>
    <tableColumn id="14" xr3:uid="{00000000-0010-0000-0B00-00000E000000}" name="Evidence limit"/>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C000000}" name="CellChanges15Sep" displayName="CellChanges15Sep" ref="A1:F2874" totalsRowShown="0">
  <tableColumns count="6">
    <tableColumn id="1" xr3:uid="{00000000-0010-0000-0C00-000001000000}" name="Worksheet"/>
    <tableColumn id="2" xr3:uid="{00000000-0010-0000-0C00-000002000000}" name="Cell/range"/>
    <tableColumn id="3" xr3:uid="{00000000-0010-0000-0C00-000003000000}" name="Before"/>
    <tableColumn id="4" xr3:uid="{00000000-0010-0000-0C00-000004000000}" name="After"/>
    <tableColumn id="5" xr3:uid="{00000000-0010-0000-0C00-000005000000}" name="Reason (net differences, not product findings)"/>
    <tableColumn id="6" xr3:uid="{00000000-0010-0000-0C00-000006000000}" name="Evidence/basi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D000000}" name="SourceReviewTasks" displayName="SourceReviewTasks" ref="A1:L52" totalsRowShown="0">
  <tableColumns count="12">
    <tableColumn id="1" xr3:uid="{00000000-0010-0000-0D00-000001000000}" name="Task ID"/>
    <tableColumn id="2" xr3:uid="{00000000-0010-0000-0D00-000002000000}" name="Source verdict"/>
    <tableColumn id="3" xr3:uid="{00000000-0010-0000-0D00-000003000000}" name="Current implementation"/>
    <tableColumn id="4" xr3:uid="{00000000-0010-0000-0D00-000004000000}" name="Remaining scope"/>
    <tableColumn id="5" xr3:uid="{00000000-0010-0000-0D00-000005000000}" name="Code evidence"/>
    <tableColumn id="6" xr3:uid="{00000000-0010-0000-0D00-000006000000}" name="Remaining low h"/>
    <tableColumn id="7" xr3:uid="{00000000-0010-0000-0D00-000007000000}" name="Remaining base h"/>
    <tableColumn id="8" xr3:uid="{00000000-0010-0000-0D00-000008000000}" name="Remaining high h"/>
    <tableColumn id="9" xr3:uid="{00000000-0010-0000-0D00-000009000000}" name="Estimate basis"/>
    <tableColumn id="10" xr3:uid="{00000000-0010-0000-0D00-00000A000000}" name="Risks / qualification"/>
    <tableColumn id="11" xr3:uid="{00000000-0010-0000-0D00-00000B000000}" name="Historical scope"/>
    <tableColumn id="12" xr3:uid="{00000000-0010-0000-0D00-00000C000000}" name="Ownership boundary"/>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E000000}" name="SourceEvidenceRows" displayName="SourceEvidenceRows" ref="A1:H130" totalsRowShown="0">
  <tableColumns count="8">
    <tableColumn id="1" xr3:uid="{00000000-0010-0000-0E00-000001000000}" name="Task ID"/>
    <tableColumn id="2" xr3:uid="{00000000-0010-0000-0E00-000002000000}" name="Repository path"/>
    <tableColumn id="3" xr3:uid="{00000000-0010-0000-0E00-000003000000}" name="Symbol"/>
    <tableColumn id="4" xr3:uid="{00000000-0010-0000-0E00-000004000000}" name="First line"/>
    <tableColumn id="5" xr3:uid="{00000000-0010-0000-0E00-000005000000}" name="Last line"/>
    <tableColumn id="6" xr3:uid="{00000000-0010-0000-0E00-000006000000}" name="Source excerpt"/>
    <tableColumn id="7" xr3:uid="{00000000-0010-0000-0E00-000007000000}" name="Export + recorded original SHA256"/>
    <tableColumn id="8" xr3:uid="{00000000-0010-0000-0E00-000008000000}" name="Evidence typ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workbookViewId="0">
      <selection sqref="A1:D1"/>
    </sheetView>
  </sheetViews>
  <sheetFormatPr defaultRowHeight="14.25"/>
  <cols>
    <col min="1" max="1" width="26" customWidth="1"/>
    <col min="2" max="4" width="42" customWidth="1"/>
    <col min="5" max="8" width="10" customWidth="1"/>
  </cols>
  <sheetData>
    <row r="1" spans="1:14" ht="32.1" customHeight="1">
      <c r="A1" s="96" t="s">
        <v>12457</v>
      </c>
      <c r="B1" s="96"/>
      <c r="C1" s="96"/>
      <c r="D1" s="96"/>
      <c r="E1" s="53"/>
      <c r="F1" s="53"/>
      <c r="G1" s="53"/>
      <c r="H1" s="53"/>
      <c r="I1" s="54"/>
      <c r="J1" s="54"/>
      <c r="K1" s="54"/>
      <c r="L1" s="54"/>
      <c r="M1" s="54"/>
      <c r="N1" s="54"/>
    </row>
    <row r="2" spans="1:14" ht="36" customHeight="1">
      <c r="A2" s="40" t="s">
        <v>0</v>
      </c>
      <c r="B2" s="40" t="s">
        <v>1</v>
      </c>
      <c r="C2" s="40" t="s">
        <v>2</v>
      </c>
      <c r="D2" s="40" t="s">
        <v>3</v>
      </c>
      <c r="E2" s="2"/>
      <c r="F2" s="2"/>
      <c r="G2" s="2"/>
      <c r="H2" s="2"/>
    </row>
    <row r="3" spans="1:14" ht="60" customHeight="1">
      <c r="A3" s="42" t="s">
        <v>12458</v>
      </c>
      <c r="B3" s="42" t="s">
        <v>12459</v>
      </c>
      <c r="C3" s="42" t="s">
        <v>12460</v>
      </c>
      <c r="D3" s="42" t="s">
        <v>12461</v>
      </c>
      <c r="E3" s="1"/>
      <c r="F3" s="1"/>
      <c r="G3" s="1"/>
      <c r="H3" s="1"/>
    </row>
    <row r="4" spans="1:14" ht="60" customHeight="1">
      <c r="A4" s="38" t="s">
        <v>12462</v>
      </c>
      <c r="B4" s="38" t="s">
        <v>12463</v>
      </c>
      <c r="C4" s="38" t="s">
        <v>12460</v>
      </c>
      <c r="D4" s="38" t="s">
        <v>12464</v>
      </c>
      <c r="E4" s="2"/>
      <c r="F4" s="2"/>
      <c r="G4" s="2"/>
      <c r="H4" s="2"/>
    </row>
    <row r="5" spans="1:14" ht="60" customHeight="1">
      <c r="A5" s="38" t="s">
        <v>12465</v>
      </c>
      <c r="B5" s="38" t="s">
        <v>12466</v>
      </c>
      <c r="C5" s="43" t="s">
        <v>12460</v>
      </c>
      <c r="D5" s="38" t="s">
        <v>12467</v>
      </c>
      <c r="E5" s="2"/>
      <c r="F5" s="2"/>
      <c r="G5" s="2"/>
      <c r="H5" s="2"/>
    </row>
    <row r="6" spans="1:14" ht="60" customHeight="1">
      <c r="A6" s="38" t="s">
        <v>4</v>
      </c>
      <c r="B6" s="38" t="s">
        <v>5</v>
      </c>
      <c r="C6" s="38" t="s">
        <v>6</v>
      </c>
      <c r="D6" s="38" t="s">
        <v>7</v>
      </c>
      <c r="E6" s="2"/>
      <c r="F6" s="2"/>
      <c r="G6" s="2"/>
      <c r="H6" s="2"/>
    </row>
    <row r="7" spans="1:14" ht="60" customHeight="1">
      <c r="A7" s="38" t="s">
        <v>8</v>
      </c>
      <c r="B7" s="38" t="s">
        <v>9</v>
      </c>
      <c r="C7" s="38" t="s">
        <v>6</v>
      </c>
      <c r="D7" s="38" t="s">
        <v>10</v>
      </c>
      <c r="E7" s="2"/>
      <c r="F7" s="2"/>
      <c r="G7" s="2"/>
      <c r="H7" s="2"/>
    </row>
    <row r="8" spans="1:14" ht="60" customHeight="1">
      <c r="A8" s="38" t="s">
        <v>12468</v>
      </c>
      <c r="B8" s="38" t="s">
        <v>12469</v>
      </c>
      <c r="C8" s="38" t="s">
        <v>12470</v>
      </c>
      <c r="D8" s="38" t="s">
        <v>12471</v>
      </c>
      <c r="E8" s="2"/>
      <c r="F8" s="2"/>
      <c r="G8" s="2"/>
      <c r="H8" s="2"/>
    </row>
    <row r="9" spans="1:14" ht="60" customHeight="1">
      <c r="A9" s="38" t="s">
        <v>11</v>
      </c>
      <c r="B9" s="38" t="s">
        <v>12</v>
      </c>
      <c r="C9" s="38" t="s">
        <v>13</v>
      </c>
      <c r="D9" s="38" t="s">
        <v>14</v>
      </c>
      <c r="E9" s="2"/>
      <c r="F9" s="2"/>
      <c r="G9" s="2"/>
      <c r="H9" s="2"/>
    </row>
    <row r="10" spans="1:14" ht="60" customHeight="1">
      <c r="A10" s="38" t="s">
        <v>15</v>
      </c>
      <c r="B10" s="38" t="s">
        <v>16</v>
      </c>
      <c r="C10" s="38" t="s">
        <v>17</v>
      </c>
      <c r="D10" s="38" t="s">
        <v>18</v>
      </c>
      <c r="E10" s="2"/>
      <c r="F10" s="2"/>
      <c r="G10" s="2"/>
      <c r="H10" s="2"/>
    </row>
    <row r="11" spans="1:14" ht="60" customHeight="1">
      <c r="A11" s="38" t="s">
        <v>12472</v>
      </c>
      <c r="B11" s="38" t="s">
        <v>12473</v>
      </c>
      <c r="C11" s="43" t="s">
        <v>12460</v>
      </c>
      <c r="D11" s="38" t="s">
        <v>12474</v>
      </c>
      <c r="E11" s="2"/>
      <c r="F11" s="2"/>
      <c r="G11" s="2"/>
      <c r="H11" s="2"/>
    </row>
    <row r="12" spans="1:14" ht="60" customHeight="1">
      <c r="A12" s="38" t="s">
        <v>12475</v>
      </c>
      <c r="B12" s="38" t="s">
        <v>12476</v>
      </c>
      <c r="C12" s="38" t="s">
        <v>12477</v>
      </c>
      <c r="D12" s="38" t="s">
        <v>12478</v>
      </c>
      <c r="E12" s="2"/>
      <c r="F12" s="2"/>
      <c r="G12" s="2"/>
      <c r="H12" s="2"/>
    </row>
    <row r="13" spans="1:14" ht="60" customHeight="1">
      <c r="A13" s="38" t="s">
        <v>12479</v>
      </c>
      <c r="B13" s="38" t="s">
        <v>12480</v>
      </c>
      <c r="C13" s="38" t="s">
        <v>12463</v>
      </c>
      <c r="D13" s="38" t="s">
        <v>12481</v>
      </c>
    </row>
    <row r="14" spans="1:14" ht="60" customHeight="1">
      <c r="A14" s="32" t="s">
        <v>19</v>
      </c>
      <c r="B14" s="32" t="s">
        <v>20</v>
      </c>
      <c r="C14" s="32" t="s">
        <v>21</v>
      </c>
      <c r="D14" s="32" t="s">
        <v>22</v>
      </c>
    </row>
    <row r="15" spans="1:14" ht="60" customHeight="1">
      <c r="A15" s="32" t="s">
        <v>12482</v>
      </c>
      <c r="B15" s="32" t="s">
        <v>12483</v>
      </c>
      <c r="C15" s="32" t="s">
        <v>12460</v>
      </c>
      <c r="D15" s="32" t="s">
        <v>12484</v>
      </c>
    </row>
    <row r="16" spans="1:14" ht="60" customHeight="1"/>
    <row r="17" spans="1:4">
      <c r="A17" t="s">
        <v>23</v>
      </c>
      <c r="B17" t="s">
        <v>24</v>
      </c>
      <c r="C17" t="s">
        <v>21</v>
      </c>
      <c r="D17" t="s">
        <v>25</v>
      </c>
    </row>
    <row r="19" spans="1:4" ht="68.099999999999994" customHeight="1">
      <c r="A19" s="2" t="s">
        <v>26</v>
      </c>
      <c r="B19" s="2" t="s">
        <v>27</v>
      </c>
      <c r="C19" s="2" t="s">
        <v>28</v>
      </c>
      <c r="D19" s="2" t="s">
        <v>29</v>
      </c>
    </row>
    <row r="20" spans="1:4" ht="68.099999999999994" customHeight="1">
      <c r="A20" s="2" t="s">
        <v>30</v>
      </c>
      <c r="B20" s="2" t="s">
        <v>31</v>
      </c>
      <c r="C20" s="2" t="s">
        <v>32</v>
      </c>
      <c r="D20" s="2" t="s">
        <v>33</v>
      </c>
    </row>
    <row r="21" spans="1:4" ht="68.099999999999994" customHeight="1">
      <c r="A21" s="2" t="s">
        <v>34</v>
      </c>
      <c r="B21" s="2" t="s">
        <v>35</v>
      </c>
      <c r="C21" s="2" t="s">
        <v>36</v>
      </c>
      <c r="D21" s="2" t="s">
        <v>37</v>
      </c>
    </row>
    <row r="22" spans="1:4" ht="68.099999999999994" customHeight="1">
      <c r="A22" s="2" t="s">
        <v>38</v>
      </c>
      <c r="B22" s="2" t="s">
        <v>39</v>
      </c>
      <c r="C22" s="2" t="s">
        <v>40</v>
      </c>
      <c r="D22" s="2" t="s">
        <v>41</v>
      </c>
    </row>
    <row r="23" spans="1:4" ht="68.099999999999994" customHeight="1">
      <c r="A23" s="2" t="s">
        <v>42</v>
      </c>
      <c r="B23" s="2" t="s">
        <v>43</v>
      </c>
      <c r="C23" s="2" t="s">
        <v>44</v>
      </c>
      <c r="D23" s="2" t="s">
        <v>45</v>
      </c>
    </row>
    <row r="24" spans="1:4" ht="68.099999999999994" customHeight="1">
      <c r="A24" s="2" t="s">
        <v>46</v>
      </c>
      <c r="B24" s="2" t="s">
        <v>47</v>
      </c>
      <c r="C24" s="2" t="s">
        <v>32</v>
      </c>
      <c r="D24" s="2" t="s">
        <v>48</v>
      </c>
    </row>
    <row r="31" spans="1:4" ht="68.099999999999994" customHeight="1">
      <c r="A31" s="2" t="s">
        <v>49</v>
      </c>
      <c r="B31" s="2" t="s">
        <v>50</v>
      </c>
      <c r="C31" s="2" t="s">
        <v>51</v>
      </c>
      <c r="D31" s="2" t="s">
        <v>52</v>
      </c>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188"/>
  <sheetViews>
    <sheetView tabSelected="1" topLeftCell="H1" workbookViewId="0">
      <selection activeCell="K181" sqref="K181"/>
    </sheetView>
  </sheetViews>
  <sheetFormatPr defaultRowHeight="14.25"/>
  <cols>
    <col min="1" max="2" width="11" customWidth="1"/>
    <col min="3" max="3" width="10" customWidth="1"/>
    <col min="4" max="4" width="36" customWidth="1"/>
    <col min="5" max="6" width="18" customWidth="1"/>
    <col min="7" max="7" width="14" customWidth="1"/>
    <col min="8" max="9" width="64" customWidth="1"/>
    <col min="10" max="10" width="9.875" customWidth="1"/>
    <col min="11" max="12" width="17" customWidth="1"/>
    <col min="13" max="14" width="36" customWidth="1"/>
    <col min="15" max="15" width="32" customWidth="1"/>
    <col min="16" max="16" width="22" customWidth="1"/>
    <col min="17" max="17" width="24" customWidth="1"/>
    <col min="18" max="18" width="13" customWidth="1"/>
    <col min="19" max="19" width="12" customWidth="1"/>
    <col min="20" max="20" width="40" customWidth="1"/>
    <col min="21" max="22" width="35" customWidth="1"/>
    <col min="23" max="23" width="48" customWidth="1"/>
    <col min="24" max="24" width="35" customWidth="1"/>
    <col min="25" max="25" width="62" customWidth="1"/>
    <col min="26" max="26" width="15" customWidth="1"/>
    <col min="27" max="27" width="19" customWidth="1"/>
    <col min="28" max="28" width="38" customWidth="1"/>
    <col min="29" max="29" width="26" customWidth="1"/>
    <col min="30" max="30" width="18" customWidth="1"/>
    <col min="31" max="31" width="23" customWidth="1"/>
    <col min="32" max="32" width="17" customWidth="1"/>
    <col min="33" max="33" width="12" customWidth="1"/>
    <col min="34" max="34" width="20" customWidth="1"/>
    <col min="35" max="35" width="40" customWidth="1"/>
    <col min="36" max="36" width="32" customWidth="1"/>
    <col min="37" max="37" width="15" customWidth="1"/>
    <col min="38" max="38" width="37" customWidth="1"/>
    <col min="40" max="40" width="36" customWidth="1"/>
    <col min="41" max="44" width="34" customWidth="1"/>
    <col min="45" max="46" width="18" customWidth="1"/>
    <col min="47" max="47" width="34" customWidth="1"/>
    <col min="48" max="50" width="14" customWidth="1"/>
    <col min="51" max="54" width="38" customWidth="1"/>
  </cols>
  <sheetData>
    <row r="1" spans="1:54" ht="44.1" customHeight="1">
      <c r="A1" s="30" t="s">
        <v>53</v>
      </c>
      <c r="B1" s="30" t="s">
        <v>54</v>
      </c>
      <c r="C1" s="30" t="s">
        <v>55</v>
      </c>
      <c r="D1" s="30" t="s">
        <v>56</v>
      </c>
      <c r="E1" s="30" t="s">
        <v>57</v>
      </c>
      <c r="F1" s="30" t="s">
        <v>58</v>
      </c>
      <c r="G1" s="30" t="s">
        <v>59</v>
      </c>
      <c r="H1" s="30" t="s">
        <v>60</v>
      </c>
      <c r="I1" s="30" t="s">
        <v>61</v>
      </c>
      <c r="J1" s="30" t="s">
        <v>62</v>
      </c>
      <c r="K1" s="30" t="s">
        <v>63</v>
      </c>
      <c r="L1" s="30" t="s">
        <v>64</v>
      </c>
      <c r="M1" s="30" t="s">
        <v>65</v>
      </c>
      <c r="N1" s="30" t="s">
        <v>66</v>
      </c>
      <c r="O1" s="30" t="s">
        <v>67</v>
      </c>
      <c r="P1" s="30" t="s">
        <v>68</v>
      </c>
      <c r="Q1" s="30" t="s">
        <v>69</v>
      </c>
      <c r="R1" s="30" t="s">
        <v>70</v>
      </c>
      <c r="S1" s="30" t="s">
        <v>71</v>
      </c>
      <c r="T1" s="30" t="s">
        <v>72</v>
      </c>
      <c r="U1" s="30" t="s">
        <v>73</v>
      </c>
      <c r="V1" s="30" t="s">
        <v>74</v>
      </c>
      <c r="W1" s="30" t="s">
        <v>75</v>
      </c>
      <c r="X1" s="30" t="s">
        <v>76</v>
      </c>
      <c r="Y1" s="30" t="s">
        <v>77</v>
      </c>
      <c r="Z1" s="30" t="s">
        <v>78</v>
      </c>
      <c r="AA1" s="31" t="s">
        <v>79</v>
      </c>
      <c r="AB1" s="31" t="s">
        <v>80</v>
      </c>
      <c r="AC1" s="31" t="s">
        <v>81</v>
      </c>
      <c r="AD1" s="31" t="s">
        <v>82</v>
      </c>
      <c r="AE1" s="31" t="s">
        <v>83</v>
      </c>
      <c r="AF1" s="31" t="s">
        <v>84</v>
      </c>
      <c r="AG1" s="31" t="s">
        <v>85</v>
      </c>
      <c r="AH1" s="31" t="s">
        <v>86</v>
      </c>
      <c r="AI1" s="31" t="s">
        <v>87</v>
      </c>
      <c r="AJ1" s="31" t="s">
        <v>88</v>
      </c>
      <c r="AK1" s="31" t="s">
        <v>89</v>
      </c>
      <c r="AL1" s="31" t="s">
        <v>90</v>
      </c>
      <c r="AM1" s="31" t="s">
        <v>91</v>
      </c>
      <c r="AN1" s="31" t="s">
        <v>92</v>
      </c>
      <c r="AO1" s="31" t="s">
        <v>93</v>
      </c>
      <c r="AP1" s="31" t="s">
        <v>94</v>
      </c>
      <c r="AQ1" s="31" t="s">
        <v>95</v>
      </c>
      <c r="AR1" s="31" t="s">
        <v>96</v>
      </c>
      <c r="AS1" s="68" t="s">
        <v>97</v>
      </c>
      <c r="AT1" s="68" t="s">
        <v>98</v>
      </c>
      <c r="AU1" s="87" t="s">
        <v>99</v>
      </c>
      <c r="AV1" s="87" t="s">
        <v>100</v>
      </c>
      <c r="AW1" s="87" t="s">
        <v>101</v>
      </c>
      <c r="AX1" s="87" t="s">
        <v>102</v>
      </c>
      <c r="AY1" s="87" t="s">
        <v>103</v>
      </c>
      <c r="AZ1" s="87" t="s">
        <v>104</v>
      </c>
      <c r="BA1" s="87" t="s">
        <v>105</v>
      </c>
      <c r="BB1" s="87" t="s">
        <v>106</v>
      </c>
    </row>
    <row r="2" spans="1:54" ht="75.95" hidden="1" customHeight="1">
      <c r="A2" s="4" t="s">
        <v>107</v>
      </c>
      <c r="B2" s="4" t="s">
        <v>108</v>
      </c>
      <c r="C2" s="4" t="s">
        <v>109</v>
      </c>
      <c r="D2" s="4" t="s">
        <v>110</v>
      </c>
      <c r="E2" s="4" t="s">
        <v>111</v>
      </c>
      <c r="F2" s="4" t="s">
        <v>112</v>
      </c>
      <c r="G2" s="4" t="s">
        <v>113</v>
      </c>
      <c r="H2" s="4" t="s">
        <v>114</v>
      </c>
      <c r="I2" s="4" t="s">
        <v>115</v>
      </c>
      <c r="J2" s="64">
        <v>8</v>
      </c>
      <c r="K2" s="94" t="s">
        <v>116</v>
      </c>
      <c r="L2" s="4" t="s">
        <v>117</v>
      </c>
      <c r="M2" s="2" t="s">
        <v>118</v>
      </c>
      <c r="N2" s="2" t="s">
        <v>119</v>
      </c>
      <c r="O2" s="2" t="s">
        <v>120</v>
      </c>
      <c r="P2" s="2" t="s">
        <v>121</v>
      </c>
      <c r="Q2" s="2" t="s">
        <v>122</v>
      </c>
      <c r="R2" s="65">
        <v>2.72</v>
      </c>
      <c r="S2" s="2" t="s">
        <v>123</v>
      </c>
      <c r="T2" s="2" t="s">
        <v>124</v>
      </c>
      <c r="U2" s="2" t="s">
        <v>125</v>
      </c>
      <c r="V2" s="2" t="s">
        <v>126</v>
      </c>
      <c r="W2" s="2" t="s">
        <v>127</v>
      </c>
      <c r="X2" s="2" t="s">
        <v>128</v>
      </c>
      <c r="Y2" s="33" t="s">
        <v>129</v>
      </c>
      <c r="Z2" s="9">
        <v>46259</v>
      </c>
      <c r="AA2" s="2" t="s">
        <v>130</v>
      </c>
      <c r="AB2" s="2" t="s">
        <v>131</v>
      </c>
      <c r="AC2" s="2"/>
      <c r="AD2" s="2" t="s">
        <v>132</v>
      </c>
      <c r="AE2" s="2" t="s">
        <v>133</v>
      </c>
      <c r="AF2" s="2" t="s">
        <v>134</v>
      </c>
      <c r="AG2" s="2" t="s">
        <v>135</v>
      </c>
      <c r="AH2" s="2" t="s">
        <v>136</v>
      </c>
      <c r="AI2" s="2" t="str">
        <f t="shared" ref="AI2:AI33" si="0">IF(Y2="","",Y2)</f>
        <v>77a8ea4f — T-086: freeze the legacy regression oracle and gate generic surfaces against its vocabulary</v>
      </c>
      <c r="AJ2" s="2" t="s">
        <v>137</v>
      </c>
      <c r="AK2" s="2" t="s">
        <v>138</v>
      </c>
      <c r="AL2" s="2" t="s">
        <v>139</v>
      </c>
      <c r="AM2" s="2">
        <f t="shared" ref="AM2:AM33" si="1">IF(AND(ISNUMBER(J2),OR(AR2="INHERITED ESTIMATE",AR2="CONFIRMED ESTIMATE")),1,0)</f>
        <v>1</v>
      </c>
      <c r="AN2" s="2"/>
      <c r="AO2" s="32" t="s">
        <v>140</v>
      </c>
      <c r="AP2" s="32" t="s">
        <v>141</v>
      </c>
      <c r="AQ2" s="32"/>
      <c r="AR2" s="32" t="s">
        <v>142</v>
      </c>
      <c r="AS2" s="65">
        <f t="shared" ref="AS2:AS33" si="2">IF(AM2=1,J2,"")</f>
        <v>8</v>
      </c>
      <c r="AT2" s="65">
        <f t="shared" ref="AT2:AT33" si="3">IF(AND(AM2=1,ISNUMBER(R2)),R2,"")</f>
        <v>2.72</v>
      </c>
      <c r="AU2" s="2" t="str">
        <f>IFERROR(INDEX('Source Review'!$B$2:$B$52,MATCH($A2,'Source Review'!$A$2:$A$52,0)),"NOT SOURCE-REVIEWED IN THIS PASS")</f>
        <v>NOT SOURCE-REVIEWED IN THIS PASS</v>
      </c>
      <c r="AV2" s="5" t="str">
        <f>IFERROR(INDEX('Source Review'!$F$2:$F$52,MATCH($A2,'Source Review'!$A$2:$A$52,0)),"")</f>
        <v/>
      </c>
      <c r="AW2" s="5" t="str">
        <f>IFERROR(INDEX('Source Review'!$G$2:$G$52,MATCH($A2,'Source Review'!$A$2:$A$52,0)),"")</f>
        <v/>
      </c>
      <c r="AX2" s="5" t="str">
        <f>IFERROR(INDEX('Source Review'!$H$2:$H$52,MATCH($A2,'Source Review'!$A$2:$A$52,0)),"")</f>
        <v/>
      </c>
      <c r="AY2" s="2" t="str">
        <f>IF(COUNTIF('Source Review'!$A$2:$A$52,$A2)&gt;0,"UNCONFIRMED REVIEW ESTIMATE - not P80 or elapsed","NOT ESTIMATED IN THIS PASS")</f>
        <v>NOT ESTIMATED IN THIS PASS</v>
      </c>
      <c r="AZ2" s="2" t="str">
        <f>IFERROR(INDEX('Source Review'!$I$2:$I$52,MATCH($A2,'Source Review'!$A$2:$A$52,0)),"")</f>
        <v/>
      </c>
      <c r="BA2" s="2" t="str">
        <f>IFERROR(INDEX('Source Review'!$E$2:$E$52,MATCH($A2,'Source Review'!$A$2:$A$52,0)),"")</f>
        <v/>
      </c>
      <c r="BB2" s="2" t="str">
        <f>IF(COUNTIF('Source Review'!$A$2:$A$52,$A2)&gt;0,"14-Sep-2026 snapshot; later closure evidence separate; no live HEAD verification","")</f>
        <v/>
      </c>
    </row>
    <row r="3" spans="1:54" ht="75.95" hidden="1" customHeight="1">
      <c r="A3" s="4" t="s">
        <v>143</v>
      </c>
      <c r="B3" s="4" t="s">
        <v>108</v>
      </c>
      <c r="C3" s="4" t="s">
        <v>109</v>
      </c>
      <c r="D3" s="4" t="s">
        <v>144</v>
      </c>
      <c r="E3" s="4" t="s">
        <v>145</v>
      </c>
      <c r="F3" s="4" t="s">
        <v>146</v>
      </c>
      <c r="G3" s="4" t="s">
        <v>113</v>
      </c>
      <c r="H3" s="4" t="s">
        <v>147</v>
      </c>
      <c r="I3" s="4" t="s">
        <v>148</v>
      </c>
      <c r="J3" s="64">
        <v>12</v>
      </c>
      <c r="K3" s="94" t="s">
        <v>116</v>
      </c>
      <c r="L3" s="4" t="s">
        <v>117</v>
      </c>
      <c r="M3" s="2" t="s">
        <v>149</v>
      </c>
      <c r="N3" s="2" t="s">
        <v>150</v>
      </c>
      <c r="O3" s="2" t="s">
        <v>120</v>
      </c>
      <c r="P3" s="2" t="s">
        <v>121</v>
      </c>
      <c r="Q3" s="2" t="s">
        <v>151</v>
      </c>
      <c r="R3" s="65">
        <v>2.3250000000000002</v>
      </c>
      <c r="S3" s="2" t="s">
        <v>123</v>
      </c>
      <c r="T3" s="2" t="s">
        <v>124</v>
      </c>
      <c r="U3" s="2" t="s">
        <v>125</v>
      </c>
      <c r="V3" s="2" t="s">
        <v>126</v>
      </c>
      <c r="W3" s="2" t="s">
        <v>127</v>
      </c>
      <c r="X3" s="2" t="s">
        <v>128</v>
      </c>
      <c r="Y3" s="33" t="s">
        <v>152</v>
      </c>
      <c r="Z3" s="9">
        <v>46262</v>
      </c>
      <c r="AA3" s="2" t="s">
        <v>153</v>
      </c>
      <c r="AB3" s="2" t="s">
        <v>154</v>
      </c>
      <c r="AC3" s="2" t="s">
        <v>155</v>
      </c>
      <c r="AD3" s="2" t="s">
        <v>156</v>
      </c>
      <c r="AE3" s="2" t="s">
        <v>157</v>
      </c>
      <c r="AF3" s="2" t="s">
        <v>134</v>
      </c>
      <c r="AG3" s="2" t="s">
        <v>135</v>
      </c>
      <c r="AH3" s="2" t="s">
        <v>136</v>
      </c>
      <c r="AI3" s="2" t="str">
        <f t="shared" si="0"/>
        <v>e7d82f078d7dfa4c1ca4ec6e88d0dbc7e1ecd6ba — subject not recovered</v>
      </c>
      <c r="AJ3" s="2" t="s">
        <v>137</v>
      </c>
      <c r="AK3" s="2" t="s">
        <v>138</v>
      </c>
      <c r="AL3" s="2" t="s">
        <v>139</v>
      </c>
      <c r="AM3" s="2">
        <f t="shared" si="1"/>
        <v>1</v>
      </c>
      <c r="AN3" s="2"/>
      <c r="AO3" s="32" t="s">
        <v>140</v>
      </c>
      <c r="AP3" s="32" t="s">
        <v>141</v>
      </c>
      <c r="AQ3" s="32"/>
      <c r="AR3" s="32" t="s">
        <v>142</v>
      </c>
      <c r="AS3" s="65">
        <f t="shared" si="2"/>
        <v>12</v>
      </c>
      <c r="AT3" s="65">
        <f t="shared" si="3"/>
        <v>2.3250000000000002</v>
      </c>
      <c r="AU3" s="2" t="str">
        <f>IFERROR(INDEX('Source Review'!$B$2:$B$52,MATCH($A3,'Source Review'!$A$2:$A$52,0)),"NOT SOURCE-REVIEWED IN THIS PASS")</f>
        <v>NOT SOURCE-REVIEWED IN THIS PASS</v>
      </c>
      <c r="AV3" s="5" t="str">
        <f>IFERROR(INDEX('Source Review'!$F$2:$F$52,MATCH($A3,'Source Review'!$A$2:$A$52,0)),"")</f>
        <v/>
      </c>
      <c r="AW3" s="5" t="str">
        <f>IFERROR(INDEX('Source Review'!$G$2:$G$52,MATCH($A3,'Source Review'!$A$2:$A$52,0)),"")</f>
        <v/>
      </c>
      <c r="AX3" s="5" t="str">
        <f>IFERROR(INDEX('Source Review'!$H$2:$H$52,MATCH($A3,'Source Review'!$A$2:$A$52,0)),"")</f>
        <v/>
      </c>
      <c r="AY3" s="2" t="str">
        <f>IF(COUNTIF('Source Review'!$A$2:$A$52,$A3)&gt;0,"UNCONFIRMED REVIEW ESTIMATE - not P80 or elapsed","NOT ESTIMATED IN THIS PASS")</f>
        <v>NOT ESTIMATED IN THIS PASS</v>
      </c>
      <c r="AZ3" s="2" t="str">
        <f>IFERROR(INDEX('Source Review'!$I$2:$I$52,MATCH($A3,'Source Review'!$A$2:$A$52,0)),"")</f>
        <v/>
      </c>
      <c r="BA3" s="2" t="str">
        <f>IFERROR(INDEX('Source Review'!$E$2:$E$52,MATCH($A3,'Source Review'!$A$2:$A$52,0)),"")</f>
        <v/>
      </c>
      <c r="BB3" s="2" t="str">
        <f>IF(COUNTIF('Source Review'!$A$2:$A$52,$A3)&gt;0,"14-Sep-2026 snapshot; later closure evidence separate; no live HEAD verification","")</f>
        <v/>
      </c>
    </row>
    <row r="4" spans="1:54" ht="75.95" hidden="1" customHeight="1">
      <c r="A4" s="4" t="s">
        <v>158</v>
      </c>
      <c r="B4" s="4" t="s">
        <v>108</v>
      </c>
      <c r="C4" s="4" t="s">
        <v>109</v>
      </c>
      <c r="D4" s="4" t="s">
        <v>159</v>
      </c>
      <c r="E4" s="4" t="s">
        <v>145</v>
      </c>
      <c r="F4" s="4" t="s">
        <v>146</v>
      </c>
      <c r="G4" s="4" t="s">
        <v>160</v>
      </c>
      <c r="H4" s="4" t="s">
        <v>161</v>
      </c>
      <c r="I4" s="4" t="s">
        <v>162</v>
      </c>
      <c r="J4" s="64">
        <v>12</v>
      </c>
      <c r="K4" s="94" t="s">
        <v>116</v>
      </c>
      <c r="L4" s="4" t="s">
        <v>117</v>
      </c>
      <c r="M4" s="2" t="s">
        <v>107</v>
      </c>
      <c r="N4" s="2" t="s">
        <v>163</v>
      </c>
      <c r="O4" s="2" t="s">
        <v>120</v>
      </c>
      <c r="P4" s="2" t="s">
        <v>121</v>
      </c>
      <c r="Q4" s="2" t="s">
        <v>151</v>
      </c>
      <c r="R4" s="65">
        <v>2.3250000000000002</v>
      </c>
      <c r="S4" s="2" t="s">
        <v>123</v>
      </c>
      <c r="T4" s="2" t="s">
        <v>124</v>
      </c>
      <c r="U4" s="2" t="s">
        <v>125</v>
      </c>
      <c r="V4" s="2" t="s">
        <v>126</v>
      </c>
      <c r="W4" s="2" t="s">
        <v>127</v>
      </c>
      <c r="X4" s="2" t="s">
        <v>128</v>
      </c>
      <c r="Y4" s="33" t="s">
        <v>164</v>
      </c>
      <c r="Z4" s="9">
        <v>46260</v>
      </c>
      <c r="AA4" s="2" t="s">
        <v>165</v>
      </c>
      <c r="AB4" s="2" t="s">
        <v>166</v>
      </c>
      <c r="AC4" s="2" t="s">
        <v>167</v>
      </c>
      <c r="AD4" s="2" t="s">
        <v>156</v>
      </c>
      <c r="AE4" s="2" t="s">
        <v>157</v>
      </c>
      <c r="AF4" s="2" t="s">
        <v>134</v>
      </c>
      <c r="AG4" s="2" t="s">
        <v>135</v>
      </c>
      <c r="AH4" s="2" t="s">
        <v>136</v>
      </c>
      <c r="AI4" s="2" t="str">
        <f t="shared" si="0"/>
        <v>6a62c9d6 — Establish canonical database migration authority</v>
      </c>
      <c r="AJ4" s="2" t="s">
        <v>137</v>
      </c>
      <c r="AK4" s="2" t="s">
        <v>138</v>
      </c>
      <c r="AL4" s="2" t="s">
        <v>139</v>
      </c>
      <c r="AM4" s="2">
        <f t="shared" si="1"/>
        <v>1</v>
      </c>
      <c r="AN4" s="2"/>
      <c r="AO4" s="32" t="s">
        <v>140</v>
      </c>
      <c r="AP4" s="32" t="s">
        <v>141</v>
      </c>
      <c r="AQ4" s="32"/>
      <c r="AR4" s="32" t="s">
        <v>142</v>
      </c>
      <c r="AS4" s="65">
        <f t="shared" si="2"/>
        <v>12</v>
      </c>
      <c r="AT4" s="65">
        <f t="shared" si="3"/>
        <v>2.3250000000000002</v>
      </c>
      <c r="AU4" s="2" t="str">
        <f>IFERROR(INDEX('Source Review'!$B$2:$B$52,MATCH($A4,'Source Review'!$A$2:$A$52,0)),"NOT SOURCE-REVIEWED IN THIS PASS")</f>
        <v>NOT SOURCE-REVIEWED IN THIS PASS</v>
      </c>
      <c r="AV4" s="5" t="str">
        <f>IFERROR(INDEX('Source Review'!$F$2:$F$52,MATCH($A4,'Source Review'!$A$2:$A$52,0)),"")</f>
        <v/>
      </c>
      <c r="AW4" s="5" t="str">
        <f>IFERROR(INDEX('Source Review'!$G$2:$G$52,MATCH($A4,'Source Review'!$A$2:$A$52,0)),"")</f>
        <v/>
      </c>
      <c r="AX4" s="5" t="str">
        <f>IFERROR(INDEX('Source Review'!$H$2:$H$52,MATCH($A4,'Source Review'!$A$2:$A$52,0)),"")</f>
        <v/>
      </c>
      <c r="AY4" s="2" t="str">
        <f>IF(COUNTIF('Source Review'!$A$2:$A$52,$A4)&gt;0,"UNCONFIRMED REVIEW ESTIMATE - not P80 or elapsed","NOT ESTIMATED IN THIS PASS")</f>
        <v>NOT ESTIMATED IN THIS PASS</v>
      </c>
      <c r="AZ4" s="2" t="str">
        <f>IFERROR(INDEX('Source Review'!$I$2:$I$52,MATCH($A4,'Source Review'!$A$2:$A$52,0)),"")</f>
        <v/>
      </c>
      <c r="BA4" s="2" t="str">
        <f>IFERROR(INDEX('Source Review'!$E$2:$E$52,MATCH($A4,'Source Review'!$A$2:$A$52,0)),"")</f>
        <v/>
      </c>
      <c r="BB4" s="2" t="str">
        <f>IF(COUNTIF('Source Review'!$A$2:$A$52,$A4)&gt;0,"14-Sep-2026 snapshot; later closure evidence separate; no live HEAD verification","")</f>
        <v/>
      </c>
    </row>
    <row r="5" spans="1:54" ht="75.95" hidden="1" customHeight="1">
      <c r="A5" s="4" t="s">
        <v>168</v>
      </c>
      <c r="B5" s="4" t="s">
        <v>108</v>
      </c>
      <c r="C5" s="4" t="s">
        <v>109</v>
      </c>
      <c r="D5" s="4" t="s">
        <v>169</v>
      </c>
      <c r="E5" s="4" t="s">
        <v>145</v>
      </c>
      <c r="F5" s="4" t="s">
        <v>170</v>
      </c>
      <c r="G5" s="4" t="s">
        <v>113</v>
      </c>
      <c r="H5" s="4" t="s">
        <v>171</v>
      </c>
      <c r="I5" s="4" t="s">
        <v>172</v>
      </c>
      <c r="J5" s="64">
        <v>12</v>
      </c>
      <c r="K5" s="94" t="s">
        <v>116</v>
      </c>
      <c r="L5" s="4" t="s">
        <v>117</v>
      </c>
      <c r="M5" s="2" t="s">
        <v>173</v>
      </c>
      <c r="N5" s="2" t="s">
        <v>174</v>
      </c>
      <c r="O5" s="2" t="s">
        <v>120</v>
      </c>
      <c r="P5" s="2" t="s">
        <v>121</v>
      </c>
      <c r="Q5" s="2" t="s">
        <v>151</v>
      </c>
      <c r="R5" s="65">
        <v>2.3250000000000002</v>
      </c>
      <c r="S5" s="2" t="s">
        <v>123</v>
      </c>
      <c r="T5" s="2" t="s">
        <v>124</v>
      </c>
      <c r="U5" s="2" t="s">
        <v>125</v>
      </c>
      <c r="V5" s="2" t="s">
        <v>126</v>
      </c>
      <c r="W5" s="2" t="s">
        <v>127</v>
      </c>
      <c r="X5" s="2" t="s">
        <v>128</v>
      </c>
      <c r="Y5" s="33" t="s">
        <v>175</v>
      </c>
      <c r="Z5" s="9"/>
      <c r="AA5" s="2" t="s">
        <v>176</v>
      </c>
      <c r="AB5" s="2" t="s">
        <v>177</v>
      </c>
      <c r="AC5" s="2" t="s">
        <v>178</v>
      </c>
      <c r="AD5" s="2" t="s">
        <v>179</v>
      </c>
      <c r="AE5" s="2" t="s">
        <v>157</v>
      </c>
      <c r="AF5" s="2" t="s">
        <v>134</v>
      </c>
      <c r="AG5" s="2" t="s">
        <v>135</v>
      </c>
      <c r="AH5" s="2" t="s">
        <v>136</v>
      </c>
      <c r="AI5" s="2" t="str">
        <f t="shared" si="0"/>
        <v>0fd79e5e3516cdfd0ab5a73a02e16638fd02693a — subject not recovered</v>
      </c>
      <c r="AJ5" s="2" t="s">
        <v>137</v>
      </c>
      <c r="AK5" s="2" t="s">
        <v>138</v>
      </c>
      <c r="AL5" s="2" t="s">
        <v>139</v>
      </c>
      <c r="AM5" s="2">
        <f t="shared" si="1"/>
        <v>1</v>
      </c>
      <c r="AN5" s="2"/>
      <c r="AO5" s="32" t="s">
        <v>140</v>
      </c>
      <c r="AP5" s="32" t="s">
        <v>141</v>
      </c>
      <c r="AQ5" s="32"/>
      <c r="AR5" s="32" t="s">
        <v>142</v>
      </c>
      <c r="AS5" s="65">
        <f t="shared" si="2"/>
        <v>12</v>
      </c>
      <c r="AT5" s="65">
        <f t="shared" si="3"/>
        <v>2.3250000000000002</v>
      </c>
      <c r="AU5" s="2" t="str">
        <f>IFERROR(INDEX('Source Review'!$B$2:$B$52,MATCH($A5,'Source Review'!$A$2:$A$52,0)),"NOT SOURCE-REVIEWED IN THIS PASS")</f>
        <v>NOT SOURCE-REVIEWED IN THIS PASS</v>
      </c>
      <c r="AV5" s="5" t="str">
        <f>IFERROR(INDEX('Source Review'!$F$2:$F$52,MATCH($A5,'Source Review'!$A$2:$A$52,0)),"")</f>
        <v/>
      </c>
      <c r="AW5" s="5" t="str">
        <f>IFERROR(INDEX('Source Review'!$G$2:$G$52,MATCH($A5,'Source Review'!$A$2:$A$52,0)),"")</f>
        <v/>
      </c>
      <c r="AX5" s="5" t="str">
        <f>IFERROR(INDEX('Source Review'!$H$2:$H$52,MATCH($A5,'Source Review'!$A$2:$A$52,0)),"")</f>
        <v/>
      </c>
      <c r="AY5" s="2" t="str">
        <f>IF(COUNTIF('Source Review'!$A$2:$A$52,$A5)&gt;0,"UNCONFIRMED REVIEW ESTIMATE - not P80 or elapsed","NOT ESTIMATED IN THIS PASS")</f>
        <v>NOT ESTIMATED IN THIS PASS</v>
      </c>
      <c r="AZ5" s="2" t="str">
        <f>IFERROR(INDEX('Source Review'!$I$2:$I$52,MATCH($A5,'Source Review'!$A$2:$A$52,0)),"")</f>
        <v/>
      </c>
      <c r="BA5" s="2" t="str">
        <f>IFERROR(INDEX('Source Review'!$E$2:$E$52,MATCH($A5,'Source Review'!$A$2:$A$52,0)),"")</f>
        <v/>
      </c>
      <c r="BB5" s="2" t="str">
        <f>IF(COUNTIF('Source Review'!$A$2:$A$52,$A5)&gt;0,"14-Sep-2026 snapshot; later closure evidence separate; no live HEAD verification","")</f>
        <v/>
      </c>
    </row>
    <row r="6" spans="1:54" ht="75.95" hidden="1" customHeight="1">
      <c r="A6" s="4" t="s">
        <v>180</v>
      </c>
      <c r="B6" s="4" t="s">
        <v>108</v>
      </c>
      <c r="C6" s="4" t="s">
        <v>109</v>
      </c>
      <c r="D6" s="4" t="s">
        <v>181</v>
      </c>
      <c r="E6" s="4" t="s">
        <v>182</v>
      </c>
      <c r="F6" s="4" t="s">
        <v>170</v>
      </c>
      <c r="G6" s="4" t="s">
        <v>113</v>
      </c>
      <c r="H6" s="4" t="s">
        <v>183</v>
      </c>
      <c r="I6" s="4" t="s">
        <v>184</v>
      </c>
      <c r="J6" s="64">
        <v>12</v>
      </c>
      <c r="K6" s="94" t="s">
        <v>116</v>
      </c>
      <c r="L6" s="4" t="s">
        <v>117</v>
      </c>
      <c r="M6" s="2" t="s">
        <v>168</v>
      </c>
      <c r="N6" s="2" t="s">
        <v>185</v>
      </c>
      <c r="O6" s="2" t="s">
        <v>120</v>
      </c>
      <c r="P6" s="2" t="s">
        <v>121</v>
      </c>
      <c r="Q6" s="2" t="s">
        <v>186</v>
      </c>
      <c r="R6" s="65">
        <v>1.7999999999999998</v>
      </c>
      <c r="S6" s="2" t="s">
        <v>123</v>
      </c>
      <c r="T6" s="2" t="s">
        <v>124</v>
      </c>
      <c r="U6" s="2" t="s">
        <v>125</v>
      </c>
      <c r="V6" s="2" t="s">
        <v>187</v>
      </c>
      <c r="W6" s="2" t="s">
        <v>127</v>
      </c>
      <c r="X6" s="2" t="s">
        <v>188</v>
      </c>
      <c r="Y6" s="33" t="s">
        <v>189</v>
      </c>
      <c r="Z6" s="9"/>
      <c r="AA6" s="2" t="s">
        <v>178</v>
      </c>
      <c r="AB6" s="2" t="s">
        <v>190</v>
      </c>
      <c r="AC6" s="2" t="s">
        <v>176</v>
      </c>
      <c r="AD6" s="2" t="s">
        <v>156</v>
      </c>
      <c r="AE6" s="2" t="s">
        <v>191</v>
      </c>
      <c r="AF6" s="2" t="s">
        <v>134</v>
      </c>
      <c r="AG6" s="2" t="s">
        <v>135</v>
      </c>
      <c r="AH6" s="2" t="s">
        <v>136</v>
      </c>
      <c r="AI6" s="2" t="str">
        <f t="shared" si="0"/>
        <v>a6399d9c — subject not recovered</v>
      </c>
      <c r="AJ6" s="2" t="s">
        <v>137</v>
      </c>
      <c r="AK6" s="2" t="s">
        <v>138</v>
      </c>
      <c r="AL6" s="2" t="s">
        <v>139</v>
      </c>
      <c r="AM6" s="2">
        <f t="shared" si="1"/>
        <v>1</v>
      </c>
      <c r="AN6" s="2"/>
      <c r="AO6" s="32" t="s">
        <v>140</v>
      </c>
      <c r="AP6" s="32" t="s">
        <v>141</v>
      </c>
      <c r="AQ6" s="32"/>
      <c r="AR6" s="32" t="s">
        <v>142</v>
      </c>
      <c r="AS6" s="65">
        <f t="shared" si="2"/>
        <v>12</v>
      </c>
      <c r="AT6" s="65">
        <f t="shared" si="3"/>
        <v>1.7999999999999998</v>
      </c>
      <c r="AU6" s="2" t="str">
        <f>IFERROR(INDEX('Source Review'!$B$2:$B$52,MATCH($A6,'Source Review'!$A$2:$A$52,0)),"NOT SOURCE-REVIEWED IN THIS PASS")</f>
        <v>NOT SOURCE-REVIEWED IN THIS PASS</v>
      </c>
      <c r="AV6" s="5" t="str">
        <f>IFERROR(INDEX('Source Review'!$F$2:$F$52,MATCH($A6,'Source Review'!$A$2:$A$52,0)),"")</f>
        <v/>
      </c>
      <c r="AW6" s="5" t="str">
        <f>IFERROR(INDEX('Source Review'!$G$2:$G$52,MATCH($A6,'Source Review'!$A$2:$A$52,0)),"")</f>
        <v/>
      </c>
      <c r="AX6" s="5" t="str">
        <f>IFERROR(INDEX('Source Review'!$H$2:$H$52,MATCH($A6,'Source Review'!$A$2:$A$52,0)),"")</f>
        <v/>
      </c>
      <c r="AY6" s="2" t="str">
        <f>IF(COUNTIF('Source Review'!$A$2:$A$52,$A6)&gt;0,"UNCONFIRMED REVIEW ESTIMATE - not P80 or elapsed","NOT ESTIMATED IN THIS PASS")</f>
        <v>NOT ESTIMATED IN THIS PASS</v>
      </c>
      <c r="AZ6" s="2" t="str">
        <f>IFERROR(INDEX('Source Review'!$I$2:$I$52,MATCH($A6,'Source Review'!$A$2:$A$52,0)),"")</f>
        <v/>
      </c>
      <c r="BA6" s="2" t="str">
        <f>IFERROR(INDEX('Source Review'!$E$2:$E$52,MATCH($A6,'Source Review'!$A$2:$A$52,0)),"")</f>
        <v/>
      </c>
      <c r="BB6" s="2" t="str">
        <f>IF(COUNTIF('Source Review'!$A$2:$A$52,$A6)&gt;0,"14-Sep-2026 snapshot; later closure evidence separate; no live HEAD verification","")</f>
        <v/>
      </c>
    </row>
    <row r="7" spans="1:54" ht="75.95" hidden="1" customHeight="1">
      <c r="A7" s="4" t="s">
        <v>192</v>
      </c>
      <c r="B7" s="4" t="s">
        <v>108</v>
      </c>
      <c r="C7" s="4" t="s">
        <v>109</v>
      </c>
      <c r="D7" s="4" t="s">
        <v>193</v>
      </c>
      <c r="E7" s="4" t="s">
        <v>182</v>
      </c>
      <c r="F7" s="4" t="s">
        <v>170</v>
      </c>
      <c r="G7" s="4" t="s">
        <v>160</v>
      </c>
      <c r="H7" s="4" t="s">
        <v>194</v>
      </c>
      <c r="I7" s="4" t="s">
        <v>195</v>
      </c>
      <c r="J7" s="64">
        <v>12</v>
      </c>
      <c r="K7" s="94" t="s">
        <v>116</v>
      </c>
      <c r="L7" s="4" t="s">
        <v>117</v>
      </c>
      <c r="M7" s="2" t="s">
        <v>180</v>
      </c>
      <c r="N7" s="2" t="s">
        <v>196</v>
      </c>
      <c r="O7" s="2" t="s">
        <v>120</v>
      </c>
      <c r="P7" s="2" t="s">
        <v>121</v>
      </c>
      <c r="Q7" s="2" t="s">
        <v>186</v>
      </c>
      <c r="R7" s="65">
        <v>1.7999999999999998</v>
      </c>
      <c r="S7" s="2" t="s">
        <v>123</v>
      </c>
      <c r="T7" s="2" t="s">
        <v>124</v>
      </c>
      <c r="U7" s="2" t="s">
        <v>125</v>
      </c>
      <c r="V7" s="2" t="s">
        <v>126</v>
      </c>
      <c r="W7" s="2" t="s">
        <v>127</v>
      </c>
      <c r="X7" s="2" t="s">
        <v>128</v>
      </c>
      <c r="Y7" s="33" t="s">
        <v>197</v>
      </c>
      <c r="Z7" s="9"/>
      <c r="AA7" s="2" t="s">
        <v>178</v>
      </c>
      <c r="AB7" s="2" t="s">
        <v>190</v>
      </c>
      <c r="AC7" s="2" t="s">
        <v>176</v>
      </c>
      <c r="AD7" s="2" t="s">
        <v>179</v>
      </c>
      <c r="AE7" s="2" t="s">
        <v>198</v>
      </c>
      <c r="AF7" s="2" t="s">
        <v>134</v>
      </c>
      <c r="AG7" s="2" t="s">
        <v>135</v>
      </c>
      <c r="AH7" s="2" t="s">
        <v>136</v>
      </c>
      <c r="AI7" s="2" t="str">
        <f t="shared" si="0"/>
        <v>c6d64289 — subject not recovered</v>
      </c>
      <c r="AJ7" s="2" t="s">
        <v>137</v>
      </c>
      <c r="AK7" s="2" t="s">
        <v>138</v>
      </c>
      <c r="AL7" s="2" t="s">
        <v>139</v>
      </c>
      <c r="AM7" s="2">
        <f t="shared" si="1"/>
        <v>1</v>
      </c>
      <c r="AN7" s="2"/>
      <c r="AO7" s="32" t="s">
        <v>140</v>
      </c>
      <c r="AP7" s="32" t="s">
        <v>141</v>
      </c>
      <c r="AQ7" s="32"/>
      <c r="AR7" s="32" t="s">
        <v>142</v>
      </c>
      <c r="AS7" s="65">
        <f t="shared" si="2"/>
        <v>12</v>
      </c>
      <c r="AT7" s="65">
        <f t="shared" si="3"/>
        <v>1.7999999999999998</v>
      </c>
      <c r="AU7" s="2" t="str">
        <f>IFERROR(INDEX('Source Review'!$B$2:$B$52,MATCH($A7,'Source Review'!$A$2:$A$52,0)),"NOT SOURCE-REVIEWED IN THIS PASS")</f>
        <v>NOT SOURCE-REVIEWED IN THIS PASS</v>
      </c>
      <c r="AV7" s="5" t="str">
        <f>IFERROR(INDEX('Source Review'!$F$2:$F$52,MATCH($A7,'Source Review'!$A$2:$A$52,0)),"")</f>
        <v/>
      </c>
      <c r="AW7" s="5" t="str">
        <f>IFERROR(INDEX('Source Review'!$G$2:$G$52,MATCH($A7,'Source Review'!$A$2:$A$52,0)),"")</f>
        <v/>
      </c>
      <c r="AX7" s="5" t="str">
        <f>IFERROR(INDEX('Source Review'!$H$2:$H$52,MATCH($A7,'Source Review'!$A$2:$A$52,0)),"")</f>
        <v/>
      </c>
      <c r="AY7" s="2" t="str">
        <f>IF(COUNTIF('Source Review'!$A$2:$A$52,$A7)&gt;0,"UNCONFIRMED REVIEW ESTIMATE - not P80 or elapsed","NOT ESTIMATED IN THIS PASS")</f>
        <v>NOT ESTIMATED IN THIS PASS</v>
      </c>
      <c r="AZ7" s="2" t="str">
        <f>IFERROR(INDEX('Source Review'!$I$2:$I$52,MATCH($A7,'Source Review'!$A$2:$A$52,0)),"")</f>
        <v/>
      </c>
      <c r="BA7" s="2" t="str">
        <f>IFERROR(INDEX('Source Review'!$E$2:$E$52,MATCH($A7,'Source Review'!$A$2:$A$52,0)),"")</f>
        <v/>
      </c>
      <c r="BB7" s="2" t="str">
        <f>IF(COUNTIF('Source Review'!$A$2:$A$52,$A7)&gt;0,"14-Sep-2026 snapshot; later closure evidence separate; no live HEAD verification","")</f>
        <v/>
      </c>
    </row>
    <row r="8" spans="1:54" ht="75.95" hidden="1" customHeight="1">
      <c r="A8" s="4" t="s">
        <v>199</v>
      </c>
      <c r="B8" s="4" t="s">
        <v>108</v>
      </c>
      <c r="C8" s="4" t="s">
        <v>109</v>
      </c>
      <c r="D8" s="4" t="s">
        <v>200</v>
      </c>
      <c r="E8" s="4" t="s">
        <v>182</v>
      </c>
      <c r="F8" s="4" t="s">
        <v>201</v>
      </c>
      <c r="G8" s="4" t="s">
        <v>113</v>
      </c>
      <c r="H8" s="4" t="s">
        <v>202</v>
      </c>
      <c r="I8" s="4" t="s">
        <v>203</v>
      </c>
      <c r="J8" s="64">
        <v>12</v>
      </c>
      <c r="K8" s="94" t="s">
        <v>116</v>
      </c>
      <c r="L8" s="4" t="s">
        <v>117</v>
      </c>
      <c r="M8" s="2" t="s">
        <v>204</v>
      </c>
      <c r="N8" s="2" t="s">
        <v>205</v>
      </c>
      <c r="O8" s="2" t="s">
        <v>120</v>
      </c>
      <c r="P8" s="2" t="s">
        <v>121</v>
      </c>
      <c r="Q8" s="2" t="s">
        <v>186</v>
      </c>
      <c r="R8" s="65">
        <v>1.7999999999999998</v>
      </c>
      <c r="S8" s="2" t="s">
        <v>123</v>
      </c>
      <c r="T8" s="2" t="s">
        <v>124</v>
      </c>
      <c r="U8" s="2" t="s">
        <v>125</v>
      </c>
      <c r="V8" s="2" t="s">
        <v>126</v>
      </c>
      <c r="W8" s="2" t="s">
        <v>127</v>
      </c>
      <c r="X8" s="2" t="s">
        <v>128</v>
      </c>
      <c r="Y8" s="33" t="s">
        <v>206</v>
      </c>
      <c r="Z8" s="9">
        <v>46267</v>
      </c>
      <c r="AA8" s="2" t="s">
        <v>207</v>
      </c>
      <c r="AB8" s="2" t="s">
        <v>208</v>
      </c>
      <c r="AC8" s="2" t="s">
        <v>209</v>
      </c>
      <c r="AD8" s="2" t="s">
        <v>179</v>
      </c>
      <c r="AE8" s="2" t="s">
        <v>210</v>
      </c>
      <c r="AF8" s="2" t="s">
        <v>134</v>
      </c>
      <c r="AG8" s="2" t="s">
        <v>135</v>
      </c>
      <c r="AH8" s="2" t="s">
        <v>136</v>
      </c>
      <c r="AI8" s="2" t="str">
        <f t="shared" si="0"/>
        <v>ab2962a4; 7cad36e4 — registry authority closure commits</v>
      </c>
      <c r="AJ8" s="2" t="s">
        <v>137</v>
      </c>
      <c r="AK8" s="2" t="s">
        <v>138</v>
      </c>
      <c r="AL8" s="2" t="s">
        <v>139</v>
      </c>
      <c r="AM8" s="2">
        <f t="shared" si="1"/>
        <v>1</v>
      </c>
      <c r="AN8" s="2"/>
      <c r="AO8" s="32" t="s">
        <v>140</v>
      </c>
      <c r="AP8" s="32" t="s">
        <v>141</v>
      </c>
      <c r="AQ8" s="32"/>
      <c r="AR8" s="32" t="s">
        <v>142</v>
      </c>
      <c r="AS8" s="65">
        <f t="shared" si="2"/>
        <v>12</v>
      </c>
      <c r="AT8" s="65">
        <f t="shared" si="3"/>
        <v>1.7999999999999998</v>
      </c>
      <c r="AU8" s="2" t="str">
        <f>IFERROR(INDEX('Source Review'!$B$2:$B$52,MATCH($A8,'Source Review'!$A$2:$A$52,0)),"NOT SOURCE-REVIEWED IN THIS PASS")</f>
        <v>NOT SOURCE-REVIEWED IN THIS PASS</v>
      </c>
      <c r="AV8" s="5" t="str">
        <f>IFERROR(INDEX('Source Review'!$F$2:$F$52,MATCH($A8,'Source Review'!$A$2:$A$52,0)),"")</f>
        <v/>
      </c>
      <c r="AW8" s="5" t="str">
        <f>IFERROR(INDEX('Source Review'!$G$2:$G$52,MATCH($A8,'Source Review'!$A$2:$A$52,0)),"")</f>
        <v/>
      </c>
      <c r="AX8" s="5" t="str">
        <f>IFERROR(INDEX('Source Review'!$H$2:$H$52,MATCH($A8,'Source Review'!$A$2:$A$52,0)),"")</f>
        <v/>
      </c>
      <c r="AY8" s="2" t="str">
        <f>IF(COUNTIF('Source Review'!$A$2:$A$52,$A8)&gt;0,"UNCONFIRMED REVIEW ESTIMATE - not P80 or elapsed","NOT ESTIMATED IN THIS PASS")</f>
        <v>NOT ESTIMATED IN THIS PASS</v>
      </c>
      <c r="AZ8" s="2" t="str">
        <f>IFERROR(INDEX('Source Review'!$I$2:$I$52,MATCH($A8,'Source Review'!$A$2:$A$52,0)),"")</f>
        <v/>
      </c>
      <c r="BA8" s="2" t="str">
        <f>IFERROR(INDEX('Source Review'!$E$2:$E$52,MATCH($A8,'Source Review'!$A$2:$A$52,0)),"")</f>
        <v/>
      </c>
      <c r="BB8" s="2" t="str">
        <f>IF(COUNTIF('Source Review'!$A$2:$A$52,$A8)&gt;0,"14-Sep-2026 snapshot; later closure evidence separate; no live HEAD verification","")</f>
        <v/>
      </c>
    </row>
    <row r="9" spans="1:54" ht="75.95" hidden="1" customHeight="1">
      <c r="A9" s="4" t="s">
        <v>211</v>
      </c>
      <c r="B9" s="4" t="s">
        <v>108</v>
      </c>
      <c r="C9" s="4" t="s">
        <v>109</v>
      </c>
      <c r="D9" s="4" t="s">
        <v>212</v>
      </c>
      <c r="E9" s="4" t="s">
        <v>182</v>
      </c>
      <c r="F9" s="4" t="s">
        <v>201</v>
      </c>
      <c r="G9" s="4" t="s">
        <v>160</v>
      </c>
      <c r="H9" s="4" t="s">
        <v>213</v>
      </c>
      <c r="I9" s="4" t="s">
        <v>214</v>
      </c>
      <c r="J9" s="64">
        <v>6</v>
      </c>
      <c r="K9" s="94" t="s">
        <v>116</v>
      </c>
      <c r="L9" s="4" t="s">
        <v>117</v>
      </c>
      <c r="M9" s="2" t="s">
        <v>215</v>
      </c>
      <c r="N9" s="2" t="s">
        <v>216</v>
      </c>
      <c r="O9" s="2" t="s">
        <v>120</v>
      </c>
      <c r="P9" s="2" t="s">
        <v>121</v>
      </c>
      <c r="Q9" s="2" t="s">
        <v>186</v>
      </c>
      <c r="R9" s="65">
        <v>0.89999999999999991</v>
      </c>
      <c r="S9" s="2" t="s">
        <v>123</v>
      </c>
      <c r="T9" s="2" t="s">
        <v>124</v>
      </c>
      <c r="U9" s="2" t="s">
        <v>125</v>
      </c>
      <c r="V9" s="2" t="s">
        <v>126</v>
      </c>
      <c r="W9" s="2" t="s">
        <v>127</v>
      </c>
      <c r="X9" s="2" t="s">
        <v>128</v>
      </c>
      <c r="Y9" s="33" t="s">
        <v>217</v>
      </c>
      <c r="Z9" s="9">
        <v>46268</v>
      </c>
      <c r="AA9" s="2" t="s">
        <v>209</v>
      </c>
      <c r="AB9" s="2" t="s">
        <v>218</v>
      </c>
      <c r="AC9" s="2"/>
      <c r="AD9" s="2" t="s">
        <v>179</v>
      </c>
      <c r="AE9" s="2" t="s">
        <v>198</v>
      </c>
      <c r="AF9" s="2" t="s">
        <v>134</v>
      </c>
      <c r="AG9" s="2" t="s">
        <v>135</v>
      </c>
      <c r="AH9" s="2" t="s">
        <v>136</v>
      </c>
      <c r="AI9" s="2" t="str">
        <f t="shared" si="0"/>
        <v>4e2e0f654b93ceed2ecdfbce4d3c1768550b3079 — T-093 govern plant vocabulary as data-driven genericity debt</v>
      </c>
      <c r="AJ9" s="2" t="s">
        <v>137</v>
      </c>
      <c r="AK9" s="2" t="s">
        <v>138</v>
      </c>
      <c r="AL9" s="2" t="s">
        <v>139</v>
      </c>
      <c r="AM9" s="2">
        <f t="shared" si="1"/>
        <v>1</v>
      </c>
      <c r="AN9" s="2"/>
      <c r="AO9" s="32" t="s">
        <v>140</v>
      </c>
      <c r="AP9" s="32" t="s">
        <v>141</v>
      </c>
      <c r="AQ9" s="32"/>
      <c r="AR9" s="32" t="s">
        <v>142</v>
      </c>
      <c r="AS9" s="65">
        <f t="shared" si="2"/>
        <v>6</v>
      </c>
      <c r="AT9" s="65">
        <f t="shared" si="3"/>
        <v>0.89999999999999991</v>
      </c>
      <c r="AU9" s="2" t="str">
        <f>IFERROR(INDEX('Source Review'!$B$2:$B$52,MATCH($A9,'Source Review'!$A$2:$A$52,0)),"NOT SOURCE-REVIEWED IN THIS PASS")</f>
        <v>NOT SOURCE-REVIEWED IN THIS PASS</v>
      </c>
      <c r="AV9" s="5" t="str">
        <f>IFERROR(INDEX('Source Review'!$F$2:$F$52,MATCH($A9,'Source Review'!$A$2:$A$52,0)),"")</f>
        <v/>
      </c>
      <c r="AW9" s="5" t="str">
        <f>IFERROR(INDEX('Source Review'!$G$2:$G$52,MATCH($A9,'Source Review'!$A$2:$A$52,0)),"")</f>
        <v/>
      </c>
      <c r="AX9" s="5" t="str">
        <f>IFERROR(INDEX('Source Review'!$H$2:$H$52,MATCH($A9,'Source Review'!$A$2:$A$52,0)),"")</f>
        <v/>
      </c>
      <c r="AY9" s="2" t="str">
        <f>IF(COUNTIF('Source Review'!$A$2:$A$52,$A9)&gt;0,"UNCONFIRMED REVIEW ESTIMATE - not P80 or elapsed","NOT ESTIMATED IN THIS PASS")</f>
        <v>NOT ESTIMATED IN THIS PASS</v>
      </c>
      <c r="AZ9" s="2" t="str">
        <f>IFERROR(INDEX('Source Review'!$I$2:$I$52,MATCH($A9,'Source Review'!$A$2:$A$52,0)),"")</f>
        <v/>
      </c>
      <c r="BA9" s="2" t="str">
        <f>IFERROR(INDEX('Source Review'!$E$2:$E$52,MATCH($A9,'Source Review'!$A$2:$A$52,0)),"")</f>
        <v/>
      </c>
      <c r="BB9" s="2" t="str">
        <f>IF(COUNTIF('Source Review'!$A$2:$A$52,$A9)&gt;0,"14-Sep-2026 snapshot; later closure evidence separate; no live HEAD verification","")</f>
        <v/>
      </c>
    </row>
    <row r="10" spans="1:54" ht="75.95" hidden="1" customHeight="1">
      <c r="A10" s="4" t="s">
        <v>219</v>
      </c>
      <c r="B10" s="4" t="s">
        <v>108</v>
      </c>
      <c r="C10" s="4" t="s">
        <v>109</v>
      </c>
      <c r="D10" s="4" t="s">
        <v>220</v>
      </c>
      <c r="E10" s="4" t="s">
        <v>182</v>
      </c>
      <c r="F10" s="4" t="s">
        <v>201</v>
      </c>
      <c r="G10" s="4" t="s">
        <v>160</v>
      </c>
      <c r="H10" s="4" t="s">
        <v>221</v>
      </c>
      <c r="I10" s="4" t="s">
        <v>222</v>
      </c>
      <c r="J10" s="64">
        <v>24</v>
      </c>
      <c r="K10" s="94" t="s">
        <v>116</v>
      </c>
      <c r="L10" s="4" t="s">
        <v>117</v>
      </c>
      <c r="M10" s="2" t="s">
        <v>223</v>
      </c>
      <c r="N10" s="2" t="s">
        <v>224</v>
      </c>
      <c r="O10" s="2" t="s">
        <v>120</v>
      </c>
      <c r="P10" s="2" t="s">
        <v>121</v>
      </c>
      <c r="Q10" s="2" t="s">
        <v>186</v>
      </c>
      <c r="R10" s="65">
        <v>3.6</v>
      </c>
      <c r="S10" s="2" t="s">
        <v>123</v>
      </c>
      <c r="T10" s="2" t="s">
        <v>124</v>
      </c>
      <c r="U10" s="2" t="s">
        <v>125</v>
      </c>
      <c r="V10" s="2" t="s">
        <v>126</v>
      </c>
      <c r="W10" s="2" t="s">
        <v>127</v>
      </c>
      <c r="X10" s="2" t="s">
        <v>225</v>
      </c>
      <c r="Y10" s="33" t="s">
        <v>226</v>
      </c>
      <c r="Z10" s="9">
        <v>46272</v>
      </c>
      <c r="AA10" s="2" t="s">
        <v>209</v>
      </c>
      <c r="AB10" s="2" t="s">
        <v>218</v>
      </c>
      <c r="AC10" s="2" t="s">
        <v>227</v>
      </c>
      <c r="AD10" s="2" t="s">
        <v>179</v>
      </c>
      <c r="AE10" s="2" t="s">
        <v>210</v>
      </c>
      <c r="AF10" s="2" t="s">
        <v>134</v>
      </c>
      <c r="AG10" s="2" t="s">
        <v>135</v>
      </c>
      <c r="AH10" s="2" t="s">
        <v>136</v>
      </c>
      <c r="AI10" s="2" t="str">
        <f t="shared" si="0"/>
        <v>377aabdffb27d651d30537ce5228ee4afe268526; 6ab97ee2; e74ecd1c; 5a967f1b0ab45961c8b8a880bb4fdec53a783134 — final: T-094 close keyed declared-dimension cutover and genericity reconciliation</v>
      </c>
      <c r="AJ10" s="2" t="s">
        <v>137</v>
      </c>
      <c r="AK10" s="2" t="s">
        <v>138</v>
      </c>
      <c r="AL10" s="2" t="s">
        <v>139</v>
      </c>
      <c r="AM10" s="2">
        <f t="shared" si="1"/>
        <v>1</v>
      </c>
      <c r="AN10" s="2"/>
      <c r="AO10" s="32" t="s">
        <v>140</v>
      </c>
      <c r="AP10" s="32" t="s">
        <v>141</v>
      </c>
      <c r="AQ10" s="32"/>
      <c r="AR10" s="32" t="s">
        <v>142</v>
      </c>
      <c r="AS10" s="65">
        <f t="shared" si="2"/>
        <v>24</v>
      </c>
      <c r="AT10" s="65">
        <f t="shared" si="3"/>
        <v>3.6</v>
      </c>
      <c r="AU10" s="2" t="str">
        <f>IFERROR(INDEX('Source Review'!$B$2:$B$52,MATCH($A10,'Source Review'!$A$2:$A$52,0)),"NOT SOURCE-REVIEWED IN THIS PASS")</f>
        <v>NOT SOURCE-REVIEWED IN THIS PASS</v>
      </c>
      <c r="AV10" s="5" t="str">
        <f>IFERROR(INDEX('Source Review'!$F$2:$F$52,MATCH($A10,'Source Review'!$A$2:$A$52,0)),"")</f>
        <v/>
      </c>
      <c r="AW10" s="5" t="str">
        <f>IFERROR(INDEX('Source Review'!$G$2:$G$52,MATCH($A10,'Source Review'!$A$2:$A$52,0)),"")</f>
        <v/>
      </c>
      <c r="AX10" s="5" t="str">
        <f>IFERROR(INDEX('Source Review'!$H$2:$H$52,MATCH($A10,'Source Review'!$A$2:$A$52,0)),"")</f>
        <v/>
      </c>
      <c r="AY10" s="2" t="str">
        <f>IF(COUNTIF('Source Review'!$A$2:$A$52,$A10)&gt;0,"UNCONFIRMED REVIEW ESTIMATE - not P80 or elapsed","NOT ESTIMATED IN THIS PASS")</f>
        <v>NOT ESTIMATED IN THIS PASS</v>
      </c>
      <c r="AZ10" s="2" t="str">
        <f>IFERROR(INDEX('Source Review'!$I$2:$I$52,MATCH($A10,'Source Review'!$A$2:$A$52,0)),"")</f>
        <v/>
      </c>
      <c r="BA10" s="2" t="str">
        <f>IFERROR(INDEX('Source Review'!$E$2:$E$52,MATCH($A10,'Source Review'!$A$2:$A$52,0)),"")</f>
        <v/>
      </c>
      <c r="BB10" s="2" t="str">
        <f>IF(COUNTIF('Source Review'!$A$2:$A$52,$A10)&gt;0,"14-Sep-2026 snapshot; later closure evidence separate; no live HEAD verification","")</f>
        <v/>
      </c>
    </row>
    <row r="11" spans="1:54" ht="75.95" hidden="1" customHeight="1">
      <c r="A11" s="4" t="s">
        <v>118</v>
      </c>
      <c r="B11" s="4" t="s">
        <v>108</v>
      </c>
      <c r="C11" s="4" t="s">
        <v>109</v>
      </c>
      <c r="D11" s="4" t="s">
        <v>228</v>
      </c>
      <c r="E11" s="4" t="s">
        <v>229</v>
      </c>
      <c r="F11" s="4" t="s">
        <v>230</v>
      </c>
      <c r="G11" s="4" t="s">
        <v>113</v>
      </c>
      <c r="H11" s="4" t="s">
        <v>231</v>
      </c>
      <c r="I11" s="4" t="s">
        <v>232</v>
      </c>
      <c r="J11" s="64">
        <v>4</v>
      </c>
      <c r="K11" s="94" t="s">
        <v>116</v>
      </c>
      <c r="L11" s="4" t="s">
        <v>117</v>
      </c>
      <c r="M11" s="2"/>
      <c r="N11" s="2" t="s">
        <v>233</v>
      </c>
      <c r="O11" s="2" t="s">
        <v>120</v>
      </c>
      <c r="P11" s="2" t="s">
        <v>121</v>
      </c>
      <c r="Q11" s="2" t="s">
        <v>234</v>
      </c>
      <c r="R11" s="65">
        <v>1.5</v>
      </c>
      <c r="S11" s="2" t="s">
        <v>123</v>
      </c>
      <c r="T11" s="2" t="s">
        <v>124</v>
      </c>
      <c r="U11" s="2" t="s">
        <v>235</v>
      </c>
      <c r="V11" s="2" t="s">
        <v>236</v>
      </c>
      <c r="W11" s="2" t="s">
        <v>127</v>
      </c>
      <c r="X11" s="2" t="s">
        <v>128</v>
      </c>
      <c r="Y11" s="33" t="s">
        <v>237</v>
      </c>
      <c r="Z11" s="9">
        <v>46258</v>
      </c>
      <c r="AA11" s="2" t="s">
        <v>130</v>
      </c>
      <c r="AB11" s="2" t="s">
        <v>131</v>
      </c>
      <c r="AC11" s="2"/>
      <c r="AD11" s="2" t="s">
        <v>132</v>
      </c>
      <c r="AE11" s="2" t="s">
        <v>238</v>
      </c>
      <c r="AF11" s="2" t="s">
        <v>134</v>
      </c>
      <c r="AG11" s="2" t="s">
        <v>135</v>
      </c>
      <c r="AH11" s="2" t="s">
        <v>136</v>
      </c>
      <c r="AI11" s="2" t="str">
        <f t="shared" si="0"/>
        <v>BASELINE HEAD 7da9d46ed29545f1c4f4686fa82c117c08b9fc86; TAG m1-presentation-baseline-2026-08-21 — no task commit; tag is closure artifact</v>
      </c>
      <c r="AJ11" s="2" t="s">
        <v>137</v>
      </c>
      <c r="AK11" s="2" t="s">
        <v>138</v>
      </c>
      <c r="AL11" s="2" t="s">
        <v>139</v>
      </c>
      <c r="AM11" s="2">
        <f t="shared" si="1"/>
        <v>1</v>
      </c>
      <c r="AN11" s="2"/>
      <c r="AO11" s="32" t="s">
        <v>140</v>
      </c>
      <c r="AP11" s="32" t="s">
        <v>141</v>
      </c>
      <c r="AQ11" s="32"/>
      <c r="AR11" s="32" t="s">
        <v>142</v>
      </c>
      <c r="AS11" s="65">
        <f t="shared" si="2"/>
        <v>4</v>
      </c>
      <c r="AT11" s="65">
        <f t="shared" si="3"/>
        <v>1.5</v>
      </c>
      <c r="AU11" s="2" t="str">
        <f>IFERROR(INDEX('Source Review'!$B$2:$B$52,MATCH($A11,'Source Review'!$A$2:$A$52,0)),"NOT SOURCE-REVIEWED IN THIS PASS")</f>
        <v>NOT SOURCE-REVIEWED IN THIS PASS</v>
      </c>
      <c r="AV11" s="5" t="str">
        <f>IFERROR(INDEX('Source Review'!$F$2:$F$52,MATCH($A11,'Source Review'!$A$2:$A$52,0)),"")</f>
        <v/>
      </c>
      <c r="AW11" s="5" t="str">
        <f>IFERROR(INDEX('Source Review'!$G$2:$G$52,MATCH($A11,'Source Review'!$A$2:$A$52,0)),"")</f>
        <v/>
      </c>
      <c r="AX11" s="5" t="str">
        <f>IFERROR(INDEX('Source Review'!$H$2:$H$52,MATCH($A11,'Source Review'!$A$2:$A$52,0)),"")</f>
        <v/>
      </c>
      <c r="AY11" s="2" t="str">
        <f>IF(COUNTIF('Source Review'!$A$2:$A$52,$A11)&gt;0,"UNCONFIRMED REVIEW ESTIMATE - not P80 or elapsed","NOT ESTIMATED IN THIS PASS")</f>
        <v>NOT ESTIMATED IN THIS PASS</v>
      </c>
      <c r="AZ11" s="2" t="str">
        <f>IFERROR(INDEX('Source Review'!$I$2:$I$52,MATCH($A11,'Source Review'!$A$2:$A$52,0)),"")</f>
        <v/>
      </c>
      <c r="BA11" s="2" t="str">
        <f>IFERROR(INDEX('Source Review'!$E$2:$E$52,MATCH($A11,'Source Review'!$A$2:$A$52,0)),"")</f>
        <v/>
      </c>
      <c r="BB11" s="2" t="str">
        <f>IF(COUNTIF('Source Review'!$A$2:$A$52,$A11)&gt;0,"14-Sep-2026 snapshot; later closure evidence separate; no live HEAD verification","")</f>
        <v/>
      </c>
    </row>
    <row r="12" spans="1:54" ht="75.95" hidden="1" customHeight="1">
      <c r="A12" s="4" t="s">
        <v>239</v>
      </c>
      <c r="B12" s="4" t="s">
        <v>108</v>
      </c>
      <c r="C12" s="4" t="s">
        <v>109</v>
      </c>
      <c r="D12" s="4" t="s">
        <v>240</v>
      </c>
      <c r="E12" s="4" t="s">
        <v>241</v>
      </c>
      <c r="F12" s="4" t="s">
        <v>242</v>
      </c>
      <c r="G12" s="4" t="s">
        <v>113</v>
      </c>
      <c r="H12" s="4" t="s">
        <v>243</v>
      </c>
      <c r="I12" s="4" t="s">
        <v>244</v>
      </c>
      <c r="J12" s="64">
        <v>10</v>
      </c>
      <c r="K12" s="94" t="s">
        <v>116</v>
      </c>
      <c r="L12" s="4" t="s">
        <v>36</v>
      </c>
      <c r="M12" s="2" t="s">
        <v>118</v>
      </c>
      <c r="N12" s="2" t="s">
        <v>245</v>
      </c>
      <c r="O12" s="2" t="s">
        <v>120</v>
      </c>
      <c r="P12" s="2" t="s">
        <v>121</v>
      </c>
      <c r="Q12" s="2" t="s">
        <v>246</v>
      </c>
      <c r="R12" s="65">
        <v>4</v>
      </c>
      <c r="S12" s="2" t="s">
        <v>123</v>
      </c>
      <c r="T12" s="2" t="s">
        <v>124</v>
      </c>
      <c r="U12" s="2" t="s">
        <v>247</v>
      </c>
      <c r="V12" s="2" t="s">
        <v>248</v>
      </c>
      <c r="W12" s="2" t="s">
        <v>127</v>
      </c>
      <c r="X12" s="2" t="s">
        <v>128</v>
      </c>
      <c r="Y12" s="33" t="s">
        <v>249</v>
      </c>
      <c r="Z12" s="9">
        <v>46259</v>
      </c>
      <c r="AA12" s="2" t="s">
        <v>130</v>
      </c>
      <c r="AB12" s="2" t="s">
        <v>131</v>
      </c>
      <c r="AC12" s="2" t="s">
        <v>250</v>
      </c>
      <c r="AD12" s="2" t="s">
        <v>132</v>
      </c>
      <c r="AE12" s="2" t="s">
        <v>251</v>
      </c>
      <c r="AF12" s="2" t="s">
        <v>134</v>
      </c>
      <c r="AG12" s="2" t="s">
        <v>135</v>
      </c>
      <c r="AH12" s="2" t="s">
        <v>136</v>
      </c>
      <c r="AI12" s="2" t="str">
        <f t="shared" si="0"/>
        <v>ad37c324 — Add persisted definition replay gate for release truth</v>
      </c>
      <c r="AJ12" s="2" t="s">
        <v>137</v>
      </c>
      <c r="AK12" s="2" t="s">
        <v>138</v>
      </c>
      <c r="AL12" s="2" t="s">
        <v>139</v>
      </c>
      <c r="AM12" s="2">
        <f t="shared" si="1"/>
        <v>1</v>
      </c>
      <c r="AN12" s="2"/>
      <c r="AO12" s="32" t="s">
        <v>140</v>
      </c>
      <c r="AP12" s="32" t="s">
        <v>141</v>
      </c>
      <c r="AQ12" s="32"/>
      <c r="AR12" s="32" t="s">
        <v>142</v>
      </c>
      <c r="AS12" s="65">
        <f t="shared" si="2"/>
        <v>10</v>
      </c>
      <c r="AT12" s="65">
        <f t="shared" si="3"/>
        <v>4</v>
      </c>
      <c r="AU12" s="2" t="str">
        <f>IFERROR(INDEX('Source Review'!$B$2:$B$52,MATCH($A12,'Source Review'!$A$2:$A$52,0)),"NOT SOURCE-REVIEWED IN THIS PASS")</f>
        <v>NOT SOURCE-REVIEWED IN THIS PASS</v>
      </c>
      <c r="AV12" s="5" t="str">
        <f>IFERROR(INDEX('Source Review'!$F$2:$F$52,MATCH($A12,'Source Review'!$A$2:$A$52,0)),"")</f>
        <v/>
      </c>
      <c r="AW12" s="5" t="str">
        <f>IFERROR(INDEX('Source Review'!$G$2:$G$52,MATCH($A12,'Source Review'!$A$2:$A$52,0)),"")</f>
        <v/>
      </c>
      <c r="AX12" s="5" t="str">
        <f>IFERROR(INDEX('Source Review'!$H$2:$H$52,MATCH($A12,'Source Review'!$A$2:$A$52,0)),"")</f>
        <v/>
      </c>
      <c r="AY12" s="2" t="str">
        <f>IF(COUNTIF('Source Review'!$A$2:$A$52,$A12)&gt;0,"UNCONFIRMED REVIEW ESTIMATE - not P80 or elapsed","NOT ESTIMATED IN THIS PASS")</f>
        <v>NOT ESTIMATED IN THIS PASS</v>
      </c>
      <c r="AZ12" s="2" t="str">
        <f>IFERROR(INDEX('Source Review'!$I$2:$I$52,MATCH($A12,'Source Review'!$A$2:$A$52,0)),"")</f>
        <v/>
      </c>
      <c r="BA12" s="2" t="str">
        <f>IFERROR(INDEX('Source Review'!$E$2:$E$52,MATCH($A12,'Source Review'!$A$2:$A$52,0)),"")</f>
        <v/>
      </c>
      <c r="BB12" s="2" t="str">
        <f>IF(COUNTIF('Source Review'!$A$2:$A$52,$A12)&gt;0,"14-Sep-2026 snapshot; later closure evidence separate; no live HEAD verification","")</f>
        <v/>
      </c>
    </row>
    <row r="13" spans="1:54" ht="75.95" hidden="1" customHeight="1">
      <c r="A13" s="4" t="s">
        <v>252</v>
      </c>
      <c r="B13" s="4" t="s">
        <v>108</v>
      </c>
      <c r="C13" s="4" t="s">
        <v>109</v>
      </c>
      <c r="D13" s="4" t="s">
        <v>253</v>
      </c>
      <c r="E13" s="4" t="s">
        <v>241</v>
      </c>
      <c r="F13" s="4" t="s">
        <v>242</v>
      </c>
      <c r="G13" s="4" t="s">
        <v>113</v>
      </c>
      <c r="H13" s="4" t="s">
        <v>254</v>
      </c>
      <c r="I13" s="4" t="s">
        <v>255</v>
      </c>
      <c r="J13" s="64">
        <v>10</v>
      </c>
      <c r="K13" s="94" t="s">
        <v>116</v>
      </c>
      <c r="L13" s="4" t="s">
        <v>36</v>
      </c>
      <c r="M13" s="2" t="s">
        <v>118</v>
      </c>
      <c r="N13" s="2" t="s">
        <v>256</v>
      </c>
      <c r="O13" s="2" t="s">
        <v>120</v>
      </c>
      <c r="P13" s="2" t="s">
        <v>121</v>
      </c>
      <c r="Q13" s="2" t="s">
        <v>257</v>
      </c>
      <c r="R13" s="65">
        <v>4</v>
      </c>
      <c r="S13" s="2" t="s">
        <v>123</v>
      </c>
      <c r="T13" s="2" t="s">
        <v>124</v>
      </c>
      <c r="U13" s="2" t="s">
        <v>258</v>
      </c>
      <c r="V13" s="2" t="s">
        <v>259</v>
      </c>
      <c r="W13" s="2" t="s">
        <v>127</v>
      </c>
      <c r="X13" s="2" t="s">
        <v>128</v>
      </c>
      <c r="Y13" s="33" t="s">
        <v>260</v>
      </c>
      <c r="Z13" s="9">
        <v>46259</v>
      </c>
      <c r="AA13" s="2" t="s">
        <v>130</v>
      </c>
      <c r="AB13" s="2" t="s">
        <v>131</v>
      </c>
      <c r="AC13" s="2" t="s">
        <v>261</v>
      </c>
      <c r="AD13" s="2" t="s">
        <v>132</v>
      </c>
      <c r="AE13" s="2" t="s">
        <v>251</v>
      </c>
      <c r="AF13" s="2" t="s">
        <v>134</v>
      </c>
      <c r="AG13" s="2" t="s">
        <v>135</v>
      </c>
      <c r="AH13" s="2" t="s">
        <v>136</v>
      </c>
      <c r="AI13" s="2" t="str">
        <f t="shared" si="0"/>
        <v>cd1a450e — Add customer route invariant gate with durable evidence</v>
      </c>
      <c r="AJ13" s="2" t="s">
        <v>137</v>
      </c>
      <c r="AK13" s="2" t="s">
        <v>138</v>
      </c>
      <c r="AL13" s="2" t="s">
        <v>139</v>
      </c>
      <c r="AM13" s="2">
        <f t="shared" si="1"/>
        <v>1</v>
      </c>
      <c r="AN13" s="2"/>
      <c r="AO13" s="32" t="s">
        <v>140</v>
      </c>
      <c r="AP13" s="32" t="s">
        <v>141</v>
      </c>
      <c r="AQ13" s="32"/>
      <c r="AR13" s="32" t="s">
        <v>142</v>
      </c>
      <c r="AS13" s="65">
        <f t="shared" si="2"/>
        <v>10</v>
      </c>
      <c r="AT13" s="65">
        <f t="shared" si="3"/>
        <v>4</v>
      </c>
      <c r="AU13" s="2" t="str">
        <f>IFERROR(INDEX('Source Review'!$B$2:$B$52,MATCH($A13,'Source Review'!$A$2:$A$52,0)),"NOT SOURCE-REVIEWED IN THIS PASS")</f>
        <v>NOT SOURCE-REVIEWED IN THIS PASS</v>
      </c>
      <c r="AV13" s="5" t="str">
        <f>IFERROR(INDEX('Source Review'!$F$2:$F$52,MATCH($A13,'Source Review'!$A$2:$A$52,0)),"")</f>
        <v/>
      </c>
      <c r="AW13" s="5" t="str">
        <f>IFERROR(INDEX('Source Review'!$G$2:$G$52,MATCH($A13,'Source Review'!$A$2:$A$52,0)),"")</f>
        <v/>
      </c>
      <c r="AX13" s="5" t="str">
        <f>IFERROR(INDEX('Source Review'!$H$2:$H$52,MATCH($A13,'Source Review'!$A$2:$A$52,0)),"")</f>
        <v/>
      </c>
      <c r="AY13" s="2" t="str">
        <f>IF(COUNTIF('Source Review'!$A$2:$A$52,$A13)&gt;0,"UNCONFIRMED REVIEW ESTIMATE - not P80 or elapsed","NOT ESTIMATED IN THIS PASS")</f>
        <v>NOT ESTIMATED IN THIS PASS</v>
      </c>
      <c r="AZ13" s="2" t="str">
        <f>IFERROR(INDEX('Source Review'!$I$2:$I$52,MATCH($A13,'Source Review'!$A$2:$A$52,0)),"")</f>
        <v/>
      </c>
      <c r="BA13" s="2" t="str">
        <f>IFERROR(INDEX('Source Review'!$E$2:$E$52,MATCH($A13,'Source Review'!$A$2:$A$52,0)),"")</f>
        <v/>
      </c>
      <c r="BB13" s="2" t="str">
        <f>IF(COUNTIF('Source Review'!$A$2:$A$52,$A13)&gt;0,"14-Sep-2026 snapshot; later closure evidence separate; no live HEAD verification","")</f>
        <v/>
      </c>
    </row>
    <row r="14" spans="1:54" ht="75.95" hidden="1" customHeight="1">
      <c r="A14" s="4" t="s">
        <v>262</v>
      </c>
      <c r="B14" s="4" t="s">
        <v>108</v>
      </c>
      <c r="C14" s="4" t="s">
        <v>109</v>
      </c>
      <c r="D14" s="4" t="s">
        <v>263</v>
      </c>
      <c r="E14" s="4" t="s">
        <v>264</v>
      </c>
      <c r="F14" s="4" t="s">
        <v>265</v>
      </c>
      <c r="G14" s="4" t="s">
        <v>113</v>
      </c>
      <c r="H14" s="4" t="s">
        <v>266</v>
      </c>
      <c r="I14" s="4" t="s">
        <v>267</v>
      </c>
      <c r="J14" s="64">
        <v>10</v>
      </c>
      <c r="K14" s="94" t="s">
        <v>116</v>
      </c>
      <c r="L14" s="4" t="s">
        <v>36</v>
      </c>
      <c r="M14" s="2" t="s">
        <v>118</v>
      </c>
      <c r="N14" s="2" t="s">
        <v>256</v>
      </c>
      <c r="O14" s="2" t="s">
        <v>120</v>
      </c>
      <c r="P14" s="2" t="s">
        <v>121</v>
      </c>
      <c r="Q14" s="2" t="s">
        <v>268</v>
      </c>
      <c r="R14" s="65">
        <v>4.25</v>
      </c>
      <c r="S14" s="2" t="s">
        <v>123</v>
      </c>
      <c r="T14" s="2" t="s">
        <v>124</v>
      </c>
      <c r="U14" s="2" t="s">
        <v>269</v>
      </c>
      <c r="V14" s="2" t="s">
        <v>270</v>
      </c>
      <c r="W14" s="2" t="s">
        <v>127</v>
      </c>
      <c r="X14" s="2" t="s">
        <v>128</v>
      </c>
      <c r="Y14" s="33" t="s">
        <v>271</v>
      </c>
      <c r="Z14" s="9">
        <v>46265</v>
      </c>
      <c r="AA14" s="2" t="s">
        <v>272</v>
      </c>
      <c r="AB14" s="2" t="s">
        <v>273</v>
      </c>
      <c r="AC14" s="2"/>
      <c r="AD14" s="2" t="s">
        <v>132</v>
      </c>
      <c r="AE14" s="2" t="s">
        <v>251</v>
      </c>
      <c r="AF14" s="2" t="s">
        <v>134</v>
      </c>
      <c r="AG14" s="2" t="s">
        <v>135</v>
      </c>
      <c r="AH14" s="2" t="s">
        <v>136</v>
      </c>
      <c r="AI14" s="2" t="str">
        <f t="shared" si="0"/>
        <v>c6491e2d — closure-state HEAD; exact task commit subject not independently recovered</v>
      </c>
      <c r="AJ14" s="2" t="s">
        <v>137</v>
      </c>
      <c r="AK14" s="2" t="s">
        <v>138</v>
      </c>
      <c r="AL14" s="2" t="s">
        <v>139</v>
      </c>
      <c r="AM14" s="2">
        <f t="shared" si="1"/>
        <v>1</v>
      </c>
      <c r="AN14" s="2"/>
      <c r="AO14" s="32" t="s">
        <v>140</v>
      </c>
      <c r="AP14" s="32" t="s">
        <v>141</v>
      </c>
      <c r="AQ14" s="32"/>
      <c r="AR14" s="32" t="s">
        <v>142</v>
      </c>
      <c r="AS14" s="65">
        <f t="shared" si="2"/>
        <v>10</v>
      </c>
      <c r="AT14" s="65">
        <f t="shared" si="3"/>
        <v>4.25</v>
      </c>
      <c r="AU14" s="2" t="str">
        <f>IFERROR(INDEX('Source Review'!$B$2:$B$52,MATCH($A14,'Source Review'!$A$2:$A$52,0)),"NOT SOURCE-REVIEWED IN THIS PASS")</f>
        <v>NOT SOURCE-REVIEWED IN THIS PASS</v>
      </c>
      <c r="AV14" s="5" t="str">
        <f>IFERROR(INDEX('Source Review'!$F$2:$F$52,MATCH($A14,'Source Review'!$A$2:$A$52,0)),"")</f>
        <v/>
      </c>
      <c r="AW14" s="5" t="str">
        <f>IFERROR(INDEX('Source Review'!$G$2:$G$52,MATCH($A14,'Source Review'!$A$2:$A$52,0)),"")</f>
        <v/>
      </c>
      <c r="AX14" s="5" t="str">
        <f>IFERROR(INDEX('Source Review'!$H$2:$H$52,MATCH($A14,'Source Review'!$A$2:$A$52,0)),"")</f>
        <v/>
      </c>
      <c r="AY14" s="2" t="str">
        <f>IF(COUNTIF('Source Review'!$A$2:$A$52,$A14)&gt;0,"UNCONFIRMED REVIEW ESTIMATE - not P80 or elapsed","NOT ESTIMATED IN THIS PASS")</f>
        <v>NOT ESTIMATED IN THIS PASS</v>
      </c>
      <c r="AZ14" s="2" t="str">
        <f>IFERROR(INDEX('Source Review'!$I$2:$I$52,MATCH($A14,'Source Review'!$A$2:$A$52,0)),"")</f>
        <v/>
      </c>
      <c r="BA14" s="2" t="str">
        <f>IFERROR(INDEX('Source Review'!$E$2:$E$52,MATCH($A14,'Source Review'!$A$2:$A$52,0)),"")</f>
        <v/>
      </c>
      <c r="BB14" s="2" t="str">
        <f>IF(COUNTIF('Source Review'!$A$2:$A$52,$A14)&gt;0,"14-Sep-2026 snapshot; later closure evidence separate; no live HEAD verification","")</f>
        <v/>
      </c>
    </row>
    <row r="15" spans="1:54" ht="75.95" hidden="1" customHeight="1">
      <c r="A15" s="4" t="s">
        <v>274</v>
      </c>
      <c r="B15" s="4" t="s">
        <v>108</v>
      </c>
      <c r="C15" s="4" t="s">
        <v>109</v>
      </c>
      <c r="D15" s="4" t="s">
        <v>275</v>
      </c>
      <c r="E15" s="4" t="s">
        <v>264</v>
      </c>
      <c r="F15" s="4" t="s">
        <v>276</v>
      </c>
      <c r="G15" s="4" t="s">
        <v>160</v>
      </c>
      <c r="H15" s="4" t="s">
        <v>277</v>
      </c>
      <c r="I15" s="4" t="s">
        <v>278</v>
      </c>
      <c r="J15" s="64">
        <v>8</v>
      </c>
      <c r="K15" s="94" t="s">
        <v>116</v>
      </c>
      <c r="L15" s="4" t="s">
        <v>36</v>
      </c>
      <c r="M15" s="2" t="s">
        <v>118</v>
      </c>
      <c r="N15" s="2" t="s">
        <v>279</v>
      </c>
      <c r="O15" s="2" t="s">
        <v>120</v>
      </c>
      <c r="P15" s="2" t="s">
        <v>121</v>
      </c>
      <c r="Q15" s="2" t="s">
        <v>280</v>
      </c>
      <c r="R15" s="65">
        <v>3.2</v>
      </c>
      <c r="S15" s="2" t="s">
        <v>123</v>
      </c>
      <c r="T15" s="2" t="s">
        <v>124</v>
      </c>
      <c r="U15" s="2" t="s">
        <v>281</v>
      </c>
      <c r="V15" s="2" t="s">
        <v>282</v>
      </c>
      <c r="W15" s="2" t="s">
        <v>127</v>
      </c>
      <c r="X15" s="2" t="s">
        <v>283</v>
      </c>
      <c r="Y15" s="33" t="s">
        <v>284</v>
      </c>
      <c r="Z15" s="9">
        <v>46264</v>
      </c>
      <c r="AA15" s="2" t="s">
        <v>285</v>
      </c>
      <c r="AB15" s="2" t="s">
        <v>286</v>
      </c>
      <c r="AC15" s="2"/>
      <c r="AD15" s="2" t="s">
        <v>132</v>
      </c>
      <c r="AE15" s="2" t="s">
        <v>251</v>
      </c>
      <c r="AF15" s="2" t="s">
        <v>134</v>
      </c>
      <c r="AG15" s="2" t="s">
        <v>135</v>
      </c>
      <c r="AH15" s="2" t="s">
        <v>136</v>
      </c>
      <c r="AI15" s="2" t="str">
        <f t="shared" si="0"/>
        <v>b7fcc890 — Gate the frontend suite on deterministic termination and machine-readable evidence</v>
      </c>
      <c r="AJ15" s="2" t="s">
        <v>137</v>
      </c>
      <c r="AK15" s="2" t="s">
        <v>138</v>
      </c>
      <c r="AL15" s="2" t="s">
        <v>139</v>
      </c>
      <c r="AM15" s="2">
        <f t="shared" si="1"/>
        <v>1</v>
      </c>
      <c r="AN15" s="2"/>
      <c r="AO15" s="32" t="s">
        <v>140</v>
      </c>
      <c r="AP15" s="32" t="s">
        <v>141</v>
      </c>
      <c r="AQ15" s="32"/>
      <c r="AR15" s="32" t="s">
        <v>142</v>
      </c>
      <c r="AS15" s="65">
        <f t="shared" si="2"/>
        <v>8</v>
      </c>
      <c r="AT15" s="65">
        <f t="shared" si="3"/>
        <v>3.2</v>
      </c>
      <c r="AU15" s="2" t="str">
        <f>IFERROR(INDEX('Source Review'!$B$2:$B$52,MATCH($A15,'Source Review'!$A$2:$A$52,0)),"NOT SOURCE-REVIEWED IN THIS PASS")</f>
        <v>NOT SOURCE-REVIEWED IN THIS PASS</v>
      </c>
      <c r="AV15" s="5" t="str">
        <f>IFERROR(INDEX('Source Review'!$F$2:$F$52,MATCH($A15,'Source Review'!$A$2:$A$52,0)),"")</f>
        <v/>
      </c>
      <c r="AW15" s="5" t="str">
        <f>IFERROR(INDEX('Source Review'!$G$2:$G$52,MATCH($A15,'Source Review'!$A$2:$A$52,0)),"")</f>
        <v/>
      </c>
      <c r="AX15" s="5" t="str">
        <f>IFERROR(INDEX('Source Review'!$H$2:$H$52,MATCH($A15,'Source Review'!$A$2:$A$52,0)),"")</f>
        <v/>
      </c>
      <c r="AY15" s="2" t="str">
        <f>IF(COUNTIF('Source Review'!$A$2:$A$52,$A15)&gt;0,"UNCONFIRMED REVIEW ESTIMATE - not P80 or elapsed","NOT ESTIMATED IN THIS PASS")</f>
        <v>NOT ESTIMATED IN THIS PASS</v>
      </c>
      <c r="AZ15" s="2" t="str">
        <f>IFERROR(INDEX('Source Review'!$I$2:$I$52,MATCH($A15,'Source Review'!$A$2:$A$52,0)),"")</f>
        <v/>
      </c>
      <c r="BA15" s="2" t="str">
        <f>IFERROR(INDEX('Source Review'!$E$2:$E$52,MATCH($A15,'Source Review'!$A$2:$A$52,0)),"")</f>
        <v/>
      </c>
      <c r="BB15" s="2" t="str">
        <f>IF(COUNTIF('Source Review'!$A$2:$A$52,$A15)&gt;0,"14-Sep-2026 snapshot; later closure evidence separate; no live HEAD verification","")</f>
        <v/>
      </c>
    </row>
    <row r="16" spans="1:54" ht="75.95" hidden="1" customHeight="1">
      <c r="A16" s="4" t="s">
        <v>287</v>
      </c>
      <c r="B16" s="4" t="s">
        <v>108</v>
      </c>
      <c r="C16" s="4" t="s">
        <v>109</v>
      </c>
      <c r="D16" s="4" t="s">
        <v>288</v>
      </c>
      <c r="E16" s="4" t="s">
        <v>289</v>
      </c>
      <c r="F16" s="4" t="s">
        <v>290</v>
      </c>
      <c r="G16" s="4" t="s">
        <v>113</v>
      </c>
      <c r="H16" s="4" t="s">
        <v>291</v>
      </c>
      <c r="I16" s="4" t="s">
        <v>292</v>
      </c>
      <c r="J16" s="64">
        <v>8</v>
      </c>
      <c r="K16" s="94" t="s">
        <v>116</v>
      </c>
      <c r="L16" s="4" t="s">
        <v>293</v>
      </c>
      <c r="M16" s="2" t="s">
        <v>118</v>
      </c>
      <c r="N16" s="2" t="s">
        <v>294</v>
      </c>
      <c r="O16" s="2" t="s">
        <v>120</v>
      </c>
      <c r="P16" s="2" t="s">
        <v>121</v>
      </c>
      <c r="Q16" s="2" t="s">
        <v>295</v>
      </c>
      <c r="R16" s="65">
        <v>2</v>
      </c>
      <c r="S16" s="2" t="s">
        <v>123</v>
      </c>
      <c r="T16" s="2" t="s">
        <v>124</v>
      </c>
      <c r="U16" s="2" t="s">
        <v>296</v>
      </c>
      <c r="V16" s="2" t="s">
        <v>297</v>
      </c>
      <c r="W16" s="2" t="s">
        <v>127</v>
      </c>
      <c r="X16" s="2" t="s">
        <v>128</v>
      </c>
      <c r="Y16" s="33" t="s">
        <v>298</v>
      </c>
      <c r="Z16" s="9"/>
      <c r="AA16" s="2" t="s">
        <v>209</v>
      </c>
      <c r="AB16" s="2" t="s">
        <v>218</v>
      </c>
      <c r="AC16" s="2"/>
      <c r="AD16" s="2" t="s">
        <v>132</v>
      </c>
      <c r="AE16" s="2" t="s">
        <v>238</v>
      </c>
      <c r="AF16" s="2" t="s">
        <v>134</v>
      </c>
      <c r="AG16" s="2" t="s">
        <v>135</v>
      </c>
      <c r="AH16" s="2" t="s">
        <v>136</v>
      </c>
      <c r="AI16" s="2" t="str">
        <f t="shared" si="0"/>
        <v>Not recovered from reviewed sessions</v>
      </c>
      <c r="AJ16" s="2" t="s">
        <v>137</v>
      </c>
      <c r="AK16" s="2" t="s">
        <v>138</v>
      </c>
      <c r="AL16" s="2" t="s">
        <v>139</v>
      </c>
      <c r="AM16" s="2">
        <f t="shared" si="1"/>
        <v>1</v>
      </c>
      <c r="AN16" s="2"/>
      <c r="AO16" s="32" t="s">
        <v>140</v>
      </c>
      <c r="AP16" s="32" t="s">
        <v>141</v>
      </c>
      <c r="AQ16" s="32"/>
      <c r="AR16" s="32" t="s">
        <v>142</v>
      </c>
      <c r="AS16" s="65">
        <f t="shared" si="2"/>
        <v>8</v>
      </c>
      <c r="AT16" s="65">
        <f t="shared" si="3"/>
        <v>2</v>
      </c>
      <c r="AU16" s="2" t="str">
        <f>IFERROR(INDEX('Source Review'!$B$2:$B$52,MATCH($A16,'Source Review'!$A$2:$A$52,0)),"NOT SOURCE-REVIEWED IN THIS PASS")</f>
        <v>NOT SOURCE-REVIEWED IN THIS PASS</v>
      </c>
      <c r="AV16" s="5" t="str">
        <f>IFERROR(INDEX('Source Review'!$F$2:$F$52,MATCH($A16,'Source Review'!$A$2:$A$52,0)),"")</f>
        <v/>
      </c>
      <c r="AW16" s="5" t="str">
        <f>IFERROR(INDEX('Source Review'!$G$2:$G$52,MATCH($A16,'Source Review'!$A$2:$A$52,0)),"")</f>
        <v/>
      </c>
      <c r="AX16" s="5" t="str">
        <f>IFERROR(INDEX('Source Review'!$H$2:$H$52,MATCH($A16,'Source Review'!$A$2:$A$52,0)),"")</f>
        <v/>
      </c>
      <c r="AY16" s="2" t="str">
        <f>IF(COUNTIF('Source Review'!$A$2:$A$52,$A16)&gt;0,"UNCONFIRMED REVIEW ESTIMATE - not P80 or elapsed","NOT ESTIMATED IN THIS PASS")</f>
        <v>NOT ESTIMATED IN THIS PASS</v>
      </c>
      <c r="AZ16" s="2" t="str">
        <f>IFERROR(INDEX('Source Review'!$I$2:$I$52,MATCH($A16,'Source Review'!$A$2:$A$52,0)),"")</f>
        <v/>
      </c>
      <c r="BA16" s="2" t="str">
        <f>IFERROR(INDEX('Source Review'!$E$2:$E$52,MATCH($A16,'Source Review'!$A$2:$A$52,0)),"")</f>
        <v/>
      </c>
      <c r="BB16" s="2" t="str">
        <f>IF(COUNTIF('Source Review'!$A$2:$A$52,$A16)&gt;0,"14-Sep-2026 snapshot; later closure evidence separate; no live HEAD verification","")</f>
        <v/>
      </c>
    </row>
    <row r="17" spans="1:54" ht="75.95" hidden="1" customHeight="1">
      <c r="A17" s="4" t="s">
        <v>299</v>
      </c>
      <c r="B17" s="4" t="s">
        <v>108</v>
      </c>
      <c r="C17" s="4" t="s">
        <v>109</v>
      </c>
      <c r="D17" s="4" t="s">
        <v>300</v>
      </c>
      <c r="E17" s="4" t="s">
        <v>241</v>
      </c>
      <c r="F17" s="4" t="s">
        <v>301</v>
      </c>
      <c r="G17" s="4" t="s">
        <v>113</v>
      </c>
      <c r="H17" s="4" t="s">
        <v>302</v>
      </c>
      <c r="I17" s="4" t="s">
        <v>303</v>
      </c>
      <c r="J17" s="64">
        <v>10</v>
      </c>
      <c r="K17" s="94" t="s">
        <v>116</v>
      </c>
      <c r="L17" s="4" t="s">
        <v>293</v>
      </c>
      <c r="M17" s="2" t="s">
        <v>118</v>
      </c>
      <c r="N17" s="2" t="s">
        <v>304</v>
      </c>
      <c r="O17" s="2" t="s">
        <v>120</v>
      </c>
      <c r="P17" s="2" t="s">
        <v>121</v>
      </c>
      <c r="Q17" s="2" t="s">
        <v>305</v>
      </c>
      <c r="R17" s="65">
        <v>2.5</v>
      </c>
      <c r="S17" s="2" t="s">
        <v>123</v>
      </c>
      <c r="T17" s="2" t="s">
        <v>124</v>
      </c>
      <c r="U17" s="2" t="s">
        <v>306</v>
      </c>
      <c r="V17" s="2" t="s">
        <v>307</v>
      </c>
      <c r="W17" s="2" t="s">
        <v>127</v>
      </c>
      <c r="X17" s="2" t="s">
        <v>128</v>
      </c>
      <c r="Y17" s="33" t="s">
        <v>308</v>
      </c>
      <c r="Z17" s="9"/>
      <c r="AA17" s="2" t="s">
        <v>285</v>
      </c>
      <c r="AB17" s="2" t="s">
        <v>286</v>
      </c>
      <c r="AC17" s="2"/>
      <c r="AD17" s="2" t="s">
        <v>179</v>
      </c>
      <c r="AE17" s="2" t="s">
        <v>238</v>
      </c>
      <c r="AF17" s="2" t="s">
        <v>134</v>
      </c>
      <c r="AG17" s="2" t="s">
        <v>135</v>
      </c>
      <c r="AH17" s="2" t="s">
        <v>136</v>
      </c>
      <c r="AI17" s="2" t="str">
        <f t="shared" si="0"/>
        <v>969c767c — T-208: generic controlled validation fixture and continuous-process known answers</v>
      </c>
      <c r="AJ17" s="2" t="s">
        <v>137</v>
      </c>
      <c r="AK17" s="2" t="s">
        <v>138</v>
      </c>
      <c r="AL17" s="2" t="s">
        <v>139</v>
      </c>
      <c r="AM17" s="2">
        <f t="shared" si="1"/>
        <v>1</v>
      </c>
      <c r="AN17" s="2"/>
      <c r="AO17" s="32" t="s">
        <v>140</v>
      </c>
      <c r="AP17" s="32" t="s">
        <v>141</v>
      </c>
      <c r="AQ17" s="32"/>
      <c r="AR17" s="32" t="s">
        <v>142</v>
      </c>
      <c r="AS17" s="65">
        <f t="shared" si="2"/>
        <v>10</v>
      </c>
      <c r="AT17" s="65">
        <f t="shared" si="3"/>
        <v>2.5</v>
      </c>
      <c r="AU17" s="2" t="str">
        <f>IFERROR(INDEX('Source Review'!$B$2:$B$52,MATCH($A17,'Source Review'!$A$2:$A$52,0)),"NOT SOURCE-REVIEWED IN THIS PASS")</f>
        <v>NOT SOURCE-REVIEWED IN THIS PASS</v>
      </c>
      <c r="AV17" s="5" t="str">
        <f>IFERROR(INDEX('Source Review'!$F$2:$F$52,MATCH($A17,'Source Review'!$A$2:$A$52,0)),"")</f>
        <v/>
      </c>
      <c r="AW17" s="5" t="str">
        <f>IFERROR(INDEX('Source Review'!$G$2:$G$52,MATCH($A17,'Source Review'!$A$2:$A$52,0)),"")</f>
        <v/>
      </c>
      <c r="AX17" s="5" t="str">
        <f>IFERROR(INDEX('Source Review'!$H$2:$H$52,MATCH($A17,'Source Review'!$A$2:$A$52,0)),"")</f>
        <v/>
      </c>
      <c r="AY17" s="2" t="str">
        <f>IF(COUNTIF('Source Review'!$A$2:$A$52,$A17)&gt;0,"UNCONFIRMED REVIEW ESTIMATE - not P80 or elapsed","NOT ESTIMATED IN THIS PASS")</f>
        <v>NOT ESTIMATED IN THIS PASS</v>
      </c>
      <c r="AZ17" s="2" t="str">
        <f>IFERROR(INDEX('Source Review'!$I$2:$I$52,MATCH($A17,'Source Review'!$A$2:$A$52,0)),"")</f>
        <v/>
      </c>
      <c r="BA17" s="2" t="str">
        <f>IFERROR(INDEX('Source Review'!$E$2:$E$52,MATCH($A17,'Source Review'!$A$2:$A$52,0)),"")</f>
        <v/>
      </c>
      <c r="BB17" s="2" t="str">
        <f>IF(COUNTIF('Source Review'!$A$2:$A$52,$A17)&gt;0,"14-Sep-2026 snapshot; later closure evidence separate; no live HEAD verification","")</f>
        <v/>
      </c>
    </row>
    <row r="18" spans="1:54" ht="75.95" hidden="1" customHeight="1">
      <c r="A18" s="4" t="s">
        <v>309</v>
      </c>
      <c r="B18" s="4" t="s">
        <v>108</v>
      </c>
      <c r="C18" s="4" t="s">
        <v>109</v>
      </c>
      <c r="D18" s="4" t="s">
        <v>310</v>
      </c>
      <c r="E18" s="4" t="s">
        <v>311</v>
      </c>
      <c r="F18" s="4" t="s">
        <v>312</v>
      </c>
      <c r="G18" s="4" t="s">
        <v>113</v>
      </c>
      <c r="H18" s="4" t="s">
        <v>313</v>
      </c>
      <c r="I18" s="4" t="s">
        <v>314</v>
      </c>
      <c r="J18" s="64">
        <v>6</v>
      </c>
      <c r="K18" s="94" t="s">
        <v>116</v>
      </c>
      <c r="L18" s="4" t="s">
        <v>293</v>
      </c>
      <c r="M18" s="2" t="s">
        <v>299</v>
      </c>
      <c r="N18" s="2" t="s">
        <v>315</v>
      </c>
      <c r="O18" s="2" t="s">
        <v>120</v>
      </c>
      <c r="P18" s="2" t="s">
        <v>121</v>
      </c>
      <c r="Q18" s="2" t="s">
        <v>316</v>
      </c>
      <c r="R18" s="65">
        <v>1.5</v>
      </c>
      <c r="S18" s="2" t="s">
        <v>123</v>
      </c>
      <c r="T18" s="2" t="s">
        <v>124</v>
      </c>
      <c r="U18" s="2" t="s">
        <v>317</v>
      </c>
      <c r="V18" s="2" t="s">
        <v>318</v>
      </c>
      <c r="W18" s="2" t="s">
        <v>127</v>
      </c>
      <c r="X18" s="2" t="s">
        <v>128</v>
      </c>
      <c r="Y18" s="33" t="s">
        <v>319</v>
      </c>
      <c r="Z18" s="9">
        <v>46259</v>
      </c>
      <c r="AA18" s="2" t="s">
        <v>227</v>
      </c>
      <c r="AB18" s="2" t="s">
        <v>320</v>
      </c>
      <c r="AC18" s="2"/>
      <c r="AD18" s="2" t="s">
        <v>179</v>
      </c>
      <c r="AE18" s="2" t="s">
        <v>321</v>
      </c>
      <c r="AF18" s="2" t="s">
        <v>134</v>
      </c>
      <c r="AG18" s="2" t="s">
        <v>135</v>
      </c>
      <c r="AH18" s="2" t="s">
        <v>136</v>
      </c>
      <c r="AI18" s="2" t="str">
        <f t="shared" si="0"/>
        <v>f2bafdb4 — subject not recovered</v>
      </c>
      <c r="AJ18" s="2" t="s">
        <v>137</v>
      </c>
      <c r="AK18" s="2" t="s">
        <v>138</v>
      </c>
      <c r="AL18" s="2" t="s">
        <v>139</v>
      </c>
      <c r="AM18" s="2">
        <f t="shared" si="1"/>
        <v>1</v>
      </c>
      <c r="AN18" s="2"/>
      <c r="AO18" s="32" t="s">
        <v>140</v>
      </c>
      <c r="AP18" s="32" t="s">
        <v>141</v>
      </c>
      <c r="AQ18" s="32"/>
      <c r="AR18" s="32" t="s">
        <v>142</v>
      </c>
      <c r="AS18" s="65">
        <f t="shared" si="2"/>
        <v>6</v>
      </c>
      <c r="AT18" s="65">
        <f t="shared" si="3"/>
        <v>1.5</v>
      </c>
      <c r="AU18" s="2" t="str">
        <f>IFERROR(INDEX('Source Review'!$B$2:$B$52,MATCH($A18,'Source Review'!$A$2:$A$52,0)),"NOT SOURCE-REVIEWED IN THIS PASS")</f>
        <v>NOT SOURCE-REVIEWED IN THIS PASS</v>
      </c>
      <c r="AV18" s="5" t="str">
        <f>IFERROR(INDEX('Source Review'!$F$2:$F$52,MATCH($A18,'Source Review'!$A$2:$A$52,0)),"")</f>
        <v/>
      </c>
      <c r="AW18" s="5" t="str">
        <f>IFERROR(INDEX('Source Review'!$G$2:$G$52,MATCH($A18,'Source Review'!$A$2:$A$52,0)),"")</f>
        <v/>
      </c>
      <c r="AX18" s="5" t="str">
        <f>IFERROR(INDEX('Source Review'!$H$2:$H$52,MATCH($A18,'Source Review'!$A$2:$A$52,0)),"")</f>
        <v/>
      </c>
      <c r="AY18" s="2" t="str">
        <f>IF(COUNTIF('Source Review'!$A$2:$A$52,$A18)&gt;0,"UNCONFIRMED REVIEW ESTIMATE - not P80 or elapsed","NOT ESTIMATED IN THIS PASS")</f>
        <v>NOT ESTIMATED IN THIS PASS</v>
      </c>
      <c r="AZ18" s="2" t="str">
        <f>IFERROR(INDEX('Source Review'!$I$2:$I$52,MATCH($A18,'Source Review'!$A$2:$A$52,0)),"")</f>
        <v/>
      </c>
      <c r="BA18" s="2" t="str">
        <f>IFERROR(INDEX('Source Review'!$E$2:$E$52,MATCH($A18,'Source Review'!$A$2:$A$52,0)),"")</f>
        <v/>
      </c>
      <c r="BB18" s="2" t="str">
        <f>IF(COUNTIF('Source Review'!$A$2:$A$52,$A18)&gt;0,"14-Sep-2026 snapshot; later closure evidence separate; no live HEAD verification","")</f>
        <v/>
      </c>
    </row>
    <row r="19" spans="1:54" ht="75.95" hidden="1" customHeight="1">
      <c r="A19" s="4" t="s">
        <v>322</v>
      </c>
      <c r="B19" s="4" t="s">
        <v>108</v>
      </c>
      <c r="C19" s="4" t="s">
        <v>109</v>
      </c>
      <c r="D19" s="4" t="s">
        <v>323</v>
      </c>
      <c r="E19" s="4" t="s">
        <v>182</v>
      </c>
      <c r="F19" s="4" t="s">
        <v>324</v>
      </c>
      <c r="G19" s="4" t="s">
        <v>113</v>
      </c>
      <c r="H19" s="4" t="s">
        <v>325</v>
      </c>
      <c r="I19" s="4" t="s">
        <v>326</v>
      </c>
      <c r="J19" s="64">
        <v>12</v>
      </c>
      <c r="K19" s="94" t="s">
        <v>116</v>
      </c>
      <c r="L19" s="4" t="s">
        <v>117</v>
      </c>
      <c r="M19" s="2" t="s">
        <v>327</v>
      </c>
      <c r="N19" s="2" t="s">
        <v>328</v>
      </c>
      <c r="O19" s="2" t="s">
        <v>120</v>
      </c>
      <c r="P19" s="2" t="s">
        <v>121</v>
      </c>
      <c r="Q19" s="2" t="s">
        <v>329</v>
      </c>
      <c r="R19" s="65">
        <v>5.0999999999999996</v>
      </c>
      <c r="S19" s="2" t="s">
        <v>123</v>
      </c>
      <c r="T19" s="2" t="s">
        <v>124</v>
      </c>
      <c r="U19" s="2" t="s">
        <v>330</v>
      </c>
      <c r="V19" s="2" t="s">
        <v>331</v>
      </c>
      <c r="W19" s="2" t="s">
        <v>127</v>
      </c>
      <c r="X19" s="2" t="s">
        <v>128</v>
      </c>
      <c r="Y19" s="33" t="s">
        <v>332</v>
      </c>
      <c r="Z19" s="9">
        <v>46266</v>
      </c>
      <c r="AA19" s="2" t="s">
        <v>227</v>
      </c>
      <c r="AB19" s="2" t="s">
        <v>320</v>
      </c>
      <c r="AC19" s="2" t="s">
        <v>333</v>
      </c>
      <c r="AD19" s="2" t="s">
        <v>179</v>
      </c>
      <c r="AE19" s="2" t="s">
        <v>210</v>
      </c>
      <c r="AF19" s="2" t="s">
        <v>134</v>
      </c>
      <c r="AG19" s="2" t="s">
        <v>135</v>
      </c>
      <c r="AH19" s="2" t="s">
        <v>136</v>
      </c>
      <c r="AI19" s="2" t="str">
        <f t="shared" si="0"/>
        <v>92a655e1ddc4becedbaf89a3db96dc0d0f1eaf94 — subject not recovered</v>
      </c>
      <c r="AJ19" s="2" t="s">
        <v>137</v>
      </c>
      <c r="AK19" s="2" t="s">
        <v>138</v>
      </c>
      <c r="AL19" s="2" t="s">
        <v>139</v>
      </c>
      <c r="AM19" s="2">
        <f t="shared" si="1"/>
        <v>1</v>
      </c>
      <c r="AN19" s="2"/>
      <c r="AO19" s="32" t="s">
        <v>140</v>
      </c>
      <c r="AP19" s="32" t="s">
        <v>141</v>
      </c>
      <c r="AQ19" s="32"/>
      <c r="AR19" s="32" t="s">
        <v>142</v>
      </c>
      <c r="AS19" s="65">
        <f t="shared" si="2"/>
        <v>12</v>
      </c>
      <c r="AT19" s="65">
        <f t="shared" si="3"/>
        <v>5.0999999999999996</v>
      </c>
      <c r="AU19" s="2" t="str">
        <f>IFERROR(INDEX('Source Review'!$B$2:$B$52,MATCH($A19,'Source Review'!$A$2:$A$52,0)),"NOT SOURCE-REVIEWED IN THIS PASS")</f>
        <v>NOT SOURCE-REVIEWED IN THIS PASS</v>
      </c>
      <c r="AV19" s="5" t="str">
        <f>IFERROR(INDEX('Source Review'!$F$2:$F$52,MATCH($A19,'Source Review'!$A$2:$A$52,0)),"")</f>
        <v/>
      </c>
      <c r="AW19" s="5" t="str">
        <f>IFERROR(INDEX('Source Review'!$G$2:$G$52,MATCH($A19,'Source Review'!$A$2:$A$52,0)),"")</f>
        <v/>
      </c>
      <c r="AX19" s="5" t="str">
        <f>IFERROR(INDEX('Source Review'!$H$2:$H$52,MATCH($A19,'Source Review'!$A$2:$A$52,0)),"")</f>
        <v/>
      </c>
      <c r="AY19" s="2" t="str">
        <f>IF(COUNTIF('Source Review'!$A$2:$A$52,$A19)&gt;0,"UNCONFIRMED REVIEW ESTIMATE - not P80 or elapsed","NOT ESTIMATED IN THIS PASS")</f>
        <v>NOT ESTIMATED IN THIS PASS</v>
      </c>
      <c r="AZ19" s="2" t="str">
        <f>IFERROR(INDEX('Source Review'!$I$2:$I$52,MATCH($A19,'Source Review'!$A$2:$A$52,0)),"")</f>
        <v/>
      </c>
      <c r="BA19" s="2" t="str">
        <f>IFERROR(INDEX('Source Review'!$E$2:$E$52,MATCH($A19,'Source Review'!$A$2:$A$52,0)),"")</f>
        <v/>
      </c>
      <c r="BB19" s="2" t="str">
        <f>IF(COUNTIF('Source Review'!$A$2:$A$52,$A19)&gt;0,"14-Sep-2026 snapshot; later closure evidence separate; no live HEAD verification","")</f>
        <v/>
      </c>
    </row>
    <row r="20" spans="1:54" ht="75.95" hidden="1" customHeight="1">
      <c r="A20" s="4" t="s">
        <v>334</v>
      </c>
      <c r="B20" s="4" t="s">
        <v>108</v>
      </c>
      <c r="C20" s="4" t="s">
        <v>109</v>
      </c>
      <c r="D20" s="4" t="s">
        <v>335</v>
      </c>
      <c r="E20" s="4" t="s">
        <v>311</v>
      </c>
      <c r="F20" s="4" t="s">
        <v>336</v>
      </c>
      <c r="G20" s="4" t="s">
        <v>113</v>
      </c>
      <c r="H20" s="4" t="s">
        <v>337</v>
      </c>
      <c r="I20" s="4" t="s">
        <v>338</v>
      </c>
      <c r="J20" s="64">
        <v>5</v>
      </c>
      <c r="K20" s="94" t="s">
        <v>116</v>
      </c>
      <c r="L20" s="4" t="s">
        <v>293</v>
      </c>
      <c r="M20" s="2" t="s">
        <v>299</v>
      </c>
      <c r="N20" s="2" t="s">
        <v>339</v>
      </c>
      <c r="O20" s="2" t="s">
        <v>120</v>
      </c>
      <c r="P20" s="2" t="s">
        <v>121</v>
      </c>
      <c r="Q20" s="2" t="s">
        <v>316</v>
      </c>
      <c r="R20" s="65">
        <v>1.25</v>
      </c>
      <c r="S20" s="2" t="s">
        <v>123</v>
      </c>
      <c r="T20" s="2" t="s">
        <v>124</v>
      </c>
      <c r="U20" s="2" t="s">
        <v>340</v>
      </c>
      <c r="V20" s="2" t="s">
        <v>341</v>
      </c>
      <c r="W20" s="2" t="s">
        <v>127</v>
      </c>
      <c r="X20" s="2" t="s">
        <v>128</v>
      </c>
      <c r="Y20" s="33" t="s">
        <v>342</v>
      </c>
      <c r="Z20" s="9">
        <v>46259</v>
      </c>
      <c r="AA20" s="2" t="s">
        <v>343</v>
      </c>
      <c r="AB20" s="2" t="s">
        <v>344</v>
      </c>
      <c r="AC20" s="2" t="s">
        <v>345</v>
      </c>
      <c r="AD20" s="2" t="s">
        <v>179</v>
      </c>
      <c r="AE20" s="2" t="s">
        <v>210</v>
      </c>
      <c r="AF20" s="2" t="s">
        <v>134</v>
      </c>
      <c r="AG20" s="2" t="s">
        <v>135</v>
      </c>
      <c r="AH20" s="2" t="s">
        <v>136</v>
      </c>
      <c r="AI20" s="2" t="str">
        <f t="shared" si="0"/>
        <v>ea9103fd — Establish source time authority for plant timestamps</v>
      </c>
      <c r="AJ20" s="2" t="s">
        <v>137</v>
      </c>
      <c r="AK20" s="2" t="s">
        <v>138</v>
      </c>
      <c r="AL20" s="2" t="s">
        <v>139</v>
      </c>
      <c r="AM20" s="2">
        <f t="shared" si="1"/>
        <v>1</v>
      </c>
      <c r="AN20" s="2"/>
      <c r="AO20" s="32" t="s">
        <v>140</v>
      </c>
      <c r="AP20" s="32" t="s">
        <v>141</v>
      </c>
      <c r="AQ20" s="32"/>
      <c r="AR20" s="32" t="s">
        <v>142</v>
      </c>
      <c r="AS20" s="65">
        <f t="shared" si="2"/>
        <v>5</v>
      </c>
      <c r="AT20" s="65">
        <f t="shared" si="3"/>
        <v>1.25</v>
      </c>
      <c r="AU20" s="2" t="str">
        <f>IFERROR(INDEX('Source Review'!$B$2:$B$52,MATCH($A20,'Source Review'!$A$2:$A$52,0)),"NOT SOURCE-REVIEWED IN THIS PASS")</f>
        <v>NOT SOURCE-REVIEWED IN THIS PASS</v>
      </c>
      <c r="AV20" s="5" t="str">
        <f>IFERROR(INDEX('Source Review'!$F$2:$F$52,MATCH($A20,'Source Review'!$A$2:$A$52,0)),"")</f>
        <v/>
      </c>
      <c r="AW20" s="5" t="str">
        <f>IFERROR(INDEX('Source Review'!$G$2:$G$52,MATCH($A20,'Source Review'!$A$2:$A$52,0)),"")</f>
        <v/>
      </c>
      <c r="AX20" s="5" t="str">
        <f>IFERROR(INDEX('Source Review'!$H$2:$H$52,MATCH($A20,'Source Review'!$A$2:$A$52,0)),"")</f>
        <v/>
      </c>
      <c r="AY20" s="2" t="str">
        <f>IF(COUNTIF('Source Review'!$A$2:$A$52,$A20)&gt;0,"UNCONFIRMED REVIEW ESTIMATE - not P80 or elapsed","NOT ESTIMATED IN THIS PASS")</f>
        <v>NOT ESTIMATED IN THIS PASS</v>
      </c>
      <c r="AZ20" s="2" t="str">
        <f>IFERROR(INDEX('Source Review'!$I$2:$I$52,MATCH($A20,'Source Review'!$A$2:$A$52,0)),"")</f>
        <v/>
      </c>
      <c r="BA20" s="2" t="str">
        <f>IFERROR(INDEX('Source Review'!$E$2:$E$52,MATCH($A20,'Source Review'!$A$2:$A$52,0)),"")</f>
        <v/>
      </c>
      <c r="BB20" s="2" t="str">
        <f>IF(COUNTIF('Source Review'!$A$2:$A$52,$A20)&gt;0,"14-Sep-2026 snapshot; later closure evidence separate; no live HEAD verification","")</f>
        <v/>
      </c>
    </row>
    <row r="21" spans="1:54" ht="75.95" hidden="1" customHeight="1">
      <c r="A21" s="4" t="s">
        <v>346</v>
      </c>
      <c r="B21" s="4" t="s">
        <v>108</v>
      </c>
      <c r="C21" s="4" t="s">
        <v>109</v>
      </c>
      <c r="D21" s="4" t="s">
        <v>347</v>
      </c>
      <c r="E21" s="4" t="s">
        <v>348</v>
      </c>
      <c r="F21" s="4" t="s">
        <v>349</v>
      </c>
      <c r="G21" s="4" t="s">
        <v>113</v>
      </c>
      <c r="H21" s="4" t="s">
        <v>350</v>
      </c>
      <c r="I21" s="4" t="s">
        <v>351</v>
      </c>
      <c r="J21" s="64">
        <v>6</v>
      </c>
      <c r="K21" s="94" t="s">
        <v>116</v>
      </c>
      <c r="L21" s="4" t="s">
        <v>117</v>
      </c>
      <c r="M21" s="2" t="s">
        <v>327</v>
      </c>
      <c r="N21" s="2" t="s">
        <v>352</v>
      </c>
      <c r="O21" s="2" t="s">
        <v>120</v>
      </c>
      <c r="P21" s="2" t="s">
        <v>121</v>
      </c>
      <c r="Q21" s="2" t="s">
        <v>329</v>
      </c>
      <c r="R21" s="65">
        <v>2.5499999999999998</v>
      </c>
      <c r="S21" s="2" t="s">
        <v>123</v>
      </c>
      <c r="T21" s="2" t="s">
        <v>124</v>
      </c>
      <c r="U21" s="2" t="s">
        <v>353</v>
      </c>
      <c r="V21" s="2" t="s">
        <v>354</v>
      </c>
      <c r="W21" s="2" t="s">
        <v>127</v>
      </c>
      <c r="X21" s="2" t="s">
        <v>128</v>
      </c>
      <c r="Y21" s="33" t="s">
        <v>355</v>
      </c>
      <c r="Z21" s="9"/>
      <c r="AA21" s="2" t="s">
        <v>227</v>
      </c>
      <c r="AB21" s="2" t="s">
        <v>320</v>
      </c>
      <c r="AC21" s="2"/>
      <c r="AD21" s="2" t="s">
        <v>179</v>
      </c>
      <c r="AE21" s="2" t="s">
        <v>321</v>
      </c>
      <c r="AF21" s="2" t="s">
        <v>134</v>
      </c>
      <c r="AG21" s="2" t="s">
        <v>135</v>
      </c>
      <c r="AH21" s="2" t="s">
        <v>136</v>
      </c>
      <c r="AI21" s="2" t="str">
        <f t="shared" si="0"/>
        <v>c930af079502aa1660ef2bd5c50756d3fc3cf8f3 — Persist-T231-canonical-analysis-subject-grain-authority</v>
      </c>
      <c r="AJ21" s="2" t="s">
        <v>137</v>
      </c>
      <c r="AK21" s="2" t="s">
        <v>138</v>
      </c>
      <c r="AL21" s="2" t="s">
        <v>139</v>
      </c>
      <c r="AM21" s="2">
        <f t="shared" si="1"/>
        <v>1</v>
      </c>
      <c r="AN21" s="2"/>
      <c r="AO21" s="32" t="s">
        <v>140</v>
      </c>
      <c r="AP21" s="32" t="s">
        <v>141</v>
      </c>
      <c r="AQ21" s="32"/>
      <c r="AR21" s="32" t="s">
        <v>142</v>
      </c>
      <c r="AS21" s="65">
        <f t="shared" si="2"/>
        <v>6</v>
      </c>
      <c r="AT21" s="65">
        <f t="shared" si="3"/>
        <v>2.5499999999999998</v>
      </c>
      <c r="AU21" s="2" t="str">
        <f>IFERROR(INDEX('Source Review'!$B$2:$B$52,MATCH($A21,'Source Review'!$A$2:$A$52,0)),"NOT SOURCE-REVIEWED IN THIS PASS")</f>
        <v>NOT SOURCE-REVIEWED IN THIS PASS</v>
      </c>
      <c r="AV21" s="5" t="str">
        <f>IFERROR(INDEX('Source Review'!$F$2:$F$52,MATCH($A21,'Source Review'!$A$2:$A$52,0)),"")</f>
        <v/>
      </c>
      <c r="AW21" s="5" t="str">
        <f>IFERROR(INDEX('Source Review'!$G$2:$G$52,MATCH($A21,'Source Review'!$A$2:$A$52,0)),"")</f>
        <v/>
      </c>
      <c r="AX21" s="5" t="str">
        <f>IFERROR(INDEX('Source Review'!$H$2:$H$52,MATCH($A21,'Source Review'!$A$2:$A$52,0)),"")</f>
        <v/>
      </c>
      <c r="AY21" s="2" t="str">
        <f>IF(COUNTIF('Source Review'!$A$2:$A$52,$A21)&gt;0,"UNCONFIRMED REVIEW ESTIMATE - not P80 or elapsed","NOT ESTIMATED IN THIS PASS")</f>
        <v>NOT ESTIMATED IN THIS PASS</v>
      </c>
      <c r="AZ21" s="2" t="str">
        <f>IFERROR(INDEX('Source Review'!$I$2:$I$52,MATCH($A21,'Source Review'!$A$2:$A$52,0)),"")</f>
        <v/>
      </c>
      <c r="BA21" s="2" t="str">
        <f>IFERROR(INDEX('Source Review'!$E$2:$E$52,MATCH($A21,'Source Review'!$A$2:$A$52,0)),"")</f>
        <v/>
      </c>
      <c r="BB21" s="2" t="str">
        <f>IF(COUNTIF('Source Review'!$A$2:$A$52,$A21)&gt;0,"14-Sep-2026 snapshot; later closure evidence separate; no live HEAD verification","")</f>
        <v/>
      </c>
    </row>
    <row r="22" spans="1:54" ht="75.95" hidden="1" customHeight="1">
      <c r="A22" s="4" t="s">
        <v>356</v>
      </c>
      <c r="B22" s="4" t="s">
        <v>108</v>
      </c>
      <c r="C22" s="4" t="s">
        <v>109</v>
      </c>
      <c r="D22" s="4" t="s">
        <v>357</v>
      </c>
      <c r="E22" s="4" t="s">
        <v>264</v>
      </c>
      <c r="F22" s="4" t="s">
        <v>358</v>
      </c>
      <c r="G22" s="4" t="s">
        <v>160</v>
      </c>
      <c r="H22" s="4" t="s">
        <v>359</v>
      </c>
      <c r="I22" s="4" t="s">
        <v>360</v>
      </c>
      <c r="J22" s="64">
        <v>6</v>
      </c>
      <c r="K22" s="94" t="s">
        <v>116</v>
      </c>
      <c r="L22" s="4" t="s">
        <v>36</v>
      </c>
      <c r="M22" s="2" t="s">
        <v>274</v>
      </c>
      <c r="N22" s="2" t="s">
        <v>361</v>
      </c>
      <c r="O22" s="2" t="s">
        <v>120</v>
      </c>
      <c r="P22" s="2" t="s">
        <v>121</v>
      </c>
      <c r="Q22" s="2" t="s">
        <v>362</v>
      </c>
      <c r="R22" s="65">
        <v>2.5</v>
      </c>
      <c r="S22" s="2" t="s">
        <v>123</v>
      </c>
      <c r="T22" s="2" t="s">
        <v>124</v>
      </c>
      <c r="U22" s="2" t="s">
        <v>363</v>
      </c>
      <c r="V22" s="2" t="s">
        <v>364</v>
      </c>
      <c r="W22" s="2" t="s">
        <v>127</v>
      </c>
      <c r="X22" s="2" t="s">
        <v>365</v>
      </c>
      <c r="Y22" s="33" t="s">
        <v>366</v>
      </c>
      <c r="Z22" s="9">
        <v>46264</v>
      </c>
      <c r="AA22" s="2" t="s">
        <v>285</v>
      </c>
      <c r="AB22" s="2" t="s">
        <v>286</v>
      </c>
      <c r="AC22" s="2"/>
      <c r="AD22" s="2" t="s">
        <v>156</v>
      </c>
      <c r="AE22" s="2" t="s">
        <v>367</v>
      </c>
      <c r="AF22" s="2" t="s">
        <v>134</v>
      </c>
      <c r="AG22" s="2" t="s">
        <v>135</v>
      </c>
      <c r="AH22" s="2" t="s">
        <v>136</v>
      </c>
      <c r="AI22" s="2" t="str">
        <f t="shared" si="0"/>
        <v>6615481b — Converge frontend journey and design-system truth</v>
      </c>
      <c r="AJ22" s="2" t="s">
        <v>137</v>
      </c>
      <c r="AK22" s="2" t="s">
        <v>138</v>
      </c>
      <c r="AL22" s="2" t="s">
        <v>139</v>
      </c>
      <c r="AM22" s="2">
        <f t="shared" si="1"/>
        <v>1</v>
      </c>
      <c r="AN22" s="2"/>
      <c r="AO22" s="32" t="s">
        <v>140</v>
      </c>
      <c r="AP22" s="32" t="s">
        <v>141</v>
      </c>
      <c r="AQ22" s="32"/>
      <c r="AR22" s="32" t="s">
        <v>142</v>
      </c>
      <c r="AS22" s="65">
        <f t="shared" si="2"/>
        <v>6</v>
      </c>
      <c r="AT22" s="65">
        <f t="shared" si="3"/>
        <v>2.5</v>
      </c>
      <c r="AU22" s="2" t="str">
        <f>IFERROR(INDEX('Source Review'!$B$2:$B$52,MATCH($A22,'Source Review'!$A$2:$A$52,0)),"NOT SOURCE-REVIEWED IN THIS PASS")</f>
        <v>NOT SOURCE-REVIEWED IN THIS PASS</v>
      </c>
      <c r="AV22" s="5" t="str">
        <f>IFERROR(INDEX('Source Review'!$F$2:$F$52,MATCH($A22,'Source Review'!$A$2:$A$52,0)),"")</f>
        <v/>
      </c>
      <c r="AW22" s="5" t="str">
        <f>IFERROR(INDEX('Source Review'!$G$2:$G$52,MATCH($A22,'Source Review'!$A$2:$A$52,0)),"")</f>
        <v/>
      </c>
      <c r="AX22" s="5" t="str">
        <f>IFERROR(INDEX('Source Review'!$H$2:$H$52,MATCH($A22,'Source Review'!$A$2:$A$52,0)),"")</f>
        <v/>
      </c>
      <c r="AY22" s="2" t="str">
        <f>IF(COUNTIF('Source Review'!$A$2:$A$52,$A22)&gt;0,"UNCONFIRMED REVIEW ESTIMATE - not P80 or elapsed","NOT ESTIMATED IN THIS PASS")</f>
        <v>NOT ESTIMATED IN THIS PASS</v>
      </c>
      <c r="AZ22" s="2" t="str">
        <f>IFERROR(INDEX('Source Review'!$I$2:$I$52,MATCH($A22,'Source Review'!$A$2:$A$52,0)),"")</f>
        <v/>
      </c>
      <c r="BA22" s="2" t="str">
        <f>IFERROR(INDEX('Source Review'!$E$2:$E$52,MATCH($A22,'Source Review'!$A$2:$A$52,0)),"")</f>
        <v/>
      </c>
      <c r="BB22" s="2" t="str">
        <f>IF(COUNTIF('Source Review'!$A$2:$A$52,$A22)&gt;0,"14-Sep-2026 snapshot; later closure evidence separate; no live HEAD verification","")</f>
        <v/>
      </c>
    </row>
    <row r="23" spans="1:54" ht="75.95" hidden="1" customHeight="1">
      <c r="A23" s="4" t="s">
        <v>368</v>
      </c>
      <c r="B23" s="4" t="s">
        <v>108</v>
      </c>
      <c r="C23" s="4" t="s">
        <v>109</v>
      </c>
      <c r="D23" s="4" t="s">
        <v>369</v>
      </c>
      <c r="E23" s="4" t="s">
        <v>145</v>
      </c>
      <c r="F23" s="4" t="s">
        <v>370</v>
      </c>
      <c r="G23" s="4" t="s">
        <v>113</v>
      </c>
      <c r="H23" s="4" t="s">
        <v>371</v>
      </c>
      <c r="I23" s="4" t="s">
        <v>372</v>
      </c>
      <c r="J23" s="64">
        <v>12</v>
      </c>
      <c r="K23" s="94" t="s">
        <v>116</v>
      </c>
      <c r="L23" s="4" t="s">
        <v>117</v>
      </c>
      <c r="M23" s="2" t="s">
        <v>373</v>
      </c>
      <c r="N23" s="2" t="s">
        <v>374</v>
      </c>
      <c r="O23" s="2" t="s">
        <v>120</v>
      </c>
      <c r="P23" s="2" t="s">
        <v>121</v>
      </c>
      <c r="Q23" s="2" t="s">
        <v>151</v>
      </c>
      <c r="R23" s="65">
        <v>1.8</v>
      </c>
      <c r="S23" s="2" t="s">
        <v>123</v>
      </c>
      <c r="T23" s="2" t="s">
        <v>124</v>
      </c>
      <c r="U23" s="2" t="s">
        <v>375</v>
      </c>
      <c r="V23" s="2" t="s">
        <v>376</v>
      </c>
      <c r="W23" s="2" t="s">
        <v>127</v>
      </c>
      <c r="X23" s="2" t="s">
        <v>377</v>
      </c>
      <c r="Y23" s="33" t="s">
        <v>378</v>
      </c>
      <c r="Z23" s="9"/>
      <c r="AA23" s="2" t="s">
        <v>155</v>
      </c>
      <c r="AB23" s="2" t="s">
        <v>379</v>
      </c>
      <c r="AC23" s="2" t="s">
        <v>165</v>
      </c>
      <c r="AD23" s="2" t="s">
        <v>179</v>
      </c>
      <c r="AE23" s="2" t="s">
        <v>157</v>
      </c>
      <c r="AF23" s="2" t="s">
        <v>134</v>
      </c>
      <c r="AG23" s="2" t="s">
        <v>135</v>
      </c>
      <c r="AH23" s="2" t="s">
        <v>136</v>
      </c>
      <c r="AI23" s="2" t="str">
        <f t="shared" si="0"/>
        <v>7ba31f96f3810bdac734bd1850275a601503d34d</v>
      </c>
      <c r="AJ23" s="2" t="s">
        <v>137</v>
      </c>
      <c r="AK23" s="2" t="s">
        <v>138</v>
      </c>
      <c r="AL23" s="2" t="s">
        <v>139</v>
      </c>
      <c r="AM23" s="2">
        <f t="shared" si="1"/>
        <v>1</v>
      </c>
      <c r="AN23" s="2"/>
      <c r="AO23" s="32" t="s">
        <v>140</v>
      </c>
      <c r="AP23" s="32" t="s">
        <v>380</v>
      </c>
      <c r="AQ23" s="32"/>
      <c r="AR23" s="32" t="s">
        <v>142</v>
      </c>
      <c r="AS23" s="65">
        <f t="shared" si="2"/>
        <v>12</v>
      </c>
      <c r="AT23" s="65">
        <f t="shared" si="3"/>
        <v>1.8</v>
      </c>
      <c r="AU23" s="2" t="str">
        <f>IFERROR(INDEX('Source Review'!$B$2:$B$52,MATCH($A23,'Source Review'!$A$2:$A$52,0)),"NOT SOURCE-REVIEWED IN THIS PASS")</f>
        <v>NOT SOURCE-REVIEWED IN THIS PASS</v>
      </c>
      <c r="AV23" s="5" t="str">
        <f>IFERROR(INDEX('Source Review'!$F$2:$F$52,MATCH($A23,'Source Review'!$A$2:$A$52,0)),"")</f>
        <v/>
      </c>
      <c r="AW23" s="5" t="str">
        <f>IFERROR(INDEX('Source Review'!$G$2:$G$52,MATCH($A23,'Source Review'!$A$2:$A$52,0)),"")</f>
        <v/>
      </c>
      <c r="AX23" s="5" t="str">
        <f>IFERROR(INDEX('Source Review'!$H$2:$H$52,MATCH($A23,'Source Review'!$A$2:$A$52,0)),"")</f>
        <v/>
      </c>
      <c r="AY23" s="2" t="str">
        <f>IF(COUNTIF('Source Review'!$A$2:$A$52,$A23)&gt;0,"UNCONFIRMED REVIEW ESTIMATE - not P80 or elapsed","NOT ESTIMATED IN THIS PASS")</f>
        <v>NOT ESTIMATED IN THIS PASS</v>
      </c>
      <c r="AZ23" s="2" t="str">
        <f>IFERROR(INDEX('Source Review'!$I$2:$I$52,MATCH($A23,'Source Review'!$A$2:$A$52,0)),"")</f>
        <v/>
      </c>
      <c r="BA23" s="2" t="str">
        <f>IFERROR(INDEX('Source Review'!$E$2:$E$52,MATCH($A23,'Source Review'!$A$2:$A$52,0)),"")</f>
        <v/>
      </c>
      <c r="BB23" s="2" t="str">
        <f>IF(COUNTIF('Source Review'!$A$2:$A$52,$A23)&gt;0,"14-Sep-2026 snapshot; later closure evidence separate; no live HEAD verification","")</f>
        <v/>
      </c>
    </row>
    <row r="24" spans="1:54" ht="75.95" hidden="1" customHeight="1">
      <c r="A24" s="4" t="s">
        <v>381</v>
      </c>
      <c r="B24" s="4" t="s">
        <v>108</v>
      </c>
      <c r="C24" s="4" t="s">
        <v>109</v>
      </c>
      <c r="D24" s="4" t="s">
        <v>382</v>
      </c>
      <c r="E24" s="4" t="s">
        <v>241</v>
      </c>
      <c r="F24" s="4" t="s">
        <v>383</v>
      </c>
      <c r="G24" s="4" t="s">
        <v>113</v>
      </c>
      <c r="H24" s="4" t="s">
        <v>384</v>
      </c>
      <c r="I24" s="4" t="s">
        <v>385</v>
      </c>
      <c r="J24" s="64">
        <v>8</v>
      </c>
      <c r="K24" s="94" t="s">
        <v>116</v>
      </c>
      <c r="L24" s="4" t="s">
        <v>117</v>
      </c>
      <c r="M24" s="2" t="s">
        <v>386</v>
      </c>
      <c r="N24" s="2" t="s">
        <v>387</v>
      </c>
      <c r="O24" s="2" t="s">
        <v>120</v>
      </c>
      <c r="P24" s="2" t="s">
        <v>121</v>
      </c>
      <c r="Q24" s="2" t="s">
        <v>122</v>
      </c>
      <c r="R24" s="65">
        <v>1.2</v>
      </c>
      <c r="S24" s="2" t="s">
        <v>123</v>
      </c>
      <c r="T24" s="2" t="s">
        <v>124</v>
      </c>
      <c r="U24" s="2" t="s">
        <v>388</v>
      </c>
      <c r="V24" s="2" t="s">
        <v>389</v>
      </c>
      <c r="W24" s="2" t="s">
        <v>127</v>
      </c>
      <c r="X24" s="2" t="s">
        <v>390</v>
      </c>
      <c r="Y24" s="33"/>
      <c r="Z24" s="9"/>
      <c r="AA24" s="2" t="s">
        <v>285</v>
      </c>
      <c r="AB24" s="2" t="s">
        <v>286</v>
      </c>
      <c r="AC24" s="2"/>
      <c r="AD24" s="2" t="s">
        <v>391</v>
      </c>
      <c r="AE24" s="2" t="s">
        <v>191</v>
      </c>
      <c r="AF24" s="2" t="s">
        <v>134</v>
      </c>
      <c r="AG24" s="2" t="s">
        <v>135</v>
      </c>
      <c r="AH24" s="2" t="s">
        <v>136</v>
      </c>
      <c r="AI24" s="2" t="str">
        <f t="shared" si="0"/>
        <v/>
      </c>
      <c r="AJ24" s="2" t="s">
        <v>137</v>
      </c>
      <c r="AK24" s="2" t="s">
        <v>138</v>
      </c>
      <c r="AL24" s="2" t="s">
        <v>139</v>
      </c>
      <c r="AM24" s="2">
        <f t="shared" si="1"/>
        <v>1</v>
      </c>
      <c r="AN24" s="2"/>
      <c r="AO24" s="32" t="s">
        <v>140</v>
      </c>
      <c r="AP24" s="32" t="s">
        <v>141</v>
      </c>
      <c r="AQ24" s="32"/>
      <c r="AR24" s="32" t="s">
        <v>142</v>
      </c>
      <c r="AS24" s="65">
        <f t="shared" si="2"/>
        <v>8</v>
      </c>
      <c r="AT24" s="65">
        <f t="shared" si="3"/>
        <v>1.2</v>
      </c>
      <c r="AU24" s="2" t="str">
        <f>IFERROR(INDEX('Source Review'!$B$2:$B$52,MATCH($A24,'Source Review'!$A$2:$A$52,0)),"NOT SOURCE-REVIEWED IN THIS PASS")</f>
        <v>NOT SOURCE-REVIEWED IN THIS PASS</v>
      </c>
      <c r="AV24" s="5" t="str">
        <f>IFERROR(INDEX('Source Review'!$F$2:$F$52,MATCH($A24,'Source Review'!$A$2:$A$52,0)),"")</f>
        <v/>
      </c>
      <c r="AW24" s="5" t="str">
        <f>IFERROR(INDEX('Source Review'!$G$2:$G$52,MATCH($A24,'Source Review'!$A$2:$A$52,0)),"")</f>
        <v/>
      </c>
      <c r="AX24" s="5" t="str">
        <f>IFERROR(INDEX('Source Review'!$H$2:$H$52,MATCH($A24,'Source Review'!$A$2:$A$52,0)),"")</f>
        <v/>
      </c>
      <c r="AY24" s="2" t="str">
        <f>IF(COUNTIF('Source Review'!$A$2:$A$52,$A24)&gt;0,"UNCONFIRMED REVIEW ESTIMATE - not P80 or elapsed","NOT ESTIMATED IN THIS PASS")</f>
        <v>NOT ESTIMATED IN THIS PASS</v>
      </c>
      <c r="AZ24" s="2" t="str">
        <f>IFERROR(INDEX('Source Review'!$I$2:$I$52,MATCH($A24,'Source Review'!$A$2:$A$52,0)),"")</f>
        <v/>
      </c>
      <c r="BA24" s="2" t="str">
        <f>IFERROR(INDEX('Source Review'!$E$2:$E$52,MATCH($A24,'Source Review'!$A$2:$A$52,0)),"")</f>
        <v/>
      </c>
      <c r="BB24" s="2" t="str">
        <f>IF(COUNTIF('Source Review'!$A$2:$A$52,$A24)&gt;0,"14-Sep-2026 snapshot; later closure evidence separate; no live HEAD verification","")</f>
        <v/>
      </c>
    </row>
    <row r="25" spans="1:54" ht="75.95" hidden="1" customHeight="1">
      <c r="A25" s="2" t="s">
        <v>392</v>
      </c>
      <c r="B25" s="2" t="s">
        <v>108</v>
      </c>
      <c r="C25" s="2" t="s">
        <v>109</v>
      </c>
      <c r="D25" s="2" t="s">
        <v>393</v>
      </c>
      <c r="E25" s="2" t="s">
        <v>182</v>
      </c>
      <c r="F25" s="2" t="s">
        <v>394</v>
      </c>
      <c r="G25" s="2" t="s">
        <v>113</v>
      </c>
      <c r="H25" s="2" t="s">
        <v>395</v>
      </c>
      <c r="I25" s="2" t="s">
        <v>396</v>
      </c>
      <c r="J25" s="65">
        <v>12</v>
      </c>
      <c r="K25" s="94" t="s">
        <v>116</v>
      </c>
      <c r="L25" s="2" t="s">
        <v>117</v>
      </c>
      <c r="M25" s="2" t="s">
        <v>397</v>
      </c>
      <c r="N25" s="2" t="s">
        <v>398</v>
      </c>
      <c r="O25" s="2" t="s">
        <v>120</v>
      </c>
      <c r="P25" s="2" t="s">
        <v>121</v>
      </c>
      <c r="Q25" s="2" t="s">
        <v>186</v>
      </c>
      <c r="R25" s="65">
        <v>3.2</v>
      </c>
      <c r="S25" s="2" t="s">
        <v>123</v>
      </c>
      <c r="T25" s="2" t="s">
        <v>124</v>
      </c>
      <c r="U25" s="2" t="s">
        <v>399</v>
      </c>
      <c r="V25" s="2" t="s">
        <v>400</v>
      </c>
      <c r="W25" s="2" t="s">
        <v>127</v>
      </c>
      <c r="X25" s="2" t="s">
        <v>401</v>
      </c>
      <c r="Y25" s="33" t="s">
        <v>402</v>
      </c>
      <c r="Z25" s="9"/>
      <c r="AA25" s="2" t="s">
        <v>153</v>
      </c>
      <c r="AB25" s="2" t="s">
        <v>154</v>
      </c>
      <c r="AC25" s="2" t="s">
        <v>403</v>
      </c>
      <c r="AD25" s="2" t="s">
        <v>156</v>
      </c>
      <c r="AE25" s="2" t="s">
        <v>321</v>
      </c>
      <c r="AF25" s="2" t="s">
        <v>134</v>
      </c>
      <c r="AG25" s="2" t="s">
        <v>135</v>
      </c>
      <c r="AH25" s="2" t="s">
        <v>136</v>
      </c>
      <c r="AI25" s="2" t="str">
        <f t="shared" si="0"/>
        <v>36de9370</v>
      </c>
      <c r="AJ25" s="2" t="s">
        <v>137</v>
      </c>
      <c r="AK25" s="2" t="s">
        <v>138</v>
      </c>
      <c r="AL25" s="2" t="s">
        <v>139</v>
      </c>
      <c r="AM25" s="2">
        <f t="shared" si="1"/>
        <v>1</v>
      </c>
      <c r="AN25" s="2"/>
      <c r="AO25" s="32" t="s">
        <v>140</v>
      </c>
      <c r="AP25" s="32" t="s">
        <v>404</v>
      </c>
      <c r="AQ25" s="32"/>
      <c r="AR25" s="32" t="s">
        <v>142</v>
      </c>
      <c r="AS25" s="65">
        <f t="shared" si="2"/>
        <v>12</v>
      </c>
      <c r="AT25" s="65">
        <f t="shared" si="3"/>
        <v>3.2</v>
      </c>
      <c r="AU25" s="2" t="str">
        <f>IFERROR(INDEX('Source Review'!$B$2:$B$52,MATCH($A25,'Source Review'!$A$2:$A$52,0)),"NOT SOURCE-REVIEWED IN THIS PASS")</f>
        <v>NOT SOURCE-REVIEWED IN THIS PASS</v>
      </c>
      <c r="AV25" s="5" t="str">
        <f>IFERROR(INDEX('Source Review'!$F$2:$F$52,MATCH($A25,'Source Review'!$A$2:$A$52,0)),"")</f>
        <v/>
      </c>
      <c r="AW25" s="5" t="str">
        <f>IFERROR(INDEX('Source Review'!$G$2:$G$52,MATCH($A25,'Source Review'!$A$2:$A$52,0)),"")</f>
        <v/>
      </c>
      <c r="AX25" s="5" t="str">
        <f>IFERROR(INDEX('Source Review'!$H$2:$H$52,MATCH($A25,'Source Review'!$A$2:$A$52,0)),"")</f>
        <v/>
      </c>
      <c r="AY25" s="2" t="str">
        <f>IF(COUNTIF('Source Review'!$A$2:$A$52,$A25)&gt;0,"UNCONFIRMED REVIEW ESTIMATE - not P80 or elapsed","NOT ESTIMATED IN THIS PASS")</f>
        <v>NOT ESTIMATED IN THIS PASS</v>
      </c>
      <c r="AZ25" s="2" t="str">
        <f>IFERROR(INDEX('Source Review'!$I$2:$I$52,MATCH($A25,'Source Review'!$A$2:$A$52,0)),"")</f>
        <v/>
      </c>
      <c r="BA25" s="2" t="str">
        <f>IFERROR(INDEX('Source Review'!$E$2:$E$52,MATCH($A25,'Source Review'!$A$2:$A$52,0)),"")</f>
        <v/>
      </c>
      <c r="BB25" s="2" t="str">
        <f>IF(COUNTIF('Source Review'!$A$2:$A$52,$A25)&gt;0,"14-Sep-2026 snapshot; later closure evidence separate; no live HEAD verification","")</f>
        <v/>
      </c>
    </row>
    <row r="26" spans="1:54" ht="75.95" hidden="1" customHeight="1">
      <c r="A26" s="2" t="s">
        <v>405</v>
      </c>
      <c r="B26" s="2" t="s">
        <v>108</v>
      </c>
      <c r="C26" s="2" t="s">
        <v>109</v>
      </c>
      <c r="D26" s="2" t="s">
        <v>406</v>
      </c>
      <c r="E26" s="2" t="s">
        <v>234</v>
      </c>
      <c r="F26" s="2" t="s">
        <v>407</v>
      </c>
      <c r="G26" s="2" t="s">
        <v>113</v>
      </c>
      <c r="H26" s="2" t="s">
        <v>408</v>
      </c>
      <c r="I26" s="2" t="s">
        <v>409</v>
      </c>
      <c r="J26" s="65">
        <v>2</v>
      </c>
      <c r="K26" s="92" t="s">
        <v>116</v>
      </c>
      <c r="L26" s="2" t="s">
        <v>117</v>
      </c>
      <c r="M26" s="2" t="s">
        <v>368</v>
      </c>
      <c r="N26" s="2" t="s">
        <v>410</v>
      </c>
      <c r="O26" s="2" t="s">
        <v>120</v>
      </c>
      <c r="P26" s="2" t="s">
        <v>121</v>
      </c>
      <c r="Q26" s="2" t="s">
        <v>295</v>
      </c>
      <c r="R26" s="65">
        <v>0.3</v>
      </c>
      <c r="S26" s="2" t="s">
        <v>123</v>
      </c>
      <c r="T26" s="2" t="s">
        <v>124</v>
      </c>
      <c r="U26" s="2" t="s">
        <v>411</v>
      </c>
      <c r="V26" s="2" t="s">
        <v>412</v>
      </c>
      <c r="W26" s="2" t="s">
        <v>127</v>
      </c>
      <c r="X26" s="2" t="s">
        <v>413</v>
      </c>
      <c r="Y26" s="33"/>
      <c r="Z26" s="9"/>
      <c r="AA26" s="2" t="s">
        <v>130</v>
      </c>
      <c r="AB26" s="2" t="s">
        <v>131</v>
      </c>
      <c r="AC26" s="2"/>
      <c r="AD26" s="2" t="s">
        <v>179</v>
      </c>
      <c r="AE26" s="2" t="s">
        <v>198</v>
      </c>
      <c r="AF26" s="2" t="s">
        <v>134</v>
      </c>
      <c r="AG26" s="2" t="s">
        <v>135</v>
      </c>
      <c r="AH26" s="2" t="s">
        <v>136</v>
      </c>
      <c r="AI26" s="2" t="str">
        <f t="shared" si="0"/>
        <v/>
      </c>
      <c r="AJ26" s="2" t="s">
        <v>137</v>
      </c>
      <c r="AK26" s="2" t="s">
        <v>138</v>
      </c>
      <c r="AL26" s="2" t="s">
        <v>139</v>
      </c>
      <c r="AM26" s="2">
        <f t="shared" si="1"/>
        <v>1</v>
      </c>
      <c r="AN26" s="2"/>
      <c r="AO26" s="32" t="s">
        <v>140</v>
      </c>
      <c r="AP26" s="32" t="s">
        <v>141</v>
      </c>
      <c r="AQ26" s="32"/>
      <c r="AR26" s="32" t="s">
        <v>142</v>
      </c>
      <c r="AS26" s="65">
        <f t="shared" si="2"/>
        <v>2</v>
      </c>
      <c r="AT26" s="65">
        <f t="shared" si="3"/>
        <v>0.3</v>
      </c>
      <c r="AU26" s="2" t="str">
        <f>IFERROR(INDEX('Source Review'!$B$2:$B$52,MATCH($A26,'Source Review'!$A$2:$A$52,0)),"NOT SOURCE-REVIEWED IN THIS PASS")</f>
        <v>NOT SOURCE-REVIEWED IN THIS PASS</v>
      </c>
      <c r="AV26" s="5" t="str">
        <f>IFERROR(INDEX('Source Review'!$F$2:$F$52,MATCH($A26,'Source Review'!$A$2:$A$52,0)),"")</f>
        <v/>
      </c>
      <c r="AW26" s="5" t="str">
        <f>IFERROR(INDEX('Source Review'!$G$2:$G$52,MATCH($A26,'Source Review'!$A$2:$A$52,0)),"")</f>
        <v/>
      </c>
      <c r="AX26" s="5" t="str">
        <f>IFERROR(INDEX('Source Review'!$H$2:$H$52,MATCH($A26,'Source Review'!$A$2:$A$52,0)),"")</f>
        <v/>
      </c>
      <c r="AY26" s="2" t="str">
        <f>IF(COUNTIF('Source Review'!$A$2:$A$52,$A26)&gt;0,"UNCONFIRMED REVIEW ESTIMATE - not P80 or elapsed","NOT ESTIMATED IN THIS PASS")</f>
        <v>NOT ESTIMATED IN THIS PASS</v>
      </c>
      <c r="AZ26" s="2" t="str">
        <f>IFERROR(INDEX('Source Review'!$I$2:$I$52,MATCH($A26,'Source Review'!$A$2:$A$52,0)),"")</f>
        <v/>
      </c>
      <c r="BA26" s="2" t="str">
        <f>IFERROR(INDEX('Source Review'!$E$2:$E$52,MATCH($A26,'Source Review'!$A$2:$A$52,0)),"")</f>
        <v/>
      </c>
      <c r="BB26" s="2" t="str">
        <f>IF(COUNTIF('Source Review'!$A$2:$A$52,$A26)&gt;0,"14-Sep-2026 snapshot; later closure evidence separate; no live HEAD verification","")</f>
        <v/>
      </c>
    </row>
    <row r="27" spans="1:54" ht="75.95" hidden="1" customHeight="1">
      <c r="A27" s="2" t="s">
        <v>414</v>
      </c>
      <c r="B27" s="2" t="s">
        <v>108</v>
      </c>
      <c r="C27" s="2" t="s">
        <v>109</v>
      </c>
      <c r="D27" s="2" t="s">
        <v>415</v>
      </c>
      <c r="E27" s="2" t="s">
        <v>416</v>
      </c>
      <c r="F27" s="2" t="s">
        <v>417</v>
      </c>
      <c r="G27" s="2" t="s">
        <v>113</v>
      </c>
      <c r="H27" s="2" t="s">
        <v>418</v>
      </c>
      <c r="I27" s="2" t="s">
        <v>419</v>
      </c>
      <c r="J27" s="65">
        <v>6</v>
      </c>
      <c r="K27" s="94" t="s">
        <v>116</v>
      </c>
      <c r="L27" s="2" t="s">
        <v>117</v>
      </c>
      <c r="M27" s="2" t="s">
        <v>158</v>
      </c>
      <c r="N27" s="2" t="s">
        <v>368</v>
      </c>
      <c r="O27" s="2" t="s">
        <v>120</v>
      </c>
      <c r="P27" s="2" t="s">
        <v>121</v>
      </c>
      <c r="Q27" s="2" t="s">
        <v>420</v>
      </c>
      <c r="R27" s="65">
        <v>1.8</v>
      </c>
      <c r="S27" s="2" t="s">
        <v>123</v>
      </c>
      <c r="T27" s="2" t="s">
        <v>124</v>
      </c>
      <c r="U27" s="2" t="s">
        <v>421</v>
      </c>
      <c r="V27" s="2" t="s">
        <v>422</v>
      </c>
      <c r="W27" s="2" t="s">
        <v>127</v>
      </c>
      <c r="X27" s="2" t="s">
        <v>423</v>
      </c>
      <c r="Y27" s="33"/>
      <c r="Z27" s="9"/>
      <c r="AA27" s="2" t="s">
        <v>165</v>
      </c>
      <c r="AB27" s="2" t="s">
        <v>166</v>
      </c>
      <c r="AC27" s="2" t="s">
        <v>424</v>
      </c>
      <c r="AD27" s="2" t="s">
        <v>156</v>
      </c>
      <c r="AE27" s="2" t="s">
        <v>191</v>
      </c>
      <c r="AF27" s="2" t="s">
        <v>134</v>
      </c>
      <c r="AG27" s="2" t="s">
        <v>135</v>
      </c>
      <c r="AH27" s="2" t="s">
        <v>136</v>
      </c>
      <c r="AI27" s="2" t="str">
        <f t="shared" si="0"/>
        <v/>
      </c>
      <c r="AJ27" s="2" t="s">
        <v>137</v>
      </c>
      <c r="AK27" s="2" t="s">
        <v>138</v>
      </c>
      <c r="AL27" s="2" t="s">
        <v>139</v>
      </c>
      <c r="AM27" s="2">
        <f t="shared" si="1"/>
        <v>1</v>
      </c>
      <c r="AN27" s="2"/>
      <c r="AO27" s="32" t="s">
        <v>140</v>
      </c>
      <c r="AP27" s="32" t="s">
        <v>141</v>
      </c>
      <c r="AQ27" s="32"/>
      <c r="AR27" s="32" t="s">
        <v>142</v>
      </c>
      <c r="AS27" s="65">
        <f t="shared" si="2"/>
        <v>6</v>
      </c>
      <c r="AT27" s="65">
        <f t="shared" si="3"/>
        <v>1.8</v>
      </c>
      <c r="AU27" s="2" t="str">
        <f>IFERROR(INDEX('Source Review'!$B$2:$B$52,MATCH($A27,'Source Review'!$A$2:$A$52,0)),"NOT SOURCE-REVIEWED IN THIS PASS")</f>
        <v>NOT SOURCE-REVIEWED IN THIS PASS</v>
      </c>
      <c r="AV27" s="5" t="str">
        <f>IFERROR(INDEX('Source Review'!$F$2:$F$52,MATCH($A27,'Source Review'!$A$2:$A$52,0)),"")</f>
        <v/>
      </c>
      <c r="AW27" s="5" t="str">
        <f>IFERROR(INDEX('Source Review'!$G$2:$G$52,MATCH($A27,'Source Review'!$A$2:$A$52,0)),"")</f>
        <v/>
      </c>
      <c r="AX27" s="5" t="str">
        <f>IFERROR(INDEX('Source Review'!$H$2:$H$52,MATCH($A27,'Source Review'!$A$2:$A$52,0)),"")</f>
        <v/>
      </c>
      <c r="AY27" s="2" t="str">
        <f>IF(COUNTIF('Source Review'!$A$2:$A$52,$A27)&gt;0,"UNCONFIRMED REVIEW ESTIMATE - not P80 or elapsed","NOT ESTIMATED IN THIS PASS")</f>
        <v>NOT ESTIMATED IN THIS PASS</v>
      </c>
      <c r="AZ27" s="2" t="str">
        <f>IFERROR(INDEX('Source Review'!$I$2:$I$52,MATCH($A27,'Source Review'!$A$2:$A$52,0)),"")</f>
        <v/>
      </c>
      <c r="BA27" s="2" t="str">
        <f>IFERROR(INDEX('Source Review'!$E$2:$E$52,MATCH($A27,'Source Review'!$A$2:$A$52,0)),"")</f>
        <v/>
      </c>
      <c r="BB27" s="2" t="str">
        <f>IF(COUNTIF('Source Review'!$A$2:$A$52,$A27)&gt;0,"14-Sep-2026 snapshot; later closure evidence separate; no live HEAD verification","")</f>
        <v/>
      </c>
    </row>
    <row r="28" spans="1:54" ht="75.95" hidden="1" customHeight="1">
      <c r="A28" s="2" t="s">
        <v>425</v>
      </c>
      <c r="B28" s="2" t="s">
        <v>108</v>
      </c>
      <c r="C28" s="2" t="s">
        <v>426</v>
      </c>
      <c r="D28" s="2" t="s">
        <v>427</v>
      </c>
      <c r="E28" s="2" t="s">
        <v>182</v>
      </c>
      <c r="F28" s="2" t="s">
        <v>428</v>
      </c>
      <c r="G28" s="2" t="s">
        <v>113</v>
      </c>
      <c r="H28" s="2" t="s">
        <v>429</v>
      </c>
      <c r="I28" s="2" t="s">
        <v>430</v>
      </c>
      <c r="J28" s="65">
        <v>12</v>
      </c>
      <c r="K28" s="94" t="s">
        <v>116</v>
      </c>
      <c r="L28" s="2" t="s">
        <v>117</v>
      </c>
      <c r="M28" s="2" t="s">
        <v>431</v>
      </c>
      <c r="N28" s="2" t="s">
        <v>432</v>
      </c>
      <c r="O28" s="2" t="s">
        <v>120</v>
      </c>
      <c r="P28" s="2" t="s">
        <v>121</v>
      </c>
      <c r="Q28" s="2" t="s">
        <v>186</v>
      </c>
      <c r="R28" s="65">
        <v>1.7999999999999998</v>
      </c>
      <c r="S28" s="2" t="s">
        <v>433</v>
      </c>
      <c r="T28" s="2" t="s">
        <v>124</v>
      </c>
      <c r="U28" s="2" t="s">
        <v>125</v>
      </c>
      <c r="V28" s="2" t="s">
        <v>126</v>
      </c>
      <c r="W28" s="2" t="s">
        <v>434</v>
      </c>
      <c r="X28" s="2" t="s">
        <v>435</v>
      </c>
      <c r="Y28" s="33" t="s">
        <v>436</v>
      </c>
      <c r="Z28" s="9">
        <v>46272</v>
      </c>
      <c r="AA28" s="2" t="s">
        <v>437</v>
      </c>
      <c r="AB28" s="2" t="s">
        <v>438</v>
      </c>
      <c r="AC28" s="2"/>
      <c r="AD28" s="2" t="s">
        <v>179</v>
      </c>
      <c r="AE28" s="2" t="s">
        <v>210</v>
      </c>
      <c r="AF28" s="2" t="s">
        <v>134</v>
      </c>
      <c r="AG28" s="2" t="s">
        <v>135</v>
      </c>
      <c r="AH28" s="2" t="s">
        <v>136</v>
      </c>
      <c r="AI28" s="2" t="str">
        <f t="shared" si="0"/>
        <v>554d1ac02af122fdeb7ca54b1dd35bac0c76f23e — subject not recovered</v>
      </c>
      <c r="AJ28" s="2" t="s">
        <v>137</v>
      </c>
      <c r="AK28" s="2" t="s">
        <v>138</v>
      </c>
      <c r="AL28" s="2" t="s">
        <v>139</v>
      </c>
      <c r="AM28" s="2">
        <f t="shared" si="1"/>
        <v>1</v>
      </c>
      <c r="AN28" s="2"/>
      <c r="AO28" s="32" t="s">
        <v>140</v>
      </c>
      <c r="AP28" s="32" t="s">
        <v>141</v>
      </c>
      <c r="AQ28" s="32"/>
      <c r="AR28" s="32" t="s">
        <v>142</v>
      </c>
      <c r="AS28" s="65">
        <f t="shared" si="2"/>
        <v>12</v>
      </c>
      <c r="AT28" s="65">
        <f t="shared" si="3"/>
        <v>1.7999999999999998</v>
      </c>
      <c r="AU28" s="2" t="str">
        <f>IFERROR(INDEX('Source Review'!$B$2:$B$52,MATCH($A28,'Source Review'!$A$2:$A$52,0)),"NOT SOURCE-REVIEWED IN THIS PASS")</f>
        <v>SOURCE CORROBORATES CLOSED FOUNDATION</v>
      </c>
      <c r="AV28" s="5">
        <f>IFERROR(INDEX('Source Review'!$F$2:$F$52,MATCH($A28,'Source Review'!$A$2:$A$52,0)),"")</f>
        <v>0</v>
      </c>
      <c r="AW28" s="5">
        <f>IFERROR(INDEX('Source Review'!$G$2:$G$52,MATCH($A28,'Source Review'!$A$2:$A$52,0)),"")</f>
        <v>0</v>
      </c>
      <c r="AX28" s="5">
        <f>IFERROR(INDEX('Source Review'!$H$2:$H$52,MATCH($A28,'Source Review'!$A$2:$A$52,0)),"")</f>
        <v>0</v>
      </c>
      <c r="AY28" s="2" t="str">
        <f>IF(COUNTIF('Source Review'!$A$2:$A$52,$A28)&gt;0,"UNCONFIRMED REVIEW ESTIMATE - not P80 or elapsed","NOT ESTIMATED IN THIS PASS")</f>
        <v>UNCONFIRMED REVIEW ESTIMATE - not P80 or elapsed</v>
      </c>
      <c r="AZ28" s="2" t="str">
        <f>IFERROR(INDEX('Source Review'!$I$2:$I$52,MATCH($A28,'Source Review'!$A$2:$A$52,0)),"")</f>
        <v>Closed original scope; zero remaining here does not certify downstream Canvas integration.</v>
      </c>
      <c r="BA28" s="2" t="str">
        <f>IFERROR(INDEX('Source Review'!$E$2:$E$52,MATCH($A28,'Source Review'!$A$2:$A$52,0)),"")</f>
        <v>Backend/PlantProcess.Application/Relationships/RelationshipService.cs:145-217 — PublishAsync
Backend/PlantProcess.Application/Relationships/RelationshipService.cs:218-260 — ValidateDeclaration</v>
      </c>
      <c r="BB28" s="2" t="str">
        <f>IF(COUNTIF('Source Review'!$A$2:$A$52,$A28)&gt;0,"14-Sep-2026 snapshot; later closure evidence separate; no live HEAD verification","")</f>
        <v>14-Sep-2026 snapshot; later closure evidence separate; no live HEAD verification</v>
      </c>
    </row>
    <row r="29" spans="1:54" ht="75.95" hidden="1" customHeight="1">
      <c r="A29" s="2" t="s">
        <v>439</v>
      </c>
      <c r="B29" s="2" t="s">
        <v>108</v>
      </c>
      <c r="C29" s="2" t="s">
        <v>426</v>
      </c>
      <c r="D29" s="2" t="s">
        <v>440</v>
      </c>
      <c r="E29" s="2" t="s">
        <v>182</v>
      </c>
      <c r="F29" s="2" t="s">
        <v>428</v>
      </c>
      <c r="G29" s="2" t="s">
        <v>113</v>
      </c>
      <c r="H29" s="2" t="s">
        <v>441</v>
      </c>
      <c r="I29" s="2" t="s">
        <v>442</v>
      </c>
      <c r="J29" s="65">
        <v>8</v>
      </c>
      <c r="K29" s="94" t="s">
        <v>116</v>
      </c>
      <c r="L29" s="2" t="s">
        <v>117</v>
      </c>
      <c r="M29" s="2" t="s">
        <v>425</v>
      </c>
      <c r="N29" s="2" t="s">
        <v>443</v>
      </c>
      <c r="O29" s="2" t="s">
        <v>120</v>
      </c>
      <c r="P29" s="2" t="s">
        <v>121</v>
      </c>
      <c r="Q29" s="2" t="s">
        <v>186</v>
      </c>
      <c r="R29" s="65">
        <v>1.2000000000000002</v>
      </c>
      <c r="S29" s="2" t="s">
        <v>433</v>
      </c>
      <c r="T29" s="2" t="s">
        <v>124</v>
      </c>
      <c r="U29" s="2" t="s">
        <v>125</v>
      </c>
      <c r="V29" s="2" t="s">
        <v>126</v>
      </c>
      <c r="W29" s="2" t="s">
        <v>434</v>
      </c>
      <c r="X29" s="2" t="s">
        <v>435</v>
      </c>
      <c r="Y29" s="33" t="s">
        <v>444</v>
      </c>
      <c r="Z29" s="9">
        <v>46273</v>
      </c>
      <c r="AA29" s="2" t="s">
        <v>437</v>
      </c>
      <c r="AB29" s="2" t="s">
        <v>438</v>
      </c>
      <c r="AC29" s="2"/>
      <c r="AD29" s="2" t="s">
        <v>179</v>
      </c>
      <c r="AE29" s="2" t="s">
        <v>198</v>
      </c>
      <c r="AF29" s="2" t="s">
        <v>134</v>
      </c>
      <c r="AG29" s="2" t="s">
        <v>135</v>
      </c>
      <c r="AH29" s="2" t="s">
        <v>136</v>
      </c>
      <c r="AI29" s="2" t="str">
        <f t="shared" si="0"/>
        <v>de243027073fc5e492d65e9f9845255342517510 — T-096 relationship resolver consumer convergence</v>
      </c>
      <c r="AJ29" s="2" t="s">
        <v>137</v>
      </c>
      <c r="AK29" s="2" t="s">
        <v>138</v>
      </c>
      <c r="AL29" s="2" t="s">
        <v>139</v>
      </c>
      <c r="AM29" s="2">
        <f t="shared" si="1"/>
        <v>1</v>
      </c>
      <c r="AN29" s="2"/>
      <c r="AO29" s="32" t="s">
        <v>140</v>
      </c>
      <c r="AP29" s="32" t="s">
        <v>141</v>
      </c>
      <c r="AQ29" s="32"/>
      <c r="AR29" s="32" t="s">
        <v>142</v>
      </c>
      <c r="AS29" s="65">
        <f t="shared" si="2"/>
        <v>8</v>
      </c>
      <c r="AT29" s="65">
        <f t="shared" si="3"/>
        <v>1.2000000000000002</v>
      </c>
      <c r="AU29" s="2" t="str">
        <f>IFERROR(INDEX('Source Review'!$B$2:$B$52,MATCH($A29,'Source Review'!$A$2:$A$52,0)),"NOT SOURCE-REVIEWED IN THIS PASS")</f>
        <v>SOURCE CORROBORATES CLOSED FOUNDATION</v>
      </c>
      <c r="AV29" s="5">
        <f>IFERROR(INDEX('Source Review'!$F$2:$F$52,MATCH($A29,'Source Review'!$A$2:$A$52,0)),"")</f>
        <v>0</v>
      </c>
      <c r="AW29" s="5">
        <f>IFERROR(INDEX('Source Review'!$G$2:$G$52,MATCH($A29,'Source Review'!$A$2:$A$52,0)),"")</f>
        <v>0</v>
      </c>
      <c r="AX29" s="5">
        <f>IFERROR(INDEX('Source Review'!$H$2:$H$52,MATCH($A29,'Source Review'!$A$2:$A$52,0)),"")</f>
        <v>0</v>
      </c>
      <c r="AY29" s="2" t="str">
        <f>IF(COUNTIF('Source Review'!$A$2:$A$52,$A29)&gt;0,"UNCONFIRMED REVIEW ESTIMATE - not P80 or elapsed","NOT ESTIMATED IN THIS PASS")</f>
        <v>UNCONFIRMED REVIEW ESTIMATE - not P80 or elapsed</v>
      </c>
      <c r="AZ29" s="2" t="str">
        <f>IFERROR(INDEX('Source Review'!$I$2:$I$52,MATCH($A29,'Source Review'!$A$2:$A$52,0)),"")</f>
        <v>Original resolver/convergence closure retained; no rebuilding cost.</v>
      </c>
      <c r="BA29" s="2" t="str">
        <f>IFERROR(INDEX('Source Review'!$E$2:$E$52,MATCH($A29,'Source Review'!$A$2:$A$52,0)),"")</f>
        <v>Backend/PlantProcess.Application/Relationships/RelationshipResolver.cs:34-113 — ResolveAsync
Backend/tests/PlantProcess.Architecture.Tests/RelationshipConsumerBarrierTests.cs:55-96 — ConsumerFamilies</v>
      </c>
      <c r="BB29" s="2" t="str">
        <f>IF(COUNTIF('Source Review'!$A$2:$A$52,$A29)&gt;0,"14-Sep-2026 snapshot; later closure evidence separate; no live HEAD verification","")</f>
        <v>14-Sep-2026 snapshot; later closure evidence separate; no live HEAD verification</v>
      </c>
    </row>
    <row r="30" spans="1:54" ht="75.95" hidden="1" customHeight="1">
      <c r="A30" s="2" t="s">
        <v>445</v>
      </c>
      <c r="B30" s="2" t="s">
        <v>108</v>
      </c>
      <c r="C30" s="2" t="s">
        <v>426</v>
      </c>
      <c r="D30" s="2" t="s">
        <v>446</v>
      </c>
      <c r="E30" s="2" t="s">
        <v>182</v>
      </c>
      <c r="F30" s="2" t="s">
        <v>428</v>
      </c>
      <c r="G30" s="2" t="s">
        <v>113</v>
      </c>
      <c r="H30" s="2" t="s">
        <v>447</v>
      </c>
      <c r="I30" s="2" t="s">
        <v>448</v>
      </c>
      <c r="J30" s="65">
        <v>6</v>
      </c>
      <c r="K30" s="94" t="s">
        <v>116</v>
      </c>
      <c r="L30" s="2" t="s">
        <v>117</v>
      </c>
      <c r="M30" s="2" t="s">
        <v>439</v>
      </c>
      <c r="N30" s="2" t="s">
        <v>449</v>
      </c>
      <c r="O30" s="2" t="s">
        <v>120</v>
      </c>
      <c r="P30" s="2" t="s">
        <v>121</v>
      </c>
      <c r="Q30" s="2" t="s">
        <v>186</v>
      </c>
      <c r="R30" s="65">
        <v>0.89999999999999991</v>
      </c>
      <c r="S30" s="2" t="s">
        <v>433</v>
      </c>
      <c r="T30" s="2" t="s">
        <v>124</v>
      </c>
      <c r="U30" s="2" t="s">
        <v>125</v>
      </c>
      <c r="V30" s="2" t="s">
        <v>126</v>
      </c>
      <c r="W30" s="2" t="s">
        <v>434</v>
      </c>
      <c r="X30" s="2" t="s">
        <v>435</v>
      </c>
      <c r="Y30" s="33" t="s">
        <v>450</v>
      </c>
      <c r="Z30" s="9">
        <v>46273</v>
      </c>
      <c r="AA30" s="2" t="s">
        <v>437</v>
      </c>
      <c r="AB30" s="2" t="s">
        <v>438</v>
      </c>
      <c r="AC30" s="2"/>
      <c r="AD30" s="2" t="s">
        <v>179</v>
      </c>
      <c r="AE30" s="2" t="s">
        <v>198</v>
      </c>
      <c r="AF30" s="2" t="s">
        <v>134</v>
      </c>
      <c r="AG30" s="2" t="s">
        <v>135</v>
      </c>
      <c r="AH30" s="2" t="s">
        <v>136</v>
      </c>
      <c r="AI30" s="2" t="str">
        <f t="shared" si="0"/>
        <v>95220d1804493f8e7b80347fe3ed4de24741f9ec — T-097 relationship consumer barrier across all sixteen families</v>
      </c>
      <c r="AJ30" s="2" t="s">
        <v>137</v>
      </c>
      <c r="AK30" s="2" t="s">
        <v>138</v>
      </c>
      <c r="AL30" s="2" t="s">
        <v>139</v>
      </c>
      <c r="AM30" s="2">
        <f t="shared" si="1"/>
        <v>1</v>
      </c>
      <c r="AN30" s="2"/>
      <c r="AO30" s="32" t="s">
        <v>140</v>
      </c>
      <c r="AP30" s="32" t="s">
        <v>141</v>
      </c>
      <c r="AQ30" s="32"/>
      <c r="AR30" s="32" t="s">
        <v>142</v>
      </c>
      <c r="AS30" s="65">
        <f t="shared" si="2"/>
        <v>6</v>
      </c>
      <c r="AT30" s="65">
        <f t="shared" si="3"/>
        <v>0.89999999999999991</v>
      </c>
      <c r="AU30" s="2" t="str">
        <f>IFERROR(INDEX('Source Review'!$B$2:$B$52,MATCH($A30,'Source Review'!$A$2:$A$52,0)),"NOT SOURCE-REVIEWED IN THIS PASS")</f>
        <v>SOURCE CORROBORATES CLOSED GUARD</v>
      </c>
      <c r="AV30" s="5">
        <f>IFERROR(INDEX('Source Review'!$F$2:$F$52,MATCH($A30,'Source Review'!$A$2:$A$52,0)),"")</f>
        <v>0</v>
      </c>
      <c r="AW30" s="5">
        <f>IFERROR(INDEX('Source Review'!$G$2:$G$52,MATCH($A30,'Source Review'!$A$2:$A$52,0)),"")</f>
        <v>0</v>
      </c>
      <c r="AX30" s="5">
        <f>IFERROR(INDEX('Source Review'!$H$2:$H$52,MATCH($A30,'Source Review'!$A$2:$A$52,0)),"")</f>
        <v>0</v>
      </c>
      <c r="AY30" s="2" t="str">
        <f>IF(COUNTIF('Source Review'!$A$2:$A$52,$A30)&gt;0,"UNCONFIRMED REVIEW ESTIMATE - not P80 or elapsed","NOT ESTIMATED IN THIS PASS")</f>
        <v>UNCONFIRMED REVIEW ESTIMATE - not P80 or elapsed</v>
      </c>
      <c r="AZ30" s="2" t="str">
        <f>IFERROR(INDEX('Source Review'!$I$2:$I$52,MATCH($A30,'Source Review'!$A$2:$A$52,0)),"")</f>
        <v>No remaining original implementation; avoid counting unwired later engines against this completed guard.</v>
      </c>
      <c r="BA30" s="2" t="str">
        <f>IFERROR(INDEX('Source Review'!$E$2:$E$52,MATCH($A30,'Source Review'!$A$2:$A$52,0)),"")</f>
        <v>Backend/tests/PlantProcess.Architecture.Tests/RelationshipConsumerBarrierTests.cs:12-44 — barrier semantics
Backend/tests/PlantProcess.Architecture.Tests/RelationshipConsumerBarrierTests.cs:55-114 — consumer and forbidden-authority inventory</v>
      </c>
      <c r="BB30" s="2" t="str">
        <f>IF(COUNTIF('Source Review'!$A$2:$A$52,$A30)&gt;0,"14-Sep-2026 snapshot; later closure evidence separate; no live HEAD verification","")</f>
        <v>14-Sep-2026 snapshot; later closure evidence separate; no live HEAD verification</v>
      </c>
    </row>
    <row r="31" spans="1:54" ht="75.95" hidden="1" customHeight="1">
      <c r="A31" s="2" t="s">
        <v>451</v>
      </c>
      <c r="B31" s="2" t="s">
        <v>108</v>
      </c>
      <c r="C31" s="2" t="s">
        <v>426</v>
      </c>
      <c r="D31" s="2" t="s">
        <v>452</v>
      </c>
      <c r="E31" s="2" t="s">
        <v>264</v>
      </c>
      <c r="F31" s="2" t="s">
        <v>428</v>
      </c>
      <c r="G31" s="2" t="s">
        <v>160</v>
      </c>
      <c r="H31" s="2" t="s">
        <v>453</v>
      </c>
      <c r="I31" s="2" t="s">
        <v>454</v>
      </c>
      <c r="J31" s="65">
        <v>12</v>
      </c>
      <c r="K31" s="94" t="s">
        <v>455</v>
      </c>
      <c r="L31" s="2" t="s">
        <v>36</v>
      </c>
      <c r="M31" s="2" t="s">
        <v>456</v>
      </c>
      <c r="N31" s="2" t="s">
        <v>457</v>
      </c>
      <c r="O31" s="2" t="s">
        <v>120</v>
      </c>
      <c r="P31" s="2" t="s">
        <v>121</v>
      </c>
      <c r="Q31" s="2" t="s">
        <v>458</v>
      </c>
      <c r="R31" s="65">
        <v>2</v>
      </c>
      <c r="S31" s="2" t="s">
        <v>433</v>
      </c>
      <c r="T31" s="2" t="s">
        <v>459</v>
      </c>
      <c r="U31" s="2" t="s">
        <v>460</v>
      </c>
      <c r="V31" s="2" t="s">
        <v>126</v>
      </c>
      <c r="W31" s="2" t="s">
        <v>434</v>
      </c>
      <c r="X31" s="2" t="s">
        <v>435</v>
      </c>
      <c r="Y31" s="33"/>
      <c r="Z31" s="9"/>
      <c r="AA31" s="2" t="s">
        <v>437</v>
      </c>
      <c r="AB31" s="2" t="s">
        <v>438</v>
      </c>
      <c r="AC31" s="2"/>
      <c r="AD31" s="2" t="s">
        <v>179</v>
      </c>
      <c r="AE31" s="2" t="s">
        <v>367</v>
      </c>
      <c r="AF31" s="2" t="s">
        <v>134</v>
      </c>
      <c r="AG31" s="2" t="s">
        <v>135</v>
      </c>
      <c r="AH31" s="2" t="s">
        <v>136</v>
      </c>
      <c r="AI31" s="2" t="str">
        <f t="shared" si="0"/>
        <v/>
      </c>
      <c r="AJ31" s="2" t="s">
        <v>137</v>
      </c>
      <c r="AK31" s="2" t="s">
        <v>138</v>
      </c>
      <c r="AL31" s="2" t="s">
        <v>461</v>
      </c>
      <c r="AM31" s="2">
        <f t="shared" si="1"/>
        <v>1</v>
      </c>
      <c r="AN31" s="2"/>
      <c r="AO31" s="32" t="s">
        <v>462</v>
      </c>
      <c r="AP31" s="32" t="s">
        <v>141</v>
      </c>
      <c r="AQ31" s="32"/>
      <c r="AR31" s="32" t="s">
        <v>142</v>
      </c>
      <c r="AS31" s="65">
        <f t="shared" si="2"/>
        <v>12</v>
      </c>
      <c r="AT31" s="65">
        <f t="shared" si="3"/>
        <v>2</v>
      </c>
      <c r="AU31" s="2" t="str">
        <f>IFERROR(INDEX('Source Review'!$B$2:$B$52,MATCH($A31,'Source Review'!$A$2:$A$52,0)),"NOT SOURCE-REVIEWED IN THIS PASS")</f>
        <v>REUSABLE BACKEND PRESENT; CANONICAL UI NOT LOCATED</v>
      </c>
      <c r="AV31" s="5">
        <f>IFERROR(INDEX('Source Review'!$F$2:$F$52,MATCH($A31,'Source Review'!$A$2:$A$52,0)),"")</f>
        <v>6</v>
      </c>
      <c r="AW31" s="5">
        <f>IFERROR(INDEX('Source Review'!$G$2:$G$52,MATCH($A31,'Source Review'!$A$2:$A$52,0)),"")</f>
        <v>9</v>
      </c>
      <c r="AX31" s="5">
        <f>IFERROR(INDEX('Source Review'!$H$2:$H$52,MATCH($A31,'Source Review'!$A$2:$A$52,0)),"")</f>
        <v>14</v>
      </c>
      <c r="AY31" s="2" t="str">
        <f>IF(COUNTIF('Source Review'!$A$2:$A$52,$A31)&gt;0,"UNCONFIRMED REVIEW ESTIMATE - not P80 or elapsed","NOT ESTIMATED IN THIS PASS")</f>
        <v>UNCONFIRMED REVIEW ESTIMATE - not P80 or elapsed</v>
      </c>
      <c r="AZ31" s="2" t="str">
        <f>IFERROR(INDEX('Source Review'!$I$2:$I$52,MATCH($A31,'Source Review'!$A$2:$A$52,0)),"")</f>
        <v>UI 4/6/9 + contract/negative tests 1/2/3 + targeted closure 1/1/2. Reuse all relationship producer work.</v>
      </c>
      <c r="BA31" s="2" t="str">
        <f>IFERROR(INDEX('Source Review'!$E$2:$E$52,MATCH($A31,'Source Review'!$A$2:$A$52,0)),"")</f>
        <v>Backend/PlantProcess.Api/Endpoints/Relationships/RelationshipEndpoints.cs:21-92 — MapRelationshipEndpoints
Backend/PlantProcess.Application/Relationships/RelationshipResolver.cs:62-113 — path results</v>
      </c>
      <c r="BB31" s="2" t="str">
        <f>IF(COUNTIF('Source Review'!$A$2:$A$52,$A31)&gt;0,"14-Sep-2026 snapshot; later closure evidence separate; no live HEAD verification","")</f>
        <v>14-Sep-2026 snapshot; later closure evidence separate; no live HEAD verification</v>
      </c>
    </row>
    <row r="32" spans="1:54" ht="75.95" hidden="1" customHeight="1">
      <c r="A32" s="2" t="s">
        <v>463</v>
      </c>
      <c r="B32" s="2" t="s">
        <v>108</v>
      </c>
      <c r="C32" s="2" t="s">
        <v>426</v>
      </c>
      <c r="D32" s="2" t="s">
        <v>464</v>
      </c>
      <c r="E32" s="2" t="s">
        <v>182</v>
      </c>
      <c r="F32" s="2" t="s">
        <v>465</v>
      </c>
      <c r="G32" s="2" t="s">
        <v>113</v>
      </c>
      <c r="H32" s="2" t="s">
        <v>466</v>
      </c>
      <c r="I32" s="2" t="s">
        <v>467</v>
      </c>
      <c r="J32" s="65">
        <v>8</v>
      </c>
      <c r="K32" s="94" t="s">
        <v>116</v>
      </c>
      <c r="L32" s="2" t="s">
        <v>117</v>
      </c>
      <c r="M32" s="2" t="s">
        <v>468</v>
      </c>
      <c r="N32" s="2" t="s">
        <v>469</v>
      </c>
      <c r="O32" s="2" t="s">
        <v>120</v>
      </c>
      <c r="P32" s="2" t="s">
        <v>121</v>
      </c>
      <c r="Q32" s="2" t="s">
        <v>186</v>
      </c>
      <c r="R32" s="65">
        <v>1.2000000000000002</v>
      </c>
      <c r="S32" s="2" t="s">
        <v>433</v>
      </c>
      <c r="T32" s="2" t="s">
        <v>124</v>
      </c>
      <c r="U32" s="2" t="s">
        <v>125</v>
      </c>
      <c r="V32" s="2" t="s">
        <v>126</v>
      </c>
      <c r="W32" s="2" t="s">
        <v>434</v>
      </c>
      <c r="X32" s="2" t="s">
        <v>470</v>
      </c>
      <c r="Y32" s="33" t="s">
        <v>12</v>
      </c>
      <c r="Z32" s="9"/>
      <c r="AA32" s="2" t="s">
        <v>471</v>
      </c>
      <c r="AB32" s="2" t="s">
        <v>472</v>
      </c>
      <c r="AC32" s="2"/>
      <c r="AD32" s="2" t="s">
        <v>179</v>
      </c>
      <c r="AE32" s="2" t="s">
        <v>191</v>
      </c>
      <c r="AF32" s="2" t="s">
        <v>134</v>
      </c>
      <c r="AG32" s="2" t="s">
        <v>135</v>
      </c>
      <c r="AH32" s="2" t="s">
        <v>136</v>
      </c>
      <c r="AI32" s="2" t="str">
        <f t="shared" si="0"/>
        <v>ca02b40ea1b69050a45cb35a3e1d64f15b1f66af</v>
      </c>
      <c r="AJ32" s="2" t="s">
        <v>137</v>
      </c>
      <c r="AK32" s="2" t="s">
        <v>138</v>
      </c>
      <c r="AL32" s="2" t="s">
        <v>139</v>
      </c>
      <c r="AM32" s="2">
        <f t="shared" si="1"/>
        <v>1</v>
      </c>
      <c r="AN32" s="2"/>
      <c r="AO32" s="32" t="s">
        <v>473</v>
      </c>
      <c r="AP32" s="32" t="s">
        <v>474</v>
      </c>
      <c r="AQ32" s="32" t="s">
        <v>475</v>
      </c>
      <c r="AR32" s="32" t="s">
        <v>142</v>
      </c>
      <c r="AS32" s="65">
        <f t="shared" si="2"/>
        <v>8</v>
      </c>
      <c r="AT32" s="65">
        <f t="shared" si="3"/>
        <v>1.2000000000000002</v>
      </c>
      <c r="AU32" s="2" t="str">
        <f>IFERROR(INDEX('Source Review'!$B$2:$B$52,MATCH($A32,'Source Review'!$A$2:$A$52,0)),"NOT SOURCE-REVIEWED IN THIS PASS")</f>
        <v>CLOSED SCOPE PRESERVED; SOURCE CORROBORATES</v>
      </c>
      <c r="AV32" s="5">
        <f>IFERROR(INDEX('Source Review'!$F$2:$F$52,MATCH($A32,'Source Review'!$A$2:$A$52,0)),"")</f>
        <v>0</v>
      </c>
      <c r="AW32" s="5">
        <f>IFERROR(INDEX('Source Review'!$G$2:$G$52,MATCH($A32,'Source Review'!$A$2:$A$52,0)),"")</f>
        <v>0</v>
      </c>
      <c r="AX32" s="5">
        <f>IFERROR(INDEX('Source Review'!$H$2:$H$52,MATCH($A32,'Source Review'!$A$2:$A$52,0)),"")</f>
        <v>0</v>
      </c>
      <c r="AY32" s="2" t="str">
        <f>IF(COUNTIF('Source Review'!$A$2:$A$52,$A32)&gt;0,"UNCONFIRMED REVIEW ESTIMATE - not P80 or elapsed","NOT ESTIMATED IN THIS PASS")</f>
        <v>UNCONFIRMED REVIEW ESTIMATE - not P80 or elapsed</v>
      </c>
      <c r="AZ32" s="2" t="str">
        <f>IFERROR(INDEX('Source Review'!$I$2:$I$52,MATCH($A32,'Source Review'!$A$2:$A$52,0)),"")</f>
        <v>T-099 CLOSED GREEN at ca02b40e; its inherited DefinitionKind RED is not a reason to budget a rewrite.</v>
      </c>
      <c r="BA32" s="2" t="str">
        <f>IFERROR(INDEX('Source Review'!$E$2:$E$52,MATCH($A32,'Source Review'!$A$2:$A$52,0)),"")</f>
        <v>Backend/PlantProcess.Application/Integration/Services/Mapping/MappingRowProjector.cs:141-181 — MapMaterialUnitAsync
Backend/PlantProcess.Api/Endpoints/Quarantine/QuarantineEndpoints.cs:8-33 — bounded reprocess surface
Backend/database/scripts/841_genealogy_edge_weight_guard_topology_parity.sql:3-20 — narrow topology correction</v>
      </c>
      <c r="BB32" s="2" t="str">
        <f>IF(COUNTIF('Source Review'!$A$2:$A$52,$A32)&gt;0,"14-Sep-2026 snapshot; later closure evidence separate; no live HEAD verification","")</f>
        <v>14-Sep-2026 snapshot; later closure evidence separate; no live HEAD verification</v>
      </c>
    </row>
    <row r="33" spans="1:54" ht="75.95" hidden="1" customHeight="1">
      <c r="A33" s="4" t="s">
        <v>476</v>
      </c>
      <c r="B33" s="4" t="s">
        <v>108</v>
      </c>
      <c r="C33" s="4" t="s">
        <v>426</v>
      </c>
      <c r="D33" s="4" t="s">
        <v>477</v>
      </c>
      <c r="E33" s="4" t="s">
        <v>182</v>
      </c>
      <c r="F33" s="4" t="s">
        <v>465</v>
      </c>
      <c r="G33" s="4" t="s">
        <v>113</v>
      </c>
      <c r="H33" s="4" t="s">
        <v>478</v>
      </c>
      <c r="I33" s="4" t="s">
        <v>479</v>
      </c>
      <c r="J33" s="93">
        <v>6</v>
      </c>
      <c r="K33" s="94" t="s">
        <v>116</v>
      </c>
      <c r="L33" s="4" t="s">
        <v>117</v>
      </c>
      <c r="M33" s="2" t="s">
        <v>463</v>
      </c>
      <c r="N33" s="2" t="s">
        <v>480</v>
      </c>
      <c r="O33" s="2" t="s">
        <v>120</v>
      </c>
      <c r="P33" s="2" t="s">
        <v>121</v>
      </c>
      <c r="Q33" s="2" t="s">
        <v>186</v>
      </c>
      <c r="R33" s="65">
        <v>0.89999999999999991</v>
      </c>
      <c r="S33" s="2" t="s">
        <v>433</v>
      </c>
      <c r="T33" s="2" t="s">
        <v>481</v>
      </c>
      <c r="U33" s="2" t="s">
        <v>482</v>
      </c>
      <c r="V33" s="2" t="s">
        <v>483</v>
      </c>
      <c r="W33" s="2" t="s">
        <v>434</v>
      </c>
      <c r="X33" s="2" t="s">
        <v>435</v>
      </c>
      <c r="Y33" s="33"/>
      <c r="Z33" s="9"/>
      <c r="AA33" s="2" t="s">
        <v>471</v>
      </c>
      <c r="AB33" s="2" t="s">
        <v>472</v>
      </c>
      <c r="AC33" s="2"/>
      <c r="AD33" s="2" t="s">
        <v>179</v>
      </c>
      <c r="AE33" s="2" t="s">
        <v>198</v>
      </c>
      <c r="AF33" s="2" t="s">
        <v>134</v>
      </c>
      <c r="AG33" s="2" t="s">
        <v>135</v>
      </c>
      <c r="AH33" s="2" t="s">
        <v>136</v>
      </c>
      <c r="AI33" s="2" t="str">
        <f t="shared" si="0"/>
        <v/>
      </c>
      <c r="AJ33" s="2" t="s">
        <v>484</v>
      </c>
      <c r="AK33" s="2" t="s">
        <v>138</v>
      </c>
      <c r="AL33" s="2" t="s">
        <v>139</v>
      </c>
      <c r="AM33" s="2">
        <f t="shared" si="1"/>
        <v>0</v>
      </c>
      <c r="AN33" s="2"/>
      <c r="AO33" s="32" t="s">
        <v>31</v>
      </c>
      <c r="AP33" s="32" t="s">
        <v>485</v>
      </c>
      <c r="AQ33" s="32"/>
      <c r="AR33" s="32" t="s">
        <v>486</v>
      </c>
      <c r="AS33" s="65" t="str">
        <f t="shared" si="2"/>
        <v/>
      </c>
      <c r="AT33" s="65" t="str">
        <f t="shared" si="3"/>
        <v/>
      </c>
      <c r="AU33" s="2" t="str">
        <f>IFERROR(INDEX('Source Review'!$B$2:$B$52,MATCH($A33,'Source Review'!$A$2:$A$52,0)),"NOT SOURCE-REVIEWED IN THIS PASS")</f>
        <v>RUNNER 1 GREEN REPORTED / DB BUILD PASSED / LIVE HARNESS BLOCKED / UNCOMMITTED</v>
      </c>
      <c r="AV33" s="5" t="str">
        <f>IFERROR(INDEX('Source Review'!$F$2:$F$52,MATCH($A33,'Source Review'!$A$2:$A$52,0)),"")</f>
        <v>UNCONFIRMED</v>
      </c>
      <c r="AW33" s="5" t="str">
        <f>IFERROR(INDEX('Source Review'!$G$2:$G$52,MATCH($A33,'Source Review'!$A$2:$A$52,0)),"")</f>
        <v>UNCONFIRMED</v>
      </c>
      <c r="AX33" s="5" t="str">
        <f>IFERROR(INDEX('Source Review'!$H$2:$H$52,MATCH($A33,'Source Review'!$A$2:$A$52,0)),"")</f>
        <v>UNCONFIRMED</v>
      </c>
      <c r="AY33" s="2" t="s">
        <v>487</v>
      </c>
      <c r="AZ33" s="2" t="str">
        <f>IFERROR(INDEX('Source Review'!$I$2:$I$52,MATCH($A33,'Source Review'!$A$2:$A$52,0)),"")</f>
        <v>SUPERSEDED: prior remaining LOW/BASE/HIGH 6/10/16 h included validators and unit tests now reported complete. Do not charge that implementation again. Closure-only remaining effort (harness recovery, live certification, cleanup, commit proof) is UNCONFIRMED, not zero; no invented elapsed time or calibrated P80. Preserve J/R as historical scope values, excluded from usable totals.</v>
      </c>
      <c r="BA33" s="2" t="str">
        <f>IFERROR(INDEX('Source Review'!$E$2:$E$52,MATCH($A33,'Source Review'!$A$2:$A$52,0)),"")</f>
        <v>Backend/PlantProcess.Api/Endpoints/Quarantine/QuarantineEndpoints.cs:8-13 — ownership
Backend/PlantProcess.Application/Integration/Services/Mapping/MappingRowProjector.cs:630-690 — existing validation pattern
Latest owner-supplied conversation update, received 15-Sep-2026; runner/host logs and script bytes were not independently inspected in this workbook update. This supersedes the earlier 14-Sep source-only T-100 estimate, not the frozen Design.
USER-REPORTED: Runner1_1.0.5 SHA256 75B6C7DE78E0A677701BFEDF1EC70D4D1499C8168193B35D503CF26DF76DC7AA; Runner2_1.0.0 SHA256 9C29E607B52114DE680131A0FDE0F840D7CC56D3642FA09F73FD2AB5A7B3D493; Resume-ProjectionQuarantineCompletion_1.0.1.ps1 SHA256 5F6668258E8CAC517793B825AF712C8D8C9355F8CE9C0C69FBC5CAFCBDCB80E6. Names/hashes recorded as supplied, NOT locally verified. Script hashes are not commit IDs.</v>
      </c>
      <c r="BB33" s="2" t="s">
        <v>488</v>
      </c>
    </row>
    <row r="34" spans="1:54" ht="75.95" hidden="1" customHeight="1">
      <c r="A34" s="2" t="s">
        <v>489</v>
      </c>
      <c r="B34" s="2" t="s">
        <v>108</v>
      </c>
      <c r="C34" s="2" t="s">
        <v>426</v>
      </c>
      <c r="D34" s="2" t="s">
        <v>490</v>
      </c>
      <c r="E34" s="2" t="s">
        <v>264</v>
      </c>
      <c r="F34" s="2" t="s">
        <v>465</v>
      </c>
      <c r="G34" s="2" t="s">
        <v>160</v>
      </c>
      <c r="H34" s="2" t="s">
        <v>491</v>
      </c>
      <c r="I34" s="2" t="s">
        <v>492</v>
      </c>
      <c r="J34" s="65">
        <v>12</v>
      </c>
      <c r="K34" s="94" t="s">
        <v>455</v>
      </c>
      <c r="L34" s="2" t="s">
        <v>36</v>
      </c>
      <c r="M34" s="2" t="s">
        <v>493</v>
      </c>
      <c r="N34" s="2" t="s">
        <v>457</v>
      </c>
      <c r="O34" s="2" t="s">
        <v>120</v>
      </c>
      <c r="P34" s="2" t="s">
        <v>121</v>
      </c>
      <c r="Q34" s="2" t="s">
        <v>458</v>
      </c>
      <c r="R34" s="65">
        <v>2</v>
      </c>
      <c r="S34" s="2" t="s">
        <v>433</v>
      </c>
      <c r="T34" s="2" t="s">
        <v>494</v>
      </c>
      <c r="U34" s="2" t="s">
        <v>460</v>
      </c>
      <c r="V34" s="2" t="s">
        <v>126</v>
      </c>
      <c r="W34" s="2" t="s">
        <v>434</v>
      </c>
      <c r="X34" s="2" t="s">
        <v>435</v>
      </c>
      <c r="Y34" s="33"/>
      <c r="Z34" s="9"/>
      <c r="AA34" s="2" t="s">
        <v>471</v>
      </c>
      <c r="AB34" s="2" t="s">
        <v>472</v>
      </c>
      <c r="AC34" s="2" t="s">
        <v>495</v>
      </c>
      <c r="AD34" s="2" t="s">
        <v>179</v>
      </c>
      <c r="AE34" s="2" t="s">
        <v>251</v>
      </c>
      <c r="AF34" s="2" t="s">
        <v>134</v>
      </c>
      <c r="AG34" s="2" t="s">
        <v>135</v>
      </c>
      <c r="AH34" s="2" t="s">
        <v>136</v>
      </c>
      <c r="AI34" s="2" t="str">
        <f t="shared" ref="AI34:AI65" si="4">IF(Y34="","",Y34)</f>
        <v/>
      </c>
      <c r="AJ34" s="2" t="s">
        <v>496</v>
      </c>
      <c r="AK34" s="2" t="s">
        <v>138</v>
      </c>
      <c r="AL34" s="2" t="s">
        <v>497</v>
      </c>
      <c r="AM34" s="2">
        <f t="shared" ref="AM34:AM65" si="5">IF(AND(ISNUMBER(J34),OR(AR34="INHERITED ESTIMATE",AR34="CONFIRMED ESTIMATE")),1,0)</f>
        <v>0</v>
      </c>
      <c r="AN34" s="2"/>
      <c r="AO34" s="32" t="s">
        <v>462</v>
      </c>
      <c r="AP34" s="32" t="s">
        <v>141</v>
      </c>
      <c r="AQ34" s="32"/>
      <c r="AR34" s="32" t="s">
        <v>486</v>
      </c>
      <c r="AS34" s="65" t="str">
        <f t="shared" ref="AS34:AS65" si="6">IF(AM34=1,J34,"")</f>
        <v/>
      </c>
      <c r="AT34" s="65" t="str">
        <f t="shared" ref="AT34:AT65" si="7">IF(AND(AM34=1,ISNUMBER(R34)),R34,"")</f>
        <v/>
      </c>
      <c r="AU34" s="2" t="str">
        <f>IFERROR(INDEX('Source Review'!$B$2:$B$52,MATCH($A34,'Source Review'!$A$2:$A$52,0)),"NOT SOURCE-REVIEWED IN THIS PASS")</f>
        <v>PARTIAL REUSE; CURRENT EXPANDED SCOPE OPEN</v>
      </c>
      <c r="AV34" s="5">
        <f>IFERROR(INDEX('Source Review'!$F$2:$F$52,MATCH($A34,'Source Review'!$A$2:$A$52,0)),"")</f>
        <v>12</v>
      </c>
      <c r="AW34" s="5">
        <f>IFERROR(INDEX('Source Review'!$G$2:$G$52,MATCH($A34,'Source Review'!$A$2:$A$52,0)),"")</f>
        <v>18</v>
      </c>
      <c r="AX34" s="5">
        <f>IFERROR(INDEX('Source Review'!$H$2:$H$52,MATCH($A34,'Source Review'!$A$2:$A$52,0)),"")</f>
        <v>28</v>
      </c>
      <c r="AY34" s="2" t="str">
        <f>IF(COUNTIF('Source Review'!$A$2:$A$52,$A34)&gt;0,"UNCONFIRMED REVIEW ESTIMATE - not P80 or elapsed","NOT ESTIMATED IN THIS PASS")</f>
        <v>UNCONFIRMED REVIEW ESTIMATE - not P80 or elapsed</v>
      </c>
      <c r="AZ34" s="2" t="str">
        <f>IFERROR(INDEX('Source Review'!$I$2:$I$52,MATCH($A34,'Source Review'!$A$2:$A$52,0)),"")</f>
        <v>Read API/filter/detail 3/4/6 + B4/C2/C3 UI 4/6/10 + drift/retry integration 3/5/8 + tests/closure 2/3/4.</v>
      </c>
      <c r="BA34" s="2" t="str">
        <f>IFERROR(INDEX('Source Review'!$E$2:$E$52,MATCH($A34,'Source Review'!$A$2:$A$52,0)),"")</f>
        <v>Backend/PlantProcess.Api/Endpoints/Quarantine/QuarantineEndpoints.cs:8-33 — MapQuarantineEndpoints
Backend/PlantProcess.Application/Integration/Services/Staging/StagingRecordService.cs:85-110 — durable staging identity</v>
      </c>
      <c r="BB34" s="2" t="str">
        <f>IF(COUNTIF('Source Review'!$A$2:$A$52,$A34)&gt;0,"14-Sep-2026 snapshot; later closure evidence separate; no live HEAD verification","")</f>
        <v>14-Sep-2026 snapshot; later closure evidence separate; no live HEAD verification</v>
      </c>
    </row>
    <row r="35" spans="1:54" ht="75.95" hidden="1" customHeight="1">
      <c r="A35" s="2" t="s">
        <v>498</v>
      </c>
      <c r="B35" s="2" t="s">
        <v>108</v>
      </c>
      <c r="C35" s="2" t="s">
        <v>426</v>
      </c>
      <c r="D35" s="2" t="s">
        <v>499</v>
      </c>
      <c r="E35" s="2" t="s">
        <v>182</v>
      </c>
      <c r="F35" s="2" t="s">
        <v>500</v>
      </c>
      <c r="G35" s="2" t="s">
        <v>160</v>
      </c>
      <c r="H35" s="2" t="s">
        <v>501</v>
      </c>
      <c r="I35" s="2" t="s">
        <v>502</v>
      </c>
      <c r="J35" s="65">
        <v>8</v>
      </c>
      <c r="K35" s="94" t="s">
        <v>455</v>
      </c>
      <c r="L35" s="2" t="s">
        <v>117</v>
      </c>
      <c r="M35" s="2" t="s">
        <v>503</v>
      </c>
      <c r="N35" s="2" t="s">
        <v>504</v>
      </c>
      <c r="O35" s="2" t="s">
        <v>120</v>
      </c>
      <c r="P35" s="2" t="s">
        <v>121</v>
      </c>
      <c r="Q35" s="2" t="s">
        <v>186</v>
      </c>
      <c r="R35" s="65">
        <v>1.2000000000000002</v>
      </c>
      <c r="S35" s="2" t="s">
        <v>433</v>
      </c>
      <c r="T35" s="2" t="s">
        <v>505</v>
      </c>
      <c r="U35" s="2" t="s">
        <v>125</v>
      </c>
      <c r="V35" s="2" t="s">
        <v>126</v>
      </c>
      <c r="W35" s="2" t="s">
        <v>434</v>
      </c>
      <c r="X35" s="2" t="s">
        <v>435</v>
      </c>
      <c r="Y35" s="33"/>
      <c r="Z35" s="9"/>
      <c r="AA35" s="2" t="s">
        <v>506</v>
      </c>
      <c r="AB35" s="2" t="s">
        <v>507</v>
      </c>
      <c r="AC35" s="2"/>
      <c r="AD35" s="2" t="s">
        <v>179</v>
      </c>
      <c r="AE35" s="2" t="s">
        <v>198</v>
      </c>
      <c r="AF35" s="2" t="s">
        <v>134</v>
      </c>
      <c r="AG35" s="2" t="s">
        <v>135</v>
      </c>
      <c r="AH35" s="2" t="s">
        <v>136</v>
      </c>
      <c r="AI35" s="2" t="str">
        <f t="shared" si="4"/>
        <v/>
      </c>
      <c r="AJ35" s="2" t="s">
        <v>137</v>
      </c>
      <c r="AK35" s="2" t="s">
        <v>138</v>
      </c>
      <c r="AL35" s="2" t="s">
        <v>139</v>
      </c>
      <c r="AM35" s="2">
        <f t="shared" si="5"/>
        <v>1</v>
      </c>
      <c r="AN35" s="2"/>
      <c r="AO35" s="32" t="s">
        <v>462</v>
      </c>
      <c r="AP35" s="32" t="s">
        <v>141</v>
      </c>
      <c r="AQ35" s="32"/>
      <c r="AR35" s="32" t="s">
        <v>142</v>
      </c>
      <c r="AS35" s="65">
        <f t="shared" si="6"/>
        <v>8</v>
      </c>
      <c r="AT35" s="65">
        <f t="shared" si="7"/>
        <v>1.2000000000000002</v>
      </c>
      <c r="AU35" s="2" t="str">
        <f>IFERROR(INDEX('Source Review'!$B$2:$B$52,MATCH($A35,'Source Review'!$A$2:$A$52,0)),"NOT SOURCE-REVIEWED IN THIS PASS")</f>
        <v>EXISTING ALIAS FOUNDATION; IDENTITY-SAFETY GAP</v>
      </c>
      <c r="AV35" s="5">
        <f>IFERROR(INDEX('Source Review'!$F$2:$F$52,MATCH($A35,'Source Review'!$A$2:$A$52,0)),"")</f>
        <v>4</v>
      </c>
      <c r="AW35" s="5">
        <f>IFERROR(INDEX('Source Review'!$G$2:$G$52,MATCH($A35,'Source Review'!$A$2:$A$52,0)),"")</f>
        <v>7</v>
      </c>
      <c r="AX35" s="5">
        <f>IFERROR(INDEX('Source Review'!$H$2:$H$52,MATCH($A35,'Source Review'!$A$2:$A$52,0)),"")</f>
        <v>12</v>
      </c>
      <c r="AY35" s="2" t="str">
        <f>IF(COUNTIF('Source Review'!$A$2:$A$52,$A35)&gt;0,"UNCONFIRMED REVIEW ESTIMATE - not P80 or elapsed","NOT ESTIMATED IN THIS PASS")</f>
        <v>UNCONFIRMED REVIEW ESTIMATE - not P80 or elapsed</v>
      </c>
      <c r="AZ35" s="2" t="str">
        <f>IFERROR(INDEX('Source Review'!$I$2:$I$52,MATCH($A35,'Source Review'!$A$2:$A$52,0)),"")</f>
        <v>Scope-safe lookup/merge 2/4/7 + ambiguity/idempotency tests 1/2/4 + closure 1/1/1.</v>
      </c>
      <c r="BA35" s="2" t="str">
        <f>IFERROR(INDEX('Source Review'!$E$2:$E$52,MATCH($A35,'Source Review'!$A$2:$A$52,0)),"")</f>
        <v>Backend/PlantProcess.Application/Integration/Services/Mapping/MappingRowProjector.cs:244-264 — MapMaterialAliasAsync
Backend/PlantProcess.Application/Integration/Services/Mapping/MappingRowProjector.cs:721-744 — ResolveMaterialIdAsync
Backend/PlantProcess.Infrastructure/Persistence/Configurations/Materials/MaterialAliasConfiguration.cs:27-36 — composite unique
Backend/PlantProcess.Infrastructure/Persistence/Configurations/Materials/MaterialUnitConfiguration.cs:43-47 — site/source uniqueness</v>
      </c>
      <c r="BB35" s="2" t="str">
        <f>IF(COUNTIF('Source Review'!$A$2:$A$52,$A35)&gt;0,"14-Sep-2026 snapshot; later closure evidence separate; no live HEAD verification","")</f>
        <v>14-Sep-2026 snapshot; later closure evidence separate; no live HEAD verification</v>
      </c>
    </row>
    <row r="36" spans="1:54" ht="75.95" hidden="1" customHeight="1">
      <c r="A36" s="2" t="s">
        <v>508</v>
      </c>
      <c r="B36" s="2" t="s">
        <v>108</v>
      </c>
      <c r="C36" s="2" t="s">
        <v>426</v>
      </c>
      <c r="D36" s="2" t="s">
        <v>509</v>
      </c>
      <c r="E36" s="2" t="s">
        <v>182</v>
      </c>
      <c r="F36" s="2" t="s">
        <v>500</v>
      </c>
      <c r="G36" s="2" t="s">
        <v>160</v>
      </c>
      <c r="H36" s="2" t="s">
        <v>510</v>
      </c>
      <c r="I36" s="2" t="s">
        <v>511</v>
      </c>
      <c r="J36" s="65">
        <v>6</v>
      </c>
      <c r="K36" s="94" t="s">
        <v>455</v>
      </c>
      <c r="L36" s="2" t="s">
        <v>117</v>
      </c>
      <c r="M36" s="2" t="s">
        <v>512</v>
      </c>
      <c r="N36" s="2" t="s">
        <v>457</v>
      </c>
      <c r="O36" s="2" t="s">
        <v>120</v>
      </c>
      <c r="P36" s="2" t="s">
        <v>121</v>
      </c>
      <c r="Q36" s="2" t="s">
        <v>186</v>
      </c>
      <c r="R36" s="65">
        <v>0.89999999999999991</v>
      </c>
      <c r="S36" s="2" t="s">
        <v>433</v>
      </c>
      <c r="T36" s="2" t="s">
        <v>513</v>
      </c>
      <c r="U36" s="2" t="s">
        <v>125</v>
      </c>
      <c r="V36" s="2" t="s">
        <v>126</v>
      </c>
      <c r="W36" s="2" t="s">
        <v>434</v>
      </c>
      <c r="X36" s="2" t="s">
        <v>435</v>
      </c>
      <c r="Y36" s="33"/>
      <c r="Z36" s="9"/>
      <c r="AA36" s="2" t="s">
        <v>506</v>
      </c>
      <c r="AB36" s="2" t="s">
        <v>507</v>
      </c>
      <c r="AC36" s="2"/>
      <c r="AD36" s="2" t="s">
        <v>391</v>
      </c>
      <c r="AE36" s="2" t="s">
        <v>198</v>
      </c>
      <c r="AF36" s="2" t="s">
        <v>134</v>
      </c>
      <c r="AG36" s="2" t="s">
        <v>135</v>
      </c>
      <c r="AH36" s="2" t="s">
        <v>136</v>
      </c>
      <c r="AI36" s="2" t="str">
        <f t="shared" si="4"/>
        <v/>
      </c>
      <c r="AJ36" s="2" t="s">
        <v>496</v>
      </c>
      <c r="AK36" s="2" t="s">
        <v>138</v>
      </c>
      <c r="AL36" s="2" t="s">
        <v>139</v>
      </c>
      <c r="AM36" s="2">
        <f t="shared" si="5"/>
        <v>0</v>
      </c>
      <c r="AN36" s="2"/>
      <c r="AO36" s="32" t="s">
        <v>462</v>
      </c>
      <c r="AP36" s="32" t="s">
        <v>141</v>
      </c>
      <c r="AQ36" s="32"/>
      <c r="AR36" s="32" t="s">
        <v>486</v>
      </c>
      <c r="AS36" s="65" t="str">
        <f t="shared" si="6"/>
        <v/>
      </c>
      <c r="AT36" s="65" t="str">
        <f t="shared" si="7"/>
        <v/>
      </c>
      <c r="AU36" s="2" t="str">
        <f>IFERROR(INDEX('Source Review'!$B$2:$B$52,MATCH($A36,'Source Review'!$A$2:$A$52,0)),"NOT SOURCE-REVIEWED IN THIS PASS")</f>
        <v>SUBSTANTIAL FOUNDATION; ACCEPTANCE-CONTRACT MISMATCH</v>
      </c>
      <c r="AV36" s="5">
        <f>IFERROR(INDEX('Source Review'!$F$2:$F$52,MATCH($A36,'Source Review'!$A$2:$A$52,0)),"")</f>
        <v>4</v>
      </c>
      <c r="AW36" s="5">
        <f>IFERROR(INDEX('Source Review'!$G$2:$G$52,MATCH($A36,'Source Review'!$A$2:$A$52,0)),"")</f>
        <v>6</v>
      </c>
      <c r="AX36" s="5">
        <f>IFERROR(INDEX('Source Review'!$H$2:$H$52,MATCH($A36,'Source Review'!$A$2:$A$52,0)),"")</f>
        <v>10</v>
      </c>
      <c r="AY36" s="2" t="str">
        <f>IF(COUNTIF('Source Review'!$A$2:$A$52,$A36)&gt;0,"UNCONFIRMED REVIEW ESTIMATE - not P80 or elapsed","NOT ESTIMATED IN THIS PASS")</f>
        <v>UNCONFIRMED REVIEW ESTIMATE - not P80 or elapsed</v>
      </c>
      <c r="AZ36" s="2" t="str">
        <f>IFERROR(INDEX('Source Review'!$I$2:$I$52,MATCH($A36,'Source Review'!$A$2:$A$52,0)),"")</f>
        <v>Weight-contract correction 1/2/3 + direct-DB/traversal negatives 2/3/5 + closure 1/1/2. Existing cycle logic is not new work.</v>
      </c>
      <c r="BA36" s="2" t="str">
        <f>IFERROR(INDEX('Source Review'!$E$2:$E$52,MATCH($A36,'Source Review'!$A$2:$A$52,0)),"")</f>
        <v>Backend/PlantProcess.Application/Services/Materials/GenealogyService.cs:27-69 — CreateEdgeAsync
Backend/PlantProcess.Application/Services/Materials/GenealogyService.cs:95-124 — WouldCreateCycleAsync
Backend/database/scripts/841_genealogy_edge_weight_guard_topology_parity.sql:55-68 — deferred weight check</v>
      </c>
      <c r="BB36" s="2" t="str">
        <f>IF(COUNTIF('Source Review'!$A$2:$A$52,$A36)&gt;0,"14-Sep-2026 snapshot; later closure evidence separate; no live HEAD verification","")</f>
        <v>14-Sep-2026 snapshot; later closure evidence separate; no live HEAD verification</v>
      </c>
    </row>
    <row r="37" spans="1:54" ht="75.95" hidden="1" customHeight="1">
      <c r="A37" s="2" t="s">
        <v>514</v>
      </c>
      <c r="B37" s="2" t="s">
        <v>108</v>
      </c>
      <c r="C37" s="2" t="s">
        <v>426</v>
      </c>
      <c r="D37" s="2" t="s">
        <v>515</v>
      </c>
      <c r="E37" s="2" t="s">
        <v>182</v>
      </c>
      <c r="F37" s="2" t="s">
        <v>516</v>
      </c>
      <c r="G37" s="2" t="s">
        <v>113</v>
      </c>
      <c r="H37" s="2" t="s">
        <v>517</v>
      </c>
      <c r="I37" s="2" t="s">
        <v>518</v>
      </c>
      <c r="J37" s="65">
        <v>14</v>
      </c>
      <c r="K37" s="94" t="s">
        <v>455</v>
      </c>
      <c r="L37" s="2" t="s">
        <v>117</v>
      </c>
      <c r="M37" s="2" t="s">
        <v>519</v>
      </c>
      <c r="N37" s="2" t="s">
        <v>520</v>
      </c>
      <c r="O37" s="2" t="s">
        <v>120</v>
      </c>
      <c r="P37" s="2" t="s">
        <v>121</v>
      </c>
      <c r="Q37" s="2" t="s">
        <v>186</v>
      </c>
      <c r="R37" s="65">
        <v>1.2000000000000002</v>
      </c>
      <c r="S37" s="2" t="s">
        <v>433</v>
      </c>
      <c r="T37" s="2" t="s">
        <v>521</v>
      </c>
      <c r="U37" s="2" t="s">
        <v>125</v>
      </c>
      <c r="V37" s="2" t="s">
        <v>126</v>
      </c>
      <c r="W37" s="2" t="s">
        <v>434</v>
      </c>
      <c r="X37" s="2" t="s">
        <v>435</v>
      </c>
      <c r="Y37" s="33"/>
      <c r="Z37" s="9"/>
      <c r="AA37" s="2" t="s">
        <v>471</v>
      </c>
      <c r="AB37" s="2" t="s">
        <v>472</v>
      </c>
      <c r="AC37" s="2" t="s">
        <v>176</v>
      </c>
      <c r="AD37" s="2" t="s">
        <v>179</v>
      </c>
      <c r="AE37" s="2" t="s">
        <v>198</v>
      </c>
      <c r="AF37" s="2" t="s">
        <v>134</v>
      </c>
      <c r="AG37" s="2" t="s">
        <v>135</v>
      </c>
      <c r="AH37" s="2" t="s">
        <v>136</v>
      </c>
      <c r="AI37" s="2" t="str">
        <f t="shared" si="4"/>
        <v/>
      </c>
      <c r="AJ37" s="2" t="s">
        <v>496</v>
      </c>
      <c r="AK37" s="2" t="s">
        <v>138</v>
      </c>
      <c r="AL37" s="2" t="s">
        <v>139</v>
      </c>
      <c r="AM37" s="2">
        <f t="shared" si="5"/>
        <v>0</v>
      </c>
      <c r="AN37" s="2"/>
      <c r="AO37" s="32" t="s">
        <v>462</v>
      </c>
      <c r="AP37" s="32" t="s">
        <v>141</v>
      </c>
      <c r="AQ37" s="32"/>
      <c r="AR37" s="32" t="s">
        <v>486</v>
      </c>
      <c r="AS37" s="65" t="str">
        <f t="shared" si="6"/>
        <v/>
      </c>
      <c r="AT37" s="65" t="str">
        <f t="shared" si="7"/>
        <v/>
      </c>
      <c r="AU37" s="2" t="str">
        <f>IFERROR(INDEX('Source Review'!$B$2:$B$52,MATCH($A37,'Source Review'!$A$2:$A$52,0)),"NOT SOURCE-REVIEWED IN THIS PASS")</f>
        <v>REPLAY FOUNDATION IS NOT VERSIONED REPROJECTION</v>
      </c>
      <c r="AV37" s="5">
        <f>IFERROR(INDEX('Source Review'!$F$2:$F$52,MATCH($A37,'Source Review'!$A$2:$A$52,0)),"")</f>
        <v>8</v>
      </c>
      <c r="AW37" s="5">
        <f>IFERROR(INDEX('Source Review'!$G$2:$G$52,MATCH($A37,'Source Review'!$A$2:$A$52,0)),"")</f>
        <v>14</v>
      </c>
      <c r="AX37" s="5">
        <f>IFERROR(INDEX('Source Review'!$H$2:$H$52,MATCH($A37,'Source Review'!$A$2:$A$52,0)),"")</f>
        <v>22</v>
      </c>
      <c r="AY37" s="2" t="str">
        <f>IF(COUNTIF('Source Review'!$A$2:$A$52,$A37)&gt;0,"UNCONFIRMED REVIEW ESTIMATE - not P80 or elapsed","NOT ESTIMATED IN THIS PASS")</f>
        <v>UNCONFIRMED REVIEW ESTIMATE - not P80 or elapsed</v>
      </c>
      <c r="AZ37" s="2" t="str">
        <f>IFERROR(INDEX('Source Review'!$I$2:$I$52,MATCH($A37,'Source Review'!$A$2:$A$52,0)),"")</f>
        <v>Row-version/provenance integration 3/5/8 + replay/rollback semantics 3/6/10 + negative tests/closure 2/3/4.</v>
      </c>
      <c r="BA37" s="2" t="str">
        <f>IFERROR(INDEX('Source Review'!$E$2:$E$52,MATCH($A37,'Source Review'!$A$2:$A$52,0)),"")</f>
        <v>Backend/PlantProcess.Application/Integration/Services/Mapping/MappingRowProjector.cs:168-181 — existing-row skip
Backend/PlantProcess.Application/Integration/Services/Jobs/JobRunOrchestratorService.cs:210-249 — ResolveDeclaredTargetAsync</v>
      </c>
      <c r="BB37" s="2" t="str">
        <f>IF(COUNTIF('Source Review'!$A$2:$A$52,$A37)&gt;0,"14-Sep-2026 snapshot; later closure evidence separate; no live HEAD verification","")</f>
        <v>14-Sep-2026 snapshot; later closure evidence separate; no live HEAD verification</v>
      </c>
    </row>
    <row r="38" spans="1:54" ht="75.95" hidden="1" customHeight="1">
      <c r="A38" s="4" t="s">
        <v>522</v>
      </c>
      <c r="B38" s="4" t="s">
        <v>108</v>
      </c>
      <c r="C38" s="4" t="s">
        <v>426</v>
      </c>
      <c r="D38" s="4" t="s">
        <v>523</v>
      </c>
      <c r="E38" s="4" t="s">
        <v>182</v>
      </c>
      <c r="F38" s="4" t="s">
        <v>524</v>
      </c>
      <c r="G38" s="4" t="s">
        <v>113</v>
      </c>
      <c r="H38" s="4" t="s">
        <v>525</v>
      </c>
      <c r="I38" s="4" t="s">
        <v>526</v>
      </c>
      <c r="J38" s="64">
        <v>12</v>
      </c>
      <c r="K38" s="94" t="s">
        <v>116</v>
      </c>
      <c r="L38" s="4" t="s">
        <v>293</v>
      </c>
      <c r="M38" s="2" t="s">
        <v>527</v>
      </c>
      <c r="N38" s="2" t="s">
        <v>528</v>
      </c>
      <c r="O38" s="2" t="s">
        <v>120</v>
      </c>
      <c r="P38" s="2" t="s">
        <v>121</v>
      </c>
      <c r="Q38" s="2" t="s">
        <v>186</v>
      </c>
      <c r="R38" s="65"/>
      <c r="S38" s="2" t="s">
        <v>433</v>
      </c>
      <c r="T38" s="2" t="s">
        <v>529</v>
      </c>
      <c r="U38" s="2" t="s">
        <v>530</v>
      </c>
      <c r="V38" s="2" t="s">
        <v>126</v>
      </c>
      <c r="W38" s="2" t="s">
        <v>434</v>
      </c>
      <c r="X38" s="2" t="s">
        <v>531</v>
      </c>
      <c r="Y38" s="33" t="s">
        <v>532</v>
      </c>
      <c r="Z38" s="9"/>
      <c r="AA38" s="2" t="s">
        <v>533</v>
      </c>
      <c r="AB38" s="2" t="s">
        <v>534</v>
      </c>
      <c r="AC38" s="2" t="s">
        <v>535</v>
      </c>
      <c r="AD38" s="2" t="s">
        <v>179</v>
      </c>
      <c r="AE38" s="2" t="s">
        <v>191</v>
      </c>
      <c r="AF38" s="2" t="s">
        <v>134</v>
      </c>
      <c r="AG38" s="2" t="s">
        <v>135</v>
      </c>
      <c r="AH38" s="2" t="s">
        <v>136</v>
      </c>
      <c r="AI38" s="2" t="str">
        <f t="shared" si="4"/>
        <v>8b3eb5c89352a2779d87f9205700f19e7c9b3e25; a5451dbaf6b55183fe65e2c626c49fdef85bd986</v>
      </c>
      <c r="AJ38" s="34" t="s">
        <v>536</v>
      </c>
      <c r="AK38" s="34" t="s">
        <v>138</v>
      </c>
      <c r="AL38" s="34" t="s">
        <v>139</v>
      </c>
      <c r="AM38" s="34">
        <f t="shared" si="5"/>
        <v>0</v>
      </c>
      <c r="AN38" s="34"/>
      <c r="AO38" s="35" t="s">
        <v>537</v>
      </c>
      <c r="AP38" s="35" t="s">
        <v>538</v>
      </c>
      <c r="AQ38" s="35"/>
      <c r="AR38" s="35" t="s">
        <v>486</v>
      </c>
      <c r="AS38" s="65" t="str">
        <f t="shared" si="6"/>
        <v/>
      </c>
      <c r="AT38" s="65" t="str">
        <f t="shared" si="7"/>
        <v/>
      </c>
      <c r="AU38" s="2" t="str">
        <f>IFERROR(INDEX('Source Review'!$B$2:$B$52,MATCH($A38,'Source Review'!$A$2:$A$52,0)),"NOT SOURCE-REVIEWED IN THIS PASS")</f>
        <v>ORIGINAL CONTRACT CLOSED; EXPANDED RUNTIME OBLIGATIONS OPEN</v>
      </c>
      <c r="AV38" s="5">
        <f>IFERROR(INDEX('Source Review'!$F$2:$F$52,MATCH($A38,'Source Review'!$A$2:$A$52,0)),"")</f>
        <v>18</v>
      </c>
      <c r="AW38" s="5">
        <f>IFERROR(INDEX('Source Review'!$G$2:$G$52,MATCH($A38,'Source Review'!$A$2:$A$52,0)),"")</f>
        <v>28</v>
      </c>
      <c r="AX38" s="5">
        <f>IFERROR(INDEX('Source Review'!$H$2:$H$52,MATCH($A38,'Source Review'!$A$2:$A$52,0)),"")</f>
        <v>44</v>
      </c>
      <c r="AY38" s="2" t="str">
        <f>IF(COUNTIF('Source Review'!$A$2:$A$52,$A38)&gt;0,"UNCONFIRMED REVIEW ESTIMATE - not P80 or elapsed","NOT ESTIMATED IN THIS PASS")</f>
        <v>UNCONFIRMED REVIEW ESTIMATE - not P80 or elapsed</v>
      </c>
      <c r="AZ38" s="2" t="str">
        <f>IFERROR(INDEX('Source Review'!$I$2:$I$52,MATCH($A38,'Source Review'!$A$2:$A$52,0)),"")</f>
        <v>Schedule/parser/due-work 8/12/18 + freshness/outcome policy 4/6/10 + cancellation consumer integration 2/4/6 + targeted service/DB tests and runner 4/6/10. Original completed contracts excluded.</v>
      </c>
      <c r="BA38" s="2" t="str">
        <f>IFERROR(INDEX('Source Review'!$E$2:$E$52,MATCH($A38,'Source Review'!$A$2:$A$52,0)),"")</f>
        <v>Backend/PlantProcess.Application/Integration/Services/Jobs/JobDefinitionService.cs:275-297 — schedule validation
Backend/PlantProcess.Workers/Worker.cs:72-108 — fixed cadence loops
Backend/PlantProcess.Application/Jobs/Dependencies/JobDependencyEvaluator.cs:33-39 — no age/tolerance input
Backend/PlantProcess.Application/Jobs/Dependencies/JobDependencyEvaluator.cs:85-91 — Satisfied result
Backend/PlantProcess.Application/Integration/Services/Jobs/JobRuntimeService.cs:127-146 — terminal-state switch
Backend/PlantProcess.Application/Integration/Services/Jobs/JobRunOrchestratorService.cs:262-276 — import result mapping</v>
      </c>
      <c r="BB38" s="2" t="str">
        <f>IF(COUNTIF('Source Review'!$A$2:$A$52,$A38)&gt;0,"14-Sep-2026 snapshot; later closure evidence separate; no live HEAD verification","")</f>
        <v>14-Sep-2026 snapshot; later closure evidence separate; no live HEAD verification</v>
      </c>
    </row>
    <row r="39" spans="1:54" ht="75.95" hidden="1" customHeight="1">
      <c r="A39" s="4" t="s">
        <v>539</v>
      </c>
      <c r="B39" s="4" t="s">
        <v>108</v>
      </c>
      <c r="C39" s="4" t="s">
        <v>426</v>
      </c>
      <c r="D39" s="4" t="s">
        <v>540</v>
      </c>
      <c r="E39" s="4" t="s">
        <v>182</v>
      </c>
      <c r="F39" s="4" t="s">
        <v>524</v>
      </c>
      <c r="G39" s="4" t="s">
        <v>113</v>
      </c>
      <c r="H39" s="4" t="s">
        <v>541</v>
      </c>
      <c r="I39" s="4" t="s">
        <v>542</v>
      </c>
      <c r="J39" s="64">
        <v>16</v>
      </c>
      <c r="K39" s="94" t="s">
        <v>455</v>
      </c>
      <c r="L39" s="4" t="s">
        <v>293</v>
      </c>
      <c r="M39" s="2" t="s">
        <v>543</v>
      </c>
      <c r="N39" s="2" t="s">
        <v>544</v>
      </c>
      <c r="O39" s="2" t="s">
        <v>120</v>
      </c>
      <c r="P39" s="2" t="s">
        <v>121</v>
      </c>
      <c r="Q39" s="2" t="s">
        <v>186</v>
      </c>
      <c r="R39" s="65">
        <v>1.7999999999999998</v>
      </c>
      <c r="S39" s="2" t="s">
        <v>433</v>
      </c>
      <c r="T39" s="2" t="s">
        <v>545</v>
      </c>
      <c r="U39" s="2" t="s">
        <v>530</v>
      </c>
      <c r="V39" s="2" t="s">
        <v>126</v>
      </c>
      <c r="W39" s="2" t="s">
        <v>434</v>
      </c>
      <c r="X39" s="2" t="s">
        <v>435</v>
      </c>
      <c r="Y39" s="33"/>
      <c r="Z39" s="9"/>
      <c r="AA39" s="2" t="s">
        <v>546</v>
      </c>
      <c r="AB39" s="2" t="s">
        <v>547</v>
      </c>
      <c r="AC39" s="2" t="s">
        <v>533</v>
      </c>
      <c r="AD39" s="2" t="s">
        <v>179</v>
      </c>
      <c r="AE39" s="2" t="s">
        <v>198</v>
      </c>
      <c r="AF39" s="2" t="s">
        <v>134</v>
      </c>
      <c r="AG39" s="2" t="s">
        <v>135</v>
      </c>
      <c r="AH39" s="2" t="s">
        <v>136</v>
      </c>
      <c r="AI39" s="2" t="str">
        <f t="shared" si="4"/>
        <v/>
      </c>
      <c r="AJ39" s="2" t="s">
        <v>137</v>
      </c>
      <c r="AK39" s="2" t="s">
        <v>138</v>
      </c>
      <c r="AL39" s="2" t="s">
        <v>139</v>
      </c>
      <c r="AM39" s="2">
        <f t="shared" si="5"/>
        <v>1</v>
      </c>
      <c r="AN39" s="2"/>
      <c r="AO39" s="32" t="s">
        <v>462</v>
      </c>
      <c r="AP39" s="32" t="s">
        <v>141</v>
      </c>
      <c r="AQ39" s="32"/>
      <c r="AR39" s="32" t="s">
        <v>142</v>
      </c>
      <c r="AS39" s="65">
        <f t="shared" si="6"/>
        <v>16</v>
      </c>
      <c r="AT39" s="65">
        <f t="shared" si="7"/>
        <v>1.7999999999999998</v>
      </c>
      <c r="AU39" s="2" t="str">
        <f>IFERROR(INDEX('Source Review'!$B$2:$B$52,MATCH($A39,'Source Review'!$A$2:$A$52,0)),"NOT SOURCE-REVIEWED IN THIS PASS")</f>
        <v>TIMERS EXIST; GOVERNED JOB POOLS NOT ESTABLISHED</v>
      </c>
      <c r="AV39" s="5">
        <f>IFERROR(INDEX('Source Review'!$F$2:$F$52,MATCH($A39,'Source Review'!$A$2:$A$52,0)),"")</f>
        <v>12</v>
      </c>
      <c r="AW39" s="5">
        <f>IFERROR(INDEX('Source Review'!$G$2:$G$52,MATCH($A39,'Source Review'!$A$2:$A$52,0)),"")</f>
        <v>20</v>
      </c>
      <c r="AX39" s="5">
        <f>IFERROR(INDEX('Source Review'!$H$2:$H$52,MATCH($A39,'Source Review'!$A$2:$A$52,0)),"")</f>
        <v>32</v>
      </c>
      <c r="AY39" s="2" t="str">
        <f>IF(COUNTIF('Source Review'!$A$2:$A$52,$A39)&gt;0,"UNCONFIRMED REVIEW ESTIMATE - not P80 or elapsed","NOT ESTIMATED IN THIS PASS")</f>
        <v>UNCONFIRMED REVIEW ESTIMATE - not P80 or elapsed</v>
      </c>
      <c r="AZ39" s="2" t="str">
        <f>IFERROR(INDEX('Source Review'!$I$2:$I$52,MATCH($A39,'Source Review'!$A$2:$A$52,0)),"")</f>
        <v>Pool/admission implementation 6/10/16 + lane/worker integration 3/5/8 + saturation/cancel/closure tests 3/5/8.</v>
      </c>
      <c r="BA39" s="2" t="str">
        <f>IFERROR(INDEX('Source Review'!$E$2:$E$52,MATCH($A39,'Source Review'!$A$2:$A$52,0)),"")</f>
        <v>Backend/PlantProcess.Workers/Worker.cs:72-108 — ExecuteAsync cadence
Backend/PlantProcess.Application/Jobs/Execution/JobExecutionCapability.cs:76-107 — family capability vs capacity</v>
      </c>
      <c r="BB39" s="2" t="str">
        <f>IF(COUNTIF('Source Review'!$A$2:$A$52,$A39)&gt;0,"14-Sep-2026 snapshot; later closure evidence separate; no live HEAD verification","")</f>
        <v>14-Sep-2026 snapshot; later closure evidence separate; no live HEAD verification</v>
      </c>
    </row>
    <row r="40" spans="1:54" ht="75.95" hidden="1" customHeight="1">
      <c r="A40" s="2" t="s">
        <v>548</v>
      </c>
      <c r="B40" s="2" t="s">
        <v>108</v>
      </c>
      <c r="C40" s="2" t="s">
        <v>426</v>
      </c>
      <c r="D40" s="2" t="s">
        <v>549</v>
      </c>
      <c r="E40" s="2" t="s">
        <v>182</v>
      </c>
      <c r="F40" s="2" t="s">
        <v>550</v>
      </c>
      <c r="G40" s="2" t="s">
        <v>113</v>
      </c>
      <c r="H40" s="2" t="s">
        <v>551</v>
      </c>
      <c r="I40" s="2" t="s">
        <v>552</v>
      </c>
      <c r="J40" s="67"/>
      <c r="K40" s="94" t="s">
        <v>455</v>
      </c>
      <c r="L40" s="2" t="s">
        <v>117</v>
      </c>
      <c r="M40" s="2" t="s">
        <v>553</v>
      </c>
      <c r="N40" s="2" t="s">
        <v>554</v>
      </c>
      <c r="O40" s="2" t="s">
        <v>120</v>
      </c>
      <c r="P40" s="2" t="s">
        <v>121</v>
      </c>
      <c r="Q40" s="2" t="s">
        <v>186</v>
      </c>
      <c r="R40" s="65"/>
      <c r="S40" s="2" t="s">
        <v>433</v>
      </c>
      <c r="T40" s="2" t="s">
        <v>555</v>
      </c>
      <c r="U40" s="2" t="s">
        <v>125</v>
      </c>
      <c r="V40" s="2" t="s">
        <v>126</v>
      </c>
      <c r="W40" s="2" t="s">
        <v>434</v>
      </c>
      <c r="X40" s="2" t="s">
        <v>531</v>
      </c>
      <c r="Y40" s="33"/>
      <c r="Z40" s="9"/>
      <c r="AA40" s="2" t="s">
        <v>556</v>
      </c>
      <c r="AB40" s="2" t="s">
        <v>557</v>
      </c>
      <c r="AC40" s="2" t="s">
        <v>558</v>
      </c>
      <c r="AD40" s="2" t="s">
        <v>179</v>
      </c>
      <c r="AE40" s="2" t="s">
        <v>191</v>
      </c>
      <c r="AF40" s="2" t="s">
        <v>134</v>
      </c>
      <c r="AG40" s="2" t="s">
        <v>135</v>
      </c>
      <c r="AH40" s="2" t="s">
        <v>136</v>
      </c>
      <c r="AI40" s="2" t="str">
        <f t="shared" si="4"/>
        <v/>
      </c>
      <c r="AJ40" s="34" t="s">
        <v>536</v>
      </c>
      <c r="AK40" s="34" t="s">
        <v>138</v>
      </c>
      <c r="AL40" s="34" t="s">
        <v>139</v>
      </c>
      <c r="AM40" s="34">
        <f t="shared" si="5"/>
        <v>0</v>
      </c>
      <c r="AN40" s="34"/>
      <c r="AO40" s="35" t="s">
        <v>462</v>
      </c>
      <c r="AP40" s="35" t="s">
        <v>141</v>
      </c>
      <c r="AQ40" s="35"/>
      <c r="AR40" s="35" t="s">
        <v>486</v>
      </c>
      <c r="AS40" s="65" t="str">
        <f t="shared" si="6"/>
        <v/>
      </c>
      <c r="AT40" s="65" t="str">
        <f t="shared" si="7"/>
        <v/>
      </c>
      <c r="AU40" s="2" t="str">
        <f>IFERROR(INDEX('Source Review'!$B$2:$B$52,MATCH($A40,'Source Review'!$A$2:$A$52,0)),"NOT SOURCE-REVIEWED IN THIS PASS")</f>
        <v>IMPLEMENTED DELTA FOUNDATION WITH CONFIRMED CORRECTNESS GAPS</v>
      </c>
      <c r="AV40" s="5">
        <f>IFERROR(INDEX('Source Review'!$F$2:$F$52,MATCH($A40,'Source Review'!$A$2:$A$52,0)),"")</f>
        <v>22</v>
      </c>
      <c r="AW40" s="5">
        <f>IFERROR(INDEX('Source Review'!$G$2:$G$52,MATCH($A40,'Source Review'!$A$2:$A$52,0)),"")</f>
        <v>34</v>
      </c>
      <c r="AX40" s="5">
        <f>IFERROR(INDEX('Source Review'!$H$2:$H$52,MATCH($A40,'Source Review'!$A$2:$A$52,0)),"")</f>
        <v>52</v>
      </c>
      <c r="AY40" s="2" t="str">
        <f>IF(COUNTIF('Source Review'!$A$2:$A$52,$A40)&gt;0,"UNCONFIRMED REVIEW ESTIMATE - not P80 or elapsed","NOT ESTIMATED IN THIS PASS")</f>
        <v>UNCONFIRMED REVIEW ESTIMATE - not P80 or elapsed</v>
      </c>
      <c r="AZ40" s="2" t="str">
        <f>IFERROR(INDEX('Source Review'!$I$2:$I$52,MATCH($A40,'Source Review'!$A$2:$A$52,0)),"")</f>
        <v>Tuple contract+reader adaptations 8/12/18 + budget enforcement 4/6/9 + durable staging/replay+projection token 5/8/13 + adverse-boundary tests/closure 5/8/12.</v>
      </c>
      <c r="BA40" s="2" t="str">
        <f>IFERROR(INDEX('Source Review'!$E$2:$E$52,MATCH($A40,'Source Review'!$A$2:$A$52,0)),"")</f>
        <v>Backend/PlantProcess.Application/Integration/Services/SourceSystems/DeltaImportExecutionService.cs:120-151 — read-path selection
Backend/PlantProcess.Application/Integration/Services/SourceSystems/DeltaImportExecutionService.cs:173-205 — row/cursor handling
Backend/PlantProcess.Application/Integration/Services/SourceSystems/DeltaImportExecutionService.cs:236-280 — source identity and MaxCursor
Backend/PlantProcess.Infrastructure/Connectors/PostgreSql/PostgreSqlConnector.cs:181-206 — scalar LIMIT query
Backend/PlantProcess.Application/Integration/Protection/ThrottlingDataSourceReader.cs:36-70 — unequal protection
Backend/PlantProcess.Infrastructure/Integration/Protection/OptionsSourceLoadBudgetProvider.cs:21-24 — global budget
Backend/PlantProcess.Infrastructure/Persistence/Configurations/Integration/StagingRecordConfiguration.cs:31-42 — existing within-batch uniqueness
Backend/tests/PlantProcess.Api.IntegrationTests/Import/DeltaImportResumabilityTests.cs:58-73 — current weak continuation assertions</v>
      </c>
      <c r="BB40" s="2" t="str">
        <f>IF(COUNTIF('Source Review'!$A$2:$A$52,$A40)&gt;0,"14-Sep-2026 snapshot; later closure evidence separate; no live HEAD verification","")</f>
        <v>14-Sep-2026 snapshot; later closure evidence separate; no live HEAD verification</v>
      </c>
    </row>
    <row r="41" spans="1:54" ht="75.95" hidden="1" customHeight="1">
      <c r="A41" s="4" t="s">
        <v>559</v>
      </c>
      <c r="B41" s="4" t="s">
        <v>108</v>
      </c>
      <c r="C41" s="4" t="s">
        <v>426</v>
      </c>
      <c r="D41" s="4" t="s">
        <v>560</v>
      </c>
      <c r="E41" s="4" t="s">
        <v>182</v>
      </c>
      <c r="F41" s="4" t="s">
        <v>550</v>
      </c>
      <c r="G41" s="4" t="s">
        <v>113</v>
      </c>
      <c r="H41" s="4" t="s">
        <v>561</v>
      </c>
      <c r="I41" s="4" t="s">
        <v>562</v>
      </c>
      <c r="J41" s="64">
        <v>6</v>
      </c>
      <c r="K41" s="94" t="s">
        <v>455</v>
      </c>
      <c r="L41" s="4" t="s">
        <v>293</v>
      </c>
      <c r="M41" s="2" t="s">
        <v>563</v>
      </c>
      <c r="N41" s="2" t="s">
        <v>564</v>
      </c>
      <c r="O41" s="2" t="s">
        <v>120</v>
      </c>
      <c r="P41" s="2" t="s">
        <v>121</v>
      </c>
      <c r="Q41" s="2" t="s">
        <v>186</v>
      </c>
      <c r="R41" s="65">
        <v>0.89999999999999991</v>
      </c>
      <c r="S41" s="2" t="s">
        <v>433</v>
      </c>
      <c r="T41" s="2" t="s">
        <v>565</v>
      </c>
      <c r="U41" s="2" t="s">
        <v>530</v>
      </c>
      <c r="V41" s="2" t="s">
        <v>126</v>
      </c>
      <c r="W41" s="2" t="s">
        <v>434</v>
      </c>
      <c r="X41" s="2" t="s">
        <v>435</v>
      </c>
      <c r="Y41" s="33"/>
      <c r="Z41" s="9"/>
      <c r="AA41" s="2" t="s">
        <v>556</v>
      </c>
      <c r="AB41" s="2" t="s">
        <v>557</v>
      </c>
      <c r="AC41" s="2" t="s">
        <v>566</v>
      </c>
      <c r="AD41" s="2" t="s">
        <v>179</v>
      </c>
      <c r="AE41" s="2" t="s">
        <v>198</v>
      </c>
      <c r="AF41" s="2" t="s">
        <v>134</v>
      </c>
      <c r="AG41" s="2" t="s">
        <v>135</v>
      </c>
      <c r="AH41" s="2" t="s">
        <v>136</v>
      </c>
      <c r="AI41" s="2" t="str">
        <f t="shared" si="4"/>
        <v/>
      </c>
      <c r="AJ41" s="2" t="s">
        <v>137</v>
      </c>
      <c r="AK41" s="2" t="s">
        <v>138</v>
      </c>
      <c r="AL41" s="2" t="s">
        <v>139</v>
      </c>
      <c r="AM41" s="2">
        <f t="shared" si="5"/>
        <v>1</v>
      </c>
      <c r="AN41" s="2"/>
      <c r="AO41" s="32" t="s">
        <v>462</v>
      </c>
      <c r="AP41" s="32" t="s">
        <v>141</v>
      </c>
      <c r="AQ41" s="32"/>
      <c r="AR41" s="32" t="s">
        <v>142</v>
      </c>
      <c r="AS41" s="65">
        <f t="shared" si="6"/>
        <v>6</v>
      </c>
      <c r="AT41" s="65">
        <f t="shared" si="7"/>
        <v>0.89999999999999991</v>
      </c>
      <c r="AU41" s="2" t="str">
        <f>IFERROR(INDEX('Source Review'!$B$2:$B$52,MATCH($A41,'Source Review'!$A$2:$A$52,0)),"NOT SOURCE-REVIEWED IN THIS PASS")</f>
        <v>REUSABLE CALCULATION FOUNDATION; DELTA CONSUMER NOT PROVEN</v>
      </c>
      <c r="AV41" s="5">
        <f>IFERROR(INDEX('Source Review'!$F$2:$F$52,MATCH($A41,'Source Review'!$A$2:$A$52,0)),"")</f>
        <v>6</v>
      </c>
      <c r="AW41" s="5">
        <f>IFERROR(INDEX('Source Review'!$G$2:$G$52,MATCH($A41,'Source Review'!$A$2:$A$52,0)),"")</f>
        <v>10</v>
      </c>
      <c r="AX41" s="5">
        <f>IFERROR(INDEX('Source Review'!$H$2:$H$52,MATCH($A41,'Source Review'!$A$2:$A$52,0)),"")</f>
        <v>18</v>
      </c>
      <c r="AY41" s="2" t="str">
        <f>IF(COUNTIF('Source Review'!$A$2:$A$52,$A41)&gt;0,"UNCONFIRMED REVIEW ESTIMATE - not P80 or elapsed","NOT ESTIMATED IN THIS PASS")</f>
        <v>UNCONFIRMED REVIEW ESTIMATE - not P80 or elapsed</v>
      </c>
      <c r="AZ41" s="2" t="str">
        <f>IFERROR(INDEX('Source Review'!$I$2:$I$52,MATCH($A41,'Source Review'!$A$2:$A$52,0)),"")</f>
        <v>Scope resolution/integration 3/5/9 + telemetry/handoff 1/2/4 + idempotent/late-data tests 2/3/5.</v>
      </c>
      <c r="BA41" s="2" t="str">
        <f>IFERROR(INDEX('Source Review'!$E$2:$E$52,MATCH($A41,'Source Review'!$A$2:$A$52,0)),"")</f>
        <v>Backend/PlantProcess.Application/Integration/Services/SourceSystems/DeltaImportExecutionService.cs:173-217 — available source delta boundary
Backend/PlantProcess.Application/Relationships/RelationshipResolver.cs:85-113 — governed automated path</v>
      </c>
      <c r="BB41" s="2" t="str">
        <f>IF(COUNTIF('Source Review'!$A$2:$A$52,$A41)&gt;0,"14-Sep-2026 snapshot; later closure evidence separate; no live HEAD verification","")</f>
        <v>14-Sep-2026 snapshot; later closure evidence separate; no live HEAD verification</v>
      </c>
    </row>
    <row r="42" spans="1:54" ht="75.95" hidden="1" customHeight="1">
      <c r="A42" s="2" t="s">
        <v>567</v>
      </c>
      <c r="B42" s="2" t="s">
        <v>108</v>
      </c>
      <c r="C42" s="2" t="s">
        <v>426</v>
      </c>
      <c r="D42" s="2" t="s">
        <v>568</v>
      </c>
      <c r="E42" s="2" t="s">
        <v>569</v>
      </c>
      <c r="F42" s="2" t="s">
        <v>570</v>
      </c>
      <c r="G42" s="2" t="s">
        <v>113</v>
      </c>
      <c r="H42" s="2" t="s">
        <v>571</v>
      </c>
      <c r="I42" s="2" t="s">
        <v>572</v>
      </c>
      <c r="J42" s="65">
        <v>6</v>
      </c>
      <c r="K42" s="94" t="s">
        <v>116</v>
      </c>
      <c r="L42" s="2" t="s">
        <v>117</v>
      </c>
      <c r="M42" s="2" t="s">
        <v>118</v>
      </c>
      <c r="N42" s="2" t="s">
        <v>573</v>
      </c>
      <c r="O42" s="2" t="s">
        <v>120</v>
      </c>
      <c r="P42" s="2" t="s">
        <v>121</v>
      </c>
      <c r="Q42" s="2" t="s">
        <v>574</v>
      </c>
      <c r="R42" s="65">
        <v>2.25</v>
      </c>
      <c r="S42" s="2" t="s">
        <v>433</v>
      </c>
      <c r="T42" s="2" t="s">
        <v>124</v>
      </c>
      <c r="U42" s="2" t="s">
        <v>575</v>
      </c>
      <c r="V42" s="2" t="s">
        <v>576</v>
      </c>
      <c r="W42" s="2" t="s">
        <v>434</v>
      </c>
      <c r="X42" s="2" t="s">
        <v>435</v>
      </c>
      <c r="Y42" s="33" t="s">
        <v>298</v>
      </c>
      <c r="Z42" s="9"/>
      <c r="AA42" s="2" t="s">
        <v>577</v>
      </c>
      <c r="AB42" s="2" t="s">
        <v>578</v>
      </c>
      <c r="AC42" s="2"/>
      <c r="AD42" s="2" t="s">
        <v>179</v>
      </c>
      <c r="AE42" s="2" t="s">
        <v>210</v>
      </c>
      <c r="AF42" s="2" t="s">
        <v>134</v>
      </c>
      <c r="AG42" s="2" t="s">
        <v>135</v>
      </c>
      <c r="AH42" s="2" t="s">
        <v>136</v>
      </c>
      <c r="AI42" s="2" t="str">
        <f t="shared" si="4"/>
        <v>Not recovered from reviewed sessions</v>
      </c>
      <c r="AJ42" s="2" t="s">
        <v>137</v>
      </c>
      <c r="AK42" s="2" t="s">
        <v>138</v>
      </c>
      <c r="AL42" s="2" t="s">
        <v>139</v>
      </c>
      <c r="AM42" s="2">
        <f t="shared" si="5"/>
        <v>1</v>
      </c>
      <c r="AN42" s="2"/>
      <c r="AO42" s="32" t="s">
        <v>140</v>
      </c>
      <c r="AP42" s="32" t="s">
        <v>141</v>
      </c>
      <c r="AQ42" s="32"/>
      <c r="AR42" s="32" t="s">
        <v>142</v>
      </c>
      <c r="AS42" s="65">
        <f t="shared" si="6"/>
        <v>6</v>
      </c>
      <c r="AT42" s="65">
        <f t="shared" si="7"/>
        <v>2.25</v>
      </c>
      <c r="AU42" s="2" t="str">
        <f>IFERROR(INDEX('Source Review'!$B$2:$B$52,MATCH($A42,'Source Review'!$A$2:$A$52,0)),"NOT SOURCE-REVIEWED IN THIS PASS")</f>
        <v>SOURCE CORROBORATES CLOSED TRUTH CONTRACT</v>
      </c>
      <c r="AV42" s="5">
        <f>IFERROR(INDEX('Source Review'!$F$2:$F$52,MATCH($A42,'Source Review'!$A$2:$A$52,0)),"")</f>
        <v>0</v>
      </c>
      <c r="AW42" s="5">
        <f>IFERROR(INDEX('Source Review'!$G$2:$G$52,MATCH($A42,'Source Review'!$A$2:$A$52,0)),"")</f>
        <v>0</v>
      </c>
      <c r="AX42" s="5">
        <f>IFERROR(INDEX('Source Review'!$H$2:$H$52,MATCH($A42,'Source Review'!$A$2:$A$52,0)),"")</f>
        <v>0</v>
      </c>
      <c r="AY42" s="2" t="str">
        <f>IF(COUNTIF('Source Review'!$A$2:$A$52,$A42)&gt;0,"UNCONFIRMED REVIEW ESTIMATE - not P80 or elapsed","NOT ESTIMATED IN THIS PASS")</f>
        <v>UNCONFIRMED REVIEW ESTIMATE - not P80 or elapsed</v>
      </c>
      <c r="AZ42" s="2" t="str">
        <f>IFERROR(INDEX('Source Review'!$I$2:$I$52,MATCH($A42,'Source Review'!$A$2:$A$52,0)),"")</f>
        <v>Closed honesty contract retained; separate future live acquisition.</v>
      </c>
      <c r="BA42" s="2" t="str">
        <f>IFERROR(INDEX('Source Review'!$E$2:$E$52,MATCH($A42,'Source Review'!$A$2:$A$52,0)),"")</f>
        <v>Backend/PlantProcess.Api/PlantConnectors/V5GaHistorianConnectorEndpoints.cs:61-108 — HistorianConnectorCapabilities</v>
      </c>
      <c r="BB42" s="2" t="str">
        <f>IF(COUNTIF('Source Review'!$A$2:$A$52,$A42)&gt;0,"14-Sep-2026 snapshot; later closure evidence separate; no live HEAD verification","")</f>
        <v>14-Sep-2026 snapshot; later closure evidence separate; no live HEAD verification</v>
      </c>
    </row>
    <row r="43" spans="1:54" ht="75.95" hidden="1" customHeight="1">
      <c r="A43" s="2" t="s">
        <v>579</v>
      </c>
      <c r="B43" s="2" t="s">
        <v>108</v>
      </c>
      <c r="C43" s="2" t="s">
        <v>426</v>
      </c>
      <c r="D43" s="2" t="s">
        <v>580</v>
      </c>
      <c r="E43" s="2" t="s">
        <v>581</v>
      </c>
      <c r="F43" s="2" t="s">
        <v>582</v>
      </c>
      <c r="G43" s="2" t="s">
        <v>113</v>
      </c>
      <c r="H43" s="2" t="s">
        <v>583</v>
      </c>
      <c r="I43" s="2" t="s">
        <v>584</v>
      </c>
      <c r="J43" s="65">
        <v>10</v>
      </c>
      <c r="K43" s="94" t="s">
        <v>455</v>
      </c>
      <c r="L43" s="2" t="s">
        <v>36</v>
      </c>
      <c r="M43" s="2" t="s">
        <v>585</v>
      </c>
      <c r="N43" s="2" t="s">
        <v>586</v>
      </c>
      <c r="O43" s="2" t="s">
        <v>120</v>
      </c>
      <c r="P43" s="2" t="s">
        <v>121</v>
      </c>
      <c r="Q43" s="2" t="s">
        <v>587</v>
      </c>
      <c r="R43" s="65">
        <v>5.1428571428571432</v>
      </c>
      <c r="S43" s="2" t="s">
        <v>433</v>
      </c>
      <c r="T43" s="2" t="s">
        <v>588</v>
      </c>
      <c r="U43" s="2" t="s">
        <v>589</v>
      </c>
      <c r="V43" s="2" t="s">
        <v>590</v>
      </c>
      <c r="W43" s="2" t="s">
        <v>434</v>
      </c>
      <c r="X43" s="2" t="s">
        <v>435</v>
      </c>
      <c r="Y43" s="33"/>
      <c r="Z43" s="9"/>
      <c r="AA43" s="2" t="s">
        <v>591</v>
      </c>
      <c r="AB43" s="2" t="s">
        <v>592</v>
      </c>
      <c r="AC43" s="2" t="s">
        <v>593</v>
      </c>
      <c r="AD43" s="2" t="s">
        <v>179</v>
      </c>
      <c r="AE43" s="2" t="s">
        <v>594</v>
      </c>
      <c r="AF43" s="2" t="s">
        <v>134</v>
      </c>
      <c r="AG43" s="2" t="s">
        <v>135</v>
      </c>
      <c r="AH43" s="2" t="s">
        <v>136</v>
      </c>
      <c r="AI43" s="2" t="str">
        <f t="shared" si="4"/>
        <v/>
      </c>
      <c r="AJ43" s="2" t="s">
        <v>137</v>
      </c>
      <c r="AK43" s="2" t="s">
        <v>138</v>
      </c>
      <c r="AL43" s="2" t="s">
        <v>139</v>
      </c>
      <c r="AM43" s="2">
        <f t="shared" si="5"/>
        <v>1</v>
      </c>
      <c r="AN43" s="2"/>
      <c r="AO43" s="32" t="s">
        <v>462</v>
      </c>
      <c r="AP43" s="32" t="s">
        <v>141</v>
      </c>
      <c r="AQ43" s="32"/>
      <c r="AR43" s="32" t="s">
        <v>142</v>
      </c>
      <c r="AS43" s="65">
        <f t="shared" si="6"/>
        <v>10</v>
      </c>
      <c r="AT43" s="65">
        <f t="shared" si="7"/>
        <v>5.1428571428571432</v>
      </c>
      <c r="AU43" s="2" t="str">
        <f>IFERROR(INDEX('Source Review'!$B$2:$B$52,MATCH($A43,'Source Review'!$A$2:$A$52,0)),"NOT SOURCE-REVIEWED IN THIS PASS")</f>
        <v>AUTHORITY EXISTS; PRODUCTION QUERY CONSUMPTION GAP</v>
      </c>
      <c r="AV43" s="5">
        <f>IFERROR(INDEX('Source Review'!$F$2:$F$52,MATCH($A43,'Source Review'!$A$2:$A$52,0)),"")</f>
        <v>6</v>
      </c>
      <c r="AW43" s="5">
        <f>IFERROR(INDEX('Source Review'!$G$2:$G$52,MATCH($A43,'Source Review'!$A$2:$A$52,0)),"")</f>
        <v>9</v>
      </c>
      <c r="AX43" s="5">
        <f>IFERROR(INDEX('Source Review'!$H$2:$H$52,MATCH($A43,'Source Review'!$A$2:$A$52,0)),"")</f>
        <v>14</v>
      </c>
      <c r="AY43" s="2" t="str">
        <f>IF(COUNTIF('Source Review'!$A$2:$A$52,$A43)&gt;0,"UNCONFIRMED REVIEW ESTIMATE - not P80 or elapsed","NOT ESTIMATED IN THIS PASS")</f>
        <v>UNCONFIRMED REVIEW ESTIMATE - not P80 or elapsed</v>
      </c>
      <c r="AZ43" s="2" t="str">
        <f>IFERROR(INDEX('Source Review'!$I$2:$I$52,MATCH($A43,'Source Review'!$A$2:$A$52,0)),"")</f>
        <v>Query integration 3/5/8 + known-answer/refusal tests 2/3/4 + closure 1/1/2.</v>
      </c>
      <c r="BA43" s="2" t="str">
        <f>IFERROR(INDEX('Source Review'!$E$2:$E$52,MATCH($A43,'Source Review'!$A$2:$A$52,0)),"")</f>
        <v>Backend/PlantProcess.Infrastructure/Definitions/Semantics/SignalSemanticsResolver.cs:30-74 — ResolveAsync
Frontend/PlantProcess.Web/src/authoring/governedBlockBinding.ts:1-9 — not analytics mathematics</v>
      </c>
      <c r="BB43" s="2" t="str">
        <f>IF(COUNTIF('Source Review'!$A$2:$A$52,$A43)&gt;0,"14-Sep-2026 snapshot; later closure evidence separate; no live HEAD verification","")</f>
        <v>14-Sep-2026 snapshot; later closure evidence separate; no live HEAD verification</v>
      </c>
    </row>
    <row r="44" spans="1:54" ht="75.95" hidden="1" customHeight="1">
      <c r="A44" s="2" t="s">
        <v>595</v>
      </c>
      <c r="B44" s="2" t="s">
        <v>108</v>
      </c>
      <c r="C44" s="2" t="s">
        <v>426</v>
      </c>
      <c r="D44" s="2" t="s">
        <v>596</v>
      </c>
      <c r="E44" s="2" t="s">
        <v>597</v>
      </c>
      <c r="F44" s="2" t="s">
        <v>598</v>
      </c>
      <c r="G44" s="2" t="s">
        <v>113</v>
      </c>
      <c r="H44" s="2" t="s">
        <v>599</v>
      </c>
      <c r="I44" s="2" t="s">
        <v>600</v>
      </c>
      <c r="J44" s="65">
        <v>8</v>
      </c>
      <c r="K44" s="94" t="s">
        <v>116</v>
      </c>
      <c r="L44" s="2" t="s">
        <v>36</v>
      </c>
      <c r="M44" s="2" t="s">
        <v>601</v>
      </c>
      <c r="N44" s="2" t="s">
        <v>602</v>
      </c>
      <c r="O44" s="2" t="s">
        <v>120</v>
      </c>
      <c r="P44" s="2" t="s">
        <v>121</v>
      </c>
      <c r="Q44" s="2" t="s">
        <v>603</v>
      </c>
      <c r="R44" s="65">
        <v>3.2</v>
      </c>
      <c r="S44" s="2" t="s">
        <v>433</v>
      </c>
      <c r="T44" s="2" t="s">
        <v>124</v>
      </c>
      <c r="U44" s="2" t="s">
        <v>604</v>
      </c>
      <c r="V44" s="2" t="s">
        <v>605</v>
      </c>
      <c r="W44" s="2" t="s">
        <v>434</v>
      </c>
      <c r="X44" s="2" t="s">
        <v>435</v>
      </c>
      <c r="Y44" s="33" t="s">
        <v>606</v>
      </c>
      <c r="Z44" s="9">
        <v>46265</v>
      </c>
      <c r="AA44" s="2" t="s">
        <v>607</v>
      </c>
      <c r="AB44" s="2" t="s">
        <v>608</v>
      </c>
      <c r="AC44" s="2" t="s">
        <v>609</v>
      </c>
      <c r="AD44" s="2" t="s">
        <v>179</v>
      </c>
      <c r="AE44" s="2" t="s">
        <v>238</v>
      </c>
      <c r="AF44" s="2" t="s">
        <v>134</v>
      </c>
      <c r="AG44" s="2" t="s">
        <v>135</v>
      </c>
      <c r="AH44" s="2" t="s">
        <v>136</v>
      </c>
      <c r="AI44" s="2" t="str">
        <f t="shared" si="4"/>
        <v>2748c7fba8a5c4763bc19112ce57e484cea5b9bb — subject not recovered</v>
      </c>
      <c r="AJ44" s="2" t="s">
        <v>137</v>
      </c>
      <c r="AK44" s="2" t="s">
        <v>138</v>
      </c>
      <c r="AL44" s="2" t="s">
        <v>139</v>
      </c>
      <c r="AM44" s="2">
        <f t="shared" si="5"/>
        <v>1</v>
      </c>
      <c r="AN44" s="2"/>
      <c r="AO44" s="32" t="s">
        <v>140</v>
      </c>
      <c r="AP44" s="32" t="s">
        <v>141</v>
      </c>
      <c r="AQ44" s="32"/>
      <c r="AR44" s="32" t="s">
        <v>142</v>
      </c>
      <c r="AS44" s="65">
        <f t="shared" si="6"/>
        <v>8</v>
      </c>
      <c r="AT44" s="65">
        <f t="shared" si="7"/>
        <v>3.2</v>
      </c>
      <c r="AU44" s="2" t="str">
        <f>IFERROR(INDEX('Source Review'!$B$2:$B$52,MATCH($A44,'Source Review'!$A$2:$A$52,0)),"NOT SOURCE-REVIEWED IN THIS PASS")</f>
        <v>SOURCE CORROBORATES CLOSED PRODUCER</v>
      </c>
      <c r="AV44" s="5">
        <f>IFERROR(INDEX('Source Review'!$F$2:$F$52,MATCH($A44,'Source Review'!$A$2:$A$52,0)),"")</f>
        <v>0</v>
      </c>
      <c r="AW44" s="5">
        <f>IFERROR(INDEX('Source Review'!$G$2:$G$52,MATCH($A44,'Source Review'!$A$2:$A$52,0)),"")</f>
        <v>0</v>
      </c>
      <c r="AX44" s="5">
        <f>IFERROR(INDEX('Source Review'!$H$2:$H$52,MATCH($A44,'Source Review'!$A$2:$A$52,0)),"")</f>
        <v>0</v>
      </c>
      <c r="AY44" s="2" t="str">
        <f>IF(COUNTIF('Source Review'!$A$2:$A$52,$A44)&gt;0,"UNCONFIRMED REVIEW ESTIMATE - not P80 or elapsed","NOT ESTIMATED IN THIS PASS")</f>
        <v>UNCONFIRMED REVIEW ESTIMATE - not P80 or elapsed</v>
      </c>
      <c r="AZ44" s="2" t="str">
        <f>IFERROR(INDEX('Source Review'!$I$2:$I$52,MATCH($A44,'Source Review'!$A$2:$A$52,0)),"")</f>
        <v>Original producer closure retained; no duplicate intake engine.</v>
      </c>
      <c r="BA44" s="2" t="str">
        <f>IFERROR(INDEX('Source Review'!$E$2:$E$52,MATCH($A44,'Source Review'!$A$2:$A$52,0)),"")</f>
        <v>Backend/PlantProcess.Api/Endpoints/CustomerAssessmentEndpoints.cs:86-125 — assessment routes and tenant gate</v>
      </c>
      <c r="BB44" s="2" t="str">
        <f>IF(COUNTIF('Source Review'!$A$2:$A$52,$A44)&gt;0,"14-Sep-2026 snapshot; later closure evidence separate; no live HEAD verification","")</f>
        <v>14-Sep-2026 snapshot; later closure evidence separate; no live HEAD verification</v>
      </c>
    </row>
    <row r="45" spans="1:54" ht="75.95" hidden="1" customHeight="1">
      <c r="A45" s="2" t="s">
        <v>610</v>
      </c>
      <c r="B45" s="2" t="s">
        <v>108</v>
      </c>
      <c r="C45" s="2" t="s">
        <v>426</v>
      </c>
      <c r="D45" s="2" t="s">
        <v>611</v>
      </c>
      <c r="E45" s="2" t="s">
        <v>569</v>
      </c>
      <c r="F45" s="2" t="s">
        <v>612</v>
      </c>
      <c r="G45" s="2" t="s">
        <v>113</v>
      </c>
      <c r="H45" s="2" t="s">
        <v>12485</v>
      </c>
      <c r="I45" s="2" t="s">
        <v>12486</v>
      </c>
      <c r="J45" s="65">
        <v>12</v>
      </c>
      <c r="K45" s="94" t="s">
        <v>455</v>
      </c>
      <c r="L45" s="2" t="s">
        <v>293</v>
      </c>
      <c r="M45" s="2" t="s">
        <v>567</v>
      </c>
      <c r="N45" s="2" t="s">
        <v>613</v>
      </c>
      <c r="O45" s="2" t="s">
        <v>120</v>
      </c>
      <c r="P45" s="2" t="s">
        <v>121</v>
      </c>
      <c r="Q45" s="2" t="s">
        <v>614</v>
      </c>
      <c r="R45" s="65">
        <v>7.2</v>
      </c>
      <c r="S45" s="2" t="s">
        <v>433</v>
      </c>
      <c r="T45" s="2" t="s">
        <v>615</v>
      </c>
      <c r="U45" s="2" t="s">
        <v>616</v>
      </c>
      <c r="V45" s="2" t="s">
        <v>617</v>
      </c>
      <c r="W45" s="2" t="s">
        <v>434</v>
      </c>
      <c r="X45" s="2" t="s">
        <v>618</v>
      </c>
      <c r="Y45" s="33"/>
      <c r="Z45" s="9"/>
      <c r="AA45" s="2" t="s">
        <v>619</v>
      </c>
      <c r="AB45" s="2" t="s">
        <v>620</v>
      </c>
      <c r="AC45" s="2"/>
      <c r="AD45" s="2" t="s">
        <v>391</v>
      </c>
      <c r="AE45" s="2" t="s">
        <v>198</v>
      </c>
      <c r="AF45" s="2" t="s">
        <v>134</v>
      </c>
      <c r="AG45" s="2" t="s">
        <v>135</v>
      </c>
      <c r="AH45" s="2" t="s">
        <v>136</v>
      </c>
      <c r="AI45" s="2" t="str">
        <f t="shared" si="4"/>
        <v/>
      </c>
      <c r="AJ45" s="2" t="s">
        <v>137</v>
      </c>
      <c r="AK45" s="2" t="s">
        <v>138</v>
      </c>
      <c r="AL45" s="2" t="s">
        <v>621</v>
      </c>
      <c r="AM45" s="2">
        <f t="shared" si="5"/>
        <v>0</v>
      </c>
      <c r="AN45" s="2"/>
      <c r="AO45" s="32" t="s">
        <v>462</v>
      </c>
      <c r="AP45" s="32" t="s">
        <v>141</v>
      </c>
      <c r="AQ45" s="32"/>
      <c r="AR45" s="32" t="s">
        <v>12487</v>
      </c>
      <c r="AS45" s="65" t="str">
        <f t="shared" si="6"/>
        <v/>
      </c>
      <c r="AT45" s="65" t="str">
        <f t="shared" si="7"/>
        <v/>
      </c>
      <c r="AU45" s="2" t="s">
        <v>12488</v>
      </c>
      <c r="AV45" s="5"/>
      <c r="AW45" s="5"/>
      <c r="AX45" s="5"/>
      <c r="AY45" s="2" t="s">
        <v>12489</v>
      </c>
      <c r="AZ45" s="2" t="s">
        <v>12490</v>
      </c>
      <c r="BA45" s="2" t="s">
        <v>12491</v>
      </c>
      <c r="BB45" s="2" t="s">
        <v>12492</v>
      </c>
    </row>
    <row r="46" spans="1:54" ht="75.95" hidden="1" customHeight="1">
      <c r="A46" s="2" t="s">
        <v>622</v>
      </c>
      <c r="B46" s="2" t="s">
        <v>108</v>
      </c>
      <c r="C46" s="2" t="s">
        <v>426</v>
      </c>
      <c r="D46" s="2" t="s">
        <v>623</v>
      </c>
      <c r="E46" s="2" t="s">
        <v>569</v>
      </c>
      <c r="F46" s="2" t="s">
        <v>612</v>
      </c>
      <c r="G46" s="2" t="s">
        <v>113</v>
      </c>
      <c r="H46" s="2" t="s">
        <v>12493</v>
      </c>
      <c r="I46" s="2" t="s">
        <v>12494</v>
      </c>
      <c r="J46" s="65">
        <v>12</v>
      </c>
      <c r="K46" s="94" t="s">
        <v>455</v>
      </c>
      <c r="L46" s="2" t="s">
        <v>293</v>
      </c>
      <c r="M46" s="2" t="s">
        <v>610</v>
      </c>
      <c r="N46" s="2" t="s">
        <v>624</v>
      </c>
      <c r="O46" s="2" t="s">
        <v>120</v>
      </c>
      <c r="P46" s="2" t="s">
        <v>121</v>
      </c>
      <c r="Q46" s="2" t="s">
        <v>614</v>
      </c>
      <c r="R46" s="65">
        <v>7.2</v>
      </c>
      <c r="S46" s="2" t="s">
        <v>433</v>
      </c>
      <c r="T46" s="2" t="s">
        <v>625</v>
      </c>
      <c r="U46" s="2" t="s">
        <v>626</v>
      </c>
      <c r="V46" s="2" t="s">
        <v>627</v>
      </c>
      <c r="W46" s="2" t="s">
        <v>434</v>
      </c>
      <c r="X46" s="2" t="s">
        <v>435</v>
      </c>
      <c r="Y46" s="33"/>
      <c r="Z46" s="9"/>
      <c r="AA46" s="2" t="s">
        <v>619</v>
      </c>
      <c r="AB46" s="2" t="s">
        <v>620</v>
      </c>
      <c r="AC46" s="2"/>
      <c r="AD46" s="2" t="s">
        <v>179</v>
      </c>
      <c r="AE46" s="2" t="s">
        <v>198</v>
      </c>
      <c r="AF46" s="2" t="s">
        <v>134</v>
      </c>
      <c r="AG46" s="2" t="s">
        <v>135</v>
      </c>
      <c r="AH46" s="2" t="s">
        <v>136</v>
      </c>
      <c r="AI46" s="2" t="str">
        <f t="shared" si="4"/>
        <v/>
      </c>
      <c r="AJ46" s="2" t="s">
        <v>137</v>
      </c>
      <c r="AK46" s="2" t="s">
        <v>138</v>
      </c>
      <c r="AL46" s="2" t="s">
        <v>628</v>
      </c>
      <c r="AM46" s="2">
        <f t="shared" si="5"/>
        <v>0</v>
      </c>
      <c r="AN46" s="2"/>
      <c r="AO46" s="32" t="s">
        <v>462</v>
      </c>
      <c r="AP46" s="32" t="s">
        <v>141</v>
      </c>
      <c r="AQ46" s="32"/>
      <c r="AR46" s="32" t="s">
        <v>12487</v>
      </c>
      <c r="AS46" s="65" t="str">
        <f t="shared" si="6"/>
        <v/>
      </c>
      <c r="AT46" s="65" t="str">
        <f t="shared" si="7"/>
        <v/>
      </c>
      <c r="AU46" s="2" t="s">
        <v>12488</v>
      </c>
      <c r="AV46" s="5"/>
      <c r="AW46" s="5"/>
      <c r="AX46" s="5"/>
      <c r="AY46" s="2" t="s">
        <v>12489</v>
      </c>
      <c r="AZ46" s="2" t="s">
        <v>12490</v>
      </c>
      <c r="BA46" s="2" t="s">
        <v>12491</v>
      </c>
      <c r="BB46" s="2" t="s">
        <v>12492</v>
      </c>
    </row>
    <row r="47" spans="1:54" ht="75.95" hidden="1" customHeight="1">
      <c r="A47" s="2" t="s">
        <v>629</v>
      </c>
      <c r="B47" s="2" t="s">
        <v>108</v>
      </c>
      <c r="C47" s="2" t="s">
        <v>426</v>
      </c>
      <c r="D47" s="2" t="s">
        <v>630</v>
      </c>
      <c r="E47" s="2" t="s">
        <v>569</v>
      </c>
      <c r="F47" s="2" t="s">
        <v>612</v>
      </c>
      <c r="G47" s="2" t="s">
        <v>113</v>
      </c>
      <c r="H47" s="2" t="s">
        <v>12495</v>
      </c>
      <c r="I47" s="2" t="s">
        <v>12496</v>
      </c>
      <c r="J47" s="65">
        <v>12</v>
      </c>
      <c r="K47" s="94" t="s">
        <v>455</v>
      </c>
      <c r="L47" s="2" t="s">
        <v>293</v>
      </c>
      <c r="M47" s="2" t="s">
        <v>12497</v>
      </c>
      <c r="N47" s="2" t="s">
        <v>631</v>
      </c>
      <c r="O47" s="2" t="s">
        <v>120</v>
      </c>
      <c r="P47" s="2" t="s">
        <v>121</v>
      </c>
      <c r="Q47" s="2" t="s">
        <v>614</v>
      </c>
      <c r="R47" s="65">
        <v>7.2</v>
      </c>
      <c r="S47" s="2" t="s">
        <v>433</v>
      </c>
      <c r="T47" s="2" t="s">
        <v>632</v>
      </c>
      <c r="U47" s="2" t="s">
        <v>633</v>
      </c>
      <c r="V47" s="2" t="s">
        <v>634</v>
      </c>
      <c r="W47" s="2" t="s">
        <v>434</v>
      </c>
      <c r="X47" s="2" t="s">
        <v>435</v>
      </c>
      <c r="Y47" s="33"/>
      <c r="Z47" s="9"/>
      <c r="AA47" s="2" t="s">
        <v>619</v>
      </c>
      <c r="AB47" s="2" t="s">
        <v>620</v>
      </c>
      <c r="AC47" s="2"/>
      <c r="AD47" s="2" t="s">
        <v>179</v>
      </c>
      <c r="AE47" s="2" t="s">
        <v>198</v>
      </c>
      <c r="AF47" s="2" t="s">
        <v>134</v>
      </c>
      <c r="AG47" s="2" t="s">
        <v>135</v>
      </c>
      <c r="AH47" s="2" t="s">
        <v>136</v>
      </c>
      <c r="AI47" s="2" t="str">
        <f t="shared" si="4"/>
        <v/>
      </c>
      <c r="AJ47" s="2" t="s">
        <v>137</v>
      </c>
      <c r="AK47" s="2" t="s">
        <v>138</v>
      </c>
      <c r="AL47" s="2" t="s">
        <v>635</v>
      </c>
      <c r="AM47" s="2">
        <f t="shared" si="5"/>
        <v>0</v>
      </c>
      <c r="AN47" s="2"/>
      <c r="AO47" s="32" t="s">
        <v>462</v>
      </c>
      <c r="AP47" s="32" t="s">
        <v>141</v>
      </c>
      <c r="AQ47" s="32"/>
      <c r="AR47" s="32" t="s">
        <v>12487</v>
      </c>
      <c r="AS47" s="65" t="str">
        <f t="shared" si="6"/>
        <v/>
      </c>
      <c r="AT47" s="65" t="str">
        <f t="shared" si="7"/>
        <v/>
      </c>
      <c r="AU47" s="2" t="s">
        <v>12488</v>
      </c>
      <c r="AV47" s="5"/>
      <c r="AW47" s="5"/>
      <c r="AX47" s="5"/>
      <c r="AY47" s="2" t="s">
        <v>12489</v>
      </c>
      <c r="AZ47" s="2" t="s">
        <v>12490</v>
      </c>
      <c r="BA47" s="2" t="s">
        <v>12491</v>
      </c>
      <c r="BB47" s="2" t="s">
        <v>12492</v>
      </c>
    </row>
    <row r="48" spans="1:54" ht="75.95" hidden="1" customHeight="1">
      <c r="A48" s="4" t="s">
        <v>636</v>
      </c>
      <c r="B48" s="4" t="s">
        <v>108</v>
      </c>
      <c r="C48" s="4" t="s">
        <v>426</v>
      </c>
      <c r="D48" s="4" t="s">
        <v>637</v>
      </c>
      <c r="E48" s="4" t="s">
        <v>348</v>
      </c>
      <c r="F48" s="4" t="s">
        <v>638</v>
      </c>
      <c r="G48" s="4" t="s">
        <v>113</v>
      </c>
      <c r="H48" s="4" t="s">
        <v>639</v>
      </c>
      <c r="I48" s="4" t="s">
        <v>640</v>
      </c>
      <c r="J48" s="64">
        <v>6</v>
      </c>
      <c r="K48" s="94" t="s">
        <v>455</v>
      </c>
      <c r="L48" s="4" t="s">
        <v>117</v>
      </c>
      <c r="M48" s="2" t="s">
        <v>641</v>
      </c>
      <c r="N48" s="2" t="s">
        <v>642</v>
      </c>
      <c r="O48" s="2" t="s">
        <v>120</v>
      </c>
      <c r="P48" s="2" t="s">
        <v>121</v>
      </c>
      <c r="Q48" s="2" t="s">
        <v>329</v>
      </c>
      <c r="R48" s="65">
        <v>2.5499999999999998</v>
      </c>
      <c r="S48" s="2" t="s">
        <v>433</v>
      </c>
      <c r="T48" s="2" t="s">
        <v>643</v>
      </c>
      <c r="U48" s="2" t="s">
        <v>644</v>
      </c>
      <c r="V48" s="2" t="s">
        <v>645</v>
      </c>
      <c r="W48" s="2" t="s">
        <v>434</v>
      </c>
      <c r="X48" s="2" t="s">
        <v>435</v>
      </c>
      <c r="Y48" s="33"/>
      <c r="Z48" s="9"/>
      <c r="AA48" s="2" t="s">
        <v>646</v>
      </c>
      <c r="AB48" s="2" t="s">
        <v>647</v>
      </c>
      <c r="AC48" s="2"/>
      <c r="AD48" s="2" t="s">
        <v>179</v>
      </c>
      <c r="AE48" s="2" t="s">
        <v>321</v>
      </c>
      <c r="AF48" s="2" t="s">
        <v>134</v>
      </c>
      <c r="AG48" s="2" t="s">
        <v>135</v>
      </c>
      <c r="AH48" s="2" t="s">
        <v>136</v>
      </c>
      <c r="AI48" s="2" t="str">
        <f t="shared" si="4"/>
        <v/>
      </c>
      <c r="AJ48" s="2" t="s">
        <v>137</v>
      </c>
      <c r="AK48" s="2" t="s">
        <v>138</v>
      </c>
      <c r="AL48" s="2" t="s">
        <v>139</v>
      </c>
      <c r="AM48" s="2">
        <f t="shared" si="5"/>
        <v>1</v>
      </c>
      <c r="AN48" s="2"/>
      <c r="AO48" s="32" t="s">
        <v>462</v>
      </c>
      <c r="AP48" s="32" t="s">
        <v>141</v>
      </c>
      <c r="AQ48" s="32"/>
      <c r="AR48" s="32" t="s">
        <v>142</v>
      </c>
      <c r="AS48" s="65">
        <f t="shared" si="6"/>
        <v>6</v>
      </c>
      <c r="AT48" s="65">
        <f t="shared" si="7"/>
        <v>2.5499999999999998</v>
      </c>
      <c r="AU48" s="2" t="str">
        <f>IFERROR(INDEX('Source Review'!$B$2:$B$52,MATCH($A48,'Source Review'!$A$2:$A$52,0)),"NOT SOURCE-REVIEWED IN THIS PASS")</f>
        <v>TARGET AUTHORITY NOT LOCATED IN SUPPLIED SNAPSHOT</v>
      </c>
      <c r="AV48" s="5">
        <f>IFERROR(INDEX('Source Review'!$F$2:$F$52,MATCH($A48,'Source Review'!$A$2:$A$52,0)),"")</f>
        <v>5</v>
      </c>
      <c r="AW48" s="5">
        <f>IFERROR(INDEX('Source Review'!$G$2:$G$52,MATCH($A48,'Source Review'!$A$2:$A$52,0)),"")</f>
        <v>8</v>
      </c>
      <c r="AX48" s="5">
        <f>IFERROR(INDEX('Source Review'!$H$2:$H$52,MATCH($A48,'Source Review'!$A$2:$A$52,0)),"")</f>
        <v>13</v>
      </c>
      <c r="AY48" s="2" t="str">
        <f>IF(COUNTIF('Source Review'!$A$2:$A$52,$A48)&gt;0,"UNCONFIRMED REVIEW ESTIMATE - not P80 or elapsed","NOT ESTIMATED IN THIS PASS")</f>
        <v>UNCONFIRMED REVIEW ESTIMATE - not P80 or elapsed</v>
      </c>
      <c r="AZ48" s="2" t="str">
        <f>IFERROR(INDEX('Source Review'!$I$2:$I$52,MATCH($A48,'Source Review'!$A$2:$A$52,0)),"")</f>
        <v>Persistence/resolution adapter 2/4/7 + projections/refusal tests 2/3/4 + closure 1/1/2.</v>
      </c>
      <c r="BA48" s="2" t="str">
        <f>IFERROR(INDEX('Source Review'!$E$2:$E$52,MATCH($A48,'Source Review'!$A$2:$A$52,0)),"")</f>
        <v>Backend/PlantProcess.Infrastructure/Definitions/Semantics/SignalSemanticsResolver.cs:30-74 — existing semantic infrastructure only</v>
      </c>
      <c r="BB48" s="2" t="str">
        <f>IF(COUNTIF('Source Review'!$A$2:$A$52,$A48)&gt;0,"14-Sep-2026 snapshot; later closure evidence separate; no live HEAD verification","")</f>
        <v>14-Sep-2026 snapshot; later closure evidence separate; no live HEAD verification</v>
      </c>
    </row>
    <row r="49" spans="1:54" ht="75.95" hidden="1" customHeight="1">
      <c r="A49" s="4" t="s">
        <v>648</v>
      </c>
      <c r="B49" s="4" t="s">
        <v>108</v>
      </c>
      <c r="C49" s="4" t="s">
        <v>426</v>
      </c>
      <c r="D49" s="4" t="s">
        <v>649</v>
      </c>
      <c r="E49" s="4" t="s">
        <v>348</v>
      </c>
      <c r="F49" s="4" t="s">
        <v>650</v>
      </c>
      <c r="G49" s="4" t="s">
        <v>113</v>
      </c>
      <c r="H49" s="4" t="s">
        <v>651</v>
      </c>
      <c r="I49" s="4" t="s">
        <v>652</v>
      </c>
      <c r="J49" s="64">
        <v>5</v>
      </c>
      <c r="K49" s="94" t="s">
        <v>653</v>
      </c>
      <c r="L49" s="4" t="s">
        <v>117</v>
      </c>
      <c r="M49" s="2" t="s">
        <v>654</v>
      </c>
      <c r="N49" s="2" t="s">
        <v>655</v>
      </c>
      <c r="O49" s="2" t="s">
        <v>120</v>
      </c>
      <c r="P49" s="2" t="s">
        <v>121</v>
      </c>
      <c r="Q49" s="2" t="s">
        <v>329</v>
      </c>
      <c r="R49" s="65">
        <v>2.125</v>
      </c>
      <c r="S49" s="2" t="s">
        <v>433</v>
      </c>
      <c r="T49" s="2" t="s">
        <v>656</v>
      </c>
      <c r="U49" s="2" t="s">
        <v>657</v>
      </c>
      <c r="V49" s="2" t="s">
        <v>658</v>
      </c>
      <c r="W49" s="2" t="s">
        <v>434</v>
      </c>
      <c r="X49" s="2" t="s">
        <v>435</v>
      </c>
      <c r="Y49" s="33"/>
      <c r="Z49" s="9"/>
      <c r="AA49" s="2" t="s">
        <v>343</v>
      </c>
      <c r="AB49" s="2" t="s">
        <v>344</v>
      </c>
      <c r="AC49" s="2" t="s">
        <v>345</v>
      </c>
      <c r="AD49" s="2" t="s">
        <v>179</v>
      </c>
      <c r="AE49" s="2" t="s">
        <v>321</v>
      </c>
      <c r="AF49" s="2" t="s">
        <v>134</v>
      </c>
      <c r="AG49" s="2" t="s">
        <v>135</v>
      </c>
      <c r="AH49" s="2" t="s">
        <v>136</v>
      </c>
      <c r="AI49" s="2" t="str">
        <f t="shared" si="4"/>
        <v/>
      </c>
      <c r="AJ49" s="2" t="s">
        <v>137</v>
      </c>
      <c r="AK49" s="2" t="s">
        <v>138</v>
      </c>
      <c r="AL49" s="2" t="s">
        <v>139</v>
      </c>
      <c r="AM49" s="2">
        <f t="shared" si="5"/>
        <v>1</v>
      </c>
      <c r="AN49" s="2"/>
      <c r="AO49" s="32" t="s">
        <v>462</v>
      </c>
      <c r="AP49" s="32" t="s">
        <v>141</v>
      </c>
      <c r="AQ49" s="32"/>
      <c r="AR49" s="32" t="s">
        <v>142</v>
      </c>
      <c r="AS49" s="65">
        <f t="shared" si="6"/>
        <v>5</v>
      </c>
      <c r="AT49" s="65">
        <f t="shared" si="7"/>
        <v>2.125</v>
      </c>
      <c r="AU49" s="2" t="str">
        <f>IFERROR(INDEX('Source Review'!$B$2:$B$52,MATCH($A49,'Source Review'!$A$2:$A$52,0)),"NOT SOURCE-REVIEWED IN THIS PASS")</f>
        <v>TIME KERNEL EXISTS; PERSISTENCE/CONSUMER WORK REMAINS</v>
      </c>
      <c r="AV49" s="5">
        <f>IFERROR(INDEX('Source Review'!$F$2:$F$52,MATCH($A49,'Source Review'!$A$2:$A$52,0)),"")</f>
        <v>5</v>
      </c>
      <c r="AW49" s="5">
        <f>IFERROR(INDEX('Source Review'!$G$2:$G$52,MATCH($A49,'Source Review'!$A$2:$A$52,0)),"")</f>
        <v>8</v>
      </c>
      <c r="AX49" s="5">
        <f>IFERROR(INDEX('Source Review'!$H$2:$H$52,MATCH($A49,'Source Review'!$A$2:$A$52,0)),"")</f>
        <v>14</v>
      </c>
      <c r="AY49" s="2" t="str">
        <f>IF(COUNTIF('Source Review'!$A$2:$A$52,$A49)&gt;0,"UNCONFIRMED REVIEW ESTIMATE - not P80 or elapsed","NOT ESTIMATED IN THIS PASS")</f>
        <v>UNCONFIRMED REVIEW ESTIMATE - not P80 or elapsed</v>
      </c>
      <c r="AZ49" s="2" t="str">
        <f>IFERROR(INDEX('Source Review'!$I$2:$I$52,MATCH($A49,'Source Review'!$A$2:$A$52,0)),"")</f>
        <v>Persistence/API adapter 2/3/6 + consumer binding 1/2/4 + ambiguity/timezone tests/closure 2/3/4.</v>
      </c>
      <c r="BA49" s="2" t="str">
        <f>IFERROR(INDEX('Source Review'!$E$2:$E$52,MATCH($A49,'Source Review'!$A$2:$A$52,0)),"")</f>
        <v>Backend/PlantProcess.Analytics.Core/Kernel/Time/SourceTimeAuthorityKernel.cs:26-97 — Resolve / ResolveAs
Backend/PlantProcess.Application/Integration/Services/Mapping/MappingRowProjector.cs:184-210 — current material time fields</v>
      </c>
      <c r="BB49" s="2" t="str">
        <f>IF(COUNTIF('Source Review'!$A$2:$A$52,$A49)&gt;0,"14-Sep-2026 snapshot; later closure evidence separate; no live HEAD verification","")</f>
        <v>14-Sep-2026 snapshot; later closure evidence separate; no live HEAD verification</v>
      </c>
    </row>
    <row r="50" spans="1:54" ht="75.95" hidden="1" customHeight="1">
      <c r="A50" s="2" t="s">
        <v>659</v>
      </c>
      <c r="B50" s="2" t="s">
        <v>108</v>
      </c>
      <c r="C50" s="2" t="s">
        <v>426</v>
      </c>
      <c r="D50" s="2" t="s">
        <v>660</v>
      </c>
      <c r="E50" s="2" t="s">
        <v>348</v>
      </c>
      <c r="F50" s="2" t="s">
        <v>661</v>
      </c>
      <c r="G50" s="2" t="s">
        <v>113</v>
      </c>
      <c r="H50" s="2" t="s">
        <v>662</v>
      </c>
      <c r="I50" s="2" t="s">
        <v>663</v>
      </c>
      <c r="J50" s="93">
        <v>8</v>
      </c>
      <c r="K50" s="94" t="s">
        <v>455</v>
      </c>
      <c r="L50" s="2" t="s">
        <v>117</v>
      </c>
      <c r="M50" s="2" t="s">
        <v>664</v>
      </c>
      <c r="N50" s="2" t="s">
        <v>665</v>
      </c>
      <c r="O50" s="2" t="s">
        <v>120</v>
      </c>
      <c r="P50" s="2" t="s">
        <v>121</v>
      </c>
      <c r="Q50" s="2" t="s">
        <v>329</v>
      </c>
      <c r="R50" s="65">
        <v>3.4</v>
      </c>
      <c r="S50" s="2" t="s">
        <v>433</v>
      </c>
      <c r="T50" s="2" t="s">
        <v>666</v>
      </c>
      <c r="U50" s="2" t="s">
        <v>667</v>
      </c>
      <c r="V50" s="2" t="s">
        <v>668</v>
      </c>
      <c r="W50" s="2" t="s">
        <v>434</v>
      </c>
      <c r="X50" s="2" t="s">
        <v>435</v>
      </c>
      <c r="Y50" s="33"/>
      <c r="Z50" s="9"/>
      <c r="AA50" s="2" t="s">
        <v>669</v>
      </c>
      <c r="AB50" s="2" t="s">
        <v>670</v>
      </c>
      <c r="AC50" s="2"/>
      <c r="AD50" s="2" t="s">
        <v>179</v>
      </c>
      <c r="AE50" s="2" t="s">
        <v>321</v>
      </c>
      <c r="AF50" s="2" t="s">
        <v>134</v>
      </c>
      <c r="AG50" s="2" t="s">
        <v>135</v>
      </c>
      <c r="AH50" s="2" t="s">
        <v>136</v>
      </c>
      <c r="AI50" s="2" t="str">
        <f t="shared" si="4"/>
        <v/>
      </c>
      <c r="AJ50" s="2" t="s">
        <v>496</v>
      </c>
      <c r="AK50" s="2" t="s">
        <v>138</v>
      </c>
      <c r="AL50" s="2" t="s">
        <v>139</v>
      </c>
      <c r="AM50" s="2">
        <f t="shared" si="5"/>
        <v>0</v>
      </c>
      <c r="AN50" s="2"/>
      <c r="AO50" s="32" t="s">
        <v>462</v>
      </c>
      <c r="AP50" s="32" t="s">
        <v>141</v>
      </c>
      <c r="AQ50" s="32"/>
      <c r="AR50" s="32" t="s">
        <v>486</v>
      </c>
      <c r="AS50" s="65" t="str">
        <f t="shared" si="6"/>
        <v/>
      </c>
      <c r="AT50" s="65" t="str">
        <f t="shared" si="7"/>
        <v/>
      </c>
      <c r="AU50" s="2" t="str">
        <f>IFERROR(INDEX('Source Review'!$B$2:$B$52,MATCH($A50,'Source Review'!$A$2:$A$52,0)),"NOT SOURCE-REVIEWED IN THIS PASS")</f>
        <v>KERNELS COMPLETE; CURRENT PRODUCTION INTEGRATION OPEN</v>
      </c>
      <c r="AV50" s="5">
        <f>IFERROR(INDEX('Source Review'!$F$2:$F$52,MATCH($A50,'Source Review'!$A$2:$A$52,0)),"")</f>
        <v>6</v>
      </c>
      <c r="AW50" s="5">
        <f>IFERROR(INDEX('Source Review'!$G$2:$G$52,MATCH($A50,'Source Review'!$A$2:$A$52,0)),"")</f>
        <v>11</v>
      </c>
      <c r="AX50" s="5">
        <f>IFERROR(INDEX('Source Review'!$H$2:$H$52,MATCH($A50,'Source Review'!$A$2:$A$52,0)),"")</f>
        <v>18</v>
      </c>
      <c r="AY50" s="2" t="str">
        <f>IF(COUNTIF('Source Review'!$A$2:$A$52,$A50)&gt;0,"UNCONFIRMED REVIEW ESTIMATE - not P80 or elapsed","NOT ESTIMATED IN THIS PASS")</f>
        <v>UNCONFIRMED REVIEW ESTIMATE - not P80 or elapsed</v>
      </c>
      <c r="AZ50" s="2" t="str">
        <f>IFERROR(INDEX('Source Review'!$I$2:$I$52,MATCH($A50,'Source Review'!$A$2:$A$52,0)),"")</f>
        <v>Persistence/regime adapter 2/4/7 + live-statistics integration 2/4/6 + adversarial tests/closure 2/3/5.</v>
      </c>
      <c r="BA50" s="2" t="str">
        <f>IFERROR(INDEX('Source Review'!$E$2:$E$52,MATCH($A50,'Source Review'!$A$2:$A$52,0)),"")</f>
        <v>Backend/PlantProcess.Analytics.Core/Kernel/Regime/TransitionAwarePoolingGuard.cs:24-79 — Admit
Backend/PlantProcess.Analytics.Core/Kernel/Time/SourceTimeAuthorityKernel.cs:26-66 — time interpretation</v>
      </c>
      <c r="BB50" s="2" t="str">
        <f>IF(COUNTIF('Source Review'!$A$2:$A$52,$A50)&gt;0,"14-Sep-2026 snapshot; later closure evidence separate; no live HEAD verification","")</f>
        <v>14-Sep-2026 snapshot; later closure evidence separate; no live HEAD verification</v>
      </c>
    </row>
    <row r="51" spans="1:54" ht="75.95" hidden="1" customHeight="1">
      <c r="A51" s="4" t="s">
        <v>671</v>
      </c>
      <c r="B51" s="4" t="s">
        <v>108</v>
      </c>
      <c r="C51" s="4" t="s">
        <v>426</v>
      </c>
      <c r="D51" s="4" t="s">
        <v>672</v>
      </c>
      <c r="E51" s="4" t="s">
        <v>264</v>
      </c>
      <c r="F51" s="4" t="s">
        <v>673</v>
      </c>
      <c r="G51" s="4" t="s">
        <v>674</v>
      </c>
      <c r="H51" s="4" t="s">
        <v>675</v>
      </c>
      <c r="I51" s="4" t="s">
        <v>676</v>
      </c>
      <c r="J51" s="64">
        <v>10</v>
      </c>
      <c r="K51" s="94" t="s">
        <v>116</v>
      </c>
      <c r="L51" s="4" t="s">
        <v>36</v>
      </c>
      <c r="M51" s="2" t="s">
        <v>677</v>
      </c>
      <c r="N51" s="2" t="s">
        <v>678</v>
      </c>
      <c r="O51" s="2" t="s">
        <v>120</v>
      </c>
      <c r="P51" s="2" t="s">
        <v>121</v>
      </c>
      <c r="Q51" s="2" t="s">
        <v>679</v>
      </c>
      <c r="R51" s="65"/>
      <c r="S51" s="2" t="s">
        <v>433</v>
      </c>
      <c r="T51" s="2" t="s">
        <v>124</v>
      </c>
      <c r="U51" s="2" t="s">
        <v>680</v>
      </c>
      <c r="V51" s="2" t="s">
        <v>681</v>
      </c>
      <c r="W51" s="2" t="s">
        <v>434</v>
      </c>
      <c r="X51" s="2" t="s">
        <v>435</v>
      </c>
      <c r="Y51" s="33" t="s">
        <v>682</v>
      </c>
      <c r="Z51" s="9"/>
      <c r="AA51" s="2" t="s">
        <v>683</v>
      </c>
      <c r="AB51" s="2" t="s">
        <v>684</v>
      </c>
      <c r="AC51" s="2"/>
      <c r="AD51" s="2" t="s">
        <v>179</v>
      </c>
      <c r="AE51" s="2" t="s">
        <v>685</v>
      </c>
      <c r="AF51" s="2" t="s">
        <v>134</v>
      </c>
      <c r="AG51" s="2" t="s">
        <v>135</v>
      </c>
      <c r="AH51" s="2" t="s">
        <v>136</v>
      </c>
      <c r="AI51" s="2" t="str">
        <f t="shared" si="4"/>
        <v>eb7fb2ab — subject not recovered</v>
      </c>
      <c r="AJ51" s="2" t="s">
        <v>137</v>
      </c>
      <c r="AK51" s="2" t="s">
        <v>138</v>
      </c>
      <c r="AL51" s="2" t="s">
        <v>139</v>
      </c>
      <c r="AM51" s="2">
        <f t="shared" si="5"/>
        <v>1</v>
      </c>
      <c r="AN51" s="2"/>
      <c r="AO51" s="32" t="s">
        <v>140</v>
      </c>
      <c r="AP51" s="32" t="s">
        <v>141</v>
      </c>
      <c r="AQ51" s="32"/>
      <c r="AR51" s="32" t="s">
        <v>142</v>
      </c>
      <c r="AS51" s="65">
        <f t="shared" si="6"/>
        <v>10</v>
      </c>
      <c r="AT51" s="65" t="str">
        <f t="shared" si="7"/>
        <v/>
      </c>
      <c r="AU51" s="2" t="str">
        <f>IFERROR(INDEX('Source Review'!$B$2:$B$52,MATCH($A51,'Source Review'!$A$2:$A$52,0)),"NOT SOURCE-REVIEWED IN THIS PASS")</f>
        <v>SOURCE CORROBORATES CLOSED GRAPH CONTRACT</v>
      </c>
      <c r="AV51" s="5">
        <f>IFERROR(INDEX('Source Review'!$F$2:$F$52,MATCH($A51,'Source Review'!$A$2:$A$52,0)),"")</f>
        <v>0</v>
      </c>
      <c r="AW51" s="5">
        <f>IFERROR(INDEX('Source Review'!$G$2:$G$52,MATCH($A51,'Source Review'!$A$2:$A$52,0)),"")</f>
        <v>0</v>
      </c>
      <c r="AX51" s="5">
        <f>IFERROR(INDEX('Source Review'!$H$2:$H$52,MATCH($A51,'Source Review'!$A$2:$A$52,0)),"")</f>
        <v>0</v>
      </c>
      <c r="AY51" s="2" t="str">
        <f>IF(COUNTIF('Source Review'!$A$2:$A$52,$A51)&gt;0,"UNCONFIRMED REVIEW ESTIMATE - not P80 or elapsed","NOT ESTIMATED IN THIS PASS")</f>
        <v>UNCONFIRMED REVIEW ESTIMATE - not P80 or elapsed</v>
      </c>
      <c r="AZ51" s="2" t="str">
        <f>IFERROR(INDEX('Source Review'!$I$2:$I$52,MATCH($A51,'Source Review'!$A$2:$A$52,0)),"")</f>
        <v>Closed graph contract; zero original remainder.</v>
      </c>
      <c r="BA51" s="2" t="str">
        <f>IFERROR(INDEX('Source Review'!$E$2:$E$52,MATCH($A51,'Source Review'!$A$2:$A$52,0)),"")</f>
        <v>Frontend/PlantProcess.Web/src/authoring/graphSemantics.ts:22-40 — typed-port authority
Frontend/PlantProcess.Web/src/authoring/blockRegistry.ts:13-45 — capability separation</v>
      </c>
      <c r="BB51" s="2" t="str">
        <f>IF(COUNTIF('Source Review'!$A$2:$A$52,$A51)&gt;0,"14-Sep-2026 snapshot; later closure evidence separate; no live HEAD verification","")</f>
        <v>14-Sep-2026 snapshot; later closure evidence separate; no live HEAD verification</v>
      </c>
    </row>
    <row r="52" spans="1:54" ht="75.95" hidden="1" customHeight="1">
      <c r="A52" s="2" t="s">
        <v>686</v>
      </c>
      <c r="B52" s="2" t="s">
        <v>108</v>
      </c>
      <c r="C52" s="2" t="s">
        <v>426</v>
      </c>
      <c r="D52" s="2" t="s">
        <v>687</v>
      </c>
      <c r="E52" s="2" t="s">
        <v>264</v>
      </c>
      <c r="F52" s="2" t="s">
        <v>673</v>
      </c>
      <c r="G52" s="2" t="s">
        <v>674</v>
      </c>
      <c r="H52" s="2" t="s">
        <v>688</v>
      </c>
      <c r="I52" s="2" t="s">
        <v>689</v>
      </c>
      <c r="J52" s="2">
        <v>16</v>
      </c>
      <c r="K52" s="94" t="s">
        <v>116</v>
      </c>
      <c r="L52" s="2" t="s">
        <v>36</v>
      </c>
      <c r="M52" s="2" t="s">
        <v>690</v>
      </c>
      <c r="N52" s="2" t="s">
        <v>691</v>
      </c>
      <c r="O52" s="2" t="s">
        <v>120</v>
      </c>
      <c r="P52" s="2" t="s">
        <v>121</v>
      </c>
      <c r="Q52" s="2" t="s">
        <v>679</v>
      </c>
      <c r="R52" s="65"/>
      <c r="S52" s="2" t="s">
        <v>433</v>
      </c>
      <c r="T52" s="2" t="s">
        <v>124</v>
      </c>
      <c r="U52" s="2" t="s">
        <v>692</v>
      </c>
      <c r="V52" s="2" t="s">
        <v>693</v>
      </c>
      <c r="W52" s="2" t="s">
        <v>434</v>
      </c>
      <c r="X52" s="2" t="s">
        <v>694</v>
      </c>
      <c r="Y52" s="33" t="s">
        <v>695</v>
      </c>
      <c r="Z52" s="9">
        <v>46273</v>
      </c>
      <c r="AA52" s="2" t="s">
        <v>683</v>
      </c>
      <c r="AB52" s="2" t="s">
        <v>684</v>
      </c>
      <c r="AC52" s="2"/>
      <c r="AD52" s="2" t="s">
        <v>179</v>
      </c>
      <c r="AE52" s="2" t="s">
        <v>251</v>
      </c>
      <c r="AF52" s="2" t="s">
        <v>134</v>
      </c>
      <c r="AG52" s="2" t="s">
        <v>135</v>
      </c>
      <c r="AH52" s="2" t="s">
        <v>136</v>
      </c>
      <c r="AI52" s="2" t="str">
        <f t="shared" si="4"/>
        <v>b93c7a58; fc029aa44ac0079be05d623c73414b7fd9f05590; aa57a503411abeeff38ef346ba8801c7742c7926 — final: T-242 close governed aggregate and window block contracts</v>
      </c>
      <c r="AJ52" s="2" t="s">
        <v>137</v>
      </c>
      <c r="AK52" s="2" t="s">
        <v>138</v>
      </c>
      <c r="AL52" s="2" t="s">
        <v>139</v>
      </c>
      <c r="AM52" s="2">
        <f t="shared" si="5"/>
        <v>1</v>
      </c>
      <c r="AN52" s="2"/>
      <c r="AO52" s="32" t="s">
        <v>140</v>
      </c>
      <c r="AP52" s="32" t="s">
        <v>141</v>
      </c>
      <c r="AQ52" s="32"/>
      <c r="AR52" s="32" t="s">
        <v>142</v>
      </c>
      <c r="AS52" s="65">
        <f t="shared" si="6"/>
        <v>16</v>
      </c>
      <c r="AT52" s="65" t="str">
        <f t="shared" si="7"/>
        <v/>
      </c>
      <c r="AU52" s="2" t="str">
        <f>IFERROR(INDEX('Source Review'!$B$2:$B$52,MATCH($A52,'Source Review'!$A$2:$A$52,0)),"NOT SOURCE-REVIEWED IN THIS PASS")</f>
        <v>CLOSED CONTRACT; DOWNSTREAM EXECUTION NOT IMPLIED</v>
      </c>
      <c r="AV52" s="5">
        <f>IFERROR(INDEX('Source Review'!$F$2:$F$52,MATCH($A52,'Source Review'!$A$2:$A$52,0)),"")</f>
        <v>0</v>
      </c>
      <c r="AW52" s="5">
        <f>IFERROR(INDEX('Source Review'!$G$2:$G$52,MATCH($A52,'Source Review'!$A$2:$A$52,0)),"")</f>
        <v>0</v>
      </c>
      <c r="AX52" s="5">
        <f>IFERROR(INDEX('Source Review'!$H$2:$H$52,MATCH($A52,'Source Review'!$A$2:$A$52,0)),"")</f>
        <v>0</v>
      </c>
      <c r="AY52" s="2" t="str">
        <f>IF(COUNTIF('Source Review'!$A$2:$A$52,$A52)&gt;0,"UNCONFIRMED REVIEW ESTIMATE - not P80 or elapsed","NOT ESTIMATED IN THIS PASS")</f>
        <v>UNCONFIRMED REVIEW ESTIMATE - not P80 or elapsed</v>
      </c>
      <c r="AZ52" s="2" t="str">
        <f>IFERROR(INDEX('Source Review'!$I$2:$I$52,MATCH($A52,'Source Review'!$A$2:$A$52,0)),"")</f>
        <v>Closed library/contract scope, not all future execution. Do not convert missing downstream execution into a new T-242 estimate.</v>
      </c>
      <c r="BA52" s="2" t="str">
        <f>IFERROR(INDEX('Source Review'!$E$2:$E$52,MATCH($A52,'Source Review'!$A$2:$A$52,0)),"")</f>
        <v>Frontend/PlantProcess.Web/src/authoring/blockRegistry.ts:13-45 — one catalogue and separate capabilities
Frontend/PlantProcess.Web/src/authoring/governedBlockBinding.ts:1-9 — handoff boundary
Frontend/PlantProcess.Web/src/authoring/governedBlockBinding.ts:49-77 — AG01 behavior</v>
      </c>
      <c r="BB52" s="2" t="str">
        <f>IF(COUNTIF('Source Review'!$A$2:$A$52,$A52)&gt;0,"14-Sep-2026 snapshot; later closure evidence separate; no live HEAD verification","")</f>
        <v>14-Sep-2026 snapshot; later closure evidence separate; no live HEAD verification</v>
      </c>
    </row>
    <row r="53" spans="1:54" ht="75.95" hidden="1" customHeight="1">
      <c r="A53" s="4" t="s">
        <v>696</v>
      </c>
      <c r="B53" s="4" t="s">
        <v>108</v>
      </c>
      <c r="C53" s="4" t="s">
        <v>426</v>
      </c>
      <c r="D53" s="4" t="s">
        <v>697</v>
      </c>
      <c r="E53" s="4" t="s">
        <v>264</v>
      </c>
      <c r="F53" s="4" t="s">
        <v>673</v>
      </c>
      <c r="G53" s="4" t="s">
        <v>674</v>
      </c>
      <c r="H53" s="4" t="s">
        <v>698</v>
      </c>
      <c r="I53" s="4" t="s">
        <v>699</v>
      </c>
      <c r="J53" s="64">
        <v>12</v>
      </c>
      <c r="K53" s="95" t="s">
        <v>116</v>
      </c>
      <c r="L53" s="4" t="s">
        <v>36</v>
      </c>
      <c r="M53" s="2" t="s">
        <v>700</v>
      </c>
      <c r="N53" s="2" t="s">
        <v>701</v>
      </c>
      <c r="O53" s="2" t="s">
        <v>120</v>
      </c>
      <c r="P53" s="2" t="s">
        <v>121</v>
      </c>
      <c r="Q53" s="2" t="s">
        <v>679</v>
      </c>
      <c r="R53" s="65">
        <v>4.8</v>
      </c>
      <c r="S53" s="2" t="s">
        <v>433</v>
      </c>
      <c r="T53" s="2" t="s">
        <v>702</v>
      </c>
      <c r="U53" s="2" t="s">
        <v>703</v>
      </c>
      <c r="V53" s="2" t="s">
        <v>704</v>
      </c>
      <c r="W53" s="2" t="s">
        <v>434</v>
      </c>
      <c r="X53" s="2" t="s">
        <v>531</v>
      </c>
      <c r="Y53" s="33" t="s">
        <v>705</v>
      </c>
      <c r="Z53" s="9"/>
      <c r="AA53" s="2" t="s">
        <v>176</v>
      </c>
      <c r="AB53" s="2" t="s">
        <v>177</v>
      </c>
      <c r="AC53" s="2" t="s">
        <v>706</v>
      </c>
      <c r="AD53" s="2" t="s">
        <v>179</v>
      </c>
      <c r="AE53" s="2" t="s">
        <v>191</v>
      </c>
      <c r="AF53" s="2" t="s">
        <v>134</v>
      </c>
      <c r="AG53" s="2" t="s">
        <v>135</v>
      </c>
      <c r="AH53" s="2" t="s">
        <v>136</v>
      </c>
      <c r="AI53" s="2" t="str">
        <f t="shared" si="4"/>
        <v>6f65bba1</v>
      </c>
      <c r="AJ53" s="2" t="s">
        <v>496</v>
      </c>
      <c r="AK53" s="2" t="s">
        <v>138</v>
      </c>
      <c r="AL53" s="2" t="s">
        <v>707</v>
      </c>
      <c r="AM53" s="2">
        <f t="shared" si="5"/>
        <v>0</v>
      </c>
      <c r="AN53" s="2"/>
      <c r="AO53" s="32" t="s">
        <v>708</v>
      </c>
      <c r="AP53" s="32" t="s">
        <v>709</v>
      </c>
      <c r="AQ53" s="32"/>
      <c r="AR53" s="32" t="s">
        <v>486</v>
      </c>
      <c r="AS53" s="65" t="str">
        <f t="shared" si="6"/>
        <v/>
      </c>
      <c r="AT53" s="65" t="str">
        <f t="shared" si="7"/>
        <v/>
      </c>
      <c r="AU53" s="2" t="str">
        <f>IFERROR(INDEX('Source Review'!$B$2:$B$52,MATCH($A53,'Source Review'!$A$2:$A$52,0)),"NOT SOURCE-REVIEWED IN THIS PASS")</f>
        <v>ORIGINAL REOPEN CLOSED; ADDITIONAL PUBLICATION INTEGRATION OPEN</v>
      </c>
      <c r="AV53" s="5">
        <f>IFERROR(INDEX('Source Review'!$F$2:$F$52,MATCH($A53,'Source Review'!$A$2:$A$52,0)),"")</f>
        <v>5</v>
      </c>
      <c r="AW53" s="5">
        <f>IFERROR(INDEX('Source Review'!$G$2:$G$52,MATCH($A53,'Source Review'!$A$2:$A$52,0)),"")</f>
        <v>9</v>
      </c>
      <c r="AX53" s="5">
        <f>IFERROR(INDEX('Source Review'!$H$2:$H$52,MATCH($A53,'Source Review'!$A$2:$A$52,0)),"")</f>
        <v>15</v>
      </c>
      <c r="AY53" s="2" t="str">
        <f>IF(COUNTIF('Source Review'!$A$2:$A$52,$A53)&gt;0,"UNCONFIRMED REVIEW ESTIMATE - not P80 or elapsed","NOT ESTIMATED IN THIS PASS")</f>
        <v>UNCONFIRMED REVIEW ESTIMATE - not P80 or elapsed</v>
      </c>
      <c r="AZ53" s="2" t="str">
        <f>IFERROR(INDEX('Source Review'!$I$2:$I$52,MATCH($A53,'Source Review'!$A$2:$A$52,0)),"")</f>
        <v>Declared relationship adapter 2/4/7 + atomic/rollback and compatibility tests 2/4/6 + closure 1/1/2. Reopen board work costs zero here.</v>
      </c>
      <c r="BA53" s="2" t="str">
        <f>IFERROR(INDEX('Source Review'!$E$2:$E$52,MATCH($A53,'Source Review'!$A$2:$A$52,0)),"")</f>
        <v>Backend/PlantProcess.Application/Definitions/Canvas/CanvasDefinitionContent.cs:106-163 — canonical graph/board content
Backend/PlantProcess.Infrastructure/Definitions/Canvas/CanvasDefinitionLifecycleService.cs:265-333 — publish transaction
Backend/PlantProcess.Application/Relationships/RelationshipService.cs:145-217 — existing publication seam</v>
      </c>
      <c r="BB53" s="2" t="str">
        <f>IF(COUNTIF('Source Review'!$A$2:$A$52,$A53)&gt;0,"14-Sep-2026 snapshot; later closure evidence separate; no live HEAD verification","")</f>
        <v>14-Sep-2026 snapshot; later closure evidence separate; no live HEAD verification</v>
      </c>
    </row>
    <row r="54" spans="1:54" ht="75.95" hidden="1" customHeight="1">
      <c r="A54" s="2" t="s">
        <v>710</v>
      </c>
      <c r="B54" s="2" t="s">
        <v>108</v>
      </c>
      <c r="C54" s="2" t="s">
        <v>426</v>
      </c>
      <c r="D54" s="2" t="s">
        <v>711</v>
      </c>
      <c r="E54" s="2" t="s">
        <v>264</v>
      </c>
      <c r="F54" s="2" t="s">
        <v>673</v>
      </c>
      <c r="G54" s="2" t="s">
        <v>674</v>
      </c>
      <c r="H54" s="2" t="s">
        <v>712</v>
      </c>
      <c r="I54" s="2" t="s">
        <v>713</v>
      </c>
      <c r="J54" s="65">
        <v>14</v>
      </c>
      <c r="K54" s="94" t="s">
        <v>116</v>
      </c>
      <c r="L54" s="2" t="s">
        <v>36</v>
      </c>
      <c r="M54" s="2" t="s">
        <v>714</v>
      </c>
      <c r="N54" s="2" t="s">
        <v>715</v>
      </c>
      <c r="O54" s="2" t="s">
        <v>120</v>
      </c>
      <c r="P54" s="2" t="s">
        <v>121</v>
      </c>
      <c r="Q54" s="2" t="s">
        <v>679</v>
      </c>
      <c r="R54" s="65"/>
      <c r="S54" s="2" t="s">
        <v>433</v>
      </c>
      <c r="T54" s="2" t="s">
        <v>124</v>
      </c>
      <c r="U54" s="2" t="s">
        <v>716</v>
      </c>
      <c r="V54" s="2" t="s">
        <v>717</v>
      </c>
      <c r="W54" s="2" t="s">
        <v>434</v>
      </c>
      <c r="X54" s="2" t="s">
        <v>435</v>
      </c>
      <c r="Y54" s="33" t="s">
        <v>718</v>
      </c>
      <c r="Z54" s="9">
        <v>46269</v>
      </c>
      <c r="AA54" s="2" t="s">
        <v>719</v>
      </c>
      <c r="AB54" s="2" t="s">
        <v>720</v>
      </c>
      <c r="AC54" s="2" t="s">
        <v>721</v>
      </c>
      <c r="AD54" s="2" t="s">
        <v>156</v>
      </c>
      <c r="AE54" s="2" t="s">
        <v>722</v>
      </c>
      <c r="AF54" s="2" t="s">
        <v>134</v>
      </c>
      <c r="AG54" s="2" t="s">
        <v>135</v>
      </c>
      <c r="AH54" s="2" t="s">
        <v>136</v>
      </c>
      <c r="AI54" s="2" t="str">
        <f t="shared" si="4"/>
        <v>4d32c6b10b4605aeb6e0705ad03537d563125652 — T-244 close canonical Canvas lifecycle and selection model</v>
      </c>
      <c r="AJ54" s="2" t="s">
        <v>137</v>
      </c>
      <c r="AK54" s="2" t="s">
        <v>138</v>
      </c>
      <c r="AL54" s="2" t="s">
        <v>139</v>
      </c>
      <c r="AM54" s="2">
        <f t="shared" si="5"/>
        <v>1</v>
      </c>
      <c r="AN54" s="2"/>
      <c r="AO54" s="32" t="s">
        <v>140</v>
      </c>
      <c r="AP54" s="32" t="s">
        <v>141</v>
      </c>
      <c r="AQ54" s="32"/>
      <c r="AR54" s="32" t="s">
        <v>142</v>
      </c>
      <c r="AS54" s="65">
        <f t="shared" si="6"/>
        <v>14</v>
      </c>
      <c r="AT54" s="65" t="str">
        <f t="shared" si="7"/>
        <v/>
      </c>
      <c r="AU54" s="2" t="str">
        <f>IFERROR(INDEX('Source Review'!$B$2:$B$52,MATCH($A54,'Source Review'!$A$2:$A$52,0)),"NOT SOURCE-REVIEWED IN THIS PASS")</f>
        <v>SOURCE CORROBORATES CLOSED SQL FOUNDATION</v>
      </c>
      <c r="AV54" s="5">
        <f>IFERROR(INDEX('Source Review'!$F$2:$F$52,MATCH($A54,'Source Review'!$A$2:$A$52,0)),"")</f>
        <v>0</v>
      </c>
      <c r="AW54" s="5">
        <f>IFERROR(INDEX('Source Review'!$G$2:$G$52,MATCH($A54,'Source Review'!$A$2:$A$52,0)),"")</f>
        <v>0</v>
      </c>
      <c r="AX54" s="5">
        <f>IFERROR(INDEX('Source Review'!$H$2:$H$52,MATCH($A54,'Source Review'!$A$2:$A$52,0)),"")</f>
        <v>0</v>
      </c>
      <c r="AY54" s="2" t="str">
        <f>IF(COUNTIF('Source Review'!$A$2:$A$52,$A54)&gt;0,"UNCONFIRMED REVIEW ESTIMATE - not P80 or elapsed","NOT ESTIMATED IN THIS PASS")</f>
        <v>UNCONFIRMED REVIEW ESTIMATE - not P80 or elapsed</v>
      </c>
      <c r="AZ54" s="2" t="str">
        <f>IFERROR(INDEX('Source Review'!$I$2:$I$52,MATCH($A54,'Source Review'!$A$2:$A$52,0)),"")</f>
        <v>Closed SQL validation/persistence scope only.</v>
      </c>
      <c r="BA54" s="2" t="str">
        <f>IFERROR(INDEX('Source Review'!$E$2:$E$52,MATCH($A54,'Source Review'!$A$2:$A$52,0)),"")</f>
        <v>Backend/PlantProcess.Application/Definitions/Canvas/CanvasDefinitionContent.cs:173-205 — ForSql
Backend/PlantProcess.Infrastructure/Definitions/Canvas/CanvasDefinitionLifecycleService.cs:297-333 — SQL publish path
Frontend/PlantProcess.Web/src/api/canvasApi.ts:118-155 — SQL run/save API adapter</v>
      </c>
      <c r="BB54" s="2" t="str">
        <f>IF(COUNTIF('Source Review'!$A$2:$A$52,$A54)&gt;0,"14-Sep-2026 snapshot; later closure evidence separate; no live HEAD verification","")</f>
        <v>14-Sep-2026 snapshot; later closure evidence separate; no live HEAD verification</v>
      </c>
    </row>
    <row r="55" spans="1:54" ht="75.95" hidden="1" customHeight="1">
      <c r="A55" s="4" t="s">
        <v>723</v>
      </c>
      <c r="B55" s="4" t="s">
        <v>108</v>
      </c>
      <c r="C55" s="4" t="s">
        <v>426</v>
      </c>
      <c r="D55" s="4" t="s">
        <v>724</v>
      </c>
      <c r="E55" s="4" t="s">
        <v>264</v>
      </c>
      <c r="F55" s="4" t="s">
        <v>673</v>
      </c>
      <c r="G55" s="4" t="s">
        <v>674</v>
      </c>
      <c r="H55" s="4" t="s">
        <v>725</v>
      </c>
      <c r="I55" s="4" t="s">
        <v>726</v>
      </c>
      <c r="J55" s="64">
        <v>12</v>
      </c>
      <c r="K55" s="94" t="s">
        <v>455</v>
      </c>
      <c r="L55" s="4" t="s">
        <v>36</v>
      </c>
      <c r="M55" s="2" t="s">
        <v>727</v>
      </c>
      <c r="N55" s="2" t="s">
        <v>728</v>
      </c>
      <c r="O55" s="2" t="s">
        <v>120</v>
      </c>
      <c r="P55" s="2" t="s">
        <v>121</v>
      </c>
      <c r="Q55" s="2" t="s">
        <v>679</v>
      </c>
      <c r="R55" s="65">
        <v>5.0999999999999996</v>
      </c>
      <c r="S55" s="2" t="s">
        <v>433</v>
      </c>
      <c r="T55" s="2" t="s">
        <v>729</v>
      </c>
      <c r="U55" s="2" t="s">
        <v>730</v>
      </c>
      <c r="V55" s="2" t="s">
        <v>731</v>
      </c>
      <c r="W55" s="2" t="s">
        <v>434</v>
      </c>
      <c r="X55" s="2" t="s">
        <v>531</v>
      </c>
      <c r="Y55" s="33"/>
      <c r="Z55" s="9"/>
      <c r="AA55" s="2" t="s">
        <v>732</v>
      </c>
      <c r="AB55" s="2" t="s">
        <v>733</v>
      </c>
      <c r="AC55" s="2" t="s">
        <v>533</v>
      </c>
      <c r="AD55" s="2" t="s">
        <v>179</v>
      </c>
      <c r="AE55" s="2" t="s">
        <v>734</v>
      </c>
      <c r="AF55" s="2" t="s">
        <v>134</v>
      </c>
      <c r="AG55" s="2" t="s">
        <v>135</v>
      </c>
      <c r="AH55" s="2" t="s">
        <v>136</v>
      </c>
      <c r="AI55" s="2" t="str">
        <f t="shared" si="4"/>
        <v/>
      </c>
      <c r="AJ55" s="2" t="s">
        <v>137</v>
      </c>
      <c r="AK55" s="2" t="s">
        <v>138</v>
      </c>
      <c r="AL55" s="2" t="s">
        <v>735</v>
      </c>
      <c r="AM55" s="2">
        <f t="shared" si="5"/>
        <v>1</v>
      </c>
      <c r="AN55" s="2"/>
      <c r="AO55" s="32" t="s">
        <v>736</v>
      </c>
      <c r="AP55" s="32" t="s">
        <v>141</v>
      </c>
      <c r="AQ55" s="32"/>
      <c r="AR55" s="32" t="s">
        <v>142</v>
      </c>
      <c r="AS55" s="65">
        <f t="shared" si="6"/>
        <v>12</v>
      </c>
      <c r="AT55" s="65">
        <f t="shared" si="7"/>
        <v>5.0999999999999996</v>
      </c>
      <c r="AU55" s="2" t="str">
        <f>IFERROR(INDEX('Source Review'!$B$2:$B$52,MATCH($A55,'Source Review'!$A$2:$A$52,0)),"NOT SOURCE-REVIEWED IN THIS PASS")</f>
        <v>BINDING WORK NOT COMMISSIONED; REUSE PRODUCER CONTRACTS</v>
      </c>
      <c r="AV55" s="5">
        <f>IFERROR(INDEX('Source Review'!$F$2:$F$52,MATCH($A55,'Source Review'!$A$2:$A$52,0)),"")</f>
        <v>6</v>
      </c>
      <c r="AW55" s="5">
        <f>IFERROR(INDEX('Source Review'!$G$2:$G$52,MATCH($A55,'Source Review'!$A$2:$A$52,0)),"")</f>
        <v>10</v>
      </c>
      <c r="AX55" s="5">
        <f>IFERROR(INDEX('Source Review'!$H$2:$H$52,MATCH($A55,'Source Review'!$A$2:$A$52,0)),"")</f>
        <v>16</v>
      </c>
      <c r="AY55" s="2" t="str">
        <f>IF(COUNTIF('Source Review'!$A$2:$A$52,$A55)&gt;0,"UNCONFIRMED REVIEW ESTIMATE - not P80 or elapsed","NOT ESTIMATED IN THIS PASS")</f>
        <v>UNCONFIRMED REVIEW ESTIMATE - not P80 or elapsed</v>
      </c>
      <c r="AZ55" s="2" t="str">
        <f>IFERROR(INDEX('Source Review'!$I$2:$I$52,MATCH($A55,'Source Review'!$A$2:$A$52,0)),"")</f>
        <v>Binding/API/UI 3/5/8 + evidence/cancel views 1/2/4 + integration/negative tests 2/3/4.</v>
      </c>
      <c r="BA55" s="2" t="str">
        <f>IFERROR(INDEX('Source Review'!$E$2:$E$52,MATCH($A55,'Source Review'!$A$2:$A$52,0)),"")</f>
        <v>Frontend/PlantProcess.Web/src/api/canvasApi.ts:111-155 — current save/preview/publish surface
Backend/PlantProcess.Application/Jobs/Execution/JobExecutionCapability.cs:109-124 — non-executable target families</v>
      </c>
      <c r="BB55" s="2" t="str">
        <f>IF(COUNTIF('Source Review'!$A$2:$A$52,$A55)&gt;0,"14-Sep-2026 snapshot; later closure evidence separate; no live HEAD verification","")</f>
        <v>14-Sep-2026 snapshot; later closure evidence separate; no live HEAD verification</v>
      </c>
    </row>
    <row r="56" spans="1:54" ht="75.95" hidden="1" customHeight="1">
      <c r="A56" s="2" t="s">
        <v>737</v>
      </c>
      <c r="B56" s="2" t="s">
        <v>108</v>
      </c>
      <c r="C56" s="2" t="s">
        <v>426</v>
      </c>
      <c r="D56" s="2" t="s">
        <v>738</v>
      </c>
      <c r="E56" s="2" t="s">
        <v>739</v>
      </c>
      <c r="F56" s="2" t="s">
        <v>740</v>
      </c>
      <c r="G56" s="2" t="s">
        <v>113</v>
      </c>
      <c r="H56" s="2" t="s">
        <v>741</v>
      </c>
      <c r="I56" s="2" t="s">
        <v>742</v>
      </c>
      <c r="J56" s="65">
        <v>12</v>
      </c>
      <c r="K56" s="94" t="s">
        <v>455</v>
      </c>
      <c r="L56" s="2" t="s">
        <v>36</v>
      </c>
      <c r="M56" s="2" t="s">
        <v>12498</v>
      </c>
      <c r="N56" s="2" t="s">
        <v>743</v>
      </c>
      <c r="O56" s="2" t="s">
        <v>120</v>
      </c>
      <c r="P56" s="2" t="s">
        <v>121</v>
      </c>
      <c r="Q56" s="2" t="s">
        <v>744</v>
      </c>
      <c r="R56" s="65">
        <v>5.0999999999999996</v>
      </c>
      <c r="S56" s="2" t="s">
        <v>433</v>
      </c>
      <c r="T56" s="2" t="s">
        <v>745</v>
      </c>
      <c r="U56" s="2" t="s">
        <v>746</v>
      </c>
      <c r="V56" s="2" t="s">
        <v>747</v>
      </c>
      <c r="W56" s="2" t="s">
        <v>434</v>
      </c>
      <c r="X56" s="2" t="s">
        <v>435</v>
      </c>
      <c r="Y56" s="33"/>
      <c r="Z56" s="9"/>
      <c r="AA56" s="2" t="s">
        <v>130</v>
      </c>
      <c r="AB56" s="2" t="s">
        <v>131</v>
      </c>
      <c r="AC56" s="2" t="s">
        <v>748</v>
      </c>
      <c r="AD56" s="2" t="s">
        <v>179</v>
      </c>
      <c r="AE56" s="2" t="s">
        <v>238</v>
      </c>
      <c r="AF56" s="2" t="s">
        <v>134</v>
      </c>
      <c r="AG56" s="2" t="s">
        <v>135</v>
      </c>
      <c r="AH56" s="2" t="s">
        <v>136</v>
      </c>
      <c r="AI56" s="2" t="str">
        <f t="shared" si="4"/>
        <v/>
      </c>
      <c r="AJ56" s="2" t="s">
        <v>137</v>
      </c>
      <c r="AK56" s="2" t="s">
        <v>138</v>
      </c>
      <c r="AL56" s="2" t="s">
        <v>139</v>
      </c>
      <c r="AM56" s="2">
        <f t="shared" si="5"/>
        <v>1</v>
      </c>
      <c r="AN56" s="2"/>
      <c r="AO56" s="32" t="s">
        <v>462</v>
      </c>
      <c r="AP56" s="32" t="s">
        <v>141</v>
      </c>
      <c r="AQ56" s="32"/>
      <c r="AR56" s="32" t="s">
        <v>142</v>
      </c>
      <c r="AS56" s="65">
        <f t="shared" si="6"/>
        <v>12</v>
      </c>
      <c r="AT56" s="65">
        <f t="shared" si="7"/>
        <v>5.0999999999999996</v>
      </c>
      <c r="AU56" s="2" t="str">
        <f>IFERROR(INDEX('Source Review'!$B$2:$B$52,MATCH($A56,'Source Review'!$A$2:$A$52,0)),"NOT SOURCE-REVIEWED IN THIS PASS")</f>
        <v>RELEASE ACCEPTANCE NOT EXECUTABLE BEFORE PRODUCERS</v>
      </c>
      <c r="AV56" s="5">
        <f>IFERROR(INDEX('Source Review'!$F$2:$F$52,MATCH($A56,'Source Review'!$A$2:$A$52,0)),"")</f>
        <v>8</v>
      </c>
      <c r="AW56" s="5">
        <f>IFERROR(INDEX('Source Review'!$G$2:$G$52,MATCH($A56,'Source Review'!$A$2:$A$52,0)),"")</f>
        <v>14</v>
      </c>
      <c r="AX56" s="5">
        <f>IFERROR(INDEX('Source Review'!$H$2:$H$52,MATCH($A56,'Source Review'!$A$2:$A$52,0)),"")</f>
        <v>22</v>
      </c>
      <c r="AY56" s="2" t="str">
        <f>IF(COUNTIF('Source Review'!$A$2:$A$52,$A56)&gt;0,"UNCONFIRMED REVIEW ESTIMATE - not P80 or elapsed","NOT ESTIMATED IN THIS PASS")</f>
        <v>UNCONFIRMED REVIEW ESTIMATE - not P80 or elapsed</v>
      </c>
      <c r="AZ56" s="2" t="str">
        <f>IFERROR(INDEX('Source Review'!$I$2:$I$52,MATCH($A56,'Source Review'!$A$2:$A$52,0)),"")</f>
        <v>Fixture/setup/data preparation 2/4/6 + actual connected acceptance and evidence 4/7/11 + triage/replay/closure 2/3/5; remediation implementation excluded.</v>
      </c>
      <c r="BA56" s="2" t="str">
        <f>IFERROR(INDEX('Source Review'!$E$2:$E$52,MATCH($A56,'Source Review'!$A$2:$A$52,0)),"")</f>
        <v>Backend/PlantProcess.Application/Jobs/Execution/JobExecutionCapability.cs:109-115 — concrete broken journey seam
Backend/tests/PlantProcess.Api.IntegrationTests/Import/DeltaImportResumabilityTests.cs:32-73 — earlier tests are not full new journey proof</v>
      </c>
      <c r="BB56" s="2" t="str">
        <f>IF(COUNTIF('Source Review'!$A$2:$A$52,$A56)&gt;0,"14-Sep-2026 snapshot; later closure evidence separate; no live HEAD verification","")</f>
        <v>14-Sep-2026 snapshot; later closure evidence separate; no live HEAD verification</v>
      </c>
    </row>
    <row r="57" spans="1:54" ht="75.95" hidden="1" customHeight="1">
      <c r="A57" s="2" t="s">
        <v>749</v>
      </c>
      <c r="B57" s="2" t="s">
        <v>108</v>
      </c>
      <c r="C57" s="2" t="s">
        <v>426</v>
      </c>
      <c r="D57" s="2" t="s">
        <v>750</v>
      </c>
      <c r="E57" s="2" t="s">
        <v>264</v>
      </c>
      <c r="F57" s="2" t="s">
        <v>673</v>
      </c>
      <c r="G57" s="2" t="s">
        <v>113</v>
      </c>
      <c r="H57" s="2" t="s">
        <v>751</v>
      </c>
      <c r="I57" s="2" t="s">
        <v>752</v>
      </c>
      <c r="J57" s="65">
        <v>12</v>
      </c>
      <c r="K57" s="94" t="s">
        <v>116</v>
      </c>
      <c r="L57" s="2" t="s">
        <v>36</v>
      </c>
      <c r="M57" s="2" t="s">
        <v>753</v>
      </c>
      <c r="N57" s="2" t="s">
        <v>754</v>
      </c>
      <c r="O57" s="2" t="s">
        <v>120</v>
      </c>
      <c r="P57" s="2" t="s">
        <v>121</v>
      </c>
      <c r="Q57" s="2" t="s">
        <v>755</v>
      </c>
      <c r="R57" s="65">
        <v>4.8</v>
      </c>
      <c r="S57" s="2" t="s">
        <v>433</v>
      </c>
      <c r="T57" s="2" t="s">
        <v>124</v>
      </c>
      <c r="U57" s="2" t="s">
        <v>756</v>
      </c>
      <c r="V57" s="2" t="s">
        <v>757</v>
      </c>
      <c r="W57" s="2" t="s">
        <v>434</v>
      </c>
      <c r="X57" s="2" t="s">
        <v>758</v>
      </c>
      <c r="Y57" s="33"/>
      <c r="Z57" s="9"/>
      <c r="AA57" s="2" t="s">
        <v>683</v>
      </c>
      <c r="AB57" s="2" t="s">
        <v>684</v>
      </c>
      <c r="AC57" s="2" t="s">
        <v>471</v>
      </c>
      <c r="AD57" s="2" t="s">
        <v>179</v>
      </c>
      <c r="AE57" s="2" t="s">
        <v>367</v>
      </c>
      <c r="AF57" s="2" t="s">
        <v>134</v>
      </c>
      <c r="AG57" s="2" t="s">
        <v>135</v>
      </c>
      <c r="AH57" s="2" t="s">
        <v>136</v>
      </c>
      <c r="AI57" s="2" t="str">
        <f t="shared" si="4"/>
        <v/>
      </c>
      <c r="AJ57" s="2" t="s">
        <v>137</v>
      </c>
      <c r="AK57" s="2" t="s">
        <v>138</v>
      </c>
      <c r="AL57" s="2" t="s">
        <v>139</v>
      </c>
      <c r="AM57" s="2">
        <f t="shared" si="5"/>
        <v>1</v>
      </c>
      <c r="AN57" s="2"/>
      <c r="AO57" s="32" t="s">
        <v>140</v>
      </c>
      <c r="AP57" s="32" t="s">
        <v>141</v>
      </c>
      <c r="AQ57" s="32"/>
      <c r="AR57" s="32" t="s">
        <v>142</v>
      </c>
      <c r="AS57" s="65">
        <f t="shared" si="6"/>
        <v>12</v>
      </c>
      <c r="AT57" s="65">
        <f t="shared" si="7"/>
        <v>4.8</v>
      </c>
      <c r="AU57" s="2" t="str">
        <f>IFERROR(INDEX('Source Review'!$B$2:$B$52,MATCH($A57,'Source Review'!$A$2:$A$52,0)),"NOT SOURCE-REVIEWED IN THIS PASS")</f>
        <v>SOURCE CORROBORATES CLOSED OUTPUT CONTRACT</v>
      </c>
      <c r="AV57" s="5">
        <f>IFERROR(INDEX('Source Review'!$F$2:$F$52,MATCH($A57,'Source Review'!$A$2:$A$52,0)),"")</f>
        <v>0</v>
      </c>
      <c r="AW57" s="5">
        <f>IFERROR(INDEX('Source Review'!$G$2:$G$52,MATCH($A57,'Source Review'!$A$2:$A$52,0)),"")</f>
        <v>0</v>
      </c>
      <c r="AX57" s="5">
        <f>IFERROR(INDEX('Source Review'!$H$2:$H$52,MATCH($A57,'Source Review'!$A$2:$A$52,0)),"")</f>
        <v>0</v>
      </c>
      <c r="AY57" s="2" t="str">
        <f>IF(COUNTIF('Source Review'!$A$2:$A$52,$A57)&gt;0,"UNCONFIRMED REVIEW ESTIMATE - not P80 or elapsed","NOT ESTIMATED IN THIS PASS")</f>
        <v>UNCONFIRMED REVIEW ESTIMATE - not P80 or elapsed</v>
      </c>
      <c r="AZ57" s="2" t="str">
        <f>IFERROR(INDEX('Source Review'!$I$2:$I$52,MATCH($A57,'Source Review'!$A$2:$A$52,0)),"")</f>
        <v>Original target authority closed; no duplicate estimate.</v>
      </c>
      <c r="BA57" s="2" t="str">
        <f>IFERROR(INDEX('Source Review'!$E$2:$E$52,MATCH($A57,'Source Review'!$A$2:$A$52,0)),"")</f>
        <v>Backend/PlantProcess.Application/Definitions/Canvas/CanvasDefinitionContent.cs:106-163 — ForGraph outputTarget/board
Backend/PlantProcess.Application/Definitions/Canvas/ProjectionTypeCompatibility.cs:128-145 — strict compatibility</v>
      </c>
      <c r="BB57" s="2" t="str">
        <f>IF(COUNTIF('Source Review'!$A$2:$A$52,$A57)&gt;0,"14-Sep-2026 snapshot; later closure evidence separate; no live HEAD verification","")</f>
        <v>14-Sep-2026 snapshot; later closure evidence separate; no live HEAD verification</v>
      </c>
    </row>
    <row r="58" spans="1:54" ht="75.95" hidden="1" customHeight="1">
      <c r="A58" s="2" t="s">
        <v>759</v>
      </c>
      <c r="B58" s="2" t="s">
        <v>108</v>
      </c>
      <c r="C58" s="2" t="s">
        <v>426</v>
      </c>
      <c r="D58" s="2" t="s">
        <v>760</v>
      </c>
      <c r="E58" s="2" t="s">
        <v>264</v>
      </c>
      <c r="F58" s="2" t="s">
        <v>761</v>
      </c>
      <c r="G58" s="2" t="s">
        <v>113</v>
      </c>
      <c r="H58" s="2" t="s">
        <v>762</v>
      </c>
      <c r="I58" s="2" t="s">
        <v>763</v>
      </c>
      <c r="J58" s="65">
        <v>6</v>
      </c>
      <c r="K58" s="94" t="s">
        <v>653</v>
      </c>
      <c r="L58" s="2" t="s">
        <v>36</v>
      </c>
      <c r="M58" s="2" t="s">
        <v>567</v>
      </c>
      <c r="N58" s="2" t="s">
        <v>764</v>
      </c>
      <c r="O58" s="2" t="s">
        <v>120</v>
      </c>
      <c r="P58" s="2" t="s">
        <v>121</v>
      </c>
      <c r="Q58" s="2" t="s">
        <v>755</v>
      </c>
      <c r="R58" s="65">
        <v>2.5499999999999998</v>
      </c>
      <c r="S58" s="2" t="s">
        <v>433</v>
      </c>
      <c r="T58" s="2" t="s">
        <v>765</v>
      </c>
      <c r="U58" s="2" t="s">
        <v>766</v>
      </c>
      <c r="V58" s="2" t="s">
        <v>767</v>
      </c>
      <c r="W58" s="2" t="s">
        <v>434</v>
      </c>
      <c r="X58" s="2" t="s">
        <v>768</v>
      </c>
      <c r="Y58" s="33" t="s">
        <v>769</v>
      </c>
      <c r="Z58" s="9"/>
      <c r="AA58" s="2" t="s">
        <v>577</v>
      </c>
      <c r="AB58" s="2" t="s">
        <v>578</v>
      </c>
      <c r="AC58" s="2"/>
      <c r="AD58" s="2" t="s">
        <v>156</v>
      </c>
      <c r="AE58" s="2" t="s">
        <v>594</v>
      </c>
      <c r="AF58" s="2" t="s">
        <v>134</v>
      </c>
      <c r="AG58" s="2" t="s">
        <v>135</v>
      </c>
      <c r="AH58" s="2" t="s">
        <v>136</v>
      </c>
      <c r="AI58" s="2" t="str">
        <f t="shared" si="4"/>
        <v>f8a35725c9b0d7fb5a0515c0103a72807a704a97</v>
      </c>
      <c r="AJ58" s="2" t="s">
        <v>496</v>
      </c>
      <c r="AK58" s="2" t="s">
        <v>138</v>
      </c>
      <c r="AL58" s="2" t="s">
        <v>139</v>
      </c>
      <c r="AM58" s="2">
        <f t="shared" si="5"/>
        <v>0</v>
      </c>
      <c r="AN58" s="2"/>
      <c r="AO58" s="32" t="s">
        <v>770</v>
      </c>
      <c r="AP58" s="32" t="s">
        <v>771</v>
      </c>
      <c r="AQ58" s="32"/>
      <c r="AR58" s="32" t="s">
        <v>486</v>
      </c>
      <c r="AS58" s="65" t="str">
        <f t="shared" si="6"/>
        <v/>
      </c>
      <c r="AT58" s="65" t="str">
        <f t="shared" si="7"/>
        <v/>
      </c>
      <c r="AU58" s="2" t="str">
        <f>IFERROR(INDEX('Source Review'!$B$2:$B$52,MATCH($A58,'Source Review'!$A$2:$A$52,0)),"NOT SOURCE-REVIEWED IN THIS PASS")</f>
        <v>ORIGINAL SURFACES CLOSED; BACKEND CONVERGENCE REMAINDER</v>
      </c>
      <c r="AV58" s="5">
        <f>IFERROR(INDEX('Source Review'!$F$2:$F$52,MATCH($A58,'Source Review'!$A$2:$A$52,0)),"")</f>
        <v>2</v>
      </c>
      <c r="AW58" s="5">
        <f>IFERROR(INDEX('Source Review'!$G$2:$G$52,MATCH($A58,'Source Review'!$A$2:$A$52,0)),"")</f>
        <v>4</v>
      </c>
      <c r="AX58" s="5">
        <f>IFERROR(INDEX('Source Review'!$H$2:$H$52,MATCH($A58,'Source Review'!$A$2:$A$52,0)),"")</f>
        <v>7</v>
      </c>
      <c r="AY58" s="2" t="str">
        <f>IF(COUNTIF('Source Review'!$A$2:$A$52,$A58)&gt;0,"UNCONFIRMED REVIEW ESTIMATE - not P80 or elapsed","NOT ESTIMATED IN THIS PASS")</f>
        <v>UNCONFIRMED REVIEW ESTIMATE - not P80 or elapsed</v>
      </c>
      <c r="AZ58" s="2" t="str">
        <f>IFERROR(INDEX('Source Review'!$I$2:$I$52,MATCH($A58,'Source Review'!$A$2:$A$52,0)),"")</f>
        <v>Backend authority extraction/delegation 1/2/4 + consumer mismatch tests/closure 1/2/3. Original frontend/website work excluded.</v>
      </c>
      <c r="BA58" s="2" t="str">
        <f>IFERROR(INDEX('Source Review'!$E$2:$E$52,MATCH($A58,'Source Review'!$A$2:$A$52,0)),"")</f>
        <v>Backend/PlantProcess.Application/Integration/Services/Connectors/ConnectorConfigurationService.ProviderTypes.001.GetProviderTypes.cs:17-39 — duplicate provider DTO source
Backend/PlantProcess.Application/Integration/Services/Connectors/ConnectorConfigurationService.ProviderTypes.001.GetProviderTypes.cs:81-102 — OPC flags
Backend/PlantProcess.Application/Integration/Connectors/ConnectorProviderCatalog.cs:72-104 — second catalog OPC/SAP entries</v>
      </c>
      <c r="BB58" s="2" t="str">
        <f>IF(COUNTIF('Source Review'!$A$2:$A$52,$A58)&gt;0,"14-Sep-2026 snapshot; later closure evidence separate; no live HEAD verification","")</f>
        <v>14-Sep-2026 snapshot; later closure evidence separate; no live HEAD verification</v>
      </c>
    </row>
    <row r="59" spans="1:54" ht="75.95" hidden="1" customHeight="1">
      <c r="A59" s="2" t="s">
        <v>772</v>
      </c>
      <c r="B59" s="2" t="s">
        <v>108</v>
      </c>
      <c r="C59" s="2" t="s">
        <v>426</v>
      </c>
      <c r="D59" s="2" t="s">
        <v>773</v>
      </c>
      <c r="E59" s="2" t="s">
        <v>774</v>
      </c>
      <c r="F59" s="2" t="s">
        <v>775</v>
      </c>
      <c r="G59" s="2" t="s">
        <v>113</v>
      </c>
      <c r="H59" s="2" t="s">
        <v>776</v>
      </c>
      <c r="I59" s="2" t="s">
        <v>777</v>
      </c>
      <c r="J59" s="65">
        <v>12</v>
      </c>
      <c r="K59" s="94" t="s">
        <v>653</v>
      </c>
      <c r="L59" s="2" t="s">
        <v>36</v>
      </c>
      <c r="M59" s="2" t="s">
        <v>778</v>
      </c>
      <c r="N59" s="2" t="s">
        <v>779</v>
      </c>
      <c r="O59" s="2" t="s">
        <v>120</v>
      </c>
      <c r="P59" s="2" t="s">
        <v>121</v>
      </c>
      <c r="Q59" s="2" t="s">
        <v>780</v>
      </c>
      <c r="R59" s="65">
        <v>5.0999999999999996</v>
      </c>
      <c r="S59" s="2" t="s">
        <v>433</v>
      </c>
      <c r="T59" s="2" t="s">
        <v>781</v>
      </c>
      <c r="U59" s="2" t="s">
        <v>782</v>
      </c>
      <c r="V59" s="2" t="s">
        <v>783</v>
      </c>
      <c r="W59" s="2" t="s">
        <v>434</v>
      </c>
      <c r="X59" s="2" t="s">
        <v>531</v>
      </c>
      <c r="Y59" s="33"/>
      <c r="Z59" s="9"/>
      <c r="AA59" s="2" t="s">
        <v>471</v>
      </c>
      <c r="AB59" s="2" t="s">
        <v>472</v>
      </c>
      <c r="AC59" s="2" t="s">
        <v>784</v>
      </c>
      <c r="AD59" s="2" t="s">
        <v>179</v>
      </c>
      <c r="AE59" s="2" t="s">
        <v>198</v>
      </c>
      <c r="AF59" s="2" t="s">
        <v>134</v>
      </c>
      <c r="AG59" s="2" t="s">
        <v>135</v>
      </c>
      <c r="AH59" s="2" t="s">
        <v>136</v>
      </c>
      <c r="AI59" s="2" t="str">
        <f t="shared" si="4"/>
        <v/>
      </c>
      <c r="AJ59" s="2" t="s">
        <v>137</v>
      </c>
      <c r="AK59" s="2" t="s">
        <v>138</v>
      </c>
      <c r="AL59" s="2" t="s">
        <v>139</v>
      </c>
      <c r="AM59" s="2">
        <f t="shared" si="5"/>
        <v>1</v>
      </c>
      <c r="AN59" s="2"/>
      <c r="AO59" s="32" t="s">
        <v>785</v>
      </c>
      <c r="AP59" s="32" t="s">
        <v>786</v>
      </c>
      <c r="AQ59" s="32"/>
      <c r="AR59" s="32" t="s">
        <v>142</v>
      </c>
      <c r="AS59" s="65">
        <f t="shared" si="6"/>
        <v>12</v>
      </c>
      <c r="AT59" s="65">
        <f t="shared" si="7"/>
        <v>5.0999999999999996</v>
      </c>
      <c r="AU59" s="2" t="str">
        <f>IFERROR(INDEX('Source Review'!$B$2:$B$52,MATCH($A59,'Source Review'!$A$2:$A$52,0)),"NOT SOURCE-REVIEWED IN THIS PASS")</f>
        <v>CONTRACTS PRESENT; EXECUTOR NOT APPLIED IN PROVIDED SNAPSHOT
LATEST: HELD PENDING T-100 COMMIT</v>
      </c>
      <c r="AV59" s="5">
        <f>IFERROR(INDEX('Source Review'!$F$2:$F$52,MATCH($A59,'Source Review'!$A$2:$A$52,0)),"")</f>
        <v>16</v>
      </c>
      <c r="AW59" s="5">
        <f>IFERROR(INDEX('Source Review'!$G$2:$G$52,MATCH($A59,'Source Review'!$A$2:$A$52,0)),"")</f>
        <v>26</v>
      </c>
      <c r="AX59" s="5">
        <f>IFERROR(INDEX('Source Review'!$H$2:$H$52,MATCH($A59,'Source Review'!$A$2:$A$52,0)),"")</f>
        <v>42</v>
      </c>
      <c r="AY59" s="2" t="str">
        <f>IF(COUNTIF('Source Review'!$A$2:$A$52,$A59)&gt;0,"UNCONFIRMED REVIEW ESTIMATE - not P80 or elapsed","NOT ESTIMATED IN THIS PASS")</f>
        <v>UNCONFIRMED REVIEW ESTIMATE - not P80 or elapsed</v>
      </c>
      <c r="AZ59" s="2" t="str">
        <f>IFERROR(INDEX('Source Review'!$I$2:$I$52,MATCH($A59,'Source Review'!$A$2:$A$52,0)),"")</f>
        <v>Compiler/dispatch 3/5/8 + executor/write/evidence 6/10/17 + cancellation integration 2/3/5 + Graph/SQL/live Gate0/replay/cancel tests and closure 5/8/12.</v>
      </c>
      <c r="BA59" s="2" t="str">
        <f>IFERROR(INDEX('Source Review'!$E$2:$E$52,MATCH($A59,'Source Review'!$A$2:$A$52,0)),"")</f>
        <v>Backend/PlantProcess.Application/Integration/Services/Jobs/JobRunOrchestratorService.cs:61-85 — admission before real run
Backend/PlantProcess.Application/Integration/Services/Jobs/JobRunOrchestratorService.cs:210-276 — discarded resolution/dispatch
Backend/PlantProcess.Application/Jobs/Execution/JobExecutionCapability.cs:109-115 — uncommissioned executor
Backend/PlantProcess.Application/Integration/Services/Jobs/JobRuntimeService.cs:127-149 — terminal lifecycle</v>
      </c>
      <c r="BB59" s="2" t="str">
        <f>IF(COUNTIF('Source Review'!$A$2:$A$52,$A59)&gt;0,"14-Sep-2026 snapshot; later closure evidence separate; no live HEAD verification","")</f>
        <v>14-Sep-2026 snapshot; later closure evidence separate; no live HEAD verification</v>
      </c>
    </row>
    <row r="60" spans="1:54" ht="75.95" customHeight="1">
      <c r="A60" s="2" t="s">
        <v>787</v>
      </c>
      <c r="B60" s="2" t="s">
        <v>108</v>
      </c>
      <c r="C60" s="2" t="s">
        <v>426</v>
      </c>
      <c r="D60" s="2" t="s">
        <v>788</v>
      </c>
      <c r="E60" s="2" t="s">
        <v>789</v>
      </c>
      <c r="F60" s="2" t="s">
        <v>788</v>
      </c>
      <c r="G60" s="2" t="s">
        <v>113</v>
      </c>
      <c r="H60" s="2" t="s">
        <v>790</v>
      </c>
      <c r="I60" s="2" t="s">
        <v>791</v>
      </c>
      <c r="J60" s="67"/>
      <c r="K60" s="94" t="s">
        <v>116</v>
      </c>
      <c r="L60" s="2" t="s">
        <v>36</v>
      </c>
      <c r="M60" s="2" t="s">
        <v>792</v>
      </c>
      <c r="N60" s="2" t="s">
        <v>793</v>
      </c>
      <c r="O60" s="2" t="s">
        <v>120</v>
      </c>
      <c r="P60" s="2" t="s">
        <v>121</v>
      </c>
      <c r="Q60" s="2" t="s">
        <v>794</v>
      </c>
      <c r="R60" s="65"/>
      <c r="S60" s="2" t="s">
        <v>433</v>
      </c>
      <c r="T60" s="2" t="s">
        <v>795</v>
      </c>
      <c r="U60" s="2" t="s">
        <v>796</v>
      </c>
      <c r="V60" s="2" t="s">
        <v>797</v>
      </c>
      <c r="W60" s="2" t="s">
        <v>434</v>
      </c>
      <c r="X60" s="2" t="s">
        <v>531</v>
      </c>
      <c r="Y60" s="33" t="s">
        <v>475</v>
      </c>
      <c r="Z60" s="9"/>
      <c r="AA60" s="2" t="s">
        <v>798</v>
      </c>
      <c r="AB60" s="2" t="s">
        <v>799</v>
      </c>
      <c r="AC60" s="2" t="s">
        <v>800</v>
      </c>
      <c r="AD60" s="2" t="s">
        <v>179</v>
      </c>
      <c r="AE60" s="2" t="s">
        <v>801</v>
      </c>
      <c r="AF60" s="2" t="s">
        <v>134</v>
      </c>
      <c r="AG60" s="2" t="s">
        <v>135</v>
      </c>
      <c r="AH60" s="2" t="s">
        <v>136</v>
      </c>
      <c r="AI60" s="2" t="str">
        <f t="shared" si="4"/>
        <v>86e1b677212195f191697ecdca7e9441b3dbde33</v>
      </c>
      <c r="AJ60" s="34" t="s">
        <v>802</v>
      </c>
      <c r="AK60" s="34" t="s">
        <v>138</v>
      </c>
      <c r="AL60" s="34" t="s">
        <v>139</v>
      </c>
      <c r="AM60" s="34">
        <f t="shared" si="5"/>
        <v>0</v>
      </c>
      <c r="AN60" s="34"/>
      <c r="AO60" s="35" t="s">
        <v>803</v>
      </c>
      <c r="AP60" s="35" t="s">
        <v>804</v>
      </c>
      <c r="AQ60" s="35" t="s">
        <v>402</v>
      </c>
      <c r="AR60" s="35" t="s">
        <v>805</v>
      </c>
      <c r="AS60" s="65" t="str">
        <f t="shared" si="6"/>
        <v/>
      </c>
      <c r="AT60" s="65" t="str">
        <f t="shared" si="7"/>
        <v/>
      </c>
      <c r="AU60" s="2" t="str">
        <f>IFERROR(INDEX('Source Review'!$B$2:$B$52,MATCH($A60,'Source Review'!$A$2:$A$52,0)),"NOT SOURCE-REVIEWED IN THIS PASS")</f>
        <v>ORIGINAL CONTRACT CLOSED; NARROW CONSUMER VERIFICATION OPEN</v>
      </c>
      <c r="AV60" s="5">
        <f>IFERROR(INDEX('Source Review'!$F$2:$F$52,MATCH($A60,'Source Review'!$A$2:$A$52,0)),"")</f>
        <v>1</v>
      </c>
      <c r="AW60" s="5">
        <f>IFERROR(INDEX('Source Review'!$G$2:$G$52,MATCH($A60,'Source Review'!$A$2:$A$52,0)),"")</f>
        <v>3</v>
      </c>
      <c r="AX60" s="5">
        <f>IFERROR(INDEX('Source Review'!$H$2:$H$52,MATCH($A60,'Source Review'!$A$2:$A$52,0)),"")</f>
        <v>6</v>
      </c>
      <c r="AY60" s="2" t="str">
        <f>IF(COUNTIF('Source Review'!$A$2:$A$52,$A60)&gt;0,"UNCONFIRMED REVIEW ESTIMATE - not P80 or elapsed","NOT ESTIMATED IN THIS PASS")</f>
        <v>UNCONFIRMED REVIEW ESTIMATE - not P80 or elapsed</v>
      </c>
      <c r="AZ60" s="2" t="str">
        <f>IFERROR(INDEX('Source Review'!$I$2:$I$52,MATCH($A60,'Source Review'!$A$2:$A$52,0)),"")</f>
        <v>Real-shell reproduction 1/1/2 + bounded callback correction if confirmed 0/1/2 + focused regression/closure 0/1/2. Consumer Gate0 cost counted in T-261.</v>
      </c>
      <c r="BA60" s="2" t="str">
        <f>IFERROR(INDEX('Source Review'!$E$2:$E$52,MATCH($A60,'Source Review'!$A$2:$A$52,0)),"")</f>
        <v>Backend/PlantProcess.Application/Definitions/Canvas/CanvasDefinitionContent.cs:118-163 — immutable projection content
Backend/PlantProcess.Application/Definitions/Canvas/ProjectionTypeCompatibility.cs:128-145 — unknown/narrowing refusal
Frontend/PlantProcess.Web/src/authoring/SharedAuthoringShell.tsx:898-925 — doSaveSql callback inputs/dependencies</v>
      </c>
      <c r="BB60" s="2" t="str">
        <f>IF(COUNTIF('Source Review'!$A$2:$A$52,$A60)&gt;0,"14-Sep-2026 snapshot; later closure evidence separate; no live HEAD verification","")</f>
        <v>14-Sep-2026 snapshot; later closure evidence separate; no live HEAD verification</v>
      </c>
    </row>
    <row r="61" spans="1:54" ht="75.95" hidden="1" customHeight="1">
      <c r="A61" s="2" t="s">
        <v>806</v>
      </c>
      <c r="B61" s="2" t="s">
        <v>108</v>
      </c>
      <c r="C61" s="2" t="s">
        <v>807</v>
      </c>
      <c r="D61" s="2" t="s">
        <v>808</v>
      </c>
      <c r="E61" s="2" t="s">
        <v>264</v>
      </c>
      <c r="F61" s="2" t="s">
        <v>809</v>
      </c>
      <c r="G61" s="2" t="s">
        <v>160</v>
      </c>
      <c r="H61" s="2" t="s">
        <v>810</v>
      </c>
      <c r="I61" s="2" t="s">
        <v>811</v>
      </c>
      <c r="J61" s="65">
        <v>8</v>
      </c>
      <c r="K61" s="94" t="s">
        <v>455</v>
      </c>
      <c r="L61" s="2" t="s">
        <v>36</v>
      </c>
      <c r="M61" s="2"/>
      <c r="N61" s="2" t="s">
        <v>812</v>
      </c>
      <c r="O61" s="2" t="s">
        <v>120</v>
      </c>
      <c r="P61" s="2" t="s">
        <v>121</v>
      </c>
      <c r="Q61" s="2" t="s">
        <v>458</v>
      </c>
      <c r="R61" s="65">
        <v>1.3333333333333333</v>
      </c>
      <c r="S61" s="2" t="s">
        <v>813</v>
      </c>
      <c r="T61" s="2" t="s">
        <v>814</v>
      </c>
      <c r="U61" s="2" t="s">
        <v>815</v>
      </c>
      <c r="V61" s="2" t="s">
        <v>816</v>
      </c>
      <c r="W61" s="2" t="s">
        <v>817</v>
      </c>
      <c r="X61" s="2" t="s">
        <v>818</v>
      </c>
      <c r="Y61" s="33"/>
      <c r="Z61" s="9"/>
      <c r="AA61" s="2" t="s">
        <v>819</v>
      </c>
      <c r="AB61" s="2" t="s">
        <v>820</v>
      </c>
      <c r="AC61" s="2"/>
      <c r="AD61" s="2" t="s">
        <v>179</v>
      </c>
      <c r="AE61" s="2" t="s">
        <v>251</v>
      </c>
      <c r="AF61" s="2" t="s">
        <v>134</v>
      </c>
      <c r="AG61" s="2" t="s">
        <v>135</v>
      </c>
      <c r="AH61" s="2" t="s">
        <v>136</v>
      </c>
      <c r="AI61" s="2" t="str">
        <f t="shared" si="4"/>
        <v/>
      </c>
      <c r="AJ61" s="2" t="s">
        <v>137</v>
      </c>
      <c r="AK61" s="2" t="s">
        <v>138</v>
      </c>
      <c r="AL61" s="2" t="s">
        <v>139</v>
      </c>
      <c r="AM61" s="2">
        <f t="shared" si="5"/>
        <v>1</v>
      </c>
      <c r="AN61" s="2" t="s">
        <v>821</v>
      </c>
      <c r="AO61" s="32" t="s">
        <v>462</v>
      </c>
      <c r="AP61" s="32" t="s">
        <v>141</v>
      </c>
      <c r="AQ61" s="32"/>
      <c r="AR61" s="32" t="s">
        <v>142</v>
      </c>
      <c r="AS61" s="65">
        <f t="shared" si="6"/>
        <v>8</v>
      </c>
      <c r="AT61" s="65">
        <f t="shared" si="7"/>
        <v>1.3333333333333333</v>
      </c>
      <c r="AU61" s="2" t="str">
        <f>IFERROR(INDEX('Source Review'!$B$2:$B$52,MATCH($A61,'Source Review'!$A$2:$A$52,0)),"NOT SOURCE-REVIEWED IN THIS PASS")</f>
        <v>NOT SOURCE-REVIEWED IN THIS PASS</v>
      </c>
      <c r="AV61" s="5" t="str">
        <f>IFERROR(INDEX('Source Review'!$F$2:$F$52,MATCH($A61,'Source Review'!$A$2:$A$52,0)),"")</f>
        <v/>
      </c>
      <c r="AW61" s="5" t="str">
        <f>IFERROR(INDEX('Source Review'!$G$2:$G$52,MATCH($A61,'Source Review'!$A$2:$A$52,0)),"")</f>
        <v/>
      </c>
      <c r="AX61" s="5" t="str">
        <f>IFERROR(INDEX('Source Review'!$H$2:$H$52,MATCH($A61,'Source Review'!$A$2:$A$52,0)),"")</f>
        <v/>
      </c>
      <c r="AY61" s="2" t="str">
        <f>IF(COUNTIF('Source Review'!$A$2:$A$52,$A61)&gt;0,"UNCONFIRMED REVIEW ESTIMATE - not P80 or elapsed","NOT ESTIMATED IN THIS PASS")</f>
        <v>NOT ESTIMATED IN THIS PASS</v>
      </c>
      <c r="AZ61" s="2" t="str">
        <f>IFERROR(INDEX('Source Review'!$I$2:$I$52,MATCH($A61,'Source Review'!$A$2:$A$52,0)),"")</f>
        <v/>
      </c>
      <c r="BA61" s="2" t="str">
        <f>IFERROR(INDEX('Source Review'!$E$2:$E$52,MATCH($A61,'Source Review'!$A$2:$A$52,0)),"")</f>
        <v/>
      </c>
      <c r="BB61" s="2" t="str">
        <f>IF(COUNTIF('Source Review'!$A$2:$A$52,$A61)&gt;0,"14-Sep-2026 snapshot; later closure evidence separate; no live HEAD verification","")</f>
        <v/>
      </c>
    </row>
    <row r="62" spans="1:54" ht="75.95" hidden="1" customHeight="1">
      <c r="A62" s="2" t="s">
        <v>642</v>
      </c>
      <c r="B62" s="2" t="s">
        <v>108</v>
      </c>
      <c r="C62" s="2" t="s">
        <v>807</v>
      </c>
      <c r="D62" s="2" t="s">
        <v>822</v>
      </c>
      <c r="E62" s="2" t="s">
        <v>823</v>
      </c>
      <c r="F62" s="2" t="s">
        <v>824</v>
      </c>
      <c r="G62" s="2" t="s">
        <v>160</v>
      </c>
      <c r="H62" s="2" t="s">
        <v>825</v>
      </c>
      <c r="I62" s="2" t="s">
        <v>826</v>
      </c>
      <c r="J62" s="65">
        <v>10</v>
      </c>
      <c r="K62" s="94" t="s">
        <v>455</v>
      </c>
      <c r="L62" s="2" t="s">
        <v>36</v>
      </c>
      <c r="M62" s="2" t="s">
        <v>827</v>
      </c>
      <c r="N62" s="2" t="s">
        <v>828</v>
      </c>
      <c r="O62" s="2" t="s">
        <v>120</v>
      </c>
      <c r="P62" s="2" t="s">
        <v>121</v>
      </c>
      <c r="Q62" s="2" t="s">
        <v>755</v>
      </c>
      <c r="R62" s="65">
        <v>4</v>
      </c>
      <c r="S62" s="2" t="s">
        <v>813</v>
      </c>
      <c r="T62" s="2" t="s">
        <v>829</v>
      </c>
      <c r="U62" s="2" t="s">
        <v>830</v>
      </c>
      <c r="V62" s="2" t="s">
        <v>831</v>
      </c>
      <c r="W62" s="2" t="s">
        <v>817</v>
      </c>
      <c r="X62" s="2" t="s">
        <v>818</v>
      </c>
      <c r="Y62" s="33"/>
      <c r="Z62" s="9"/>
      <c r="AA62" s="2" t="s">
        <v>646</v>
      </c>
      <c r="AB62" s="2" t="s">
        <v>647</v>
      </c>
      <c r="AC62" s="2" t="s">
        <v>591</v>
      </c>
      <c r="AD62" s="2" t="s">
        <v>179</v>
      </c>
      <c r="AE62" s="2" t="s">
        <v>734</v>
      </c>
      <c r="AF62" s="2" t="s">
        <v>134</v>
      </c>
      <c r="AG62" s="2" t="s">
        <v>135</v>
      </c>
      <c r="AH62" s="2" t="s">
        <v>136</v>
      </c>
      <c r="AI62" s="2" t="str">
        <f t="shared" si="4"/>
        <v/>
      </c>
      <c r="AJ62" s="2" t="s">
        <v>137</v>
      </c>
      <c r="AK62" s="2" t="s">
        <v>138</v>
      </c>
      <c r="AL62" s="2" t="s">
        <v>832</v>
      </c>
      <c r="AM62" s="2">
        <f t="shared" si="5"/>
        <v>1</v>
      </c>
      <c r="AN62" s="2"/>
      <c r="AO62" s="32" t="s">
        <v>462</v>
      </c>
      <c r="AP62" s="32" t="s">
        <v>141</v>
      </c>
      <c r="AQ62" s="32"/>
      <c r="AR62" s="32" t="s">
        <v>142</v>
      </c>
      <c r="AS62" s="65">
        <f t="shared" si="6"/>
        <v>10</v>
      </c>
      <c r="AT62" s="65">
        <f t="shared" si="7"/>
        <v>4</v>
      </c>
      <c r="AU62" s="2" t="str">
        <f>IFERROR(INDEX('Source Review'!$B$2:$B$52,MATCH($A62,'Source Review'!$A$2:$A$52,0)),"NOT SOURCE-REVIEWED IN THIS PASS")</f>
        <v>NOT SOURCE-REVIEWED IN THIS PASS</v>
      </c>
      <c r="AV62" s="5" t="str">
        <f>IFERROR(INDEX('Source Review'!$F$2:$F$52,MATCH($A62,'Source Review'!$A$2:$A$52,0)),"")</f>
        <v/>
      </c>
      <c r="AW62" s="5" t="str">
        <f>IFERROR(INDEX('Source Review'!$G$2:$G$52,MATCH($A62,'Source Review'!$A$2:$A$52,0)),"")</f>
        <v/>
      </c>
      <c r="AX62" s="5" t="str">
        <f>IFERROR(INDEX('Source Review'!$H$2:$H$52,MATCH($A62,'Source Review'!$A$2:$A$52,0)),"")</f>
        <v/>
      </c>
      <c r="AY62" s="2" t="str">
        <f>IF(COUNTIF('Source Review'!$A$2:$A$52,$A62)&gt;0,"UNCONFIRMED REVIEW ESTIMATE - not P80 or elapsed","NOT ESTIMATED IN THIS PASS")</f>
        <v>NOT ESTIMATED IN THIS PASS</v>
      </c>
      <c r="AZ62" s="2" t="str">
        <f>IFERROR(INDEX('Source Review'!$I$2:$I$52,MATCH($A62,'Source Review'!$A$2:$A$52,0)),"")</f>
        <v/>
      </c>
      <c r="BA62" s="2" t="str">
        <f>IFERROR(INDEX('Source Review'!$E$2:$E$52,MATCH($A62,'Source Review'!$A$2:$A$52,0)),"")</f>
        <v/>
      </c>
      <c r="BB62" s="2" t="str">
        <f>IF(COUNTIF('Source Review'!$A$2:$A$52,$A62)&gt;0,"14-Sep-2026 snapshot; later closure evidence separate; no live HEAD verification","")</f>
        <v/>
      </c>
    </row>
    <row r="63" spans="1:54" ht="75.95" hidden="1" customHeight="1">
      <c r="A63" s="2" t="s">
        <v>833</v>
      </c>
      <c r="B63" s="2" t="s">
        <v>108</v>
      </c>
      <c r="C63" s="2" t="s">
        <v>807</v>
      </c>
      <c r="D63" s="2" t="s">
        <v>834</v>
      </c>
      <c r="E63" s="2" t="s">
        <v>264</v>
      </c>
      <c r="F63" s="2" t="s">
        <v>835</v>
      </c>
      <c r="G63" s="2" t="s">
        <v>160</v>
      </c>
      <c r="H63" s="2" t="s">
        <v>836</v>
      </c>
      <c r="I63" s="2" t="s">
        <v>837</v>
      </c>
      <c r="J63" s="65">
        <v>10</v>
      </c>
      <c r="K63" s="94" t="s">
        <v>455</v>
      </c>
      <c r="L63" s="2" t="s">
        <v>36</v>
      </c>
      <c r="M63" s="2" t="s">
        <v>838</v>
      </c>
      <c r="N63" s="2" t="s">
        <v>743</v>
      </c>
      <c r="O63" s="2" t="s">
        <v>120</v>
      </c>
      <c r="P63" s="2" t="s">
        <v>121</v>
      </c>
      <c r="Q63" s="2" t="s">
        <v>839</v>
      </c>
      <c r="R63" s="65">
        <v>4.25</v>
      </c>
      <c r="S63" s="2" t="s">
        <v>813</v>
      </c>
      <c r="T63" s="2" t="s">
        <v>840</v>
      </c>
      <c r="U63" s="2" t="s">
        <v>841</v>
      </c>
      <c r="V63" s="2" t="s">
        <v>842</v>
      </c>
      <c r="W63" s="2" t="s">
        <v>817</v>
      </c>
      <c r="X63" s="2" t="s">
        <v>818</v>
      </c>
      <c r="Y63" s="33"/>
      <c r="Z63" s="9"/>
      <c r="AA63" s="2" t="s">
        <v>843</v>
      </c>
      <c r="AB63" s="2" t="s">
        <v>844</v>
      </c>
      <c r="AC63" s="2"/>
      <c r="AD63" s="2" t="s">
        <v>179</v>
      </c>
      <c r="AE63" s="2" t="s">
        <v>251</v>
      </c>
      <c r="AF63" s="2" t="s">
        <v>845</v>
      </c>
      <c r="AG63" s="2" t="s">
        <v>135</v>
      </c>
      <c r="AH63" s="2" t="s">
        <v>136</v>
      </c>
      <c r="AI63" s="2" t="str">
        <f t="shared" si="4"/>
        <v/>
      </c>
      <c r="AJ63" s="2" t="s">
        <v>137</v>
      </c>
      <c r="AK63" s="2" t="s">
        <v>138</v>
      </c>
      <c r="AL63" s="2" t="s">
        <v>846</v>
      </c>
      <c r="AM63" s="2">
        <f t="shared" si="5"/>
        <v>1</v>
      </c>
      <c r="AN63" s="2"/>
      <c r="AO63" s="32" t="s">
        <v>462</v>
      </c>
      <c r="AP63" s="32" t="s">
        <v>141</v>
      </c>
      <c r="AQ63" s="32"/>
      <c r="AR63" s="32" t="s">
        <v>142</v>
      </c>
      <c r="AS63" s="65">
        <f t="shared" si="6"/>
        <v>10</v>
      </c>
      <c r="AT63" s="65">
        <f t="shared" si="7"/>
        <v>4.25</v>
      </c>
      <c r="AU63" s="2" t="str">
        <f>IFERROR(INDEX('Source Review'!$B$2:$B$52,MATCH($A63,'Source Review'!$A$2:$A$52,0)),"NOT SOURCE-REVIEWED IN THIS PASS")</f>
        <v>NOT SOURCE-REVIEWED IN THIS PASS</v>
      </c>
      <c r="AV63" s="5" t="str">
        <f>IFERROR(INDEX('Source Review'!$F$2:$F$52,MATCH($A63,'Source Review'!$A$2:$A$52,0)),"")</f>
        <v/>
      </c>
      <c r="AW63" s="5" t="str">
        <f>IFERROR(INDEX('Source Review'!$G$2:$G$52,MATCH($A63,'Source Review'!$A$2:$A$52,0)),"")</f>
        <v/>
      </c>
      <c r="AX63" s="5" t="str">
        <f>IFERROR(INDEX('Source Review'!$H$2:$H$52,MATCH($A63,'Source Review'!$A$2:$A$52,0)),"")</f>
        <v/>
      </c>
      <c r="AY63" s="2" t="str">
        <f>IF(COUNTIF('Source Review'!$A$2:$A$52,$A63)&gt;0,"UNCONFIRMED REVIEW ESTIMATE - not P80 or elapsed","NOT ESTIMATED IN THIS PASS")</f>
        <v>NOT ESTIMATED IN THIS PASS</v>
      </c>
      <c r="AZ63" s="2" t="str">
        <f>IFERROR(INDEX('Source Review'!$I$2:$I$52,MATCH($A63,'Source Review'!$A$2:$A$52,0)),"")</f>
        <v/>
      </c>
      <c r="BA63" s="2" t="str">
        <f>IFERROR(INDEX('Source Review'!$E$2:$E$52,MATCH($A63,'Source Review'!$A$2:$A$52,0)),"")</f>
        <v/>
      </c>
      <c r="BB63" s="2" t="str">
        <f>IF(COUNTIF('Source Review'!$A$2:$A$52,$A63)&gt;0,"14-Sep-2026 snapshot; later closure evidence separate; no live HEAD verification","")</f>
        <v/>
      </c>
    </row>
    <row r="64" spans="1:54" ht="75.95" hidden="1" customHeight="1">
      <c r="A64" s="2" t="s">
        <v>847</v>
      </c>
      <c r="B64" s="2" t="s">
        <v>108</v>
      </c>
      <c r="C64" s="2" t="s">
        <v>807</v>
      </c>
      <c r="D64" s="2" t="s">
        <v>848</v>
      </c>
      <c r="E64" s="2" t="s">
        <v>264</v>
      </c>
      <c r="F64" s="2" t="s">
        <v>849</v>
      </c>
      <c r="G64" s="2" t="s">
        <v>113</v>
      </c>
      <c r="H64" s="2" t="s">
        <v>850</v>
      </c>
      <c r="I64" s="2" t="s">
        <v>851</v>
      </c>
      <c r="J64" s="65">
        <v>8</v>
      </c>
      <c r="K64" s="94" t="s">
        <v>455</v>
      </c>
      <c r="L64" s="2" t="s">
        <v>36</v>
      </c>
      <c r="M64" s="2" t="s">
        <v>852</v>
      </c>
      <c r="N64" s="2" t="s">
        <v>586</v>
      </c>
      <c r="O64" s="2" t="s">
        <v>120</v>
      </c>
      <c r="P64" s="2" t="s">
        <v>121</v>
      </c>
      <c r="Q64" s="2" t="s">
        <v>362</v>
      </c>
      <c r="R64" s="65">
        <v>3.4</v>
      </c>
      <c r="S64" s="2" t="s">
        <v>813</v>
      </c>
      <c r="T64" s="2" t="s">
        <v>853</v>
      </c>
      <c r="U64" s="2" t="s">
        <v>854</v>
      </c>
      <c r="V64" s="2" t="s">
        <v>855</v>
      </c>
      <c r="W64" s="2" t="s">
        <v>817</v>
      </c>
      <c r="X64" s="2" t="s">
        <v>856</v>
      </c>
      <c r="Y64" s="33"/>
      <c r="Z64" s="9"/>
      <c r="AA64" s="2" t="s">
        <v>209</v>
      </c>
      <c r="AB64" s="2" t="s">
        <v>218</v>
      </c>
      <c r="AC64" s="2" t="s">
        <v>591</v>
      </c>
      <c r="AD64" s="2" t="s">
        <v>156</v>
      </c>
      <c r="AE64" s="2" t="s">
        <v>367</v>
      </c>
      <c r="AF64" s="2" t="s">
        <v>134</v>
      </c>
      <c r="AG64" s="2" t="s">
        <v>135</v>
      </c>
      <c r="AH64" s="2" t="s">
        <v>136</v>
      </c>
      <c r="AI64" s="2" t="str">
        <f t="shared" si="4"/>
        <v/>
      </c>
      <c r="AJ64" s="2" t="s">
        <v>137</v>
      </c>
      <c r="AK64" s="2" t="s">
        <v>138</v>
      </c>
      <c r="AL64" s="2" t="s">
        <v>139</v>
      </c>
      <c r="AM64" s="2">
        <f t="shared" si="5"/>
        <v>1</v>
      </c>
      <c r="AN64" s="2"/>
      <c r="AO64" s="32" t="s">
        <v>462</v>
      </c>
      <c r="AP64" s="32" t="s">
        <v>141</v>
      </c>
      <c r="AQ64" s="32"/>
      <c r="AR64" s="32" t="s">
        <v>142</v>
      </c>
      <c r="AS64" s="65">
        <f t="shared" si="6"/>
        <v>8</v>
      </c>
      <c r="AT64" s="65">
        <f t="shared" si="7"/>
        <v>3.4</v>
      </c>
      <c r="AU64" s="2" t="str">
        <f>IFERROR(INDEX('Source Review'!$B$2:$B$52,MATCH($A64,'Source Review'!$A$2:$A$52,0)),"NOT SOURCE-REVIEWED IN THIS PASS")</f>
        <v>NOT SOURCE-REVIEWED IN THIS PASS</v>
      </c>
      <c r="AV64" s="5" t="str">
        <f>IFERROR(INDEX('Source Review'!$F$2:$F$52,MATCH($A64,'Source Review'!$A$2:$A$52,0)),"")</f>
        <v/>
      </c>
      <c r="AW64" s="5" t="str">
        <f>IFERROR(INDEX('Source Review'!$G$2:$G$52,MATCH($A64,'Source Review'!$A$2:$A$52,0)),"")</f>
        <v/>
      </c>
      <c r="AX64" s="5" t="str">
        <f>IFERROR(INDEX('Source Review'!$H$2:$H$52,MATCH($A64,'Source Review'!$A$2:$A$52,0)),"")</f>
        <v/>
      </c>
      <c r="AY64" s="2" t="str">
        <f>IF(COUNTIF('Source Review'!$A$2:$A$52,$A64)&gt;0,"UNCONFIRMED REVIEW ESTIMATE - not P80 or elapsed","NOT ESTIMATED IN THIS PASS")</f>
        <v>NOT ESTIMATED IN THIS PASS</v>
      </c>
      <c r="AZ64" s="2" t="str">
        <f>IFERROR(INDEX('Source Review'!$I$2:$I$52,MATCH($A64,'Source Review'!$A$2:$A$52,0)),"")</f>
        <v/>
      </c>
      <c r="BA64" s="2" t="str">
        <f>IFERROR(INDEX('Source Review'!$E$2:$E$52,MATCH($A64,'Source Review'!$A$2:$A$52,0)),"")</f>
        <v/>
      </c>
      <c r="BB64" s="2" t="str">
        <f>IF(COUNTIF('Source Review'!$A$2:$A$52,$A64)&gt;0,"14-Sep-2026 snapshot; later closure evidence separate; no live HEAD verification","")</f>
        <v/>
      </c>
    </row>
    <row r="65" spans="1:54" ht="75.95" hidden="1" customHeight="1">
      <c r="A65" s="2" t="s">
        <v>857</v>
      </c>
      <c r="B65" s="2" t="s">
        <v>108</v>
      </c>
      <c r="C65" s="2" t="s">
        <v>858</v>
      </c>
      <c r="D65" s="2" t="s">
        <v>859</v>
      </c>
      <c r="E65" s="2" t="s">
        <v>860</v>
      </c>
      <c r="F65" s="2" t="s">
        <v>861</v>
      </c>
      <c r="G65" s="2" t="s">
        <v>160</v>
      </c>
      <c r="H65" s="2" t="s">
        <v>862</v>
      </c>
      <c r="I65" s="2" t="s">
        <v>863</v>
      </c>
      <c r="J65" s="65">
        <v>10</v>
      </c>
      <c r="K65" s="94" t="s">
        <v>116</v>
      </c>
      <c r="L65" s="2" t="s">
        <v>864</v>
      </c>
      <c r="M65" s="2"/>
      <c r="N65" s="2" t="s">
        <v>865</v>
      </c>
      <c r="O65" s="2" t="s">
        <v>120</v>
      </c>
      <c r="P65" s="2" t="s">
        <v>121</v>
      </c>
      <c r="Q65" s="2" t="s">
        <v>866</v>
      </c>
      <c r="R65" s="65">
        <v>0</v>
      </c>
      <c r="S65" s="2" t="s">
        <v>867</v>
      </c>
      <c r="T65" s="2" t="s">
        <v>124</v>
      </c>
      <c r="U65" s="2" t="s">
        <v>868</v>
      </c>
      <c r="V65" s="2" t="s">
        <v>869</v>
      </c>
      <c r="W65" s="2" t="s">
        <v>870</v>
      </c>
      <c r="X65" s="2" t="s">
        <v>871</v>
      </c>
      <c r="Y65" s="33" t="s">
        <v>298</v>
      </c>
      <c r="Z65" s="9"/>
      <c r="AA65" s="2" t="s">
        <v>872</v>
      </c>
      <c r="AB65" s="2" t="s">
        <v>873</v>
      </c>
      <c r="AC65" s="2"/>
      <c r="AD65" s="2" t="s">
        <v>179</v>
      </c>
      <c r="AE65" s="2" t="s">
        <v>198</v>
      </c>
      <c r="AF65" s="2" t="s">
        <v>134</v>
      </c>
      <c r="AG65" s="2" t="s">
        <v>135</v>
      </c>
      <c r="AH65" s="2" t="s">
        <v>136</v>
      </c>
      <c r="AI65" s="2" t="str">
        <f t="shared" si="4"/>
        <v>Not recovered from reviewed sessions</v>
      </c>
      <c r="AJ65" s="2" t="s">
        <v>137</v>
      </c>
      <c r="AK65" s="2" t="s">
        <v>138</v>
      </c>
      <c r="AL65" s="2" t="s">
        <v>139</v>
      </c>
      <c r="AM65" s="2">
        <f t="shared" si="5"/>
        <v>1</v>
      </c>
      <c r="AN65" s="2"/>
      <c r="AO65" s="32" t="s">
        <v>140</v>
      </c>
      <c r="AP65" s="32" t="s">
        <v>141</v>
      </c>
      <c r="AQ65" s="32"/>
      <c r="AR65" s="32" t="s">
        <v>142</v>
      </c>
      <c r="AS65" s="65">
        <f t="shared" si="6"/>
        <v>10</v>
      </c>
      <c r="AT65" s="65">
        <f t="shared" si="7"/>
        <v>0</v>
      </c>
      <c r="AU65" s="2" t="str">
        <f>IFERROR(INDEX('Source Review'!$B$2:$B$52,MATCH($A65,'Source Review'!$A$2:$A$52,0)),"NOT SOURCE-REVIEWED IN THIS PASS")</f>
        <v>NOT SOURCE-REVIEWED IN THIS PASS</v>
      </c>
      <c r="AV65" s="5" t="str">
        <f>IFERROR(INDEX('Source Review'!$F$2:$F$52,MATCH($A65,'Source Review'!$A$2:$A$52,0)),"")</f>
        <v/>
      </c>
      <c r="AW65" s="5" t="str">
        <f>IFERROR(INDEX('Source Review'!$G$2:$G$52,MATCH($A65,'Source Review'!$A$2:$A$52,0)),"")</f>
        <v/>
      </c>
      <c r="AX65" s="5" t="str">
        <f>IFERROR(INDEX('Source Review'!$H$2:$H$52,MATCH($A65,'Source Review'!$A$2:$A$52,0)),"")</f>
        <v/>
      </c>
      <c r="AY65" s="2" t="str">
        <f>IF(COUNTIF('Source Review'!$A$2:$A$52,$A65)&gt;0,"UNCONFIRMED REVIEW ESTIMATE - not P80 or elapsed","NOT ESTIMATED IN THIS PASS")</f>
        <v>NOT ESTIMATED IN THIS PASS</v>
      </c>
      <c r="AZ65" s="2" t="str">
        <f>IFERROR(INDEX('Source Review'!$I$2:$I$52,MATCH($A65,'Source Review'!$A$2:$A$52,0)),"")</f>
        <v/>
      </c>
      <c r="BA65" s="2" t="str">
        <f>IFERROR(INDEX('Source Review'!$E$2:$E$52,MATCH($A65,'Source Review'!$A$2:$A$52,0)),"")</f>
        <v/>
      </c>
      <c r="BB65" s="2" t="str">
        <f>IF(COUNTIF('Source Review'!$A$2:$A$52,$A65)&gt;0,"14-Sep-2026 snapshot; later closure evidence separate; no live HEAD verification","")</f>
        <v/>
      </c>
    </row>
    <row r="66" spans="1:54" ht="75.95" hidden="1" customHeight="1">
      <c r="A66" s="2" t="s">
        <v>874</v>
      </c>
      <c r="B66" s="2" t="s">
        <v>108</v>
      </c>
      <c r="C66" s="2" t="s">
        <v>858</v>
      </c>
      <c r="D66" s="2" t="s">
        <v>875</v>
      </c>
      <c r="E66" s="2" t="s">
        <v>860</v>
      </c>
      <c r="F66" s="2" t="s">
        <v>876</v>
      </c>
      <c r="G66" s="2" t="s">
        <v>113</v>
      </c>
      <c r="H66" s="2" t="s">
        <v>877</v>
      </c>
      <c r="I66" s="2" t="s">
        <v>878</v>
      </c>
      <c r="J66" s="65">
        <v>12</v>
      </c>
      <c r="K66" s="94" t="s">
        <v>116</v>
      </c>
      <c r="L66" s="2" t="s">
        <v>864</v>
      </c>
      <c r="M66" s="2"/>
      <c r="N66" s="2" t="s">
        <v>879</v>
      </c>
      <c r="O66" s="2" t="s">
        <v>120</v>
      </c>
      <c r="P66" s="2" t="s">
        <v>121</v>
      </c>
      <c r="Q66" s="2" t="s">
        <v>866</v>
      </c>
      <c r="R66" s="65">
        <v>0</v>
      </c>
      <c r="S66" s="2" t="s">
        <v>867</v>
      </c>
      <c r="T66" s="2" t="s">
        <v>124</v>
      </c>
      <c r="U66" s="2" t="s">
        <v>868</v>
      </c>
      <c r="V66" s="2" t="s">
        <v>869</v>
      </c>
      <c r="W66" s="2" t="s">
        <v>870</v>
      </c>
      <c r="X66" s="2" t="s">
        <v>871</v>
      </c>
      <c r="Y66" s="33" t="s">
        <v>880</v>
      </c>
      <c r="Z66" s="9"/>
      <c r="AA66" s="2" t="s">
        <v>881</v>
      </c>
      <c r="AB66" s="2" t="s">
        <v>882</v>
      </c>
      <c r="AC66" s="2" t="s">
        <v>546</v>
      </c>
      <c r="AD66" s="2" t="s">
        <v>179</v>
      </c>
      <c r="AE66" s="2" t="s">
        <v>198</v>
      </c>
      <c r="AF66" s="2" t="s">
        <v>134</v>
      </c>
      <c r="AG66" s="2" t="s">
        <v>135</v>
      </c>
      <c r="AH66" s="2" t="s">
        <v>136</v>
      </c>
      <c r="AI66" s="2" t="str">
        <f t="shared" ref="AI66:AI97" si="8">IF(Y66="","",Y66)</f>
        <v>16ea041a; 94ab4e40; 723b9434; 6aef283f; ef588f0c — multi-commit runtime/protocol/CI closure</v>
      </c>
      <c r="AJ66" s="2" t="s">
        <v>137</v>
      </c>
      <c r="AK66" s="2" t="s">
        <v>138</v>
      </c>
      <c r="AL66" s="2" t="s">
        <v>139</v>
      </c>
      <c r="AM66" s="2">
        <f t="shared" ref="AM66:AM97" si="9">IF(AND(ISNUMBER(J66),OR(AR66="INHERITED ESTIMATE",AR66="CONFIRMED ESTIMATE")),1,0)</f>
        <v>1</v>
      </c>
      <c r="AN66" s="2"/>
      <c r="AO66" s="32" t="s">
        <v>140</v>
      </c>
      <c r="AP66" s="32" t="s">
        <v>141</v>
      </c>
      <c r="AQ66" s="32"/>
      <c r="AR66" s="32" t="s">
        <v>142</v>
      </c>
      <c r="AS66" s="65">
        <f t="shared" ref="AS66:AS97" si="10">IF(AM66=1,J66,"")</f>
        <v>12</v>
      </c>
      <c r="AT66" s="65">
        <f t="shared" ref="AT66:AT97" si="11">IF(AND(AM66=1,ISNUMBER(R66)),R66,"")</f>
        <v>0</v>
      </c>
      <c r="AU66" s="2" t="str">
        <f>IFERROR(INDEX('Source Review'!$B$2:$B$52,MATCH($A66,'Source Review'!$A$2:$A$52,0)),"NOT SOURCE-REVIEWED IN THIS PASS")</f>
        <v>NOT SOURCE-REVIEWED IN THIS PASS</v>
      </c>
      <c r="AV66" s="5" t="str">
        <f>IFERROR(INDEX('Source Review'!$F$2:$F$52,MATCH($A66,'Source Review'!$A$2:$A$52,0)),"")</f>
        <v/>
      </c>
      <c r="AW66" s="5" t="str">
        <f>IFERROR(INDEX('Source Review'!$G$2:$G$52,MATCH($A66,'Source Review'!$A$2:$A$52,0)),"")</f>
        <v/>
      </c>
      <c r="AX66" s="5" t="str">
        <f>IFERROR(INDEX('Source Review'!$H$2:$H$52,MATCH($A66,'Source Review'!$A$2:$A$52,0)),"")</f>
        <v/>
      </c>
      <c r="AY66" s="2" t="str">
        <f>IF(COUNTIF('Source Review'!$A$2:$A$52,$A66)&gt;0,"UNCONFIRMED REVIEW ESTIMATE - not P80 or elapsed","NOT ESTIMATED IN THIS PASS")</f>
        <v>NOT ESTIMATED IN THIS PASS</v>
      </c>
      <c r="AZ66" s="2" t="str">
        <f>IFERROR(INDEX('Source Review'!$I$2:$I$52,MATCH($A66,'Source Review'!$A$2:$A$52,0)),"")</f>
        <v/>
      </c>
      <c r="BA66" s="2" t="str">
        <f>IFERROR(INDEX('Source Review'!$E$2:$E$52,MATCH($A66,'Source Review'!$A$2:$A$52,0)),"")</f>
        <v/>
      </c>
      <c r="BB66" s="2" t="str">
        <f>IF(COUNTIF('Source Review'!$A$2:$A$52,$A66)&gt;0,"14-Sep-2026 snapshot; later closure evidence separate; no live HEAD verification","")</f>
        <v/>
      </c>
    </row>
    <row r="67" spans="1:54" ht="75.95" hidden="1" customHeight="1">
      <c r="A67" s="2" t="s">
        <v>883</v>
      </c>
      <c r="B67" s="2" t="s">
        <v>108</v>
      </c>
      <c r="C67" s="2" t="s">
        <v>858</v>
      </c>
      <c r="D67" s="2" t="s">
        <v>884</v>
      </c>
      <c r="E67" s="2" t="s">
        <v>860</v>
      </c>
      <c r="F67" s="2" t="s">
        <v>885</v>
      </c>
      <c r="G67" s="2" t="s">
        <v>113</v>
      </c>
      <c r="H67" s="2" t="s">
        <v>886</v>
      </c>
      <c r="I67" s="2" t="s">
        <v>887</v>
      </c>
      <c r="J67" s="65">
        <v>10</v>
      </c>
      <c r="K67" s="94" t="s">
        <v>116</v>
      </c>
      <c r="L67" s="2" t="s">
        <v>864</v>
      </c>
      <c r="M67" s="2"/>
      <c r="N67" s="2" t="s">
        <v>888</v>
      </c>
      <c r="O67" s="2" t="s">
        <v>120</v>
      </c>
      <c r="P67" s="2" t="s">
        <v>121</v>
      </c>
      <c r="Q67" s="2" t="s">
        <v>866</v>
      </c>
      <c r="R67" s="65">
        <v>0</v>
      </c>
      <c r="S67" s="2" t="s">
        <v>867</v>
      </c>
      <c r="T67" s="2" t="s">
        <v>124</v>
      </c>
      <c r="U67" s="2" t="s">
        <v>868</v>
      </c>
      <c r="V67" s="2" t="s">
        <v>869</v>
      </c>
      <c r="W67" s="2" t="s">
        <v>870</v>
      </c>
      <c r="X67" s="2" t="s">
        <v>871</v>
      </c>
      <c r="Y67" s="33" t="s">
        <v>889</v>
      </c>
      <c r="Z67" s="9">
        <v>46247</v>
      </c>
      <c r="AA67" s="2" t="s">
        <v>566</v>
      </c>
      <c r="AB67" s="2" t="s">
        <v>890</v>
      </c>
      <c r="AC67" s="2"/>
      <c r="AD67" s="2" t="s">
        <v>179</v>
      </c>
      <c r="AE67" s="2" t="s">
        <v>198</v>
      </c>
      <c r="AF67" s="2" t="s">
        <v>134</v>
      </c>
      <c r="AG67" s="2" t="s">
        <v>135</v>
      </c>
      <c r="AH67" s="2" t="s">
        <v>136</v>
      </c>
      <c r="AI67" s="2" t="str">
        <f t="shared" si="8"/>
        <v>a887c554 — T-169 Pack 1: typed columnar artifact contract, Parquet and Arrow IPC adapters, two hashes, B-03 hook</v>
      </c>
      <c r="AJ67" s="2" t="s">
        <v>137</v>
      </c>
      <c r="AK67" s="2" t="s">
        <v>138</v>
      </c>
      <c r="AL67" s="2" t="s">
        <v>139</v>
      </c>
      <c r="AM67" s="2">
        <f t="shared" si="9"/>
        <v>1</v>
      </c>
      <c r="AN67" s="2"/>
      <c r="AO67" s="32" t="s">
        <v>140</v>
      </c>
      <c r="AP67" s="32" t="s">
        <v>141</v>
      </c>
      <c r="AQ67" s="32"/>
      <c r="AR67" s="32" t="s">
        <v>142</v>
      </c>
      <c r="AS67" s="65">
        <f t="shared" si="10"/>
        <v>10</v>
      </c>
      <c r="AT67" s="65">
        <f t="shared" si="11"/>
        <v>0</v>
      </c>
      <c r="AU67" s="2" t="str">
        <f>IFERROR(INDEX('Source Review'!$B$2:$B$52,MATCH($A67,'Source Review'!$A$2:$A$52,0)),"NOT SOURCE-REVIEWED IN THIS PASS")</f>
        <v>NOT SOURCE-REVIEWED IN THIS PASS</v>
      </c>
      <c r="AV67" s="5" t="str">
        <f>IFERROR(INDEX('Source Review'!$F$2:$F$52,MATCH($A67,'Source Review'!$A$2:$A$52,0)),"")</f>
        <v/>
      </c>
      <c r="AW67" s="5" t="str">
        <f>IFERROR(INDEX('Source Review'!$G$2:$G$52,MATCH($A67,'Source Review'!$A$2:$A$52,0)),"")</f>
        <v/>
      </c>
      <c r="AX67" s="5" t="str">
        <f>IFERROR(INDEX('Source Review'!$H$2:$H$52,MATCH($A67,'Source Review'!$A$2:$A$52,0)),"")</f>
        <v/>
      </c>
      <c r="AY67" s="2" t="str">
        <f>IF(COUNTIF('Source Review'!$A$2:$A$52,$A67)&gt;0,"UNCONFIRMED REVIEW ESTIMATE - not P80 or elapsed","NOT ESTIMATED IN THIS PASS")</f>
        <v>NOT ESTIMATED IN THIS PASS</v>
      </c>
      <c r="AZ67" s="2" t="str">
        <f>IFERROR(INDEX('Source Review'!$I$2:$I$52,MATCH($A67,'Source Review'!$A$2:$A$52,0)),"")</f>
        <v/>
      </c>
      <c r="BA67" s="2" t="str">
        <f>IFERROR(INDEX('Source Review'!$E$2:$E$52,MATCH($A67,'Source Review'!$A$2:$A$52,0)),"")</f>
        <v/>
      </c>
      <c r="BB67" s="2" t="str">
        <f>IF(COUNTIF('Source Review'!$A$2:$A$52,$A67)&gt;0,"14-Sep-2026 snapshot; later closure evidence separate; no live HEAD verification","")</f>
        <v/>
      </c>
    </row>
    <row r="68" spans="1:54" ht="75.95" hidden="1" customHeight="1">
      <c r="A68" s="2" t="s">
        <v>891</v>
      </c>
      <c r="B68" s="2" t="s">
        <v>108</v>
      </c>
      <c r="C68" s="2" t="s">
        <v>858</v>
      </c>
      <c r="D68" s="2" t="s">
        <v>892</v>
      </c>
      <c r="E68" s="2" t="s">
        <v>860</v>
      </c>
      <c r="F68" s="2" t="s">
        <v>885</v>
      </c>
      <c r="G68" s="2" t="s">
        <v>113</v>
      </c>
      <c r="H68" s="2" t="s">
        <v>893</v>
      </c>
      <c r="I68" s="2" t="s">
        <v>894</v>
      </c>
      <c r="J68" s="65">
        <v>10</v>
      </c>
      <c r="K68" s="94" t="s">
        <v>116</v>
      </c>
      <c r="L68" s="2" t="s">
        <v>864</v>
      </c>
      <c r="M68" s="2"/>
      <c r="N68" s="2" t="s">
        <v>895</v>
      </c>
      <c r="O68" s="2" t="s">
        <v>120</v>
      </c>
      <c r="P68" s="2" t="s">
        <v>121</v>
      </c>
      <c r="Q68" s="2" t="s">
        <v>866</v>
      </c>
      <c r="R68" s="65">
        <v>0</v>
      </c>
      <c r="S68" s="2" t="s">
        <v>867</v>
      </c>
      <c r="T68" s="2" t="s">
        <v>124</v>
      </c>
      <c r="U68" s="2" t="s">
        <v>868</v>
      </c>
      <c r="V68" s="2" t="s">
        <v>869</v>
      </c>
      <c r="W68" s="2" t="s">
        <v>870</v>
      </c>
      <c r="X68" s="2" t="s">
        <v>871</v>
      </c>
      <c r="Y68" s="33" t="s">
        <v>896</v>
      </c>
      <c r="Z68" s="9">
        <v>46249</v>
      </c>
      <c r="AA68" s="2" t="s">
        <v>566</v>
      </c>
      <c r="AB68" s="2" t="s">
        <v>890</v>
      </c>
      <c r="AC68" s="2"/>
      <c r="AD68" s="2" t="s">
        <v>179</v>
      </c>
      <c r="AE68" s="2" t="s">
        <v>198</v>
      </c>
      <c r="AF68" s="2" t="s">
        <v>134</v>
      </c>
      <c r="AG68" s="2" t="s">
        <v>135</v>
      </c>
      <c r="AH68" s="2" t="s">
        <v>136</v>
      </c>
      <c r="AI68" s="2" t="str">
        <f t="shared" si="8"/>
        <v>5a216483 — T-170 Chunked sequence-artifact library and bounded loader</v>
      </c>
      <c r="AJ68" s="2" t="s">
        <v>137</v>
      </c>
      <c r="AK68" s="2" t="s">
        <v>138</v>
      </c>
      <c r="AL68" s="2" t="s">
        <v>139</v>
      </c>
      <c r="AM68" s="2">
        <f t="shared" si="9"/>
        <v>1</v>
      </c>
      <c r="AN68" s="2"/>
      <c r="AO68" s="32" t="s">
        <v>140</v>
      </c>
      <c r="AP68" s="32" t="s">
        <v>141</v>
      </c>
      <c r="AQ68" s="32"/>
      <c r="AR68" s="32" t="s">
        <v>142</v>
      </c>
      <c r="AS68" s="65">
        <f t="shared" si="10"/>
        <v>10</v>
      </c>
      <c r="AT68" s="65">
        <f t="shared" si="11"/>
        <v>0</v>
      </c>
      <c r="AU68" s="2" t="str">
        <f>IFERROR(INDEX('Source Review'!$B$2:$B$52,MATCH($A68,'Source Review'!$A$2:$A$52,0)),"NOT SOURCE-REVIEWED IN THIS PASS")</f>
        <v>NOT SOURCE-REVIEWED IN THIS PASS</v>
      </c>
      <c r="AV68" s="5" t="str">
        <f>IFERROR(INDEX('Source Review'!$F$2:$F$52,MATCH($A68,'Source Review'!$A$2:$A$52,0)),"")</f>
        <v/>
      </c>
      <c r="AW68" s="5" t="str">
        <f>IFERROR(INDEX('Source Review'!$G$2:$G$52,MATCH($A68,'Source Review'!$A$2:$A$52,0)),"")</f>
        <v/>
      </c>
      <c r="AX68" s="5" t="str">
        <f>IFERROR(INDEX('Source Review'!$H$2:$H$52,MATCH($A68,'Source Review'!$A$2:$A$52,0)),"")</f>
        <v/>
      </c>
      <c r="AY68" s="2" t="str">
        <f>IF(COUNTIF('Source Review'!$A$2:$A$52,$A68)&gt;0,"UNCONFIRMED REVIEW ESTIMATE - not P80 or elapsed","NOT ESTIMATED IN THIS PASS")</f>
        <v>NOT ESTIMATED IN THIS PASS</v>
      </c>
      <c r="AZ68" s="2" t="str">
        <f>IFERROR(INDEX('Source Review'!$I$2:$I$52,MATCH($A68,'Source Review'!$A$2:$A$52,0)),"")</f>
        <v/>
      </c>
      <c r="BA68" s="2" t="str">
        <f>IFERROR(INDEX('Source Review'!$E$2:$E$52,MATCH($A68,'Source Review'!$A$2:$A$52,0)),"")</f>
        <v/>
      </c>
      <c r="BB68" s="2" t="str">
        <f>IF(COUNTIF('Source Review'!$A$2:$A$52,$A68)&gt;0,"14-Sep-2026 snapshot; later closure evidence separate; no live HEAD verification","")</f>
        <v/>
      </c>
    </row>
    <row r="69" spans="1:54" ht="75.95" hidden="1" customHeight="1">
      <c r="A69" s="2" t="s">
        <v>897</v>
      </c>
      <c r="B69" s="2" t="s">
        <v>108</v>
      </c>
      <c r="C69" s="2" t="s">
        <v>858</v>
      </c>
      <c r="D69" s="2" t="s">
        <v>898</v>
      </c>
      <c r="E69" s="2" t="s">
        <v>899</v>
      </c>
      <c r="F69" s="2" t="s">
        <v>900</v>
      </c>
      <c r="G69" s="2" t="s">
        <v>113</v>
      </c>
      <c r="H69" s="2" t="s">
        <v>901</v>
      </c>
      <c r="I69" s="2" t="s">
        <v>902</v>
      </c>
      <c r="J69" s="65">
        <v>10</v>
      </c>
      <c r="K69" s="94" t="s">
        <v>116</v>
      </c>
      <c r="L69" s="2" t="s">
        <v>864</v>
      </c>
      <c r="M69" s="2"/>
      <c r="N69" s="2" t="s">
        <v>903</v>
      </c>
      <c r="O69" s="2" t="s">
        <v>120</v>
      </c>
      <c r="P69" s="2" t="s">
        <v>121</v>
      </c>
      <c r="Q69" s="2" t="s">
        <v>866</v>
      </c>
      <c r="R69" s="65">
        <v>0</v>
      </c>
      <c r="S69" s="2" t="s">
        <v>867</v>
      </c>
      <c r="T69" s="2" t="s">
        <v>124</v>
      </c>
      <c r="U69" s="2" t="s">
        <v>868</v>
      </c>
      <c r="V69" s="2" t="s">
        <v>869</v>
      </c>
      <c r="W69" s="2" t="s">
        <v>870</v>
      </c>
      <c r="X69" s="2" t="s">
        <v>871</v>
      </c>
      <c r="Y69" s="33" t="s">
        <v>904</v>
      </c>
      <c r="Z69" s="9"/>
      <c r="AA69" s="2" t="s">
        <v>905</v>
      </c>
      <c r="AB69" s="2" t="s">
        <v>906</v>
      </c>
      <c r="AC69" s="2"/>
      <c r="AD69" s="2" t="s">
        <v>179</v>
      </c>
      <c r="AE69" s="2" t="s">
        <v>198</v>
      </c>
      <c r="AF69" s="2" t="s">
        <v>134</v>
      </c>
      <c r="AG69" s="2" t="s">
        <v>135</v>
      </c>
      <c r="AH69" s="2" t="s">
        <v>136</v>
      </c>
      <c r="AI69" s="2" t="str">
        <f t="shared" si="8"/>
        <v>95cc019c — Capability Profiler Pack 2</v>
      </c>
      <c r="AJ69" s="2" t="s">
        <v>137</v>
      </c>
      <c r="AK69" s="2" t="s">
        <v>138</v>
      </c>
      <c r="AL69" s="2" t="s">
        <v>139</v>
      </c>
      <c r="AM69" s="2">
        <f t="shared" si="9"/>
        <v>1</v>
      </c>
      <c r="AN69" s="2"/>
      <c r="AO69" s="32" t="s">
        <v>140</v>
      </c>
      <c r="AP69" s="32" t="s">
        <v>141</v>
      </c>
      <c r="AQ69" s="32"/>
      <c r="AR69" s="32" t="s">
        <v>142</v>
      </c>
      <c r="AS69" s="65">
        <f t="shared" si="10"/>
        <v>10</v>
      </c>
      <c r="AT69" s="65">
        <f t="shared" si="11"/>
        <v>0</v>
      </c>
      <c r="AU69" s="2" t="str">
        <f>IFERROR(INDEX('Source Review'!$B$2:$B$52,MATCH($A69,'Source Review'!$A$2:$A$52,0)),"NOT SOURCE-REVIEWED IN THIS PASS")</f>
        <v>NOT SOURCE-REVIEWED IN THIS PASS</v>
      </c>
      <c r="AV69" s="5" t="str">
        <f>IFERROR(INDEX('Source Review'!$F$2:$F$52,MATCH($A69,'Source Review'!$A$2:$A$52,0)),"")</f>
        <v/>
      </c>
      <c r="AW69" s="5" t="str">
        <f>IFERROR(INDEX('Source Review'!$G$2:$G$52,MATCH($A69,'Source Review'!$A$2:$A$52,0)),"")</f>
        <v/>
      </c>
      <c r="AX69" s="5" t="str">
        <f>IFERROR(INDEX('Source Review'!$H$2:$H$52,MATCH($A69,'Source Review'!$A$2:$A$52,0)),"")</f>
        <v/>
      </c>
      <c r="AY69" s="2" t="str">
        <f>IF(COUNTIF('Source Review'!$A$2:$A$52,$A69)&gt;0,"UNCONFIRMED REVIEW ESTIMATE - not P80 or elapsed","NOT ESTIMATED IN THIS PASS")</f>
        <v>NOT ESTIMATED IN THIS PASS</v>
      </c>
      <c r="AZ69" s="2" t="str">
        <f>IFERROR(INDEX('Source Review'!$I$2:$I$52,MATCH($A69,'Source Review'!$A$2:$A$52,0)),"")</f>
        <v/>
      </c>
      <c r="BA69" s="2" t="str">
        <f>IFERROR(INDEX('Source Review'!$E$2:$E$52,MATCH($A69,'Source Review'!$A$2:$A$52,0)),"")</f>
        <v/>
      </c>
      <c r="BB69" s="2" t="str">
        <f>IF(COUNTIF('Source Review'!$A$2:$A$52,$A69)&gt;0,"14-Sep-2026 snapshot; later closure evidence separate; no live HEAD verification","")</f>
        <v/>
      </c>
    </row>
    <row r="70" spans="1:54" ht="75.95" hidden="1" customHeight="1">
      <c r="A70" s="2" t="s">
        <v>907</v>
      </c>
      <c r="B70" s="2" t="s">
        <v>108</v>
      </c>
      <c r="C70" s="2" t="s">
        <v>858</v>
      </c>
      <c r="D70" s="2" t="s">
        <v>908</v>
      </c>
      <c r="E70" s="2" t="s">
        <v>860</v>
      </c>
      <c r="F70" s="2" t="s">
        <v>909</v>
      </c>
      <c r="G70" s="2" t="s">
        <v>160</v>
      </c>
      <c r="H70" s="2" t="s">
        <v>910</v>
      </c>
      <c r="I70" s="2" t="s">
        <v>911</v>
      </c>
      <c r="J70" s="65">
        <v>12</v>
      </c>
      <c r="K70" s="94" t="s">
        <v>116</v>
      </c>
      <c r="L70" s="2" t="s">
        <v>864</v>
      </c>
      <c r="M70" s="2"/>
      <c r="N70" s="2" t="s">
        <v>912</v>
      </c>
      <c r="O70" s="2" t="s">
        <v>120</v>
      </c>
      <c r="P70" s="2" t="s">
        <v>121</v>
      </c>
      <c r="Q70" s="2" t="s">
        <v>866</v>
      </c>
      <c r="R70" s="65">
        <v>0</v>
      </c>
      <c r="S70" s="2" t="s">
        <v>867</v>
      </c>
      <c r="T70" s="2" t="s">
        <v>124</v>
      </c>
      <c r="U70" s="2" t="s">
        <v>868</v>
      </c>
      <c r="V70" s="2" t="s">
        <v>869</v>
      </c>
      <c r="W70" s="2" t="s">
        <v>870</v>
      </c>
      <c r="X70" s="2" t="s">
        <v>871</v>
      </c>
      <c r="Y70" s="33" t="s">
        <v>913</v>
      </c>
      <c r="Z70" s="9">
        <v>46249</v>
      </c>
      <c r="AA70" s="2" t="s">
        <v>881</v>
      </c>
      <c r="AB70" s="2" t="s">
        <v>882</v>
      </c>
      <c r="AC70" s="2"/>
      <c r="AD70" s="2" t="s">
        <v>179</v>
      </c>
      <c r="AE70" s="2" t="s">
        <v>210</v>
      </c>
      <c r="AF70" s="2" t="s">
        <v>134</v>
      </c>
      <c r="AG70" s="2" t="s">
        <v>135</v>
      </c>
      <c r="AH70" s="2" t="s">
        <v>136</v>
      </c>
      <c r="AI70" s="2" t="str">
        <f t="shared" si="8"/>
        <v>d4321856 — T-172 MF-01 Process Encoder runtime behind a replaceable contract</v>
      </c>
      <c r="AJ70" s="2" t="s">
        <v>137</v>
      </c>
      <c r="AK70" s="2" t="s">
        <v>138</v>
      </c>
      <c r="AL70" s="2" t="s">
        <v>139</v>
      </c>
      <c r="AM70" s="2">
        <f t="shared" si="9"/>
        <v>1</v>
      </c>
      <c r="AN70" s="2"/>
      <c r="AO70" s="32" t="s">
        <v>140</v>
      </c>
      <c r="AP70" s="32" t="s">
        <v>141</v>
      </c>
      <c r="AQ70" s="32"/>
      <c r="AR70" s="32" t="s">
        <v>142</v>
      </c>
      <c r="AS70" s="65">
        <f t="shared" si="10"/>
        <v>12</v>
      </c>
      <c r="AT70" s="65">
        <f t="shared" si="11"/>
        <v>0</v>
      </c>
      <c r="AU70" s="2" t="str">
        <f>IFERROR(INDEX('Source Review'!$B$2:$B$52,MATCH($A70,'Source Review'!$A$2:$A$52,0)),"NOT SOURCE-REVIEWED IN THIS PASS")</f>
        <v>NOT SOURCE-REVIEWED IN THIS PASS</v>
      </c>
      <c r="AV70" s="5" t="str">
        <f>IFERROR(INDEX('Source Review'!$F$2:$F$52,MATCH($A70,'Source Review'!$A$2:$A$52,0)),"")</f>
        <v/>
      </c>
      <c r="AW70" s="5" t="str">
        <f>IFERROR(INDEX('Source Review'!$G$2:$G$52,MATCH($A70,'Source Review'!$A$2:$A$52,0)),"")</f>
        <v/>
      </c>
      <c r="AX70" s="5" t="str">
        <f>IFERROR(INDEX('Source Review'!$H$2:$H$52,MATCH($A70,'Source Review'!$A$2:$A$52,0)),"")</f>
        <v/>
      </c>
      <c r="AY70" s="2" t="str">
        <f>IF(COUNTIF('Source Review'!$A$2:$A$52,$A70)&gt;0,"UNCONFIRMED REVIEW ESTIMATE - not P80 or elapsed","NOT ESTIMATED IN THIS PASS")</f>
        <v>NOT ESTIMATED IN THIS PASS</v>
      </c>
      <c r="AZ70" s="2" t="str">
        <f>IFERROR(INDEX('Source Review'!$I$2:$I$52,MATCH($A70,'Source Review'!$A$2:$A$52,0)),"")</f>
        <v/>
      </c>
      <c r="BA70" s="2" t="str">
        <f>IFERROR(INDEX('Source Review'!$E$2:$E$52,MATCH($A70,'Source Review'!$A$2:$A$52,0)),"")</f>
        <v/>
      </c>
      <c r="BB70" s="2" t="str">
        <f>IF(COUNTIF('Source Review'!$A$2:$A$52,$A70)&gt;0,"14-Sep-2026 snapshot; later closure evidence separate; no live HEAD verification","")</f>
        <v/>
      </c>
    </row>
    <row r="71" spans="1:54" ht="75.95" hidden="1" customHeight="1">
      <c r="A71" s="2" t="s">
        <v>914</v>
      </c>
      <c r="B71" s="2" t="s">
        <v>108</v>
      </c>
      <c r="C71" s="2" t="s">
        <v>858</v>
      </c>
      <c r="D71" s="2" t="s">
        <v>915</v>
      </c>
      <c r="E71" s="2" t="s">
        <v>860</v>
      </c>
      <c r="F71" s="2" t="s">
        <v>916</v>
      </c>
      <c r="G71" s="2" t="s">
        <v>113</v>
      </c>
      <c r="H71" s="2" t="s">
        <v>917</v>
      </c>
      <c r="I71" s="2" t="s">
        <v>918</v>
      </c>
      <c r="J71" s="65">
        <v>12</v>
      </c>
      <c r="K71" s="94" t="s">
        <v>116</v>
      </c>
      <c r="L71" s="2" t="s">
        <v>864</v>
      </c>
      <c r="M71" s="2"/>
      <c r="N71" s="2" t="s">
        <v>919</v>
      </c>
      <c r="O71" s="2" t="s">
        <v>120</v>
      </c>
      <c r="P71" s="2" t="s">
        <v>121</v>
      </c>
      <c r="Q71" s="2" t="s">
        <v>866</v>
      </c>
      <c r="R71" s="65">
        <v>0</v>
      </c>
      <c r="S71" s="2" t="s">
        <v>867</v>
      </c>
      <c r="T71" s="2" t="s">
        <v>124</v>
      </c>
      <c r="U71" s="2" t="s">
        <v>868</v>
      </c>
      <c r="V71" s="2" t="s">
        <v>869</v>
      </c>
      <c r="W71" s="2" t="s">
        <v>870</v>
      </c>
      <c r="X71" s="2" t="s">
        <v>871</v>
      </c>
      <c r="Y71" s="33" t="s">
        <v>920</v>
      </c>
      <c r="Z71" s="9">
        <v>46249</v>
      </c>
      <c r="AA71" s="2" t="s">
        <v>921</v>
      </c>
      <c r="AB71" s="2" t="s">
        <v>922</v>
      </c>
      <c r="AC71" s="2"/>
      <c r="AD71" s="2" t="s">
        <v>179</v>
      </c>
      <c r="AE71" s="2" t="s">
        <v>198</v>
      </c>
      <c r="AF71" s="2" t="s">
        <v>134</v>
      </c>
      <c r="AG71" s="2" t="s">
        <v>135</v>
      </c>
      <c r="AH71" s="2" t="s">
        <v>136</v>
      </c>
      <c r="AI71" s="2" t="str">
        <f t="shared" si="8"/>
        <v>00a14286 — T-173 MF-02 VectorSimilarityIndex with exact-Flat recall baseline</v>
      </c>
      <c r="AJ71" s="2" t="s">
        <v>137</v>
      </c>
      <c r="AK71" s="2" t="s">
        <v>138</v>
      </c>
      <c r="AL71" s="2" t="s">
        <v>139</v>
      </c>
      <c r="AM71" s="2">
        <f t="shared" si="9"/>
        <v>1</v>
      </c>
      <c r="AN71" s="2"/>
      <c r="AO71" s="32" t="s">
        <v>140</v>
      </c>
      <c r="AP71" s="32" t="s">
        <v>141</v>
      </c>
      <c r="AQ71" s="32"/>
      <c r="AR71" s="32" t="s">
        <v>142</v>
      </c>
      <c r="AS71" s="65">
        <f t="shared" si="10"/>
        <v>12</v>
      </c>
      <c r="AT71" s="65">
        <f t="shared" si="11"/>
        <v>0</v>
      </c>
      <c r="AU71" s="2" t="str">
        <f>IFERROR(INDEX('Source Review'!$B$2:$B$52,MATCH($A71,'Source Review'!$A$2:$A$52,0)),"NOT SOURCE-REVIEWED IN THIS PASS")</f>
        <v>NOT SOURCE-REVIEWED IN THIS PASS</v>
      </c>
      <c r="AV71" s="5" t="str">
        <f>IFERROR(INDEX('Source Review'!$F$2:$F$52,MATCH($A71,'Source Review'!$A$2:$A$52,0)),"")</f>
        <v/>
      </c>
      <c r="AW71" s="5" t="str">
        <f>IFERROR(INDEX('Source Review'!$G$2:$G$52,MATCH($A71,'Source Review'!$A$2:$A$52,0)),"")</f>
        <v/>
      </c>
      <c r="AX71" s="5" t="str">
        <f>IFERROR(INDEX('Source Review'!$H$2:$H$52,MATCH($A71,'Source Review'!$A$2:$A$52,0)),"")</f>
        <v/>
      </c>
      <c r="AY71" s="2" t="str">
        <f>IF(COUNTIF('Source Review'!$A$2:$A$52,$A71)&gt;0,"UNCONFIRMED REVIEW ESTIMATE - not P80 or elapsed","NOT ESTIMATED IN THIS PASS")</f>
        <v>NOT ESTIMATED IN THIS PASS</v>
      </c>
      <c r="AZ71" s="2" t="str">
        <f>IFERROR(INDEX('Source Review'!$I$2:$I$52,MATCH($A71,'Source Review'!$A$2:$A$52,0)),"")</f>
        <v/>
      </c>
      <c r="BA71" s="2" t="str">
        <f>IFERROR(INDEX('Source Review'!$E$2:$E$52,MATCH($A71,'Source Review'!$A$2:$A$52,0)),"")</f>
        <v/>
      </c>
      <c r="BB71" s="2" t="str">
        <f>IF(COUNTIF('Source Review'!$A$2:$A$52,$A71)&gt;0,"14-Sep-2026 snapshot; later closure evidence separate; no live HEAD verification","")</f>
        <v/>
      </c>
    </row>
    <row r="72" spans="1:54" ht="75.95" hidden="1" customHeight="1">
      <c r="A72" s="2" t="s">
        <v>923</v>
      </c>
      <c r="B72" s="2" t="s">
        <v>108</v>
      </c>
      <c r="C72" s="2" t="s">
        <v>858</v>
      </c>
      <c r="D72" s="2" t="s">
        <v>924</v>
      </c>
      <c r="E72" s="2" t="s">
        <v>860</v>
      </c>
      <c r="F72" s="2" t="s">
        <v>925</v>
      </c>
      <c r="G72" s="2" t="s">
        <v>160</v>
      </c>
      <c r="H72" s="2" t="s">
        <v>926</v>
      </c>
      <c r="I72" s="2" t="s">
        <v>927</v>
      </c>
      <c r="J72" s="65">
        <v>10</v>
      </c>
      <c r="K72" s="94" t="s">
        <v>116</v>
      </c>
      <c r="L72" s="2" t="s">
        <v>864</v>
      </c>
      <c r="M72" s="2"/>
      <c r="N72" s="2" t="s">
        <v>912</v>
      </c>
      <c r="O72" s="2" t="s">
        <v>120</v>
      </c>
      <c r="P72" s="2" t="s">
        <v>121</v>
      </c>
      <c r="Q72" s="2" t="s">
        <v>866</v>
      </c>
      <c r="R72" s="65">
        <v>0</v>
      </c>
      <c r="S72" s="2" t="s">
        <v>867</v>
      </c>
      <c r="T72" s="2" t="s">
        <v>124</v>
      </c>
      <c r="U72" s="2" t="s">
        <v>868</v>
      </c>
      <c r="V72" s="2" t="s">
        <v>869</v>
      </c>
      <c r="W72" s="2" t="s">
        <v>870</v>
      </c>
      <c r="X72" s="2" t="s">
        <v>871</v>
      </c>
      <c r="Y72" s="33" t="s">
        <v>928</v>
      </c>
      <c r="Z72" s="9">
        <v>46249</v>
      </c>
      <c r="AA72" s="2" t="s">
        <v>881</v>
      </c>
      <c r="AB72" s="2" t="s">
        <v>882</v>
      </c>
      <c r="AC72" s="2"/>
      <c r="AD72" s="2" t="s">
        <v>179</v>
      </c>
      <c r="AE72" s="2" t="s">
        <v>210</v>
      </c>
      <c r="AF72" s="2" t="s">
        <v>134</v>
      </c>
      <c r="AG72" s="2" t="s">
        <v>135</v>
      </c>
      <c r="AH72" s="2" t="s">
        <v>136</v>
      </c>
      <c r="AI72" s="2" t="str">
        <f t="shared" si="8"/>
        <v>db033796 — T-174 MF-03 novelty runtime and honest refusal semantics</v>
      </c>
      <c r="AJ72" s="2" t="s">
        <v>137</v>
      </c>
      <c r="AK72" s="2" t="s">
        <v>138</v>
      </c>
      <c r="AL72" s="2" t="s">
        <v>139</v>
      </c>
      <c r="AM72" s="2">
        <f t="shared" si="9"/>
        <v>1</v>
      </c>
      <c r="AN72" s="2"/>
      <c r="AO72" s="32" t="s">
        <v>140</v>
      </c>
      <c r="AP72" s="32" t="s">
        <v>141</v>
      </c>
      <c r="AQ72" s="32"/>
      <c r="AR72" s="32" t="s">
        <v>142</v>
      </c>
      <c r="AS72" s="65">
        <f t="shared" si="10"/>
        <v>10</v>
      </c>
      <c r="AT72" s="65">
        <f t="shared" si="11"/>
        <v>0</v>
      </c>
      <c r="AU72" s="2" t="str">
        <f>IFERROR(INDEX('Source Review'!$B$2:$B$52,MATCH($A72,'Source Review'!$A$2:$A$52,0)),"NOT SOURCE-REVIEWED IN THIS PASS")</f>
        <v>NOT SOURCE-REVIEWED IN THIS PASS</v>
      </c>
      <c r="AV72" s="5" t="str">
        <f>IFERROR(INDEX('Source Review'!$F$2:$F$52,MATCH($A72,'Source Review'!$A$2:$A$52,0)),"")</f>
        <v/>
      </c>
      <c r="AW72" s="5" t="str">
        <f>IFERROR(INDEX('Source Review'!$G$2:$G$52,MATCH($A72,'Source Review'!$A$2:$A$52,0)),"")</f>
        <v/>
      </c>
      <c r="AX72" s="5" t="str">
        <f>IFERROR(INDEX('Source Review'!$H$2:$H$52,MATCH($A72,'Source Review'!$A$2:$A$52,0)),"")</f>
        <v/>
      </c>
      <c r="AY72" s="2" t="str">
        <f>IF(COUNTIF('Source Review'!$A$2:$A$52,$A72)&gt;0,"UNCONFIRMED REVIEW ESTIMATE - not P80 or elapsed","NOT ESTIMATED IN THIS PASS")</f>
        <v>NOT ESTIMATED IN THIS PASS</v>
      </c>
      <c r="AZ72" s="2" t="str">
        <f>IFERROR(INDEX('Source Review'!$I$2:$I$52,MATCH($A72,'Source Review'!$A$2:$A$52,0)),"")</f>
        <v/>
      </c>
      <c r="BA72" s="2" t="str">
        <f>IFERROR(INDEX('Source Review'!$E$2:$E$52,MATCH($A72,'Source Review'!$A$2:$A$52,0)),"")</f>
        <v/>
      </c>
      <c r="BB72" s="2" t="str">
        <f>IF(COUNTIF('Source Review'!$A$2:$A$52,$A72)&gt;0,"14-Sep-2026 snapshot; later closure evidence separate; no live HEAD verification","")</f>
        <v/>
      </c>
    </row>
    <row r="73" spans="1:54" ht="75.95" hidden="1" customHeight="1">
      <c r="A73" s="2" t="s">
        <v>929</v>
      </c>
      <c r="B73" s="2" t="s">
        <v>108</v>
      </c>
      <c r="C73" s="2" t="s">
        <v>858</v>
      </c>
      <c r="D73" s="2" t="s">
        <v>930</v>
      </c>
      <c r="E73" s="2" t="s">
        <v>860</v>
      </c>
      <c r="F73" s="2" t="s">
        <v>931</v>
      </c>
      <c r="G73" s="2" t="s">
        <v>113</v>
      </c>
      <c r="H73" s="2" t="s">
        <v>932</v>
      </c>
      <c r="I73" s="2" t="s">
        <v>933</v>
      </c>
      <c r="J73" s="65">
        <v>12</v>
      </c>
      <c r="K73" s="94" t="s">
        <v>116</v>
      </c>
      <c r="L73" s="2" t="s">
        <v>864</v>
      </c>
      <c r="M73" s="2" t="s">
        <v>934</v>
      </c>
      <c r="N73" s="2" t="s">
        <v>912</v>
      </c>
      <c r="O73" s="2" t="s">
        <v>120</v>
      </c>
      <c r="P73" s="2" t="s">
        <v>121</v>
      </c>
      <c r="Q73" s="2" t="s">
        <v>866</v>
      </c>
      <c r="R73" s="65">
        <v>0</v>
      </c>
      <c r="S73" s="2" t="s">
        <v>867</v>
      </c>
      <c r="T73" s="2" t="s">
        <v>124</v>
      </c>
      <c r="U73" s="2" t="s">
        <v>868</v>
      </c>
      <c r="V73" s="2" t="s">
        <v>869</v>
      </c>
      <c r="W73" s="2" t="s">
        <v>870</v>
      </c>
      <c r="X73" s="2" t="s">
        <v>871</v>
      </c>
      <c r="Y73" s="33" t="s">
        <v>935</v>
      </c>
      <c r="Z73" s="9">
        <v>46249</v>
      </c>
      <c r="AA73" s="2" t="s">
        <v>881</v>
      </c>
      <c r="AB73" s="2" t="s">
        <v>882</v>
      </c>
      <c r="AC73" s="2"/>
      <c r="AD73" s="2" t="s">
        <v>179</v>
      </c>
      <c r="AE73" s="2" t="s">
        <v>198</v>
      </c>
      <c r="AF73" s="2" t="s">
        <v>134</v>
      </c>
      <c r="AG73" s="2" t="s">
        <v>135</v>
      </c>
      <c r="AH73" s="2" t="s">
        <v>136</v>
      </c>
      <c r="AI73" s="2" t="str">
        <f t="shared" si="8"/>
        <v>2413c6e1 — T-175 MF-04 supervised training runtime and mandatory simple baseline</v>
      </c>
      <c r="AJ73" s="2" t="s">
        <v>137</v>
      </c>
      <c r="AK73" s="2" t="s">
        <v>138</v>
      </c>
      <c r="AL73" s="2" t="s">
        <v>139</v>
      </c>
      <c r="AM73" s="2">
        <f t="shared" si="9"/>
        <v>1</v>
      </c>
      <c r="AN73" s="2"/>
      <c r="AO73" s="32" t="s">
        <v>140</v>
      </c>
      <c r="AP73" s="32" t="s">
        <v>141</v>
      </c>
      <c r="AQ73" s="32"/>
      <c r="AR73" s="32" t="s">
        <v>142</v>
      </c>
      <c r="AS73" s="65">
        <f t="shared" si="10"/>
        <v>12</v>
      </c>
      <c r="AT73" s="65">
        <f t="shared" si="11"/>
        <v>0</v>
      </c>
      <c r="AU73" s="2" t="str">
        <f>IFERROR(INDEX('Source Review'!$B$2:$B$52,MATCH($A73,'Source Review'!$A$2:$A$52,0)),"NOT SOURCE-REVIEWED IN THIS PASS")</f>
        <v>NOT SOURCE-REVIEWED IN THIS PASS</v>
      </c>
      <c r="AV73" s="5" t="str">
        <f>IFERROR(INDEX('Source Review'!$F$2:$F$52,MATCH($A73,'Source Review'!$A$2:$A$52,0)),"")</f>
        <v/>
      </c>
      <c r="AW73" s="5" t="str">
        <f>IFERROR(INDEX('Source Review'!$G$2:$G$52,MATCH($A73,'Source Review'!$A$2:$A$52,0)),"")</f>
        <v/>
      </c>
      <c r="AX73" s="5" t="str">
        <f>IFERROR(INDEX('Source Review'!$H$2:$H$52,MATCH($A73,'Source Review'!$A$2:$A$52,0)),"")</f>
        <v/>
      </c>
      <c r="AY73" s="2" t="str">
        <f>IF(COUNTIF('Source Review'!$A$2:$A$52,$A73)&gt;0,"UNCONFIRMED REVIEW ESTIMATE - not P80 or elapsed","NOT ESTIMATED IN THIS PASS")</f>
        <v>NOT ESTIMATED IN THIS PASS</v>
      </c>
      <c r="AZ73" s="2" t="str">
        <f>IFERROR(INDEX('Source Review'!$I$2:$I$52,MATCH($A73,'Source Review'!$A$2:$A$52,0)),"")</f>
        <v/>
      </c>
      <c r="BA73" s="2" t="str">
        <f>IFERROR(INDEX('Source Review'!$E$2:$E$52,MATCH($A73,'Source Review'!$A$2:$A$52,0)),"")</f>
        <v/>
      </c>
      <c r="BB73" s="2" t="str">
        <f>IF(COUNTIF('Source Review'!$A$2:$A$52,$A73)&gt;0,"14-Sep-2026 snapshot; later closure evidence separate; no live HEAD verification","")</f>
        <v/>
      </c>
    </row>
    <row r="74" spans="1:54" ht="75.95" hidden="1" customHeight="1">
      <c r="A74" s="2" t="s">
        <v>936</v>
      </c>
      <c r="B74" s="2" t="s">
        <v>108</v>
      </c>
      <c r="C74" s="2" t="s">
        <v>858</v>
      </c>
      <c r="D74" s="2" t="s">
        <v>937</v>
      </c>
      <c r="E74" s="2" t="s">
        <v>860</v>
      </c>
      <c r="F74" s="2" t="s">
        <v>938</v>
      </c>
      <c r="G74" s="2" t="s">
        <v>113</v>
      </c>
      <c r="H74" s="2" t="s">
        <v>939</v>
      </c>
      <c r="I74" s="2" t="s">
        <v>940</v>
      </c>
      <c r="J74" s="65">
        <v>12</v>
      </c>
      <c r="K74" s="94" t="s">
        <v>116</v>
      </c>
      <c r="L74" s="2" t="s">
        <v>864</v>
      </c>
      <c r="M74" s="2"/>
      <c r="N74" s="2" t="s">
        <v>941</v>
      </c>
      <c r="O74" s="2" t="s">
        <v>120</v>
      </c>
      <c r="P74" s="2" t="s">
        <v>121</v>
      </c>
      <c r="Q74" s="2" t="s">
        <v>866</v>
      </c>
      <c r="R74" s="65">
        <v>0</v>
      </c>
      <c r="S74" s="2" t="s">
        <v>867</v>
      </c>
      <c r="T74" s="2" t="s">
        <v>124</v>
      </c>
      <c r="U74" s="2" t="s">
        <v>868</v>
      </c>
      <c r="V74" s="2" t="s">
        <v>869</v>
      </c>
      <c r="W74" s="2" t="s">
        <v>870</v>
      </c>
      <c r="X74" s="2" t="s">
        <v>871</v>
      </c>
      <c r="Y74" s="33" t="s">
        <v>942</v>
      </c>
      <c r="Z74" s="9">
        <v>46249</v>
      </c>
      <c r="AA74" s="2" t="s">
        <v>872</v>
      </c>
      <c r="AB74" s="2" t="s">
        <v>873</v>
      </c>
      <c r="AC74" s="2"/>
      <c r="AD74" s="2" t="s">
        <v>179</v>
      </c>
      <c r="AE74" s="2" t="s">
        <v>198</v>
      </c>
      <c r="AF74" s="2" t="s">
        <v>134</v>
      </c>
      <c r="AG74" s="2" t="s">
        <v>135</v>
      </c>
      <c r="AH74" s="2" t="s">
        <v>136</v>
      </c>
      <c r="AI74" s="2" t="str">
        <f t="shared" si="8"/>
        <v>08b54b61; 0a61ccfb — Calibration/explanation stability/promotion kernel + real TreeSHAP Pack 2</v>
      </c>
      <c r="AJ74" s="2" t="s">
        <v>137</v>
      </c>
      <c r="AK74" s="2" t="s">
        <v>138</v>
      </c>
      <c r="AL74" s="2" t="s">
        <v>139</v>
      </c>
      <c r="AM74" s="2">
        <f t="shared" si="9"/>
        <v>1</v>
      </c>
      <c r="AN74" s="2"/>
      <c r="AO74" s="32" t="s">
        <v>140</v>
      </c>
      <c r="AP74" s="32" t="s">
        <v>141</v>
      </c>
      <c r="AQ74" s="32"/>
      <c r="AR74" s="32" t="s">
        <v>142</v>
      </c>
      <c r="AS74" s="65">
        <f t="shared" si="10"/>
        <v>12</v>
      </c>
      <c r="AT74" s="65">
        <f t="shared" si="11"/>
        <v>0</v>
      </c>
      <c r="AU74" s="2" t="str">
        <f>IFERROR(INDEX('Source Review'!$B$2:$B$52,MATCH($A74,'Source Review'!$A$2:$A$52,0)),"NOT SOURCE-REVIEWED IN THIS PASS")</f>
        <v>NOT SOURCE-REVIEWED IN THIS PASS</v>
      </c>
      <c r="AV74" s="5" t="str">
        <f>IFERROR(INDEX('Source Review'!$F$2:$F$52,MATCH($A74,'Source Review'!$A$2:$A$52,0)),"")</f>
        <v/>
      </c>
      <c r="AW74" s="5" t="str">
        <f>IFERROR(INDEX('Source Review'!$G$2:$G$52,MATCH($A74,'Source Review'!$A$2:$A$52,0)),"")</f>
        <v/>
      </c>
      <c r="AX74" s="5" t="str">
        <f>IFERROR(INDEX('Source Review'!$H$2:$H$52,MATCH($A74,'Source Review'!$A$2:$A$52,0)),"")</f>
        <v/>
      </c>
      <c r="AY74" s="2" t="str">
        <f>IF(COUNTIF('Source Review'!$A$2:$A$52,$A74)&gt;0,"UNCONFIRMED REVIEW ESTIMATE - not P80 or elapsed","NOT ESTIMATED IN THIS PASS")</f>
        <v>NOT ESTIMATED IN THIS PASS</v>
      </c>
      <c r="AZ74" s="2" t="str">
        <f>IFERROR(INDEX('Source Review'!$I$2:$I$52,MATCH($A74,'Source Review'!$A$2:$A$52,0)),"")</f>
        <v/>
      </c>
      <c r="BA74" s="2" t="str">
        <f>IFERROR(INDEX('Source Review'!$E$2:$E$52,MATCH($A74,'Source Review'!$A$2:$A$52,0)),"")</f>
        <v/>
      </c>
      <c r="BB74" s="2" t="str">
        <f>IF(COUNTIF('Source Review'!$A$2:$A$52,$A74)&gt;0,"14-Sep-2026 snapshot; later closure evidence separate; no live HEAD verification","")</f>
        <v/>
      </c>
    </row>
    <row r="75" spans="1:54" ht="75.95" hidden="1" customHeight="1">
      <c r="A75" s="2" t="s">
        <v>943</v>
      </c>
      <c r="B75" s="2" t="s">
        <v>108</v>
      </c>
      <c r="C75" s="2" t="s">
        <v>858</v>
      </c>
      <c r="D75" s="2" t="s">
        <v>944</v>
      </c>
      <c r="E75" s="2" t="s">
        <v>899</v>
      </c>
      <c r="F75" s="2" t="s">
        <v>945</v>
      </c>
      <c r="G75" s="2" t="s">
        <v>113</v>
      </c>
      <c r="H75" s="2" t="s">
        <v>946</v>
      </c>
      <c r="I75" s="2" t="s">
        <v>947</v>
      </c>
      <c r="J75" s="65">
        <v>10</v>
      </c>
      <c r="K75" s="94" t="s">
        <v>116</v>
      </c>
      <c r="L75" s="2" t="s">
        <v>864</v>
      </c>
      <c r="M75" s="2"/>
      <c r="N75" s="2" t="s">
        <v>948</v>
      </c>
      <c r="O75" s="2" t="s">
        <v>120</v>
      </c>
      <c r="P75" s="2" t="s">
        <v>121</v>
      </c>
      <c r="Q75" s="2" t="s">
        <v>866</v>
      </c>
      <c r="R75" s="65">
        <v>0</v>
      </c>
      <c r="S75" s="2" t="s">
        <v>867</v>
      </c>
      <c r="T75" s="2" t="s">
        <v>124</v>
      </c>
      <c r="U75" s="2" t="s">
        <v>868</v>
      </c>
      <c r="V75" s="2" t="s">
        <v>869</v>
      </c>
      <c r="W75" s="2" t="s">
        <v>870</v>
      </c>
      <c r="X75" s="2" t="s">
        <v>871</v>
      </c>
      <c r="Y75" s="33" t="s">
        <v>949</v>
      </c>
      <c r="Z75" s="9"/>
      <c r="AA75" s="2" t="s">
        <v>333</v>
      </c>
      <c r="AB75" s="2" t="s">
        <v>950</v>
      </c>
      <c r="AC75" s="2"/>
      <c r="AD75" s="2" t="s">
        <v>179</v>
      </c>
      <c r="AE75" s="2" t="s">
        <v>198</v>
      </c>
      <c r="AF75" s="2" t="s">
        <v>134</v>
      </c>
      <c r="AG75" s="2" t="s">
        <v>135</v>
      </c>
      <c r="AH75" s="2" t="s">
        <v>136</v>
      </c>
      <c r="AI75" s="2" t="str">
        <f t="shared" si="8"/>
        <v>502f8ca3; 502e0da9; bb4c5686 — T-177 multi-commit statistical-kernel closure</v>
      </c>
      <c r="AJ75" s="2" t="s">
        <v>137</v>
      </c>
      <c r="AK75" s="2" t="s">
        <v>138</v>
      </c>
      <c r="AL75" s="2" t="s">
        <v>139</v>
      </c>
      <c r="AM75" s="2">
        <f t="shared" si="9"/>
        <v>1</v>
      </c>
      <c r="AN75" s="2"/>
      <c r="AO75" s="32" t="s">
        <v>140</v>
      </c>
      <c r="AP75" s="32" t="s">
        <v>141</v>
      </c>
      <c r="AQ75" s="32"/>
      <c r="AR75" s="32" t="s">
        <v>142</v>
      </c>
      <c r="AS75" s="65">
        <f t="shared" si="10"/>
        <v>10</v>
      </c>
      <c r="AT75" s="65">
        <f t="shared" si="11"/>
        <v>0</v>
      </c>
      <c r="AU75" s="2" t="str">
        <f>IFERROR(INDEX('Source Review'!$B$2:$B$52,MATCH($A75,'Source Review'!$A$2:$A$52,0)),"NOT SOURCE-REVIEWED IN THIS PASS")</f>
        <v>NOT SOURCE-REVIEWED IN THIS PASS</v>
      </c>
      <c r="AV75" s="5" t="str">
        <f>IFERROR(INDEX('Source Review'!$F$2:$F$52,MATCH($A75,'Source Review'!$A$2:$A$52,0)),"")</f>
        <v/>
      </c>
      <c r="AW75" s="5" t="str">
        <f>IFERROR(INDEX('Source Review'!$G$2:$G$52,MATCH($A75,'Source Review'!$A$2:$A$52,0)),"")</f>
        <v/>
      </c>
      <c r="AX75" s="5" t="str">
        <f>IFERROR(INDEX('Source Review'!$H$2:$H$52,MATCH($A75,'Source Review'!$A$2:$A$52,0)),"")</f>
        <v/>
      </c>
      <c r="AY75" s="2" t="str">
        <f>IF(COUNTIF('Source Review'!$A$2:$A$52,$A75)&gt;0,"UNCONFIRMED REVIEW ESTIMATE - not P80 or elapsed","NOT ESTIMATED IN THIS PASS")</f>
        <v>NOT ESTIMATED IN THIS PASS</v>
      </c>
      <c r="AZ75" s="2" t="str">
        <f>IFERROR(INDEX('Source Review'!$I$2:$I$52,MATCH($A75,'Source Review'!$A$2:$A$52,0)),"")</f>
        <v/>
      </c>
      <c r="BA75" s="2" t="str">
        <f>IFERROR(INDEX('Source Review'!$E$2:$E$52,MATCH($A75,'Source Review'!$A$2:$A$52,0)),"")</f>
        <v/>
      </c>
      <c r="BB75" s="2" t="str">
        <f>IF(COUNTIF('Source Review'!$A$2:$A$52,$A75)&gt;0,"14-Sep-2026 snapshot; later closure evidence separate; no live HEAD verification","")</f>
        <v/>
      </c>
    </row>
    <row r="76" spans="1:54" ht="75.95" hidden="1" customHeight="1">
      <c r="A76" s="4" t="s">
        <v>951</v>
      </c>
      <c r="B76" s="4" t="s">
        <v>108</v>
      </c>
      <c r="C76" s="4" t="s">
        <v>858</v>
      </c>
      <c r="D76" s="4" t="s">
        <v>952</v>
      </c>
      <c r="E76" s="4" t="s">
        <v>860</v>
      </c>
      <c r="F76" s="4" t="s">
        <v>953</v>
      </c>
      <c r="G76" s="4" t="s">
        <v>113</v>
      </c>
      <c r="H76" s="4" t="s">
        <v>954</v>
      </c>
      <c r="I76" s="4" t="s">
        <v>955</v>
      </c>
      <c r="J76" s="64">
        <v>8</v>
      </c>
      <c r="K76" s="94" t="s">
        <v>116</v>
      </c>
      <c r="L76" s="4" t="s">
        <v>864</v>
      </c>
      <c r="M76" s="2"/>
      <c r="N76" s="2" t="s">
        <v>956</v>
      </c>
      <c r="O76" s="2" t="s">
        <v>120</v>
      </c>
      <c r="P76" s="2" t="s">
        <v>121</v>
      </c>
      <c r="Q76" s="2" t="s">
        <v>866</v>
      </c>
      <c r="R76" s="65">
        <v>0</v>
      </c>
      <c r="S76" s="2" t="s">
        <v>867</v>
      </c>
      <c r="T76" s="2" t="s">
        <v>124</v>
      </c>
      <c r="U76" s="2" t="s">
        <v>868</v>
      </c>
      <c r="V76" s="2" t="s">
        <v>869</v>
      </c>
      <c r="W76" s="2" t="s">
        <v>870</v>
      </c>
      <c r="X76" s="2" t="s">
        <v>871</v>
      </c>
      <c r="Y76" s="33" t="s">
        <v>957</v>
      </c>
      <c r="Z76" s="9">
        <v>46250</v>
      </c>
      <c r="AA76" s="2" t="s">
        <v>958</v>
      </c>
      <c r="AB76" s="2" t="s">
        <v>959</v>
      </c>
      <c r="AC76" s="2"/>
      <c r="AD76" s="2" t="s">
        <v>179</v>
      </c>
      <c r="AE76" s="2" t="s">
        <v>198</v>
      </c>
      <c r="AF76" s="2" t="s">
        <v>134</v>
      </c>
      <c r="AG76" s="2" t="s">
        <v>135</v>
      </c>
      <c r="AH76" s="2" t="s">
        <v>136</v>
      </c>
      <c r="AI76" s="2" t="str">
        <f t="shared" si="8"/>
        <v>b8792516; b5dbf232 — remediation eligibility/can_accept kernel + corrective canonical precedence</v>
      </c>
      <c r="AJ76" s="2" t="s">
        <v>137</v>
      </c>
      <c r="AK76" s="2" t="s">
        <v>138</v>
      </c>
      <c r="AL76" s="2" t="s">
        <v>139</v>
      </c>
      <c r="AM76" s="2">
        <f t="shared" si="9"/>
        <v>1</v>
      </c>
      <c r="AN76" s="2"/>
      <c r="AO76" s="32" t="s">
        <v>140</v>
      </c>
      <c r="AP76" s="32" t="s">
        <v>141</v>
      </c>
      <c r="AQ76" s="32"/>
      <c r="AR76" s="32" t="s">
        <v>142</v>
      </c>
      <c r="AS76" s="65">
        <f t="shared" si="10"/>
        <v>8</v>
      </c>
      <c r="AT76" s="65">
        <f t="shared" si="11"/>
        <v>0</v>
      </c>
      <c r="AU76" s="2" t="str">
        <f>IFERROR(INDEX('Source Review'!$B$2:$B$52,MATCH($A76,'Source Review'!$A$2:$A$52,0)),"NOT SOURCE-REVIEWED IN THIS PASS")</f>
        <v>NOT SOURCE-REVIEWED IN THIS PASS</v>
      </c>
      <c r="AV76" s="5" t="str">
        <f>IFERROR(INDEX('Source Review'!$F$2:$F$52,MATCH($A76,'Source Review'!$A$2:$A$52,0)),"")</f>
        <v/>
      </c>
      <c r="AW76" s="5" t="str">
        <f>IFERROR(INDEX('Source Review'!$G$2:$G$52,MATCH($A76,'Source Review'!$A$2:$A$52,0)),"")</f>
        <v/>
      </c>
      <c r="AX76" s="5" t="str">
        <f>IFERROR(INDEX('Source Review'!$H$2:$H$52,MATCH($A76,'Source Review'!$A$2:$A$52,0)),"")</f>
        <v/>
      </c>
      <c r="AY76" s="2" t="str">
        <f>IF(COUNTIF('Source Review'!$A$2:$A$52,$A76)&gt;0,"UNCONFIRMED REVIEW ESTIMATE - not P80 or elapsed","NOT ESTIMATED IN THIS PASS")</f>
        <v>NOT ESTIMATED IN THIS PASS</v>
      </c>
      <c r="AZ76" s="2" t="str">
        <f>IFERROR(INDEX('Source Review'!$I$2:$I$52,MATCH($A76,'Source Review'!$A$2:$A$52,0)),"")</f>
        <v/>
      </c>
      <c r="BA76" s="2" t="str">
        <f>IFERROR(INDEX('Source Review'!$E$2:$E$52,MATCH($A76,'Source Review'!$A$2:$A$52,0)),"")</f>
        <v/>
      </c>
      <c r="BB76" s="2" t="str">
        <f>IF(COUNTIF('Source Review'!$A$2:$A$52,$A76)&gt;0,"14-Sep-2026 snapshot; later closure evidence separate; no live HEAD verification","")</f>
        <v/>
      </c>
    </row>
    <row r="77" spans="1:54" ht="75.95" hidden="1" customHeight="1">
      <c r="A77" s="4" t="s">
        <v>960</v>
      </c>
      <c r="B77" s="4" t="s">
        <v>108</v>
      </c>
      <c r="C77" s="4" t="s">
        <v>858</v>
      </c>
      <c r="D77" s="4" t="s">
        <v>961</v>
      </c>
      <c r="E77" s="4" t="s">
        <v>860</v>
      </c>
      <c r="F77" s="4" t="s">
        <v>962</v>
      </c>
      <c r="G77" s="4" t="s">
        <v>113</v>
      </c>
      <c r="H77" s="4" t="s">
        <v>963</v>
      </c>
      <c r="I77" s="4" t="s">
        <v>964</v>
      </c>
      <c r="J77" s="64">
        <v>10</v>
      </c>
      <c r="K77" s="94" t="s">
        <v>116</v>
      </c>
      <c r="L77" s="4" t="s">
        <v>864</v>
      </c>
      <c r="M77" s="2"/>
      <c r="N77" s="2" t="s">
        <v>965</v>
      </c>
      <c r="O77" s="2" t="s">
        <v>120</v>
      </c>
      <c r="P77" s="2" t="s">
        <v>121</v>
      </c>
      <c r="Q77" s="2" t="s">
        <v>866</v>
      </c>
      <c r="R77" s="65">
        <v>0</v>
      </c>
      <c r="S77" s="2" t="s">
        <v>867</v>
      </c>
      <c r="T77" s="2" t="s">
        <v>124</v>
      </c>
      <c r="U77" s="2" t="s">
        <v>868</v>
      </c>
      <c r="V77" s="2" t="s">
        <v>869</v>
      </c>
      <c r="W77" s="2" t="s">
        <v>870</v>
      </c>
      <c r="X77" s="2" t="s">
        <v>871</v>
      </c>
      <c r="Y77" s="33" t="s">
        <v>966</v>
      </c>
      <c r="Z77" s="9">
        <v>46250</v>
      </c>
      <c r="AA77" s="2" t="s">
        <v>967</v>
      </c>
      <c r="AB77" s="2" t="s">
        <v>968</v>
      </c>
      <c r="AC77" s="2"/>
      <c r="AD77" s="2" t="s">
        <v>179</v>
      </c>
      <c r="AE77" s="2" t="s">
        <v>198</v>
      </c>
      <c r="AF77" s="2" t="s">
        <v>134</v>
      </c>
      <c r="AG77" s="2" t="s">
        <v>135</v>
      </c>
      <c r="AH77" s="2" t="s">
        <v>136</v>
      </c>
      <c r="AI77" s="2" t="str">
        <f t="shared" si="8"/>
        <v>d2bf1834 — T-179: deterministic Assistant tool planner</v>
      </c>
      <c r="AJ77" s="2" t="s">
        <v>137</v>
      </c>
      <c r="AK77" s="2" t="s">
        <v>138</v>
      </c>
      <c r="AL77" s="2" t="s">
        <v>139</v>
      </c>
      <c r="AM77" s="2">
        <f t="shared" si="9"/>
        <v>1</v>
      </c>
      <c r="AN77" s="2"/>
      <c r="AO77" s="32" t="s">
        <v>140</v>
      </c>
      <c r="AP77" s="32" t="s">
        <v>141</v>
      </c>
      <c r="AQ77" s="32"/>
      <c r="AR77" s="32" t="s">
        <v>142</v>
      </c>
      <c r="AS77" s="65">
        <f t="shared" si="10"/>
        <v>10</v>
      </c>
      <c r="AT77" s="65">
        <f t="shared" si="11"/>
        <v>0</v>
      </c>
      <c r="AU77" s="2" t="str">
        <f>IFERROR(INDEX('Source Review'!$B$2:$B$52,MATCH($A77,'Source Review'!$A$2:$A$52,0)),"NOT SOURCE-REVIEWED IN THIS PASS")</f>
        <v>NOT SOURCE-REVIEWED IN THIS PASS</v>
      </c>
      <c r="AV77" s="5" t="str">
        <f>IFERROR(INDEX('Source Review'!$F$2:$F$52,MATCH($A77,'Source Review'!$A$2:$A$52,0)),"")</f>
        <v/>
      </c>
      <c r="AW77" s="5" t="str">
        <f>IFERROR(INDEX('Source Review'!$G$2:$G$52,MATCH($A77,'Source Review'!$A$2:$A$52,0)),"")</f>
        <v/>
      </c>
      <c r="AX77" s="5" t="str">
        <f>IFERROR(INDEX('Source Review'!$H$2:$H$52,MATCH($A77,'Source Review'!$A$2:$A$52,0)),"")</f>
        <v/>
      </c>
      <c r="AY77" s="2" t="str">
        <f>IF(COUNTIF('Source Review'!$A$2:$A$52,$A77)&gt;0,"UNCONFIRMED REVIEW ESTIMATE - not P80 or elapsed","NOT ESTIMATED IN THIS PASS")</f>
        <v>NOT ESTIMATED IN THIS PASS</v>
      </c>
      <c r="AZ77" s="2" t="str">
        <f>IFERROR(INDEX('Source Review'!$I$2:$I$52,MATCH($A77,'Source Review'!$A$2:$A$52,0)),"")</f>
        <v/>
      </c>
      <c r="BA77" s="2" t="str">
        <f>IFERROR(INDEX('Source Review'!$E$2:$E$52,MATCH($A77,'Source Review'!$A$2:$A$52,0)),"")</f>
        <v/>
      </c>
      <c r="BB77" s="2" t="str">
        <f>IF(COUNTIF('Source Review'!$A$2:$A$52,$A77)&gt;0,"14-Sep-2026 snapshot; later closure evidence separate; no live HEAD verification","")</f>
        <v/>
      </c>
    </row>
    <row r="78" spans="1:54" ht="75.95" hidden="1" customHeight="1">
      <c r="A78" s="4" t="s">
        <v>969</v>
      </c>
      <c r="B78" s="4" t="s">
        <v>108</v>
      </c>
      <c r="C78" s="4" t="s">
        <v>858</v>
      </c>
      <c r="D78" s="4" t="s">
        <v>970</v>
      </c>
      <c r="E78" s="4" t="s">
        <v>860</v>
      </c>
      <c r="F78" s="4" t="s">
        <v>971</v>
      </c>
      <c r="G78" s="4" t="s">
        <v>113</v>
      </c>
      <c r="H78" s="4" t="s">
        <v>972</v>
      </c>
      <c r="I78" s="4" t="s">
        <v>973</v>
      </c>
      <c r="J78" s="64">
        <v>12</v>
      </c>
      <c r="K78" s="94" t="s">
        <v>116</v>
      </c>
      <c r="L78" s="4" t="s">
        <v>864</v>
      </c>
      <c r="M78" s="2"/>
      <c r="N78" s="2" t="s">
        <v>965</v>
      </c>
      <c r="O78" s="2" t="s">
        <v>120</v>
      </c>
      <c r="P78" s="2" t="s">
        <v>121</v>
      </c>
      <c r="Q78" s="2" t="s">
        <v>866</v>
      </c>
      <c r="R78" s="65">
        <v>0</v>
      </c>
      <c r="S78" s="2" t="s">
        <v>867</v>
      </c>
      <c r="T78" s="2" t="s">
        <v>124</v>
      </c>
      <c r="U78" s="2" t="s">
        <v>868</v>
      </c>
      <c r="V78" s="2" t="s">
        <v>869</v>
      </c>
      <c r="W78" s="2" t="s">
        <v>870</v>
      </c>
      <c r="X78" s="2" t="s">
        <v>871</v>
      </c>
      <c r="Y78" s="33" t="s">
        <v>974</v>
      </c>
      <c r="Z78" s="9">
        <v>46250</v>
      </c>
      <c r="AA78" s="2" t="s">
        <v>967</v>
      </c>
      <c r="AB78" s="2" t="s">
        <v>968</v>
      </c>
      <c r="AC78" s="2" t="s">
        <v>921</v>
      </c>
      <c r="AD78" s="2" t="s">
        <v>179</v>
      </c>
      <c r="AE78" s="2" t="s">
        <v>198</v>
      </c>
      <c r="AF78" s="2" t="s">
        <v>134</v>
      </c>
      <c r="AG78" s="2" t="s">
        <v>135</v>
      </c>
      <c r="AH78" s="2" t="s">
        <v>136</v>
      </c>
      <c r="AI78" s="2" t="str">
        <f t="shared" si="8"/>
        <v>87428c512c6d6d1ca2bf70a6a8b04aadc7a4cc3b — T-180: permission-first hybrid retrieval and deterministic evidence packer</v>
      </c>
      <c r="AJ78" s="2" t="s">
        <v>137</v>
      </c>
      <c r="AK78" s="2" t="s">
        <v>138</v>
      </c>
      <c r="AL78" s="2" t="s">
        <v>139</v>
      </c>
      <c r="AM78" s="2">
        <f t="shared" si="9"/>
        <v>1</v>
      </c>
      <c r="AN78" s="2"/>
      <c r="AO78" s="32" t="s">
        <v>140</v>
      </c>
      <c r="AP78" s="32" t="s">
        <v>141</v>
      </c>
      <c r="AQ78" s="32"/>
      <c r="AR78" s="32" t="s">
        <v>142</v>
      </c>
      <c r="AS78" s="65">
        <f t="shared" si="10"/>
        <v>12</v>
      </c>
      <c r="AT78" s="65">
        <f t="shared" si="11"/>
        <v>0</v>
      </c>
      <c r="AU78" s="2" t="str">
        <f>IFERROR(INDEX('Source Review'!$B$2:$B$52,MATCH($A78,'Source Review'!$A$2:$A$52,0)),"NOT SOURCE-REVIEWED IN THIS PASS")</f>
        <v>NOT SOURCE-REVIEWED IN THIS PASS</v>
      </c>
      <c r="AV78" s="5" t="str">
        <f>IFERROR(INDEX('Source Review'!$F$2:$F$52,MATCH($A78,'Source Review'!$A$2:$A$52,0)),"")</f>
        <v/>
      </c>
      <c r="AW78" s="5" t="str">
        <f>IFERROR(INDEX('Source Review'!$G$2:$G$52,MATCH($A78,'Source Review'!$A$2:$A$52,0)),"")</f>
        <v/>
      </c>
      <c r="AX78" s="5" t="str">
        <f>IFERROR(INDEX('Source Review'!$H$2:$H$52,MATCH($A78,'Source Review'!$A$2:$A$52,0)),"")</f>
        <v/>
      </c>
      <c r="AY78" s="2" t="str">
        <f>IF(COUNTIF('Source Review'!$A$2:$A$52,$A78)&gt;0,"UNCONFIRMED REVIEW ESTIMATE - not P80 or elapsed","NOT ESTIMATED IN THIS PASS")</f>
        <v>NOT ESTIMATED IN THIS PASS</v>
      </c>
      <c r="AZ78" s="2" t="str">
        <f>IFERROR(INDEX('Source Review'!$I$2:$I$52,MATCH($A78,'Source Review'!$A$2:$A$52,0)),"")</f>
        <v/>
      </c>
      <c r="BA78" s="2" t="str">
        <f>IFERROR(INDEX('Source Review'!$E$2:$E$52,MATCH($A78,'Source Review'!$A$2:$A$52,0)),"")</f>
        <v/>
      </c>
      <c r="BB78" s="2" t="str">
        <f>IF(COUNTIF('Source Review'!$A$2:$A$52,$A78)&gt;0,"14-Sep-2026 snapshot; later closure evidence separate; no live HEAD verification","")</f>
        <v/>
      </c>
    </row>
    <row r="79" spans="1:54" ht="75.95" hidden="1" customHeight="1">
      <c r="A79" s="4" t="s">
        <v>975</v>
      </c>
      <c r="B79" s="4" t="s">
        <v>108</v>
      </c>
      <c r="C79" s="4" t="s">
        <v>858</v>
      </c>
      <c r="D79" s="4" t="s">
        <v>976</v>
      </c>
      <c r="E79" s="4" t="s">
        <v>860</v>
      </c>
      <c r="F79" s="4" t="s">
        <v>977</v>
      </c>
      <c r="G79" s="4" t="s">
        <v>113</v>
      </c>
      <c r="H79" s="4" t="s">
        <v>978</v>
      </c>
      <c r="I79" s="4" t="s">
        <v>979</v>
      </c>
      <c r="J79" s="64">
        <v>12</v>
      </c>
      <c r="K79" s="94" t="s">
        <v>116</v>
      </c>
      <c r="L79" s="4" t="s">
        <v>864</v>
      </c>
      <c r="M79" s="2"/>
      <c r="N79" s="2" t="s">
        <v>965</v>
      </c>
      <c r="O79" s="2" t="s">
        <v>120</v>
      </c>
      <c r="P79" s="2" t="s">
        <v>121</v>
      </c>
      <c r="Q79" s="2" t="s">
        <v>866</v>
      </c>
      <c r="R79" s="65">
        <v>0</v>
      </c>
      <c r="S79" s="2" t="s">
        <v>867</v>
      </c>
      <c r="T79" s="2" t="s">
        <v>124</v>
      </c>
      <c r="U79" s="2" t="s">
        <v>868</v>
      </c>
      <c r="V79" s="2" t="s">
        <v>869</v>
      </c>
      <c r="W79" s="2" t="s">
        <v>870</v>
      </c>
      <c r="X79" s="2" t="s">
        <v>871</v>
      </c>
      <c r="Y79" s="33" t="s">
        <v>980</v>
      </c>
      <c r="Z79" s="9">
        <v>46250</v>
      </c>
      <c r="AA79" s="2" t="s">
        <v>967</v>
      </c>
      <c r="AB79" s="2" t="s">
        <v>968</v>
      </c>
      <c r="AC79" s="2" t="s">
        <v>981</v>
      </c>
      <c r="AD79" s="2" t="s">
        <v>179</v>
      </c>
      <c r="AE79" s="2" t="s">
        <v>198</v>
      </c>
      <c r="AF79" s="2" t="s">
        <v>134</v>
      </c>
      <c r="AG79" s="2" t="s">
        <v>135</v>
      </c>
      <c r="AH79" s="2" t="s">
        <v>136</v>
      </c>
      <c r="AI79" s="2" t="str">
        <f t="shared" si="8"/>
        <v>eaa82b8b45fb1fdb4b406abfbe2809c5f6fc9cd5 — T-181: deterministic answer verifier and Q-01..Q-11 evaluation harness</v>
      </c>
      <c r="AJ79" s="2" t="s">
        <v>137</v>
      </c>
      <c r="AK79" s="2" t="s">
        <v>138</v>
      </c>
      <c r="AL79" s="2" t="s">
        <v>139</v>
      </c>
      <c r="AM79" s="2">
        <f t="shared" si="9"/>
        <v>1</v>
      </c>
      <c r="AN79" s="2"/>
      <c r="AO79" s="32" t="s">
        <v>140</v>
      </c>
      <c r="AP79" s="32" t="s">
        <v>141</v>
      </c>
      <c r="AQ79" s="32"/>
      <c r="AR79" s="32" t="s">
        <v>142</v>
      </c>
      <c r="AS79" s="65">
        <f t="shared" si="10"/>
        <v>12</v>
      </c>
      <c r="AT79" s="65">
        <f t="shared" si="11"/>
        <v>0</v>
      </c>
      <c r="AU79" s="2" t="str">
        <f>IFERROR(INDEX('Source Review'!$B$2:$B$52,MATCH($A79,'Source Review'!$A$2:$A$52,0)),"NOT SOURCE-REVIEWED IN THIS PASS")</f>
        <v>NOT SOURCE-REVIEWED IN THIS PASS</v>
      </c>
      <c r="AV79" s="5" t="str">
        <f>IFERROR(INDEX('Source Review'!$F$2:$F$52,MATCH($A79,'Source Review'!$A$2:$A$52,0)),"")</f>
        <v/>
      </c>
      <c r="AW79" s="5" t="str">
        <f>IFERROR(INDEX('Source Review'!$G$2:$G$52,MATCH($A79,'Source Review'!$A$2:$A$52,0)),"")</f>
        <v/>
      </c>
      <c r="AX79" s="5" t="str">
        <f>IFERROR(INDEX('Source Review'!$H$2:$H$52,MATCH($A79,'Source Review'!$A$2:$A$52,0)),"")</f>
        <v/>
      </c>
      <c r="AY79" s="2" t="str">
        <f>IF(COUNTIF('Source Review'!$A$2:$A$52,$A79)&gt;0,"UNCONFIRMED REVIEW ESTIMATE - not P80 or elapsed","NOT ESTIMATED IN THIS PASS")</f>
        <v>NOT ESTIMATED IN THIS PASS</v>
      </c>
      <c r="AZ79" s="2" t="str">
        <f>IFERROR(INDEX('Source Review'!$I$2:$I$52,MATCH($A79,'Source Review'!$A$2:$A$52,0)),"")</f>
        <v/>
      </c>
      <c r="BA79" s="2" t="str">
        <f>IFERROR(INDEX('Source Review'!$E$2:$E$52,MATCH($A79,'Source Review'!$A$2:$A$52,0)),"")</f>
        <v/>
      </c>
      <c r="BB79" s="2" t="str">
        <f>IF(COUNTIF('Source Review'!$A$2:$A$52,$A79)&gt;0,"14-Sep-2026 snapshot; later closure evidence separate; no live HEAD verification","")</f>
        <v/>
      </c>
    </row>
    <row r="80" spans="1:54" ht="75.95" hidden="1" customHeight="1">
      <c r="A80" s="2" t="s">
        <v>982</v>
      </c>
      <c r="B80" s="2" t="s">
        <v>108</v>
      </c>
      <c r="C80" s="2" t="s">
        <v>858</v>
      </c>
      <c r="D80" s="2" t="s">
        <v>983</v>
      </c>
      <c r="E80" s="2" t="s">
        <v>111</v>
      </c>
      <c r="F80" s="2" t="s">
        <v>984</v>
      </c>
      <c r="G80" s="2" t="s">
        <v>160</v>
      </c>
      <c r="H80" s="2" t="s">
        <v>985</v>
      </c>
      <c r="I80" s="2" t="s">
        <v>986</v>
      </c>
      <c r="J80" s="65">
        <v>10</v>
      </c>
      <c r="K80" s="94" t="s">
        <v>116</v>
      </c>
      <c r="L80" s="2" t="s">
        <v>864</v>
      </c>
      <c r="M80" s="2"/>
      <c r="N80" s="2"/>
      <c r="O80" s="2" t="s">
        <v>120</v>
      </c>
      <c r="P80" s="2" t="s">
        <v>121</v>
      </c>
      <c r="Q80" s="2" t="s">
        <v>866</v>
      </c>
      <c r="R80" s="65">
        <v>0</v>
      </c>
      <c r="S80" s="2" t="s">
        <v>867</v>
      </c>
      <c r="T80" s="2" t="s">
        <v>124</v>
      </c>
      <c r="U80" s="2" t="s">
        <v>868</v>
      </c>
      <c r="V80" s="2" t="s">
        <v>869</v>
      </c>
      <c r="W80" s="2" t="s">
        <v>870</v>
      </c>
      <c r="X80" s="2" t="s">
        <v>871</v>
      </c>
      <c r="Y80" s="33" t="s">
        <v>298</v>
      </c>
      <c r="Z80" s="9"/>
      <c r="AA80" s="2" t="s">
        <v>987</v>
      </c>
      <c r="AB80" s="2" t="s">
        <v>988</v>
      </c>
      <c r="AC80" s="2" t="s">
        <v>989</v>
      </c>
      <c r="AD80" s="2" t="s">
        <v>132</v>
      </c>
      <c r="AE80" s="2" t="s">
        <v>198</v>
      </c>
      <c r="AF80" s="2" t="s">
        <v>134</v>
      </c>
      <c r="AG80" s="2" t="s">
        <v>135</v>
      </c>
      <c r="AH80" s="2" t="s">
        <v>136</v>
      </c>
      <c r="AI80" s="2" t="str">
        <f t="shared" si="8"/>
        <v>Not recovered from reviewed sessions</v>
      </c>
      <c r="AJ80" s="2" t="s">
        <v>137</v>
      </c>
      <c r="AK80" s="2" t="s">
        <v>138</v>
      </c>
      <c r="AL80" s="2" t="s">
        <v>139</v>
      </c>
      <c r="AM80" s="2">
        <f t="shared" si="9"/>
        <v>1</v>
      </c>
      <c r="AN80" s="2"/>
      <c r="AO80" s="32" t="s">
        <v>140</v>
      </c>
      <c r="AP80" s="32" t="s">
        <v>141</v>
      </c>
      <c r="AQ80" s="32"/>
      <c r="AR80" s="32" t="s">
        <v>142</v>
      </c>
      <c r="AS80" s="65">
        <f t="shared" si="10"/>
        <v>10</v>
      </c>
      <c r="AT80" s="65">
        <f t="shared" si="11"/>
        <v>0</v>
      </c>
      <c r="AU80" s="2" t="str">
        <f>IFERROR(INDEX('Source Review'!$B$2:$B$52,MATCH($A80,'Source Review'!$A$2:$A$52,0)),"NOT SOURCE-REVIEWED IN THIS PASS")</f>
        <v>NOT SOURCE-REVIEWED IN THIS PASS</v>
      </c>
      <c r="AV80" s="5" t="str">
        <f>IFERROR(INDEX('Source Review'!$F$2:$F$52,MATCH($A80,'Source Review'!$A$2:$A$52,0)),"")</f>
        <v/>
      </c>
      <c r="AW80" s="5" t="str">
        <f>IFERROR(INDEX('Source Review'!$G$2:$G$52,MATCH($A80,'Source Review'!$A$2:$A$52,0)),"")</f>
        <v/>
      </c>
      <c r="AX80" s="5" t="str">
        <f>IFERROR(INDEX('Source Review'!$H$2:$H$52,MATCH($A80,'Source Review'!$A$2:$A$52,0)),"")</f>
        <v/>
      </c>
      <c r="AY80" s="2" t="str">
        <f>IF(COUNTIF('Source Review'!$A$2:$A$52,$A80)&gt;0,"UNCONFIRMED REVIEW ESTIMATE - not P80 or elapsed","NOT ESTIMATED IN THIS PASS")</f>
        <v>NOT ESTIMATED IN THIS PASS</v>
      </c>
      <c r="AZ80" s="2" t="str">
        <f>IFERROR(INDEX('Source Review'!$I$2:$I$52,MATCH($A80,'Source Review'!$A$2:$A$52,0)),"")</f>
        <v/>
      </c>
      <c r="BA80" s="2" t="str">
        <f>IFERROR(INDEX('Source Review'!$E$2:$E$52,MATCH($A80,'Source Review'!$A$2:$A$52,0)),"")</f>
        <v/>
      </c>
      <c r="BB80" s="2" t="str">
        <f>IF(COUNTIF('Source Review'!$A$2:$A$52,$A80)&gt;0,"14-Sep-2026 snapshot; later closure evidence separate; no live HEAD verification","")</f>
        <v/>
      </c>
    </row>
    <row r="81" spans="1:54" ht="75.95" hidden="1" customHeight="1">
      <c r="A81" s="2" t="s">
        <v>990</v>
      </c>
      <c r="B81" s="2" t="s">
        <v>108</v>
      </c>
      <c r="C81" s="2" t="s">
        <v>858</v>
      </c>
      <c r="D81" s="2" t="s">
        <v>991</v>
      </c>
      <c r="E81" s="2" t="s">
        <v>992</v>
      </c>
      <c r="F81" s="2" t="s">
        <v>993</v>
      </c>
      <c r="G81" s="2" t="s">
        <v>113</v>
      </c>
      <c r="H81" s="2" t="s">
        <v>994</v>
      </c>
      <c r="I81" s="2" t="s">
        <v>995</v>
      </c>
      <c r="J81" s="65">
        <v>10</v>
      </c>
      <c r="K81" s="94" t="s">
        <v>455</v>
      </c>
      <c r="L81" s="2" t="s">
        <v>293</v>
      </c>
      <c r="M81" s="2" t="s">
        <v>996</v>
      </c>
      <c r="N81" s="2" t="s">
        <v>997</v>
      </c>
      <c r="O81" s="2" t="s">
        <v>120</v>
      </c>
      <c r="P81" s="2" t="s">
        <v>121</v>
      </c>
      <c r="Q81" s="2" t="s">
        <v>998</v>
      </c>
      <c r="R81" s="65">
        <v>2.5</v>
      </c>
      <c r="S81" s="2" t="s">
        <v>867</v>
      </c>
      <c r="T81" s="2" t="s">
        <v>999</v>
      </c>
      <c r="U81" s="2" t="s">
        <v>1000</v>
      </c>
      <c r="V81" s="2" t="s">
        <v>1001</v>
      </c>
      <c r="W81" s="2" t="s">
        <v>870</v>
      </c>
      <c r="X81" s="2" t="s">
        <v>871</v>
      </c>
      <c r="Y81" s="33"/>
      <c r="Z81" s="9"/>
      <c r="AA81" s="2" t="s">
        <v>333</v>
      </c>
      <c r="AB81" s="2" t="s">
        <v>950</v>
      </c>
      <c r="AC81" s="2" t="s">
        <v>227</v>
      </c>
      <c r="AD81" s="2" t="s">
        <v>179</v>
      </c>
      <c r="AE81" s="2" t="s">
        <v>210</v>
      </c>
      <c r="AF81" s="2" t="s">
        <v>134</v>
      </c>
      <c r="AG81" s="2" t="s">
        <v>135</v>
      </c>
      <c r="AH81" s="2" t="s">
        <v>136</v>
      </c>
      <c r="AI81" s="2" t="str">
        <f t="shared" si="8"/>
        <v/>
      </c>
      <c r="AJ81" s="2" t="s">
        <v>137</v>
      </c>
      <c r="AK81" s="2" t="s">
        <v>138</v>
      </c>
      <c r="AL81" s="2" t="s">
        <v>139</v>
      </c>
      <c r="AM81" s="2">
        <f t="shared" si="9"/>
        <v>1</v>
      </c>
      <c r="AN81" s="2"/>
      <c r="AO81" s="32" t="s">
        <v>462</v>
      </c>
      <c r="AP81" s="32" t="s">
        <v>141</v>
      </c>
      <c r="AQ81" s="32"/>
      <c r="AR81" s="32" t="s">
        <v>142</v>
      </c>
      <c r="AS81" s="65">
        <f t="shared" si="10"/>
        <v>10</v>
      </c>
      <c r="AT81" s="65">
        <f t="shared" si="11"/>
        <v>2.5</v>
      </c>
      <c r="AU81" s="2" t="str">
        <f>IFERROR(INDEX('Source Review'!$B$2:$B$52,MATCH($A81,'Source Review'!$A$2:$A$52,0)),"NOT SOURCE-REVIEWED IN THIS PASS")</f>
        <v>NOT SOURCE-REVIEWED IN THIS PASS</v>
      </c>
      <c r="AV81" s="5" t="str">
        <f>IFERROR(INDEX('Source Review'!$F$2:$F$52,MATCH($A81,'Source Review'!$A$2:$A$52,0)),"")</f>
        <v/>
      </c>
      <c r="AW81" s="5" t="str">
        <f>IFERROR(INDEX('Source Review'!$G$2:$G$52,MATCH($A81,'Source Review'!$A$2:$A$52,0)),"")</f>
        <v/>
      </c>
      <c r="AX81" s="5" t="str">
        <f>IFERROR(INDEX('Source Review'!$H$2:$H$52,MATCH($A81,'Source Review'!$A$2:$A$52,0)),"")</f>
        <v/>
      </c>
      <c r="AY81" s="2" t="str">
        <f>IF(COUNTIF('Source Review'!$A$2:$A$52,$A81)&gt;0,"UNCONFIRMED REVIEW ESTIMATE - not P80 or elapsed","NOT ESTIMATED IN THIS PASS")</f>
        <v>NOT ESTIMATED IN THIS PASS</v>
      </c>
      <c r="AZ81" s="2" t="str">
        <f>IFERROR(INDEX('Source Review'!$I$2:$I$52,MATCH($A81,'Source Review'!$A$2:$A$52,0)),"")</f>
        <v/>
      </c>
      <c r="BA81" s="2" t="str">
        <f>IFERROR(INDEX('Source Review'!$E$2:$E$52,MATCH($A81,'Source Review'!$A$2:$A$52,0)),"")</f>
        <v/>
      </c>
      <c r="BB81" s="2" t="str">
        <f>IF(COUNTIF('Source Review'!$A$2:$A$52,$A81)&gt;0,"14-Sep-2026 snapshot; later closure evidence separate; no live HEAD verification","")</f>
        <v/>
      </c>
    </row>
    <row r="82" spans="1:54" ht="75.95" hidden="1" customHeight="1">
      <c r="A82" s="4" t="s">
        <v>1002</v>
      </c>
      <c r="B82" s="4" t="s">
        <v>108</v>
      </c>
      <c r="C82" s="4" t="s">
        <v>858</v>
      </c>
      <c r="D82" s="4" t="s">
        <v>1003</v>
      </c>
      <c r="E82" s="4" t="s">
        <v>311</v>
      </c>
      <c r="F82" s="4" t="s">
        <v>1004</v>
      </c>
      <c r="G82" s="4" t="s">
        <v>113</v>
      </c>
      <c r="H82" s="4" t="s">
        <v>1005</v>
      </c>
      <c r="I82" s="4" t="s">
        <v>1006</v>
      </c>
      <c r="J82" s="64">
        <v>6</v>
      </c>
      <c r="K82" s="94" t="s">
        <v>455</v>
      </c>
      <c r="L82" s="4" t="s">
        <v>293</v>
      </c>
      <c r="M82" s="2" t="s">
        <v>309</v>
      </c>
      <c r="N82" s="2" t="s">
        <v>1007</v>
      </c>
      <c r="O82" s="2" t="s">
        <v>120</v>
      </c>
      <c r="P82" s="2" t="s">
        <v>121</v>
      </c>
      <c r="Q82" s="2" t="s">
        <v>316</v>
      </c>
      <c r="R82" s="65">
        <v>1.5</v>
      </c>
      <c r="S82" s="2" t="s">
        <v>867</v>
      </c>
      <c r="T82" s="2" t="s">
        <v>1008</v>
      </c>
      <c r="U82" s="2" t="s">
        <v>1009</v>
      </c>
      <c r="V82" s="2" t="s">
        <v>1010</v>
      </c>
      <c r="W82" s="2" t="s">
        <v>870</v>
      </c>
      <c r="X82" s="2" t="s">
        <v>871</v>
      </c>
      <c r="Y82" s="33"/>
      <c r="Z82" s="9"/>
      <c r="AA82" s="2" t="s">
        <v>646</v>
      </c>
      <c r="AB82" s="2" t="s">
        <v>647</v>
      </c>
      <c r="AC82" s="2"/>
      <c r="AD82" s="2" t="s">
        <v>179</v>
      </c>
      <c r="AE82" s="2" t="s">
        <v>210</v>
      </c>
      <c r="AF82" s="2" t="s">
        <v>134</v>
      </c>
      <c r="AG82" s="2" t="s">
        <v>135</v>
      </c>
      <c r="AH82" s="2" t="s">
        <v>136</v>
      </c>
      <c r="AI82" s="2" t="str">
        <f t="shared" si="8"/>
        <v/>
      </c>
      <c r="AJ82" s="2" t="s">
        <v>137</v>
      </c>
      <c r="AK82" s="2" t="s">
        <v>138</v>
      </c>
      <c r="AL82" s="2" t="s">
        <v>139</v>
      </c>
      <c r="AM82" s="2">
        <f t="shared" si="9"/>
        <v>1</v>
      </c>
      <c r="AN82" s="2"/>
      <c r="AO82" s="32" t="s">
        <v>462</v>
      </c>
      <c r="AP82" s="32" t="s">
        <v>141</v>
      </c>
      <c r="AQ82" s="32"/>
      <c r="AR82" s="32" t="s">
        <v>142</v>
      </c>
      <c r="AS82" s="65">
        <f t="shared" si="10"/>
        <v>6</v>
      </c>
      <c r="AT82" s="65">
        <f t="shared" si="11"/>
        <v>1.5</v>
      </c>
      <c r="AU82" s="2" t="str">
        <f>IFERROR(INDEX('Source Review'!$B$2:$B$52,MATCH($A82,'Source Review'!$A$2:$A$52,0)),"NOT SOURCE-REVIEWED IN THIS PASS")</f>
        <v>NOT SOURCE-REVIEWED IN THIS PASS</v>
      </c>
      <c r="AV82" s="5" t="str">
        <f>IFERROR(INDEX('Source Review'!$F$2:$F$52,MATCH($A82,'Source Review'!$A$2:$A$52,0)),"")</f>
        <v/>
      </c>
      <c r="AW82" s="5" t="str">
        <f>IFERROR(INDEX('Source Review'!$G$2:$G$52,MATCH($A82,'Source Review'!$A$2:$A$52,0)),"")</f>
        <v/>
      </c>
      <c r="AX82" s="5" t="str">
        <f>IFERROR(INDEX('Source Review'!$H$2:$H$52,MATCH($A82,'Source Review'!$A$2:$A$52,0)),"")</f>
        <v/>
      </c>
      <c r="AY82" s="2" t="str">
        <f>IF(COUNTIF('Source Review'!$A$2:$A$52,$A82)&gt;0,"UNCONFIRMED REVIEW ESTIMATE - not P80 or elapsed","NOT ESTIMATED IN THIS PASS")</f>
        <v>NOT ESTIMATED IN THIS PASS</v>
      </c>
      <c r="AZ82" s="2" t="str">
        <f>IFERROR(INDEX('Source Review'!$I$2:$I$52,MATCH($A82,'Source Review'!$A$2:$A$52,0)),"")</f>
        <v/>
      </c>
      <c r="BA82" s="2" t="str">
        <f>IFERROR(INDEX('Source Review'!$E$2:$E$52,MATCH($A82,'Source Review'!$A$2:$A$52,0)),"")</f>
        <v/>
      </c>
      <c r="BB82" s="2" t="str">
        <f>IF(COUNTIF('Source Review'!$A$2:$A$52,$A82)&gt;0,"14-Sep-2026 snapshot; later closure evidence separate; no live HEAD verification","")</f>
        <v/>
      </c>
    </row>
    <row r="83" spans="1:54" ht="75.95" hidden="1" customHeight="1">
      <c r="A83" s="4" t="s">
        <v>1011</v>
      </c>
      <c r="B83" s="4" t="s">
        <v>108</v>
      </c>
      <c r="C83" s="4" t="s">
        <v>858</v>
      </c>
      <c r="D83" s="4" t="s">
        <v>1012</v>
      </c>
      <c r="E83" s="4" t="s">
        <v>992</v>
      </c>
      <c r="F83" s="4" t="s">
        <v>1013</v>
      </c>
      <c r="G83" s="4" t="s">
        <v>113</v>
      </c>
      <c r="H83" s="4" t="s">
        <v>1014</v>
      </c>
      <c r="I83" s="4" t="s">
        <v>1015</v>
      </c>
      <c r="J83" s="64">
        <v>10</v>
      </c>
      <c r="K83" s="94" t="s">
        <v>116</v>
      </c>
      <c r="L83" s="4" t="s">
        <v>293</v>
      </c>
      <c r="M83" s="2" t="s">
        <v>1016</v>
      </c>
      <c r="N83" s="2" t="s">
        <v>1017</v>
      </c>
      <c r="O83" s="2" t="s">
        <v>120</v>
      </c>
      <c r="P83" s="2" t="s">
        <v>121</v>
      </c>
      <c r="Q83" s="2" t="s">
        <v>998</v>
      </c>
      <c r="R83" s="65">
        <v>2.5</v>
      </c>
      <c r="S83" s="2" t="s">
        <v>867</v>
      </c>
      <c r="T83" s="2" t="s">
        <v>124</v>
      </c>
      <c r="U83" s="2" t="s">
        <v>1018</v>
      </c>
      <c r="V83" s="2" t="s">
        <v>1019</v>
      </c>
      <c r="W83" s="2" t="s">
        <v>870</v>
      </c>
      <c r="X83" s="2" t="s">
        <v>871</v>
      </c>
      <c r="Y83" s="33" t="s">
        <v>298</v>
      </c>
      <c r="Z83" s="9"/>
      <c r="AA83" s="2" t="s">
        <v>345</v>
      </c>
      <c r="AB83" s="2" t="s">
        <v>1020</v>
      </c>
      <c r="AC83" s="2"/>
      <c r="AD83" s="2" t="s">
        <v>179</v>
      </c>
      <c r="AE83" s="2" t="s">
        <v>198</v>
      </c>
      <c r="AF83" s="2" t="s">
        <v>134</v>
      </c>
      <c r="AG83" s="2" t="s">
        <v>135</v>
      </c>
      <c r="AH83" s="2" t="s">
        <v>136</v>
      </c>
      <c r="AI83" s="2" t="str">
        <f t="shared" si="8"/>
        <v>Not recovered from reviewed sessions</v>
      </c>
      <c r="AJ83" s="2" t="s">
        <v>137</v>
      </c>
      <c r="AK83" s="2" t="s">
        <v>138</v>
      </c>
      <c r="AL83" s="2" t="s">
        <v>139</v>
      </c>
      <c r="AM83" s="2">
        <f t="shared" si="9"/>
        <v>1</v>
      </c>
      <c r="AN83" s="2"/>
      <c r="AO83" s="32" t="s">
        <v>140</v>
      </c>
      <c r="AP83" s="32" t="s">
        <v>141</v>
      </c>
      <c r="AQ83" s="32"/>
      <c r="AR83" s="32" t="s">
        <v>142</v>
      </c>
      <c r="AS83" s="65">
        <f t="shared" si="10"/>
        <v>10</v>
      </c>
      <c r="AT83" s="65">
        <f t="shared" si="11"/>
        <v>2.5</v>
      </c>
      <c r="AU83" s="2" t="str">
        <f>IFERROR(INDEX('Source Review'!$B$2:$B$52,MATCH($A83,'Source Review'!$A$2:$A$52,0)),"NOT SOURCE-REVIEWED IN THIS PASS")</f>
        <v>NOT SOURCE-REVIEWED IN THIS PASS</v>
      </c>
      <c r="AV83" s="5" t="str">
        <f>IFERROR(INDEX('Source Review'!$F$2:$F$52,MATCH($A83,'Source Review'!$A$2:$A$52,0)),"")</f>
        <v/>
      </c>
      <c r="AW83" s="5" t="str">
        <f>IFERROR(INDEX('Source Review'!$G$2:$G$52,MATCH($A83,'Source Review'!$A$2:$A$52,0)),"")</f>
        <v/>
      </c>
      <c r="AX83" s="5" t="str">
        <f>IFERROR(INDEX('Source Review'!$H$2:$H$52,MATCH($A83,'Source Review'!$A$2:$A$52,0)),"")</f>
        <v/>
      </c>
      <c r="AY83" s="2" t="str">
        <f>IF(COUNTIF('Source Review'!$A$2:$A$52,$A83)&gt;0,"UNCONFIRMED REVIEW ESTIMATE - not P80 or elapsed","NOT ESTIMATED IN THIS PASS")</f>
        <v>NOT ESTIMATED IN THIS PASS</v>
      </c>
      <c r="AZ83" s="2" t="str">
        <f>IFERROR(INDEX('Source Review'!$I$2:$I$52,MATCH($A83,'Source Review'!$A$2:$A$52,0)),"")</f>
        <v/>
      </c>
      <c r="BA83" s="2" t="str">
        <f>IFERROR(INDEX('Source Review'!$E$2:$E$52,MATCH($A83,'Source Review'!$A$2:$A$52,0)),"")</f>
        <v/>
      </c>
      <c r="BB83" s="2" t="str">
        <f>IF(COUNTIF('Source Review'!$A$2:$A$52,$A83)&gt;0,"14-Sep-2026 snapshot; later closure evidence separate; no live HEAD verification","")</f>
        <v/>
      </c>
    </row>
    <row r="84" spans="1:54" ht="75.95" hidden="1" customHeight="1">
      <c r="A84" s="2" t="s">
        <v>1021</v>
      </c>
      <c r="B84" s="2" t="s">
        <v>108</v>
      </c>
      <c r="C84" s="2" t="s">
        <v>858</v>
      </c>
      <c r="D84" s="2" t="s">
        <v>1022</v>
      </c>
      <c r="E84" s="2" t="s">
        <v>992</v>
      </c>
      <c r="F84" s="2" t="s">
        <v>1023</v>
      </c>
      <c r="G84" s="2" t="s">
        <v>113</v>
      </c>
      <c r="H84" s="2" t="s">
        <v>1024</v>
      </c>
      <c r="I84" s="2" t="s">
        <v>1025</v>
      </c>
      <c r="J84" s="65">
        <v>8</v>
      </c>
      <c r="K84" s="94" t="s">
        <v>116</v>
      </c>
      <c r="L84" s="2" t="s">
        <v>293</v>
      </c>
      <c r="M84" s="2" t="s">
        <v>299</v>
      </c>
      <c r="N84" s="2" t="s">
        <v>1026</v>
      </c>
      <c r="O84" s="2" t="s">
        <v>120</v>
      </c>
      <c r="P84" s="2" t="s">
        <v>121</v>
      </c>
      <c r="Q84" s="2" t="s">
        <v>998</v>
      </c>
      <c r="R84" s="65">
        <v>2</v>
      </c>
      <c r="S84" s="2" t="s">
        <v>867</v>
      </c>
      <c r="T84" s="2" t="s">
        <v>124</v>
      </c>
      <c r="U84" s="2" t="s">
        <v>1027</v>
      </c>
      <c r="V84" s="2" t="s">
        <v>1028</v>
      </c>
      <c r="W84" s="2" t="s">
        <v>870</v>
      </c>
      <c r="X84" s="2" t="s">
        <v>871</v>
      </c>
      <c r="Y84" s="33" t="s">
        <v>298</v>
      </c>
      <c r="Z84" s="9"/>
      <c r="AA84" s="2" t="s">
        <v>345</v>
      </c>
      <c r="AB84" s="2" t="s">
        <v>1020</v>
      </c>
      <c r="AC84" s="2"/>
      <c r="AD84" s="2" t="s">
        <v>179</v>
      </c>
      <c r="AE84" s="2" t="s">
        <v>210</v>
      </c>
      <c r="AF84" s="2" t="s">
        <v>134</v>
      </c>
      <c r="AG84" s="2" t="s">
        <v>135</v>
      </c>
      <c r="AH84" s="2" t="s">
        <v>136</v>
      </c>
      <c r="AI84" s="2" t="str">
        <f t="shared" si="8"/>
        <v>Not recovered from reviewed sessions</v>
      </c>
      <c r="AJ84" s="2" t="s">
        <v>137</v>
      </c>
      <c r="AK84" s="2" t="s">
        <v>138</v>
      </c>
      <c r="AL84" s="2" t="s">
        <v>139</v>
      </c>
      <c r="AM84" s="2">
        <f t="shared" si="9"/>
        <v>1</v>
      </c>
      <c r="AN84" s="2"/>
      <c r="AO84" s="32" t="s">
        <v>140</v>
      </c>
      <c r="AP84" s="32" t="s">
        <v>141</v>
      </c>
      <c r="AQ84" s="32"/>
      <c r="AR84" s="32" t="s">
        <v>142</v>
      </c>
      <c r="AS84" s="65">
        <f t="shared" si="10"/>
        <v>8</v>
      </c>
      <c r="AT84" s="65">
        <f t="shared" si="11"/>
        <v>2</v>
      </c>
      <c r="AU84" s="2" t="str">
        <f>IFERROR(INDEX('Source Review'!$B$2:$B$52,MATCH($A84,'Source Review'!$A$2:$A$52,0)),"NOT SOURCE-REVIEWED IN THIS PASS")</f>
        <v>NOT SOURCE-REVIEWED IN THIS PASS</v>
      </c>
      <c r="AV84" s="5" t="str">
        <f>IFERROR(INDEX('Source Review'!$F$2:$F$52,MATCH($A84,'Source Review'!$A$2:$A$52,0)),"")</f>
        <v/>
      </c>
      <c r="AW84" s="5" t="str">
        <f>IFERROR(INDEX('Source Review'!$G$2:$G$52,MATCH($A84,'Source Review'!$A$2:$A$52,0)),"")</f>
        <v/>
      </c>
      <c r="AX84" s="5" t="str">
        <f>IFERROR(INDEX('Source Review'!$H$2:$H$52,MATCH($A84,'Source Review'!$A$2:$A$52,0)),"")</f>
        <v/>
      </c>
      <c r="AY84" s="2" t="str">
        <f>IF(COUNTIF('Source Review'!$A$2:$A$52,$A84)&gt;0,"UNCONFIRMED REVIEW ESTIMATE - not P80 or elapsed","NOT ESTIMATED IN THIS PASS")</f>
        <v>NOT ESTIMATED IN THIS PASS</v>
      </c>
      <c r="AZ84" s="2" t="str">
        <f>IFERROR(INDEX('Source Review'!$I$2:$I$52,MATCH($A84,'Source Review'!$A$2:$A$52,0)),"")</f>
        <v/>
      </c>
      <c r="BA84" s="2" t="str">
        <f>IFERROR(INDEX('Source Review'!$E$2:$E$52,MATCH($A84,'Source Review'!$A$2:$A$52,0)),"")</f>
        <v/>
      </c>
      <c r="BB84" s="2" t="str">
        <f>IF(COUNTIF('Source Review'!$A$2:$A$52,$A84)&gt;0,"14-Sep-2026 snapshot; later closure evidence separate; no live HEAD verification","")</f>
        <v/>
      </c>
    </row>
    <row r="85" spans="1:54" ht="75.95" hidden="1" customHeight="1">
      <c r="A85" s="2" t="s">
        <v>1026</v>
      </c>
      <c r="B85" s="2" t="s">
        <v>108</v>
      </c>
      <c r="C85" s="2" t="s">
        <v>858</v>
      </c>
      <c r="D85" s="2" t="s">
        <v>1029</v>
      </c>
      <c r="E85" s="2" t="s">
        <v>992</v>
      </c>
      <c r="F85" s="2" t="s">
        <v>1030</v>
      </c>
      <c r="G85" s="2" t="s">
        <v>113</v>
      </c>
      <c r="H85" s="2" t="s">
        <v>1031</v>
      </c>
      <c r="I85" s="2" t="s">
        <v>1032</v>
      </c>
      <c r="J85" s="65">
        <v>12</v>
      </c>
      <c r="K85" s="94" t="s">
        <v>116</v>
      </c>
      <c r="L85" s="2" t="s">
        <v>293</v>
      </c>
      <c r="M85" s="2" t="s">
        <v>1033</v>
      </c>
      <c r="N85" s="2" t="s">
        <v>1034</v>
      </c>
      <c r="O85" s="2" t="s">
        <v>120</v>
      </c>
      <c r="P85" s="2" t="s">
        <v>121</v>
      </c>
      <c r="Q85" s="2" t="s">
        <v>998</v>
      </c>
      <c r="R85" s="65">
        <v>3.2</v>
      </c>
      <c r="S85" s="2" t="s">
        <v>867</v>
      </c>
      <c r="T85" s="2" t="s">
        <v>124</v>
      </c>
      <c r="U85" s="2" t="s">
        <v>1035</v>
      </c>
      <c r="V85" s="2" t="s">
        <v>1036</v>
      </c>
      <c r="W85" s="2" t="s">
        <v>870</v>
      </c>
      <c r="X85" s="2" t="s">
        <v>871</v>
      </c>
      <c r="Y85" s="33" t="s">
        <v>298</v>
      </c>
      <c r="Z85" s="9"/>
      <c r="AA85" s="2" t="s">
        <v>843</v>
      </c>
      <c r="AB85" s="2" t="s">
        <v>844</v>
      </c>
      <c r="AC85" s="2"/>
      <c r="AD85" s="2" t="s">
        <v>179</v>
      </c>
      <c r="AE85" s="2" t="s">
        <v>198</v>
      </c>
      <c r="AF85" s="2" t="s">
        <v>845</v>
      </c>
      <c r="AG85" s="2" t="s">
        <v>135</v>
      </c>
      <c r="AH85" s="2" t="s">
        <v>136</v>
      </c>
      <c r="AI85" s="2" t="str">
        <f t="shared" si="8"/>
        <v>Not recovered from reviewed sessions</v>
      </c>
      <c r="AJ85" s="2" t="s">
        <v>137</v>
      </c>
      <c r="AK85" s="2" t="s">
        <v>138</v>
      </c>
      <c r="AL85" s="2" t="s">
        <v>139</v>
      </c>
      <c r="AM85" s="2">
        <f t="shared" si="9"/>
        <v>1</v>
      </c>
      <c r="AN85" s="2"/>
      <c r="AO85" s="32" t="s">
        <v>140</v>
      </c>
      <c r="AP85" s="32" t="s">
        <v>141</v>
      </c>
      <c r="AQ85" s="32"/>
      <c r="AR85" s="32" t="s">
        <v>142</v>
      </c>
      <c r="AS85" s="65">
        <f t="shared" si="10"/>
        <v>12</v>
      </c>
      <c r="AT85" s="65">
        <f t="shared" si="11"/>
        <v>3.2</v>
      </c>
      <c r="AU85" s="2" t="str">
        <f>IFERROR(INDEX('Source Review'!$B$2:$B$52,MATCH($A85,'Source Review'!$A$2:$A$52,0)),"NOT SOURCE-REVIEWED IN THIS PASS")</f>
        <v>NOT SOURCE-REVIEWED IN THIS PASS</v>
      </c>
      <c r="AV85" s="5" t="str">
        <f>IFERROR(INDEX('Source Review'!$F$2:$F$52,MATCH($A85,'Source Review'!$A$2:$A$52,0)),"")</f>
        <v/>
      </c>
      <c r="AW85" s="5" t="str">
        <f>IFERROR(INDEX('Source Review'!$G$2:$G$52,MATCH($A85,'Source Review'!$A$2:$A$52,0)),"")</f>
        <v/>
      </c>
      <c r="AX85" s="5" t="str">
        <f>IFERROR(INDEX('Source Review'!$H$2:$H$52,MATCH($A85,'Source Review'!$A$2:$A$52,0)),"")</f>
        <v/>
      </c>
      <c r="AY85" s="2" t="str">
        <f>IF(COUNTIF('Source Review'!$A$2:$A$52,$A85)&gt;0,"UNCONFIRMED REVIEW ESTIMATE - not P80 or elapsed","NOT ESTIMATED IN THIS PASS")</f>
        <v>NOT ESTIMATED IN THIS PASS</v>
      </c>
      <c r="AZ85" s="2" t="str">
        <f>IFERROR(INDEX('Source Review'!$I$2:$I$52,MATCH($A85,'Source Review'!$A$2:$A$52,0)),"")</f>
        <v/>
      </c>
      <c r="BA85" s="2" t="str">
        <f>IFERROR(INDEX('Source Review'!$E$2:$E$52,MATCH($A85,'Source Review'!$A$2:$A$52,0)),"")</f>
        <v/>
      </c>
      <c r="BB85" s="2" t="str">
        <f>IF(COUNTIF('Source Review'!$A$2:$A$52,$A85)&gt;0,"14-Sep-2026 snapshot; later closure evidence separate; no live HEAD verification","")</f>
        <v/>
      </c>
    </row>
    <row r="86" spans="1:54" ht="75.95" hidden="1" customHeight="1">
      <c r="A86" s="2" t="s">
        <v>1037</v>
      </c>
      <c r="B86" s="2" t="s">
        <v>108</v>
      </c>
      <c r="C86" s="2" t="s">
        <v>858</v>
      </c>
      <c r="D86" s="2" t="s">
        <v>1038</v>
      </c>
      <c r="E86" s="2" t="s">
        <v>992</v>
      </c>
      <c r="F86" s="2" t="s">
        <v>1039</v>
      </c>
      <c r="G86" s="2" t="s">
        <v>113</v>
      </c>
      <c r="H86" s="2" t="s">
        <v>1040</v>
      </c>
      <c r="I86" s="2" t="s">
        <v>1041</v>
      </c>
      <c r="J86" s="65">
        <v>8</v>
      </c>
      <c r="K86" s="94" t="s">
        <v>116</v>
      </c>
      <c r="L86" s="2" t="s">
        <v>293</v>
      </c>
      <c r="M86" s="2" t="s">
        <v>1026</v>
      </c>
      <c r="N86" s="2" t="s">
        <v>1042</v>
      </c>
      <c r="O86" s="2" t="s">
        <v>120</v>
      </c>
      <c r="P86" s="2" t="s">
        <v>121</v>
      </c>
      <c r="Q86" s="2" t="s">
        <v>998</v>
      </c>
      <c r="R86" s="65">
        <v>2</v>
      </c>
      <c r="S86" s="2" t="s">
        <v>867</v>
      </c>
      <c r="T86" s="2" t="s">
        <v>124</v>
      </c>
      <c r="U86" s="2" t="s">
        <v>1043</v>
      </c>
      <c r="V86" s="2" t="s">
        <v>1044</v>
      </c>
      <c r="W86" s="2" t="s">
        <v>870</v>
      </c>
      <c r="X86" s="2" t="s">
        <v>871</v>
      </c>
      <c r="Y86" s="33" t="s">
        <v>298</v>
      </c>
      <c r="Z86" s="9"/>
      <c r="AA86" s="2" t="s">
        <v>981</v>
      </c>
      <c r="AB86" s="2" t="s">
        <v>1045</v>
      </c>
      <c r="AC86" s="2"/>
      <c r="AD86" s="2" t="s">
        <v>179</v>
      </c>
      <c r="AE86" s="2" t="s">
        <v>198</v>
      </c>
      <c r="AF86" s="2" t="s">
        <v>134</v>
      </c>
      <c r="AG86" s="2" t="s">
        <v>135</v>
      </c>
      <c r="AH86" s="2" t="s">
        <v>136</v>
      </c>
      <c r="AI86" s="2" t="str">
        <f t="shared" si="8"/>
        <v>Not recovered from reviewed sessions</v>
      </c>
      <c r="AJ86" s="2" t="s">
        <v>137</v>
      </c>
      <c r="AK86" s="2" t="s">
        <v>138</v>
      </c>
      <c r="AL86" s="2" t="s">
        <v>139</v>
      </c>
      <c r="AM86" s="2">
        <f t="shared" si="9"/>
        <v>1</v>
      </c>
      <c r="AN86" s="2"/>
      <c r="AO86" s="32" t="s">
        <v>140</v>
      </c>
      <c r="AP86" s="32" t="s">
        <v>141</v>
      </c>
      <c r="AQ86" s="32"/>
      <c r="AR86" s="32" t="s">
        <v>142</v>
      </c>
      <c r="AS86" s="65">
        <f t="shared" si="10"/>
        <v>8</v>
      </c>
      <c r="AT86" s="65">
        <f t="shared" si="11"/>
        <v>2</v>
      </c>
      <c r="AU86" s="2" t="str">
        <f>IFERROR(INDEX('Source Review'!$B$2:$B$52,MATCH($A86,'Source Review'!$A$2:$A$52,0)),"NOT SOURCE-REVIEWED IN THIS PASS")</f>
        <v>NOT SOURCE-REVIEWED IN THIS PASS</v>
      </c>
      <c r="AV86" s="5" t="str">
        <f>IFERROR(INDEX('Source Review'!$F$2:$F$52,MATCH($A86,'Source Review'!$A$2:$A$52,0)),"")</f>
        <v/>
      </c>
      <c r="AW86" s="5" t="str">
        <f>IFERROR(INDEX('Source Review'!$G$2:$G$52,MATCH($A86,'Source Review'!$A$2:$A$52,0)),"")</f>
        <v/>
      </c>
      <c r="AX86" s="5" t="str">
        <f>IFERROR(INDEX('Source Review'!$H$2:$H$52,MATCH($A86,'Source Review'!$A$2:$A$52,0)),"")</f>
        <v/>
      </c>
      <c r="AY86" s="2" t="str">
        <f>IF(COUNTIF('Source Review'!$A$2:$A$52,$A86)&gt;0,"UNCONFIRMED REVIEW ESTIMATE - not P80 or elapsed","NOT ESTIMATED IN THIS PASS")</f>
        <v>NOT ESTIMATED IN THIS PASS</v>
      </c>
      <c r="AZ86" s="2" t="str">
        <f>IFERROR(INDEX('Source Review'!$I$2:$I$52,MATCH($A86,'Source Review'!$A$2:$A$52,0)),"")</f>
        <v/>
      </c>
      <c r="BA86" s="2" t="str">
        <f>IFERROR(INDEX('Source Review'!$E$2:$E$52,MATCH($A86,'Source Review'!$A$2:$A$52,0)),"")</f>
        <v/>
      </c>
      <c r="BB86" s="2" t="str">
        <f>IF(COUNTIF('Source Review'!$A$2:$A$52,$A86)&gt;0,"14-Sep-2026 snapshot; later closure evidence separate; no live HEAD verification","")</f>
        <v/>
      </c>
    </row>
    <row r="87" spans="1:54" ht="75.95" hidden="1" customHeight="1">
      <c r="A87" s="2" t="s">
        <v>1046</v>
      </c>
      <c r="B87" s="2" t="s">
        <v>108</v>
      </c>
      <c r="C87" s="2" t="s">
        <v>858</v>
      </c>
      <c r="D87" s="2" t="s">
        <v>1047</v>
      </c>
      <c r="E87" s="2" t="s">
        <v>182</v>
      </c>
      <c r="F87" s="2" t="s">
        <v>1048</v>
      </c>
      <c r="G87" s="2" t="s">
        <v>113</v>
      </c>
      <c r="H87" s="2" t="s">
        <v>1049</v>
      </c>
      <c r="I87" s="2" t="s">
        <v>1050</v>
      </c>
      <c r="J87" s="65">
        <v>12</v>
      </c>
      <c r="K87" s="94" t="s">
        <v>455</v>
      </c>
      <c r="L87" s="2" t="s">
        <v>293</v>
      </c>
      <c r="M87" s="2" t="s">
        <v>1051</v>
      </c>
      <c r="N87" s="2"/>
      <c r="O87" s="2" t="s">
        <v>120</v>
      </c>
      <c r="P87" s="2" t="s">
        <v>121</v>
      </c>
      <c r="Q87" s="2" t="s">
        <v>1052</v>
      </c>
      <c r="R87" s="65">
        <v>5.4</v>
      </c>
      <c r="S87" s="2" t="s">
        <v>867</v>
      </c>
      <c r="T87" s="2" t="s">
        <v>1053</v>
      </c>
      <c r="U87" s="2" t="s">
        <v>1054</v>
      </c>
      <c r="V87" s="2" t="s">
        <v>1055</v>
      </c>
      <c r="W87" s="2" t="s">
        <v>870</v>
      </c>
      <c r="X87" s="2" t="s">
        <v>871</v>
      </c>
      <c r="Y87" s="33"/>
      <c r="Z87" s="9"/>
      <c r="AA87" s="2" t="s">
        <v>843</v>
      </c>
      <c r="AB87" s="2" t="s">
        <v>844</v>
      </c>
      <c r="AC87" s="2" t="s">
        <v>345</v>
      </c>
      <c r="AD87" s="2" t="s">
        <v>179</v>
      </c>
      <c r="AE87" s="2" t="s">
        <v>191</v>
      </c>
      <c r="AF87" s="2" t="s">
        <v>845</v>
      </c>
      <c r="AG87" s="2" t="s">
        <v>135</v>
      </c>
      <c r="AH87" s="2" t="s">
        <v>136</v>
      </c>
      <c r="AI87" s="2" t="str">
        <f t="shared" si="8"/>
        <v/>
      </c>
      <c r="AJ87" s="2" t="s">
        <v>137</v>
      </c>
      <c r="AK87" s="2" t="s">
        <v>138</v>
      </c>
      <c r="AL87" s="2" t="s">
        <v>139</v>
      </c>
      <c r="AM87" s="2">
        <f t="shared" si="9"/>
        <v>1</v>
      </c>
      <c r="AN87" s="2"/>
      <c r="AO87" s="32" t="s">
        <v>462</v>
      </c>
      <c r="AP87" s="32" t="s">
        <v>141</v>
      </c>
      <c r="AQ87" s="32"/>
      <c r="AR87" s="32" t="s">
        <v>142</v>
      </c>
      <c r="AS87" s="65">
        <f t="shared" si="10"/>
        <v>12</v>
      </c>
      <c r="AT87" s="65">
        <f t="shared" si="11"/>
        <v>5.4</v>
      </c>
      <c r="AU87" s="2" t="str">
        <f>IFERROR(INDEX('Source Review'!$B$2:$B$52,MATCH($A87,'Source Review'!$A$2:$A$52,0)),"NOT SOURCE-REVIEWED IN THIS PASS")</f>
        <v>NOT SOURCE-REVIEWED IN THIS PASS</v>
      </c>
      <c r="AV87" s="5" t="str">
        <f>IFERROR(INDEX('Source Review'!$F$2:$F$52,MATCH($A87,'Source Review'!$A$2:$A$52,0)),"")</f>
        <v/>
      </c>
      <c r="AW87" s="5" t="str">
        <f>IFERROR(INDEX('Source Review'!$G$2:$G$52,MATCH($A87,'Source Review'!$A$2:$A$52,0)),"")</f>
        <v/>
      </c>
      <c r="AX87" s="5" t="str">
        <f>IFERROR(INDEX('Source Review'!$H$2:$H$52,MATCH($A87,'Source Review'!$A$2:$A$52,0)),"")</f>
        <v/>
      </c>
      <c r="AY87" s="2" t="str">
        <f>IF(COUNTIF('Source Review'!$A$2:$A$52,$A87)&gt;0,"UNCONFIRMED REVIEW ESTIMATE - not P80 or elapsed","NOT ESTIMATED IN THIS PASS")</f>
        <v>NOT ESTIMATED IN THIS PASS</v>
      </c>
      <c r="AZ87" s="2" t="str">
        <f>IFERROR(INDEX('Source Review'!$I$2:$I$52,MATCH($A87,'Source Review'!$A$2:$A$52,0)),"")</f>
        <v/>
      </c>
      <c r="BA87" s="2" t="str">
        <f>IFERROR(INDEX('Source Review'!$E$2:$E$52,MATCH($A87,'Source Review'!$A$2:$A$52,0)),"")</f>
        <v/>
      </c>
      <c r="BB87" s="2" t="str">
        <f>IF(COUNTIF('Source Review'!$A$2:$A$52,$A87)&gt;0,"14-Sep-2026 snapshot; later closure evidence separate; no live HEAD verification","")</f>
        <v/>
      </c>
    </row>
    <row r="88" spans="1:54" ht="75.95" hidden="1" customHeight="1">
      <c r="A88" s="2" t="s">
        <v>1056</v>
      </c>
      <c r="B88" s="2" t="s">
        <v>108</v>
      </c>
      <c r="C88" s="2" t="s">
        <v>858</v>
      </c>
      <c r="D88" s="2" t="s">
        <v>1057</v>
      </c>
      <c r="E88" s="2" t="s">
        <v>1058</v>
      </c>
      <c r="F88" s="2" t="s">
        <v>1059</v>
      </c>
      <c r="G88" s="2" t="s">
        <v>160</v>
      </c>
      <c r="H88" s="2" t="s">
        <v>1060</v>
      </c>
      <c r="I88" s="2" t="s">
        <v>1061</v>
      </c>
      <c r="J88" s="65">
        <v>10</v>
      </c>
      <c r="K88" s="94" t="s">
        <v>455</v>
      </c>
      <c r="L88" s="2" t="s">
        <v>293</v>
      </c>
      <c r="M88" s="2" t="s">
        <v>1062</v>
      </c>
      <c r="N88" s="2" t="s">
        <v>743</v>
      </c>
      <c r="O88" s="2" t="s">
        <v>120</v>
      </c>
      <c r="P88" s="2" t="s">
        <v>121</v>
      </c>
      <c r="Q88" s="2" t="s">
        <v>1063</v>
      </c>
      <c r="R88" s="65">
        <v>4.25</v>
      </c>
      <c r="S88" s="2" t="s">
        <v>867</v>
      </c>
      <c r="T88" s="2" t="s">
        <v>1064</v>
      </c>
      <c r="U88" s="2" t="s">
        <v>1065</v>
      </c>
      <c r="V88" s="2" t="s">
        <v>1066</v>
      </c>
      <c r="W88" s="2" t="s">
        <v>870</v>
      </c>
      <c r="X88" s="2" t="s">
        <v>871</v>
      </c>
      <c r="Y88" s="33"/>
      <c r="Z88" s="9"/>
      <c r="AA88" s="2" t="s">
        <v>967</v>
      </c>
      <c r="AB88" s="2" t="s">
        <v>968</v>
      </c>
      <c r="AC88" s="2" t="s">
        <v>1067</v>
      </c>
      <c r="AD88" s="2" t="s">
        <v>179</v>
      </c>
      <c r="AE88" s="2" t="s">
        <v>198</v>
      </c>
      <c r="AF88" s="2" t="s">
        <v>134</v>
      </c>
      <c r="AG88" s="2" t="s">
        <v>135</v>
      </c>
      <c r="AH88" s="2" t="s">
        <v>136</v>
      </c>
      <c r="AI88" s="2" t="str">
        <f t="shared" si="8"/>
        <v/>
      </c>
      <c r="AJ88" s="2" t="s">
        <v>137</v>
      </c>
      <c r="AK88" s="2" t="s">
        <v>138</v>
      </c>
      <c r="AL88" s="2" t="s">
        <v>139</v>
      </c>
      <c r="AM88" s="2">
        <f t="shared" si="9"/>
        <v>1</v>
      </c>
      <c r="AN88" s="2"/>
      <c r="AO88" s="32" t="s">
        <v>462</v>
      </c>
      <c r="AP88" s="32" t="s">
        <v>141</v>
      </c>
      <c r="AQ88" s="32"/>
      <c r="AR88" s="32" t="s">
        <v>142</v>
      </c>
      <c r="AS88" s="65">
        <f t="shared" si="10"/>
        <v>10</v>
      </c>
      <c r="AT88" s="65">
        <f t="shared" si="11"/>
        <v>4.25</v>
      </c>
      <c r="AU88" s="2" t="str">
        <f>IFERROR(INDEX('Source Review'!$B$2:$B$52,MATCH($A88,'Source Review'!$A$2:$A$52,0)),"NOT SOURCE-REVIEWED IN THIS PASS")</f>
        <v>NOT SOURCE-REVIEWED IN THIS PASS</v>
      </c>
      <c r="AV88" s="5" t="str">
        <f>IFERROR(INDEX('Source Review'!$F$2:$F$52,MATCH($A88,'Source Review'!$A$2:$A$52,0)),"")</f>
        <v/>
      </c>
      <c r="AW88" s="5" t="str">
        <f>IFERROR(INDEX('Source Review'!$G$2:$G$52,MATCH($A88,'Source Review'!$A$2:$A$52,0)),"")</f>
        <v/>
      </c>
      <c r="AX88" s="5" t="str">
        <f>IFERROR(INDEX('Source Review'!$H$2:$H$52,MATCH($A88,'Source Review'!$A$2:$A$52,0)),"")</f>
        <v/>
      </c>
      <c r="AY88" s="2" t="str">
        <f>IF(COUNTIF('Source Review'!$A$2:$A$52,$A88)&gt;0,"UNCONFIRMED REVIEW ESTIMATE - not P80 or elapsed","NOT ESTIMATED IN THIS PASS")</f>
        <v>NOT ESTIMATED IN THIS PASS</v>
      </c>
      <c r="AZ88" s="2" t="str">
        <f>IFERROR(INDEX('Source Review'!$I$2:$I$52,MATCH($A88,'Source Review'!$A$2:$A$52,0)),"")</f>
        <v/>
      </c>
      <c r="BA88" s="2" t="str">
        <f>IFERROR(INDEX('Source Review'!$E$2:$E$52,MATCH($A88,'Source Review'!$A$2:$A$52,0)),"")</f>
        <v/>
      </c>
      <c r="BB88" s="2" t="str">
        <f>IF(COUNTIF('Source Review'!$A$2:$A$52,$A88)&gt;0,"14-Sep-2026 snapshot; later closure evidence separate; no live HEAD verification","")</f>
        <v/>
      </c>
    </row>
    <row r="89" spans="1:54" ht="75.95" hidden="1" customHeight="1">
      <c r="A89" s="2" t="s">
        <v>1068</v>
      </c>
      <c r="B89" s="2" t="s">
        <v>108</v>
      </c>
      <c r="C89" s="2" t="s">
        <v>858</v>
      </c>
      <c r="D89" s="2" t="s">
        <v>1069</v>
      </c>
      <c r="E89" s="2" t="s">
        <v>1070</v>
      </c>
      <c r="F89" s="2" t="s">
        <v>1071</v>
      </c>
      <c r="G89" s="2" t="s">
        <v>113</v>
      </c>
      <c r="H89" s="2" t="s">
        <v>1072</v>
      </c>
      <c r="I89" s="2" t="s">
        <v>1073</v>
      </c>
      <c r="J89" s="65">
        <v>8</v>
      </c>
      <c r="K89" s="94" t="s">
        <v>116</v>
      </c>
      <c r="L89" s="2" t="s">
        <v>293</v>
      </c>
      <c r="M89" s="2" t="s">
        <v>1074</v>
      </c>
      <c r="N89" s="2" t="s">
        <v>1075</v>
      </c>
      <c r="O89" s="2" t="s">
        <v>120</v>
      </c>
      <c r="P89" s="2" t="s">
        <v>121</v>
      </c>
      <c r="Q89" s="2" t="s">
        <v>316</v>
      </c>
      <c r="R89" s="65">
        <v>2</v>
      </c>
      <c r="S89" s="2" t="s">
        <v>867</v>
      </c>
      <c r="T89" s="2" t="s">
        <v>124</v>
      </c>
      <c r="U89" s="2" t="s">
        <v>1076</v>
      </c>
      <c r="V89" s="2" t="s">
        <v>1077</v>
      </c>
      <c r="W89" s="2" t="s">
        <v>870</v>
      </c>
      <c r="X89" s="2" t="s">
        <v>871</v>
      </c>
      <c r="Y89" s="33" t="s">
        <v>298</v>
      </c>
      <c r="Z89" s="9"/>
      <c r="AA89" s="2" t="s">
        <v>669</v>
      </c>
      <c r="AB89" s="2" t="s">
        <v>670</v>
      </c>
      <c r="AC89" s="2"/>
      <c r="AD89" s="2" t="s">
        <v>179</v>
      </c>
      <c r="AE89" s="2" t="s">
        <v>238</v>
      </c>
      <c r="AF89" s="2" t="s">
        <v>134</v>
      </c>
      <c r="AG89" s="2" t="s">
        <v>135</v>
      </c>
      <c r="AH89" s="2" t="s">
        <v>136</v>
      </c>
      <c r="AI89" s="2" t="str">
        <f t="shared" si="8"/>
        <v>Not recovered from reviewed sessions</v>
      </c>
      <c r="AJ89" s="2" t="s">
        <v>137</v>
      </c>
      <c r="AK89" s="2" t="s">
        <v>138</v>
      </c>
      <c r="AL89" s="2" t="s">
        <v>139</v>
      </c>
      <c r="AM89" s="2">
        <f t="shared" si="9"/>
        <v>1</v>
      </c>
      <c r="AN89" s="2"/>
      <c r="AO89" s="32" t="s">
        <v>140</v>
      </c>
      <c r="AP89" s="32" t="s">
        <v>141</v>
      </c>
      <c r="AQ89" s="32"/>
      <c r="AR89" s="32" t="s">
        <v>142</v>
      </c>
      <c r="AS89" s="65">
        <f t="shared" si="10"/>
        <v>8</v>
      </c>
      <c r="AT89" s="65">
        <f t="shared" si="11"/>
        <v>2</v>
      </c>
      <c r="AU89" s="2" t="str">
        <f>IFERROR(INDEX('Source Review'!$B$2:$B$52,MATCH($A89,'Source Review'!$A$2:$A$52,0)),"NOT SOURCE-REVIEWED IN THIS PASS")</f>
        <v>NOT SOURCE-REVIEWED IN THIS PASS</v>
      </c>
      <c r="AV89" s="5" t="str">
        <f>IFERROR(INDEX('Source Review'!$F$2:$F$52,MATCH($A89,'Source Review'!$A$2:$A$52,0)),"")</f>
        <v/>
      </c>
      <c r="AW89" s="5" t="str">
        <f>IFERROR(INDEX('Source Review'!$G$2:$G$52,MATCH($A89,'Source Review'!$A$2:$A$52,0)),"")</f>
        <v/>
      </c>
      <c r="AX89" s="5" t="str">
        <f>IFERROR(INDEX('Source Review'!$H$2:$H$52,MATCH($A89,'Source Review'!$A$2:$A$52,0)),"")</f>
        <v/>
      </c>
      <c r="AY89" s="2" t="str">
        <f>IF(COUNTIF('Source Review'!$A$2:$A$52,$A89)&gt;0,"UNCONFIRMED REVIEW ESTIMATE - not P80 or elapsed","NOT ESTIMATED IN THIS PASS")</f>
        <v>NOT ESTIMATED IN THIS PASS</v>
      </c>
      <c r="AZ89" s="2" t="str">
        <f>IFERROR(INDEX('Source Review'!$I$2:$I$52,MATCH($A89,'Source Review'!$A$2:$A$52,0)),"")</f>
        <v/>
      </c>
      <c r="BA89" s="2" t="str">
        <f>IFERROR(INDEX('Source Review'!$E$2:$E$52,MATCH($A89,'Source Review'!$A$2:$A$52,0)),"")</f>
        <v/>
      </c>
      <c r="BB89" s="2" t="str">
        <f>IF(COUNTIF('Source Review'!$A$2:$A$52,$A89)&gt;0,"14-Sep-2026 snapshot; later closure evidence separate; no live HEAD verification","")</f>
        <v/>
      </c>
    </row>
    <row r="90" spans="1:54" ht="75.95" hidden="1" customHeight="1">
      <c r="A90" s="2" t="s">
        <v>1078</v>
      </c>
      <c r="B90" s="2" t="s">
        <v>108</v>
      </c>
      <c r="C90" s="2" t="s">
        <v>858</v>
      </c>
      <c r="D90" s="2" t="s">
        <v>1079</v>
      </c>
      <c r="E90" s="2" t="s">
        <v>992</v>
      </c>
      <c r="F90" s="2" t="s">
        <v>670</v>
      </c>
      <c r="G90" s="2" t="s">
        <v>113</v>
      </c>
      <c r="H90" s="2" t="s">
        <v>1080</v>
      </c>
      <c r="I90" s="2" t="s">
        <v>1081</v>
      </c>
      <c r="J90" s="65">
        <v>10</v>
      </c>
      <c r="K90" s="94" t="s">
        <v>116</v>
      </c>
      <c r="L90" s="2" t="s">
        <v>293</v>
      </c>
      <c r="M90" s="2" t="s">
        <v>1082</v>
      </c>
      <c r="N90" s="2" t="s">
        <v>1083</v>
      </c>
      <c r="O90" s="2" t="s">
        <v>120</v>
      </c>
      <c r="P90" s="2" t="s">
        <v>121</v>
      </c>
      <c r="Q90" s="2" t="s">
        <v>1084</v>
      </c>
      <c r="R90" s="65">
        <v>2.666666666666667</v>
      </c>
      <c r="S90" s="2" t="s">
        <v>867</v>
      </c>
      <c r="T90" s="2" t="s">
        <v>124</v>
      </c>
      <c r="U90" s="2" t="s">
        <v>1085</v>
      </c>
      <c r="V90" s="2" t="s">
        <v>1086</v>
      </c>
      <c r="W90" s="2" t="s">
        <v>870</v>
      </c>
      <c r="X90" s="2" t="s">
        <v>871</v>
      </c>
      <c r="Y90" s="33" t="s">
        <v>298</v>
      </c>
      <c r="Z90" s="9"/>
      <c r="AA90" s="2" t="s">
        <v>669</v>
      </c>
      <c r="AB90" s="2" t="s">
        <v>670</v>
      </c>
      <c r="AC90" s="2" t="s">
        <v>1087</v>
      </c>
      <c r="AD90" s="2" t="s">
        <v>179</v>
      </c>
      <c r="AE90" s="2" t="s">
        <v>198</v>
      </c>
      <c r="AF90" s="2" t="s">
        <v>134</v>
      </c>
      <c r="AG90" s="2" t="s">
        <v>135</v>
      </c>
      <c r="AH90" s="2" t="s">
        <v>136</v>
      </c>
      <c r="AI90" s="2" t="str">
        <f t="shared" si="8"/>
        <v>Not recovered from reviewed sessions</v>
      </c>
      <c r="AJ90" s="2" t="s">
        <v>137</v>
      </c>
      <c r="AK90" s="2" t="s">
        <v>138</v>
      </c>
      <c r="AL90" s="2" t="s">
        <v>139</v>
      </c>
      <c r="AM90" s="2">
        <f t="shared" si="9"/>
        <v>1</v>
      </c>
      <c r="AN90" s="2"/>
      <c r="AO90" s="32" t="s">
        <v>140</v>
      </c>
      <c r="AP90" s="32" t="s">
        <v>141</v>
      </c>
      <c r="AQ90" s="32"/>
      <c r="AR90" s="32" t="s">
        <v>142</v>
      </c>
      <c r="AS90" s="65">
        <f t="shared" si="10"/>
        <v>10</v>
      </c>
      <c r="AT90" s="65">
        <f t="shared" si="11"/>
        <v>2.666666666666667</v>
      </c>
      <c r="AU90" s="2" t="str">
        <f>IFERROR(INDEX('Source Review'!$B$2:$B$52,MATCH($A90,'Source Review'!$A$2:$A$52,0)),"NOT SOURCE-REVIEWED IN THIS PASS")</f>
        <v>NOT SOURCE-REVIEWED IN THIS PASS</v>
      </c>
      <c r="AV90" s="5" t="str">
        <f>IFERROR(INDEX('Source Review'!$F$2:$F$52,MATCH($A90,'Source Review'!$A$2:$A$52,0)),"")</f>
        <v/>
      </c>
      <c r="AW90" s="5" t="str">
        <f>IFERROR(INDEX('Source Review'!$G$2:$G$52,MATCH($A90,'Source Review'!$A$2:$A$52,0)),"")</f>
        <v/>
      </c>
      <c r="AX90" s="5" t="str">
        <f>IFERROR(INDEX('Source Review'!$H$2:$H$52,MATCH($A90,'Source Review'!$A$2:$A$52,0)),"")</f>
        <v/>
      </c>
      <c r="AY90" s="2" t="str">
        <f>IF(COUNTIF('Source Review'!$A$2:$A$52,$A90)&gt;0,"UNCONFIRMED REVIEW ESTIMATE - not P80 or elapsed","NOT ESTIMATED IN THIS PASS")</f>
        <v>NOT ESTIMATED IN THIS PASS</v>
      </c>
      <c r="AZ90" s="2" t="str">
        <f>IFERROR(INDEX('Source Review'!$I$2:$I$52,MATCH($A90,'Source Review'!$A$2:$A$52,0)),"")</f>
        <v/>
      </c>
      <c r="BA90" s="2" t="str">
        <f>IFERROR(INDEX('Source Review'!$E$2:$E$52,MATCH($A90,'Source Review'!$A$2:$A$52,0)),"")</f>
        <v/>
      </c>
      <c r="BB90" s="2" t="str">
        <f>IF(COUNTIF('Source Review'!$A$2:$A$52,$A90)&gt;0,"14-Sep-2026 snapshot; later closure evidence separate; no live HEAD verification","")</f>
        <v/>
      </c>
    </row>
    <row r="91" spans="1:54" ht="75.95" hidden="1" customHeight="1">
      <c r="A91" s="2" t="s">
        <v>1088</v>
      </c>
      <c r="B91" s="2" t="s">
        <v>108</v>
      </c>
      <c r="C91" s="2" t="s">
        <v>858</v>
      </c>
      <c r="D91" s="2" t="s">
        <v>1089</v>
      </c>
      <c r="E91" s="2" t="s">
        <v>1090</v>
      </c>
      <c r="F91" s="2" t="s">
        <v>1091</v>
      </c>
      <c r="G91" s="2" t="s">
        <v>160</v>
      </c>
      <c r="H91" s="2" t="s">
        <v>1092</v>
      </c>
      <c r="I91" s="2" t="s">
        <v>1093</v>
      </c>
      <c r="J91" s="65">
        <v>10</v>
      </c>
      <c r="K91" s="94" t="s">
        <v>455</v>
      </c>
      <c r="L91" s="2" t="s">
        <v>36</v>
      </c>
      <c r="M91" s="2" t="s">
        <v>1094</v>
      </c>
      <c r="N91" s="2" t="s">
        <v>1095</v>
      </c>
      <c r="O91" s="2" t="s">
        <v>120</v>
      </c>
      <c r="P91" s="2" t="s">
        <v>121</v>
      </c>
      <c r="Q91" s="2" t="s">
        <v>1096</v>
      </c>
      <c r="R91" s="65">
        <v>4.25</v>
      </c>
      <c r="S91" s="2" t="s">
        <v>867</v>
      </c>
      <c r="T91" s="2" t="s">
        <v>1097</v>
      </c>
      <c r="U91" s="2" t="s">
        <v>1098</v>
      </c>
      <c r="V91" s="2" t="s">
        <v>1099</v>
      </c>
      <c r="W91" s="2" t="s">
        <v>870</v>
      </c>
      <c r="X91" s="2" t="s">
        <v>871</v>
      </c>
      <c r="Y91" s="33"/>
      <c r="Z91" s="9"/>
      <c r="AA91" s="2" t="s">
        <v>1100</v>
      </c>
      <c r="AB91" s="2" t="s">
        <v>1101</v>
      </c>
      <c r="AC91" s="2"/>
      <c r="AD91" s="2" t="s">
        <v>179</v>
      </c>
      <c r="AE91" s="2" t="s">
        <v>198</v>
      </c>
      <c r="AF91" s="2" t="s">
        <v>134</v>
      </c>
      <c r="AG91" s="2" t="s">
        <v>135</v>
      </c>
      <c r="AH91" s="2" t="s">
        <v>136</v>
      </c>
      <c r="AI91" s="2" t="str">
        <f t="shared" si="8"/>
        <v/>
      </c>
      <c r="AJ91" s="2" t="s">
        <v>137</v>
      </c>
      <c r="AK91" s="2" t="s">
        <v>138</v>
      </c>
      <c r="AL91" s="2" t="s">
        <v>139</v>
      </c>
      <c r="AM91" s="2">
        <f t="shared" si="9"/>
        <v>1</v>
      </c>
      <c r="AN91" s="2"/>
      <c r="AO91" s="32" t="s">
        <v>462</v>
      </c>
      <c r="AP91" s="32" t="s">
        <v>141</v>
      </c>
      <c r="AQ91" s="32"/>
      <c r="AR91" s="32" t="s">
        <v>142</v>
      </c>
      <c r="AS91" s="65">
        <f t="shared" si="10"/>
        <v>10</v>
      </c>
      <c r="AT91" s="65">
        <f t="shared" si="11"/>
        <v>4.25</v>
      </c>
      <c r="AU91" s="2" t="str">
        <f>IFERROR(INDEX('Source Review'!$B$2:$B$52,MATCH($A91,'Source Review'!$A$2:$A$52,0)),"NOT SOURCE-REVIEWED IN THIS PASS")</f>
        <v>NOT SOURCE-REVIEWED IN THIS PASS</v>
      </c>
      <c r="AV91" s="5" t="str">
        <f>IFERROR(INDEX('Source Review'!$F$2:$F$52,MATCH($A91,'Source Review'!$A$2:$A$52,0)),"")</f>
        <v/>
      </c>
      <c r="AW91" s="5" t="str">
        <f>IFERROR(INDEX('Source Review'!$G$2:$G$52,MATCH($A91,'Source Review'!$A$2:$A$52,0)),"")</f>
        <v/>
      </c>
      <c r="AX91" s="5" t="str">
        <f>IFERROR(INDEX('Source Review'!$H$2:$H$52,MATCH($A91,'Source Review'!$A$2:$A$52,0)),"")</f>
        <v/>
      </c>
      <c r="AY91" s="2" t="str">
        <f>IF(COUNTIF('Source Review'!$A$2:$A$52,$A91)&gt;0,"UNCONFIRMED REVIEW ESTIMATE - not P80 or elapsed","NOT ESTIMATED IN THIS PASS")</f>
        <v>NOT ESTIMATED IN THIS PASS</v>
      </c>
      <c r="AZ91" s="2" t="str">
        <f>IFERROR(INDEX('Source Review'!$I$2:$I$52,MATCH($A91,'Source Review'!$A$2:$A$52,0)),"")</f>
        <v/>
      </c>
      <c r="BA91" s="2" t="str">
        <f>IFERROR(INDEX('Source Review'!$E$2:$E$52,MATCH($A91,'Source Review'!$A$2:$A$52,0)),"")</f>
        <v/>
      </c>
      <c r="BB91" s="2" t="str">
        <f>IF(COUNTIF('Source Review'!$A$2:$A$52,$A91)&gt;0,"14-Sep-2026 snapshot; later closure evidence separate; no live HEAD verification","")</f>
        <v/>
      </c>
    </row>
    <row r="92" spans="1:54" ht="75.95" hidden="1" customHeight="1">
      <c r="A92" s="2" t="s">
        <v>1102</v>
      </c>
      <c r="B92" s="2" t="s">
        <v>108</v>
      </c>
      <c r="C92" s="2" t="s">
        <v>1103</v>
      </c>
      <c r="D92" s="2" t="s">
        <v>1104</v>
      </c>
      <c r="E92" s="2" t="s">
        <v>145</v>
      </c>
      <c r="F92" s="2" t="s">
        <v>1105</v>
      </c>
      <c r="G92" s="2" t="s">
        <v>113</v>
      </c>
      <c r="H92" s="2" t="s">
        <v>1106</v>
      </c>
      <c r="I92" s="2" t="s">
        <v>1107</v>
      </c>
      <c r="J92" s="65">
        <v>12</v>
      </c>
      <c r="K92" s="94" t="s">
        <v>455</v>
      </c>
      <c r="L92" s="2" t="s">
        <v>117</v>
      </c>
      <c r="M92" s="2" t="s">
        <v>1108</v>
      </c>
      <c r="N92" s="2" t="s">
        <v>1109</v>
      </c>
      <c r="O92" s="2" t="s">
        <v>120</v>
      </c>
      <c r="P92" s="2" t="s">
        <v>121</v>
      </c>
      <c r="Q92" s="2" t="s">
        <v>151</v>
      </c>
      <c r="R92" s="65">
        <v>2.3250000000000002</v>
      </c>
      <c r="S92" s="2" t="s">
        <v>1110</v>
      </c>
      <c r="T92" s="2" t="s">
        <v>1111</v>
      </c>
      <c r="U92" s="2" t="s">
        <v>125</v>
      </c>
      <c r="V92" s="2" t="s">
        <v>1112</v>
      </c>
      <c r="W92" s="2" t="s">
        <v>1113</v>
      </c>
      <c r="X92" s="2" t="s">
        <v>1114</v>
      </c>
      <c r="Y92" s="33"/>
      <c r="Z92" s="9"/>
      <c r="AA92" s="2" t="s">
        <v>1115</v>
      </c>
      <c r="AB92" s="2" t="s">
        <v>1116</v>
      </c>
      <c r="AC92" s="2"/>
      <c r="AD92" s="2" t="s">
        <v>391</v>
      </c>
      <c r="AE92" s="2" t="s">
        <v>157</v>
      </c>
      <c r="AF92" s="2" t="s">
        <v>134</v>
      </c>
      <c r="AG92" s="2" t="s">
        <v>135</v>
      </c>
      <c r="AH92" s="2" t="s">
        <v>136</v>
      </c>
      <c r="AI92" s="2" t="str">
        <f t="shared" si="8"/>
        <v/>
      </c>
      <c r="AJ92" s="2" t="s">
        <v>137</v>
      </c>
      <c r="AK92" s="2" t="s">
        <v>138</v>
      </c>
      <c r="AL92" s="2" t="s">
        <v>139</v>
      </c>
      <c r="AM92" s="2">
        <f t="shared" si="9"/>
        <v>1</v>
      </c>
      <c r="AN92" s="2"/>
      <c r="AO92" s="32" t="s">
        <v>462</v>
      </c>
      <c r="AP92" s="32" t="s">
        <v>141</v>
      </c>
      <c r="AQ92" s="32"/>
      <c r="AR92" s="32" t="s">
        <v>142</v>
      </c>
      <c r="AS92" s="65">
        <f t="shared" si="10"/>
        <v>12</v>
      </c>
      <c r="AT92" s="65">
        <f t="shared" si="11"/>
        <v>2.3250000000000002</v>
      </c>
      <c r="AU92" s="2" t="str">
        <f>IFERROR(INDEX('Source Review'!$B$2:$B$52,MATCH($A92,'Source Review'!$A$2:$A$52,0)),"NOT SOURCE-REVIEWED IN THIS PASS")</f>
        <v>NOT SOURCE-REVIEWED IN THIS PASS</v>
      </c>
      <c r="AV92" s="5" t="str">
        <f>IFERROR(INDEX('Source Review'!$F$2:$F$52,MATCH($A92,'Source Review'!$A$2:$A$52,0)),"")</f>
        <v/>
      </c>
      <c r="AW92" s="5" t="str">
        <f>IFERROR(INDEX('Source Review'!$G$2:$G$52,MATCH($A92,'Source Review'!$A$2:$A$52,0)),"")</f>
        <v/>
      </c>
      <c r="AX92" s="5" t="str">
        <f>IFERROR(INDEX('Source Review'!$H$2:$H$52,MATCH($A92,'Source Review'!$A$2:$A$52,0)),"")</f>
        <v/>
      </c>
      <c r="AY92" s="2" t="str">
        <f>IF(COUNTIF('Source Review'!$A$2:$A$52,$A92)&gt;0,"UNCONFIRMED REVIEW ESTIMATE - not P80 or elapsed","NOT ESTIMATED IN THIS PASS")</f>
        <v>NOT ESTIMATED IN THIS PASS</v>
      </c>
      <c r="AZ92" s="2" t="str">
        <f>IFERROR(INDEX('Source Review'!$I$2:$I$52,MATCH($A92,'Source Review'!$A$2:$A$52,0)),"")</f>
        <v/>
      </c>
      <c r="BA92" s="2" t="str">
        <f>IFERROR(INDEX('Source Review'!$E$2:$E$52,MATCH($A92,'Source Review'!$A$2:$A$52,0)),"")</f>
        <v/>
      </c>
      <c r="BB92" s="2" t="str">
        <f>IF(COUNTIF('Source Review'!$A$2:$A$52,$A92)&gt;0,"14-Sep-2026 snapshot; later closure evidence separate; no live HEAD verification","")</f>
        <v/>
      </c>
    </row>
    <row r="93" spans="1:54" ht="75.95" hidden="1" customHeight="1">
      <c r="A93" s="2" t="s">
        <v>1117</v>
      </c>
      <c r="B93" s="2" t="s">
        <v>108</v>
      </c>
      <c r="C93" s="2" t="s">
        <v>1103</v>
      </c>
      <c r="D93" s="2" t="s">
        <v>1118</v>
      </c>
      <c r="E93" s="2" t="s">
        <v>182</v>
      </c>
      <c r="F93" s="2" t="s">
        <v>1105</v>
      </c>
      <c r="G93" s="2" t="s">
        <v>160</v>
      </c>
      <c r="H93" s="2" t="s">
        <v>1119</v>
      </c>
      <c r="I93" s="2" t="s">
        <v>1120</v>
      </c>
      <c r="J93" s="65">
        <v>8</v>
      </c>
      <c r="K93" s="94" t="s">
        <v>455</v>
      </c>
      <c r="L93" s="2" t="s">
        <v>117</v>
      </c>
      <c r="M93" s="2"/>
      <c r="N93" s="2" t="s">
        <v>1121</v>
      </c>
      <c r="O93" s="2" t="s">
        <v>120</v>
      </c>
      <c r="P93" s="2" t="s">
        <v>121</v>
      </c>
      <c r="Q93" s="2" t="s">
        <v>186</v>
      </c>
      <c r="R93" s="65">
        <v>1.2000000000000002</v>
      </c>
      <c r="S93" s="2" t="s">
        <v>1110</v>
      </c>
      <c r="T93" s="2" t="s">
        <v>1122</v>
      </c>
      <c r="U93" s="2" t="s">
        <v>125</v>
      </c>
      <c r="V93" s="2" t="s">
        <v>126</v>
      </c>
      <c r="W93" s="2" t="s">
        <v>1113</v>
      </c>
      <c r="X93" s="2" t="s">
        <v>1114</v>
      </c>
      <c r="Y93" s="33"/>
      <c r="Z93" s="9"/>
      <c r="AA93" s="2" t="s">
        <v>1123</v>
      </c>
      <c r="AB93" s="2" t="s">
        <v>1124</v>
      </c>
      <c r="AC93" s="2"/>
      <c r="AD93" s="2" t="s">
        <v>391</v>
      </c>
      <c r="AE93" s="2" t="s">
        <v>198</v>
      </c>
      <c r="AF93" s="2" t="s">
        <v>134</v>
      </c>
      <c r="AG93" s="2" t="s">
        <v>135</v>
      </c>
      <c r="AH93" s="2" t="s">
        <v>136</v>
      </c>
      <c r="AI93" s="2" t="str">
        <f t="shared" si="8"/>
        <v/>
      </c>
      <c r="AJ93" s="2" t="s">
        <v>496</v>
      </c>
      <c r="AK93" s="2" t="s">
        <v>138</v>
      </c>
      <c r="AL93" s="2" t="s">
        <v>139</v>
      </c>
      <c r="AM93" s="2">
        <f t="shared" si="9"/>
        <v>0</v>
      </c>
      <c r="AN93" s="2"/>
      <c r="AO93" s="32" t="s">
        <v>462</v>
      </c>
      <c r="AP93" s="32" t="s">
        <v>141</v>
      </c>
      <c r="AQ93" s="32"/>
      <c r="AR93" s="32" t="s">
        <v>486</v>
      </c>
      <c r="AS93" s="65" t="str">
        <f t="shared" si="10"/>
        <v/>
      </c>
      <c r="AT93" s="65" t="str">
        <f t="shared" si="11"/>
        <v/>
      </c>
      <c r="AU93" s="2" t="str">
        <f>IFERROR(INDEX('Source Review'!$B$2:$B$52,MATCH($A93,'Source Review'!$A$2:$A$52,0)),"NOT SOURCE-REVIEWED IN THIS PASS")</f>
        <v>SOURCE REVIEWED — IMPLEMENTATION GAPS / RELEASE RUNTIME UNVERIFIED</v>
      </c>
      <c r="AV93" s="5">
        <f>IFERROR(INDEX('Source Review'!$F$2:$F$52,MATCH($A93,'Source Review'!$A$2:$A$52,0)),"")</f>
        <v>12</v>
      </c>
      <c r="AW93" s="5">
        <f>IFERROR(INDEX('Source Review'!$G$2:$G$52,MATCH($A93,'Source Review'!$A$2:$A$52,0)),"")</f>
        <v>20</v>
      </c>
      <c r="AX93" s="5">
        <f>IFERROR(INDEX('Source Review'!$H$2:$H$52,MATCH($A93,'Source Review'!$A$2:$A$52,0)),"")</f>
        <v>32</v>
      </c>
      <c r="AY93" s="2" t="str">
        <f>IF(COUNTIF('Source Review'!$A$2:$A$52,$A93)&gt;0,"UNCONFIRMED REVIEW ESTIMATE - not P80 or elapsed","NOT ESTIMATED IN THIS PASS")</f>
        <v>UNCONFIRMED REVIEW ESTIMATE - not P80 or elapsed</v>
      </c>
      <c r="AZ93" s="2" t="str">
        <f>IFERROR(INDEX('Source Review'!$I$2:$I$52,MATCH($A93,'Source Review'!$A$2:$A$52,0)),"")</f>
        <v>Credential boundary+tests 5/8/13; profile/route guards 4/7/11; redaction/deployment verification 3/5/8.</v>
      </c>
      <c r="BA93" s="2" t="str">
        <f>IFERROR(INDEX('Source Review'!$E$2:$E$52,MATCH($A93,'Source Review'!$A$2:$A$52,0)),"")</f>
        <v>Backend/PlantProcess.Infrastructure/Connectors/ConnectorCredentialResolver.cs:16-51 — Resolve
Backend/tests/PlantProcess.Api.IntegrationTests/Security/T08ConnectorSecretMaskingIntegrationTests.cs:19-46 — Connector_password_is_masked_on_readback
Backend/PlantProcess.Api/SignedLicensing/V5SignedLicensingEndpoints.cs:51-62 — dev route refusal</v>
      </c>
      <c r="BB93" s="2" t="str">
        <f>IF(COUNTIF('Source Review'!$A$2:$A$52,$A93)&gt;0,"14-Sep-2026 snapshot; later closure evidence separate; no live HEAD verification","")</f>
        <v>14-Sep-2026 snapshot; later closure evidence separate; no live HEAD verification</v>
      </c>
    </row>
    <row r="94" spans="1:54" ht="75.95" hidden="1" customHeight="1">
      <c r="A94" s="2" t="s">
        <v>1125</v>
      </c>
      <c r="B94" s="2" t="s">
        <v>108</v>
      </c>
      <c r="C94" s="2" t="s">
        <v>1103</v>
      </c>
      <c r="D94" s="2" t="s">
        <v>1126</v>
      </c>
      <c r="E94" s="2" t="s">
        <v>182</v>
      </c>
      <c r="F94" s="2" t="s">
        <v>1105</v>
      </c>
      <c r="G94" s="2" t="s">
        <v>160</v>
      </c>
      <c r="H94" s="2" t="s">
        <v>1127</v>
      </c>
      <c r="I94" s="2" t="s">
        <v>1128</v>
      </c>
      <c r="J94" s="65">
        <v>6</v>
      </c>
      <c r="K94" s="94" t="s">
        <v>455</v>
      </c>
      <c r="L94" s="2" t="s">
        <v>117</v>
      </c>
      <c r="M94" s="2" t="s">
        <v>1129</v>
      </c>
      <c r="N94" s="2" t="s">
        <v>1109</v>
      </c>
      <c r="O94" s="2" t="s">
        <v>120</v>
      </c>
      <c r="P94" s="2" t="s">
        <v>121</v>
      </c>
      <c r="Q94" s="2" t="s">
        <v>186</v>
      </c>
      <c r="R94" s="65">
        <v>0.89999999999999991</v>
      </c>
      <c r="S94" s="2" t="s">
        <v>1110</v>
      </c>
      <c r="T94" s="2" t="s">
        <v>1130</v>
      </c>
      <c r="U94" s="2" t="s">
        <v>125</v>
      </c>
      <c r="V94" s="2" t="s">
        <v>1112</v>
      </c>
      <c r="W94" s="2" t="s">
        <v>1113</v>
      </c>
      <c r="X94" s="2" t="s">
        <v>1114</v>
      </c>
      <c r="Y94" s="33"/>
      <c r="Z94" s="9"/>
      <c r="AA94" s="2" t="s">
        <v>1115</v>
      </c>
      <c r="AB94" s="2" t="s">
        <v>1116</v>
      </c>
      <c r="AC94" s="2"/>
      <c r="AD94" s="2" t="s">
        <v>391</v>
      </c>
      <c r="AE94" s="2" t="s">
        <v>198</v>
      </c>
      <c r="AF94" s="2" t="s">
        <v>134</v>
      </c>
      <c r="AG94" s="2" t="s">
        <v>135</v>
      </c>
      <c r="AH94" s="2" t="s">
        <v>136</v>
      </c>
      <c r="AI94" s="2" t="str">
        <f t="shared" si="8"/>
        <v/>
      </c>
      <c r="AJ94" s="2" t="s">
        <v>137</v>
      </c>
      <c r="AK94" s="2" t="s">
        <v>138</v>
      </c>
      <c r="AL94" s="2" t="s">
        <v>139</v>
      </c>
      <c r="AM94" s="2">
        <f t="shared" si="9"/>
        <v>1</v>
      </c>
      <c r="AN94" s="2"/>
      <c r="AO94" s="32" t="s">
        <v>462</v>
      </c>
      <c r="AP94" s="32" t="s">
        <v>141</v>
      </c>
      <c r="AQ94" s="32"/>
      <c r="AR94" s="32" t="s">
        <v>142</v>
      </c>
      <c r="AS94" s="65">
        <f t="shared" si="10"/>
        <v>6</v>
      </c>
      <c r="AT94" s="65">
        <f t="shared" si="11"/>
        <v>0.89999999999999991</v>
      </c>
      <c r="AU94" s="2" t="str">
        <f>IFERROR(INDEX('Source Review'!$B$2:$B$52,MATCH($A94,'Source Review'!$A$2:$A$52,0)),"NOT SOURCE-REVIEWED IN THIS PASS")</f>
        <v>NOT SOURCE-REVIEWED IN THIS PASS</v>
      </c>
      <c r="AV94" s="5" t="str">
        <f>IFERROR(INDEX('Source Review'!$F$2:$F$52,MATCH($A94,'Source Review'!$A$2:$A$52,0)),"")</f>
        <v/>
      </c>
      <c r="AW94" s="5" t="str">
        <f>IFERROR(INDEX('Source Review'!$G$2:$G$52,MATCH($A94,'Source Review'!$A$2:$A$52,0)),"")</f>
        <v/>
      </c>
      <c r="AX94" s="5" t="str">
        <f>IFERROR(INDEX('Source Review'!$H$2:$H$52,MATCH($A94,'Source Review'!$A$2:$A$52,0)),"")</f>
        <v/>
      </c>
      <c r="AY94" s="2" t="str">
        <f>IF(COUNTIF('Source Review'!$A$2:$A$52,$A94)&gt;0,"UNCONFIRMED REVIEW ESTIMATE - not P80 or elapsed","NOT ESTIMATED IN THIS PASS")</f>
        <v>NOT ESTIMATED IN THIS PASS</v>
      </c>
      <c r="AZ94" s="2" t="str">
        <f>IFERROR(INDEX('Source Review'!$I$2:$I$52,MATCH($A94,'Source Review'!$A$2:$A$52,0)),"")</f>
        <v/>
      </c>
      <c r="BA94" s="2" t="str">
        <f>IFERROR(INDEX('Source Review'!$E$2:$E$52,MATCH($A94,'Source Review'!$A$2:$A$52,0)),"")</f>
        <v/>
      </c>
      <c r="BB94" s="2" t="str">
        <f>IF(COUNTIF('Source Review'!$A$2:$A$52,$A94)&gt;0,"14-Sep-2026 snapshot; later closure evidence separate; no live HEAD verification","")</f>
        <v/>
      </c>
    </row>
    <row r="95" spans="1:54" ht="75.95" hidden="1" customHeight="1">
      <c r="A95" s="2" t="s">
        <v>1131</v>
      </c>
      <c r="B95" s="2" t="s">
        <v>108</v>
      </c>
      <c r="C95" s="2" t="s">
        <v>1103</v>
      </c>
      <c r="D95" s="2" t="s">
        <v>1132</v>
      </c>
      <c r="E95" s="2" t="s">
        <v>145</v>
      </c>
      <c r="F95" s="2" t="s">
        <v>146</v>
      </c>
      <c r="G95" s="2" t="s">
        <v>160</v>
      </c>
      <c r="H95" s="2" t="s">
        <v>1133</v>
      </c>
      <c r="I95" s="2" t="s">
        <v>1134</v>
      </c>
      <c r="J95" s="65">
        <v>4</v>
      </c>
      <c r="K95" s="94" t="s">
        <v>455</v>
      </c>
      <c r="L95" s="2" t="s">
        <v>117</v>
      </c>
      <c r="M95" s="2"/>
      <c r="N95" s="2" t="s">
        <v>743</v>
      </c>
      <c r="O95" s="2" t="s">
        <v>120</v>
      </c>
      <c r="P95" s="2" t="s">
        <v>121</v>
      </c>
      <c r="Q95" s="2" t="s">
        <v>151</v>
      </c>
      <c r="R95" s="65">
        <v>0.77500000000000002</v>
      </c>
      <c r="S95" s="2" t="s">
        <v>1110</v>
      </c>
      <c r="T95" s="2" t="s">
        <v>1122</v>
      </c>
      <c r="U95" s="2" t="s">
        <v>125</v>
      </c>
      <c r="V95" s="2" t="s">
        <v>126</v>
      </c>
      <c r="W95" s="2" t="s">
        <v>1113</v>
      </c>
      <c r="X95" s="2" t="s">
        <v>1114</v>
      </c>
      <c r="Y95" s="33"/>
      <c r="Z95" s="9"/>
      <c r="AA95" s="2" t="s">
        <v>165</v>
      </c>
      <c r="AB95" s="2" t="s">
        <v>166</v>
      </c>
      <c r="AC95" s="2" t="s">
        <v>285</v>
      </c>
      <c r="AD95" s="2" t="s">
        <v>132</v>
      </c>
      <c r="AE95" s="2" t="s">
        <v>157</v>
      </c>
      <c r="AF95" s="2" t="s">
        <v>134</v>
      </c>
      <c r="AG95" s="2" t="s">
        <v>135</v>
      </c>
      <c r="AH95" s="2" t="s">
        <v>136</v>
      </c>
      <c r="AI95" s="2" t="str">
        <f t="shared" si="8"/>
        <v/>
      </c>
      <c r="AJ95" s="2" t="s">
        <v>1135</v>
      </c>
      <c r="AK95" s="2" t="s">
        <v>138</v>
      </c>
      <c r="AL95" s="2" t="s">
        <v>139</v>
      </c>
      <c r="AM95" s="2">
        <f t="shared" si="9"/>
        <v>1</v>
      </c>
      <c r="AN95" s="2"/>
      <c r="AO95" s="32" t="s">
        <v>462</v>
      </c>
      <c r="AP95" s="32" t="s">
        <v>141</v>
      </c>
      <c r="AQ95" s="32"/>
      <c r="AR95" s="32" t="s">
        <v>142</v>
      </c>
      <c r="AS95" s="65">
        <f t="shared" si="10"/>
        <v>4</v>
      </c>
      <c r="AT95" s="65">
        <f t="shared" si="11"/>
        <v>0.77500000000000002</v>
      </c>
      <c r="AU95" s="2" t="str">
        <f>IFERROR(INDEX('Source Review'!$B$2:$B$52,MATCH($A95,'Source Review'!$A$2:$A$52,0)),"NOT SOURCE-REVIEWED IN THIS PASS")</f>
        <v>NOT SOURCE-REVIEWED IN THIS PASS</v>
      </c>
      <c r="AV95" s="5" t="str">
        <f>IFERROR(INDEX('Source Review'!$F$2:$F$52,MATCH($A95,'Source Review'!$A$2:$A$52,0)),"")</f>
        <v/>
      </c>
      <c r="AW95" s="5" t="str">
        <f>IFERROR(INDEX('Source Review'!$G$2:$G$52,MATCH($A95,'Source Review'!$A$2:$A$52,0)),"")</f>
        <v/>
      </c>
      <c r="AX95" s="5" t="str">
        <f>IFERROR(INDEX('Source Review'!$H$2:$H$52,MATCH($A95,'Source Review'!$A$2:$A$52,0)),"")</f>
        <v/>
      </c>
      <c r="AY95" s="2" t="str">
        <f>IF(COUNTIF('Source Review'!$A$2:$A$52,$A95)&gt;0,"UNCONFIRMED REVIEW ESTIMATE - not P80 or elapsed","NOT ESTIMATED IN THIS PASS")</f>
        <v>NOT ESTIMATED IN THIS PASS</v>
      </c>
      <c r="AZ95" s="2" t="str">
        <f>IFERROR(INDEX('Source Review'!$I$2:$I$52,MATCH($A95,'Source Review'!$A$2:$A$52,0)),"")</f>
        <v/>
      </c>
      <c r="BA95" s="2" t="str">
        <f>IFERROR(INDEX('Source Review'!$E$2:$E$52,MATCH($A95,'Source Review'!$A$2:$A$52,0)),"")</f>
        <v/>
      </c>
      <c r="BB95" s="2" t="str">
        <f>IF(COUNTIF('Source Review'!$A$2:$A$52,$A95)&gt;0,"14-Sep-2026 snapshot; later closure evidence separate; no live HEAD verification","")</f>
        <v/>
      </c>
    </row>
    <row r="96" spans="1:54" ht="75.95" hidden="1" customHeight="1">
      <c r="A96" s="2" t="s">
        <v>1136</v>
      </c>
      <c r="B96" s="2" t="s">
        <v>108</v>
      </c>
      <c r="C96" s="2" t="s">
        <v>1103</v>
      </c>
      <c r="D96" s="2" t="s">
        <v>1137</v>
      </c>
      <c r="E96" s="2" t="s">
        <v>182</v>
      </c>
      <c r="F96" s="2" t="s">
        <v>1138</v>
      </c>
      <c r="G96" s="2" t="s">
        <v>113</v>
      </c>
      <c r="H96" s="2" t="s">
        <v>1139</v>
      </c>
      <c r="I96" s="2" t="s">
        <v>1140</v>
      </c>
      <c r="J96" s="65">
        <v>12</v>
      </c>
      <c r="K96" s="94" t="s">
        <v>455</v>
      </c>
      <c r="L96" s="2" t="s">
        <v>117</v>
      </c>
      <c r="M96" s="2"/>
      <c r="N96" s="2" t="s">
        <v>1141</v>
      </c>
      <c r="O96" s="2" t="s">
        <v>120</v>
      </c>
      <c r="P96" s="2" t="s">
        <v>121</v>
      </c>
      <c r="Q96" s="2" t="s">
        <v>186</v>
      </c>
      <c r="R96" s="65">
        <v>1.7999999999999998</v>
      </c>
      <c r="S96" s="2" t="s">
        <v>1110</v>
      </c>
      <c r="T96" s="2" t="s">
        <v>1122</v>
      </c>
      <c r="U96" s="2" t="s">
        <v>125</v>
      </c>
      <c r="V96" s="2" t="s">
        <v>126</v>
      </c>
      <c r="W96" s="2" t="s">
        <v>1113</v>
      </c>
      <c r="X96" s="2" t="s">
        <v>1114</v>
      </c>
      <c r="Y96" s="33"/>
      <c r="Z96" s="9"/>
      <c r="AA96" s="2" t="s">
        <v>1142</v>
      </c>
      <c r="AB96" s="2" t="s">
        <v>1143</v>
      </c>
      <c r="AC96" s="2"/>
      <c r="AD96" s="2" t="s">
        <v>156</v>
      </c>
      <c r="AE96" s="2" t="s">
        <v>191</v>
      </c>
      <c r="AF96" s="2" t="s">
        <v>134</v>
      </c>
      <c r="AG96" s="2" t="s">
        <v>135</v>
      </c>
      <c r="AH96" s="2" t="s">
        <v>136</v>
      </c>
      <c r="AI96" s="2" t="str">
        <f t="shared" si="8"/>
        <v/>
      </c>
      <c r="AJ96" s="2" t="s">
        <v>137</v>
      </c>
      <c r="AK96" s="2" t="s">
        <v>138</v>
      </c>
      <c r="AL96" s="2" t="s">
        <v>139</v>
      </c>
      <c r="AM96" s="2">
        <f t="shared" si="9"/>
        <v>1</v>
      </c>
      <c r="AN96" s="2"/>
      <c r="AO96" s="32" t="s">
        <v>462</v>
      </c>
      <c r="AP96" s="32" t="s">
        <v>141</v>
      </c>
      <c r="AQ96" s="32"/>
      <c r="AR96" s="32" t="s">
        <v>142</v>
      </c>
      <c r="AS96" s="65">
        <f t="shared" si="10"/>
        <v>12</v>
      </c>
      <c r="AT96" s="65">
        <f t="shared" si="11"/>
        <v>1.7999999999999998</v>
      </c>
      <c r="AU96" s="2" t="str">
        <f>IFERROR(INDEX('Source Review'!$B$2:$B$52,MATCH($A96,'Source Review'!$A$2:$A$52,0)),"NOT SOURCE-REVIEWED IN THIS PASS")</f>
        <v>NOT SOURCE-REVIEWED IN THIS PASS</v>
      </c>
      <c r="AV96" s="5" t="str">
        <f>IFERROR(INDEX('Source Review'!$F$2:$F$52,MATCH($A96,'Source Review'!$A$2:$A$52,0)),"")</f>
        <v/>
      </c>
      <c r="AW96" s="5" t="str">
        <f>IFERROR(INDEX('Source Review'!$G$2:$G$52,MATCH($A96,'Source Review'!$A$2:$A$52,0)),"")</f>
        <v/>
      </c>
      <c r="AX96" s="5" t="str">
        <f>IFERROR(INDEX('Source Review'!$H$2:$H$52,MATCH($A96,'Source Review'!$A$2:$A$52,0)),"")</f>
        <v/>
      </c>
      <c r="AY96" s="2" t="str">
        <f>IF(COUNTIF('Source Review'!$A$2:$A$52,$A96)&gt;0,"UNCONFIRMED REVIEW ESTIMATE - not P80 or elapsed","NOT ESTIMATED IN THIS PASS")</f>
        <v>NOT ESTIMATED IN THIS PASS</v>
      </c>
      <c r="AZ96" s="2" t="str">
        <f>IFERROR(INDEX('Source Review'!$I$2:$I$52,MATCH($A96,'Source Review'!$A$2:$A$52,0)),"")</f>
        <v/>
      </c>
      <c r="BA96" s="2" t="str">
        <f>IFERROR(INDEX('Source Review'!$E$2:$E$52,MATCH($A96,'Source Review'!$A$2:$A$52,0)),"")</f>
        <v/>
      </c>
      <c r="BB96" s="2" t="str">
        <f>IF(COUNTIF('Source Review'!$A$2:$A$52,$A96)&gt;0,"14-Sep-2026 snapshot; later closure evidence separate; no live HEAD verification","")</f>
        <v/>
      </c>
    </row>
    <row r="97" spans="1:54" ht="75.95" hidden="1" customHeight="1">
      <c r="A97" s="2" t="s">
        <v>1144</v>
      </c>
      <c r="B97" s="2" t="s">
        <v>108</v>
      </c>
      <c r="C97" s="2" t="s">
        <v>1103</v>
      </c>
      <c r="D97" s="2" t="s">
        <v>1145</v>
      </c>
      <c r="E97" s="2" t="s">
        <v>264</v>
      </c>
      <c r="F97" s="2" t="s">
        <v>1138</v>
      </c>
      <c r="G97" s="2" t="s">
        <v>160</v>
      </c>
      <c r="H97" s="2" t="s">
        <v>1146</v>
      </c>
      <c r="I97" s="2" t="s">
        <v>1147</v>
      </c>
      <c r="J97" s="65">
        <v>12</v>
      </c>
      <c r="K97" s="94" t="s">
        <v>455</v>
      </c>
      <c r="L97" s="2" t="s">
        <v>36</v>
      </c>
      <c r="M97" s="2"/>
      <c r="N97" s="2"/>
      <c r="O97" s="2" t="s">
        <v>120</v>
      </c>
      <c r="P97" s="2" t="s">
        <v>121</v>
      </c>
      <c r="Q97" s="2" t="s">
        <v>458</v>
      </c>
      <c r="R97" s="65">
        <v>2</v>
      </c>
      <c r="S97" s="2" t="s">
        <v>1110</v>
      </c>
      <c r="T97" s="2" t="s">
        <v>1122</v>
      </c>
      <c r="U97" s="2" t="s">
        <v>460</v>
      </c>
      <c r="V97" s="2" t="s">
        <v>126</v>
      </c>
      <c r="W97" s="2" t="s">
        <v>1113</v>
      </c>
      <c r="X97" s="2" t="s">
        <v>1114</v>
      </c>
      <c r="Y97" s="33"/>
      <c r="Z97" s="9"/>
      <c r="AA97" s="2" t="s">
        <v>1142</v>
      </c>
      <c r="AB97" s="2" t="s">
        <v>1143</v>
      </c>
      <c r="AC97" s="2"/>
      <c r="AD97" s="2" t="s">
        <v>179</v>
      </c>
      <c r="AE97" s="2" t="s">
        <v>251</v>
      </c>
      <c r="AF97" s="2" t="s">
        <v>134</v>
      </c>
      <c r="AG97" s="2" t="s">
        <v>135</v>
      </c>
      <c r="AH97" s="2" t="s">
        <v>136</v>
      </c>
      <c r="AI97" s="2" t="str">
        <f t="shared" si="8"/>
        <v/>
      </c>
      <c r="AJ97" s="2" t="s">
        <v>137</v>
      </c>
      <c r="AK97" s="2" t="s">
        <v>138</v>
      </c>
      <c r="AL97" s="2" t="s">
        <v>1148</v>
      </c>
      <c r="AM97" s="2">
        <f t="shared" si="9"/>
        <v>1</v>
      </c>
      <c r="AN97" s="2"/>
      <c r="AO97" s="32" t="s">
        <v>462</v>
      </c>
      <c r="AP97" s="32" t="s">
        <v>141</v>
      </c>
      <c r="AQ97" s="32"/>
      <c r="AR97" s="32" t="s">
        <v>142</v>
      </c>
      <c r="AS97" s="65">
        <f t="shared" si="10"/>
        <v>12</v>
      </c>
      <c r="AT97" s="65">
        <f t="shared" si="11"/>
        <v>2</v>
      </c>
      <c r="AU97" s="2" t="str">
        <f>IFERROR(INDEX('Source Review'!$B$2:$B$52,MATCH($A97,'Source Review'!$A$2:$A$52,0)),"NOT SOURCE-REVIEWED IN THIS PASS")</f>
        <v>NOT SOURCE-REVIEWED IN THIS PASS</v>
      </c>
      <c r="AV97" s="5" t="str">
        <f>IFERROR(INDEX('Source Review'!$F$2:$F$52,MATCH($A97,'Source Review'!$A$2:$A$52,0)),"")</f>
        <v/>
      </c>
      <c r="AW97" s="5" t="str">
        <f>IFERROR(INDEX('Source Review'!$G$2:$G$52,MATCH($A97,'Source Review'!$A$2:$A$52,0)),"")</f>
        <v/>
      </c>
      <c r="AX97" s="5" t="str">
        <f>IFERROR(INDEX('Source Review'!$H$2:$H$52,MATCH($A97,'Source Review'!$A$2:$A$52,0)),"")</f>
        <v/>
      </c>
      <c r="AY97" s="2" t="str">
        <f>IF(COUNTIF('Source Review'!$A$2:$A$52,$A97)&gt;0,"UNCONFIRMED REVIEW ESTIMATE - not P80 or elapsed","NOT ESTIMATED IN THIS PASS")</f>
        <v>NOT ESTIMATED IN THIS PASS</v>
      </c>
      <c r="AZ97" s="2" t="str">
        <f>IFERROR(INDEX('Source Review'!$I$2:$I$52,MATCH($A97,'Source Review'!$A$2:$A$52,0)),"")</f>
        <v/>
      </c>
      <c r="BA97" s="2" t="str">
        <f>IFERROR(INDEX('Source Review'!$E$2:$E$52,MATCH($A97,'Source Review'!$A$2:$A$52,0)),"")</f>
        <v/>
      </c>
      <c r="BB97" s="2" t="str">
        <f>IF(COUNTIF('Source Review'!$A$2:$A$52,$A97)&gt;0,"14-Sep-2026 snapshot; later closure evidence separate; no live HEAD verification","")</f>
        <v/>
      </c>
    </row>
    <row r="98" spans="1:54" ht="75.95" hidden="1" customHeight="1">
      <c r="A98" s="2" t="s">
        <v>1149</v>
      </c>
      <c r="B98" s="2" t="s">
        <v>108</v>
      </c>
      <c r="C98" s="2" t="s">
        <v>1103</v>
      </c>
      <c r="D98" s="2" t="s">
        <v>1150</v>
      </c>
      <c r="E98" s="2" t="s">
        <v>182</v>
      </c>
      <c r="F98" s="2" t="s">
        <v>1151</v>
      </c>
      <c r="G98" s="2" t="s">
        <v>113</v>
      </c>
      <c r="H98" s="2" t="s">
        <v>1152</v>
      </c>
      <c r="I98" s="2" t="s">
        <v>1153</v>
      </c>
      <c r="J98" s="65">
        <v>16</v>
      </c>
      <c r="K98" s="94" t="s">
        <v>455</v>
      </c>
      <c r="L98" s="2" t="s">
        <v>117</v>
      </c>
      <c r="M98" s="2" t="s">
        <v>1136</v>
      </c>
      <c r="N98" s="2" t="s">
        <v>1154</v>
      </c>
      <c r="O98" s="2" t="s">
        <v>120</v>
      </c>
      <c r="P98" s="2" t="s">
        <v>121</v>
      </c>
      <c r="Q98" s="2" t="s">
        <v>186</v>
      </c>
      <c r="R98" s="65">
        <v>1.7999999999999998</v>
      </c>
      <c r="S98" s="2" t="s">
        <v>1110</v>
      </c>
      <c r="T98" s="2" t="s">
        <v>1155</v>
      </c>
      <c r="U98" s="2" t="s">
        <v>125</v>
      </c>
      <c r="V98" s="2" t="s">
        <v>126</v>
      </c>
      <c r="W98" s="2" t="s">
        <v>1113</v>
      </c>
      <c r="X98" s="2" t="s">
        <v>1114</v>
      </c>
      <c r="Y98" s="33"/>
      <c r="Z98" s="9"/>
      <c r="AA98" s="2" t="s">
        <v>1156</v>
      </c>
      <c r="AB98" s="2" t="s">
        <v>1157</v>
      </c>
      <c r="AC98" s="2" t="s">
        <v>1158</v>
      </c>
      <c r="AD98" s="2" t="s">
        <v>179</v>
      </c>
      <c r="AE98" s="2" t="s">
        <v>198</v>
      </c>
      <c r="AF98" s="2" t="s">
        <v>134</v>
      </c>
      <c r="AG98" s="2" t="s">
        <v>135</v>
      </c>
      <c r="AH98" s="2" t="s">
        <v>136</v>
      </c>
      <c r="AI98" s="2" t="str">
        <f t="shared" ref="AI98:AI129" si="12">IF(Y98="","",Y98)</f>
        <v/>
      </c>
      <c r="AJ98" s="2" t="s">
        <v>496</v>
      </c>
      <c r="AK98" s="2" t="s">
        <v>138</v>
      </c>
      <c r="AL98" s="2" t="s">
        <v>1159</v>
      </c>
      <c r="AM98" s="2">
        <f t="shared" ref="AM98:AM129" si="13">IF(AND(ISNUMBER(J98),OR(AR98="INHERITED ESTIMATE",AR98="CONFIRMED ESTIMATE")),1,0)</f>
        <v>0</v>
      </c>
      <c r="AN98" s="2"/>
      <c r="AO98" s="32" t="s">
        <v>462</v>
      </c>
      <c r="AP98" s="32" t="s">
        <v>141</v>
      </c>
      <c r="AQ98" s="32"/>
      <c r="AR98" s="32" t="s">
        <v>486</v>
      </c>
      <c r="AS98" s="65" t="str">
        <f t="shared" ref="AS98:AS129" si="14">IF(AM98=1,J98,"")</f>
        <v/>
      </c>
      <c r="AT98" s="65" t="str">
        <f t="shared" ref="AT98:AT129" si="15">IF(AND(AM98=1,ISNUMBER(R98)),R98,"")</f>
        <v/>
      </c>
      <c r="AU98" s="2" t="str">
        <f>IFERROR(INDEX('Source Review'!$B$2:$B$52,MATCH($A98,'Source Review'!$A$2:$A$52,0)),"NOT SOURCE-REVIEWED IN THIS PASS")</f>
        <v>BOUNDED SOURCE REVIEW — METER/UI REMAINDER NEEDS DEEPER TRACE</v>
      </c>
      <c r="AV98" s="5">
        <f>IFERROR(INDEX('Source Review'!$F$2:$F$52,MATCH($A98,'Source Review'!$A$2:$A$52,0)),"")</f>
        <v>10</v>
      </c>
      <c r="AW98" s="5">
        <f>IFERROR(INDEX('Source Review'!$G$2:$G$52,MATCH($A98,'Source Review'!$A$2:$A$52,0)),"")</f>
        <v>18</v>
      </c>
      <c r="AX98" s="5">
        <f>IFERROR(INDEX('Source Review'!$H$2:$H$52,MATCH($A98,'Source Review'!$A$2:$A$52,0)),"")</f>
        <v>30</v>
      </c>
      <c r="AY98" s="2" t="str">
        <f>IF(COUNTIF('Source Review'!$A$2:$A$52,$A98)&gt;0,"UNCONFIRMED REVIEW ESTIMATE - not P80 or elapsed","NOT ESTIMATED IN THIS PASS")</f>
        <v>UNCONFIRMED REVIEW ESTIMATE - not P80 or elapsed</v>
      </c>
      <c r="AZ98" s="2" t="str">
        <f>IFERROR(INDEX('Source Review'!$I$2:$I$52,MATCH($A98,'Source Review'!$A$2:$A$52,0)),"")</f>
        <v>DI and entitlement reconciliation 2/3/5; meters/quota surfaces 5/10/17; acceptance/negative tests 3/5/8.</v>
      </c>
      <c r="BA98" s="2" t="str">
        <f>IFERROR(INDEX('Source Review'!$E$2:$E$52,MATCH($A98,'Source Review'!$A$2:$A$52,0)),"")</f>
        <v>Backend/PlantProcess.Api/SignedLicensing/VerifiedEd25519LicenseService.cs:10-60 — feature/tier authority
Backend/PlantProcess.Api/Program.cs:725-744 — licence DI
Backend/PlantProcess.Application/DependencyInjection.cs:58-63 — legacy DI
Backend/PlantProcess.Api/SignedLicensing/V5SignedLicensingEndpoints.cs:51-62 — development guard</v>
      </c>
      <c r="BB98" s="2" t="str">
        <f>IF(COUNTIF('Source Review'!$A$2:$A$52,$A98)&gt;0,"14-Sep-2026 snapshot; later closure evidence separate; no live HEAD verification","")</f>
        <v>14-Sep-2026 snapshot; later closure evidence separate; no live HEAD verification</v>
      </c>
    </row>
    <row r="99" spans="1:54" ht="75.95" hidden="1" customHeight="1">
      <c r="A99" s="2" t="s">
        <v>1160</v>
      </c>
      <c r="B99" s="2" t="s">
        <v>108</v>
      </c>
      <c r="C99" s="2" t="s">
        <v>1103</v>
      </c>
      <c r="D99" s="2" t="s">
        <v>1161</v>
      </c>
      <c r="E99" s="2" t="s">
        <v>1162</v>
      </c>
      <c r="F99" s="2" t="s">
        <v>1163</v>
      </c>
      <c r="G99" s="2" t="s">
        <v>113</v>
      </c>
      <c r="H99" s="2" t="s">
        <v>1164</v>
      </c>
      <c r="I99" s="2" t="s">
        <v>1165</v>
      </c>
      <c r="J99" s="65">
        <v>14</v>
      </c>
      <c r="K99" s="94" t="s">
        <v>455</v>
      </c>
      <c r="L99" s="2" t="s">
        <v>117</v>
      </c>
      <c r="M99" s="2"/>
      <c r="N99" s="2" t="s">
        <v>1166</v>
      </c>
      <c r="O99" s="2" t="s">
        <v>120</v>
      </c>
      <c r="P99" s="2" t="s">
        <v>121</v>
      </c>
      <c r="Q99" s="2" t="s">
        <v>1167</v>
      </c>
      <c r="R99" s="65">
        <v>3.2</v>
      </c>
      <c r="S99" s="2" t="s">
        <v>1110</v>
      </c>
      <c r="T99" s="2" t="s">
        <v>1122</v>
      </c>
      <c r="U99" s="2" t="s">
        <v>125</v>
      </c>
      <c r="V99" s="2" t="s">
        <v>126</v>
      </c>
      <c r="W99" s="2" t="s">
        <v>1113</v>
      </c>
      <c r="X99" s="2" t="s">
        <v>1114</v>
      </c>
      <c r="Y99" s="33"/>
      <c r="Z99" s="9"/>
      <c r="AA99" s="2" t="s">
        <v>165</v>
      </c>
      <c r="AB99" s="2" t="s">
        <v>166</v>
      </c>
      <c r="AC99" s="2" t="s">
        <v>1168</v>
      </c>
      <c r="AD99" s="2" t="s">
        <v>156</v>
      </c>
      <c r="AE99" s="2" t="s">
        <v>157</v>
      </c>
      <c r="AF99" s="2" t="s">
        <v>134</v>
      </c>
      <c r="AG99" s="2" t="s">
        <v>135</v>
      </c>
      <c r="AH99" s="2" t="s">
        <v>136</v>
      </c>
      <c r="AI99" s="2" t="str">
        <f t="shared" si="12"/>
        <v/>
      </c>
      <c r="AJ99" s="2" t="s">
        <v>496</v>
      </c>
      <c r="AK99" s="2" t="s">
        <v>138</v>
      </c>
      <c r="AL99" s="2" t="s">
        <v>139</v>
      </c>
      <c r="AM99" s="2">
        <f t="shared" si="13"/>
        <v>0</v>
      </c>
      <c r="AN99" s="2"/>
      <c r="AO99" s="32" t="s">
        <v>462</v>
      </c>
      <c r="AP99" s="32" t="s">
        <v>141</v>
      </c>
      <c r="AQ99" s="32"/>
      <c r="AR99" s="32" t="s">
        <v>486</v>
      </c>
      <c r="AS99" s="65" t="str">
        <f t="shared" si="14"/>
        <v/>
      </c>
      <c r="AT99" s="65" t="str">
        <f t="shared" si="15"/>
        <v/>
      </c>
      <c r="AU99" s="2" t="str">
        <f>IFERROR(INDEX('Source Review'!$B$2:$B$52,MATCH($A99,'Source Review'!$A$2:$A$52,0)),"NOT SOURCE-REVIEWED IN THIS PASS")</f>
        <v>BOUNDED SOURCE REVIEW — DEPLOYMENT EXECUTION UNVERIFIED</v>
      </c>
      <c r="AV99" s="5">
        <f>IFERROR(INDEX('Source Review'!$F$2:$F$52,MATCH($A99,'Source Review'!$A$2:$A$52,0)),"")</f>
        <v>12</v>
      </c>
      <c r="AW99" s="5">
        <f>IFERROR(INDEX('Source Review'!$G$2:$G$52,MATCH($A99,'Source Review'!$A$2:$A$52,0)),"")</f>
        <v>20</v>
      </c>
      <c r="AX99" s="5">
        <f>IFERROR(INDEX('Source Review'!$H$2:$H$52,MATCH($A99,'Source Review'!$A$2:$A$52,0)),"")</f>
        <v>36</v>
      </c>
      <c r="AY99" s="2" t="str">
        <f>IF(COUNTIF('Source Review'!$A$2:$A$52,$A99)&gt;0,"UNCONFIRMED REVIEW ESTIMATE - not P80 or elapsed","NOT ESTIMATED IN THIS PASS")</f>
        <v>UNCONFIRMED REVIEW ESTIMATE - not P80 or elapsed</v>
      </c>
      <c r="AZ99" s="2" t="str">
        <f>IFERROR(INDEX('Source Review'!$I$2:$I$52,MATCH($A99,'Source Review'!$A$2:$A$52,0)),"")</f>
        <v>Path/ledger convergence 4/7/12; populated-upgrade/rollback tests 5/8/15; clean-host profile/non-root proof 3/5/9.</v>
      </c>
      <c r="BA99" s="2" t="str">
        <f>IFERROR(INDEX('Source Review'!$E$2:$E$52,MATCH($A99,'Source Review'!$A$2:$A$52,0)),"")</f>
        <v>deploy/scripts/ppiq.ps1:3-20 — command contract
deploy/scripts/ppiq.ps1:44-63 — profile/path selection
Backend/database/canonical-migration-order.json:1-20 — canonical ledger</v>
      </c>
      <c r="BB99" s="2" t="str">
        <f>IF(COUNTIF('Source Review'!$A$2:$A$52,$A99)&gt;0,"14-Sep-2026 snapshot; later closure evidence separate; no live HEAD verification","")</f>
        <v>14-Sep-2026 snapshot; later closure evidence separate; no live HEAD verification</v>
      </c>
    </row>
    <row r="100" spans="1:54" ht="75.95" hidden="1" customHeight="1">
      <c r="A100" s="2" t="s">
        <v>1169</v>
      </c>
      <c r="B100" s="2" t="s">
        <v>108</v>
      </c>
      <c r="C100" s="2" t="s">
        <v>1103</v>
      </c>
      <c r="D100" s="2" t="s">
        <v>1170</v>
      </c>
      <c r="E100" s="2" t="s">
        <v>1162</v>
      </c>
      <c r="F100" s="2" t="s">
        <v>1171</v>
      </c>
      <c r="G100" s="2" t="s">
        <v>113</v>
      </c>
      <c r="H100" s="2" t="s">
        <v>1172</v>
      </c>
      <c r="I100" s="2" t="s">
        <v>1173</v>
      </c>
      <c r="J100" s="65">
        <v>12</v>
      </c>
      <c r="K100" s="94" t="s">
        <v>455</v>
      </c>
      <c r="L100" s="2" t="s">
        <v>117</v>
      </c>
      <c r="M100" s="2"/>
      <c r="N100" s="2" t="s">
        <v>1174</v>
      </c>
      <c r="O100" s="2" t="s">
        <v>120</v>
      </c>
      <c r="P100" s="2" t="s">
        <v>121</v>
      </c>
      <c r="Q100" s="2" t="s">
        <v>1167</v>
      </c>
      <c r="R100" s="65">
        <v>3.2</v>
      </c>
      <c r="S100" s="2" t="s">
        <v>1110</v>
      </c>
      <c r="T100" s="2" t="s">
        <v>1122</v>
      </c>
      <c r="U100" s="2" t="s">
        <v>125</v>
      </c>
      <c r="V100" s="2" t="s">
        <v>126</v>
      </c>
      <c r="W100" s="2" t="s">
        <v>1113</v>
      </c>
      <c r="X100" s="2" t="s">
        <v>1114</v>
      </c>
      <c r="Y100" s="33"/>
      <c r="Z100" s="9"/>
      <c r="AA100" s="2" t="s">
        <v>1175</v>
      </c>
      <c r="AB100" s="2" t="s">
        <v>1176</v>
      </c>
      <c r="AC100" s="2"/>
      <c r="AD100" s="2" t="s">
        <v>179</v>
      </c>
      <c r="AE100" s="2" t="s">
        <v>157</v>
      </c>
      <c r="AF100" s="2" t="s">
        <v>134</v>
      </c>
      <c r="AG100" s="2" t="s">
        <v>135</v>
      </c>
      <c r="AH100" s="2" t="s">
        <v>136</v>
      </c>
      <c r="AI100" s="2" t="str">
        <f t="shared" si="12"/>
        <v/>
      </c>
      <c r="AJ100" s="2" t="s">
        <v>137</v>
      </c>
      <c r="AK100" s="2" t="s">
        <v>138</v>
      </c>
      <c r="AL100" s="2" t="s">
        <v>139</v>
      </c>
      <c r="AM100" s="2">
        <f t="shared" si="13"/>
        <v>1</v>
      </c>
      <c r="AN100" s="2"/>
      <c r="AO100" s="32" t="s">
        <v>462</v>
      </c>
      <c r="AP100" s="32" t="s">
        <v>141</v>
      </c>
      <c r="AQ100" s="32"/>
      <c r="AR100" s="32" t="s">
        <v>142</v>
      </c>
      <c r="AS100" s="65">
        <f t="shared" si="14"/>
        <v>12</v>
      </c>
      <c r="AT100" s="65">
        <f t="shared" si="15"/>
        <v>3.2</v>
      </c>
      <c r="AU100" s="2" t="str">
        <f>IFERROR(INDEX('Source Review'!$B$2:$B$52,MATCH($A100,'Source Review'!$A$2:$A$52,0)),"NOT SOURCE-REVIEWED IN THIS PASS")</f>
        <v>NOT SOURCE-REVIEWED IN THIS PASS</v>
      </c>
      <c r="AV100" s="5" t="str">
        <f>IFERROR(INDEX('Source Review'!$F$2:$F$52,MATCH($A100,'Source Review'!$A$2:$A$52,0)),"")</f>
        <v/>
      </c>
      <c r="AW100" s="5" t="str">
        <f>IFERROR(INDEX('Source Review'!$G$2:$G$52,MATCH($A100,'Source Review'!$A$2:$A$52,0)),"")</f>
        <v/>
      </c>
      <c r="AX100" s="5" t="str">
        <f>IFERROR(INDEX('Source Review'!$H$2:$H$52,MATCH($A100,'Source Review'!$A$2:$A$52,0)),"")</f>
        <v/>
      </c>
      <c r="AY100" s="2" t="str">
        <f>IF(COUNTIF('Source Review'!$A$2:$A$52,$A100)&gt;0,"UNCONFIRMED REVIEW ESTIMATE - not P80 or elapsed","NOT ESTIMATED IN THIS PASS")</f>
        <v>NOT ESTIMATED IN THIS PASS</v>
      </c>
      <c r="AZ100" s="2" t="str">
        <f>IFERROR(INDEX('Source Review'!$I$2:$I$52,MATCH($A100,'Source Review'!$A$2:$A$52,0)),"")</f>
        <v/>
      </c>
      <c r="BA100" s="2" t="str">
        <f>IFERROR(INDEX('Source Review'!$E$2:$E$52,MATCH($A100,'Source Review'!$A$2:$A$52,0)),"")</f>
        <v/>
      </c>
      <c r="BB100" s="2" t="str">
        <f>IF(COUNTIF('Source Review'!$A$2:$A$52,$A100)&gt;0,"14-Sep-2026 snapshot; later closure evidence separate; no live HEAD verification","")</f>
        <v/>
      </c>
    </row>
    <row r="101" spans="1:54" ht="75.95" hidden="1" customHeight="1">
      <c r="A101" s="2" t="s">
        <v>1177</v>
      </c>
      <c r="B101" s="2" t="s">
        <v>108</v>
      </c>
      <c r="C101" s="2" t="s">
        <v>1103</v>
      </c>
      <c r="D101" s="2" t="s">
        <v>1178</v>
      </c>
      <c r="E101" s="2" t="s">
        <v>1162</v>
      </c>
      <c r="F101" s="2" t="s">
        <v>1179</v>
      </c>
      <c r="G101" s="2" t="s">
        <v>160</v>
      </c>
      <c r="H101" s="2" t="s">
        <v>1180</v>
      </c>
      <c r="I101" s="2" t="s">
        <v>1181</v>
      </c>
      <c r="J101" s="65">
        <v>14</v>
      </c>
      <c r="K101" s="94" t="s">
        <v>455</v>
      </c>
      <c r="L101" s="2" t="s">
        <v>117</v>
      </c>
      <c r="M101" s="2" t="s">
        <v>1182</v>
      </c>
      <c r="N101" s="2" t="s">
        <v>586</v>
      </c>
      <c r="O101" s="2" t="s">
        <v>120</v>
      </c>
      <c r="P101" s="2" t="s">
        <v>121</v>
      </c>
      <c r="Q101" s="2" t="s">
        <v>1167</v>
      </c>
      <c r="R101" s="65">
        <v>3.2</v>
      </c>
      <c r="S101" s="2" t="s">
        <v>1110</v>
      </c>
      <c r="T101" s="2" t="s">
        <v>1122</v>
      </c>
      <c r="U101" s="2" t="s">
        <v>125</v>
      </c>
      <c r="V101" s="2" t="s">
        <v>126</v>
      </c>
      <c r="W101" s="2" t="s">
        <v>1113</v>
      </c>
      <c r="X101" s="2" t="s">
        <v>1114</v>
      </c>
      <c r="Y101" s="33"/>
      <c r="Z101" s="9"/>
      <c r="AA101" s="2" t="s">
        <v>1183</v>
      </c>
      <c r="AB101" s="2" t="s">
        <v>1184</v>
      </c>
      <c r="AC101" s="2" t="s">
        <v>1185</v>
      </c>
      <c r="AD101" s="2" t="s">
        <v>179</v>
      </c>
      <c r="AE101" s="2" t="s">
        <v>133</v>
      </c>
      <c r="AF101" s="2" t="s">
        <v>134</v>
      </c>
      <c r="AG101" s="2" t="s">
        <v>135</v>
      </c>
      <c r="AH101" s="2" t="s">
        <v>136</v>
      </c>
      <c r="AI101" s="2" t="str">
        <f t="shared" si="12"/>
        <v/>
      </c>
      <c r="AJ101" s="2" t="s">
        <v>1135</v>
      </c>
      <c r="AK101" s="2" t="s">
        <v>138</v>
      </c>
      <c r="AL101" s="2" t="s">
        <v>1186</v>
      </c>
      <c r="AM101" s="2">
        <f t="shared" si="13"/>
        <v>1</v>
      </c>
      <c r="AN101" s="2"/>
      <c r="AO101" s="32" t="s">
        <v>462</v>
      </c>
      <c r="AP101" s="32" t="s">
        <v>141</v>
      </c>
      <c r="AQ101" s="32"/>
      <c r="AR101" s="32" t="s">
        <v>142</v>
      </c>
      <c r="AS101" s="65">
        <f t="shared" si="14"/>
        <v>14</v>
      </c>
      <c r="AT101" s="65">
        <f t="shared" si="15"/>
        <v>3.2</v>
      </c>
      <c r="AU101" s="2" t="str">
        <f>IFERROR(INDEX('Source Review'!$B$2:$B$52,MATCH($A101,'Source Review'!$A$2:$A$52,0)),"NOT SOURCE-REVIEWED IN THIS PASS")</f>
        <v>NOT SOURCE-REVIEWED IN THIS PASS</v>
      </c>
      <c r="AV101" s="5" t="str">
        <f>IFERROR(INDEX('Source Review'!$F$2:$F$52,MATCH($A101,'Source Review'!$A$2:$A$52,0)),"")</f>
        <v/>
      </c>
      <c r="AW101" s="5" t="str">
        <f>IFERROR(INDEX('Source Review'!$G$2:$G$52,MATCH($A101,'Source Review'!$A$2:$A$52,0)),"")</f>
        <v/>
      </c>
      <c r="AX101" s="5" t="str">
        <f>IFERROR(INDEX('Source Review'!$H$2:$H$52,MATCH($A101,'Source Review'!$A$2:$A$52,0)),"")</f>
        <v/>
      </c>
      <c r="AY101" s="2" t="str">
        <f>IF(COUNTIF('Source Review'!$A$2:$A$52,$A101)&gt;0,"UNCONFIRMED REVIEW ESTIMATE - not P80 or elapsed","NOT ESTIMATED IN THIS PASS")</f>
        <v>NOT ESTIMATED IN THIS PASS</v>
      </c>
      <c r="AZ101" s="2" t="str">
        <f>IFERROR(INDEX('Source Review'!$I$2:$I$52,MATCH($A101,'Source Review'!$A$2:$A$52,0)),"")</f>
        <v/>
      </c>
      <c r="BA101" s="2" t="str">
        <f>IFERROR(INDEX('Source Review'!$E$2:$E$52,MATCH($A101,'Source Review'!$A$2:$A$52,0)),"")</f>
        <v/>
      </c>
      <c r="BB101" s="2" t="str">
        <f>IF(COUNTIF('Source Review'!$A$2:$A$52,$A101)&gt;0,"14-Sep-2026 snapshot; later closure evidence separate; no live HEAD verification","")</f>
        <v/>
      </c>
    </row>
    <row r="102" spans="1:54" ht="75.95" hidden="1" customHeight="1">
      <c r="A102" s="2" t="s">
        <v>1187</v>
      </c>
      <c r="B102" s="2" t="s">
        <v>108</v>
      </c>
      <c r="C102" s="2" t="s">
        <v>1103</v>
      </c>
      <c r="D102" s="2" t="s">
        <v>1188</v>
      </c>
      <c r="E102" s="2" t="s">
        <v>1189</v>
      </c>
      <c r="F102" s="2" t="s">
        <v>1190</v>
      </c>
      <c r="G102" s="2" t="s">
        <v>160</v>
      </c>
      <c r="H102" s="2" t="s">
        <v>1191</v>
      </c>
      <c r="I102" s="2" t="s">
        <v>1192</v>
      </c>
      <c r="J102" s="65">
        <v>12</v>
      </c>
      <c r="K102" s="94" t="s">
        <v>455</v>
      </c>
      <c r="L102" s="2" t="s">
        <v>117</v>
      </c>
      <c r="M102" s="2"/>
      <c r="N102" s="2" t="s">
        <v>743</v>
      </c>
      <c r="O102" s="2" t="s">
        <v>120</v>
      </c>
      <c r="P102" s="2" t="s">
        <v>121</v>
      </c>
      <c r="Q102" s="2" t="s">
        <v>1193</v>
      </c>
      <c r="R102" s="65">
        <v>0.9</v>
      </c>
      <c r="S102" s="2" t="s">
        <v>1110</v>
      </c>
      <c r="T102" s="2" t="s">
        <v>1122</v>
      </c>
      <c r="U102" s="2" t="s">
        <v>125</v>
      </c>
      <c r="V102" s="2" t="s">
        <v>126</v>
      </c>
      <c r="W102" s="2" t="s">
        <v>1113</v>
      </c>
      <c r="X102" s="2" t="s">
        <v>1114</v>
      </c>
      <c r="Y102" s="33"/>
      <c r="Z102" s="9"/>
      <c r="AA102" s="2" t="s">
        <v>1194</v>
      </c>
      <c r="AB102" s="2" t="s">
        <v>1195</v>
      </c>
      <c r="AC102" s="2" t="s">
        <v>130</v>
      </c>
      <c r="AD102" s="2" t="s">
        <v>179</v>
      </c>
      <c r="AE102" s="2" t="s">
        <v>133</v>
      </c>
      <c r="AF102" s="2" t="s">
        <v>134</v>
      </c>
      <c r="AG102" s="2" t="s">
        <v>135</v>
      </c>
      <c r="AH102" s="2" t="s">
        <v>136</v>
      </c>
      <c r="AI102" s="2" t="str">
        <f t="shared" si="12"/>
        <v/>
      </c>
      <c r="AJ102" s="2" t="s">
        <v>137</v>
      </c>
      <c r="AK102" s="2" t="s">
        <v>138</v>
      </c>
      <c r="AL102" s="2" t="s">
        <v>139</v>
      </c>
      <c r="AM102" s="2">
        <f t="shared" si="13"/>
        <v>1</v>
      </c>
      <c r="AN102" s="2"/>
      <c r="AO102" s="32" t="s">
        <v>462</v>
      </c>
      <c r="AP102" s="32" t="s">
        <v>141</v>
      </c>
      <c r="AQ102" s="32"/>
      <c r="AR102" s="32" t="s">
        <v>142</v>
      </c>
      <c r="AS102" s="65">
        <f t="shared" si="14"/>
        <v>12</v>
      </c>
      <c r="AT102" s="65">
        <f t="shared" si="15"/>
        <v>0.9</v>
      </c>
      <c r="AU102" s="2" t="str">
        <f>IFERROR(INDEX('Source Review'!$B$2:$B$52,MATCH($A102,'Source Review'!$A$2:$A$52,0)),"NOT SOURCE-REVIEWED IN THIS PASS")</f>
        <v>NOT SOURCE-REVIEWED IN THIS PASS</v>
      </c>
      <c r="AV102" s="5" t="str">
        <f>IFERROR(INDEX('Source Review'!$F$2:$F$52,MATCH($A102,'Source Review'!$A$2:$A$52,0)),"")</f>
        <v/>
      </c>
      <c r="AW102" s="5" t="str">
        <f>IFERROR(INDEX('Source Review'!$G$2:$G$52,MATCH($A102,'Source Review'!$A$2:$A$52,0)),"")</f>
        <v/>
      </c>
      <c r="AX102" s="5" t="str">
        <f>IFERROR(INDEX('Source Review'!$H$2:$H$52,MATCH($A102,'Source Review'!$A$2:$A$52,0)),"")</f>
        <v/>
      </c>
      <c r="AY102" s="2" t="str">
        <f>IF(COUNTIF('Source Review'!$A$2:$A$52,$A102)&gt;0,"UNCONFIRMED REVIEW ESTIMATE - not P80 or elapsed","NOT ESTIMATED IN THIS PASS")</f>
        <v>NOT ESTIMATED IN THIS PASS</v>
      </c>
      <c r="AZ102" s="2" t="str">
        <f>IFERROR(INDEX('Source Review'!$I$2:$I$52,MATCH($A102,'Source Review'!$A$2:$A$52,0)),"")</f>
        <v/>
      </c>
      <c r="BA102" s="2" t="str">
        <f>IFERROR(INDEX('Source Review'!$E$2:$E$52,MATCH($A102,'Source Review'!$A$2:$A$52,0)),"")</f>
        <v/>
      </c>
      <c r="BB102" s="2" t="str">
        <f>IF(COUNTIF('Source Review'!$A$2:$A$52,$A102)&gt;0,"14-Sep-2026 snapshot; later closure evidence separate; no live HEAD verification","")</f>
        <v/>
      </c>
    </row>
    <row r="103" spans="1:54" ht="75.95" hidden="1" customHeight="1">
      <c r="A103" s="2" t="s">
        <v>743</v>
      </c>
      <c r="B103" s="2" t="s">
        <v>108</v>
      </c>
      <c r="C103" s="2" t="s">
        <v>1103</v>
      </c>
      <c r="D103" s="2" t="s">
        <v>1196</v>
      </c>
      <c r="E103" s="2" t="s">
        <v>111</v>
      </c>
      <c r="F103" s="2" t="s">
        <v>1197</v>
      </c>
      <c r="G103" s="2" t="s">
        <v>113</v>
      </c>
      <c r="H103" s="2" t="s">
        <v>1198</v>
      </c>
      <c r="I103" s="2" t="s">
        <v>1199</v>
      </c>
      <c r="J103" s="65">
        <v>12</v>
      </c>
      <c r="K103" s="94" t="s">
        <v>455</v>
      </c>
      <c r="L103" s="2" t="s">
        <v>117</v>
      </c>
      <c r="M103" s="2" t="s">
        <v>1200</v>
      </c>
      <c r="N103" s="2"/>
      <c r="O103" s="2" t="s">
        <v>120</v>
      </c>
      <c r="P103" s="2" t="s">
        <v>121</v>
      </c>
      <c r="Q103" s="2" t="s">
        <v>122</v>
      </c>
      <c r="R103" s="65">
        <v>4.08</v>
      </c>
      <c r="S103" s="2" t="s">
        <v>1110</v>
      </c>
      <c r="T103" s="2" t="s">
        <v>1201</v>
      </c>
      <c r="U103" s="2" t="s">
        <v>1202</v>
      </c>
      <c r="V103" s="2" t="s">
        <v>1203</v>
      </c>
      <c r="W103" s="2" t="s">
        <v>1113</v>
      </c>
      <c r="X103" s="2" t="s">
        <v>1204</v>
      </c>
      <c r="Y103" s="33"/>
      <c r="Z103" s="9"/>
      <c r="AA103" s="2" t="s">
        <v>130</v>
      </c>
      <c r="AB103" s="2" t="s">
        <v>131</v>
      </c>
      <c r="AC103" s="2"/>
      <c r="AD103" s="2" t="s">
        <v>1205</v>
      </c>
      <c r="AE103" s="2" t="s">
        <v>133</v>
      </c>
      <c r="AF103" s="2" t="s">
        <v>134</v>
      </c>
      <c r="AG103" s="2" t="s">
        <v>135</v>
      </c>
      <c r="AH103" s="2" t="s">
        <v>136</v>
      </c>
      <c r="AI103" s="2" t="str">
        <f t="shared" si="12"/>
        <v/>
      </c>
      <c r="AJ103" s="2" t="s">
        <v>137</v>
      </c>
      <c r="AK103" s="2" t="s">
        <v>138</v>
      </c>
      <c r="AL103" s="2" t="s">
        <v>139</v>
      </c>
      <c r="AM103" s="2">
        <f t="shared" si="13"/>
        <v>1</v>
      </c>
      <c r="AN103" s="2"/>
      <c r="AO103" s="32" t="s">
        <v>462</v>
      </c>
      <c r="AP103" s="32" t="s">
        <v>141</v>
      </c>
      <c r="AQ103" s="32"/>
      <c r="AR103" s="32" t="s">
        <v>142</v>
      </c>
      <c r="AS103" s="65">
        <f t="shared" si="14"/>
        <v>12</v>
      </c>
      <c r="AT103" s="65">
        <f t="shared" si="15"/>
        <v>4.08</v>
      </c>
      <c r="AU103" s="2" t="str">
        <f>IFERROR(INDEX('Source Review'!$B$2:$B$52,MATCH($A103,'Source Review'!$A$2:$A$52,0)),"NOT SOURCE-REVIEWED IN THIS PASS")</f>
        <v>NOT SOURCE-REVIEWED IN THIS PASS</v>
      </c>
      <c r="AV103" s="5" t="str">
        <f>IFERROR(INDEX('Source Review'!$F$2:$F$52,MATCH($A103,'Source Review'!$A$2:$A$52,0)),"")</f>
        <v/>
      </c>
      <c r="AW103" s="5" t="str">
        <f>IFERROR(INDEX('Source Review'!$G$2:$G$52,MATCH($A103,'Source Review'!$A$2:$A$52,0)),"")</f>
        <v/>
      </c>
      <c r="AX103" s="5" t="str">
        <f>IFERROR(INDEX('Source Review'!$H$2:$H$52,MATCH($A103,'Source Review'!$A$2:$A$52,0)),"")</f>
        <v/>
      </c>
      <c r="AY103" s="2" t="str">
        <f>IF(COUNTIF('Source Review'!$A$2:$A$52,$A103)&gt;0,"UNCONFIRMED REVIEW ESTIMATE - not P80 or elapsed","NOT ESTIMATED IN THIS PASS")</f>
        <v>NOT ESTIMATED IN THIS PASS</v>
      </c>
      <c r="AZ103" s="2" t="str">
        <f>IFERROR(INDEX('Source Review'!$I$2:$I$52,MATCH($A103,'Source Review'!$A$2:$A$52,0)),"")</f>
        <v/>
      </c>
      <c r="BA103" s="2" t="str">
        <f>IFERROR(INDEX('Source Review'!$E$2:$E$52,MATCH($A103,'Source Review'!$A$2:$A$52,0)),"")</f>
        <v/>
      </c>
      <c r="BB103" s="2" t="str">
        <f>IF(COUNTIF('Source Review'!$A$2:$A$52,$A103)&gt;0,"14-Sep-2026 snapshot; later closure evidence separate; no live HEAD verification","")</f>
        <v/>
      </c>
    </row>
    <row r="104" spans="1:54" ht="75.95" hidden="1" customHeight="1">
      <c r="A104" s="2" t="s">
        <v>1206</v>
      </c>
      <c r="B104" s="2" t="s">
        <v>108</v>
      </c>
      <c r="C104" s="2" t="s">
        <v>1103</v>
      </c>
      <c r="D104" s="2" t="s">
        <v>1207</v>
      </c>
      <c r="E104" s="2" t="s">
        <v>1189</v>
      </c>
      <c r="F104" s="2" t="s">
        <v>1208</v>
      </c>
      <c r="G104" s="2" t="s">
        <v>160</v>
      </c>
      <c r="H104" s="2" t="s">
        <v>1209</v>
      </c>
      <c r="I104" s="2" t="s">
        <v>1210</v>
      </c>
      <c r="J104" s="65">
        <v>6</v>
      </c>
      <c r="K104" s="94" t="s">
        <v>455</v>
      </c>
      <c r="L104" s="2" t="s">
        <v>117</v>
      </c>
      <c r="M104" s="2" t="s">
        <v>1211</v>
      </c>
      <c r="N104" s="2" t="s">
        <v>743</v>
      </c>
      <c r="O104" s="2" t="s">
        <v>120</v>
      </c>
      <c r="P104" s="2" t="s">
        <v>121</v>
      </c>
      <c r="Q104" s="2" t="s">
        <v>1212</v>
      </c>
      <c r="R104" s="65">
        <v>2.25</v>
      </c>
      <c r="S104" s="2" t="s">
        <v>1110</v>
      </c>
      <c r="T104" s="2" t="s">
        <v>1213</v>
      </c>
      <c r="U104" s="2" t="s">
        <v>1214</v>
      </c>
      <c r="V104" s="2" t="s">
        <v>1215</v>
      </c>
      <c r="W104" s="2" t="s">
        <v>1113</v>
      </c>
      <c r="X104" s="2" t="s">
        <v>1114</v>
      </c>
      <c r="Y104" s="33"/>
      <c r="Z104" s="9"/>
      <c r="AA104" s="2" t="s">
        <v>130</v>
      </c>
      <c r="AB104" s="2" t="s">
        <v>131</v>
      </c>
      <c r="AC104" s="2"/>
      <c r="AD104" s="2" t="s">
        <v>132</v>
      </c>
      <c r="AE104" s="2" t="s">
        <v>133</v>
      </c>
      <c r="AF104" s="2" t="s">
        <v>134</v>
      </c>
      <c r="AG104" s="2" t="s">
        <v>135</v>
      </c>
      <c r="AH104" s="2" t="s">
        <v>136</v>
      </c>
      <c r="AI104" s="2" t="str">
        <f t="shared" si="12"/>
        <v/>
      </c>
      <c r="AJ104" s="2" t="s">
        <v>137</v>
      </c>
      <c r="AK104" s="2" t="s">
        <v>138</v>
      </c>
      <c r="AL104" s="2" t="s">
        <v>139</v>
      </c>
      <c r="AM104" s="2">
        <f t="shared" si="13"/>
        <v>1</v>
      </c>
      <c r="AN104" s="2"/>
      <c r="AO104" s="32" t="s">
        <v>462</v>
      </c>
      <c r="AP104" s="32" t="s">
        <v>141</v>
      </c>
      <c r="AQ104" s="32"/>
      <c r="AR104" s="32" t="s">
        <v>142</v>
      </c>
      <c r="AS104" s="65">
        <f t="shared" si="14"/>
        <v>6</v>
      </c>
      <c r="AT104" s="65">
        <f t="shared" si="15"/>
        <v>2.25</v>
      </c>
      <c r="AU104" s="2" t="str">
        <f>IFERROR(INDEX('Source Review'!$B$2:$B$52,MATCH($A104,'Source Review'!$A$2:$A$52,0)),"NOT SOURCE-REVIEWED IN THIS PASS")</f>
        <v>NOT SOURCE-REVIEWED IN THIS PASS</v>
      </c>
      <c r="AV104" s="5" t="str">
        <f>IFERROR(INDEX('Source Review'!$F$2:$F$52,MATCH($A104,'Source Review'!$A$2:$A$52,0)),"")</f>
        <v/>
      </c>
      <c r="AW104" s="5" t="str">
        <f>IFERROR(INDEX('Source Review'!$G$2:$G$52,MATCH($A104,'Source Review'!$A$2:$A$52,0)),"")</f>
        <v/>
      </c>
      <c r="AX104" s="5" t="str">
        <f>IFERROR(INDEX('Source Review'!$H$2:$H$52,MATCH($A104,'Source Review'!$A$2:$A$52,0)),"")</f>
        <v/>
      </c>
      <c r="AY104" s="2" t="str">
        <f>IF(COUNTIF('Source Review'!$A$2:$A$52,$A104)&gt;0,"UNCONFIRMED REVIEW ESTIMATE - not P80 or elapsed","NOT ESTIMATED IN THIS PASS")</f>
        <v>NOT ESTIMATED IN THIS PASS</v>
      </c>
      <c r="AZ104" s="2" t="str">
        <f>IFERROR(INDEX('Source Review'!$I$2:$I$52,MATCH($A104,'Source Review'!$A$2:$A$52,0)),"")</f>
        <v/>
      </c>
      <c r="BA104" s="2" t="str">
        <f>IFERROR(INDEX('Source Review'!$E$2:$E$52,MATCH($A104,'Source Review'!$A$2:$A$52,0)),"")</f>
        <v/>
      </c>
      <c r="BB104" s="2" t="str">
        <f>IF(COUNTIF('Source Review'!$A$2:$A$52,$A104)&gt;0,"14-Sep-2026 snapshot; later closure evidence separate; no live HEAD verification","")</f>
        <v/>
      </c>
    </row>
    <row r="105" spans="1:54" ht="75.95" hidden="1" customHeight="1">
      <c r="A105" s="2" t="s">
        <v>1216</v>
      </c>
      <c r="B105" s="2" t="s">
        <v>108</v>
      </c>
      <c r="C105" s="2" t="s">
        <v>1103</v>
      </c>
      <c r="D105" s="2" t="s">
        <v>1217</v>
      </c>
      <c r="E105" s="2" t="s">
        <v>1218</v>
      </c>
      <c r="F105" s="2" t="s">
        <v>1219</v>
      </c>
      <c r="G105" s="2" t="s">
        <v>674</v>
      </c>
      <c r="H105" s="2" t="s">
        <v>1220</v>
      </c>
      <c r="I105" s="2" t="s">
        <v>1221</v>
      </c>
      <c r="J105" s="65">
        <v>8</v>
      </c>
      <c r="K105" s="94" t="s">
        <v>455</v>
      </c>
      <c r="L105" s="2" t="s">
        <v>293</v>
      </c>
      <c r="M105" s="2" t="s">
        <v>1222</v>
      </c>
      <c r="N105" s="2" t="s">
        <v>743</v>
      </c>
      <c r="O105" s="2" t="s">
        <v>120</v>
      </c>
      <c r="P105" s="2" t="s">
        <v>121</v>
      </c>
      <c r="Q105" s="2" t="s">
        <v>295</v>
      </c>
      <c r="R105" s="65">
        <v>1.2</v>
      </c>
      <c r="S105" s="2" t="s">
        <v>1110</v>
      </c>
      <c r="T105" s="2" t="s">
        <v>1223</v>
      </c>
      <c r="U105" s="2" t="s">
        <v>1224</v>
      </c>
      <c r="V105" s="2" t="s">
        <v>1225</v>
      </c>
      <c r="W105" s="2" t="s">
        <v>1113</v>
      </c>
      <c r="X105" s="2" t="s">
        <v>1226</v>
      </c>
      <c r="Y105" s="33"/>
      <c r="Z105" s="9"/>
      <c r="AA105" s="2" t="s">
        <v>1227</v>
      </c>
      <c r="AB105" s="2" t="s">
        <v>1228</v>
      </c>
      <c r="AC105" s="2"/>
      <c r="AD105" s="2" t="s">
        <v>179</v>
      </c>
      <c r="AE105" s="2" t="s">
        <v>238</v>
      </c>
      <c r="AF105" s="2" t="s">
        <v>1229</v>
      </c>
      <c r="AG105" s="2" t="s">
        <v>135</v>
      </c>
      <c r="AH105" s="2" t="s">
        <v>1230</v>
      </c>
      <c r="AI105" s="2" t="str">
        <f t="shared" si="12"/>
        <v/>
      </c>
      <c r="AJ105" s="2" t="s">
        <v>137</v>
      </c>
      <c r="AK105" s="2" t="s">
        <v>138</v>
      </c>
      <c r="AL105" s="2" t="s">
        <v>139</v>
      </c>
      <c r="AM105" s="2">
        <f t="shared" si="13"/>
        <v>1</v>
      </c>
      <c r="AN105" s="2"/>
      <c r="AO105" s="32" t="s">
        <v>462</v>
      </c>
      <c r="AP105" s="32" t="s">
        <v>141</v>
      </c>
      <c r="AQ105" s="32"/>
      <c r="AR105" s="32" t="s">
        <v>142</v>
      </c>
      <c r="AS105" s="65">
        <f t="shared" si="14"/>
        <v>8</v>
      </c>
      <c r="AT105" s="65">
        <f t="shared" si="15"/>
        <v>1.2</v>
      </c>
      <c r="AU105" s="2" t="str">
        <f>IFERROR(INDEX('Source Review'!$B$2:$B$52,MATCH($A105,'Source Review'!$A$2:$A$52,0)),"NOT SOURCE-REVIEWED IN THIS PASS")</f>
        <v>NOT SOURCE-REVIEWED IN THIS PASS</v>
      </c>
      <c r="AV105" s="5" t="str">
        <f>IFERROR(INDEX('Source Review'!$F$2:$F$52,MATCH($A105,'Source Review'!$A$2:$A$52,0)),"")</f>
        <v/>
      </c>
      <c r="AW105" s="5" t="str">
        <f>IFERROR(INDEX('Source Review'!$G$2:$G$52,MATCH($A105,'Source Review'!$A$2:$A$52,0)),"")</f>
        <v/>
      </c>
      <c r="AX105" s="5" t="str">
        <f>IFERROR(INDEX('Source Review'!$H$2:$H$52,MATCH($A105,'Source Review'!$A$2:$A$52,0)),"")</f>
        <v/>
      </c>
      <c r="AY105" s="2" t="str">
        <f>IF(COUNTIF('Source Review'!$A$2:$A$52,$A105)&gt;0,"UNCONFIRMED REVIEW ESTIMATE - not P80 or elapsed","NOT ESTIMATED IN THIS PASS")</f>
        <v>NOT ESTIMATED IN THIS PASS</v>
      </c>
      <c r="AZ105" s="2" t="str">
        <f>IFERROR(INDEX('Source Review'!$I$2:$I$52,MATCH($A105,'Source Review'!$A$2:$A$52,0)),"")</f>
        <v/>
      </c>
      <c r="BA105" s="2" t="str">
        <f>IFERROR(INDEX('Source Review'!$E$2:$E$52,MATCH($A105,'Source Review'!$A$2:$A$52,0)),"")</f>
        <v/>
      </c>
      <c r="BB105" s="2" t="str">
        <f>IF(COUNTIF('Source Review'!$A$2:$A$52,$A105)&gt;0,"14-Sep-2026 snapshot; later closure evidence separate; no live HEAD verification","")</f>
        <v/>
      </c>
    </row>
    <row r="106" spans="1:54" ht="75.95" hidden="1" customHeight="1">
      <c r="A106" s="2" t="s">
        <v>1231</v>
      </c>
      <c r="B106" s="2" t="s">
        <v>108</v>
      </c>
      <c r="C106" s="2" t="s">
        <v>1103</v>
      </c>
      <c r="D106" s="2" t="s">
        <v>1232</v>
      </c>
      <c r="E106" s="2" t="s">
        <v>264</v>
      </c>
      <c r="F106" s="2" t="s">
        <v>1233</v>
      </c>
      <c r="G106" s="2" t="s">
        <v>113</v>
      </c>
      <c r="H106" s="2" t="s">
        <v>1234</v>
      </c>
      <c r="I106" s="2" t="s">
        <v>1235</v>
      </c>
      <c r="J106" s="65">
        <v>6</v>
      </c>
      <c r="K106" s="94" t="s">
        <v>455</v>
      </c>
      <c r="L106" s="2" t="s">
        <v>36</v>
      </c>
      <c r="M106" s="2" t="s">
        <v>1236</v>
      </c>
      <c r="N106" s="2" t="s">
        <v>1237</v>
      </c>
      <c r="O106" s="2" t="s">
        <v>120</v>
      </c>
      <c r="P106" s="2" t="s">
        <v>121</v>
      </c>
      <c r="Q106" s="2" t="s">
        <v>280</v>
      </c>
      <c r="R106" s="65">
        <v>2.5499999999999998</v>
      </c>
      <c r="S106" s="2" t="s">
        <v>1110</v>
      </c>
      <c r="T106" s="2" t="s">
        <v>1238</v>
      </c>
      <c r="U106" s="2" t="s">
        <v>1239</v>
      </c>
      <c r="V106" s="2" t="s">
        <v>1240</v>
      </c>
      <c r="W106" s="2" t="s">
        <v>1113</v>
      </c>
      <c r="X106" s="2" t="s">
        <v>1241</v>
      </c>
      <c r="Y106" s="33"/>
      <c r="Z106" s="9"/>
      <c r="AA106" s="2" t="s">
        <v>130</v>
      </c>
      <c r="AB106" s="2" t="s">
        <v>131</v>
      </c>
      <c r="AC106" s="2" t="s">
        <v>285</v>
      </c>
      <c r="AD106" s="2" t="s">
        <v>132</v>
      </c>
      <c r="AE106" s="2" t="s">
        <v>734</v>
      </c>
      <c r="AF106" s="2" t="s">
        <v>134</v>
      </c>
      <c r="AG106" s="2" t="s">
        <v>135</v>
      </c>
      <c r="AH106" s="2" t="s">
        <v>136</v>
      </c>
      <c r="AI106" s="2" t="str">
        <f t="shared" si="12"/>
        <v/>
      </c>
      <c r="AJ106" s="2" t="s">
        <v>137</v>
      </c>
      <c r="AK106" s="2" t="s">
        <v>138</v>
      </c>
      <c r="AL106" s="2" t="s">
        <v>139</v>
      </c>
      <c r="AM106" s="2">
        <f t="shared" si="13"/>
        <v>1</v>
      </c>
      <c r="AN106" s="2"/>
      <c r="AO106" s="32" t="s">
        <v>462</v>
      </c>
      <c r="AP106" s="32" t="s">
        <v>141</v>
      </c>
      <c r="AQ106" s="32"/>
      <c r="AR106" s="32" t="s">
        <v>142</v>
      </c>
      <c r="AS106" s="65">
        <f t="shared" si="14"/>
        <v>6</v>
      </c>
      <c r="AT106" s="65">
        <f t="shared" si="15"/>
        <v>2.5499999999999998</v>
      </c>
      <c r="AU106" s="2" t="str">
        <f>IFERROR(INDEX('Source Review'!$B$2:$B$52,MATCH($A106,'Source Review'!$A$2:$A$52,0)),"NOT SOURCE-REVIEWED IN THIS PASS")</f>
        <v>NOT SOURCE-REVIEWED IN THIS PASS</v>
      </c>
      <c r="AV106" s="5" t="str">
        <f>IFERROR(INDEX('Source Review'!$F$2:$F$52,MATCH($A106,'Source Review'!$A$2:$A$52,0)),"")</f>
        <v/>
      </c>
      <c r="AW106" s="5" t="str">
        <f>IFERROR(INDEX('Source Review'!$G$2:$G$52,MATCH($A106,'Source Review'!$A$2:$A$52,0)),"")</f>
        <v/>
      </c>
      <c r="AX106" s="5" t="str">
        <f>IFERROR(INDEX('Source Review'!$H$2:$H$52,MATCH($A106,'Source Review'!$A$2:$A$52,0)),"")</f>
        <v/>
      </c>
      <c r="AY106" s="2" t="str">
        <f>IF(COUNTIF('Source Review'!$A$2:$A$52,$A106)&gt;0,"UNCONFIRMED REVIEW ESTIMATE - not P80 or elapsed","NOT ESTIMATED IN THIS PASS")</f>
        <v>NOT ESTIMATED IN THIS PASS</v>
      </c>
      <c r="AZ106" s="2" t="str">
        <f>IFERROR(INDEX('Source Review'!$I$2:$I$52,MATCH($A106,'Source Review'!$A$2:$A$52,0)),"")</f>
        <v/>
      </c>
      <c r="BA106" s="2" t="str">
        <f>IFERROR(INDEX('Source Review'!$E$2:$E$52,MATCH($A106,'Source Review'!$A$2:$A$52,0)),"")</f>
        <v/>
      </c>
      <c r="BB106" s="2" t="str">
        <f>IF(COUNTIF('Source Review'!$A$2:$A$52,$A106)&gt;0,"14-Sep-2026 snapshot; later closure evidence separate; no live HEAD verification","")</f>
        <v/>
      </c>
    </row>
    <row r="107" spans="1:54" ht="75.95" hidden="1" customHeight="1">
      <c r="A107" s="2" t="s">
        <v>1242</v>
      </c>
      <c r="B107" s="2" t="s">
        <v>1243</v>
      </c>
      <c r="C107" s="2" t="s">
        <v>109</v>
      </c>
      <c r="D107" s="2" t="s">
        <v>1244</v>
      </c>
      <c r="E107" s="2" t="s">
        <v>182</v>
      </c>
      <c r="F107" s="2" t="s">
        <v>550</v>
      </c>
      <c r="G107" s="2" t="s">
        <v>113</v>
      </c>
      <c r="H107" s="2" t="s">
        <v>1245</v>
      </c>
      <c r="I107" s="2" t="s">
        <v>1246</v>
      </c>
      <c r="J107" s="65">
        <v>24</v>
      </c>
      <c r="K107" s="94" t="s">
        <v>455</v>
      </c>
      <c r="L107" s="2" t="s">
        <v>117</v>
      </c>
      <c r="M107" s="2" t="s">
        <v>1247</v>
      </c>
      <c r="N107" s="2" t="s">
        <v>1248</v>
      </c>
      <c r="O107" s="2" t="s">
        <v>1249</v>
      </c>
      <c r="P107" s="2" t="s">
        <v>1250</v>
      </c>
      <c r="Q107" s="2" t="s">
        <v>186</v>
      </c>
      <c r="R107" s="65">
        <v>1.7999999999999998</v>
      </c>
      <c r="S107" s="2" t="s">
        <v>1251</v>
      </c>
      <c r="T107" s="2" t="s">
        <v>1252</v>
      </c>
      <c r="U107" s="2" t="s">
        <v>125</v>
      </c>
      <c r="V107" s="2" t="s">
        <v>126</v>
      </c>
      <c r="W107" s="2" t="s">
        <v>1253</v>
      </c>
      <c r="X107" s="2" t="s">
        <v>531</v>
      </c>
      <c r="Y107" s="33"/>
      <c r="Z107" s="9"/>
      <c r="AA107" s="2" t="s">
        <v>556</v>
      </c>
      <c r="AB107" s="2" t="s">
        <v>557</v>
      </c>
      <c r="AC107" s="2" t="s">
        <v>546</v>
      </c>
      <c r="AD107" s="2" t="s">
        <v>179</v>
      </c>
      <c r="AE107" s="2" t="s">
        <v>198</v>
      </c>
      <c r="AF107" s="2" t="s">
        <v>134</v>
      </c>
      <c r="AG107" s="2" t="s">
        <v>1254</v>
      </c>
      <c r="AH107" s="2" t="s">
        <v>136</v>
      </c>
      <c r="AI107" s="2" t="str">
        <f t="shared" si="12"/>
        <v/>
      </c>
      <c r="AJ107" s="2" t="s">
        <v>496</v>
      </c>
      <c r="AK107" s="2" t="s">
        <v>138</v>
      </c>
      <c r="AL107" s="2" t="s">
        <v>139</v>
      </c>
      <c r="AM107" s="2">
        <f t="shared" si="13"/>
        <v>0</v>
      </c>
      <c r="AN107" s="2"/>
      <c r="AO107" s="32" t="s">
        <v>462</v>
      </c>
      <c r="AP107" s="32" t="s">
        <v>141</v>
      </c>
      <c r="AQ107" s="32"/>
      <c r="AR107" s="32" t="s">
        <v>486</v>
      </c>
      <c r="AS107" s="65" t="str">
        <f t="shared" si="14"/>
        <v/>
      </c>
      <c r="AT107" s="65" t="str">
        <f t="shared" si="15"/>
        <v/>
      </c>
      <c r="AU107" s="2" t="str">
        <f>IFERROR(INDEX('Source Review'!$B$2:$B$52,MATCH($A107,'Source Review'!$A$2:$A$52,0)),"NOT SOURCE-REVIEWED IN THIS PASS")</f>
        <v>BOUNDED SOURCE REVIEW — ADVANCED RUNTIME GAP</v>
      </c>
      <c r="AV107" s="5">
        <f>IFERROR(INDEX('Source Review'!$F$2:$F$52,MATCH($A107,'Source Review'!$A$2:$A$52,0)),"")</f>
        <v>16</v>
      </c>
      <c r="AW107" s="5">
        <f>IFERROR(INDEX('Source Review'!$G$2:$G$52,MATCH($A107,'Source Review'!$A$2:$A$52,0)),"")</f>
        <v>28</v>
      </c>
      <c r="AX107" s="5">
        <f>IFERROR(INDEX('Source Review'!$H$2:$H$52,MATCH($A107,'Source Review'!$A$2:$A$52,0)),"")</f>
        <v>44</v>
      </c>
      <c r="AY107" s="2" t="str">
        <f>IF(COUNTIF('Source Review'!$A$2:$A$52,$A107)&gt;0,"UNCONFIRMED REVIEW ESTIMATE - not P80 or elapsed","NOT ESTIMATED IN THIS PASS")</f>
        <v>UNCONFIRMED REVIEW ESTIMATE - not P80 or elapsed</v>
      </c>
      <c r="AZ107" s="2" t="str">
        <f>IFERROR(INDEX('Source Review'!$I$2:$I$52,MATCH($A107,'Source Review'!$A$2:$A$52,0)),"")</f>
        <v>Chunk/receipt persistence 6/10/16; resume/merge/enforcement 6/11/17; interruption/parallelism tests 4/7/11.</v>
      </c>
      <c r="BA107" s="2" t="str">
        <f>IFERROR(INDEX('Source Review'!$E$2:$E$52,MATCH($A107,'Source Review'!$A$2:$A$52,0)),"")</f>
        <v>Backend/PlantProcess.Application/Integration/Services/SourceSystems/DeltaImportExecutionService.cs:120-151 — existing incremental reader use
Backend/PlantProcess.Application/Integration/Services/SourceSystems/DeltaImportExecutionService.cs:173-205 — batch/cursor persistence
Backend/PlantProcess.Application/Integration/Services/Jobs/JobRunOrchestratorService.cs:61-85 — existing admission/run boundary</v>
      </c>
      <c r="BB107" s="2" t="str">
        <f>IF(COUNTIF('Source Review'!$A$2:$A$52,$A107)&gt;0,"14-Sep-2026 snapshot; later closure evidence separate; no live HEAD verification","")</f>
        <v>14-Sep-2026 snapshot; later closure evidence separate; no live HEAD verification</v>
      </c>
    </row>
    <row r="108" spans="1:54" ht="75.95" hidden="1" customHeight="1">
      <c r="A108" s="2" t="s">
        <v>1255</v>
      </c>
      <c r="B108" s="2" t="s">
        <v>1243</v>
      </c>
      <c r="C108" s="2" t="s">
        <v>109</v>
      </c>
      <c r="D108" s="2" t="s">
        <v>1256</v>
      </c>
      <c r="E108" s="2" t="s">
        <v>1162</v>
      </c>
      <c r="F108" s="2" t="s">
        <v>1163</v>
      </c>
      <c r="G108" s="2" t="s">
        <v>113</v>
      </c>
      <c r="H108" s="2" t="s">
        <v>1257</v>
      </c>
      <c r="I108" s="2" t="s">
        <v>1258</v>
      </c>
      <c r="J108" s="65">
        <v>12</v>
      </c>
      <c r="K108" s="94" t="s">
        <v>455</v>
      </c>
      <c r="L108" s="2" t="s">
        <v>117</v>
      </c>
      <c r="M108" s="2" t="s">
        <v>1259</v>
      </c>
      <c r="N108" s="2" t="s">
        <v>1260</v>
      </c>
      <c r="O108" s="2" t="s">
        <v>1249</v>
      </c>
      <c r="P108" s="2" t="s">
        <v>1250</v>
      </c>
      <c r="Q108" s="2" t="s">
        <v>1167</v>
      </c>
      <c r="R108" s="65">
        <v>3.2</v>
      </c>
      <c r="S108" s="2" t="s">
        <v>1251</v>
      </c>
      <c r="T108" s="2" t="s">
        <v>1261</v>
      </c>
      <c r="U108" s="2" t="s">
        <v>125</v>
      </c>
      <c r="V108" s="2" t="s">
        <v>126</v>
      </c>
      <c r="W108" s="2" t="s">
        <v>1253</v>
      </c>
      <c r="X108" s="2" t="s">
        <v>1262</v>
      </c>
      <c r="Y108" s="33"/>
      <c r="Z108" s="9"/>
      <c r="AA108" s="2" t="s">
        <v>1168</v>
      </c>
      <c r="AB108" s="2" t="s">
        <v>1263</v>
      </c>
      <c r="AC108" s="2"/>
      <c r="AD108" s="2" t="s">
        <v>179</v>
      </c>
      <c r="AE108" s="2" t="s">
        <v>198</v>
      </c>
      <c r="AF108" s="2" t="s">
        <v>134</v>
      </c>
      <c r="AG108" s="2" t="s">
        <v>1254</v>
      </c>
      <c r="AH108" s="2" t="s">
        <v>136</v>
      </c>
      <c r="AI108" s="2" t="str">
        <f t="shared" si="12"/>
        <v/>
      </c>
      <c r="AJ108" s="2" t="s">
        <v>137</v>
      </c>
      <c r="AK108" s="2" t="s">
        <v>138</v>
      </c>
      <c r="AL108" s="2" t="s">
        <v>139</v>
      </c>
      <c r="AM108" s="2">
        <f t="shared" si="13"/>
        <v>1</v>
      </c>
      <c r="AN108" s="2"/>
      <c r="AO108" s="32" t="s">
        <v>462</v>
      </c>
      <c r="AP108" s="32" t="s">
        <v>141</v>
      </c>
      <c r="AQ108" s="32"/>
      <c r="AR108" s="32" t="s">
        <v>142</v>
      </c>
      <c r="AS108" s="65">
        <f t="shared" si="14"/>
        <v>12</v>
      </c>
      <c r="AT108" s="65">
        <f t="shared" si="15"/>
        <v>3.2</v>
      </c>
      <c r="AU108" s="2" t="str">
        <f>IFERROR(INDEX('Source Review'!$B$2:$B$52,MATCH($A108,'Source Review'!$A$2:$A$52,0)),"NOT SOURCE-REVIEWED IN THIS PASS")</f>
        <v>NOT SOURCE-REVIEWED IN THIS PASS</v>
      </c>
      <c r="AV108" s="5" t="str">
        <f>IFERROR(INDEX('Source Review'!$F$2:$F$52,MATCH($A108,'Source Review'!$A$2:$A$52,0)),"")</f>
        <v/>
      </c>
      <c r="AW108" s="5" t="str">
        <f>IFERROR(INDEX('Source Review'!$G$2:$G$52,MATCH($A108,'Source Review'!$A$2:$A$52,0)),"")</f>
        <v/>
      </c>
      <c r="AX108" s="5" t="str">
        <f>IFERROR(INDEX('Source Review'!$H$2:$H$52,MATCH($A108,'Source Review'!$A$2:$A$52,0)),"")</f>
        <v/>
      </c>
      <c r="AY108" s="2" t="str">
        <f>IF(COUNTIF('Source Review'!$A$2:$A$52,$A108)&gt;0,"UNCONFIRMED REVIEW ESTIMATE - not P80 or elapsed","NOT ESTIMATED IN THIS PASS")</f>
        <v>NOT ESTIMATED IN THIS PASS</v>
      </c>
      <c r="AZ108" s="2" t="str">
        <f>IFERROR(INDEX('Source Review'!$I$2:$I$52,MATCH($A108,'Source Review'!$A$2:$A$52,0)),"")</f>
        <v/>
      </c>
      <c r="BA108" s="2" t="str">
        <f>IFERROR(INDEX('Source Review'!$E$2:$E$52,MATCH($A108,'Source Review'!$A$2:$A$52,0)),"")</f>
        <v/>
      </c>
      <c r="BB108" s="2" t="str">
        <f>IF(COUNTIF('Source Review'!$A$2:$A$52,$A108)&gt;0,"14-Sep-2026 snapshot; later closure evidence separate; no live HEAD verification","")</f>
        <v/>
      </c>
    </row>
    <row r="109" spans="1:54" ht="75.95" hidden="1" customHeight="1">
      <c r="A109" s="2" t="s">
        <v>1264</v>
      </c>
      <c r="B109" s="2" t="s">
        <v>1243</v>
      </c>
      <c r="C109" s="2" t="s">
        <v>109</v>
      </c>
      <c r="D109" s="2" t="s">
        <v>1265</v>
      </c>
      <c r="E109" s="2" t="s">
        <v>182</v>
      </c>
      <c r="F109" s="2" t="s">
        <v>1266</v>
      </c>
      <c r="G109" s="2" t="s">
        <v>113</v>
      </c>
      <c r="H109" s="2" t="s">
        <v>1267</v>
      </c>
      <c r="I109" s="2" t="s">
        <v>1268</v>
      </c>
      <c r="J109" s="65">
        <v>12</v>
      </c>
      <c r="K109" s="94" t="s">
        <v>455</v>
      </c>
      <c r="L109" s="2" t="s">
        <v>117</v>
      </c>
      <c r="M109" s="2"/>
      <c r="N109" s="2"/>
      <c r="O109" s="2" t="s">
        <v>1249</v>
      </c>
      <c r="P109" s="2" t="s">
        <v>1250</v>
      </c>
      <c r="Q109" s="2" t="s">
        <v>1269</v>
      </c>
      <c r="R109" s="65">
        <v>7.2</v>
      </c>
      <c r="S109" s="2" t="s">
        <v>1251</v>
      </c>
      <c r="T109" s="2" t="s">
        <v>1270</v>
      </c>
      <c r="U109" s="2" t="s">
        <v>1271</v>
      </c>
      <c r="V109" s="2" t="s">
        <v>126</v>
      </c>
      <c r="W109" s="2" t="s">
        <v>1253</v>
      </c>
      <c r="X109" s="2" t="s">
        <v>1262</v>
      </c>
      <c r="Y109" s="33"/>
      <c r="Z109" s="9"/>
      <c r="AA109" s="2" t="s">
        <v>130</v>
      </c>
      <c r="AB109" s="2" t="s">
        <v>131</v>
      </c>
      <c r="AC109" s="2"/>
      <c r="AD109" s="2" t="s">
        <v>179</v>
      </c>
      <c r="AE109" s="2" t="s">
        <v>198</v>
      </c>
      <c r="AF109" s="2" t="s">
        <v>134</v>
      </c>
      <c r="AG109" s="2" t="s">
        <v>1254</v>
      </c>
      <c r="AH109" s="2" t="s">
        <v>136</v>
      </c>
      <c r="AI109" s="2" t="str">
        <f t="shared" si="12"/>
        <v/>
      </c>
      <c r="AJ109" s="2" t="s">
        <v>137</v>
      </c>
      <c r="AK109" s="2" t="s">
        <v>138</v>
      </c>
      <c r="AL109" s="2" t="s">
        <v>139</v>
      </c>
      <c r="AM109" s="2">
        <f t="shared" si="13"/>
        <v>1</v>
      </c>
      <c r="AN109" s="2"/>
      <c r="AO109" s="32" t="s">
        <v>462</v>
      </c>
      <c r="AP109" s="32" t="s">
        <v>141</v>
      </c>
      <c r="AQ109" s="32"/>
      <c r="AR109" s="32" t="s">
        <v>142</v>
      </c>
      <c r="AS109" s="65">
        <f t="shared" si="14"/>
        <v>12</v>
      </c>
      <c r="AT109" s="65">
        <f t="shared" si="15"/>
        <v>7.2</v>
      </c>
      <c r="AU109" s="2" t="str">
        <f>IFERROR(INDEX('Source Review'!$B$2:$B$52,MATCH($A109,'Source Review'!$A$2:$A$52,0)),"NOT SOURCE-REVIEWED IN THIS PASS")</f>
        <v>NOT SOURCE-REVIEWED IN THIS PASS</v>
      </c>
      <c r="AV109" s="5" t="str">
        <f>IFERROR(INDEX('Source Review'!$F$2:$F$52,MATCH($A109,'Source Review'!$A$2:$A$52,0)),"")</f>
        <v/>
      </c>
      <c r="AW109" s="5" t="str">
        <f>IFERROR(INDEX('Source Review'!$G$2:$G$52,MATCH($A109,'Source Review'!$A$2:$A$52,0)),"")</f>
        <v/>
      </c>
      <c r="AX109" s="5" t="str">
        <f>IFERROR(INDEX('Source Review'!$H$2:$H$52,MATCH($A109,'Source Review'!$A$2:$A$52,0)),"")</f>
        <v/>
      </c>
      <c r="AY109" s="2" t="str">
        <f>IF(COUNTIF('Source Review'!$A$2:$A$52,$A109)&gt;0,"UNCONFIRMED REVIEW ESTIMATE - not P80 or elapsed","NOT ESTIMATED IN THIS PASS")</f>
        <v>NOT ESTIMATED IN THIS PASS</v>
      </c>
      <c r="AZ109" s="2" t="str">
        <f>IFERROR(INDEX('Source Review'!$I$2:$I$52,MATCH($A109,'Source Review'!$A$2:$A$52,0)),"")</f>
        <v/>
      </c>
      <c r="BA109" s="2" t="str">
        <f>IFERROR(INDEX('Source Review'!$E$2:$E$52,MATCH($A109,'Source Review'!$A$2:$A$52,0)),"")</f>
        <v/>
      </c>
      <c r="BB109" s="2" t="str">
        <f>IF(COUNTIF('Source Review'!$A$2:$A$52,$A109)&gt;0,"14-Sep-2026 snapshot; later closure evidence separate; no live HEAD verification","")</f>
        <v/>
      </c>
    </row>
    <row r="110" spans="1:54" ht="75.95" hidden="1" customHeight="1">
      <c r="A110" s="2" t="s">
        <v>1272</v>
      </c>
      <c r="B110" s="2" t="s">
        <v>1243</v>
      </c>
      <c r="C110" s="2" t="s">
        <v>109</v>
      </c>
      <c r="D110" s="2" t="s">
        <v>1273</v>
      </c>
      <c r="E110" s="2" t="s">
        <v>145</v>
      </c>
      <c r="F110" s="2" t="s">
        <v>1266</v>
      </c>
      <c r="G110" s="2" t="s">
        <v>113</v>
      </c>
      <c r="H110" s="2" t="s">
        <v>1274</v>
      </c>
      <c r="I110" s="2" t="s">
        <v>1275</v>
      </c>
      <c r="J110" s="65">
        <v>12</v>
      </c>
      <c r="K110" s="94" t="s">
        <v>455</v>
      </c>
      <c r="L110" s="2" t="s">
        <v>117</v>
      </c>
      <c r="M110" s="2"/>
      <c r="N110" s="2"/>
      <c r="O110" s="2" t="s">
        <v>1249</v>
      </c>
      <c r="P110" s="2" t="s">
        <v>1250</v>
      </c>
      <c r="Q110" s="2" t="s">
        <v>1269</v>
      </c>
      <c r="R110" s="65">
        <v>7.2</v>
      </c>
      <c r="S110" s="2" t="s">
        <v>1251</v>
      </c>
      <c r="T110" s="2" t="s">
        <v>1270</v>
      </c>
      <c r="U110" s="2" t="s">
        <v>1271</v>
      </c>
      <c r="V110" s="2" t="s">
        <v>126</v>
      </c>
      <c r="W110" s="2" t="s">
        <v>1253</v>
      </c>
      <c r="X110" s="2" t="s">
        <v>1262</v>
      </c>
      <c r="Y110" s="33"/>
      <c r="Z110" s="9"/>
      <c r="AA110" s="2" t="s">
        <v>471</v>
      </c>
      <c r="AB110" s="2" t="s">
        <v>472</v>
      </c>
      <c r="AC110" s="2" t="s">
        <v>130</v>
      </c>
      <c r="AD110" s="2" t="s">
        <v>179</v>
      </c>
      <c r="AE110" s="2" t="s">
        <v>157</v>
      </c>
      <c r="AF110" s="2" t="s">
        <v>134</v>
      </c>
      <c r="AG110" s="2" t="s">
        <v>1254</v>
      </c>
      <c r="AH110" s="2" t="s">
        <v>136</v>
      </c>
      <c r="AI110" s="2" t="str">
        <f t="shared" si="12"/>
        <v/>
      </c>
      <c r="AJ110" s="2" t="s">
        <v>137</v>
      </c>
      <c r="AK110" s="2" t="s">
        <v>138</v>
      </c>
      <c r="AL110" s="2" t="s">
        <v>139</v>
      </c>
      <c r="AM110" s="2">
        <f t="shared" si="13"/>
        <v>1</v>
      </c>
      <c r="AN110" s="2"/>
      <c r="AO110" s="32" t="s">
        <v>462</v>
      </c>
      <c r="AP110" s="32" t="s">
        <v>141</v>
      </c>
      <c r="AQ110" s="32"/>
      <c r="AR110" s="32" t="s">
        <v>142</v>
      </c>
      <c r="AS110" s="65">
        <f t="shared" si="14"/>
        <v>12</v>
      </c>
      <c r="AT110" s="65">
        <f t="shared" si="15"/>
        <v>7.2</v>
      </c>
      <c r="AU110" s="2" t="str">
        <f>IFERROR(INDEX('Source Review'!$B$2:$B$52,MATCH($A110,'Source Review'!$A$2:$A$52,0)),"NOT SOURCE-REVIEWED IN THIS PASS")</f>
        <v>NOT SOURCE-REVIEWED IN THIS PASS</v>
      </c>
      <c r="AV110" s="5" t="str">
        <f>IFERROR(INDEX('Source Review'!$F$2:$F$52,MATCH($A110,'Source Review'!$A$2:$A$52,0)),"")</f>
        <v/>
      </c>
      <c r="AW110" s="5" t="str">
        <f>IFERROR(INDEX('Source Review'!$G$2:$G$52,MATCH($A110,'Source Review'!$A$2:$A$52,0)),"")</f>
        <v/>
      </c>
      <c r="AX110" s="5" t="str">
        <f>IFERROR(INDEX('Source Review'!$H$2:$H$52,MATCH($A110,'Source Review'!$A$2:$A$52,0)),"")</f>
        <v/>
      </c>
      <c r="AY110" s="2" t="str">
        <f>IF(COUNTIF('Source Review'!$A$2:$A$52,$A110)&gt;0,"UNCONFIRMED REVIEW ESTIMATE - not P80 or elapsed","NOT ESTIMATED IN THIS PASS")</f>
        <v>NOT ESTIMATED IN THIS PASS</v>
      </c>
      <c r="AZ110" s="2" t="str">
        <f>IFERROR(INDEX('Source Review'!$I$2:$I$52,MATCH($A110,'Source Review'!$A$2:$A$52,0)),"")</f>
        <v/>
      </c>
      <c r="BA110" s="2" t="str">
        <f>IFERROR(INDEX('Source Review'!$E$2:$E$52,MATCH($A110,'Source Review'!$A$2:$A$52,0)),"")</f>
        <v/>
      </c>
      <c r="BB110" s="2" t="str">
        <f>IF(COUNTIF('Source Review'!$A$2:$A$52,$A110)&gt;0,"14-Sep-2026 snapshot; later closure evidence separate; no live HEAD verification","")</f>
        <v/>
      </c>
    </row>
    <row r="111" spans="1:54" ht="75.95" hidden="1" customHeight="1">
      <c r="A111" s="2" t="s">
        <v>1276</v>
      </c>
      <c r="B111" s="2" t="s">
        <v>1243</v>
      </c>
      <c r="C111" s="2" t="s">
        <v>109</v>
      </c>
      <c r="D111" s="2" t="s">
        <v>1277</v>
      </c>
      <c r="E111" s="2" t="s">
        <v>182</v>
      </c>
      <c r="F111" s="2" t="s">
        <v>1278</v>
      </c>
      <c r="G111" s="2" t="s">
        <v>113</v>
      </c>
      <c r="H111" s="2" t="s">
        <v>1279</v>
      </c>
      <c r="I111" s="2" t="s">
        <v>1280</v>
      </c>
      <c r="J111" s="65">
        <v>12</v>
      </c>
      <c r="K111" s="94" t="s">
        <v>455</v>
      </c>
      <c r="L111" s="2" t="s">
        <v>117</v>
      </c>
      <c r="M111" s="2" t="s">
        <v>1281</v>
      </c>
      <c r="N111" s="2" t="s">
        <v>1248</v>
      </c>
      <c r="O111" s="2" t="s">
        <v>1249</v>
      </c>
      <c r="P111" s="2" t="s">
        <v>1250</v>
      </c>
      <c r="Q111" s="2" t="s">
        <v>1269</v>
      </c>
      <c r="R111" s="65">
        <v>7.2</v>
      </c>
      <c r="S111" s="2" t="s">
        <v>1251</v>
      </c>
      <c r="T111" s="2" t="s">
        <v>1270</v>
      </c>
      <c r="U111" s="2" t="s">
        <v>1271</v>
      </c>
      <c r="V111" s="2" t="s">
        <v>126</v>
      </c>
      <c r="W111" s="2" t="s">
        <v>1253</v>
      </c>
      <c r="X111" s="2" t="s">
        <v>1262</v>
      </c>
      <c r="Y111" s="33"/>
      <c r="Z111" s="9"/>
      <c r="AA111" s="2" t="s">
        <v>1282</v>
      </c>
      <c r="AB111" s="2" t="s">
        <v>1283</v>
      </c>
      <c r="AC111" s="2" t="s">
        <v>577</v>
      </c>
      <c r="AD111" s="2" t="s">
        <v>132</v>
      </c>
      <c r="AE111" s="2" t="s">
        <v>198</v>
      </c>
      <c r="AF111" s="2" t="s">
        <v>134</v>
      </c>
      <c r="AG111" s="2" t="s">
        <v>1254</v>
      </c>
      <c r="AH111" s="2" t="s">
        <v>136</v>
      </c>
      <c r="AI111" s="2" t="str">
        <f t="shared" si="12"/>
        <v/>
      </c>
      <c r="AJ111" s="2" t="s">
        <v>137</v>
      </c>
      <c r="AK111" s="2" t="s">
        <v>138</v>
      </c>
      <c r="AL111" s="2" t="s">
        <v>139</v>
      </c>
      <c r="AM111" s="2">
        <f t="shared" si="13"/>
        <v>1</v>
      </c>
      <c r="AN111" s="2"/>
      <c r="AO111" s="32" t="s">
        <v>462</v>
      </c>
      <c r="AP111" s="32" t="s">
        <v>141</v>
      </c>
      <c r="AQ111" s="32"/>
      <c r="AR111" s="32" t="s">
        <v>142</v>
      </c>
      <c r="AS111" s="65">
        <f t="shared" si="14"/>
        <v>12</v>
      </c>
      <c r="AT111" s="65">
        <f t="shared" si="15"/>
        <v>7.2</v>
      </c>
      <c r="AU111" s="2" t="str">
        <f>IFERROR(INDEX('Source Review'!$B$2:$B$52,MATCH($A111,'Source Review'!$A$2:$A$52,0)),"NOT SOURCE-REVIEWED IN THIS PASS")</f>
        <v>NOT SOURCE-REVIEWED IN THIS PASS</v>
      </c>
      <c r="AV111" s="5" t="str">
        <f>IFERROR(INDEX('Source Review'!$F$2:$F$52,MATCH($A111,'Source Review'!$A$2:$A$52,0)),"")</f>
        <v/>
      </c>
      <c r="AW111" s="5" t="str">
        <f>IFERROR(INDEX('Source Review'!$G$2:$G$52,MATCH($A111,'Source Review'!$A$2:$A$52,0)),"")</f>
        <v/>
      </c>
      <c r="AX111" s="5" t="str">
        <f>IFERROR(INDEX('Source Review'!$H$2:$H$52,MATCH($A111,'Source Review'!$A$2:$A$52,0)),"")</f>
        <v/>
      </c>
      <c r="AY111" s="2" t="str">
        <f>IF(COUNTIF('Source Review'!$A$2:$A$52,$A111)&gt;0,"UNCONFIRMED REVIEW ESTIMATE - not P80 or elapsed","NOT ESTIMATED IN THIS PASS")</f>
        <v>NOT ESTIMATED IN THIS PASS</v>
      </c>
      <c r="AZ111" s="2" t="str">
        <f>IFERROR(INDEX('Source Review'!$I$2:$I$52,MATCH($A111,'Source Review'!$A$2:$A$52,0)),"")</f>
        <v/>
      </c>
      <c r="BA111" s="2" t="str">
        <f>IFERROR(INDEX('Source Review'!$E$2:$E$52,MATCH($A111,'Source Review'!$A$2:$A$52,0)),"")</f>
        <v/>
      </c>
      <c r="BB111" s="2" t="str">
        <f>IF(COUNTIF('Source Review'!$A$2:$A$52,$A111)&gt;0,"14-Sep-2026 snapshot; later closure evidence separate; no live HEAD verification","")</f>
        <v/>
      </c>
    </row>
    <row r="112" spans="1:54" ht="75.95" hidden="1" customHeight="1">
      <c r="A112" s="2" t="s">
        <v>1284</v>
      </c>
      <c r="B112" s="2" t="s">
        <v>1243</v>
      </c>
      <c r="C112" s="2" t="s">
        <v>109</v>
      </c>
      <c r="D112" s="2" t="s">
        <v>1285</v>
      </c>
      <c r="E112" s="2" t="s">
        <v>145</v>
      </c>
      <c r="F112" s="2" t="s">
        <v>1286</v>
      </c>
      <c r="G112" s="2" t="s">
        <v>160</v>
      </c>
      <c r="H112" s="2" t="s">
        <v>1287</v>
      </c>
      <c r="I112" s="2" t="s">
        <v>1288</v>
      </c>
      <c r="J112" s="65">
        <v>12</v>
      </c>
      <c r="K112" s="94" t="s">
        <v>455</v>
      </c>
      <c r="L112" s="2" t="s">
        <v>117</v>
      </c>
      <c r="M112" s="2"/>
      <c r="N112" s="2"/>
      <c r="O112" s="2" t="s">
        <v>1249</v>
      </c>
      <c r="P112" s="2" t="s">
        <v>1250</v>
      </c>
      <c r="Q112" s="2" t="s">
        <v>1269</v>
      </c>
      <c r="R112" s="65">
        <v>7.2</v>
      </c>
      <c r="S112" s="2" t="s">
        <v>1251</v>
      </c>
      <c r="T112" s="2" t="s">
        <v>1270</v>
      </c>
      <c r="U112" s="2" t="s">
        <v>1271</v>
      </c>
      <c r="V112" s="2" t="s">
        <v>126</v>
      </c>
      <c r="W112" s="2" t="s">
        <v>1253</v>
      </c>
      <c r="X112" s="2" t="s">
        <v>1262</v>
      </c>
      <c r="Y112" s="33"/>
      <c r="Z112" s="9"/>
      <c r="AA112" s="2" t="s">
        <v>987</v>
      </c>
      <c r="AB112" s="2" t="s">
        <v>988</v>
      </c>
      <c r="AC112" s="2"/>
      <c r="AD112" s="2" t="s">
        <v>179</v>
      </c>
      <c r="AE112" s="2" t="s">
        <v>157</v>
      </c>
      <c r="AF112" s="2" t="s">
        <v>134</v>
      </c>
      <c r="AG112" s="2" t="s">
        <v>1254</v>
      </c>
      <c r="AH112" s="2" t="s">
        <v>136</v>
      </c>
      <c r="AI112" s="2" t="str">
        <f t="shared" si="12"/>
        <v/>
      </c>
      <c r="AJ112" s="2" t="s">
        <v>137</v>
      </c>
      <c r="AK112" s="2" t="s">
        <v>138</v>
      </c>
      <c r="AL112" s="2" t="s">
        <v>139</v>
      </c>
      <c r="AM112" s="2">
        <f t="shared" si="13"/>
        <v>1</v>
      </c>
      <c r="AN112" s="2"/>
      <c r="AO112" s="32" t="s">
        <v>462</v>
      </c>
      <c r="AP112" s="32" t="s">
        <v>141</v>
      </c>
      <c r="AQ112" s="32"/>
      <c r="AR112" s="32" t="s">
        <v>142</v>
      </c>
      <c r="AS112" s="65">
        <f t="shared" si="14"/>
        <v>12</v>
      </c>
      <c r="AT112" s="65">
        <f t="shared" si="15"/>
        <v>7.2</v>
      </c>
      <c r="AU112" s="2" t="str">
        <f>IFERROR(INDEX('Source Review'!$B$2:$B$52,MATCH($A112,'Source Review'!$A$2:$A$52,0)),"NOT SOURCE-REVIEWED IN THIS PASS")</f>
        <v>NOT SOURCE-REVIEWED IN THIS PASS</v>
      </c>
      <c r="AV112" s="5" t="str">
        <f>IFERROR(INDEX('Source Review'!$F$2:$F$52,MATCH($A112,'Source Review'!$A$2:$A$52,0)),"")</f>
        <v/>
      </c>
      <c r="AW112" s="5" t="str">
        <f>IFERROR(INDEX('Source Review'!$G$2:$G$52,MATCH($A112,'Source Review'!$A$2:$A$52,0)),"")</f>
        <v/>
      </c>
      <c r="AX112" s="5" t="str">
        <f>IFERROR(INDEX('Source Review'!$H$2:$H$52,MATCH($A112,'Source Review'!$A$2:$A$52,0)),"")</f>
        <v/>
      </c>
      <c r="AY112" s="2" t="str">
        <f>IF(COUNTIF('Source Review'!$A$2:$A$52,$A112)&gt;0,"UNCONFIRMED REVIEW ESTIMATE - not P80 or elapsed","NOT ESTIMATED IN THIS PASS")</f>
        <v>NOT ESTIMATED IN THIS PASS</v>
      </c>
      <c r="AZ112" s="2" t="str">
        <f>IFERROR(INDEX('Source Review'!$I$2:$I$52,MATCH($A112,'Source Review'!$A$2:$A$52,0)),"")</f>
        <v/>
      </c>
      <c r="BA112" s="2" t="str">
        <f>IFERROR(INDEX('Source Review'!$E$2:$E$52,MATCH($A112,'Source Review'!$A$2:$A$52,0)),"")</f>
        <v/>
      </c>
      <c r="BB112" s="2" t="str">
        <f>IF(COUNTIF('Source Review'!$A$2:$A$52,$A112)&gt;0,"14-Sep-2026 snapshot; later closure evidence separate; no live HEAD verification","")</f>
        <v/>
      </c>
    </row>
    <row r="113" spans="1:54" ht="75.95" hidden="1" customHeight="1">
      <c r="A113" s="2" t="s">
        <v>1289</v>
      </c>
      <c r="B113" s="2" t="s">
        <v>1243</v>
      </c>
      <c r="C113" s="2" t="s">
        <v>109</v>
      </c>
      <c r="D113" s="2" t="s">
        <v>1290</v>
      </c>
      <c r="E113" s="2" t="s">
        <v>1162</v>
      </c>
      <c r="F113" s="2" t="s">
        <v>1286</v>
      </c>
      <c r="G113" s="2" t="s">
        <v>160</v>
      </c>
      <c r="H113" s="2" t="s">
        <v>1291</v>
      </c>
      <c r="I113" s="2" t="s">
        <v>1292</v>
      </c>
      <c r="J113" s="65">
        <v>12</v>
      </c>
      <c r="K113" s="94" t="s">
        <v>455</v>
      </c>
      <c r="L113" s="2" t="s">
        <v>293</v>
      </c>
      <c r="M113" s="2"/>
      <c r="N113" s="2"/>
      <c r="O113" s="2" t="s">
        <v>1249</v>
      </c>
      <c r="P113" s="2" t="s">
        <v>1250</v>
      </c>
      <c r="Q113" s="2" t="s">
        <v>1293</v>
      </c>
      <c r="R113" s="65">
        <v>4.32</v>
      </c>
      <c r="S113" s="2" t="s">
        <v>1251</v>
      </c>
      <c r="T113" s="2" t="s">
        <v>1294</v>
      </c>
      <c r="U113" s="2" t="s">
        <v>1295</v>
      </c>
      <c r="V113" s="2" t="s">
        <v>126</v>
      </c>
      <c r="W113" s="2" t="s">
        <v>1253</v>
      </c>
      <c r="X113" s="2" t="s">
        <v>1262</v>
      </c>
      <c r="Y113" s="33"/>
      <c r="Z113" s="9"/>
      <c r="AA113" s="2" t="s">
        <v>987</v>
      </c>
      <c r="AB113" s="2" t="s">
        <v>988</v>
      </c>
      <c r="AC113" s="2" t="s">
        <v>546</v>
      </c>
      <c r="AD113" s="2" t="s">
        <v>179</v>
      </c>
      <c r="AE113" s="2" t="s">
        <v>133</v>
      </c>
      <c r="AF113" s="2" t="s">
        <v>134</v>
      </c>
      <c r="AG113" s="2" t="s">
        <v>1254</v>
      </c>
      <c r="AH113" s="2" t="s">
        <v>136</v>
      </c>
      <c r="AI113" s="2" t="str">
        <f t="shared" si="12"/>
        <v/>
      </c>
      <c r="AJ113" s="2" t="s">
        <v>496</v>
      </c>
      <c r="AK113" s="2" t="s">
        <v>138</v>
      </c>
      <c r="AL113" s="2" t="s">
        <v>139</v>
      </c>
      <c r="AM113" s="2">
        <f t="shared" si="13"/>
        <v>0</v>
      </c>
      <c r="AN113" s="2"/>
      <c r="AO113" s="32" t="s">
        <v>462</v>
      </c>
      <c r="AP113" s="32" t="s">
        <v>141</v>
      </c>
      <c r="AQ113" s="32"/>
      <c r="AR113" s="32" t="s">
        <v>486</v>
      </c>
      <c r="AS113" s="65" t="str">
        <f t="shared" si="14"/>
        <v/>
      </c>
      <c r="AT113" s="65" t="str">
        <f t="shared" si="15"/>
        <v/>
      </c>
      <c r="AU113" s="2" t="str">
        <f>IFERROR(INDEX('Source Review'!$B$2:$B$52,MATCH($A113,'Source Review'!$A$2:$A$52,0)),"NOT SOURCE-REVIEWED IN THIS PASS")</f>
        <v>SOURCE FOUNDATION REVIEWED — SITE MEASUREMENTS UNVERIFIED</v>
      </c>
      <c r="AV113" s="5">
        <f>IFERROR(INDEX('Source Review'!$F$2:$F$52,MATCH($A113,'Source Review'!$A$2:$A$52,0)),"")</f>
        <v>8</v>
      </c>
      <c r="AW113" s="5">
        <f>IFERROR(INDEX('Source Review'!$G$2:$G$52,MATCH($A113,'Source Review'!$A$2:$A$52,0)),"")</f>
        <v>14</v>
      </c>
      <c r="AX113" s="5">
        <f>IFERROR(INDEX('Source Review'!$H$2:$H$52,MATCH($A113,'Source Review'!$A$2:$A$52,0)),"")</f>
        <v>24</v>
      </c>
      <c r="AY113" s="2" t="str">
        <f>IF(COUNTIF('Source Review'!$A$2:$A$52,$A113)&gt;0,"UNCONFIRMED REVIEW ESTIMATE - not P80 or elapsed","NOT ESTIMATED IN THIS PASS")</f>
        <v>UNCONFIRMED REVIEW ESTIMATE - not P80 or elapsed</v>
      </c>
      <c r="AZ113" s="2" t="str">
        <f>IFERROR(INDEX('Source Review'!$I$2:$I$52,MATCH($A113,'Source Review'!$A$2:$A$52,0)),"")</f>
        <v>Workload/hook setup 3/5/8; measurement orchestration/analysis 3/5/9; governed result publication 2/4/7.</v>
      </c>
      <c r="BA113" s="2" t="str">
        <f>IFERROR(INDEX('Source Review'!$E$2:$E$52,MATCH($A113,'Source Review'!$A$2:$A$52,0)),"")</f>
        <v>Backend/PlantProcess.ML.Runtime/Benchmarks/BenchmarkCatalogue.cs:20-36 — benchmark metadata
Backend/PlantProcess.ML.Runtime/Benchmarks/BenchmarkManifest.cs:32-75 — SelectedValueGuard</v>
      </c>
      <c r="BB113" s="2" t="str">
        <f>IF(COUNTIF('Source Review'!$A$2:$A$52,$A113)&gt;0,"14-Sep-2026 snapshot; later closure evidence separate; no live HEAD verification","")</f>
        <v>14-Sep-2026 snapshot; later closure evidence separate; no live HEAD verification</v>
      </c>
    </row>
    <row r="114" spans="1:54" ht="75.95" hidden="1" customHeight="1">
      <c r="A114" s="2" t="s">
        <v>1296</v>
      </c>
      <c r="B114" s="2" t="s">
        <v>1243</v>
      </c>
      <c r="C114" s="2" t="s">
        <v>109</v>
      </c>
      <c r="D114" s="2" t="s">
        <v>1297</v>
      </c>
      <c r="E114" s="2" t="s">
        <v>1162</v>
      </c>
      <c r="F114" s="2" t="s">
        <v>1298</v>
      </c>
      <c r="G114" s="2" t="s">
        <v>113</v>
      </c>
      <c r="H114" s="2" t="s">
        <v>1299</v>
      </c>
      <c r="I114" s="2" t="s">
        <v>1300</v>
      </c>
      <c r="J114" s="65">
        <v>12</v>
      </c>
      <c r="K114" s="94" t="s">
        <v>455</v>
      </c>
      <c r="L114" s="2" t="s">
        <v>293</v>
      </c>
      <c r="M114" s="2"/>
      <c r="N114" s="2" t="s">
        <v>1248</v>
      </c>
      <c r="O114" s="2" t="s">
        <v>1249</v>
      </c>
      <c r="P114" s="2" t="s">
        <v>1250</v>
      </c>
      <c r="Q114" s="2" t="s">
        <v>1293</v>
      </c>
      <c r="R114" s="65">
        <v>4.32</v>
      </c>
      <c r="S114" s="2" t="s">
        <v>1251</v>
      </c>
      <c r="T114" s="2" t="s">
        <v>1294</v>
      </c>
      <c r="U114" s="2" t="s">
        <v>1295</v>
      </c>
      <c r="V114" s="2" t="s">
        <v>126</v>
      </c>
      <c r="W114" s="2" t="s">
        <v>1253</v>
      </c>
      <c r="X114" s="2" t="s">
        <v>1262</v>
      </c>
      <c r="Y114" s="33"/>
      <c r="Z114" s="9"/>
      <c r="AA114" s="2" t="s">
        <v>130</v>
      </c>
      <c r="AB114" s="2" t="s">
        <v>131</v>
      </c>
      <c r="AC114" s="2" t="s">
        <v>987</v>
      </c>
      <c r="AD114" s="2" t="s">
        <v>1205</v>
      </c>
      <c r="AE114" s="2" t="s">
        <v>133</v>
      </c>
      <c r="AF114" s="2" t="s">
        <v>134</v>
      </c>
      <c r="AG114" s="2" t="s">
        <v>1254</v>
      </c>
      <c r="AH114" s="2" t="s">
        <v>136</v>
      </c>
      <c r="AI114" s="2" t="str">
        <f t="shared" si="12"/>
        <v/>
      </c>
      <c r="AJ114" s="2" t="s">
        <v>496</v>
      </c>
      <c r="AK114" s="2" t="s">
        <v>138</v>
      </c>
      <c r="AL114" s="2" t="s">
        <v>139</v>
      </c>
      <c r="AM114" s="2">
        <f t="shared" si="13"/>
        <v>0</v>
      </c>
      <c r="AN114" s="2"/>
      <c r="AO114" s="32" t="s">
        <v>462</v>
      </c>
      <c r="AP114" s="32" t="s">
        <v>141</v>
      </c>
      <c r="AQ114" s="32"/>
      <c r="AR114" s="32" t="s">
        <v>486</v>
      </c>
      <c r="AS114" s="65" t="str">
        <f t="shared" si="14"/>
        <v/>
      </c>
      <c r="AT114" s="65" t="str">
        <f t="shared" si="15"/>
        <v/>
      </c>
      <c r="AU114" s="2" t="str">
        <f>IFERROR(INDEX('Source Review'!$B$2:$B$52,MATCH($A114,'Source Review'!$A$2:$A$52,0)),"NOT SOURCE-REVIEWED IN THIS PASS")</f>
        <v>FOUNDATION REVIEWED — CAPACITY CERTIFICATION NOT EXECUTED</v>
      </c>
      <c r="AV114" s="5">
        <f>IFERROR(INDEX('Source Review'!$F$2:$F$52,MATCH($A114,'Source Review'!$A$2:$A$52,0)),"")</f>
        <v>8</v>
      </c>
      <c r="AW114" s="5">
        <f>IFERROR(INDEX('Source Review'!$G$2:$G$52,MATCH($A114,'Source Review'!$A$2:$A$52,0)),"")</f>
        <v>16</v>
      </c>
      <c r="AX114" s="5">
        <f>IFERROR(INDEX('Source Review'!$H$2:$H$52,MATCH($A114,'Source Review'!$A$2:$A$52,0)),"")</f>
        <v>28</v>
      </c>
      <c r="AY114" s="2" t="str">
        <f>IF(COUNTIF('Source Review'!$A$2:$A$52,$A114)&gt;0,"UNCONFIRMED REVIEW ESTIMATE - not P80 or elapsed","NOT ESTIMATED IN THIS PASS")</f>
        <v>UNCONFIRMED REVIEW ESTIMATE - not P80 or elapsed</v>
      </c>
      <c r="AZ114" s="2" t="str">
        <f>IFERROR(INDEX('Source Review'!$I$2:$I$52,MATCH($A114,'Source Review'!$A$2:$A$52,0)),"")</f>
        <v>Profile preparation 3/6/10; certification operation/analysis 3/6/11; reconciliation/sign-off evidence 2/4/7.</v>
      </c>
      <c r="BA114" s="2" t="str">
        <f>IFERROR(INDEX('Source Review'!$E$2:$E$52,MATCH($A114,'Source Review'!$A$2:$A$52,0)),"")</f>
        <v>Backend/PlantProcess.ML.Runtime/Benchmarks/BenchmarkManifest.cs:43-81 — evidence guard
Backend/PlantProcess.ML.Runtime/Benchmarks/BenchmarkCatalogue.cs:65-90 — B-01..B-09 registry</v>
      </c>
      <c r="BB114" s="2" t="str">
        <f>IF(COUNTIF('Source Review'!$A$2:$A$52,$A114)&gt;0,"14-Sep-2026 snapshot; later closure evidence separate; no live HEAD verification","")</f>
        <v>14-Sep-2026 snapshot; later closure evidence separate; no live HEAD verification</v>
      </c>
    </row>
    <row r="115" spans="1:54" ht="75.95" hidden="1" customHeight="1">
      <c r="A115" s="2" t="s">
        <v>1301</v>
      </c>
      <c r="B115" s="2" t="s">
        <v>1243</v>
      </c>
      <c r="C115" s="2" t="s">
        <v>109</v>
      </c>
      <c r="D115" s="2" t="s">
        <v>1302</v>
      </c>
      <c r="E115" s="2" t="s">
        <v>1162</v>
      </c>
      <c r="F115" s="2" t="s">
        <v>1303</v>
      </c>
      <c r="G115" s="2" t="s">
        <v>113</v>
      </c>
      <c r="H115" s="2" t="s">
        <v>1304</v>
      </c>
      <c r="I115" s="2" t="s">
        <v>1305</v>
      </c>
      <c r="J115" s="65">
        <v>12</v>
      </c>
      <c r="K115" s="94" t="s">
        <v>455</v>
      </c>
      <c r="L115" s="2" t="s">
        <v>117</v>
      </c>
      <c r="M115" s="2"/>
      <c r="N115" s="2" t="s">
        <v>1248</v>
      </c>
      <c r="O115" s="2" t="s">
        <v>1249</v>
      </c>
      <c r="P115" s="2" t="s">
        <v>1250</v>
      </c>
      <c r="Q115" s="2" t="s">
        <v>1269</v>
      </c>
      <c r="R115" s="65">
        <v>7.2</v>
      </c>
      <c r="S115" s="2" t="s">
        <v>1251</v>
      </c>
      <c r="T115" s="2" t="s">
        <v>1270</v>
      </c>
      <c r="U115" s="2" t="s">
        <v>1271</v>
      </c>
      <c r="V115" s="2" t="s">
        <v>126</v>
      </c>
      <c r="W115" s="2" t="s">
        <v>1253</v>
      </c>
      <c r="X115" s="2" t="s">
        <v>1262</v>
      </c>
      <c r="Y115" s="33"/>
      <c r="Z115" s="9"/>
      <c r="AA115" s="2" t="s">
        <v>1175</v>
      </c>
      <c r="AB115" s="2" t="s">
        <v>1176</v>
      </c>
      <c r="AC115" s="2"/>
      <c r="AD115" s="2" t="s">
        <v>179</v>
      </c>
      <c r="AE115" s="2" t="s">
        <v>157</v>
      </c>
      <c r="AF115" s="2" t="s">
        <v>134</v>
      </c>
      <c r="AG115" s="2" t="s">
        <v>1254</v>
      </c>
      <c r="AH115" s="2" t="s">
        <v>136</v>
      </c>
      <c r="AI115" s="2" t="str">
        <f t="shared" si="12"/>
        <v/>
      </c>
      <c r="AJ115" s="2" t="s">
        <v>137</v>
      </c>
      <c r="AK115" s="2" t="s">
        <v>138</v>
      </c>
      <c r="AL115" s="2" t="s">
        <v>139</v>
      </c>
      <c r="AM115" s="2">
        <f t="shared" si="13"/>
        <v>1</v>
      </c>
      <c r="AN115" s="2"/>
      <c r="AO115" s="32" t="s">
        <v>462</v>
      </c>
      <c r="AP115" s="32" t="s">
        <v>141</v>
      </c>
      <c r="AQ115" s="32"/>
      <c r="AR115" s="32" t="s">
        <v>142</v>
      </c>
      <c r="AS115" s="65">
        <f t="shared" si="14"/>
        <v>12</v>
      </c>
      <c r="AT115" s="65">
        <f t="shared" si="15"/>
        <v>7.2</v>
      </c>
      <c r="AU115" s="2" t="str">
        <f>IFERROR(INDEX('Source Review'!$B$2:$B$52,MATCH($A115,'Source Review'!$A$2:$A$52,0)),"NOT SOURCE-REVIEWED IN THIS PASS")</f>
        <v>NOT SOURCE-REVIEWED IN THIS PASS</v>
      </c>
      <c r="AV115" s="5" t="str">
        <f>IFERROR(INDEX('Source Review'!$F$2:$F$52,MATCH($A115,'Source Review'!$A$2:$A$52,0)),"")</f>
        <v/>
      </c>
      <c r="AW115" s="5" t="str">
        <f>IFERROR(INDEX('Source Review'!$G$2:$G$52,MATCH($A115,'Source Review'!$A$2:$A$52,0)),"")</f>
        <v/>
      </c>
      <c r="AX115" s="5" t="str">
        <f>IFERROR(INDEX('Source Review'!$H$2:$H$52,MATCH($A115,'Source Review'!$A$2:$A$52,0)),"")</f>
        <v/>
      </c>
      <c r="AY115" s="2" t="str">
        <f>IF(COUNTIF('Source Review'!$A$2:$A$52,$A115)&gt;0,"UNCONFIRMED REVIEW ESTIMATE - not P80 or elapsed","NOT ESTIMATED IN THIS PASS")</f>
        <v>NOT ESTIMATED IN THIS PASS</v>
      </c>
      <c r="AZ115" s="2" t="str">
        <f>IFERROR(INDEX('Source Review'!$I$2:$I$52,MATCH($A115,'Source Review'!$A$2:$A$52,0)),"")</f>
        <v/>
      </c>
      <c r="BA115" s="2" t="str">
        <f>IFERROR(INDEX('Source Review'!$E$2:$E$52,MATCH($A115,'Source Review'!$A$2:$A$52,0)),"")</f>
        <v/>
      </c>
      <c r="BB115" s="2" t="str">
        <f>IF(COUNTIF('Source Review'!$A$2:$A$52,$A115)&gt;0,"14-Sep-2026 snapshot; later closure evidence separate; no live HEAD verification","")</f>
        <v/>
      </c>
    </row>
    <row r="116" spans="1:54" ht="75.95" hidden="1" customHeight="1">
      <c r="A116" s="2" t="s">
        <v>1306</v>
      </c>
      <c r="B116" s="2" t="s">
        <v>1243</v>
      </c>
      <c r="C116" s="2" t="s">
        <v>109</v>
      </c>
      <c r="D116" s="2" t="s">
        <v>1307</v>
      </c>
      <c r="E116" s="2" t="s">
        <v>1162</v>
      </c>
      <c r="F116" s="2" t="s">
        <v>1179</v>
      </c>
      <c r="G116" s="2" t="s">
        <v>160</v>
      </c>
      <c r="H116" s="2" t="s">
        <v>1308</v>
      </c>
      <c r="I116" s="2" t="s">
        <v>1309</v>
      </c>
      <c r="J116" s="65">
        <v>12</v>
      </c>
      <c r="K116" s="94" t="s">
        <v>455</v>
      </c>
      <c r="L116" s="2" t="s">
        <v>117</v>
      </c>
      <c r="M116" s="2"/>
      <c r="N116" s="2" t="s">
        <v>1248</v>
      </c>
      <c r="O116" s="2" t="s">
        <v>1249</v>
      </c>
      <c r="P116" s="2" t="s">
        <v>1250</v>
      </c>
      <c r="Q116" s="2" t="s">
        <v>1269</v>
      </c>
      <c r="R116" s="65">
        <v>7.2</v>
      </c>
      <c r="S116" s="2" t="s">
        <v>1251</v>
      </c>
      <c r="T116" s="2" t="s">
        <v>1270</v>
      </c>
      <c r="U116" s="2" t="s">
        <v>1271</v>
      </c>
      <c r="V116" s="2" t="s">
        <v>126</v>
      </c>
      <c r="W116" s="2" t="s">
        <v>1253</v>
      </c>
      <c r="X116" s="2" t="s">
        <v>1262</v>
      </c>
      <c r="Y116" s="33"/>
      <c r="Z116" s="9"/>
      <c r="AA116" s="2" t="s">
        <v>1183</v>
      </c>
      <c r="AB116" s="2" t="s">
        <v>1184</v>
      </c>
      <c r="AC116" s="2"/>
      <c r="AD116" s="2" t="s">
        <v>179</v>
      </c>
      <c r="AE116" s="2" t="s">
        <v>133</v>
      </c>
      <c r="AF116" s="2" t="s">
        <v>134</v>
      </c>
      <c r="AG116" s="2" t="s">
        <v>1254</v>
      </c>
      <c r="AH116" s="2" t="s">
        <v>136</v>
      </c>
      <c r="AI116" s="2" t="str">
        <f t="shared" si="12"/>
        <v/>
      </c>
      <c r="AJ116" s="2" t="s">
        <v>137</v>
      </c>
      <c r="AK116" s="2" t="s">
        <v>138</v>
      </c>
      <c r="AL116" s="2" t="s">
        <v>139</v>
      </c>
      <c r="AM116" s="2">
        <f t="shared" si="13"/>
        <v>1</v>
      </c>
      <c r="AN116" s="2"/>
      <c r="AO116" s="32" t="s">
        <v>462</v>
      </c>
      <c r="AP116" s="32" t="s">
        <v>141</v>
      </c>
      <c r="AQ116" s="32"/>
      <c r="AR116" s="32" t="s">
        <v>142</v>
      </c>
      <c r="AS116" s="65">
        <f t="shared" si="14"/>
        <v>12</v>
      </c>
      <c r="AT116" s="65">
        <f t="shared" si="15"/>
        <v>7.2</v>
      </c>
      <c r="AU116" s="2" t="str">
        <f>IFERROR(INDEX('Source Review'!$B$2:$B$52,MATCH($A116,'Source Review'!$A$2:$A$52,0)),"NOT SOURCE-REVIEWED IN THIS PASS")</f>
        <v>NOT SOURCE-REVIEWED IN THIS PASS</v>
      </c>
      <c r="AV116" s="5" t="str">
        <f>IFERROR(INDEX('Source Review'!$F$2:$F$52,MATCH($A116,'Source Review'!$A$2:$A$52,0)),"")</f>
        <v/>
      </c>
      <c r="AW116" s="5" t="str">
        <f>IFERROR(INDEX('Source Review'!$G$2:$G$52,MATCH($A116,'Source Review'!$A$2:$A$52,0)),"")</f>
        <v/>
      </c>
      <c r="AX116" s="5" t="str">
        <f>IFERROR(INDEX('Source Review'!$H$2:$H$52,MATCH($A116,'Source Review'!$A$2:$A$52,0)),"")</f>
        <v/>
      </c>
      <c r="AY116" s="2" t="str">
        <f>IF(COUNTIF('Source Review'!$A$2:$A$52,$A116)&gt;0,"UNCONFIRMED REVIEW ESTIMATE - not P80 or elapsed","NOT ESTIMATED IN THIS PASS")</f>
        <v>NOT ESTIMATED IN THIS PASS</v>
      </c>
      <c r="AZ116" s="2" t="str">
        <f>IFERROR(INDEX('Source Review'!$I$2:$I$52,MATCH($A116,'Source Review'!$A$2:$A$52,0)),"")</f>
        <v/>
      </c>
      <c r="BA116" s="2" t="str">
        <f>IFERROR(INDEX('Source Review'!$E$2:$E$52,MATCH($A116,'Source Review'!$A$2:$A$52,0)),"")</f>
        <v/>
      </c>
      <c r="BB116" s="2" t="str">
        <f>IF(COUNTIF('Source Review'!$A$2:$A$52,$A116)&gt;0,"14-Sep-2026 snapshot; later closure evidence separate; no live HEAD verification","")</f>
        <v/>
      </c>
    </row>
    <row r="117" spans="1:54" ht="75.95" hidden="1" customHeight="1">
      <c r="A117" s="2" t="s">
        <v>1310</v>
      </c>
      <c r="B117" s="2" t="s">
        <v>1243</v>
      </c>
      <c r="C117" s="2" t="s">
        <v>426</v>
      </c>
      <c r="D117" s="2" t="s">
        <v>1311</v>
      </c>
      <c r="E117" s="2" t="s">
        <v>182</v>
      </c>
      <c r="F117" s="2" t="s">
        <v>809</v>
      </c>
      <c r="G117" s="2" t="s">
        <v>160</v>
      </c>
      <c r="H117" s="2" t="s">
        <v>1312</v>
      </c>
      <c r="I117" s="2" t="s">
        <v>1313</v>
      </c>
      <c r="J117" s="65">
        <v>8</v>
      </c>
      <c r="K117" s="94" t="s">
        <v>455</v>
      </c>
      <c r="L117" s="2" t="s">
        <v>117</v>
      </c>
      <c r="M117" s="2" t="s">
        <v>392</v>
      </c>
      <c r="N117" s="2"/>
      <c r="O117" s="2" t="s">
        <v>1249</v>
      </c>
      <c r="P117" s="2" t="s">
        <v>1250</v>
      </c>
      <c r="Q117" s="2" t="s">
        <v>186</v>
      </c>
      <c r="R117" s="65">
        <v>1.2000000000000002</v>
      </c>
      <c r="S117" s="2" t="s">
        <v>1314</v>
      </c>
      <c r="T117" s="2" t="s">
        <v>1122</v>
      </c>
      <c r="U117" s="2" t="s">
        <v>125</v>
      </c>
      <c r="V117" s="2" t="s">
        <v>126</v>
      </c>
      <c r="W117" s="2" t="s">
        <v>1315</v>
      </c>
      <c r="X117" s="2" t="s">
        <v>1316</v>
      </c>
      <c r="Y117" s="33"/>
      <c r="Z117" s="9"/>
      <c r="AA117" s="2" t="s">
        <v>130</v>
      </c>
      <c r="AB117" s="2" t="s">
        <v>131</v>
      </c>
      <c r="AC117" s="2"/>
      <c r="AD117" s="2" t="s">
        <v>156</v>
      </c>
      <c r="AE117" s="2" t="s">
        <v>191</v>
      </c>
      <c r="AF117" s="2" t="s">
        <v>134</v>
      </c>
      <c r="AG117" s="2" t="s">
        <v>1254</v>
      </c>
      <c r="AH117" s="2" t="s">
        <v>136</v>
      </c>
      <c r="AI117" s="2" t="str">
        <f t="shared" si="12"/>
        <v/>
      </c>
      <c r="AJ117" s="2" t="s">
        <v>496</v>
      </c>
      <c r="AK117" s="2" t="s">
        <v>138</v>
      </c>
      <c r="AL117" s="2" t="s">
        <v>139</v>
      </c>
      <c r="AM117" s="2">
        <f t="shared" si="13"/>
        <v>0</v>
      </c>
      <c r="AN117" s="2"/>
      <c r="AO117" s="32" t="s">
        <v>462</v>
      </c>
      <c r="AP117" s="32" t="s">
        <v>141</v>
      </c>
      <c r="AQ117" s="32"/>
      <c r="AR117" s="32" t="s">
        <v>486</v>
      </c>
      <c r="AS117" s="65" t="str">
        <f t="shared" si="14"/>
        <v/>
      </c>
      <c r="AT117" s="65" t="str">
        <f t="shared" si="15"/>
        <v/>
      </c>
      <c r="AU117" s="2" t="str">
        <f>IFERROR(INDEX('Source Review'!$B$2:$B$52,MATCH($A117,'Source Review'!$A$2:$A$52,0)),"NOT SOURCE-REVIEWED IN THIS PASS")</f>
        <v>BOUNDED SOURCE REVIEW — ROUTE-WIDE CENSUS NOT COMPLETE</v>
      </c>
      <c r="AV117" s="5">
        <f>IFERROR(INDEX('Source Review'!$F$2:$F$52,MATCH($A117,'Source Review'!$A$2:$A$52,0)),"")</f>
        <v>8</v>
      </c>
      <c r="AW117" s="5">
        <f>IFERROR(INDEX('Source Review'!$G$2:$G$52,MATCH($A117,'Source Review'!$A$2:$A$52,0)),"")</f>
        <v>14</v>
      </c>
      <c r="AX117" s="5">
        <f>IFERROR(INDEX('Source Review'!$H$2:$H$52,MATCH($A117,'Source Review'!$A$2:$A$52,0)),"")</f>
        <v>24</v>
      </c>
      <c r="AY117" s="2" t="str">
        <f>IF(COUNTIF('Source Review'!$A$2:$A$52,$A117)&gt;0,"UNCONFIRMED REVIEW ESTIMATE - not P80 or elapsed","NOT ESTIMATED IN THIS PASS")</f>
        <v>UNCONFIRMED REVIEW ESTIMATE - not P80 or elapsed</v>
      </c>
      <c r="AZ117" s="2" t="str">
        <f>IFERROR(INDEX('Source Review'!$I$2:$I$52,MATCH($A117,'Source Review'!$A$2:$A$52,0)),"")</f>
        <v>Consumer/route inventory 3/5/8; safe dual routing and consumer convergence 3/5/9; parity/negative tests 2/4/7.</v>
      </c>
      <c r="BA117" s="2" t="str">
        <f>IFERROR(INDEX('Source Review'!$E$2:$E$52,MATCH($A117,'Source Review'!$A$2:$A$52,0)),"")</f>
        <v>Backend/PlantProcess.Infrastructure/Provenance/NpgsqlProvenanceResolver.cs:16-66 — provenance dispatch and run resolution
Backend/PlantProcess.Infrastructure/Provenance/NpgsqlProvenanceResolver.cs:69-90 — source/dataset existence lookup</v>
      </c>
      <c r="BB117" s="2" t="str">
        <f>IF(COUNTIF('Source Review'!$A$2:$A$52,$A117)&gt;0,"14-Sep-2026 snapshot; later closure evidence separate; no live HEAD verification","")</f>
        <v>14-Sep-2026 snapshot; later closure evidence separate; no live HEAD verification</v>
      </c>
    </row>
    <row r="118" spans="1:54" ht="75.95" hidden="1" customHeight="1">
      <c r="A118" s="2" t="s">
        <v>1317</v>
      </c>
      <c r="B118" s="2" t="s">
        <v>1243</v>
      </c>
      <c r="C118" s="2" t="s">
        <v>426</v>
      </c>
      <c r="D118" s="2" t="s">
        <v>1318</v>
      </c>
      <c r="E118" s="2" t="s">
        <v>182</v>
      </c>
      <c r="F118" s="2" t="s">
        <v>809</v>
      </c>
      <c r="G118" s="2" t="s">
        <v>160</v>
      </c>
      <c r="H118" s="2" t="s">
        <v>1319</v>
      </c>
      <c r="I118" s="2" t="s">
        <v>1320</v>
      </c>
      <c r="J118" s="65">
        <v>6</v>
      </c>
      <c r="K118" s="94" t="s">
        <v>455</v>
      </c>
      <c r="L118" s="2" t="s">
        <v>117</v>
      </c>
      <c r="M118" s="2"/>
      <c r="N118" s="2" t="s">
        <v>1321</v>
      </c>
      <c r="O118" s="2" t="s">
        <v>1249</v>
      </c>
      <c r="P118" s="2" t="s">
        <v>1250</v>
      </c>
      <c r="Q118" s="2" t="s">
        <v>186</v>
      </c>
      <c r="R118" s="65">
        <v>0.89999999999999991</v>
      </c>
      <c r="S118" s="2" t="s">
        <v>1314</v>
      </c>
      <c r="T118" s="2" t="s">
        <v>1122</v>
      </c>
      <c r="U118" s="2" t="s">
        <v>125</v>
      </c>
      <c r="V118" s="2" t="s">
        <v>126</v>
      </c>
      <c r="W118" s="2" t="s">
        <v>1315</v>
      </c>
      <c r="X118" s="2" t="s">
        <v>1316</v>
      </c>
      <c r="Y118" s="33"/>
      <c r="Z118" s="9"/>
      <c r="AA118" s="2" t="s">
        <v>130</v>
      </c>
      <c r="AB118" s="2" t="s">
        <v>131</v>
      </c>
      <c r="AC118" s="2"/>
      <c r="AD118" s="2" t="s">
        <v>156</v>
      </c>
      <c r="AE118" s="2" t="s">
        <v>191</v>
      </c>
      <c r="AF118" s="2" t="s">
        <v>134</v>
      </c>
      <c r="AG118" s="2" t="s">
        <v>1254</v>
      </c>
      <c r="AH118" s="2" t="s">
        <v>136</v>
      </c>
      <c r="AI118" s="2" t="str">
        <f t="shared" si="12"/>
        <v/>
      </c>
      <c r="AJ118" s="2" t="s">
        <v>137</v>
      </c>
      <c r="AK118" s="2" t="s">
        <v>138</v>
      </c>
      <c r="AL118" s="2" t="s">
        <v>139</v>
      </c>
      <c r="AM118" s="2">
        <f t="shared" si="13"/>
        <v>1</v>
      </c>
      <c r="AN118" s="2"/>
      <c r="AO118" s="32" t="s">
        <v>462</v>
      </c>
      <c r="AP118" s="32" t="s">
        <v>141</v>
      </c>
      <c r="AQ118" s="32"/>
      <c r="AR118" s="32" t="s">
        <v>142</v>
      </c>
      <c r="AS118" s="65">
        <f t="shared" si="14"/>
        <v>6</v>
      </c>
      <c r="AT118" s="65">
        <f t="shared" si="15"/>
        <v>0.89999999999999991</v>
      </c>
      <c r="AU118" s="2" t="str">
        <f>IFERROR(INDEX('Source Review'!$B$2:$B$52,MATCH($A118,'Source Review'!$A$2:$A$52,0)),"NOT SOURCE-REVIEWED IN THIS PASS")</f>
        <v>NOT SOURCE-REVIEWED IN THIS PASS</v>
      </c>
      <c r="AV118" s="5" t="str">
        <f>IFERROR(INDEX('Source Review'!$F$2:$F$52,MATCH($A118,'Source Review'!$A$2:$A$52,0)),"")</f>
        <v/>
      </c>
      <c r="AW118" s="5" t="str">
        <f>IFERROR(INDEX('Source Review'!$G$2:$G$52,MATCH($A118,'Source Review'!$A$2:$A$52,0)),"")</f>
        <v/>
      </c>
      <c r="AX118" s="5" t="str">
        <f>IFERROR(INDEX('Source Review'!$H$2:$H$52,MATCH($A118,'Source Review'!$A$2:$A$52,0)),"")</f>
        <v/>
      </c>
      <c r="AY118" s="2" t="str">
        <f>IF(COUNTIF('Source Review'!$A$2:$A$52,$A118)&gt;0,"UNCONFIRMED REVIEW ESTIMATE - not P80 or elapsed","NOT ESTIMATED IN THIS PASS")</f>
        <v>NOT ESTIMATED IN THIS PASS</v>
      </c>
      <c r="AZ118" s="2" t="str">
        <f>IFERROR(INDEX('Source Review'!$I$2:$I$52,MATCH($A118,'Source Review'!$A$2:$A$52,0)),"")</f>
        <v/>
      </c>
      <c r="BA118" s="2" t="str">
        <f>IFERROR(INDEX('Source Review'!$E$2:$E$52,MATCH($A118,'Source Review'!$A$2:$A$52,0)),"")</f>
        <v/>
      </c>
      <c r="BB118" s="2" t="str">
        <f>IF(COUNTIF('Source Review'!$A$2:$A$52,$A118)&gt;0,"14-Sep-2026 snapshot; later closure evidence separate; no live HEAD verification","")</f>
        <v/>
      </c>
    </row>
    <row r="119" spans="1:54" ht="75.95" hidden="1" customHeight="1">
      <c r="A119" s="2" t="s">
        <v>1154</v>
      </c>
      <c r="B119" s="2" t="s">
        <v>1243</v>
      </c>
      <c r="C119" s="2" t="s">
        <v>426</v>
      </c>
      <c r="D119" s="2" t="s">
        <v>1322</v>
      </c>
      <c r="E119" s="2" t="s">
        <v>111</v>
      </c>
      <c r="F119" s="2" t="s">
        <v>1323</v>
      </c>
      <c r="G119" s="2" t="s">
        <v>113</v>
      </c>
      <c r="H119" s="2" t="s">
        <v>1324</v>
      </c>
      <c r="I119" s="2" t="s">
        <v>1325</v>
      </c>
      <c r="J119" s="65">
        <v>12</v>
      </c>
      <c r="K119" s="94" t="s">
        <v>455</v>
      </c>
      <c r="L119" s="2" t="s">
        <v>36</v>
      </c>
      <c r="M119" s="2" t="s">
        <v>1326</v>
      </c>
      <c r="N119" s="2" t="s">
        <v>1327</v>
      </c>
      <c r="O119" s="2" t="s">
        <v>1249</v>
      </c>
      <c r="P119" s="2" t="s">
        <v>1250</v>
      </c>
      <c r="Q119" s="2" t="s">
        <v>122</v>
      </c>
      <c r="R119" s="65">
        <v>4.08</v>
      </c>
      <c r="S119" s="2" t="s">
        <v>1314</v>
      </c>
      <c r="T119" s="2" t="s">
        <v>1328</v>
      </c>
      <c r="U119" s="2" t="s">
        <v>460</v>
      </c>
      <c r="V119" s="2" t="s">
        <v>1329</v>
      </c>
      <c r="W119" s="2" t="s">
        <v>1315</v>
      </c>
      <c r="X119" s="2" t="s">
        <v>1316</v>
      </c>
      <c r="Y119" s="33"/>
      <c r="Z119" s="9"/>
      <c r="AA119" s="2" t="s">
        <v>130</v>
      </c>
      <c r="AB119" s="2" t="s">
        <v>131</v>
      </c>
      <c r="AC119" s="2"/>
      <c r="AD119" s="2" t="s">
        <v>179</v>
      </c>
      <c r="AE119" s="2" t="s">
        <v>238</v>
      </c>
      <c r="AF119" s="2" t="s">
        <v>134</v>
      </c>
      <c r="AG119" s="2" t="s">
        <v>1254</v>
      </c>
      <c r="AH119" s="2" t="s">
        <v>136</v>
      </c>
      <c r="AI119" s="2" t="str">
        <f t="shared" si="12"/>
        <v/>
      </c>
      <c r="AJ119" s="2" t="s">
        <v>137</v>
      </c>
      <c r="AK119" s="2" t="s">
        <v>138</v>
      </c>
      <c r="AL119" s="2" t="s">
        <v>139</v>
      </c>
      <c r="AM119" s="2">
        <f t="shared" si="13"/>
        <v>1</v>
      </c>
      <c r="AN119" s="2"/>
      <c r="AO119" s="32" t="s">
        <v>462</v>
      </c>
      <c r="AP119" s="32" t="s">
        <v>141</v>
      </c>
      <c r="AQ119" s="32"/>
      <c r="AR119" s="32" t="s">
        <v>142</v>
      </c>
      <c r="AS119" s="65">
        <f t="shared" si="14"/>
        <v>12</v>
      </c>
      <c r="AT119" s="65">
        <f t="shared" si="15"/>
        <v>4.08</v>
      </c>
      <c r="AU119" s="2" t="str">
        <f>IFERROR(INDEX('Source Review'!$B$2:$B$52,MATCH($A119,'Source Review'!$A$2:$A$52,0)),"NOT SOURCE-REVIEWED IN THIS PASS")</f>
        <v>NOT SOURCE-REVIEWED IN THIS PASS</v>
      </c>
      <c r="AV119" s="5" t="str">
        <f>IFERROR(INDEX('Source Review'!$F$2:$F$52,MATCH($A119,'Source Review'!$A$2:$A$52,0)),"")</f>
        <v/>
      </c>
      <c r="AW119" s="5" t="str">
        <f>IFERROR(INDEX('Source Review'!$G$2:$G$52,MATCH($A119,'Source Review'!$A$2:$A$52,0)),"")</f>
        <v/>
      </c>
      <c r="AX119" s="5" t="str">
        <f>IFERROR(INDEX('Source Review'!$H$2:$H$52,MATCH($A119,'Source Review'!$A$2:$A$52,0)),"")</f>
        <v/>
      </c>
      <c r="AY119" s="2" t="str">
        <f>IF(COUNTIF('Source Review'!$A$2:$A$52,$A119)&gt;0,"UNCONFIRMED REVIEW ESTIMATE - not P80 or elapsed","NOT ESTIMATED IN THIS PASS")</f>
        <v>NOT ESTIMATED IN THIS PASS</v>
      </c>
      <c r="AZ119" s="2" t="str">
        <f>IFERROR(INDEX('Source Review'!$I$2:$I$52,MATCH($A119,'Source Review'!$A$2:$A$52,0)),"")</f>
        <v/>
      </c>
      <c r="BA119" s="2" t="str">
        <f>IFERROR(INDEX('Source Review'!$E$2:$E$52,MATCH($A119,'Source Review'!$A$2:$A$52,0)),"")</f>
        <v/>
      </c>
      <c r="BB119" s="2" t="str">
        <f>IF(COUNTIF('Source Review'!$A$2:$A$52,$A119)&gt;0,"14-Sep-2026 snapshot; later closure evidence separate; no live HEAD verification","")</f>
        <v/>
      </c>
    </row>
    <row r="120" spans="1:54" ht="75.95" hidden="1" customHeight="1">
      <c r="A120" s="2" t="s">
        <v>1330</v>
      </c>
      <c r="B120" s="2" t="s">
        <v>1243</v>
      </c>
      <c r="C120" s="2" t="s">
        <v>426</v>
      </c>
      <c r="D120" s="2" t="s">
        <v>1331</v>
      </c>
      <c r="E120" s="2" t="s">
        <v>264</v>
      </c>
      <c r="F120" s="2" t="s">
        <v>809</v>
      </c>
      <c r="G120" s="2" t="s">
        <v>160</v>
      </c>
      <c r="H120" s="2" t="s">
        <v>1332</v>
      </c>
      <c r="I120" s="2" t="s">
        <v>1333</v>
      </c>
      <c r="J120" s="65">
        <v>6</v>
      </c>
      <c r="K120" s="94" t="s">
        <v>455</v>
      </c>
      <c r="L120" s="2" t="s">
        <v>36</v>
      </c>
      <c r="M120" s="2"/>
      <c r="N120" s="2"/>
      <c r="O120" s="2" t="s">
        <v>1249</v>
      </c>
      <c r="P120" s="2" t="s">
        <v>1250</v>
      </c>
      <c r="Q120" s="2" t="s">
        <v>458</v>
      </c>
      <c r="R120" s="65">
        <v>1</v>
      </c>
      <c r="S120" s="2" t="s">
        <v>1314</v>
      </c>
      <c r="T120" s="2" t="s">
        <v>1334</v>
      </c>
      <c r="U120" s="2" t="s">
        <v>815</v>
      </c>
      <c r="V120" s="2" t="s">
        <v>126</v>
      </c>
      <c r="W120" s="2" t="s">
        <v>1315</v>
      </c>
      <c r="X120" s="2" t="s">
        <v>1316</v>
      </c>
      <c r="Y120" s="33"/>
      <c r="Z120" s="9"/>
      <c r="AA120" s="2" t="s">
        <v>130</v>
      </c>
      <c r="AB120" s="2" t="s">
        <v>131</v>
      </c>
      <c r="AC120" s="2"/>
      <c r="AD120" s="2" t="s">
        <v>156</v>
      </c>
      <c r="AE120" s="2" t="s">
        <v>251</v>
      </c>
      <c r="AF120" s="2" t="s">
        <v>134</v>
      </c>
      <c r="AG120" s="2" t="s">
        <v>1254</v>
      </c>
      <c r="AH120" s="2" t="s">
        <v>136</v>
      </c>
      <c r="AI120" s="2" t="str">
        <f t="shared" si="12"/>
        <v/>
      </c>
      <c r="AJ120" s="2" t="s">
        <v>137</v>
      </c>
      <c r="AK120" s="2" t="s">
        <v>138</v>
      </c>
      <c r="AL120" s="2" t="s">
        <v>139</v>
      </c>
      <c r="AM120" s="2">
        <f t="shared" si="13"/>
        <v>1</v>
      </c>
      <c r="AN120" s="2"/>
      <c r="AO120" s="32" t="s">
        <v>462</v>
      </c>
      <c r="AP120" s="32" t="s">
        <v>141</v>
      </c>
      <c r="AQ120" s="32"/>
      <c r="AR120" s="32" t="s">
        <v>142</v>
      </c>
      <c r="AS120" s="65">
        <f t="shared" si="14"/>
        <v>6</v>
      </c>
      <c r="AT120" s="65">
        <f t="shared" si="15"/>
        <v>1</v>
      </c>
      <c r="AU120" s="2" t="str">
        <f>IFERROR(INDEX('Source Review'!$B$2:$B$52,MATCH($A120,'Source Review'!$A$2:$A$52,0)),"NOT SOURCE-REVIEWED IN THIS PASS")</f>
        <v>NOT SOURCE-REVIEWED IN THIS PASS</v>
      </c>
      <c r="AV120" s="5" t="str">
        <f>IFERROR(INDEX('Source Review'!$F$2:$F$52,MATCH($A120,'Source Review'!$A$2:$A$52,0)),"")</f>
        <v/>
      </c>
      <c r="AW120" s="5" t="str">
        <f>IFERROR(INDEX('Source Review'!$G$2:$G$52,MATCH($A120,'Source Review'!$A$2:$A$52,0)),"")</f>
        <v/>
      </c>
      <c r="AX120" s="5" t="str">
        <f>IFERROR(INDEX('Source Review'!$H$2:$H$52,MATCH($A120,'Source Review'!$A$2:$A$52,0)),"")</f>
        <v/>
      </c>
      <c r="AY120" s="2" t="str">
        <f>IF(COUNTIF('Source Review'!$A$2:$A$52,$A120)&gt;0,"UNCONFIRMED REVIEW ESTIMATE - not P80 or elapsed","NOT ESTIMATED IN THIS PASS")</f>
        <v>NOT ESTIMATED IN THIS PASS</v>
      </c>
      <c r="AZ120" s="2" t="str">
        <f>IFERROR(INDEX('Source Review'!$I$2:$I$52,MATCH($A120,'Source Review'!$A$2:$A$52,0)),"")</f>
        <v/>
      </c>
      <c r="BA120" s="2" t="str">
        <f>IFERROR(INDEX('Source Review'!$E$2:$E$52,MATCH($A120,'Source Review'!$A$2:$A$52,0)),"")</f>
        <v/>
      </c>
      <c r="BB120" s="2" t="str">
        <f>IF(COUNTIF('Source Review'!$A$2:$A$52,$A120)&gt;0,"14-Sep-2026 snapshot; later closure evidence separate; no live HEAD verification","")</f>
        <v/>
      </c>
    </row>
    <row r="121" spans="1:54" ht="75.95" hidden="1" customHeight="1">
      <c r="A121" s="2" t="s">
        <v>1335</v>
      </c>
      <c r="B121" s="2" t="s">
        <v>1243</v>
      </c>
      <c r="C121" s="2" t="s">
        <v>426</v>
      </c>
      <c r="D121" s="2" t="s">
        <v>1336</v>
      </c>
      <c r="E121" s="2" t="s">
        <v>182</v>
      </c>
      <c r="F121" s="2" t="s">
        <v>1105</v>
      </c>
      <c r="G121" s="2" t="s">
        <v>160</v>
      </c>
      <c r="H121" s="2" t="s">
        <v>1337</v>
      </c>
      <c r="I121" s="2" t="s">
        <v>1338</v>
      </c>
      <c r="J121" s="65">
        <v>12</v>
      </c>
      <c r="K121" s="94" t="s">
        <v>455</v>
      </c>
      <c r="L121" s="2" t="s">
        <v>117</v>
      </c>
      <c r="M121" s="2"/>
      <c r="N121" s="2" t="s">
        <v>1248</v>
      </c>
      <c r="O121" s="2" t="s">
        <v>1249</v>
      </c>
      <c r="P121" s="2" t="s">
        <v>1250</v>
      </c>
      <c r="Q121" s="2" t="s">
        <v>1269</v>
      </c>
      <c r="R121" s="65">
        <v>7.2</v>
      </c>
      <c r="S121" s="2" t="s">
        <v>1314</v>
      </c>
      <c r="T121" s="2" t="s">
        <v>1270</v>
      </c>
      <c r="U121" s="2" t="s">
        <v>1271</v>
      </c>
      <c r="V121" s="2" t="s">
        <v>126</v>
      </c>
      <c r="W121" s="2" t="s">
        <v>1315</v>
      </c>
      <c r="X121" s="2" t="s">
        <v>1316</v>
      </c>
      <c r="Y121" s="33"/>
      <c r="Z121" s="9"/>
      <c r="AA121" s="2" t="s">
        <v>1142</v>
      </c>
      <c r="AB121" s="2" t="s">
        <v>1143</v>
      </c>
      <c r="AC121" s="2"/>
      <c r="AD121" s="2" t="s">
        <v>391</v>
      </c>
      <c r="AE121" s="2" t="s">
        <v>198</v>
      </c>
      <c r="AF121" s="2" t="s">
        <v>134</v>
      </c>
      <c r="AG121" s="2" t="s">
        <v>1254</v>
      </c>
      <c r="AH121" s="2" t="s">
        <v>136</v>
      </c>
      <c r="AI121" s="2" t="str">
        <f t="shared" si="12"/>
        <v/>
      </c>
      <c r="AJ121" s="2" t="s">
        <v>137</v>
      </c>
      <c r="AK121" s="2" t="s">
        <v>138</v>
      </c>
      <c r="AL121" s="2" t="s">
        <v>139</v>
      </c>
      <c r="AM121" s="2">
        <f t="shared" si="13"/>
        <v>1</v>
      </c>
      <c r="AN121" s="2"/>
      <c r="AO121" s="32" t="s">
        <v>462</v>
      </c>
      <c r="AP121" s="32" t="s">
        <v>141</v>
      </c>
      <c r="AQ121" s="32"/>
      <c r="AR121" s="32" t="s">
        <v>142</v>
      </c>
      <c r="AS121" s="65">
        <f t="shared" si="14"/>
        <v>12</v>
      </c>
      <c r="AT121" s="65">
        <f t="shared" si="15"/>
        <v>7.2</v>
      </c>
      <c r="AU121" s="2" t="str">
        <f>IFERROR(INDEX('Source Review'!$B$2:$B$52,MATCH($A121,'Source Review'!$A$2:$A$52,0)),"NOT SOURCE-REVIEWED IN THIS PASS")</f>
        <v>NOT SOURCE-REVIEWED IN THIS PASS</v>
      </c>
      <c r="AV121" s="5" t="str">
        <f>IFERROR(INDEX('Source Review'!$F$2:$F$52,MATCH($A121,'Source Review'!$A$2:$A$52,0)),"")</f>
        <v/>
      </c>
      <c r="AW121" s="5" t="str">
        <f>IFERROR(INDEX('Source Review'!$G$2:$G$52,MATCH($A121,'Source Review'!$A$2:$A$52,0)),"")</f>
        <v/>
      </c>
      <c r="AX121" s="5" t="str">
        <f>IFERROR(INDEX('Source Review'!$H$2:$H$52,MATCH($A121,'Source Review'!$A$2:$A$52,0)),"")</f>
        <v/>
      </c>
      <c r="AY121" s="2" t="str">
        <f>IF(COUNTIF('Source Review'!$A$2:$A$52,$A121)&gt;0,"UNCONFIRMED REVIEW ESTIMATE - not P80 or elapsed","NOT ESTIMATED IN THIS PASS")</f>
        <v>NOT ESTIMATED IN THIS PASS</v>
      </c>
      <c r="AZ121" s="2" t="str">
        <f>IFERROR(INDEX('Source Review'!$I$2:$I$52,MATCH($A121,'Source Review'!$A$2:$A$52,0)),"")</f>
        <v/>
      </c>
      <c r="BA121" s="2" t="str">
        <f>IFERROR(INDEX('Source Review'!$E$2:$E$52,MATCH($A121,'Source Review'!$A$2:$A$52,0)),"")</f>
        <v/>
      </c>
      <c r="BB121" s="2" t="str">
        <f>IF(COUNTIF('Source Review'!$A$2:$A$52,$A121)&gt;0,"14-Sep-2026 snapshot; later closure evidence separate; no live HEAD verification","")</f>
        <v/>
      </c>
    </row>
    <row r="122" spans="1:54" ht="75.95" hidden="1" customHeight="1">
      <c r="A122" s="2" t="s">
        <v>1339</v>
      </c>
      <c r="B122" s="2" t="s">
        <v>1243</v>
      </c>
      <c r="C122" s="2" t="s">
        <v>426</v>
      </c>
      <c r="D122" s="2" t="s">
        <v>1340</v>
      </c>
      <c r="E122" s="2" t="s">
        <v>1162</v>
      </c>
      <c r="F122" s="2" t="s">
        <v>1105</v>
      </c>
      <c r="G122" s="2" t="s">
        <v>113</v>
      </c>
      <c r="H122" s="2" t="s">
        <v>1341</v>
      </c>
      <c r="I122" s="2" t="s">
        <v>1342</v>
      </c>
      <c r="J122" s="65">
        <v>12</v>
      </c>
      <c r="K122" s="94" t="s">
        <v>455</v>
      </c>
      <c r="L122" s="2" t="s">
        <v>117</v>
      </c>
      <c r="M122" s="2"/>
      <c r="N122" s="2" t="s">
        <v>1248</v>
      </c>
      <c r="O122" s="2" t="s">
        <v>1249</v>
      </c>
      <c r="P122" s="2" t="s">
        <v>1250</v>
      </c>
      <c r="Q122" s="2" t="s">
        <v>1269</v>
      </c>
      <c r="R122" s="65">
        <v>7.2</v>
      </c>
      <c r="S122" s="2" t="s">
        <v>1314</v>
      </c>
      <c r="T122" s="2" t="s">
        <v>1270</v>
      </c>
      <c r="U122" s="2" t="s">
        <v>1271</v>
      </c>
      <c r="V122" s="2" t="s">
        <v>126</v>
      </c>
      <c r="W122" s="2" t="s">
        <v>1315</v>
      </c>
      <c r="X122" s="2" t="s">
        <v>1316</v>
      </c>
      <c r="Y122" s="33"/>
      <c r="Z122" s="9"/>
      <c r="AA122" s="2" t="s">
        <v>1115</v>
      </c>
      <c r="AB122" s="2" t="s">
        <v>1116</v>
      </c>
      <c r="AC122" s="2" t="s">
        <v>1123</v>
      </c>
      <c r="AD122" s="2" t="s">
        <v>391</v>
      </c>
      <c r="AE122" s="2" t="s">
        <v>133</v>
      </c>
      <c r="AF122" s="2" t="s">
        <v>134</v>
      </c>
      <c r="AG122" s="2" t="s">
        <v>1254</v>
      </c>
      <c r="AH122" s="2" t="s">
        <v>136</v>
      </c>
      <c r="AI122" s="2" t="str">
        <f t="shared" si="12"/>
        <v/>
      </c>
      <c r="AJ122" s="2" t="s">
        <v>137</v>
      </c>
      <c r="AK122" s="2" t="s">
        <v>138</v>
      </c>
      <c r="AL122" s="2" t="s">
        <v>139</v>
      </c>
      <c r="AM122" s="2">
        <f t="shared" si="13"/>
        <v>1</v>
      </c>
      <c r="AN122" s="2"/>
      <c r="AO122" s="32" t="s">
        <v>462</v>
      </c>
      <c r="AP122" s="32" t="s">
        <v>141</v>
      </c>
      <c r="AQ122" s="32"/>
      <c r="AR122" s="32" t="s">
        <v>142</v>
      </c>
      <c r="AS122" s="65">
        <f t="shared" si="14"/>
        <v>12</v>
      </c>
      <c r="AT122" s="65">
        <f t="shared" si="15"/>
        <v>7.2</v>
      </c>
      <c r="AU122" s="2" t="str">
        <f>IFERROR(INDEX('Source Review'!$B$2:$B$52,MATCH($A122,'Source Review'!$A$2:$A$52,0)),"NOT SOURCE-REVIEWED IN THIS PASS")</f>
        <v>NOT SOURCE-REVIEWED IN THIS PASS</v>
      </c>
      <c r="AV122" s="5" t="str">
        <f>IFERROR(INDEX('Source Review'!$F$2:$F$52,MATCH($A122,'Source Review'!$A$2:$A$52,0)),"")</f>
        <v/>
      </c>
      <c r="AW122" s="5" t="str">
        <f>IFERROR(INDEX('Source Review'!$G$2:$G$52,MATCH($A122,'Source Review'!$A$2:$A$52,0)),"")</f>
        <v/>
      </c>
      <c r="AX122" s="5" t="str">
        <f>IFERROR(INDEX('Source Review'!$H$2:$H$52,MATCH($A122,'Source Review'!$A$2:$A$52,0)),"")</f>
        <v/>
      </c>
      <c r="AY122" s="2" t="str">
        <f>IF(COUNTIF('Source Review'!$A$2:$A$52,$A122)&gt;0,"UNCONFIRMED REVIEW ESTIMATE - not P80 or elapsed","NOT ESTIMATED IN THIS PASS")</f>
        <v>NOT ESTIMATED IN THIS PASS</v>
      </c>
      <c r="AZ122" s="2" t="str">
        <f>IFERROR(INDEX('Source Review'!$I$2:$I$52,MATCH($A122,'Source Review'!$A$2:$A$52,0)),"")</f>
        <v/>
      </c>
      <c r="BA122" s="2" t="str">
        <f>IFERROR(INDEX('Source Review'!$E$2:$E$52,MATCH($A122,'Source Review'!$A$2:$A$52,0)),"")</f>
        <v/>
      </c>
      <c r="BB122" s="2" t="str">
        <f>IF(COUNTIF('Source Review'!$A$2:$A$52,$A122)&gt;0,"14-Sep-2026 snapshot; later closure evidence separate; no live HEAD verification","")</f>
        <v/>
      </c>
    </row>
    <row r="123" spans="1:54" ht="75.95" hidden="1" customHeight="1">
      <c r="A123" s="2" t="s">
        <v>1327</v>
      </c>
      <c r="B123" s="2" t="s">
        <v>1243</v>
      </c>
      <c r="C123" s="2" t="s">
        <v>426</v>
      </c>
      <c r="D123" s="2" t="s">
        <v>1343</v>
      </c>
      <c r="E123" s="2" t="s">
        <v>182</v>
      </c>
      <c r="F123" s="2" t="s">
        <v>1344</v>
      </c>
      <c r="G123" s="2" t="s">
        <v>160</v>
      </c>
      <c r="H123" s="2" t="s">
        <v>1345</v>
      </c>
      <c r="I123" s="2" t="s">
        <v>1346</v>
      </c>
      <c r="J123" s="65">
        <v>6</v>
      </c>
      <c r="K123" s="94" t="s">
        <v>455</v>
      </c>
      <c r="L123" s="2" t="s">
        <v>117</v>
      </c>
      <c r="M123" s="2" t="s">
        <v>1347</v>
      </c>
      <c r="N123" s="2"/>
      <c r="O123" s="2" t="s">
        <v>1249</v>
      </c>
      <c r="P123" s="2" t="s">
        <v>1250</v>
      </c>
      <c r="Q123" s="2" t="s">
        <v>186</v>
      </c>
      <c r="R123" s="65">
        <v>0.89999999999999991</v>
      </c>
      <c r="S123" s="2" t="s">
        <v>1314</v>
      </c>
      <c r="T123" s="2" t="s">
        <v>1348</v>
      </c>
      <c r="U123" s="2" t="s">
        <v>125</v>
      </c>
      <c r="V123" s="2" t="s">
        <v>126</v>
      </c>
      <c r="W123" s="2" t="s">
        <v>1315</v>
      </c>
      <c r="X123" s="2" t="s">
        <v>1316</v>
      </c>
      <c r="Y123" s="33"/>
      <c r="Z123" s="9"/>
      <c r="AA123" s="2" t="s">
        <v>130</v>
      </c>
      <c r="AB123" s="2" t="s">
        <v>131</v>
      </c>
      <c r="AC123" s="2"/>
      <c r="AD123" s="2" t="s">
        <v>156</v>
      </c>
      <c r="AE123" s="2" t="s">
        <v>198</v>
      </c>
      <c r="AF123" s="2" t="s">
        <v>134</v>
      </c>
      <c r="AG123" s="2" t="s">
        <v>1254</v>
      </c>
      <c r="AH123" s="2" t="s">
        <v>136</v>
      </c>
      <c r="AI123" s="2" t="str">
        <f t="shared" si="12"/>
        <v/>
      </c>
      <c r="AJ123" s="2" t="s">
        <v>137</v>
      </c>
      <c r="AK123" s="2" t="s">
        <v>138</v>
      </c>
      <c r="AL123" s="2" t="s">
        <v>139</v>
      </c>
      <c r="AM123" s="2">
        <f t="shared" si="13"/>
        <v>1</v>
      </c>
      <c r="AN123" s="2"/>
      <c r="AO123" s="32" t="s">
        <v>462</v>
      </c>
      <c r="AP123" s="32" t="s">
        <v>141</v>
      </c>
      <c r="AQ123" s="32"/>
      <c r="AR123" s="32" t="s">
        <v>142</v>
      </c>
      <c r="AS123" s="65">
        <f t="shared" si="14"/>
        <v>6</v>
      </c>
      <c r="AT123" s="65">
        <f t="shared" si="15"/>
        <v>0.89999999999999991</v>
      </c>
      <c r="AU123" s="2" t="str">
        <f>IFERROR(INDEX('Source Review'!$B$2:$B$52,MATCH($A123,'Source Review'!$A$2:$A$52,0)),"NOT SOURCE-REVIEWED IN THIS PASS")</f>
        <v>NOT SOURCE-REVIEWED IN THIS PASS</v>
      </c>
      <c r="AV123" s="5" t="str">
        <f>IFERROR(INDEX('Source Review'!$F$2:$F$52,MATCH($A123,'Source Review'!$A$2:$A$52,0)),"")</f>
        <v/>
      </c>
      <c r="AW123" s="5" t="str">
        <f>IFERROR(INDEX('Source Review'!$G$2:$G$52,MATCH($A123,'Source Review'!$A$2:$A$52,0)),"")</f>
        <v/>
      </c>
      <c r="AX123" s="5" t="str">
        <f>IFERROR(INDEX('Source Review'!$H$2:$H$52,MATCH($A123,'Source Review'!$A$2:$A$52,0)),"")</f>
        <v/>
      </c>
      <c r="AY123" s="2" t="str">
        <f>IF(COUNTIF('Source Review'!$A$2:$A$52,$A123)&gt;0,"UNCONFIRMED REVIEW ESTIMATE - not P80 or elapsed","NOT ESTIMATED IN THIS PASS")</f>
        <v>NOT ESTIMATED IN THIS PASS</v>
      </c>
      <c r="AZ123" s="2" t="str">
        <f>IFERROR(INDEX('Source Review'!$I$2:$I$52,MATCH($A123,'Source Review'!$A$2:$A$52,0)),"")</f>
        <v/>
      </c>
      <c r="BA123" s="2" t="str">
        <f>IFERROR(INDEX('Source Review'!$E$2:$E$52,MATCH($A123,'Source Review'!$A$2:$A$52,0)),"")</f>
        <v/>
      </c>
      <c r="BB123" s="2" t="str">
        <f>IF(COUNTIF('Source Review'!$A$2:$A$52,$A123)&gt;0,"14-Sep-2026 snapshot; later closure evidence separate; no live HEAD verification","")</f>
        <v/>
      </c>
    </row>
    <row r="124" spans="1:54" ht="75.95" hidden="1" customHeight="1">
      <c r="A124" s="2" t="s">
        <v>1349</v>
      </c>
      <c r="B124" s="2" t="s">
        <v>1243</v>
      </c>
      <c r="C124" s="2" t="s">
        <v>426</v>
      </c>
      <c r="D124" s="2" t="s">
        <v>1350</v>
      </c>
      <c r="E124" s="2" t="s">
        <v>264</v>
      </c>
      <c r="F124" s="2" t="s">
        <v>1351</v>
      </c>
      <c r="G124" s="2" t="s">
        <v>160</v>
      </c>
      <c r="H124" s="2" t="s">
        <v>1352</v>
      </c>
      <c r="I124" s="2" t="s">
        <v>1353</v>
      </c>
      <c r="J124" s="65">
        <v>8</v>
      </c>
      <c r="K124" s="94" t="s">
        <v>455</v>
      </c>
      <c r="L124" s="2" t="s">
        <v>36</v>
      </c>
      <c r="M124" s="2" t="s">
        <v>1354</v>
      </c>
      <c r="N124" s="2" t="s">
        <v>1154</v>
      </c>
      <c r="O124" s="2" t="s">
        <v>1249</v>
      </c>
      <c r="P124" s="2" t="s">
        <v>1250</v>
      </c>
      <c r="Q124" s="2" t="s">
        <v>458</v>
      </c>
      <c r="R124" s="65">
        <v>1.3333333333333333</v>
      </c>
      <c r="S124" s="2" t="s">
        <v>1314</v>
      </c>
      <c r="T124" s="2" t="s">
        <v>1355</v>
      </c>
      <c r="U124" s="2" t="s">
        <v>460</v>
      </c>
      <c r="V124" s="2" t="s">
        <v>126</v>
      </c>
      <c r="W124" s="2" t="s">
        <v>1315</v>
      </c>
      <c r="X124" s="2" t="s">
        <v>1316</v>
      </c>
      <c r="Y124" s="33"/>
      <c r="Z124" s="9"/>
      <c r="AA124" s="2" t="s">
        <v>437</v>
      </c>
      <c r="AB124" s="2" t="s">
        <v>438</v>
      </c>
      <c r="AC124" s="2"/>
      <c r="AD124" s="2" t="s">
        <v>179</v>
      </c>
      <c r="AE124" s="2" t="s">
        <v>251</v>
      </c>
      <c r="AF124" s="2" t="s">
        <v>134</v>
      </c>
      <c r="AG124" s="2" t="s">
        <v>1254</v>
      </c>
      <c r="AH124" s="2" t="s">
        <v>136</v>
      </c>
      <c r="AI124" s="2" t="str">
        <f t="shared" si="12"/>
        <v/>
      </c>
      <c r="AJ124" s="2" t="s">
        <v>137</v>
      </c>
      <c r="AK124" s="2" t="s">
        <v>138</v>
      </c>
      <c r="AL124" s="2" t="s">
        <v>139</v>
      </c>
      <c r="AM124" s="2">
        <f t="shared" si="13"/>
        <v>1</v>
      </c>
      <c r="AN124" s="2"/>
      <c r="AO124" s="32" t="s">
        <v>462</v>
      </c>
      <c r="AP124" s="32" t="s">
        <v>141</v>
      </c>
      <c r="AQ124" s="32"/>
      <c r="AR124" s="32" t="s">
        <v>142</v>
      </c>
      <c r="AS124" s="65">
        <f t="shared" si="14"/>
        <v>8</v>
      </c>
      <c r="AT124" s="65">
        <f t="shared" si="15"/>
        <v>1.3333333333333333</v>
      </c>
      <c r="AU124" s="2" t="str">
        <f>IFERROR(INDEX('Source Review'!$B$2:$B$52,MATCH($A124,'Source Review'!$A$2:$A$52,0)),"NOT SOURCE-REVIEWED IN THIS PASS")</f>
        <v>NOT SOURCE-REVIEWED IN THIS PASS</v>
      </c>
      <c r="AV124" s="5" t="str">
        <f>IFERROR(INDEX('Source Review'!$F$2:$F$52,MATCH($A124,'Source Review'!$A$2:$A$52,0)),"")</f>
        <v/>
      </c>
      <c r="AW124" s="5" t="str">
        <f>IFERROR(INDEX('Source Review'!$G$2:$G$52,MATCH($A124,'Source Review'!$A$2:$A$52,0)),"")</f>
        <v/>
      </c>
      <c r="AX124" s="5" t="str">
        <f>IFERROR(INDEX('Source Review'!$H$2:$H$52,MATCH($A124,'Source Review'!$A$2:$A$52,0)),"")</f>
        <v/>
      </c>
      <c r="AY124" s="2" t="str">
        <f>IF(COUNTIF('Source Review'!$A$2:$A$52,$A124)&gt;0,"UNCONFIRMED REVIEW ESTIMATE - not P80 or elapsed","NOT ESTIMATED IN THIS PASS")</f>
        <v>NOT ESTIMATED IN THIS PASS</v>
      </c>
      <c r="AZ124" s="2" t="str">
        <f>IFERROR(INDEX('Source Review'!$I$2:$I$52,MATCH($A124,'Source Review'!$A$2:$A$52,0)),"")</f>
        <v/>
      </c>
      <c r="BA124" s="2" t="str">
        <f>IFERROR(INDEX('Source Review'!$E$2:$E$52,MATCH($A124,'Source Review'!$A$2:$A$52,0)),"")</f>
        <v/>
      </c>
      <c r="BB124" s="2" t="str">
        <f>IF(COUNTIF('Source Review'!$A$2:$A$52,$A124)&gt;0,"14-Sep-2026 snapshot; later closure evidence separate; no live HEAD verification","")</f>
        <v/>
      </c>
    </row>
    <row r="125" spans="1:54" ht="75.95" hidden="1" customHeight="1">
      <c r="A125" s="2" t="s">
        <v>1356</v>
      </c>
      <c r="B125" s="2" t="s">
        <v>1243</v>
      </c>
      <c r="C125" s="2" t="s">
        <v>426</v>
      </c>
      <c r="D125" s="2" t="s">
        <v>1357</v>
      </c>
      <c r="E125" s="2" t="s">
        <v>1358</v>
      </c>
      <c r="F125" s="2" t="s">
        <v>1359</v>
      </c>
      <c r="G125" s="2" t="s">
        <v>160</v>
      </c>
      <c r="H125" s="2" t="s">
        <v>1360</v>
      </c>
      <c r="I125" s="2" t="s">
        <v>1361</v>
      </c>
      <c r="J125" s="65">
        <v>10</v>
      </c>
      <c r="K125" s="94" t="s">
        <v>455</v>
      </c>
      <c r="L125" s="2" t="s">
        <v>36</v>
      </c>
      <c r="M125" s="2" t="s">
        <v>1362</v>
      </c>
      <c r="N125" s="2" t="s">
        <v>1154</v>
      </c>
      <c r="O125" s="2" t="s">
        <v>1249</v>
      </c>
      <c r="P125" s="2" t="s">
        <v>1250</v>
      </c>
      <c r="Q125" s="2" t="s">
        <v>1363</v>
      </c>
      <c r="R125" s="65">
        <v>2.285714285714286</v>
      </c>
      <c r="S125" s="2" t="s">
        <v>1314</v>
      </c>
      <c r="T125" s="2" t="s">
        <v>1364</v>
      </c>
      <c r="U125" s="2" t="s">
        <v>460</v>
      </c>
      <c r="V125" s="2" t="s">
        <v>126</v>
      </c>
      <c r="W125" s="2" t="s">
        <v>1315</v>
      </c>
      <c r="X125" s="2" t="s">
        <v>1316</v>
      </c>
      <c r="Y125" s="33"/>
      <c r="Z125" s="9"/>
      <c r="AA125" s="2" t="s">
        <v>1365</v>
      </c>
      <c r="AB125" s="2" t="s">
        <v>1366</v>
      </c>
      <c r="AC125" s="2"/>
      <c r="AD125" s="2" t="s">
        <v>179</v>
      </c>
      <c r="AE125" s="2" t="s">
        <v>734</v>
      </c>
      <c r="AF125" s="2" t="s">
        <v>134</v>
      </c>
      <c r="AG125" s="2" t="s">
        <v>1254</v>
      </c>
      <c r="AH125" s="2" t="s">
        <v>136</v>
      </c>
      <c r="AI125" s="2" t="str">
        <f t="shared" si="12"/>
        <v/>
      </c>
      <c r="AJ125" s="2" t="s">
        <v>137</v>
      </c>
      <c r="AK125" s="2" t="s">
        <v>138</v>
      </c>
      <c r="AL125" s="2" t="s">
        <v>139</v>
      </c>
      <c r="AM125" s="2">
        <f t="shared" si="13"/>
        <v>1</v>
      </c>
      <c r="AN125" s="2"/>
      <c r="AO125" s="32" t="s">
        <v>462</v>
      </c>
      <c r="AP125" s="32" t="s">
        <v>141</v>
      </c>
      <c r="AQ125" s="32"/>
      <c r="AR125" s="32" t="s">
        <v>142</v>
      </c>
      <c r="AS125" s="65">
        <f t="shared" si="14"/>
        <v>10</v>
      </c>
      <c r="AT125" s="65">
        <f t="shared" si="15"/>
        <v>2.285714285714286</v>
      </c>
      <c r="AU125" s="2" t="str">
        <f>IFERROR(INDEX('Source Review'!$B$2:$B$52,MATCH($A125,'Source Review'!$A$2:$A$52,0)),"NOT SOURCE-REVIEWED IN THIS PASS")</f>
        <v>NOT SOURCE-REVIEWED IN THIS PASS</v>
      </c>
      <c r="AV125" s="5" t="str">
        <f>IFERROR(INDEX('Source Review'!$F$2:$F$52,MATCH($A125,'Source Review'!$A$2:$A$52,0)),"")</f>
        <v/>
      </c>
      <c r="AW125" s="5" t="str">
        <f>IFERROR(INDEX('Source Review'!$G$2:$G$52,MATCH($A125,'Source Review'!$A$2:$A$52,0)),"")</f>
        <v/>
      </c>
      <c r="AX125" s="5" t="str">
        <f>IFERROR(INDEX('Source Review'!$H$2:$H$52,MATCH($A125,'Source Review'!$A$2:$A$52,0)),"")</f>
        <v/>
      </c>
      <c r="AY125" s="2" t="str">
        <f>IF(COUNTIF('Source Review'!$A$2:$A$52,$A125)&gt;0,"UNCONFIRMED REVIEW ESTIMATE - not P80 or elapsed","NOT ESTIMATED IN THIS PASS")</f>
        <v>NOT ESTIMATED IN THIS PASS</v>
      </c>
      <c r="AZ125" s="2" t="str">
        <f>IFERROR(INDEX('Source Review'!$I$2:$I$52,MATCH($A125,'Source Review'!$A$2:$A$52,0)),"")</f>
        <v/>
      </c>
      <c r="BA125" s="2" t="str">
        <f>IFERROR(INDEX('Source Review'!$E$2:$E$52,MATCH($A125,'Source Review'!$A$2:$A$52,0)),"")</f>
        <v/>
      </c>
      <c r="BB125" s="2" t="str">
        <f>IF(COUNTIF('Source Review'!$A$2:$A$52,$A125)&gt;0,"14-Sep-2026 snapshot; later closure evidence separate; no live HEAD verification","")</f>
        <v/>
      </c>
    </row>
    <row r="126" spans="1:54" ht="75.95" hidden="1" customHeight="1">
      <c r="A126" s="2" t="s">
        <v>1367</v>
      </c>
      <c r="B126" s="2" t="s">
        <v>1243</v>
      </c>
      <c r="C126" s="2" t="s">
        <v>426</v>
      </c>
      <c r="D126" s="2" t="s">
        <v>1368</v>
      </c>
      <c r="E126" s="2" t="s">
        <v>1358</v>
      </c>
      <c r="F126" s="2" t="s">
        <v>1369</v>
      </c>
      <c r="G126" s="2" t="s">
        <v>113</v>
      </c>
      <c r="H126" s="2" t="s">
        <v>1370</v>
      </c>
      <c r="I126" s="2" t="s">
        <v>1371</v>
      </c>
      <c r="J126" s="65">
        <v>12</v>
      </c>
      <c r="K126" s="94" t="s">
        <v>455</v>
      </c>
      <c r="L126" s="2" t="s">
        <v>36</v>
      </c>
      <c r="M126" s="2" t="s">
        <v>1372</v>
      </c>
      <c r="N126" s="2" t="s">
        <v>1373</v>
      </c>
      <c r="O126" s="2" t="s">
        <v>1249</v>
      </c>
      <c r="P126" s="2" t="s">
        <v>1250</v>
      </c>
      <c r="Q126" s="2" t="s">
        <v>1363</v>
      </c>
      <c r="R126" s="65">
        <v>2.7428571428571429</v>
      </c>
      <c r="S126" s="2" t="s">
        <v>1314</v>
      </c>
      <c r="T126" s="2" t="s">
        <v>1374</v>
      </c>
      <c r="U126" s="2" t="s">
        <v>460</v>
      </c>
      <c r="V126" s="2" t="s">
        <v>126</v>
      </c>
      <c r="W126" s="2" t="s">
        <v>1315</v>
      </c>
      <c r="X126" s="2" t="s">
        <v>1316</v>
      </c>
      <c r="Y126" s="33"/>
      <c r="Z126" s="9"/>
      <c r="AA126" s="2" t="s">
        <v>1375</v>
      </c>
      <c r="AB126" s="2" t="s">
        <v>1376</v>
      </c>
      <c r="AC126" s="2"/>
      <c r="AD126" s="2" t="s">
        <v>179</v>
      </c>
      <c r="AE126" s="2" t="s">
        <v>734</v>
      </c>
      <c r="AF126" s="2" t="s">
        <v>134</v>
      </c>
      <c r="AG126" s="2" t="s">
        <v>1254</v>
      </c>
      <c r="AH126" s="2" t="s">
        <v>136</v>
      </c>
      <c r="AI126" s="2" t="str">
        <f t="shared" si="12"/>
        <v/>
      </c>
      <c r="AJ126" s="2" t="s">
        <v>137</v>
      </c>
      <c r="AK126" s="2" t="s">
        <v>138</v>
      </c>
      <c r="AL126" s="2" t="s">
        <v>139</v>
      </c>
      <c r="AM126" s="2">
        <f t="shared" si="13"/>
        <v>1</v>
      </c>
      <c r="AN126" s="2"/>
      <c r="AO126" s="32" t="s">
        <v>462</v>
      </c>
      <c r="AP126" s="32" t="s">
        <v>141</v>
      </c>
      <c r="AQ126" s="32"/>
      <c r="AR126" s="32" t="s">
        <v>142</v>
      </c>
      <c r="AS126" s="65">
        <f t="shared" si="14"/>
        <v>12</v>
      </c>
      <c r="AT126" s="65">
        <f t="shared" si="15"/>
        <v>2.7428571428571429</v>
      </c>
      <c r="AU126" s="2" t="str">
        <f>IFERROR(INDEX('Source Review'!$B$2:$B$52,MATCH($A126,'Source Review'!$A$2:$A$52,0)),"NOT SOURCE-REVIEWED IN THIS PASS")</f>
        <v>NOT SOURCE-REVIEWED IN THIS PASS</v>
      </c>
      <c r="AV126" s="5" t="str">
        <f>IFERROR(INDEX('Source Review'!$F$2:$F$52,MATCH($A126,'Source Review'!$A$2:$A$52,0)),"")</f>
        <v/>
      </c>
      <c r="AW126" s="5" t="str">
        <f>IFERROR(INDEX('Source Review'!$G$2:$G$52,MATCH($A126,'Source Review'!$A$2:$A$52,0)),"")</f>
        <v/>
      </c>
      <c r="AX126" s="5" t="str">
        <f>IFERROR(INDEX('Source Review'!$H$2:$H$52,MATCH($A126,'Source Review'!$A$2:$A$52,0)),"")</f>
        <v/>
      </c>
      <c r="AY126" s="2" t="str">
        <f>IF(COUNTIF('Source Review'!$A$2:$A$52,$A126)&gt;0,"UNCONFIRMED REVIEW ESTIMATE - not P80 or elapsed","NOT ESTIMATED IN THIS PASS")</f>
        <v>NOT ESTIMATED IN THIS PASS</v>
      </c>
      <c r="AZ126" s="2" t="str">
        <f>IFERROR(INDEX('Source Review'!$I$2:$I$52,MATCH($A126,'Source Review'!$A$2:$A$52,0)),"")</f>
        <v/>
      </c>
      <c r="BA126" s="2" t="str">
        <f>IFERROR(INDEX('Source Review'!$E$2:$E$52,MATCH($A126,'Source Review'!$A$2:$A$52,0)),"")</f>
        <v/>
      </c>
      <c r="BB126" s="2" t="str">
        <f>IF(COUNTIF('Source Review'!$A$2:$A$52,$A126)&gt;0,"14-Sep-2026 snapshot; later closure evidence separate; no live HEAD verification","")</f>
        <v/>
      </c>
    </row>
    <row r="127" spans="1:54" ht="75.95" hidden="1" customHeight="1">
      <c r="A127" s="2" t="s">
        <v>1377</v>
      </c>
      <c r="B127" s="2" t="s">
        <v>1243</v>
      </c>
      <c r="C127" s="2" t="s">
        <v>426</v>
      </c>
      <c r="D127" s="2" t="s">
        <v>1378</v>
      </c>
      <c r="E127" s="2" t="s">
        <v>1358</v>
      </c>
      <c r="F127" s="2" t="s">
        <v>1379</v>
      </c>
      <c r="G127" s="2" t="s">
        <v>113</v>
      </c>
      <c r="H127" s="2" t="s">
        <v>1380</v>
      </c>
      <c r="I127" s="2" t="s">
        <v>1381</v>
      </c>
      <c r="J127" s="65">
        <v>12</v>
      </c>
      <c r="K127" s="94" t="s">
        <v>455</v>
      </c>
      <c r="L127" s="2" t="s">
        <v>36</v>
      </c>
      <c r="M127" s="2" t="s">
        <v>1382</v>
      </c>
      <c r="N127" s="2" t="s">
        <v>1154</v>
      </c>
      <c r="O127" s="2" t="s">
        <v>1249</v>
      </c>
      <c r="P127" s="2" t="s">
        <v>1250</v>
      </c>
      <c r="Q127" s="2" t="s">
        <v>1363</v>
      </c>
      <c r="R127" s="65">
        <v>2.7428571428571429</v>
      </c>
      <c r="S127" s="2" t="s">
        <v>1314</v>
      </c>
      <c r="T127" s="2" t="s">
        <v>1383</v>
      </c>
      <c r="U127" s="2" t="s">
        <v>460</v>
      </c>
      <c r="V127" s="2" t="s">
        <v>126</v>
      </c>
      <c r="W127" s="2" t="s">
        <v>1315</v>
      </c>
      <c r="X127" s="2" t="s">
        <v>1316</v>
      </c>
      <c r="Y127" s="33"/>
      <c r="Z127" s="9"/>
      <c r="AA127" s="2" t="s">
        <v>1375</v>
      </c>
      <c r="AB127" s="2" t="s">
        <v>1376</v>
      </c>
      <c r="AC127" s="2"/>
      <c r="AD127" s="2" t="s">
        <v>179</v>
      </c>
      <c r="AE127" s="2" t="s">
        <v>734</v>
      </c>
      <c r="AF127" s="2" t="s">
        <v>134</v>
      </c>
      <c r="AG127" s="2" t="s">
        <v>1254</v>
      </c>
      <c r="AH127" s="2" t="s">
        <v>136</v>
      </c>
      <c r="AI127" s="2" t="str">
        <f t="shared" si="12"/>
        <v/>
      </c>
      <c r="AJ127" s="2" t="s">
        <v>137</v>
      </c>
      <c r="AK127" s="2" t="s">
        <v>138</v>
      </c>
      <c r="AL127" s="2" t="s">
        <v>139</v>
      </c>
      <c r="AM127" s="2">
        <f t="shared" si="13"/>
        <v>1</v>
      </c>
      <c r="AN127" s="2"/>
      <c r="AO127" s="32" t="s">
        <v>462</v>
      </c>
      <c r="AP127" s="32" t="s">
        <v>141</v>
      </c>
      <c r="AQ127" s="32"/>
      <c r="AR127" s="32" t="s">
        <v>142</v>
      </c>
      <c r="AS127" s="65">
        <f t="shared" si="14"/>
        <v>12</v>
      </c>
      <c r="AT127" s="65">
        <f t="shared" si="15"/>
        <v>2.7428571428571429</v>
      </c>
      <c r="AU127" s="2" t="str">
        <f>IFERROR(INDEX('Source Review'!$B$2:$B$52,MATCH($A127,'Source Review'!$A$2:$A$52,0)),"NOT SOURCE-REVIEWED IN THIS PASS")</f>
        <v>NOT SOURCE-REVIEWED IN THIS PASS</v>
      </c>
      <c r="AV127" s="5" t="str">
        <f>IFERROR(INDEX('Source Review'!$F$2:$F$52,MATCH($A127,'Source Review'!$A$2:$A$52,0)),"")</f>
        <v/>
      </c>
      <c r="AW127" s="5" t="str">
        <f>IFERROR(INDEX('Source Review'!$G$2:$G$52,MATCH($A127,'Source Review'!$A$2:$A$52,0)),"")</f>
        <v/>
      </c>
      <c r="AX127" s="5" t="str">
        <f>IFERROR(INDEX('Source Review'!$H$2:$H$52,MATCH($A127,'Source Review'!$A$2:$A$52,0)),"")</f>
        <v/>
      </c>
      <c r="AY127" s="2" t="str">
        <f>IF(COUNTIF('Source Review'!$A$2:$A$52,$A127)&gt;0,"UNCONFIRMED REVIEW ESTIMATE - not P80 or elapsed","NOT ESTIMATED IN THIS PASS")</f>
        <v>NOT ESTIMATED IN THIS PASS</v>
      </c>
      <c r="AZ127" s="2" t="str">
        <f>IFERROR(INDEX('Source Review'!$I$2:$I$52,MATCH($A127,'Source Review'!$A$2:$A$52,0)),"")</f>
        <v/>
      </c>
      <c r="BA127" s="2" t="str">
        <f>IFERROR(INDEX('Source Review'!$E$2:$E$52,MATCH($A127,'Source Review'!$A$2:$A$52,0)),"")</f>
        <v/>
      </c>
      <c r="BB127" s="2" t="str">
        <f>IF(COUNTIF('Source Review'!$A$2:$A$52,$A127)&gt;0,"14-Sep-2026 snapshot; later closure evidence separate; no live HEAD verification","")</f>
        <v/>
      </c>
    </row>
    <row r="128" spans="1:54" ht="75.95" hidden="1" customHeight="1">
      <c r="A128" s="2" t="s">
        <v>1384</v>
      </c>
      <c r="B128" s="2" t="s">
        <v>1243</v>
      </c>
      <c r="C128" s="2" t="s">
        <v>426</v>
      </c>
      <c r="D128" s="2" t="s">
        <v>1385</v>
      </c>
      <c r="E128" s="2" t="s">
        <v>1358</v>
      </c>
      <c r="F128" s="2" t="s">
        <v>1386</v>
      </c>
      <c r="G128" s="2" t="s">
        <v>160</v>
      </c>
      <c r="H128" s="2" t="s">
        <v>1387</v>
      </c>
      <c r="I128" s="2" t="s">
        <v>1388</v>
      </c>
      <c r="J128" s="65">
        <v>10</v>
      </c>
      <c r="K128" s="94" t="s">
        <v>455</v>
      </c>
      <c r="L128" s="2" t="s">
        <v>36</v>
      </c>
      <c r="M128" s="2" t="s">
        <v>1389</v>
      </c>
      <c r="N128" s="2" t="s">
        <v>1154</v>
      </c>
      <c r="O128" s="2" t="s">
        <v>1249</v>
      </c>
      <c r="P128" s="2" t="s">
        <v>1250</v>
      </c>
      <c r="Q128" s="2" t="s">
        <v>1363</v>
      </c>
      <c r="R128" s="65">
        <v>2.285714285714286</v>
      </c>
      <c r="S128" s="2" t="s">
        <v>1314</v>
      </c>
      <c r="T128" s="2" t="s">
        <v>1390</v>
      </c>
      <c r="U128" s="2" t="s">
        <v>460</v>
      </c>
      <c r="V128" s="2" t="s">
        <v>126</v>
      </c>
      <c r="W128" s="2" t="s">
        <v>1315</v>
      </c>
      <c r="X128" s="2" t="s">
        <v>1316</v>
      </c>
      <c r="Y128" s="33"/>
      <c r="Z128" s="9"/>
      <c r="AA128" s="2" t="s">
        <v>1391</v>
      </c>
      <c r="AB128" s="2" t="s">
        <v>1392</v>
      </c>
      <c r="AC128" s="2"/>
      <c r="AD128" s="2" t="s">
        <v>179</v>
      </c>
      <c r="AE128" s="2" t="s">
        <v>734</v>
      </c>
      <c r="AF128" s="2" t="s">
        <v>134</v>
      </c>
      <c r="AG128" s="2" t="s">
        <v>1254</v>
      </c>
      <c r="AH128" s="2" t="s">
        <v>136</v>
      </c>
      <c r="AI128" s="2" t="str">
        <f t="shared" si="12"/>
        <v/>
      </c>
      <c r="AJ128" s="2" t="s">
        <v>137</v>
      </c>
      <c r="AK128" s="2" t="s">
        <v>138</v>
      </c>
      <c r="AL128" s="2" t="s">
        <v>139</v>
      </c>
      <c r="AM128" s="2">
        <f t="shared" si="13"/>
        <v>1</v>
      </c>
      <c r="AN128" s="2"/>
      <c r="AO128" s="32" t="s">
        <v>462</v>
      </c>
      <c r="AP128" s="32" t="s">
        <v>141</v>
      </c>
      <c r="AQ128" s="32"/>
      <c r="AR128" s="32" t="s">
        <v>142</v>
      </c>
      <c r="AS128" s="65">
        <f t="shared" si="14"/>
        <v>10</v>
      </c>
      <c r="AT128" s="65">
        <f t="shared" si="15"/>
        <v>2.285714285714286</v>
      </c>
      <c r="AU128" s="2" t="str">
        <f>IFERROR(INDEX('Source Review'!$B$2:$B$52,MATCH($A128,'Source Review'!$A$2:$A$52,0)),"NOT SOURCE-REVIEWED IN THIS PASS")</f>
        <v>NOT SOURCE-REVIEWED IN THIS PASS</v>
      </c>
      <c r="AV128" s="5" t="str">
        <f>IFERROR(INDEX('Source Review'!$F$2:$F$52,MATCH($A128,'Source Review'!$A$2:$A$52,0)),"")</f>
        <v/>
      </c>
      <c r="AW128" s="5" t="str">
        <f>IFERROR(INDEX('Source Review'!$G$2:$G$52,MATCH($A128,'Source Review'!$A$2:$A$52,0)),"")</f>
        <v/>
      </c>
      <c r="AX128" s="5" t="str">
        <f>IFERROR(INDEX('Source Review'!$H$2:$H$52,MATCH($A128,'Source Review'!$A$2:$A$52,0)),"")</f>
        <v/>
      </c>
      <c r="AY128" s="2" t="str">
        <f>IF(COUNTIF('Source Review'!$A$2:$A$52,$A128)&gt;0,"UNCONFIRMED REVIEW ESTIMATE - not P80 or elapsed","NOT ESTIMATED IN THIS PASS")</f>
        <v>NOT ESTIMATED IN THIS PASS</v>
      </c>
      <c r="AZ128" s="2" t="str">
        <f>IFERROR(INDEX('Source Review'!$I$2:$I$52,MATCH($A128,'Source Review'!$A$2:$A$52,0)),"")</f>
        <v/>
      </c>
      <c r="BA128" s="2" t="str">
        <f>IFERROR(INDEX('Source Review'!$E$2:$E$52,MATCH($A128,'Source Review'!$A$2:$A$52,0)),"")</f>
        <v/>
      </c>
      <c r="BB128" s="2" t="str">
        <f>IF(COUNTIF('Source Review'!$A$2:$A$52,$A128)&gt;0,"14-Sep-2026 snapshot; later closure evidence separate; no live HEAD verification","")</f>
        <v/>
      </c>
    </row>
    <row r="129" spans="1:54" ht="75.95" hidden="1" customHeight="1">
      <c r="A129" s="2" t="s">
        <v>1393</v>
      </c>
      <c r="B129" s="2" t="s">
        <v>1243</v>
      </c>
      <c r="C129" s="2" t="s">
        <v>807</v>
      </c>
      <c r="D129" s="2" t="s">
        <v>1394</v>
      </c>
      <c r="E129" s="2" t="s">
        <v>264</v>
      </c>
      <c r="F129" s="2" t="s">
        <v>1395</v>
      </c>
      <c r="G129" s="2" t="s">
        <v>160</v>
      </c>
      <c r="H129" s="2" t="s">
        <v>1396</v>
      </c>
      <c r="I129" s="2" t="s">
        <v>1397</v>
      </c>
      <c r="J129" s="65">
        <v>12</v>
      </c>
      <c r="K129" s="94" t="s">
        <v>455</v>
      </c>
      <c r="L129" s="2" t="s">
        <v>36</v>
      </c>
      <c r="M129" s="2"/>
      <c r="N129" s="2"/>
      <c r="O129" s="2" t="s">
        <v>1249</v>
      </c>
      <c r="P129" s="2" t="s">
        <v>1250</v>
      </c>
      <c r="Q129" s="2" t="s">
        <v>1269</v>
      </c>
      <c r="R129" s="65">
        <v>7.2</v>
      </c>
      <c r="S129" s="2" t="s">
        <v>1398</v>
      </c>
      <c r="T129" s="2" t="s">
        <v>1270</v>
      </c>
      <c r="U129" s="2" t="s">
        <v>1399</v>
      </c>
      <c r="V129" s="2" t="s">
        <v>126</v>
      </c>
      <c r="W129" s="2" t="s">
        <v>1400</v>
      </c>
      <c r="X129" s="2" t="s">
        <v>1401</v>
      </c>
      <c r="Y129" s="33"/>
      <c r="Z129" s="9"/>
      <c r="AA129" s="2" t="s">
        <v>719</v>
      </c>
      <c r="AB129" s="2" t="s">
        <v>720</v>
      </c>
      <c r="AC129" s="2" t="s">
        <v>798</v>
      </c>
      <c r="AD129" s="2" t="s">
        <v>179</v>
      </c>
      <c r="AE129" s="2" t="s">
        <v>251</v>
      </c>
      <c r="AF129" s="2" t="s">
        <v>134</v>
      </c>
      <c r="AG129" s="2" t="s">
        <v>1254</v>
      </c>
      <c r="AH129" s="2" t="s">
        <v>136</v>
      </c>
      <c r="AI129" s="2" t="str">
        <f t="shared" si="12"/>
        <v/>
      </c>
      <c r="AJ129" s="2" t="s">
        <v>137</v>
      </c>
      <c r="AK129" s="2" t="s">
        <v>138</v>
      </c>
      <c r="AL129" s="2" t="s">
        <v>139</v>
      </c>
      <c r="AM129" s="2">
        <f t="shared" si="13"/>
        <v>1</v>
      </c>
      <c r="AN129" s="2"/>
      <c r="AO129" s="32" t="s">
        <v>462</v>
      </c>
      <c r="AP129" s="32" t="s">
        <v>141</v>
      </c>
      <c r="AQ129" s="32"/>
      <c r="AR129" s="32" t="s">
        <v>142</v>
      </c>
      <c r="AS129" s="65">
        <f t="shared" si="14"/>
        <v>12</v>
      </c>
      <c r="AT129" s="65">
        <f t="shared" si="15"/>
        <v>7.2</v>
      </c>
      <c r="AU129" s="2" t="str">
        <f>IFERROR(INDEX('Source Review'!$B$2:$B$52,MATCH($A129,'Source Review'!$A$2:$A$52,0)),"NOT SOURCE-REVIEWED IN THIS PASS")</f>
        <v>NOT SOURCE-REVIEWED IN THIS PASS</v>
      </c>
      <c r="AV129" s="5" t="str">
        <f>IFERROR(INDEX('Source Review'!$F$2:$F$52,MATCH($A129,'Source Review'!$A$2:$A$52,0)),"")</f>
        <v/>
      </c>
      <c r="AW129" s="5" t="str">
        <f>IFERROR(INDEX('Source Review'!$G$2:$G$52,MATCH($A129,'Source Review'!$A$2:$A$52,0)),"")</f>
        <v/>
      </c>
      <c r="AX129" s="5" t="str">
        <f>IFERROR(INDEX('Source Review'!$H$2:$H$52,MATCH($A129,'Source Review'!$A$2:$A$52,0)),"")</f>
        <v/>
      </c>
      <c r="AY129" s="2" t="str">
        <f>IF(COUNTIF('Source Review'!$A$2:$A$52,$A129)&gt;0,"UNCONFIRMED REVIEW ESTIMATE - not P80 or elapsed","NOT ESTIMATED IN THIS PASS")</f>
        <v>NOT ESTIMATED IN THIS PASS</v>
      </c>
      <c r="AZ129" s="2" t="str">
        <f>IFERROR(INDEX('Source Review'!$I$2:$I$52,MATCH($A129,'Source Review'!$A$2:$A$52,0)),"")</f>
        <v/>
      </c>
      <c r="BA129" s="2" t="str">
        <f>IFERROR(INDEX('Source Review'!$E$2:$E$52,MATCH($A129,'Source Review'!$A$2:$A$52,0)),"")</f>
        <v/>
      </c>
      <c r="BB129" s="2" t="str">
        <f>IF(COUNTIF('Source Review'!$A$2:$A$52,$A129)&gt;0,"14-Sep-2026 snapshot; later closure evidence separate; no live HEAD verification","")</f>
        <v/>
      </c>
    </row>
    <row r="130" spans="1:54" ht="75.95" hidden="1" customHeight="1">
      <c r="A130" s="2" t="s">
        <v>1402</v>
      </c>
      <c r="B130" s="2" t="s">
        <v>1243</v>
      </c>
      <c r="C130" s="2" t="s">
        <v>807</v>
      </c>
      <c r="D130" s="2" t="s">
        <v>1403</v>
      </c>
      <c r="E130" s="2" t="s">
        <v>1404</v>
      </c>
      <c r="F130" s="2" t="s">
        <v>1405</v>
      </c>
      <c r="G130" s="2" t="s">
        <v>674</v>
      </c>
      <c r="H130" s="2" t="s">
        <v>1406</v>
      </c>
      <c r="I130" s="2" t="s">
        <v>1407</v>
      </c>
      <c r="J130" s="65">
        <v>12</v>
      </c>
      <c r="K130" s="94" t="s">
        <v>455</v>
      </c>
      <c r="L130" s="2" t="s">
        <v>36</v>
      </c>
      <c r="M130" s="2"/>
      <c r="N130" s="2"/>
      <c r="O130" s="2" t="s">
        <v>1249</v>
      </c>
      <c r="P130" s="2" t="s">
        <v>1250</v>
      </c>
      <c r="Q130" s="2" t="s">
        <v>1269</v>
      </c>
      <c r="R130" s="65">
        <v>7.2</v>
      </c>
      <c r="S130" s="2" t="s">
        <v>1398</v>
      </c>
      <c r="T130" s="2" t="s">
        <v>1270</v>
      </c>
      <c r="U130" s="2" t="s">
        <v>1399</v>
      </c>
      <c r="V130" s="2" t="s">
        <v>126</v>
      </c>
      <c r="W130" s="2" t="s">
        <v>1400</v>
      </c>
      <c r="X130" s="2" t="s">
        <v>1401</v>
      </c>
      <c r="Y130" s="33"/>
      <c r="Z130" s="9"/>
      <c r="AA130" s="2" t="s">
        <v>1408</v>
      </c>
      <c r="AB130" s="2" t="s">
        <v>1409</v>
      </c>
      <c r="AC130" s="2"/>
      <c r="AD130" s="2" t="s">
        <v>179</v>
      </c>
      <c r="AE130" s="2" t="s">
        <v>133</v>
      </c>
      <c r="AF130" s="2" t="s">
        <v>1410</v>
      </c>
      <c r="AG130" s="2" t="s">
        <v>1254</v>
      </c>
      <c r="AH130" s="2" t="s">
        <v>1230</v>
      </c>
      <c r="AI130" s="2" t="str">
        <f t="shared" ref="AI130:AI161" si="16">IF(Y130="","",Y130)</f>
        <v/>
      </c>
      <c r="AJ130" s="2" t="s">
        <v>137</v>
      </c>
      <c r="AK130" s="2" t="s">
        <v>138</v>
      </c>
      <c r="AL130" s="2" t="s">
        <v>139</v>
      </c>
      <c r="AM130" s="2">
        <f t="shared" ref="AM130:AM161" si="17">IF(AND(ISNUMBER(J130),OR(AR130="INHERITED ESTIMATE",AR130="CONFIRMED ESTIMATE")),1,0)</f>
        <v>1</v>
      </c>
      <c r="AN130" s="2"/>
      <c r="AO130" s="32" t="s">
        <v>462</v>
      </c>
      <c r="AP130" s="32" t="s">
        <v>141</v>
      </c>
      <c r="AQ130" s="32"/>
      <c r="AR130" s="32" t="s">
        <v>142</v>
      </c>
      <c r="AS130" s="65">
        <f t="shared" ref="AS130:AS161" si="18">IF(AM130=1,J130,"")</f>
        <v>12</v>
      </c>
      <c r="AT130" s="65">
        <f t="shared" ref="AT130:AT161" si="19">IF(AND(AM130=1,ISNUMBER(R130)),R130,"")</f>
        <v>7.2</v>
      </c>
      <c r="AU130" s="2" t="str">
        <f>IFERROR(INDEX('Source Review'!$B$2:$B$52,MATCH($A130,'Source Review'!$A$2:$A$52,0)),"NOT SOURCE-REVIEWED IN THIS PASS")</f>
        <v>NOT SOURCE-REVIEWED IN THIS PASS</v>
      </c>
      <c r="AV130" s="5" t="str">
        <f>IFERROR(INDEX('Source Review'!$F$2:$F$52,MATCH($A130,'Source Review'!$A$2:$A$52,0)),"")</f>
        <v/>
      </c>
      <c r="AW130" s="5" t="str">
        <f>IFERROR(INDEX('Source Review'!$G$2:$G$52,MATCH($A130,'Source Review'!$A$2:$A$52,0)),"")</f>
        <v/>
      </c>
      <c r="AX130" s="5" t="str">
        <f>IFERROR(INDEX('Source Review'!$H$2:$H$52,MATCH($A130,'Source Review'!$A$2:$A$52,0)),"")</f>
        <v/>
      </c>
      <c r="AY130" s="2" t="str">
        <f>IF(COUNTIF('Source Review'!$A$2:$A$52,$A130)&gt;0,"UNCONFIRMED REVIEW ESTIMATE - not P80 or elapsed","NOT ESTIMATED IN THIS PASS")</f>
        <v>NOT ESTIMATED IN THIS PASS</v>
      </c>
      <c r="AZ130" s="2" t="str">
        <f>IFERROR(INDEX('Source Review'!$I$2:$I$52,MATCH($A130,'Source Review'!$A$2:$A$52,0)),"")</f>
        <v/>
      </c>
      <c r="BA130" s="2" t="str">
        <f>IFERROR(INDEX('Source Review'!$E$2:$E$52,MATCH($A130,'Source Review'!$A$2:$A$52,0)),"")</f>
        <v/>
      </c>
      <c r="BB130" s="2" t="str">
        <f>IF(COUNTIF('Source Review'!$A$2:$A$52,$A130)&gt;0,"14-Sep-2026 snapshot; later closure evidence separate; no live HEAD verification","")</f>
        <v/>
      </c>
    </row>
    <row r="131" spans="1:54" ht="75.95" hidden="1" customHeight="1">
      <c r="A131" s="2" t="s">
        <v>1411</v>
      </c>
      <c r="B131" s="2" t="s">
        <v>1243</v>
      </c>
      <c r="C131" s="2" t="s">
        <v>807</v>
      </c>
      <c r="D131" s="2" t="s">
        <v>1412</v>
      </c>
      <c r="E131" s="2" t="s">
        <v>1058</v>
      </c>
      <c r="F131" s="2" t="s">
        <v>1413</v>
      </c>
      <c r="G131" s="2" t="s">
        <v>160</v>
      </c>
      <c r="H131" s="2" t="s">
        <v>1414</v>
      </c>
      <c r="I131" s="2" t="s">
        <v>1415</v>
      </c>
      <c r="J131" s="65">
        <v>10</v>
      </c>
      <c r="K131" s="94" t="s">
        <v>455</v>
      </c>
      <c r="L131" s="2" t="s">
        <v>293</v>
      </c>
      <c r="M131" s="2" t="s">
        <v>1416</v>
      </c>
      <c r="N131" s="2" t="s">
        <v>1417</v>
      </c>
      <c r="O131" s="2" t="s">
        <v>1249</v>
      </c>
      <c r="P131" s="2" t="s">
        <v>1250</v>
      </c>
      <c r="Q131" s="2" t="s">
        <v>316</v>
      </c>
      <c r="R131" s="65">
        <v>3.2</v>
      </c>
      <c r="S131" s="2" t="s">
        <v>1398</v>
      </c>
      <c r="T131" s="2" t="s">
        <v>1418</v>
      </c>
      <c r="U131" s="2" t="s">
        <v>1419</v>
      </c>
      <c r="V131" s="2" t="s">
        <v>1420</v>
      </c>
      <c r="W131" s="2" t="s">
        <v>1400</v>
      </c>
      <c r="X131" s="2" t="s">
        <v>1401</v>
      </c>
      <c r="Y131" s="33"/>
      <c r="Z131" s="9"/>
      <c r="AA131" s="2" t="s">
        <v>1421</v>
      </c>
      <c r="AB131" s="2" t="s">
        <v>1422</v>
      </c>
      <c r="AC131" s="2"/>
      <c r="AD131" s="2" t="s">
        <v>179</v>
      </c>
      <c r="AE131" s="2" t="s">
        <v>238</v>
      </c>
      <c r="AF131" s="2" t="s">
        <v>845</v>
      </c>
      <c r="AG131" s="2" t="s">
        <v>1254</v>
      </c>
      <c r="AH131" s="2" t="s">
        <v>136</v>
      </c>
      <c r="AI131" s="2" t="str">
        <f t="shared" si="16"/>
        <v/>
      </c>
      <c r="AJ131" s="2" t="s">
        <v>137</v>
      </c>
      <c r="AK131" s="2" t="s">
        <v>138</v>
      </c>
      <c r="AL131" s="2" t="s">
        <v>139</v>
      </c>
      <c r="AM131" s="2">
        <f t="shared" si="17"/>
        <v>1</v>
      </c>
      <c r="AN131" s="2"/>
      <c r="AO131" s="32" t="s">
        <v>462</v>
      </c>
      <c r="AP131" s="32" t="s">
        <v>141</v>
      </c>
      <c r="AQ131" s="32"/>
      <c r="AR131" s="32" t="s">
        <v>142</v>
      </c>
      <c r="AS131" s="65">
        <f t="shared" si="18"/>
        <v>10</v>
      </c>
      <c r="AT131" s="65">
        <f t="shared" si="19"/>
        <v>3.2</v>
      </c>
      <c r="AU131" s="2" t="str">
        <f>IFERROR(INDEX('Source Review'!$B$2:$B$52,MATCH($A131,'Source Review'!$A$2:$A$52,0)),"NOT SOURCE-REVIEWED IN THIS PASS")</f>
        <v>NOT SOURCE-REVIEWED IN THIS PASS</v>
      </c>
      <c r="AV131" s="5" t="str">
        <f>IFERROR(INDEX('Source Review'!$F$2:$F$52,MATCH($A131,'Source Review'!$A$2:$A$52,0)),"")</f>
        <v/>
      </c>
      <c r="AW131" s="5" t="str">
        <f>IFERROR(INDEX('Source Review'!$G$2:$G$52,MATCH($A131,'Source Review'!$A$2:$A$52,0)),"")</f>
        <v/>
      </c>
      <c r="AX131" s="5" t="str">
        <f>IFERROR(INDEX('Source Review'!$H$2:$H$52,MATCH($A131,'Source Review'!$A$2:$A$52,0)),"")</f>
        <v/>
      </c>
      <c r="AY131" s="2" t="str">
        <f>IF(COUNTIF('Source Review'!$A$2:$A$52,$A131)&gt;0,"UNCONFIRMED REVIEW ESTIMATE - not P80 or elapsed","NOT ESTIMATED IN THIS PASS")</f>
        <v>NOT ESTIMATED IN THIS PASS</v>
      </c>
      <c r="AZ131" s="2" t="str">
        <f>IFERROR(INDEX('Source Review'!$I$2:$I$52,MATCH($A131,'Source Review'!$A$2:$A$52,0)),"")</f>
        <v/>
      </c>
      <c r="BA131" s="2" t="str">
        <f>IFERROR(INDEX('Source Review'!$E$2:$E$52,MATCH($A131,'Source Review'!$A$2:$A$52,0)),"")</f>
        <v/>
      </c>
      <c r="BB131" s="2" t="str">
        <f>IF(COUNTIF('Source Review'!$A$2:$A$52,$A131)&gt;0,"14-Sep-2026 snapshot; later closure evidence separate; no live HEAD verification","")</f>
        <v/>
      </c>
    </row>
    <row r="132" spans="1:54" ht="75.95" hidden="1" customHeight="1">
      <c r="A132" s="2" t="s">
        <v>1423</v>
      </c>
      <c r="B132" s="2" t="s">
        <v>1243</v>
      </c>
      <c r="C132" s="2" t="s">
        <v>807</v>
      </c>
      <c r="D132" s="2" t="s">
        <v>1424</v>
      </c>
      <c r="E132" s="2" t="s">
        <v>1425</v>
      </c>
      <c r="F132" s="2" t="s">
        <v>1413</v>
      </c>
      <c r="G132" s="2" t="s">
        <v>160</v>
      </c>
      <c r="H132" s="2" t="s">
        <v>1426</v>
      </c>
      <c r="I132" s="2" t="s">
        <v>1427</v>
      </c>
      <c r="J132" s="65">
        <v>12</v>
      </c>
      <c r="K132" s="94" t="s">
        <v>455</v>
      </c>
      <c r="L132" s="2" t="s">
        <v>293</v>
      </c>
      <c r="M132" s="2" t="s">
        <v>1428</v>
      </c>
      <c r="N132" s="2" t="s">
        <v>1429</v>
      </c>
      <c r="O132" s="2" t="s">
        <v>1249</v>
      </c>
      <c r="P132" s="2" t="s">
        <v>1250</v>
      </c>
      <c r="Q132" s="2" t="s">
        <v>587</v>
      </c>
      <c r="R132" s="65">
        <v>6.1714285714285708</v>
      </c>
      <c r="S132" s="2" t="s">
        <v>1398</v>
      </c>
      <c r="T132" s="2" t="s">
        <v>1430</v>
      </c>
      <c r="U132" s="2" t="s">
        <v>1431</v>
      </c>
      <c r="V132" s="2" t="s">
        <v>1432</v>
      </c>
      <c r="W132" s="2" t="s">
        <v>1400</v>
      </c>
      <c r="X132" s="2" t="s">
        <v>1401</v>
      </c>
      <c r="Y132" s="33"/>
      <c r="Z132" s="9"/>
      <c r="AA132" s="2" t="s">
        <v>1421</v>
      </c>
      <c r="AB132" s="2" t="s">
        <v>1422</v>
      </c>
      <c r="AC132" s="2"/>
      <c r="AD132" s="2" t="s">
        <v>179</v>
      </c>
      <c r="AE132" s="2" t="s">
        <v>734</v>
      </c>
      <c r="AF132" s="2" t="s">
        <v>845</v>
      </c>
      <c r="AG132" s="2" t="s">
        <v>1254</v>
      </c>
      <c r="AH132" s="2" t="s">
        <v>136</v>
      </c>
      <c r="AI132" s="2" t="str">
        <f t="shared" si="16"/>
        <v/>
      </c>
      <c r="AJ132" s="2" t="s">
        <v>137</v>
      </c>
      <c r="AK132" s="2" t="s">
        <v>138</v>
      </c>
      <c r="AL132" s="2" t="s">
        <v>139</v>
      </c>
      <c r="AM132" s="2">
        <f t="shared" si="17"/>
        <v>1</v>
      </c>
      <c r="AN132" s="2"/>
      <c r="AO132" s="32" t="s">
        <v>462</v>
      </c>
      <c r="AP132" s="32" t="s">
        <v>141</v>
      </c>
      <c r="AQ132" s="32"/>
      <c r="AR132" s="32" t="s">
        <v>142</v>
      </c>
      <c r="AS132" s="65">
        <f t="shared" si="18"/>
        <v>12</v>
      </c>
      <c r="AT132" s="65">
        <f t="shared" si="19"/>
        <v>6.1714285714285708</v>
      </c>
      <c r="AU132" s="2" t="str">
        <f>IFERROR(INDEX('Source Review'!$B$2:$B$52,MATCH($A132,'Source Review'!$A$2:$A$52,0)),"NOT SOURCE-REVIEWED IN THIS PASS")</f>
        <v>NOT SOURCE-REVIEWED IN THIS PASS</v>
      </c>
      <c r="AV132" s="5" t="str">
        <f>IFERROR(INDEX('Source Review'!$F$2:$F$52,MATCH($A132,'Source Review'!$A$2:$A$52,0)),"")</f>
        <v/>
      </c>
      <c r="AW132" s="5" t="str">
        <f>IFERROR(INDEX('Source Review'!$G$2:$G$52,MATCH($A132,'Source Review'!$A$2:$A$52,0)),"")</f>
        <v/>
      </c>
      <c r="AX132" s="5" t="str">
        <f>IFERROR(INDEX('Source Review'!$H$2:$H$52,MATCH($A132,'Source Review'!$A$2:$A$52,0)),"")</f>
        <v/>
      </c>
      <c r="AY132" s="2" t="str">
        <f>IF(COUNTIF('Source Review'!$A$2:$A$52,$A132)&gt;0,"UNCONFIRMED REVIEW ESTIMATE - not P80 or elapsed","NOT ESTIMATED IN THIS PASS")</f>
        <v>NOT ESTIMATED IN THIS PASS</v>
      </c>
      <c r="AZ132" s="2" t="str">
        <f>IFERROR(INDEX('Source Review'!$I$2:$I$52,MATCH($A132,'Source Review'!$A$2:$A$52,0)),"")</f>
        <v/>
      </c>
      <c r="BA132" s="2" t="str">
        <f>IFERROR(INDEX('Source Review'!$E$2:$E$52,MATCH($A132,'Source Review'!$A$2:$A$52,0)),"")</f>
        <v/>
      </c>
      <c r="BB132" s="2" t="str">
        <f>IF(COUNTIF('Source Review'!$A$2:$A$52,$A132)&gt;0,"14-Sep-2026 snapshot; later closure evidence separate; no live HEAD verification","")</f>
        <v/>
      </c>
    </row>
    <row r="133" spans="1:54" ht="75.95" hidden="1" customHeight="1">
      <c r="A133" s="2" t="s">
        <v>1429</v>
      </c>
      <c r="B133" s="2" t="s">
        <v>1243</v>
      </c>
      <c r="C133" s="2" t="s">
        <v>807</v>
      </c>
      <c r="D133" s="2" t="s">
        <v>1433</v>
      </c>
      <c r="E133" s="2" t="s">
        <v>1058</v>
      </c>
      <c r="F133" s="2" t="s">
        <v>1434</v>
      </c>
      <c r="G133" s="2" t="s">
        <v>674</v>
      </c>
      <c r="H133" s="2" t="s">
        <v>1435</v>
      </c>
      <c r="I133" s="2" t="s">
        <v>1436</v>
      </c>
      <c r="J133" s="65">
        <v>12</v>
      </c>
      <c r="K133" s="94" t="s">
        <v>455</v>
      </c>
      <c r="L133" s="2" t="s">
        <v>293</v>
      </c>
      <c r="M133" s="2" t="s">
        <v>1437</v>
      </c>
      <c r="N133" s="2" t="s">
        <v>1248</v>
      </c>
      <c r="O133" s="2" t="s">
        <v>1249</v>
      </c>
      <c r="P133" s="2" t="s">
        <v>1250</v>
      </c>
      <c r="Q133" s="2" t="s">
        <v>1438</v>
      </c>
      <c r="R133" s="65">
        <v>5.0999999999999996</v>
      </c>
      <c r="S133" s="2" t="s">
        <v>1398</v>
      </c>
      <c r="T133" s="2" t="s">
        <v>1439</v>
      </c>
      <c r="U133" s="2" t="s">
        <v>1440</v>
      </c>
      <c r="V133" s="2" t="s">
        <v>1441</v>
      </c>
      <c r="W133" s="2" t="s">
        <v>1400</v>
      </c>
      <c r="X133" s="2" t="s">
        <v>1401</v>
      </c>
      <c r="Y133" s="33"/>
      <c r="Z133" s="9"/>
      <c r="AA133" s="2" t="s">
        <v>1421</v>
      </c>
      <c r="AB133" s="2" t="s">
        <v>1422</v>
      </c>
      <c r="AC133" s="2"/>
      <c r="AD133" s="2" t="s">
        <v>179</v>
      </c>
      <c r="AE133" s="2" t="s">
        <v>251</v>
      </c>
      <c r="AF133" s="2" t="s">
        <v>845</v>
      </c>
      <c r="AG133" s="2" t="s">
        <v>1254</v>
      </c>
      <c r="AH133" s="2" t="s">
        <v>136</v>
      </c>
      <c r="AI133" s="2" t="str">
        <f t="shared" si="16"/>
        <v/>
      </c>
      <c r="AJ133" s="2" t="s">
        <v>137</v>
      </c>
      <c r="AK133" s="2" t="s">
        <v>138</v>
      </c>
      <c r="AL133" s="2" t="s">
        <v>139</v>
      </c>
      <c r="AM133" s="2">
        <f t="shared" si="17"/>
        <v>1</v>
      </c>
      <c r="AN133" s="2"/>
      <c r="AO133" s="32" t="s">
        <v>462</v>
      </c>
      <c r="AP133" s="32" t="s">
        <v>141</v>
      </c>
      <c r="AQ133" s="32"/>
      <c r="AR133" s="32" t="s">
        <v>142</v>
      </c>
      <c r="AS133" s="65">
        <f t="shared" si="18"/>
        <v>12</v>
      </c>
      <c r="AT133" s="65">
        <f t="shared" si="19"/>
        <v>5.0999999999999996</v>
      </c>
      <c r="AU133" s="2" t="str">
        <f>IFERROR(INDEX('Source Review'!$B$2:$B$52,MATCH($A133,'Source Review'!$A$2:$A$52,0)),"NOT SOURCE-REVIEWED IN THIS PASS")</f>
        <v>NOT SOURCE-REVIEWED IN THIS PASS</v>
      </c>
      <c r="AV133" s="5" t="str">
        <f>IFERROR(INDEX('Source Review'!$F$2:$F$52,MATCH($A133,'Source Review'!$A$2:$A$52,0)),"")</f>
        <v/>
      </c>
      <c r="AW133" s="5" t="str">
        <f>IFERROR(INDEX('Source Review'!$G$2:$G$52,MATCH($A133,'Source Review'!$A$2:$A$52,0)),"")</f>
        <v/>
      </c>
      <c r="AX133" s="5" t="str">
        <f>IFERROR(INDEX('Source Review'!$H$2:$H$52,MATCH($A133,'Source Review'!$A$2:$A$52,0)),"")</f>
        <v/>
      </c>
      <c r="AY133" s="2" t="str">
        <f>IF(COUNTIF('Source Review'!$A$2:$A$52,$A133)&gt;0,"UNCONFIRMED REVIEW ESTIMATE - not P80 or elapsed","NOT ESTIMATED IN THIS PASS")</f>
        <v>NOT ESTIMATED IN THIS PASS</v>
      </c>
      <c r="AZ133" s="2" t="str">
        <f>IFERROR(INDEX('Source Review'!$I$2:$I$52,MATCH($A133,'Source Review'!$A$2:$A$52,0)),"")</f>
        <v/>
      </c>
      <c r="BA133" s="2" t="str">
        <f>IFERROR(INDEX('Source Review'!$E$2:$E$52,MATCH($A133,'Source Review'!$A$2:$A$52,0)),"")</f>
        <v/>
      </c>
      <c r="BB133" s="2" t="str">
        <f>IF(COUNTIF('Source Review'!$A$2:$A$52,$A133)&gt;0,"14-Sep-2026 snapshot; later closure evidence separate; no live HEAD verification","")</f>
        <v/>
      </c>
    </row>
    <row r="134" spans="1:54" ht="75.95" hidden="1" customHeight="1">
      <c r="A134" s="2" t="s">
        <v>812</v>
      </c>
      <c r="B134" s="2" t="s">
        <v>1243</v>
      </c>
      <c r="C134" s="2" t="s">
        <v>807</v>
      </c>
      <c r="D134" s="2" t="s">
        <v>1442</v>
      </c>
      <c r="E134" s="2" t="s">
        <v>264</v>
      </c>
      <c r="F134" s="2" t="s">
        <v>1443</v>
      </c>
      <c r="G134" s="2" t="s">
        <v>160</v>
      </c>
      <c r="H134" s="2" t="s">
        <v>1444</v>
      </c>
      <c r="I134" s="2" t="s">
        <v>1445</v>
      </c>
      <c r="J134" s="65">
        <v>30</v>
      </c>
      <c r="K134" s="94" t="s">
        <v>455</v>
      </c>
      <c r="L134" s="2" t="s">
        <v>36</v>
      </c>
      <c r="M134" s="2" t="s">
        <v>1446</v>
      </c>
      <c r="N134" s="2" t="s">
        <v>1447</v>
      </c>
      <c r="O134" s="2" t="s">
        <v>1249</v>
      </c>
      <c r="P134" s="2" t="s">
        <v>1250</v>
      </c>
      <c r="Q134" s="2" t="s">
        <v>1448</v>
      </c>
      <c r="R134" s="65">
        <v>11.2</v>
      </c>
      <c r="S134" s="2" t="s">
        <v>1398</v>
      </c>
      <c r="T134" s="2" t="s">
        <v>1449</v>
      </c>
      <c r="U134" s="2" t="s">
        <v>1450</v>
      </c>
      <c r="V134" s="2" t="s">
        <v>1451</v>
      </c>
      <c r="W134" s="2" t="s">
        <v>1400</v>
      </c>
      <c r="X134" s="2" t="s">
        <v>1452</v>
      </c>
      <c r="Y134" s="33"/>
      <c r="Z134" s="9"/>
      <c r="AA134" s="2" t="s">
        <v>721</v>
      </c>
      <c r="AB134" s="2" t="s">
        <v>1453</v>
      </c>
      <c r="AC134" s="2" t="s">
        <v>1454</v>
      </c>
      <c r="AD134" s="2" t="s">
        <v>179</v>
      </c>
      <c r="AE134" s="2" t="s">
        <v>251</v>
      </c>
      <c r="AF134" s="2" t="s">
        <v>134</v>
      </c>
      <c r="AG134" s="2" t="s">
        <v>1254</v>
      </c>
      <c r="AH134" s="2" t="s">
        <v>136</v>
      </c>
      <c r="AI134" s="2" t="str">
        <f t="shared" si="16"/>
        <v/>
      </c>
      <c r="AJ134" s="2" t="s">
        <v>496</v>
      </c>
      <c r="AK134" s="2" t="s">
        <v>138</v>
      </c>
      <c r="AL134" s="2" t="s">
        <v>139</v>
      </c>
      <c r="AM134" s="2">
        <f t="shared" si="17"/>
        <v>0</v>
      </c>
      <c r="AN134" s="2"/>
      <c r="AO134" s="32" t="s">
        <v>462</v>
      </c>
      <c r="AP134" s="32" t="s">
        <v>141</v>
      </c>
      <c r="AQ134" s="32"/>
      <c r="AR134" s="32" t="s">
        <v>486</v>
      </c>
      <c r="AS134" s="65" t="str">
        <f t="shared" si="18"/>
        <v/>
      </c>
      <c r="AT134" s="65" t="str">
        <f t="shared" si="19"/>
        <v/>
      </c>
      <c r="AU134" s="2" t="str">
        <f>IFERROR(INDEX('Source Review'!$B$2:$B$52,MATCH($A134,'Source Review'!$A$2:$A$52,0)),"NOT SOURCE-REVIEWED IN THIS PASS")</f>
        <v>BOUNDED SOURCE REVIEW — ALL 75 OUTCOMES NOT CERTIFIED</v>
      </c>
      <c r="AV134" s="5">
        <f>IFERROR(INDEX('Source Review'!$F$2:$F$52,MATCH($A134,'Source Review'!$A$2:$A$52,0)),"")</f>
        <v>24</v>
      </c>
      <c r="AW134" s="5">
        <f>IFERROR(INDEX('Source Review'!$G$2:$G$52,MATCH($A134,'Source Review'!$A$2:$A$52,0)),"")</f>
        <v>40</v>
      </c>
      <c r="AX134" s="5">
        <f>IFERROR(INDEX('Source Review'!$H$2:$H$52,MATCH($A134,'Source Review'!$A$2:$A$52,0)),"")</f>
        <v>64</v>
      </c>
      <c r="AY134" s="2" t="str">
        <f>IF(COUNTIF('Source Review'!$A$2:$A$52,$A134)&gt;0,"UNCONFIRMED REVIEW ESTIMATE - not P80 or elapsed","NOT ESTIMATED IN THIS PASS")</f>
        <v>UNCONFIRMED REVIEW ESTIMATE - not P80 or elapsed</v>
      </c>
      <c r="AZ134" s="2" t="str">
        <f>IFERROR(INDEX('Source Review'!$I$2:$I$52,MATCH($A134,'Source Review'!$A$2:$A$52,0)),"")</f>
        <v>Remaining outcome mapping 4/6/10; advanced UI/runtime integration 14/24/38; parity/accessibility/recovery acceptance 6/10/16.</v>
      </c>
      <c r="BA134" s="2" t="str">
        <f>IFERROR(INDEX('Source Review'!$E$2:$E$52,MATCH($A134,'Source Review'!$A$2:$A$52,0)),"")</f>
        <v>Frontend/PlantProcess.Web/src/state/AssociativeContext.tsx:1-55 — state and query orchestration
Frontend/PlantProcess.Web/src/authoring/SharedAuthoringShell.tsx:333-403 — reopen application</v>
      </c>
      <c r="BB134" s="2" t="str">
        <f>IF(COUNTIF('Source Review'!$A$2:$A$52,$A134)&gt;0,"14-Sep-2026 snapshot; later closure evidence separate; no live HEAD verification","")</f>
        <v>14-Sep-2026 snapshot; later closure evidence separate; no live HEAD verification</v>
      </c>
    </row>
    <row r="135" spans="1:54" ht="75.95" hidden="1" customHeight="1">
      <c r="A135" s="2" t="s">
        <v>1455</v>
      </c>
      <c r="B135" s="2" t="s">
        <v>1243</v>
      </c>
      <c r="C135" s="2" t="s">
        <v>807</v>
      </c>
      <c r="D135" s="2" t="s">
        <v>1456</v>
      </c>
      <c r="E135" s="2" t="s">
        <v>789</v>
      </c>
      <c r="F135" s="2" t="s">
        <v>1456</v>
      </c>
      <c r="G135" s="2" t="s">
        <v>160</v>
      </c>
      <c r="H135" s="2" t="s">
        <v>1457</v>
      </c>
      <c r="I135" s="2" t="s">
        <v>1458</v>
      </c>
      <c r="J135" s="67"/>
      <c r="K135" s="94" t="s">
        <v>455</v>
      </c>
      <c r="L135" s="2" t="s">
        <v>36</v>
      </c>
      <c r="M135" s="2" t="s">
        <v>1459</v>
      </c>
      <c r="N135" s="2" t="s">
        <v>1248</v>
      </c>
      <c r="O135" s="2" t="s">
        <v>1249</v>
      </c>
      <c r="P135" s="2" t="s">
        <v>1250</v>
      </c>
      <c r="Q135" s="2" t="s">
        <v>794</v>
      </c>
      <c r="R135" s="65"/>
      <c r="S135" s="2" t="s">
        <v>1398</v>
      </c>
      <c r="T135" s="2" t="s">
        <v>1460</v>
      </c>
      <c r="U135" s="2" t="s">
        <v>796</v>
      </c>
      <c r="V135" s="2" t="s">
        <v>797</v>
      </c>
      <c r="W135" s="2" t="s">
        <v>1400</v>
      </c>
      <c r="X135" s="2" t="s">
        <v>531</v>
      </c>
      <c r="Y135" s="33"/>
      <c r="Z135" s="9"/>
      <c r="AA135" s="2" t="s">
        <v>1461</v>
      </c>
      <c r="AB135" s="2" t="s">
        <v>1462</v>
      </c>
      <c r="AC135" s="2" t="s">
        <v>1463</v>
      </c>
      <c r="AD135" s="2" t="s">
        <v>179</v>
      </c>
      <c r="AE135" s="2" t="s">
        <v>801</v>
      </c>
      <c r="AF135" s="2" t="s">
        <v>134</v>
      </c>
      <c r="AG135" s="2" t="s">
        <v>1254</v>
      </c>
      <c r="AH135" s="2" t="s">
        <v>136</v>
      </c>
      <c r="AI135" s="2" t="str">
        <f t="shared" si="16"/>
        <v/>
      </c>
      <c r="AJ135" s="34" t="s">
        <v>802</v>
      </c>
      <c r="AK135" s="34" t="s">
        <v>138</v>
      </c>
      <c r="AL135" s="34" t="s">
        <v>1464</v>
      </c>
      <c r="AM135" s="34">
        <f t="shared" si="17"/>
        <v>0</v>
      </c>
      <c r="AN135" s="34"/>
      <c r="AO135" s="35" t="s">
        <v>462</v>
      </c>
      <c r="AP135" s="35" t="s">
        <v>141</v>
      </c>
      <c r="AQ135" s="35"/>
      <c r="AR135" s="35" t="s">
        <v>805</v>
      </c>
      <c r="AS135" s="65" t="str">
        <f t="shared" si="18"/>
        <v/>
      </c>
      <c r="AT135" s="65" t="str">
        <f t="shared" si="19"/>
        <v/>
      </c>
      <c r="AU135" s="2" t="str">
        <f>IFERROR(INDEX('Source Review'!$B$2:$B$52,MATCH($A135,'Source Review'!$A$2:$A$52,0)),"NOT SOURCE-REVIEWED IN THIS PASS")</f>
        <v>SOURCE REVIEWED — SUBSTANTIAL REPORT FOUNDATION / LIFECYCLE GAP</v>
      </c>
      <c r="AV135" s="5">
        <f>IFERROR(INDEX('Source Review'!$F$2:$F$52,MATCH($A135,'Source Review'!$A$2:$A$52,0)),"")</f>
        <v>16</v>
      </c>
      <c r="AW135" s="5">
        <f>IFERROR(INDEX('Source Review'!$G$2:$G$52,MATCH($A135,'Source Review'!$A$2:$A$52,0)),"")</f>
        <v>26</v>
      </c>
      <c r="AX135" s="5">
        <f>IFERROR(INDEX('Source Review'!$H$2:$H$52,MATCH($A135,'Source Review'!$A$2:$A$52,0)),"")</f>
        <v>42</v>
      </c>
      <c r="AY135" s="2" t="str">
        <f>IF(COUNTIF('Source Review'!$A$2:$A$52,$A135)&gt;0,"UNCONFIRMED REVIEW ESTIMATE - not P80 or elapsed","NOT ESTIMATED IN THIS PASS")</f>
        <v>UNCONFIRMED REVIEW ESTIMATE - not P80 or elapsed</v>
      </c>
      <c r="AZ135" s="2" t="str">
        <f>IFERROR(INDEX('Source Review'!$I$2:$I$52,MATCH($A135,'Source Review'!$A$2:$A$52,0)),"")</f>
        <v>Definition/editor/history 6/10/16; job/output/delivery integration 6/10/16; permission/empty/fidelity/retry tests 4/6/10.</v>
      </c>
      <c r="BA135" s="2" t="str">
        <f>IFERROR(INDEX('Source Review'!$E$2:$E$52,MATCH($A135,'Source Review'!$A$2:$A$52,0)),"")</f>
        <v>Backend/PlantProcess.Api/Endpoints/Reporting/ReportingEndpoints.cs:10-33 — existing report routes
Backend/PlantProcess.Api/Endpoints/Reporting/ReportingEndpoints.cs:57-85 — existing report service/PDF path</v>
      </c>
      <c r="BB135" s="2" t="str">
        <f>IF(COUNTIF('Source Review'!$A$2:$A$52,$A135)&gt;0,"14-Sep-2026 snapshot; later closure evidence separate; no live HEAD verification","")</f>
        <v>14-Sep-2026 snapshot; later closure evidence separate; no live HEAD verification</v>
      </c>
    </row>
    <row r="136" spans="1:54" ht="75.95" hidden="1" customHeight="1">
      <c r="A136" s="2" t="s">
        <v>1465</v>
      </c>
      <c r="B136" s="2" t="s">
        <v>1243</v>
      </c>
      <c r="C136" s="2" t="s">
        <v>858</v>
      </c>
      <c r="D136" s="2" t="s">
        <v>1466</v>
      </c>
      <c r="E136" s="2" t="s">
        <v>860</v>
      </c>
      <c r="F136" s="2" t="s">
        <v>1467</v>
      </c>
      <c r="G136" s="2" t="s">
        <v>113</v>
      </c>
      <c r="H136" s="2" t="s">
        <v>1468</v>
      </c>
      <c r="I136" s="2" t="s">
        <v>1469</v>
      </c>
      <c r="J136" s="65">
        <v>10</v>
      </c>
      <c r="K136" s="94" t="s">
        <v>455</v>
      </c>
      <c r="L136" s="2" t="s">
        <v>293</v>
      </c>
      <c r="M136" s="2" t="s">
        <v>1470</v>
      </c>
      <c r="N136" s="2" t="s">
        <v>1471</v>
      </c>
      <c r="O136" s="2" t="s">
        <v>1249</v>
      </c>
      <c r="P136" s="2" t="s">
        <v>1250</v>
      </c>
      <c r="Q136" s="2" t="s">
        <v>1472</v>
      </c>
      <c r="R136" s="65">
        <v>1.5</v>
      </c>
      <c r="S136" s="2" t="s">
        <v>1473</v>
      </c>
      <c r="T136" s="2" t="s">
        <v>1474</v>
      </c>
      <c r="U136" s="2" t="s">
        <v>1475</v>
      </c>
      <c r="V136" s="2" t="s">
        <v>126</v>
      </c>
      <c r="W136" s="2" t="s">
        <v>1476</v>
      </c>
      <c r="X136" s="2" t="s">
        <v>1477</v>
      </c>
      <c r="Y136" s="33"/>
      <c r="Z136" s="9"/>
      <c r="AA136" s="2" t="s">
        <v>566</v>
      </c>
      <c r="AB136" s="2" t="s">
        <v>890</v>
      </c>
      <c r="AC136" s="2" t="s">
        <v>1478</v>
      </c>
      <c r="AD136" s="2" t="s">
        <v>179</v>
      </c>
      <c r="AE136" s="2" t="s">
        <v>191</v>
      </c>
      <c r="AF136" s="2" t="s">
        <v>134</v>
      </c>
      <c r="AG136" s="2" t="s">
        <v>1254</v>
      </c>
      <c r="AH136" s="2" t="s">
        <v>136</v>
      </c>
      <c r="AI136" s="2" t="str">
        <f t="shared" si="16"/>
        <v/>
      </c>
      <c r="AJ136" s="2" t="s">
        <v>137</v>
      </c>
      <c r="AK136" s="2" t="s">
        <v>138</v>
      </c>
      <c r="AL136" s="2" t="s">
        <v>139</v>
      </c>
      <c r="AM136" s="2">
        <f t="shared" si="17"/>
        <v>1</v>
      </c>
      <c r="AN136" s="2"/>
      <c r="AO136" s="32" t="s">
        <v>462</v>
      </c>
      <c r="AP136" s="32" t="s">
        <v>141</v>
      </c>
      <c r="AQ136" s="32"/>
      <c r="AR136" s="32" t="s">
        <v>142</v>
      </c>
      <c r="AS136" s="65">
        <f t="shared" si="18"/>
        <v>10</v>
      </c>
      <c r="AT136" s="65">
        <f t="shared" si="19"/>
        <v>1.5</v>
      </c>
      <c r="AU136" s="2" t="str">
        <f>IFERROR(INDEX('Source Review'!$B$2:$B$52,MATCH($A136,'Source Review'!$A$2:$A$52,0)),"NOT SOURCE-REVIEWED IN THIS PASS")</f>
        <v>NOT SOURCE-REVIEWED IN THIS PASS</v>
      </c>
      <c r="AV136" s="5" t="str">
        <f>IFERROR(INDEX('Source Review'!$F$2:$F$52,MATCH($A136,'Source Review'!$A$2:$A$52,0)),"")</f>
        <v/>
      </c>
      <c r="AW136" s="5" t="str">
        <f>IFERROR(INDEX('Source Review'!$G$2:$G$52,MATCH($A136,'Source Review'!$A$2:$A$52,0)),"")</f>
        <v/>
      </c>
      <c r="AX136" s="5" t="str">
        <f>IFERROR(INDEX('Source Review'!$H$2:$H$52,MATCH($A136,'Source Review'!$A$2:$A$52,0)),"")</f>
        <v/>
      </c>
      <c r="AY136" s="2" t="str">
        <f>IF(COUNTIF('Source Review'!$A$2:$A$52,$A136)&gt;0,"UNCONFIRMED REVIEW ESTIMATE - not P80 or elapsed","NOT ESTIMATED IN THIS PASS")</f>
        <v>NOT ESTIMATED IN THIS PASS</v>
      </c>
      <c r="AZ136" s="2" t="str">
        <f>IFERROR(INDEX('Source Review'!$I$2:$I$52,MATCH($A136,'Source Review'!$A$2:$A$52,0)),"")</f>
        <v/>
      </c>
      <c r="BA136" s="2" t="str">
        <f>IFERROR(INDEX('Source Review'!$E$2:$E$52,MATCH($A136,'Source Review'!$A$2:$A$52,0)),"")</f>
        <v/>
      </c>
      <c r="BB136" s="2" t="str">
        <f>IF(COUNTIF('Source Review'!$A$2:$A$52,$A136)&gt;0,"14-Sep-2026 snapshot; later closure evidence separate; no live HEAD verification","")</f>
        <v/>
      </c>
    </row>
    <row r="137" spans="1:54" ht="75.95" hidden="1" customHeight="1">
      <c r="A137" s="2" t="s">
        <v>1479</v>
      </c>
      <c r="B137" s="2" t="s">
        <v>1243</v>
      </c>
      <c r="C137" s="2" t="s">
        <v>858</v>
      </c>
      <c r="D137" s="2" t="s">
        <v>1480</v>
      </c>
      <c r="E137" s="2" t="s">
        <v>860</v>
      </c>
      <c r="F137" s="2" t="s">
        <v>1467</v>
      </c>
      <c r="G137" s="2" t="s">
        <v>113</v>
      </c>
      <c r="H137" s="2" t="s">
        <v>1481</v>
      </c>
      <c r="I137" s="2" t="s">
        <v>1482</v>
      </c>
      <c r="J137" s="65">
        <v>12</v>
      </c>
      <c r="K137" s="94" t="s">
        <v>455</v>
      </c>
      <c r="L137" s="2" t="s">
        <v>293</v>
      </c>
      <c r="M137" s="2" t="s">
        <v>1483</v>
      </c>
      <c r="N137" s="2" t="s">
        <v>1484</v>
      </c>
      <c r="O137" s="2" t="s">
        <v>1249</v>
      </c>
      <c r="P137" s="2" t="s">
        <v>1250</v>
      </c>
      <c r="Q137" s="2" t="s">
        <v>1472</v>
      </c>
      <c r="R137" s="65">
        <v>1.7999999999999998</v>
      </c>
      <c r="S137" s="2" t="s">
        <v>1473</v>
      </c>
      <c r="T137" s="2" t="s">
        <v>1485</v>
      </c>
      <c r="U137" s="2" t="s">
        <v>1475</v>
      </c>
      <c r="V137" s="2" t="s">
        <v>126</v>
      </c>
      <c r="W137" s="2" t="s">
        <v>1476</v>
      </c>
      <c r="X137" s="2" t="s">
        <v>1477</v>
      </c>
      <c r="Y137" s="33"/>
      <c r="Z137" s="9"/>
      <c r="AA137" s="2" t="s">
        <v>345</v>
      </c>
      <c r="AB137" s="2" t="s">
        <v>1020</v>
      </c>
      <c r="AC137" s="2" t="s">
        <v>1486</v>
      </c>
      <c r="AD137" s="2" t="s">
        <v>179</v>
      </c>
      <c r="AE137" s="2" t="s">
        <v>191</v>
      </c>
      <c r="AF137" s="2" t="s">
        <v>134</v>
      </c>
      <c r="AG137" s="2" t="s">
        <v>1254</v>
      </c>
      <c r="AH137" s="2" t="s">
        <v>136</v>
      </c>
      <c r="AI137" s="2" t="str">
        <f t="shared" si="16"/>
        <v/>
      </c>
      <c r="AJ137" s="2" t="s">
        <v>137</v>
      </c>
      <c r="AK137" s="2" t="s">
        <v>138</v>
      </c>
      <c r="AL137" s="2" t="s">
        <v>139</v>
      </c>
      <c r="AM137" s="2">
        <f t="shared" si="17"/>
        <v>1</v>
      </c>
      <c r="AN137" s="2"/>
      <c r="AO137" s="32" t="s">
        <v>462</v>
      </c>
      <c r="AP137" s="32" t="s">
        <v>141</v>
      </c>
      <c r="AQ137" s="32"/>
      <c r="AR137" s="32" t="s">
        <v>142</v>
      </c>
      <c r="AS137" s="65">
        <f t="shared" si="18"/>
        <v>12</v>
      </c>
      <c r="AT137" s="65">
        <f t="shared" si="19"/>
        <v>1.7999999999999998</v>
      </c>
      <c r="AU137" s="2" t="str">
        <f>IFERROR(INDEX('Source Review'!$B$2:$B$52,MATCH($A137,'Source Review'!$A$2:$A$52,0)),"NOT SOURCE-REVIEWED IN THIS PASS")</f>
        <v>NOT SOURCE-REVIEWED IN THIS PASS</v>
      </c>
      <c r="AV137" s="5" t="str">
        <f>IFERROR(INDEX('Source Review'!$F$2:$F$52,MATCH($A137,'Source Review'!$A$2:$A$52,0)),"")</f>
        <v/>
      </c>
      <c r="AW137" s="5" t="str">
        <f>IFERROR(INDEX('Source Review'!$G$2:$G$52,MATCH($A137,'Source Review'!$A$2:$A$52,0)),"")</f>
        <v/>
      </c>
      <c r="AX137" s="5" t="str">
        <f>IFERROR(INDEX('Source Review'!$H$2:$H$52,MATCH($A137,'Source Review'!$A$2:$A$52,0)),"")</f>
        <v/>
      </c>
      <c r="AY137" s="2" t="str">
        <f>IF(COUNTIF('Source Review'!$A$2:$A$52,$A137)&gt;0,"UNCONFIRMED REVIEW ESTIMATE - not P80 or elapsed","NOT ESTIMATED IN THIS PASS")</f>
        <v>NOT ESTIMATED IN THIS PASS</v>
      </c>
      <c r="AZ137" s="2" t="str">
        <f>IFERROR(INDEX('Source Review'!$I$2:$I$52,MATCH($A137,'Source Review'!$A$2:$A$52,0)),"")</f>
        <v/>
      </c>
      <c r="BA137" s="2" t="str">
        <f>IFERROR(INDEX('Source Review'!$E$2:$E$52,MATCH($A137,'Source Review'!$A$2:$A$52,0)),"")</f>
        <v/>
      </c>
      <c r="BB137" s="2" t="str">
        <f>IF(COUNTIF('Source Review'!$A$2:$A$52,$A137)&gt;0,"14-Sep-2026 snapshot; later closure evidence separate; no live HEAD verification","")</f>
        <v/>
      </c>
    </row>
    <row r="138" spans="1:54" ht="75.95" hidden="1" customHeight="1">
      <c r="A138" s="2" t="s">
        <v>1487</v>
      </c>
      <c r="B138" s="2" t="s">
        <v>1243</v>
      </c>
      <c r="C138" s="2" t="s">
        <v>858</v>
      </c>
      <c r="D138" s="2" t="s">
        <v>1488</v>
      </c>
      <c r="E138" s="2" t="s">
        <v>860</v>
      </c>
      <c r="F138" s="2" t="s">
        <v>1489</v>
      </c>
      <c r="G138" s="2" t="s">
        <v>113</v>
      </c>
      <c r="H138" s="2" t="s">
        <v>1490</v>
      </c>
      <c r="I138" s="2" t="s">
        <v>1491</v>
      </c>
      <c r="J138" s="65">
        <v>12</v>
      </c>
      <c r="K138" s="94" t="s">
        <v>455</v>
      </c>
      <c r="L138" s="2" t="s">
        <v>293</v>
      </c>
      <c r="M138" s="2" t="s">
        <v>1483</v>
      </c>
      <c r="N138" s="2" t="s">
        <v>1492</v>
      </c>
      <c r="O138" s="2" t="s">
        <v>1249</v>
      </c>
      <c r="P138" s="2" t="s">
        <v>1250</v>
      </c>
      <c r="Q138" s="2" t="s">
        <v>1472</v>
      </c>
      <c r="R138" s="65">
        <v>1.7999999999999998</v>
      </c>
      <c r="S138" s="2" t="s">
        <v>1473</v>
      </c>
      <c r="T138" s="2" t="s">
        <v>1485</v>
      </c>
      <c r="U138" s="2" t="s">
        <v>1475</v>
      </c>
      <c r="V138" s="2" t="s">
        <v>126</v>
      </c>
      <c r="W138" s="2" t="s">
        <v>1476</v>
      </c>
      <c r="X138" s="2" t="s">
        <v>1477</v>
      </c>
      <c r="Y138" s="33"/>
      <c r="Z138" s="9"/>
      <c r="AA138" s="2" t="s">
        <v>872</v>
      </c>
      <c r="AB138" s="2" t="s">
        <v>873</v>
      </c>
      <c r="AC138" s="2"/>
      <c r="AD138" s="2" t="s">
        <v>179</v>
      </c>
      <c r="AE138" s="2" t="s">
        <v>198</v>
      </c>
      <c r="AF138" s="2" t="s">
        <v>134</v>
      </c>
      <c r="AG138" s="2" t="s">
        <v>1254</v>
      </c>
      <c r="AH138" s="2" t="s">
        <v>136</v>
      </c>
      <c r="AI138" s="2" t="str">
        <f t="shared" si="16"/>
        <v/>
      </c>
      <c r="AJ138" s="2" t="s">
        <v>137</v>
      </c>
      <c r="AK138" s="2" t="s">
        <v>138</v>
      </c>
      <c r="AL138" s="2" t="s">
        <v>139</v>
      </c>
      <c r="AM138" s="2">
        <f t="shared" si="17"/>
        <v>1</v>
      </c>
      <c r="AN138" s="2"/>
      <c r="AO138" s="32" t="s">
        <v>462</v>
      </c>
      <c r="AP138" s="32" t="s">
        <v>141</v>
      </c>
      <c r="AQ138" s="32"/>
      <c r="AR138" s="32" t="s">
        <v>142</v>
      </c>
      <c r="AS138" s="65">
        <f t="shared" si="18"/>
        <v>12</v>
      </c>
      <c r="AT138" s="65">
        <f t="shared" si="19"/>
        <v>1.7999999999999998</v>
      </c>
      <c r="AU138" s="2" t="str">
        <f>IFERROR(INDEX('Source Review'!$B$2:$B$52,MATCH($A138,'Source Review'!$A$2:$A$52,0)),"NOT SOURCE-REVIEWED IN THIS PASS")</f>
        <v>NOT SOURCE-REVIEWED IN THIS PASS</v>
      </c>
      <c r="AV138" s="5" t="str">
        <f>IFERROR(INDEX('Source Review'!$F$2:$F$52,MATCH($A138,'Source Review'!$A$2:$A$52,0)),"")</f>
        <v/>
      </c>
      <c r="AW138" s="5" t="str">
        <f>IFERROR(INDEX('Source Review'!$G$2:$G$52,MATCH($A138,'Source Review'!$A$2:$A$52,0)),"")</f>
        <v/>
      </c>
      <c r="AX138" s="5" t="str">
        <f>IFERROR(INDEX('Source Review'!$H$2:$H$52,MATCH($A138,'Source Review'!$A$2:$A$52,0)),"")</f>
        <v/>
      </c>
      <c r="AY138" s="2" t="str">
        <f>IF(COUNTIF('Source Review'!$A$2:$A$52,$A138)&gt;0,"UNCONFIRMED REVIEW ESTIMATE - not P80 or elapsed","NOT ESTIMATED IN THIS PASS")</f>
        <v>NOT ESTIMATED IN THIS PASS</v>
      </c>
      <c r="AZ138" s="2" t="str">
        <f>IFERROR(INDEX('Source Review'!$I$2:$I$52,MATCH($A138,'Source Review'!$A$2:$A$52,0)),"")</f>
        <v/>
      </c>
      <c r="BA138" s="2" t="str">
        <f>IFERROR(INDEX('Source Review'!$E$2:$E$52,MATCH($A138,'Source Review'!$A$2:$A$52,0)),"")</f>
        <v/>
      </c>
      <c r="BB138" s="2" t="str">
        <f>IF(COUNTIF('Source Review'!$A$2:$A$52,$A138)&gt;0,"14-Sep-2026 snapshot; later closure evidence separate; no live HEAD verification","")</f>
        <v/>
      </c>
    </row>
    <row r="139" spans="1:54" ht="75.95" hidden="1" customHeight="1">
      <c r="A139" s="2" t="s">
        <v>1493</v>
      </c>
      <c r="B139" s="2" t="s">
        <v>1243</v>
      </c>
      <c r="C139" s="2" t="s">
        <v>858</v>
      </c>
      <c r="D139" s="2" t="s">
        <v>1494</v>
      </c>
      <c r="E139" s="2" t="s">
        <v>860</v>
      </c>
      <c r="F139" s="2" t="s">
        <v>1495</v>
      </c>
      <c r="G139" s="2" t="s">
        <v>113</v>
      </c>
      <c r="H139" s="2" t="s">
        <v>1496</v>
      </c>
      <c r="I139" s="2" t="s">
        <v>1497</v>
      </c>
      <c r="J139" s="65">
        <v>12</v>
      </c>
      <c r="K139" s="94" t="s">
        <v>455</v>
      </c>
      <c r="L139" s="2" t="s">
        <v>293</v>
      </c>
      <c r="M139" s="2" t="s">
        <v>1498</v>
      </c>
      <c r="N139" s="2" t="s">
        <v>1499</v>
      </c>
      <c r="O139" s="2" t="s">
        <v>1249</v>
      </c>
      <c r="P139" s="2" t="s">
        <v>1250</v>
      </c>
      <c r="Q139" s="2" t="s">
        <v>1472</v>
      </c>
      <c r="R139" s="65">
        <v>1.7999999999999998</v>
      </c>
      <c r="S139" s="2" t="s">
        <v>1473</v>
      </c>
      <c r="T139" s="2" t="s">
        <v>1500</v>
      </c>
      <c r="U139" s="2" t="s">
        <v>1475</v>
      </c>
      <c r="V139" s="2" t="s">
        <v>126</v>
      </c>
      <c r="W139" s="2" t="s">
        <v>1476</v>
      </c>
      <c r="X139" s="2" t="s">
        <v>1477</v>
      </c>
      <c r="Y139" s="33"/>
      <c r="Z139" s="9"/>
      <c r="AA139" s="2" t="s">
        <v>1501</v>
      </c>
      <c r="AB139" s="2" t="s">
        <v>1502</v>
      </c>
      <c r="AC139" s="2"/>
      <c r="AD139" s="2" t="s">
        <v>179</v>
      </c>
      <c r="AE139" s="2" t="s">
        <v>198</v>
      </c>
      <c r="AF139" s="2" t="s">
        <v>134</v>
      </c>
      <c r="AG139" s="2" t="s">
        <v>1254</v>
      </c>
      <c r="AH139" s="2" t="s">
        <v>136</v>
      </c>
      <c r="AI139" s="2" t="str">
        <f t="shared" si="16"/>
        <v/>
      </c>
      <c r="AJ139" s="2" t="s">
        <v>137</v>
      </c>
      <c r="AK139" s="2" t="s">
        <v>138</v>
      </c>
      <c r="AL139" s="2" t="s">
        <v>139</v>
      </c>
      <c r="AM139" s="2">
        <f t="shared" si="17"/>
        <v>1</v>
      </c>
      <c r="AN139" s="2"/>
      <c r="AO139" s="32" t="s">
        <v>462</v>
      </c>
      <c r="AP139" s="32" t="s">
        <v>141</v>
      </c>
      <c r="AQ139" s="32"/>
      <c r="AR139" s="32" t="s">
        <v>142</v>
      </c>
      <c r="AS139" s="65">
        <f t="shared" si="18"/>
        <v>12</v>
      </c>
      <c r="AT139" s="65">
        <f t="shared" si="19"/>
        <v>1.7999999999999998</v>
      </c>
      <c r="AU139" s="2" t="str">
        <f>IFERROR(INDEX('Source Review'!$B$2:$B$52,MATCH($A139,'Source Review'!$A$2:$A$52,0)),"NOT SOURCE-REVIEWED IN THIS PASS")</f>
        <v>NOT SOURCE-REVIEWED IN THIS PASS</v>
      </c>
      <c r="AV139" s="5" t="str">
        <f>IFERROR(INDEX('Source Review'!$F$2:$F$52,MATCH($A139,'Source Review'!$A$2:$A$52,0)),"")</f>
        <v/>
      </c>
      <c r="AW139" s="5" t="str">
        <f>IFERROR(INDEX('Source Review'!$G$2:$G$52,MATCH($A139,'Source Review'!$A$2:$A$52,0)),"")</f>
        <v/>
      </c>
      <c r="AX139" s="5" t="str">
        <f>IFERROR(INDEX('Source Review'!$H$2:$H$52,MATCH($A139,'Source Review'!$A$2:$A$52,0)),"")</f>
        <v/>
      </c>
      <c r="AY139" s="2" t="str">
        <f>IF(COUNTIF('Source Review'!$A$2:$A$52,$A139)&gt;0,"UNCONFIRMED REVIEW ESTIMATE - not P80 or elapsed","NOT ESTIMATED IN THIS PASS")</f>
        <v>NOT ESTIMATED IN THIS PASS</v>
      </c>
      <c r="AZ139" s="2" t="str">
        <f>IFERROR(INDEX('Source Review'!$I$2:$I$52,MATCH($A139,'Source Review'!$A$2:$A$52,0)),"")</f>
        <v/>
      </c>
      <c r="BA139" s="2" t="str">
        <f>IFERROR(INDEX('Source Review'!$E$2:$E$52,MATCH($A139,'Source Review'!$A$2:$A$52,0)),"")</f>
        <v/>
      </c>
      <c r="BB139" s="2" t="str">
        <f>IF(COUNTIF('Source Review'!$A$2:$A$52,$A139)&gt;0,"14-Sep-2026 snapshot; later closure evidence separate; no live HEAD verification","")</f>
        <v/>
      </c>
    </row>
    <row r="140" spans="1:54" ht="75.95" hidden="1" customHeight="1">
      <c r="A140" s="2" t="s">
        <v>1503</v>
      </c>
      <c r="B140" s="2" t="s">
        <v>1243</v>
      </c>
      <c r="C140" s="2" t="s">
        <v>858</v>
      </c>
      <c r="D140" s="2" t="s">
        <v>1504</v>
      </c>
      <c r="E140" s="2" t="s">
        <v>860</v>
      </c>
      <c r="F140" s="2" t="s">
        <v>1495</v>
      </c>
      <c r="G140" s="2" t="s">
        <v>113</v>
      </c>
      <c r="H140" s="2" t="s">
        <v>1505</v>
      </c>
      <c r="I140" s="2" t="s">
        <v>1506</v>
      </c>
      <c r="J140" s="65">
        <v>12</v>
      </c>
      <c r="K140" s="94" t="s">
        <v>455</v>
      </c>
      <c r="L140" s="2" t="s">
        <v>293</v>
      </c>
      <c r="M140" s="2" t="s">
        <v>1493</v>
      </c>
      <c r="N140" s="2" t="s">
        <v>1507</v>
      </c>
      <c r="O140" s="2" t="s">
        <v>1249</v>
      </c>
      <c r="P140" s="2" t="s">
        <v>1250</v>
      </c>
      <c r="Q140" s="2" t="s">
        <v>1472</v>
      </c>
      <c r="R140" s="65">
        <v>1.7999999999999998</v>
      </c>
      <c r="S140" s="2" t="s">
        <v>1473</v>
      </c>
      <c r="T140" s="2" t="s">
        <v>1493</v>
      </c>
      <c r="U140" s="2" t="s">
        <v>1475</v>
      </c>
      <c r="V140" s="2" t="s">
        <v>126</v>
      </c>
      <c r="W140" s="2" t="s">
        <v>1476</v>
      </c>
      <c r="X140" s="2" t="s">
        <v>1477</v>
      </c>
      <c r="Y140" s="33"/>
      <c r="Z140" s="9"/>
      <c r="AA140" s="2" t="s">
        <v>1501</v>
      </c>
      <c r="AB140" s="2" t="s">
        <v>1502</v>
      </c>
      <c r="AC140" s="2"/>
      <c r="AD140" s="2" t="s">
        <v>179</v>
      </c>
      <c r="AE140" s="2" t="s">
        <v>198</v>
      </c>
      <c r="AF140" s="2" t="s">
        <v>134</v>
      </c>
      <c r="AG140" s="2" t="s">
        <v>1254</v>
      </c>
      <c r="AH140" s="2" t="s">
        <v>136</v>
      </c>
      <c r="AI140" s="2" t="str">
        <f t="shared" si="16"/>
        <v/>
      </c>
      <c r="AJ140" s="2" t="s">
        <v>137</v>
      </c>
      <c r="AK140" s="2" t="s">
        <v>138</v>
      </c>
      <c r="AL140" s="2" t="s">
        <v>139</v>
      </c>
      <c r="AM140" s="2">
        <f t="shared" si="17"/>
        <v>1</v>
      </c>
      <c r="AN140" s="2"/>
      <c r="AO140" s="32" t="s">
        <v>462</v>
      </c>
      <c r="AP140" s="32" t="s">
        <v>141</v>
      </c>
      <c r="AQ140" s="32"/>
      <c r="AR140" s="32" t="s">
        <v>142</v>
      </c>
      <c r="AS140" s="65">
        <f t="shared" si="18"/>
        <v>12</v>
      </c>
      <c r="AT140" s="65">
        <f t="shared" si="19"/>
        <v>1.7999999999999998</v>
      </c>
      <c r="AU140" s="2" t="str">
        <f>IFERROR(INDEX('Source Review'!$B$2:$B$52,MATCH($A140,'Source Review'!$A$2:$A$52,0)),"NOT SOURCE-REVIEWED IN THIS PASS")</f>
        <v>NOT SOURCE-REVIEWED IN THIS PASS</v>
      </c>
      <c r="AV140" s="5" t="str">
        <f>IFERROR(INDEX('Source Review'!$F$2:$F$52,MATCH($A140,'Source Review'!$A$2:$A$52,0)),"")</f>
        <v/>
      </c>
      <c r="AW140" s="5" t="str">
        <f>IFERROR(INDEX('Source Review'!$G$2:$G$52,MATCH($A140,'Source Review'!$A$2:$A$52,0)),"")</f>
        <v/>
      </c>
      <c r="AX140" s="5" t="str">
        <f>IFERROR(INDEX('Source Review'!$H$2:$H$52,MATCH($A140,'Source Review'!$A$2:$A$52,0)),"")</f>
        <v/>
      </c>
      <c r="AY140" s="2" t="str">
        <f>IF(COUNTIF('Source Review'!$A$2:$A$52,$A140)&gt;0,"UNCONFIRMED REVIEW ESTIMATE - not P80 or elapsed","NOT ESTIMATED IN THIS PASS")</f>
        <v>NOT ESTIMATED IN THIS PASS</v>
      </c>
      <c r="AZ140" s="2" t="str">
        <f>IFERROR(INDEX('Source Review'!$I$2:$I$52,MATCH($A140,'Source Review'!$A$2:$A$52,0)),"")</f>
        <v/>
      </c>
      <c r="BA140" s="2" t="str">
        <f>IFERROR(INDEX('Source Review'!$E$2:$E$52,MATCH($A140,'Source Review'!$A$2:$A$52,0)),"")</f>
        <v/>
      </c>
      <c r="BB140" s="2" t="str">
        <f>IF(COUNTIF('Source Review'!$A$2:$A$52,$A140)&gt;0,"14-Sep-2026 snapshot; later closure evidence separate; no live HEAD verification","")</f>
        <v/>
      </c>
    </row>
    <row r="141" spans="1:54" ht="75.95" hidden="1" customHeight="1">
      <c r="A141" s="2" t="s">
        <v>1508</v>
      </c>
      <c r="B141" s="2" t="s">
        <v>1243</v>
      </c>
      <c r="C141" s="2" t="s">
        <v>858</v>
      </c>
      <c r="D141" s="2" t="s">
        <v>1509</v>
      </c>
      <c r="E141" s="2" t="s">
        <v>860</v>
      </c>
      <c r="F141" s="2" t="s">
        <v>1495</v>
      </c>
      <c r="G141" s="2" t="s">
        <v>160</v>
      </c>
      <c r="H141" s="2" t="s">
        <v>1510</v>
      </c>
      <c r="I141" s="2" t="s">
        <v>1511</v>
      </c>
      <c r="J141" s="65">
        <v>12</v>
      </c>
      <c r="K141" s="94" t="s">
        <v>455</v>
      </c>
      <c r="L141" s="2" t="s">
        <v>293</v>
      </c>
      <c r="M141" s="2" t="s">
        <v>1512</v>
      </c>
      <c r="N141" s="2" t="s">
        <v>1513</v>
      </c>
      <c r="O141" s="2" t="s">
        <v>1249</v>
      </c>
      <c r="P141" s="2" t="s">
        <v>1250</v>
      </c>
      <c r="Q141" s="2" t="s">
        <v>1472</v>
      </c>
      <c r="R141" s="65">
        <v>1.7999999999999998</v>
      </c>
      <c r="S141" s="2" t="s">
        <v>1473</v>
      </c>
      <c r="T141" s="2" t="s">
        <v>1514</v>
      </c>
      <c r="U141" s="2" t="s">
        <v>1475</v>
      </c>
      <c r="V141" s="2" t="s">
        <v>126</v>
      </c>
      <c r="W141" s="2" t="s">
        <v>1476</v>
      </c>
      <c r="X141" s="2" t="s">
        <v>1477</v>
      </c>
      <c r="Y141" s="33"/>
      <c r="Z141" s="9"/>
      <c r="AA141" s="2" t="s">
        <v>1501</v>
      </c>
      <c r="AB141" s="2" t="s">
        <v>1502</v>
      </c>
      <c r="AC141" s="2"/>
      <c r="AD141" s="2" t="s">
        <v>179</v>
      </c>
      <c r="AE141" s="2" t="s">
        <v>191</v>
      </c>
      <c r="AF141" s="2" t="s">
        <v>134</v>
      </c>
      <c r="AG141" s="2" t="s">
        <v>1254</v>
      </c>
      <c r="AH141" s="2" t="s">
        <v>136</v>
      </c>
      <c r="AI141" s="2" t="str">
        <f t="shared" si="16"/>
        <v/>
      </c>
      <c r="AJ141" s="2" t="s">
        <v>137</v>
      </c>
      <c r="AK141" s="2" t="s">
        <v>138</v>
      </c>
      <c r="AL141" s="2" t="s">
        <v>139</v>
      </c>
      <c r="AM141" s="2">
        <f t="shared" si="17"/>
        <v>1</v>
      </c>
      <c r="AN141" s="2"/>
      <c r="AO141" s="32" t="s">
        <v>462</v>
      </c>
      <c r="AP141" s="32" t="s">
        <v>141</v>
      </c>
      <c r="AQ141" s="32"/>
      <c r="AR141" s="32" t="s">
        <v>142</v>
      </c>
      <c r="AS141" s="65">
        <f t="shared" si="18"/>
        <v>12</v>
      </c>
      <c r="AT141" s="65">
        <f t="shared" si="19"/>
        <v>1.7999999999999998</v>
      </c>
      <c r="AU141" s="2" t="str">
        <f>IFERROR(INDEX('Source Review'!$B$2:$B$52,MATCH($A141,'Source Review'!$A$2:$A$52,0)),"NOT SOURCE-REVIEWED IN THIS PASS")</f>
        <v>NOT SOURCE-REVIEWED IN THIS PASS</v>
      </c>
      <c r="AV141" s="5" t="str">
        <f>IFERROR(INDEX('Source Review'!$F$2:$F$52,MATCH($A141,'Source Review'!$A$2:$A$52,0)),"")</f>
        <v/>
      </c>
      <c r="AW141" s="5" t="str">
        <f>IFERROR(INDEX('Source Review'!$G$2:$G$52,MATCH($A141,'Source Review'!$A$2:$A$52,0)),"")</f>
        <v/>
      </c>
      <c r="AX141" s="5" t="str">
        <f>IFERROR(INDEX('Source Review'!$H$2:$H$52,MATCH($A141,'Source Review'!$A$2:$A$52,0)),"")</f>
        <v/>
      </c>
      <c r="AY141" s="2" t="str">
        <f>IF(COUNTIF('Source Review'!$A$2:$A$52,$A141)&gt;0,"UNCONFIRMED REVIEW ESTIMATE - not P80 or elapsed","NOT ESTIMATED IN THIS PASS")</f>
        <v>NOT ESTIMATED IN THIS PASS</v>
      </c>
      <c r="AZ141" s="2" t="str">
        <f>IFERROR(INDEX('Source Review'!$I$2:$I$52,MATCH($A141,'Source Review'!$A$2:$A$52,0)),"")</f>
        <v/>
      </c>
      <c r="BA141" s="2" t="str">
        <f>IFERROR(INDEX('Source Review'!$E$2:$E$52,MATCH($A141,'Source Review'!$A$2:$A$52,0)),"")</f>
        <v/>
      </c>
      <c r="BB141" s="2" t="str">
        <f>IF(COUNTIF('Source Review'!$A$2:$A$52,$A141)&gt;0,"14-Sep-2026 snapshot; later closure evidence separate; no live HEAD verification","")</f>
        <v/>
      </c>
    </row>
    <row r="142" spans="1:54" ht="75.95" hidden="1" customHeight="1">
      <c r="A142" s="2" t="s">
        <v>1515</v>
      </c>
      <c r="B142" s="2" t="s">
        <v>1243</v>
      </c>
      <c r="C142" s="2" t="s">
        <v>858</v>
      </c>
      <c r="D142" s="2" t="s">
        <v>1516</v>
      </c>
      <c r="E142" s="2" t="s">
        <v>860</v>
      </c>
      <c r="F142" s="2" t="s">
        <v>1467</v>
      </c>
      <c r="G142" s="2" t="s">
        <v>113</v>
      </c>
      <c r="H142" s="2" t="s">
        <v>1517</v>
      </c>
      <c r="I142" s="2" t="s">
        <v>1518</v>
      </c>
      <c r="J142" s="65">
        <v>12</v>
      </c>
      <c r="K142" s="94" t="s">
        <v>455</v>
      </c>
      <c r="L142" s="2" t="s">
        <v>293</v>
      </c>
      <c r="M142" s="2" t="s">
        <v>1519</v>
      </c>
      <c r="N142" s="2" t="s">
        <v>1520</v>
      </c>
      <c r="O142" s="2" t="s">
        <v>1249</v>
      </c>
      <c r="P142" s="2" t="s">
        <v>1250</v>
      </c>
      <c r="Q142" s="2" t="s">
        <v>1472</v>
      </c>
      <c r="R142" s="65">
        <v>1.7999999999999998</v>
      </c>
      <c r="S142" s="2" t="s">
        <v>1473</v>
      </c>
      <c r="T142" s="2" t="s">
        <v>1521</v>
      </c>
      <c r="U142" s="2" t="s">
        <v>1475</v>
      </c>
      <c r="V142" s="2" t="s">
        <v>126</v>
      </c>
      <c r="W142" s="2" t="s">
        <v>1476</v>
      </c>
      <c r="X142" s="2" t="s">
        <v>1477</v>
      </c>
      <c r="Y142" s="33"/>
      <c r="Z142" s="9"/>
      <c r="AA142" s="2" t="s">
        <v>345</v>
      </c>
      <c r="AB142" s="2" t="s">
        <v>1020</v>
      </c>
      <c r="AC142" s="2" t="s">
        <v>591</v>
      </c>
      <c r="AD142" s="2" t="s">
        <v>179</v>
      </c>
      <c r="AE142" s="2" t="s">
        <v>198</v>
      </c>
      <c r="AF142" s="2" t="s">
        <v>134</v>
      </c>
      <c r="AG142" s="2" t="s">
        <v>1254</v>
      </c>
      <c r="AH142" s="2" t="s">
        <v>136</v>
      </c>
      <c r="AI142" s="2" t="str">
        <f t="shared" si="16"/>
        <v/>
      </c>
      <c r="AJ142" s="2" t="s">
        <v>137</v>
      </c>
      <c r="AK142" s="2" t="s">
        <v>138</v>
      </c>
      <c r="AL142" s="2" t="s">
        <v>139</v>
      </c>
      <c r="AM142" s="2">
        <f t="shared" si="17"/>
        <v>1</v>
      </c>
      <c r="AN142" s="2"/>
      <c r="AO142" s="32" t="s">
        <v>462</v>
      </c>
      <c r="AP142" s="32" t="s">
        <v>141</v>
      </c>
      <c r="AQ142" s="32"/>
      <c r="AR142" s="32" t="s">
        <v>142</v>
      </c>
      <c r="AS142" s="65">
        <f t="shared" si="18"/>
        <v>12</v>
      </c>
      <c r="AT142" s="65">
        <f t="shared" si="19"/>
        <v>1.7999999999999998</v>
      </c>
      <c r="AU142" s="2" t="str">
        <f>IFERROR(INDEX('Source Review'!$B$2:$B$52,MATCH($A142,'Source Review'!$A$2:$A$52,0)),"NOT SOURCE-REVIEWED IN THIS PASS")</f>
        <v>NOT SOURCE-REVIEWED IN THIS PASS</v>
      </c>
      <c r="AV142" s="5" t="str">
        <f>IFERROR(INDEX('Source Review'!$F$2:$F$52,MATCH($A142,'Source Review'!$A$2:$A$52,0)),"")</f>
        <v/>
      </c>
      <c r="AW142" s="5" t="str">
        <f>IFERROR(INDEX('Source Review'!$G$2:$G$52,MATCH($A142,'Source Review'!$A$2:$A$52,0)),"")</f>
        <v/>
      </c>
      <c r="AX142" s="5" t="str">
        <f>IFERROR(INDEX('Source Review'!$H$2:$H$52,MATCH($A142,'Source Review'!$A$2:$A$52,0)),"")</f>
        <v/>
      </c>
      <c r="AY142" s="2" t="str">
        <f>IF(COUNTIF('Source Review'!$A$2:$A$52,$A142)&gt;0,"UNCONFIRMED REVIEW ESTIMATE - not P80 or elapsed","NOT ESTIMATED IN THIS PASS")</f>
        <v>NOT ESTIMATED IN THIS PASS</v>
      </c>
      <c r="AZ142" s="2" t="str">
        <f>IFERROR(INDEX('Source Review'!$I$2:$I$52,MATCH($A142,'Source Review'!$A$2:$A$52,0)),"")</f>
        <v/>
      </c>
      <c r="BA142" s="2" t="str">
        <f>IFERROR(INDEX('Source Review'!$E$2:$E$52,MATCH($A142,'Source Review'!$A$2:$A$52,0)),"")</f>
        <v/>
      </c>
      <c r="BB142" s="2" t="str">
        <f>IF(COUNTIF('Source Review'!$A$2:$A$52,$A142)&gt;0,"14-Sep-2026 snapshot; later closure evidence separate; no live HEAD verification","")</f>
        <v/>
      </c>
    </row>
    <row r="143" spans="1:54" ht="75.95" hidden="1" customHeight="1">
      <c r="A143" s="2" t="s">
        <v>1522</v>
      </c>
      <c r="B143" s="2" t="s">
        <v>1243</v>
      </c>
      <c r="C143" s="2" t="s">
        <v>858</v>
      </c>
      <c r="D143" s="2" t="s">
        <v>1523</v>
      </c>
      <c r="E143" s="2" t="s">
        <v>145</v>
      </c>
      <c r="F143" s="2" t="s">
        <v>1467</v>
      </c>
      <c r="G143" s="2" t="s">
        <v>160</v>
      </c>
      <c r="H143" s="2" t="s">
        <v>1524</v>
      </c>
      <c r="I143" s="2" t="s">
        <v>1525</v>
      </c>
      <c r="J143" s="65">
        <v>10</v>
      </c>
      <c r="K143" s="94" t="s">
        <v>455</v>
      </c>
      <c r="L143" s="2" t="s">
        <v>293</v>
      </c>
      <c r="M143" s="2" t="s">
        <v>1526</v>
      </c>
      <c r="N143" s="2" t="s">
        <v>1527</v>
      </c>
      <c r="O143" s="2" t="s">
        <v>1249</v>
      </c>
      <c r="P143" s="2" t="s">
        <v>1250</v>
      </c>
      <c r="Q143" s="2" t="s">
        <v>151</v>
      </c>
      <c r="R143" s="65">
        <v>1.9375</v>
      </c>
      <c r="S143" s="2" t="s">
        <v>1473</v>
      </c>
      <c r="T143" s="2" t="s">
        <v>1528</v>
      </c>
      <c r="U143" s="2" t="s">
        <v>1475</v>
      </c>
      <c r="V143" s="2" t="s">
        <v>126</v>
      </c>
      <c r="W143" s="2" t="s">
        <v>1476</v>
      </c>
      <c r="X143" s="2" t="s">
        <v>1477</v>
      </c>
      <c r="Y143" s="33"/>
      <c r="Z143" s="9"/>
      <c r="AA143" s="2" t="s">
        <v>1115</v>
      </c>
      <c r="AB143" s="2" t="s">
        <v>1116</v>
      </c>
      <c r="AC143" s="2"/>
      <c r="AD143" s="2" t="s">
        <v>179</v>
      </c>
      <c r="AE143" s="2" t="s">
        <v>157</v>
      </c>
      <c r="AF143" s="2" t="s">
        <v>134</v>
      </c>
      <c r="AG143" s="2" t="s">
        <v>1254</v>
      </c>
      <c r="AH143" s="2" t="s">
        <v>136</v>
      </c>
      <c r="AI143" s="2" t="str">
        <f t="shared" si="16"/>
        <v/>
      </c>
      <c r="AJ143" s="2" t="s">
        <v>137</v>
      </c>
      <c r="AK143" s="2" t="s">
        <v>138</v>
      </c>
      <c r="AL143" s="2" t="s">
        <v>139</v>
      </c>
      <c r="AM143" s="2">
        <f t="shared" si="17"/>
        <v>1</v>
      </c>
      <c r="AN143" s="2"/>
      <c r="AO143" s="32" t="s">
        <v>462</v>
      </c>
      <c r="AP143" s="32" t="s">
        <v>141</v>
      </c>
      <c r="AQ143" s="32"/>
      <c r="AR143" s="32" t="s">
        <v>142</v>
      </c>
      <c r="AS143" s="65">
        <f t="shared" si="18"/>
        <v>10</v>
      </c>
      <c r="AT143" s="65">
        <f t="shared" si="19"/>
        <v>1.9375</v>
      </c>
      <c r="AU143" s="2" t="str">
        <f>IFERROR(INDEX('Source Review'!$B$2:$B$52,MATCH($A143,'Source Review'!$A$2:$A$52,0)),"NOT SOURCE-REVIEWED IN THIS PASS")</f>
        <v>NOT SOURCE-REVIEWED IN THIS PASS</v>
      </c>
      <c r="AV143" s="5" t="str">
        <f>IFERROR(INDEX('Source Review'!$F$2:$F$52,MATCH($A143,'Source Review'!$A$2:$A$52,0)),"")</f>
        <v/>
      </c>
      <c r="AW143" s="5" t="str">
        <f>IFERROR(INDEX('Source Review'!$G$2:$G$52,MATCH($A143,'Source Review'!$A$2:$A$52,0)),"")</f>
        <v/>
      </c>
      <c r="AX143" s="5" t="str">
        <f>IFERROR(INDEX('Source Review'!$H$2:$H$52,MATCH($A143,'Source Review'!$A$2:$A$52,0)),"")</f>
        <v/>
      </c>
      <c r="AY143" s="2" t="str">
        <f>IF(COUNTIF('Source Review'!$A$2:$A$52,$A143)&gt;0,"UNCONFIRMED REVIEW ESTIMATE - not P80 or elapsed","NOT ESTIMATED IN THIS PASS")</f>
        <v>NOT ESTIMATED IN THIS PASS</v>
      </c>
      <c r="AZ143" s="2" t="str">
        <f>IFERROR(INDEX('Source Review'!$I$2:$I$52,MATCH($A143,'Source Review'!$A$2:$A$52,0)),"")</f>
        <v/>
      </c>
      <c r="BA143" s="2" t="str">
        <f>IFERROR(INDEX('Source Review'!$E$2:$E$52,MATCH($A143,'Source Review'!$A$2:$A$52,0)),"")</f>
        <v/>
      </c>
      <c r="BB143" s="2" t="str">
        <f>IF(COUNTIF('Source Review'!$A$2:$A$52,$A143)&gt;0,"14-Sep-2026 snapshot; later closure evidence separate; no live HEAD verification","")</f>
        <v/>
      </c>
    </row>
    <row r="144" spans="1:54" ht="75.95" hidden="1" customHeight="1">
      <c r="A144" s="2" t="s">
        <v>1529</v>
      </c>
      <c r="B144" s="2" t="s">
        <v>1243</v>
      </c>
      <c r="C144" s="2" t="s">
        <v>858</v>
      </c>
      <c r="D144" s="2" t="s">
        <v>1530</v>
      </c>
      <c r="E144" s="2" t="s">
        <v>860</v>
      </c>
      <c r="F144" s="2" t="s">
        <v>1495</v>
      </c>
      <c r="G144" s="2" t="s">
        <v>674</v>
      </c>
      <c r="H144" s="2" t="s">
        <v>1531</v>
      </c>
      <c r="I144" s="2" t="s">
        <v>1532</v>
      </c>
      <c r="J144" s="65">
        <v>10</v>
      </c>
      <c r="K144" s="94" t="s">
        <v>455</v>
      </c>
      <c r="L144" s="2" t="s">
        <v>293</v>
      </c>
      <c r="M144" s="2" t="s">
        <v>1533</v>
      </c>
      <c r="N144" s="2"/>
      <c r="O144" s="2" t="s">
        <v>1249</v>
      </c>
      <c r="P144" s="2" t="s">
        <v>1250</v>
      </c>
      <c r="Q144" s="2" t="s">
        <v>1472</v>
      </c>
      <c r="R144" s="65">
        <v>1.5</v>
      </c>
      <c r="S144" s="2" t="s">
        <v>1473</v>
      </c>
      <c r="T144" s="2" t="s">
        <v>1534</v>
      </c>
      <c r="U144" s="2" t="s">
        <v>1475</v>
      </c>
      <c r="V144" s="2" t="s">
        <v>126</v>
      </c>
      <c r="W144" s="2" t="s">
        <v>1476</v>
      </c>
      <c r="X144" s="2" t="s">
        <v>1477</v>
      </c>
      <c r="Y144" s="33"/>
      <c r="Z144" s="9"/>
      <c r="AA144" s="2" t="s">
        <v>1501</v>
      </c>
      <c r="AB144" s="2" t="s">
        <v>1502</v>
      </c>
      <c r="AC144" s="2"/>
      <c r="AD144" s="2" t="s">
        <v>179</v>
      </c>
      <c r="AE144" s="2" t="s">
        <v>198</v>
      </c>
      <c r="AF144" s="2" t="s">
        <v>134</v>
      </c>
      <c r="AG144" s="2" t="s">
        <v>1254</v>
      </c>
      <c r="AH144" s="2" t="s">
        <v>136</v>
      </c>
      <c r="AI144" s="2" t="str">
        <f t="shared" si="16"/>
        <v/>
      </c>
      <c r="AJ144" s="2" t="s">
        <v>137</v>
      </c>
      <c r="AK144" s="2" t="s">
        <v>138</v>
      </c>
      <c r="AL144" s="2" t="s">
        <v>139</v>
      </c>
      <c r="AM144" s="2">
        <f t="shared" si="17"/>
        <v>1</v>
      </c>
      <c r="AN144" s="2"/>
      <c r="AO144" s="32" t="s">
        <v>462</v>
      </c>
      <c r="AP144" s="32" t="s">
        <v>141</v>
      </c>
      <c r="AQ144" s="32"/>
      <c r="AR144" s="32" t="s">
        <v>142</v>
      </c>
      <c r="AS144" s="65">
        <f t="shared" si="18"/>
        <v>10</v>
      </c>
      <c r="AT144" s="65">
        <f t="shared" si="19"/>
        <v>1.5</v>
      </c>
      <c r="AU144" s="2" t="str">
        <f>IFERROR(INDEX('Source Review'!$B$2:$B$52,MATCH($A144,'Source Review'!$A$2:$A$52,0)),"NOT SOURCE-REVIEWED IN THIS PASS")</f>
        <v>NOT SOURCE-REVIEWED IN THIS PASS</v>
      </c>
      <c r="AV144" s="5" t="str">
        <f>IFERROR(INDEX('Source Review'!$F$2:$F$52,MATCH($A144,'Source Review'!$A$2:$A$52,0)),"")</f>
        <v/>
      </c>
      <c r="AW144" s="5" t="str">
        <f>IFERROR(INDEX('Source Review'!$G$2:$G$52,MATCH($A144,'Source Review'!$A$2:$A$52,0)),"")</f>
        <v/>
      </c>
      <c r="AX144" s="5" t="str">
        <f>IFERROR(INDEX('Source Review'!$H$2:$H$52,MATCH($A144,'Source Review'!$A$2:$A$52,0)),"")</f>
        <v/>
      </c>
      <c r="AY144" s="2" t="str">
        <f>IF(COUNTIF('Source Review'!$A$2:$A$52,$A144)&gt;0,"UNCONFIRMED REVIEW ESTIMATE - not P80 or elapsed","NOT ESTIMATED IN THIS PASS")</f>
        <v>NOT ESTIMATED IN THIS PASS</v>
      </c>
      <c r="AZ144" s="2" t="str">
        <f>IFERROR(INDEX('Source Review'!$I$2:$I$52,MATCH($A144,'Source Review'!$A$2:$A$52,0)),"")</f>
        <v/>
      </c>
      <c r="BA144" s="2" t="str">
        <f>IFERROR(INDEX('Source Review'!$E$2:$E$52,MATCH($A144,'Source Review'!$A$2:$A$52,0)),"")</f>
        <v/>
      </c>
      <c r="BB144" s="2" t="str">
        <f>IF(COUNTIF('Source Review'!$A$2:$A$52,$A144)&gt;0,"14-Sep-2026 snapshot; later closure evidence separate; no live HEAD verification","")</f>
        <v/>
      </c>
    </row>
    <row r="145" spans="1:54" ht="75.95" hidden="1" customHeight="1">
      <c r="A145" s="2" t="s">
        <v>1535</v>
      </c>
      <c r="B145" s="2" t="s">
        <v>1243</v>
      </c>
      <c r="C145" s="2" t="s">
        <v>858</v>
      </c>
      <c r="D145" s="2" t="s">
        <v>1536</v>
      </c>
      <c r="E145" s="2" t="s">
        <v>860</v>
      </c>
      <c r="F145" s="2" t="s">
        <v>1537</v>
      </c>
      <c r="G145" s="2" t="s">
        <v>113</v>
      </c>
      <c r="H145" s="2" t="s">
        <v>1538</v>
      </c>
      <c r="I145" s="2" t="s">
        <v>1539</v>
      </c>
      <c r="J145" s="65">
        <v>12</v>
      </c>
      <c r="K145" s="94" t="s">
        <v>455</v>
      </c>
      <c r="L145" s="2" t="s">
        <v>293</v>
      </c>
      <c r="M145" s="2" t="s">
        <v>1540</v>
      </c>
      <c r="N145" s="2"/>
      <c r="O145" s="2" t="s">
        <v>1249</v>
      </c>
      <c r="P145" s="2" t="s">
        <v>1250</v>
      </c>
      <c r="Q145" s="2" t="s">
        <v>1472</v>
      </c>
      <c r="R145" s="65">
        <v>1.7999999999999998</v>
      </c>
      <c r="S145" s="2" t="s">
        <v>1473</v>
      </c>
      <c r="T145" s="2" t="s">
        <v>1541</v>
      </c>
      <c r="U145" s="2" t="s">
        <v>1475</v>
      </c>
      <c r="V145" s="2" t="s">
        <v>126</v>
      </c>
      <c r="W145" s="2" t="s">
        <v>1476</v>
      </c>
      <c r="X145" s="2" t="s">
        <v>1477</v>
      </c>
      <c r="Y145" s="33"/>
      <c r="Z145" s="9"/>
      <c r="AA145" s="2" t="s">
        <v>967</v>
      </c>
      <c r="AB145" s="2" t="s">
        <v>968</v>
      </c>
      <c r="AC145" s="2"/>
      <c r="AD145" s="2" t="s">
        <v>156</v>
      </c>
      <c r="AE145" s="2" t="s">
        <v>198</v>
      </c>
      <c r="AF145" s="2" t="s">
        <v>134</v>
      </c>
      <c r="AG145" s="2" t="s">
        <v>1254</v>
      </c>
      <c r="AH145" s="2" t="s">
        <v>136</v>
      </c>
      <c r="AI145" s="2" t="str">
        <f t="shared" si="16"/>
        <v/>
      </c>
      <c r="AJ145" s="2" t="s">
        <v>137</v>
      </c>
      <c r="AK145" s="2" t="s">
        <v>138</v>
      </c>
      <c r="AL145" s="2" t="s">
        <v>139</v>
      </c>
      <c r="AM145" s="2">
        <f t="shared" si="17"/>
        <v>1</v>
      </c>
      <c r="AN145" s="2"/>
      <c r="AO145" s="32" t="s">
        <v>462</v>
      </c>
      <c r="AP145" s="32" t="s">
        <v>141</v>
      </c>
      <c r="AQ145" s="32"/>
      <c r="AR145" s="32" t="s">
        <v>142</v>
      </c>
      <c r="AS145" s="65">
        <f t="shared" si="18"/>
        <v>12</v>
      </c>
      <c r="AT145" s="65">
        <f t="shared" si="19"/>
        <v>1.7999999999999998</v>
      </c>
      <c r="AU145" s="2" t="str">
        <f>IFERROR(INDEX('Source Review'!$B$2:$B$52,MATCH($A145,'Source Review'!$A$2:$A$52,0)),"NOT SOURCE-REVIEWED IN THIS PASS")</f>
        <v>NOT SOURCE-REVIEWED IN THIS PASS</v>
      </c>
      <c r="AV145" s="5" t="str">
        <f>IFERROR(INDEX('Source Review'!$F$2:$F$52,MATCH($A145,'Source Review'!$A$2:$A$52,0)),"")</f>
        <v/>
      </c>
      <c r="AW145" s="5" t="str">
        <f>IFERROR(INDEX('Source Review'!$G$2:$G$52,MATCH($A145,'Source Review'!$A$2:$A$52,0)),"")</f>
        <v/>
      </c>
      <c r="AX145" s="5" t="str">
        <f>IFERROR(INDEX('Source Review'!$H$2:$H$52,MATCH($A145,'Source Review'!$A$2:$A$52,0)),"")</f>
        <v/>
      </c>
      <c r="AY145" s="2" t="str">
        <f>IF(COUNTIF('Source Review'!$A$2:$A$52,$A145)&gt;0,"UNCONFIRMED REVIEW ESTIMATE - not P80 or elapsed","NOT ESTIMATED IN THIS PASS")</f>
        <v>NOT ESTIMATED IN THIS PASS</v>
      </c>
      <c r="AZ145" s="2" t="str">
        <f>IFERROR(INDEX('Source Review'!$I$2:$I$52,MATCH($A145,'Source Review'!$A$2:$A$52,0)),"")</f>
        <v/>
      </c>
      <c r="BA145" s="2" t="str">
        <f>IFERROR(INDEX('Source Review'!$E$2:$E$52,MATCH($A145,'Source Review'!$A$2:$A$52,0)),"")</f>
        <v/>
      </c>
      <c r="BB145" s="2" t="str">
        <f>IF(COUNTIF('Source Review'!$A$2:$A$52,$A145)&gt;0,"14-Sep-2026 snapshot; later closure evidence separate; no live HEAD verification","")</f>
        <v/>
      </c>
    </row>
    <row r="146" spans="1:54" ht="75.95" hidden="1" customHeight="1">
      <c r="A146" s="2" t="s">
        <v>1542</v>
      </c>
      <c r="B146" s="2" t="s">
        <v>1243</v>
      </c>
      <c r="C146" s="2" t="s">
        <v>858</v>
      </c>
      <c r="D146" s="2" t="s">
        <v>1543</v>
      </c>
      <c r="E146" s="2" t="s">
        <v>860</v>
      </c>
      <c r="F146" s="2" t="s">
        <v>1544</v>
      </c>
      <c r="G146" s="2" t="s">
        <v>113</v>
      </c>
      <c r="H146" s="2" t="s">
        <v>1545</v>
      </c>
      <c r="I146" s="2" t="s">
        <v>1546</v>
      </c>
      <c r="J146" s="65">
        <v>12</v>
      </c>
      <c r="K146" s="94" t="s">
        <v>455</v>
      </c>
      <c r="L146" s="2" t="s">
        <v>293</v>
      </c>
      <c r="M146" s="2" t="s">
        <v>1547</v>
      </c>
      <c r="N146" s="2" t="s">
        <v>1548</v>
      </c>
      <c r="O146" s="2" t="s">
        <v>1249</v>
      </c>
      <c r="P146" s="2" t="s">
        <v>1250</v>
      </c>
      <c r="Q146" s="2" t="s">
        <v>1472</v>
      </c>
      <c r="R146" s="65">
        <v>1.7999999999999998</v>
      </c>
      <c r="S146" s="2" t="s">
        <v>1473</v>
      </c>
      <c r="T146" s="2" t="s">
        <v>1549</v>
      </c>
      <c r="U146" s="2" t="s">
        <v>1475</v>
      </c>
      <c r="V146" s="2" t="s">
        <v>126</v>
      </c>
      <c r="W146" s="2" t="s">
        <v>1476</v>
      </c>
      <c r="X146" s="2" t="s">
        <v>1477</v>
      </c>
      <c r="Y146" s="33"/>
      <c r="Z146" s="9"/>
      <c r="AA146" s="2" t="s">
        <v>958</v>
      </c>
      <c r="AB146" s="2" t="s">
        <v>959</v>
      </c>
      <c r="AC146" s="2"/>
      <c r="AD146" s="2" t="s">
        <v>179</v>
      </c>
      <c r="AE146" s="2" t="s">
        <v>198</v>
      </c>
      <c r="AF146" s="2" t="s">
        <v>134</v>
      </c>
      <c r="AG146" s="2" t="s">
        <v>1254</v>
      </c>
      <c r="AH146" s="2" t="s">
        <v>136</v>
      </c>
      <c r="AI146" s="2" t="str">
        <f t="shared" si="16"/>
        <v/>
      </c>
      <c r="AJ146" s="2" t="s">
        <v>137</v>
      </c>
      <c r="AK146" s="2" t="s">
        <v>138</v>
      </c>
      <c r="AL146" s="2" t="s">
        <v>139</v>
      </c>
      <c r="AM146" s="2">
        <f t="shared" si="17"/>
        <v>1</v>
      </c>
      <c r="AN146" s="2"/>
      <c r="AO146" s="32" t="s">
        <v>462</v>
      </c>
      <c r="AP146" s="32" t="s">
        <v>141</v>
      </c>
      <c r="AQ146" s="32"/>
      <c r="AR146" s="32" t="s">
        <v>142</v>
      </c>
      <c r="AS146" s="65">
        <f t="shared" si="18"/>
        <v>12</v>
      </c>
      <c r="AT146" s="65">
        <f t="shared" si="19"/>
        <v>1.7999999999999998</v>
      </c>
      <c r="AU146" s="2" t="str">
        <f>IFERROR(INDEX('Source Review'!$B$2:$B$52,MATCH($A146,'Source Review'!$A$2:$A$52,0)),"NOT SOURCE-REVIEWED IN THIS PASS")</f>
        <v>NOT SOURCE-REVIEWED IN THIS PASS</v>
      </c>
      <c r="AV146" s="5" t="str">
        <f>IFERROR(INDEX('Source Review'!$F$2:$F$52,MATCH($A146,'Source Review'!$A$2:$A$52,0)),"")</f>
        <v/>
      </c>
      <c r="AW146" s="5" t="str">
        <f>IFERROR(INDEX('Source Review'!$G$2:$G$52,MATCH($A146,'Source Review'!$A$2:$A$52,0)),"")</f>
        <v/>
      </c>
      <c r="AX146" s="5" t="str">
        <f>IFERROR(INDEX('Source Review'!$H$2:$H$52,MATCH($A146,'Source Review'!$A$2:$A$52,0)),"")</f>
        <v/>
      </c>
      <c r="AY146" s="2" t="str">
        <f>IF(COUNTIF('Source Review'!$A$2:$A$52,$A146)&gt;0,"UNCONFIRMED REVIEW ESTIMATE - not P80 or elapsed","NOT ESTIMATED IN THIS PASS")</f>
        <v>NOT ESTIMATED IN THIS PASS</v>
      </c>
      <c r="AZ146" s="2" t="str">
        <f>IFERROR(INDEX('Source Review'!$I$2:$I$52,MATCH($A146,'Source Review'!$A$2:$A$52,0)),"")</f>
        <v/>
      </c>
      <c r="BA146" s="2" t="str">
        <f>IFERROR(INDEX('Source Review'!$E$2:$E$52,MATCH($A146,'Source Review'!$A$2:$A$52,0)),"")</f>
        <v/>
      </c>
      <c r="BB146" s="2" t="str">
        <f>IF(COUNTIF('Source Review'!$A$2:$A$52,$A146)&gt;0,"14-Sep-2026 snapshot; later closure evidence separate; no live HEAD verification","")</f>
        <v/>
      </c>
    </row>
    <row r="147" spans="1:54" ht="75.95" hidden="1" customHeight="1">
      <c r="A147" s="2" t="s">
        <v>1550</v>
      </c>
      <c r="B147" s="2" t="s">
        <v>1243</v>
      </c>
      <c r="C147" s="2" t="s">
        <v>858</v>
      </c>
      <c r="D147" s="2" t="s">
        <v>1551</v>
      </c>
      <c r="E147" s="2" t="s">
        <v>860</v>
      </c>
      <c r="F147" s="2" t="s">
        <v>1544</v>
      </c>
      <c r="G147" s="2" t="s">
        <v>113</v>
      </c>
      <c r="H147" s="2" t="s">
        <v>1552</v>
      </c>
      <c r="I147" s="2" t="s">
        <v>1553</v>
      </c>
      <c r="J147" s="65">
        <v>12</v>
      </c>
      <c r="K147" s="94" t="s">
        <v>455</v>
      </c>
      <c r="L147" s="2" t="s">
        <v>293</v>
      </c>
      <c r="M147" s="2" t="s">
        <v>1554</v>
      </c>
      <c r="N147" s="2" t="s">
        <v>1555</v>
      </c>
      <c r="O147" s="2" t="s">
        <v>1249</v>
      </c>
      <c r="P147" s="2" t="s">
        <v>1250</v>
      </c>
      <c r="Q147" s="2" t="s">
        <v>1472</v>
      </c>
      <c r="R147" s="65">
        <v>1.7999999999999998</v>
      </c>
      <c r="S147" s="2" t="s">
        <v>1473</v>
      </c>
      <c r="T147" s="2" t="s">
        <v>1556</v>
      </c>
      <c r="U147" s="2" t="s">
        <v>1475</v>
      </c>
      <c r="V147" s="2" t="s">
        <v>126</v>
      </c>
      <c r="W147" s="2" t="s">
        <v>1476</v>
      </c>
      <c r="X147" s="2" t="s">
        <v>1477</v>
      </c>
      <c r="Y147" s="33"/>
      <c r="Z147" s="9"/>
      <c r="AA147" s="2" t="s">
        <v>958</v>
      </c>
      <c r="AB147" s="2" t="s">
        <v>959</v>
      </c>
      <c r="AC147" s="2"/>
      <c r="AD147" s="2" t="s">
        <v>179</v>
      </c>
      <c r="AE147" s="2" t="s">
        <v>198</v>
      </c>
      <c r="AF147" s="2" t="s">
        <v>134</v>
      </c>
      <c r="AG147" s="2" t="s">
        <v>1254</v>
      </c>
      <c r="AH147" s="2" t="s">
        <v>136</v>
      </c>
      <c r="AI147" s="2" t="str">
        <f t="shared" si="16"/>
        <v/>
      </c>
      <c r="AJ147" s="2" t="s">
        <v>137</v>
      </c>
      <c r="AK147" s="2" t="s">
        <v>138</v>
      </c>
      <c r="AL147" s="2" t="s">
        <v>139</v>
      </c>
      <c r="AM147" s="2">
        <f t="shared" si="17"/>
        <v>1</v>
      </c>
      <c r="AN147" s="2"/>
      <c r="AO147" s="32" t="s">
        <v>462</v>
      </c>
      <c r="AP147" s="32" t="s">
        <v>141</v>
      </c>
      <c r="AQ147" s="32"/>
      <c r="AR147" s="32" t="s">
        <v>142</v>
      </c>
      <c r="AS147" s="65">
        <f t="shared" si="18"/>
        <v>12</v>
      </c>
      <c r="AT147" s="65">
        <f t="shared" si="19"/>
        <v>1.7999999999999998</v>
      </c>
      <c r="AU147" s="2" t="str">
        <f>IFERROR(INDEX('Source Review'!$B$2:$B$52,MATCH($A147,'Source Review'!$A$2:$A$52,0)),"NOT SOURCE-REVIEWED IN THIS PASS")</f>
        <v>NOT SOURCE-REVIEWED IN THIS PASS</v>
      </c>
      <c r="AV147" s="5" t="str">
        <f>IFERROR(INDEX('Source Review'!$F$2:$F$52,MATCH($A147,'Source Review'!$A$2:$A$52,0)),"")</f>
        <v/>
      </c>
      <c r="AW147" s="5" t="str">
        <f>IFERROR(INDEX('Source Review'!$G$2:$G$52,MATCH($A147,'Source Review'!$A$2:$A$52,0)),"")</f>
        <v/>
      </c>
      <c r="AX147" s="5" t="str">
        <f>IFERROR(INDEX('Source Review'!$H$2:$H$52,MATCH($A147,'Source Review'!$A$2:$A$52,0)),"")</f>
        <v/>
      </c>
      <c r="AY147" s="2" t="str">
        <f>IF(COUNTIF('Source Review'!$A$2:$A$52,$A147)&gt;0,"UNCONFIRMED REVIEW ESTIMATE - not P80 or elapsed","NOT ESTIMATED IN THIS PASS")</f>
        <v>NOT ESTIMATED IN THIS PASS</v>
      </c>
      <c r="AZ147" s="2" t="str">
        <f>IFERROR(INDEX('Source Review'!$I$2:$I$52,MATCH($A147,'Source Review'!$A$2:$A$52,0)),"")</f>
        <v/>
      </c>
      <c r="BA147" s="2" t="str">
        <f>IFERROR(INDEX('Source Review'!$E$2:$E$52,MATCH($A147,'Source Review'!$A$2:$A$52,0)),"")</f>
        <v/>
      </c>
      <c r="BB147" s="2" t="str">
        <f>IF(COUNTIF('Source Review'!$A$2:$A$52,$A147)&gt;0,"14-Sep-2026 snapshot; later closure evidence separate; no live HEAD verification","")</f>
        <v/>
      </c>
    </row>
    <row r="148" spans="1:54" ht="75.95" hidden="1" customHeight="1">
      <c r="A148" s="2" t="s">
        <v>1557</v>
      </c>
      <c r="B148" s="2" t="s">
        <v>1243</v>
      </c>
      <c r="C148" s="2" t="s">
        <v>858</v>
      </c>
      <c r="D148" s="2" t="s">
        <v>1558</v>
      </c>
      <c r="E148" s="2" t="s">
        <v>860</v>
      </c>
      <c r="F148" s="2" t="s">
        <v>1544</v>
      </c>
      <c r="G148" s="2" t="s">
        <v>160</v>
      </c>
      <c r="H148" s="2" t="s">
        <v>1559</v>
      </c>
      <c r="I148" s="2" t="s">
        <v>1560</v>
      </c>
      <c r="J148" s="65">
        <v>12</v>
      </c>
      <c r="K148" s="94" t="s">
        <v>455</v>
      </c>
      <c r="L148" s="2" t="s">
        <v>293</v>
      </c>
      <c r="M148" s="2" t="s">
        <v>1561</v>
      </c>
      <c r="N148" s="2" t="s">
        <v>1562</v>
      </c>
      <c r="O148" s="2" t="s">
        <v>1249</v>
      </c>
      <c r="P148" s="2" t="s">
        <v>1250</v>
      </c>
      <c r="Q148" s="2" t="s">
        <v>1472</v>
      </c>
      <c r="R148" s="65">
        <v>1.7999999999999998</v>
      </c>
      <c r="S148" s="2" t="s">
        <v>1473</v>
      </c>
      <c r="T148" s="2" t="s">
        <v>1563</v>
      </c>
      <c r="U148" s="2" t="s">
        <v>1475</v>
      </c>
      <c r="V148" s="2" t="s">
        <v>126</v>
      </c>
      <c r="W148" s="2" t="s">
        <v>1476</v>
      </c>
      <c r="X148" s="2" t="s">
        <v>1477</v>
      </c>
      <c r="Y148" s="33"/>
      <c r="Z148" s="9"/>
      <c r="AA148" s="2" t="s">
        <v>958</v>
      </c>
      <c r="AB148" s="2" t="s">
        <v>959</v>
      </c>
      <c r="AC148" s="2" t="s">
        <v>1183</v>
      </c>
      <c r="AD148" s="2" t="s">
        <v>179</v>
      </c>
      <c r="AE148" s="2" t="s">
        <v>198</v>
      </c>
      <c r="AF148" s="2" t="s">
        <v>134</v>
      </c>
      <c r="AG148" s="2" t="s">
        <v>1254</v>
      </c>
      <c r="AH148" s="2" t="s">
        <v>136</v>
      </c>
      <c r="AI148" s="2" t="str">
        <f t="shared" si="16"/>
        <v/>
      </c>
      <c r="AJ148" s="2" t="s">
        <v>137</v>
      </c>
      <c r="AK148" s="2" t="s">
        <v>138</v>
      </c>
      <c r="AL148" s="2" t="s">
        <v>139</v>
      </c>
      <c r="AM148" s="2">
        <f t="shared" si="17"/>
        <v>1</v>
      </c>
      <c r="AN148" s="2"/>
      <c r="AO148" s="32" t="s">
        <v>462</v>
      </c>
      <c r="AP148" s="32" t="s">
        <v>141</v>
      </c>
      <c r="AQ148" s="32"/>
      <c r="AR148" s="32" t="s">
        <v>142</v>
      </c>
      <c r="AS148" s="65">
        <f t="shared" si="18"/>
        <v>12</v>
      </c>
      <c r="AT148" s="65">
        <f t="shared" si="19"/>
        <v>1.7999999999999998</v>
      </c>
      <c r="AU148" s="2" t="str">
        <f>IFERROR(INDEX('Source Review'!$B$2:$B$52,MATCH($A148,'Source Review'!$A$2:$A$52,0)),"NOT SOURCE-REVIEWED IN THIS PASS")</f>
        <v>NOT SOURCE-REVIEWED IN THIS PASS</v>
      </c>
      <c r="AV148" s="5" t="str">
        <f>IFERROR(INDEX('Source Review'!$F$2:$F$52,MATCH($A148,'Source Review'!$A$2:$A$52,0)),"")</f>
        <v/>
      </c>
      <c r="AW148" s="5" t="str">
        <f>IFERROR(INDEX('Source Review'!$G$2:$G$52,MATCH($A148,'Source Review'!$A$2:$A$52,0)),"")</f>
        <v/>
      </c>
      <c r="AX148" s="5" t="str">
        <f>IFERROR(INDEX('Source Review'!$H$2:$H$52,MATCH($A148,'Source Review'!$A$2:$A$52,0)),"")</f>
        <v/>
      </c>
      <c r="AY148" s="2" t="str">
        <f>IF(COUNTIF('Source Review'!$A$2:$A$52,$A148)&gt;0,"UNCONFIRMED REVIEW ESTIMATE - not P80 or elapsed","NOT ESTIMATED IN THIS PASS")</f>
        <v>NOT ESTIMATED IN THIS PASS</v>
      </c>
      <c r="AZ148" s="2" t="str">
        <f>IFERROR(INDEX('Source Review'!$I$2:$I$52,MATCH($A148,'Source Review'!$A$2:$A$52,0)),"")</f>
        <v/>
      </c>
      <c r="BA148" s="2" t="str">
        <f>IFERROR(INDEX('Source Review'!$E$2:$E$52,MATCH($A148,'Source Review'!$A$2:$A$52,0)),"")</f>
        <v/>
      </c>
      <c r="BB148" s="2" t="str">
        <f>IF(COUNTIF('Source Review'!$A$2:$A$52,$A148)&gt;0,"14-Sep-2026 snapshot; later closure evidence separate; no live HEAD verification","")</f>
        <v/>
      </c>
    </row>
    <row r="149" spans="1:54" ht="75.95" hidden="1" customHeight="1">
      <c r="A149" s="2" t="s">
        <v>1564</v>
      </c>
      <c r="B149" s="2" t="s">
        <v>1243</v>
      </c>
      <c r="C149" s="2" t="s">
        <v>858</v>
      </c>
      <c r="D149" s="2" t="s">
        <v>1565</v>
      </c>
      <c r="E149" s="2" t="s">
        <v>860</v>
      </c>
      <c r="F149" s="2" t="s">
        <v>953</v>
      </c>
      <c r="G149" s="2" t="s">
        <v>113</v>
      </c>
      <c r="H149" s="2" t="s">
        <v>1566</v>
      </c>
      <c r="I149" s="2" t="s">
        <v>1567</v>
      </c>
      <c r="J149" s="65">
        <v>8</v>
      </c>
      <c r="K149" s="94" t="s">
        <v>455</v>
      </c>
      <c r="L149" s="2" t="s">
        <v>293</v>
      </c>
      <c r="M149" s="2" t="s">
        <v>1568</v>
      </c>
      <c r="N149" s="2" t="s">
        <v>1569</v>
      </c>
      <c r="O149" s="2" t="s">
        <v>1249</v>
      </c>
      <c r="P149" s="2" t="s">
        <v>1250</v>
      </c>
      <c r="Q149" s="2" t="s">
        <v>1472</v>
      </c>
      <c r="R149" s="65">
        <v>1.2000000000000002</v>
      </c>
      <c r="S149" s="2" t="s">
        <v>1473</v>
      </c>
      <c r="T149" s="2" t="s">
        <v>1570</v>
      </c>
      <c r="U149" s="2" t="s">
        <v>1475</v>
      </c>
      <c r="V149" s="2" t="s">
        <v>126</v>
      </c>
      <c r="W149" s="2" t="s">
        <v>1476</v>
      </c>
      <c r="X149" s="2" t="s">
        <v>1477</v>
      </c>
      <c r="Y149" s="33"/>
      <c r="Z149" s="9"/>
      <c r="AA149" s="2" t="s">
        <v>958</v>
      </c>
      <c r="AB149" s="2" t="s">
        <v>959</v>
      </c>
      <c r="AC149" s="2"/>
      <c r="AD149" s="2" t="s">
        <v>179</v>
      </c>
      <c r="AE149" s="2" t="s">
        <v>198</v>
      </c>
      <c r="AF149" s="2" t="s">
        <v>134</v>
      </c>
      <c r="AG149" s="2" t="s">
        <v>1254</v>
      </c>
      <c r="AH149" s="2" t="s">
        <v>136</v>
      </c>
      <c r="AI149" s="2" t="str">
        <f t="shared" si="16"/>
        <v/>
      </c>
      <c r="AJ149" s="2" t="s">
        <v>137</v>
      </c>
      <c r="AK149" s="2" t="s">
        <v>138</v>
      </c>
      <c r="AL149" s="2" t="s">
        <v>139</v>
      </c>
      <c r="AM149" s="2">
        <f t="shared" si="17"/>
        <v>1</v>
      </c>
      <c r="AN149" s="2"/>
      <c r="AO149" s="32" t="s">
        <v>462</v>
      </c>
      <c r="AP149" s="32" t="s">
        <v>141</v>
      </c>
      <c r="AQ149" s="32"/>
      <c r="AR149" s="32" t="s">
        <v>142</v>
      </c>
      <c r="AS149" s="65">
        <f t="shared" si="18"/>
        <v>8</v>
      </c>
      <c r="AT149" s="65">
        <f t="shared" si="19"/>
        <v>1.2000000000000002</v>
      </c>
      <c r="AU149" s="2" t="str">
        <f>IFERROR(INDEX('Source Review'!$B$2:$B$52,MATCH($A149,'Source Review'!$A$2:$A$52,0)),"NOT SOURCE-REVIEWED IN THIS PASS")</f>
        <v>NOT SOURCE-REVIEWED IN THIS PASS</v>
      </c>
      <c r="AV149" s="5" t="str">
        <f>IFERROR(INDEX('Source Review'!$F$2:$F$52,MATCH($A149,'Source Review'!$A$2:$A$52,0)),"")</f>
        <v/>
      </c>
      <c r="AW149" s="5" t="str">
        <f>IFERROR(INDEX('Source Review'!$G$2:$G$52,MATCH($A149,'Source Review'!$A$2:$A$52,0)),"")</f>
        <v/>
      </c>
      <c r="AX149" s="5" t="str">
        <f>IFERROR(INDEX('Source Review'!$H$2:$H$52,MATCH($A149,'Source Review'!$A$2:$A$52,0)),"")</f>
        <v/>
      </c>
      <c r="AY149" s="2" t="str">
        <f>IF(COUNTIF('Source Review'!$A$2:$A$52,$A149)&gt;0,"UNCONFIRMED REVIEW ESTIMATE - not P80 or elapsed","NOT ESTIMATED IN THIS PASS")</f>
        <v>NOT ESTIMATED IN THIS PASS</v>
      </c>
      <c r="AZ149" s="2" t="str">
        <f>IFERROR(INDEX('Source Review'!$I$2:$I$52,MATCH($A149,'Source Review'!$A$2:$A$52,0)),"")</f>
        <v/>
      </c>
      <c r="BA149" s="2" t="str">
        <f>IFERROR(INDEX('Source Review'!$E$2:$E$52,MATCH($A149,'Source Review'!$A$2:$A$52,0)),"")</f>
        <v/>
      </c>
      <c r="BB149" s="2" t="str">
        <f>IF(COUNTIF('Source Review'!$A$2:$A$52,$A149)&gt;0,"14-Sep-2026 snapshot; later closure evidence separate; no live HEAD verification","")</f>
        <v/>
      </c>
    </row>
    <row r="150" spans="1:54" ht="75.95" hidden="1" customHeight="1">
      <c r="A150" s="2" t="s">
        <v>956</v>
      </c>
      <c r="B150" s="2" t="s">
        <v>1243</v>
      </c>
      <c r="C150" s="2" t="s">
        <v>858</v>
      </c>
      <c r="D150" s="2" t="s">
        <v>1571</v>
      </c>
      <c r="E150" s="2" t="s">
        <v>860</v>
      </c>
      <c r="F150" s="2" t="s">
        <v>953</v>
      </c>
      <c r="G150" s="2" t="s">
        <v>113</v>
      </c>
      <c r="H150" s="2" t="s">
        <v>1572</v>
      </c>
      <c r="I150" s="2" t="s">
        <v>1573</v>
      </c>
      <c r="J150" s="65">
        <v>8</v>
      </c>
      <c r="K150" s="94" t="s">
        <v>455</v>
      </c>
      <c r="L150" s="2" t="s">
        <v>293</v>
      </c>
      <c r="M150" s="2" t="s">
        <v>1574</v>
      </c>
      <c r="N150" s="2" t="s">
        <v>1575</v>
      </c>
      <c r="O150" s="2" t="s">
        <v>1249</v>
      </c>
      <c r="P150" s="2" t="s">
        <v>1250</v>
      </c>
      <c r="Q150" s="2" t="s">
        <v>1472</v>
      </c>
      <c r="R150" s="65">
        <v>1.2000000000000002</v>
      </c>
      <c r="S150" s="2" t="s">
        <v>1473</v>
      </c>
      <c r="T150" s="2" t="s">
        <v>1576</v>
      </c>
      <c r="U150" s="2" t="s">
        <v>1475</v>
      </c>
      <c r="V150" s="2" t="s">
        <v>126</v>
      </c>
      <c r="W150" s="2" t="s">
        <v>1476</v>
      </c>
      <c r="X150" s="2" t="s">
        <v>1477</v>
      </c>
      <c r="Y150" s="33"/>
      <c r="Z150" s="9"/>
      <c r="AA150" s="2" t="s">
        <v>958</v>
      </c>
      <c r="AB150" s="2" t="s">
        <v>959</v>
      </c>
      <c r="AC150" s="2"/>
      <c r="AD150" s="2" t="s">
        <v>132</v>
      </c>
      <c r="AE150" s="2" t="s">
        <v>198</v>
      </c>
      <c r="AF150" s="2" t="s">
        <v>134</v>
      </c>
      <c r="AG150" s="2" t="s">
        <v>1254</v>
      </c>
      <c r="AH150" s="2" t="s">
        <v>136</v>
      </c>
      <c r="AI150" s="2" t="str">
        <f t="shared" si="16"/>
        <v/>
      </c>
      <c r="AJ150" s="2" t="s">
        <v>137</v>
      </c>
      <c r="AK150" s="2" t="s">
        <v>138</v>
      </c>
      <c r="AL150" s="2" t="s">
        <v>139</v>
      </c>
      <c r="AM150" s="2">
        <f t="shared" si="17"/>
        <v>1</v>
      </c>
      <c r="AN150" s="2"/>
      <c r="AO150" s="32" t="s">
        <v>462</v>
      </c>
      <c r="AP150" s="32" t="s">
        <v>141</v>
      </c>
      <c r="AQ150" s="32"/>
      <c r="AR150" s="32" t="s">
        <v>142</v>
      </c>
      <c r="AS150" s="65">
        <f t="shared" si="18"/>
        <v>8</v>
      </c>
      <c r="AT150" s="65">
        <f t="shared" si="19"/>
        <v>1.2000000000000002</v>
      </c>
      <c r="AU150" s="2" t="str">
        <f>IFERROR(INDEX('Source Review'!$B$2:$B$52,MATCH($A150,'Source Review'!$A$2:$A$52,0)),"NOT SOURCE-REVIEWED IN THIS PASS")</f>
        <v>NOT SOURCE-REVIEWED IN THIS PASS</v>
      </c>
      <c r="AV150" s="5" t="str">
        <f>IFERROR(INDEX('Source Review'!$F$2:$F$52,MATCH($A150,'Source Review'!$A$2:$A$52,0)),"")</f>
        <v/>
      </c>
      <c r="AW150" s="5" t="str">
        <f>IFERROR(INDEX('Source Review'!$G$2:$G$52,MATCH($A150,'Source Review'!$A$2:$A$52,0)),"")</f>
        <v/>
      </c>
      <c r="AX150" s="5" t="str">
        <f>IFERROR(INDEX('Source Review'!$H$2:$H$52,MATCH($A150,'Source Review'!$A$2:$A$52,0)),"")</f>
        <v/>
      </c>
      <c r="AY150" s="2" t="str">
        <f>IF(COUNTIF('Source Review'!$A$2:$A$52,$A150)&gt;0,"UNCONFIRMED REVIEW ESTIMATE - not P80 or elapsed","NOT ESTIMATED IN THIS PASS")</f>
        <v>NOT ESTIMATED IN THIS PASS</v>
      </c>
      <c r="AZ150" s="2" t="str">
        <f>IFERROR(INDEX('Source Review'!$I$2:$I$52,MATCH($A150,'Source Review'!$A$2:$A$52,0)),"")</f>
        <v/>
      </c>
      <c r="BA150" s="2" t="str">
        <f>IFERROR(INDEX('Source Review'!$E$2:$E$52,MATCH($A150,'Source Review'!$A$2:$A$52,0)),"")</f>
        <v/>
      </c>
      <c r="BB150" s="2" t="str">
        <f>IF(COUNTIF('Source Review'!$A$2:$A$52,$A150)&gt;0,"14-Sep-2026 snapshot; later closure evidence separate; no live HEAD verification","")</f>
        <v/>
      </c>
    </row>
    <row r="151" spans="1:54" ht="75.95" hidden="1" customHeight="1">
      <c r="A151" s="2" t="s">
        <v>1577</v>
      </c>
      <c r="B151" s="2" t="s">
        <v>1243</v>
      </c>
      <c r="C151" s="2" t="s">
        <v>858</v>
      </c>
      <c r="D151" s="2" t="s">
        <v>1578</v>
      </c>
      <c r="E151" s="2" t="s">
        <v>860</v>
      </c>
      <c r="F151" s="2" t="s">
        <v>1579</v>
      </c>
      <c r="G151" s="2" t="s">
        <v>113</v>
      </c>
      <c r="H151" s="2" t="s">
        <v>1580</v>
      </c>
      <c r="I151" s="2" t="s">
        <v>1581</v>
      </c>
      <c r="J151" s="65">
        <v>8</v>
      </c>
      <c r="K151" s="94" t="s">
        <v>455</v>
      </c>
      <c r="L151" s="2" t="s">
        <v>293</v>
      </c>
      <c r="M151" s="2" t="s">
        <v>956</v>
      </c>
      <c r="N151" s="2" t="s">
        <v>1582</v>
      </c>
      <c r="O151" s="2" t="s">
        <v>1249</v>
      </c>
      <c r="P151" s="2" t="s">
        <v>1250</v>
      </c>
      <c r="Q151" s="2" t="s">
        <v>1472</v>
      </c>
      <c r="R151" s="65">
        <v>1.2000000000000002</v>
      </c>
      <c r="S151" s="2" t="s">
        <v>1473</v>
      </c>
      <c r="T151" s="2" t="s">
        <v>956</v>
      </c>
      <c r="U151" s="2" t="s">
        <v>1475</v>
      </c>
      <c r="V151" s="2" t="s">
        <v>126</v>
      </c>
      <c r="W151" s="2" t="s">
        <v>1476</v>
      </c>
      <c r="X151" s="2" t="s">
        <v>1477</v>
      </c>
      <c r="Y151" s="33"/>
      <c r="Z151" s="9"/>
      <c r="AA151" s="2" t="s">
        <v>1583</v>
      </c>
      <c r="AB151" s="2" t="s">
        <v>1584</v>
      </c>
      <c r="AC151" s="2" t="s">
        <v>1585</v>
      </c>
      <c r="AD151" s="2" t="s">
        <v>179</v>
      </c>
      <c r="AE151" s="2" t="s">
        <v>198</v>
      </c>
      <c r="AF151" s="2" t="s">
        <v>134</v>
      </c>
      <c r="AG151" s="2" t="s">
        <v>1254</v>
      </c>
      <c r="AH151" s="2" t="s">
        <v>136</v>
      </c>
      <c r="AI151" s="2" t="str">
        <f t="shared" si="16"/>
        <v/>
      </c>
      <c r="AJ151" s="2" t="s">
        <v>137</v>
      </c>
      <c r="AK151" s="2" t="s">
        <v>138</v>
      </c>
      <c r="AL151" s="2" t="s">
        <v>139</v>
      </c>
      <c r="AM151" s="2">
        <f t="shared" si="17"/>
        <v>1</v>
      </c>
      <c r="AN151" s="2"/>
      <c r="AO151" s="32" t="s">
        <v>462</v>
      </c>
      <c r="AP151" s="32" t="s">
        <v>141</v>
      </c>
      <c r="AQ151" s="32"/>
      <c r="AR151" s="32" t="s">
        <v>142</v>
      </c>
      <c r="AS151" s="65">
        <f t="shared" si="18"/>
        <v>8</v>
      </c>
      <c r="AT151" s="65">
        <f t="shared" si="19"/>
        <v>1.2000000000000002</v>
      </c>
      <c r="AU151" s="2" t="str">
        <f>IFERROR(INDEX('Source Review'!$B$2:$B$52,MATCH($A151,'Source Review'!$A$2:$A$52,0)),"NOT SOURCE-REVIEWED IN THIS PASS")</f>
        <v>NOT SOURCE-REVIEWED IN THIS PASS</v>
      </c>
      <c r="AV151" s="5" t="str">
        <f>IFERROR(INDEX('Source Review'!$F$2:$F$52,MATCH($A151,'Source Review'!$A$2:$A$52,0)),"")</f>
        <v/>
      </c>
      <c r="AW151" s="5" t="str">
        <f>IFERROR(INDEX('Source Review'!$G$2:$G$52,MATCH($A151,'Source Review'!$A$2:$A$52,0)),"")</f>
        <v/>
      </c>
      <c r="AX151" s="5" t="str">
        <f>IFERROR(INDEX('Source Review'!$H$2:$H$52,MATCH($A151,'Source Review'!$A$2:$A$52,0)),"")</f>
        <v/>
      </c>
      <c r="AY151" s="2" t="str">
        <f>IF(COUNTIF('Source Review'!$A$2:$A$52,$A151)&gt;0,"UNCONFIRMED REVIEW ESTIMATE - not P80 or elapsed","NOT ESTIMATED IN THIS PASS")</f>
        <v>NOT ESTIMATED IN THIS PASS</v>
      </c>
      <c r="AZ151" s="2" t="str">
        <f>IFERROR(INDEX('Source Review'!$I$2:$I$52,MATCH($A151,'Source Review'!$A$2:$A$52,0)),"")</f>
        <v/>
      </c>
      <c r="BA151" s="2" t="str">
        <f>IFERROR(INDEX('Source Review'!$E$2:$E$52,MATCH($A151,'Source Review'!$A$2:$A$52,0)),"")</f>
        <v/>
      </c>
      <c r="BB151" s="2" t="str">
        <f>IF(COUNTIF('Source Review'!$A$2:$A$52,$A151)&gt;0,"14-Sep-2026 snapshot; later closure evidence separate; no live HEAD verification","")</f>
        <v/>
      </c>
    </row>
    <row r="152" spans="1:54" ht="75.95" hidden="1" customHeight="1">
      <c r="A152" s="2" t="s">
        <v>1586</v>
      </c>
      <c r="B152" s="2" t="s">
        <v>1243</v>
      </c>
      <c r="C152" s="2" t="s">
        <v>858</v>
      </c>
      <c r="D152" s="2" t="s">
        <v>1587</v>
      </c>
      <c r="E152" s="2" t="s">
        <v>860</v>
      </c>
      <c r="F152" s="2" t="s">
        <v>1579</v>
      </c>
      <c r="G152" s="2" t="s">
        <v>113</v>
      </c>
      <c r="H152" s="2" t="s">
        <v>1588</v>
      </c>
      <c r="I152" s="2" t="s">
        <v>1589</v>
      </c>
      <c r="J152" s="65">
        <v>8</v>
      </c>
      <c r="K152" s="94" t="s">
        <v>455</v>
      </c>
      <c r="L152" s="2" t="s">
        <v>293</v>
      </c>
      <c r="M152" s="2" t="s">
        <v>1577</v>
      </c>
      <c r="N152" s="2" t="s">
        <v>1590</v>
      </c>
      <c r="O152" s="2" t="s">
        <v>1249</v>
      </c>
      <c r="P152" s="2" t="s">
        <v>1250</v>
      </c>
      <c r="Q152" s="2" t="s">
        <v>1472</v>
      </c>
      <c r="R152" s="65">
        <v>1.2000000000000002</v>
      </c>
      <c r="S152" s="2" t="s">
        <v>1473</v>
      </c>
      <c r="T152" s="2" t="s">
        <v>1577</v>
      </c>
      <c r="U152" s="2" t="s">
        <v>1475</v>
      </c>
      <c r="V152" s="2" t="s">
        <v>126</v>
      </c>
      <c r="W152" s="2" t="s">
        <v>1476</v>
      </c>
      <c r="X152" s="2" t="s">
        <v>1477</v>
      </c>
      <c r="Y152" s="33"/>
      <c r="Z152" s="9"/>
      <c r="AA152" s="2" t="s">
        <v>1478</v>
      </c>
      <c r="AB152" s="2" t="s">
        <v>1591</v>
      </c>
      <c r="AC152" s="2" t="s">
        <v>1592</v>
      </c>
      <c r="AD152" s="2" t="s">
        <v>179</v>
      </c>
      <c r="AE152" s="2" t="s">
        <v>198</v>
      </c>
      <c r="AF152" s="2" t="s">
        <v>134</v>
      </c>
      <c r="AG152" s="2" t="s">
        <v>1254</v>
      </c>
      <c r="AH152" s="2" t="s">
        <v>136</v>
      </c>
      <c r="AI152" s="2" t="str">
        <f t="shared" si="16"/>
        <v/>
      </c>
      <c r="AJ152" s="2" t="s">
        <v>496</v>
      </c>
      <c r="AK152" s="2" t="s">
        <v>138</v>
      </c>
      <c r="AL152" s="2" t="s">
        <v>139</v>
      </c>
      <c r="AM152" s="2">
        <f t="shared" si="17"/>
        <v>0</v>
      </c>
      <c r="AN152" s="2"/>
      <c r="AO152" s="32" t="s">
        <v>462</v>
      </c>
      <c r="AP152" s="32" t="s">
        <v>141</v>
      </c>
      <c r="AQ152" s="32"/>
      <c r="AR152" s="32" t="s">
        <v>486</v>
      </c>
      <c r="AS152" s="65" t="str">
        <f t="shared" si="18"/>
        <v/>
      </c>
      <c r="AT152" s="65" t="str">
        <f t="shared" si="19"/>
        <v/>
      </c>
      <c r="AU152" s="2" t="str">
        <f>IFERROR(INDEX('Source Review'!$B$2:$B$52,MATCH($A152,'Source Review'!$A$2:$A$52,0)),"NOT SOURCE-REVIEWED IN THIS PASS")</f>
        <v>SOURCE REVIEWED — CANONICAL LOOP MISSING / LEGACY CONFLICT</v>
      </c>
      <c r="AV152" s="5">
        <f>IFERROR(INDEX('Source Review'!$F$2:$F$52,MATCH($A152,'Source Review'!$A$2:$A$52,0)),"")</f>
        <v>14</v>
      </c>
      <c r="AW152" s="5">
        <f>IFERROR(INDEX('Source Review'!$G$2:$G$52,MATCH($A152,'Source Review'!$A$2:$A$52,0)),"")</f>
        <v>24</v>
      </c>
      <c r="AX152" s="5">
        <f>IFERROR(INDEX('Source Review'!$H$2:$H$52,MATCH($A152,'Source Review'!$A$2:$A$52,0)),"")</f>
        <v>40</v>
      </c>
      <c r="AY152" s="2" t="str">
        <f>IF(COUNTIF('Source Review'!$A$2:$A$52,$A152)&gt;0,"UNCONFIRMED REVIEW ESTIMATE - not P80 or elapsed","NOT ESTIMATED IN THIS PASS")</f>
        <v>UNCONFIRMED REVIEW ESTIMATE - not P80 or elapsed</v>
      </c>
      <c r="AZ152" s="2" t="str">
        <f>IFERROR(INDEX('Source Review'!$I$2:$I$52,MATCH($A152,'Source Review'!$A$2:$A$52,0)),"")</f>
        <v>Canonical persistence/evaluation 6/10/17; feedback/poisoning/escalation rules 5/8/13; migration/negative tests 3/6/10.</v>
      </c>
      <c r="BA152" s="2" t="str">
        <f>IFERROR(INDEX('Source Review'!$E$2:$E$52,MATCH($A152,'Source Review'!$A$2:$A$52,0)),"")</f>
        <v>Backend/PlantProcess.Application/AssistantRuntime/Phase8SuggestionOutcomeLoop.cs:12-38 — manual outcome DTO
Backend/PlantProcess.Application/AssistantRuntime/Phase8SuggestionOutcomeLoop.cs:66-90 — record calculation
Backend/PlantProcess.Api/Endpoints/Assistant/Phase8SuggestionOutcomeLoopEndpoints.cs:16-48 — process-memory endpoints</v>
      </c>
      <c r="BB152" s="2" t="str">
        <f>IF(COUNTIF('Source Review'!$A$2:$A$52,$A152)&gt;0,"14-Sep-2026 snapshot; later closure evidence separate; no live HEAD verification","")</f>
        <v>14-Sep-2026 snapshot; later closure evidence separate; no live HEAD verification</v>
      </c>
    </row>
    <row r="153" spans="1:54" ht="75.95" hidden="1" customHeight="1">
      <c r="A153" s="2" t="s">
        <v>1593</v>
      </c>
      <c r="B153" s="2" t="s">
        <v>1243</v>
      </c>
      <c r="C153" s="2" t="s">
        <v>858</v>
      </c>
      <c r="D153" s="2" t="s">
        <v>1594</v>
      </c>
      <c r="E153" s="2" t="s">
        <v>899</v>
      </c>
      <c r="F153" s="2" t="s">
        <v>1595</v>
      </c>
      <c r="G153" s="2" t="s">
        <v>160</v>
      </c>
      <c r="H153" s="2" t="s">
        <v>1596</v>
      </c>
      <c r="I153" s="2" t="s">
        <v>1597</v>
      </c>
      <c r="J153" s="65">
        <v>10</v>
      </c>
      <c r="K153" s="94" t="s">
        <v>455</v>
      </c>
      <c r="L153" s="2" t="s">
        <v>293</v>
      </c>
      <c r="M153" s="2" t="s">
        <v>1598</v>
      </c>
      <c r="N153" s="2"/>
      <c r="O153" s="2" t="s">
        <v>1249</v>
      </c>
      <c r="P153" s="2" t="s">
        <v>1250</v>
      </c>
      <c r="Q153" s="2" t="s">
        <v>1472</v>
      </c>
      <c r="R153" s="65">
        <v>1.5</v>
      </c>
      <c r="S153" s="2" t="s">
        <v>1473</v>
      </c>
      <c r="T153" s="2" t="s">
        <v>1599</v>
      </c>
      <c r="U153" s="2" t="s">
        <v>1475</v>
      </c>
      <c r="V153" s="2" t="s">
        <v>126</v>
      </c>
      <c r="W153" s="2" t="s">
        <v>1476</v>
      </c>
      <c r="X153" s="2" t="s">
        <v>1477</v>
      </c>
      <c r="Y153" s="33"/>
      <c r="Z153" s="9"/>
      <c r="AA153" s="2" t="s">
        <v>333</v>
      </c>
      <c r="AB153" s="2" t="s">
        <v>950</v>
      </c>
      <c r="AC153" s="2"/>
      <c r="AD153" s="2" t="s">
        <v>179</v>
      </c>
      <c r="AE153" s="2" t="s">
        <v>198</v>
      </c>
      <c r="AF153" s="2" t="s">
        <v>134</v>
      </c>
      <c r="AG153" s="2" t="s">
        <v>1254</v>
      </c>
      <c r="AH153" s="2" t="s">
        <v>136</v>
      </c>
      <c r="AI153" s="2" t="str">
        <f t="shared" si="16"/>
        <v/>
      </c>
      <c r="AJ153" s="2" t="s">
        <v>496</v>
      </c>
      <c r="AK153" s="2" t="s">
        <v>138</v>
      </c>
      <c r="AL153" s="2" t="s">
        <v>139</v>
      </c>
      <c r="AM153" s="2">
        <f t="shared" si="17"/>
        <v>0</v>
      </c>
      <c r="AN153" s="2"/>
      <c r="AO153" s="32" t="s">
        <v>462</v>
      </c>
      <c r="AP153" s="32" t="s">
        <v>141</v>
      </c>
      <c r="AQ153" s="32"/>
      <c r="AR153" s="32" t="s">
        <v>486</v>
      </c>
      <c r="AS153" s="65" t="str">
        <f t="shared" si="18"/>
        <v/>
      </c>
      <c r="AT153" s="65" t="str">
        <f t="shared" si="19"/>
        <v/>
      </c>
      <c r="AU153" s="2" t="str">
        <f>IFERROR(INDEX('Source Review'!$B$2:$B$52,MATCH($A153,'Source Review'!$A$2:$A$52,0)),"NOT SOURCE-REVIEWED IN THIS PASS")</f>
        <v>SOURCE REVIEWED — PRIOR DEAD-FILE FINDING DISPROVEN</v>
      </c>
      <c r="AV153" s="5">
        <f>IFERROR(INDEX('Source Review'!$F$2:$F$52,MATCH($A153,'Source Review'!$A$2:$A$52,0)),"")</f>
        <v>8</v>
      </c>
      <c r="AW153" s="5">
        <f>IFERROR(INDEX('Source Review'!$G$2:$G$52,MATCH($A153,'Source Review'!$A$2:$A$52,0)),"")</f>
        <v>14</v>
      </c>
      <c r="AX153" s="5">
        <f>IFERROR(INDEX('Source Review'!$H$2:$H$52,MATCH($A153,'Source Review'!$A$2:$A$52,0)),"")</f>
        <v>24</v>
      </c>
      <c r="AY153" s="2" t="str">
        <f>IF(COUNTIF('Source Review'!$A$2:$A$52,$A153)&gt;0,"UNCONFIRMED REVIEW ESTIMATE - not P80 or elapsed","NOT ESTIMATED IN THIS PASS")</f>
        <v>UNCONFIRMED REVIEW ESTIMATE - not P80 or elapsed</v>
      </c>
      <c r="AZ153" s="2" t="str">
        <f>IFERROR(INDEX('Source Review'!$I$2:$I$52,MATCH($A153,'Source Review'!$A$2:$A$52,0)),"")</f>
        <v>Pairing/result-contract cutover 3/5/9; producer/persistence convergence 3/5/8; known-answer/refusal regression 2/4/7.</v>
      </c>
      <c r="BA153" s="2" t="str">
        <f>IFERROR(INDEX('Source Review'!$E$2:$E$52,MATCH($A153,'Source Review'!$A$2:$A$52,0)),"")</f>
        <v>Backend/PlantProcess.Analytics.Engine/ManagedStatisticalComputeEngine.cs:49-62 — readiness/old selector
Backend/PlantProcess.Analytics.Engine/ManagedStatisticalComputeEngine.cs:91-115 — live discipline calls
Backend/PlantProcess.Application/Analytics/Advanced/AdvancedCorrelationComputeService.cs:117-137 — live ranking/FDR/bootstrap
Backend/PlantProcess.Analytics.Core/Kernel/KernelMethodSelector.cs:27-57 — kernel pairing</v>
      </c>
      <c r="BB153" s="2" t="str">
        <f>IF(COUNTIF('Source Review'!$A$2:$A$52,$A153)&gt;0,"14-Sep-2026 snapshot; later closure evidence separate; no live HEAD verification","")</f>
        <v>14-Sep-2026 snapshot; later closure evidence separate; no live HEAD verification</v>
      </c>
    </row>
    <row r="154" spans="1:54" ht="75.95" hidden="1" customHeight="1">
      <c r="A154" s="2" t="s">
        <v>1600</v>
      </c>
      <c r="B154" s="2" t="s">
        <v>1243</v>
      </c>
      <c r="C154" s="2" t="s">
        <v>858</v>
      </c>
      <c r="D154" s="2" t="s">
        <v>1601</v>
      </c>
      <c r="E154" s="2" t="s">
        <v>899</v>
      </c>
      <c r="F154" s="2" t="s">
        <v>1595</v>
      </c>
      <c r="G154" s="2" t="s">
        <v>113</v>
      </c>
      <c r="H154" s="2" t="s">
        <v>1602</v>
      </c>
      <c r="I154" s="2" t="s">
        <v>1603</v>
      </c>
      <c r="J154" s="65">
        <v>12</v>
      </c>
      <c r="K154" s="94" t="s">
        <v>455</v>
      </c>
      <c r="L154" s="2" t="s">
        <v>293</v>
      </c>
      <c r="M154" s="2" t="s">
        <v>1604</v>
      </c>
      <c r="N154" s="2" t="s">
        <v>1593</v>
      </c>
      <c r="O154" s="2" t="s">
        <v>1249</v>
      </c>
      <c r="P154" s="2" t="s">
        <v>1250</v>
      </c>
      <c r="Q154" s="2" t="s">
        <v>1472</v>
      </c>
      <c r="R154" s="65">
        <v>1.7999999999999998</v>
      </c>
      <c r="S154" s="2" t="s">
        <v>1473</v>
      </c>
      <c r="T154" s="2" t="s">
        <v>1605</v>
      </c>
      <c r="U154" s="2" t="s">
        <v>1475</v>
      </c>
      <c r="V154" s="2" t="s">
        <v>126</v>
      </c>
      <c r="W154" s="2" t="s">
        <v>1476</v>
      </c>
      <c r="X154" s="2" t="s">
        <v>1477</v>
      </c>
      <c r="Y154" s="33"/>
      <c r="Z154" s="9"/>
      <c r="AA154" s="2" t="s">
        <v>227</v>
      </c>
      <c r="AB154" s="2" t="s">
        <v>320</v>
      </c>
      <c r="AC154" s="2" t="s">
        <v>333</v>
      </c>
      <c r="AD154" s="2" t="s">
        <v>1606</v>
      </c>
      <c r="AE154" s="2" t="s">
        <v>210</v>
      </c>
      <c r="AF154" s="2" t="s">
        <v>134</v>
      </c>
      <c r="AG154" s="2" t="s">
        <v>1254</v>
      </c>
      <c r="AH154" s="2" t="s">
        <v>136</v>
      </c>
      <c r="AI154" s="2" t="str">
        <f t="shared" si="16"/>
        <v/>
      </c>
      <c r="AJ154" s="2" t="s">
        <v>137</v>
      </c>
      <c r="AK154" s="2" t="s">
        <v>138</v>
      </c>
      <c r="AL154" s="2" t="s">
        <v>139</v>
      </c>
      <c r="AM154" s="2">
        <f t="shared" si="17"/>
        <v>1</v>
      </c>
      <c r="AN154" s="2"/>
      <c r="AO154" s="32" t="s">
        <v>462</v>
      </c>
      <c r="AP154" s="32" t="s">
        <v>141</v>
      </c>
      <c r="AQ154" s="32"/>
      <c r="AR154" s="32" t="s">
        <v>142</v>
      </c>
      <c r="AS154" s="65">
        <f t="shared" si="18"/>
        <v>12</v>
      </c>
      <c r="AT154" s="65">
        <f t="shared" si="19"/>
        <v>1.7999999999999998</v>
      </c>
      <c r="AU154" s="2" t="str">
        <f>IFERROR(INDEX('Source Review'!$B$2:$B$52,MATCH($A154,'Source Review'!$A$2:$A$52,0)),"NOT SOURCE-REVIEWED IN THIS PASS")</f>
        <v>NOT SOURCE-REVIEWED IN THIS PASS</v>
      </c>
      <c r="AV154" s="5" t="str">
        <f>IFERROR(INDEX('Source Review'!$F$2:$F$52,MATCH($A154,'Source Review'!$A$2:$A$52,0)),"")</f>
        <v/>
      </c>
      <c r="AW154" s="5" t="str">
        <f>IFERROR(INDEX('Source Review'!$G$2:$G$52,MATCH($A154,'Source Review'!$A$2:$A$52,0)),"")</f>
        <v/>
      </c>
      <c r="AX154" s="5" t="str">
        <f>IFERROR(INDEX('Source Review'!$H$2:$H$52,MATCH($A154,'Source Review'!$A$2:$A$52,0)),"")</f>
        <v/>
      </c>
      <c r="AY154" s="2" t="str">
        <f>IF(COUNTIF('Source Review'!$A$2:$A$52,$A154)&gt;0,"UNCONFIRMED REVIEW ESTIMATE - not P80 or elapsed","NOT ESTIMATED IN THIS PASS")</f>
        <v>NOT ESTIMATED IN THIS PASS</v>
      </c>
      <c r="AZ154" s="2" t="str">
        <f>IFERROR(INDEX('Source Review'!$I$2:$I$52,MATCH($A154,'Source Review'!$A$2:$A$52,0)),"")</f>
        <v/>
      </c>
      <c r="BA154" s="2" t="str">
        <f>IFERROR(INDEX('Source Review'!$E$2:$E$52,MATCH($A154,'Source Review'!$A$2:$A$52,0)),"")</f>
        <v/>
      </c>
      <c r="BB154" s="2" t="str">
        <f>IF(COUNTIF('Source Review'!$A$2:$A$52,$A154)&gt;0,"14-Sep-2026 snapshot; later closure evidence separate; no live HEAD verification","")</f>
        <v/>
      </c>
    </row>
    <row r="155" spans="1:54" ht="75.95" hidden="1" customHeight="1">
      <c r="A155" s="2" t="s">
        <v>1607</v>
      </c>
      <c r="B155" s="2" t="s">
        <v>1243</v>
      </c>
      <c r="C155" s="2" t="s">
        <v>858</v>
      </c>
      <c r="D155" s="2" t="s">
        <v>1608</v>
      </c>
      <c r="E155" s="2" t="s">
        <v>860</v>
      </c>
      <c r="F155" s="2" t="s">
        <v>1609</v>
      </c>
      <c r="G155" s="2" t="s">
        <v>160</v>
      </c>
      <c r="H155" s="2" t="s">
        <v>1610</v>
      </c>
      <c r="I155" s="2" t="s">
        <v>1611</v>
      </c>
      <c r="J155" s="65">
        <v>12</v>
      </c>
      <c r="K155" s="94" t="s">
        <v>455</v>
      </c>
      <c r="L155" s="2" t="s">
        <v>293</v>
      </c>
      <c r="M155" s="2"/>
      <c r="N155" s="2"/>
      <c r="O155" s="2" t="s">
        <v>1249</v>
      </c>
      <c r="P155" s="2" t="s">
        <v>1250</v>
      </c>
      <c r="Q155" s="2" t="s">
        <v>1293</v>
      </c>
      <c r="R155" s="65">
        <v>4.32</v>
      </c>
      <c r="S155" s="2" t="s">
        <v>1473</v>
      </c>
      <c r="T155" s="2" t="s">
        <v>1612</v>
      </c>
      <c r="U155" s="2" t="s">
        <v>1295</v>
      </c>
      <c r="V155" s="2" t="s">
        <v>126</v>
      </c>
      <c r="W155" s="2" t="s">
        <v>1476</v>
      </c>
      <c r="X155" s="2" t="s">
        <v>1477</v>
      </c>
      <c r="Y155" s="33"/>
      <c r="Z155" s="9"/>
      <c r="AA155" s="2" t="s">
        <v>872</v>
      </c>
      <c r="AB155" s="2" t="s">
        <v>873</v>
      </c>
      <c r="AC155" s="2" t="s">
        <v>1613</v>
      </c>
      <c r="AD155" s="2" t="s">
        <v>179</v>
      </c>
      <c r="AE155" s="2" t="s">
        <v>198</v>
      </c>
      <c r="AF155" s="2" t="s">
        <v>134</v>
      </c>
      <c r="AG155" s="2" t="s">
        <v>1254</v>
      </c>
      <c r="AH155" s="2" t="s">
        <v>136</v>
      </c>
      <c r="AI155" s="2" t="str">
        <f t="shared" si="16"/>
        <v/>
      </c>
      <c r="AJ155" s="2" t="s">
        <v>137</v>
      </c>
      <c r="AK155" s="2" t="s">
        <v>138</v>
      </c>
      <c r="AL155" s="2" t="s">
        <v>139</v>
      </c>
      <c r="AM155" s="2">
        <f t="shared" si="17"/>
        <v>1</v>
      </c>
      <c r="AN155" s="2"/>
      <c r="AO155" s="32" t="s">
        <v>462</v>
      </c>
      <c r="AP155" s="32" t="s">
        <v>141</v>
      </c>
      <c r="AQ155" s="32"/>
      <c r="AR155" s="32" t="s">
        <v>142</v>
      </c>
      <c r="AS155" s="65">
        <f t="shared" si="18"/>
        <v>12</v>
      </c>
      <c r="AT155" s="65">
        <f t="shared" si="19"/>
        <v>4.32</v>
      </c>
      <c r="AU155" s="2" t="str">
        <f>IFERROR(INDEX('Source Review'!$B$2:$B$52,MATCH($A155,'Source Review'!$A$2:$A$52,0)),"NOT SOURCE-REVIEWED IN THIS PASS")</f>
        <v>NOT SOURCE-REVIEWED IN THIS PASS</v>
      </c>
      <c r="AV155" s="5" t="str">
        <f>IFERROR(INDEX('Source Review'!$F$2:$F$52,MATCH($A155,'Source Review'!$A$2:$A$52,0)),"")</f>
        <v/>
      </c>
      <c r="AW155" s="5" t="str">
        <f>IFERROR(INDEX('Source Review'!$G$2:$G$52,MATCH($A155,'Source Review'!$A$2:$A$52,0)),"")</f>
        <v/>
      </c>
      <c r="AX155" s="5" t="str">
        <f>IFERROR(INDEX('Source Review'!$H$2:$H$52,MATCH($A155,'Source Review'!$A$2:$A$52,0)),"")</f>
        <v/>
      </c>
      <c r="AY155" s="2" t="str">
        <f>IF(COUNTIF('Source Review'!$A$2:$A$52,$A155)&gt;0,"UNCONFIRMED REVIEW ESTIMATE - not P80 or elapsed","NOT ESTIMATED IN THIS PASS")</f>
        <v>NOT ESTIMATED IN THIS PASS</v>
      </c>
      <c r="AZ155" s="2" t="str">
        <f>IFERROR(INDEX('Source Review'!$I$2:$I$52,MATCH($A155,'Source Review'!$A$2:$A$52,0)),"")</f>
        <v/>
      </c>
      <c r="BA155" s="2" t="str">
        <f>IFERROR(INDEX('Source Review'!$E$2:$E$52,MATCH($A155,'Source Review'!$A$2:$A$52,0)),"")</f>
        <v/>
      </c>
      <c r="BB155" s="2" t="str">
        <f>IF(COUNTIF('Source Review'!$A$2:$A$52,$A155)&gt;0,"14-Sep-2026 snapshot; later closure evidence separate; no live HEAD verification","")</f>
        <v/>
      </c>
    </row>
    <row r="156" spans="1:54" ht="75.95" hidden="1" customHeight="1">
      <c r="A156" s="2" t="s">
        <v>1614</v>
      </c>
      <c r="B156" s="2" t="s">
        <v>1243</v>
      </c>
      <c r="C156" s="2" t="s">
        <v>858</v>
      </c>
      <c r="D156" s="2" t="s">
        <v>1615</v>
      </c>
      <c r="E156" s="2" t="s">
        <v>860</v>
      </c>
      <c r="F156" s="2" t="s">
        <v>953</v>
      </c>
      <c r="G156" s="2" t="s">
        <v>160</v>
      </c>
      <c r="H156" s="2" t="s">
        <v>1616</v>
      </c>
      <c r="I156" s="2" t="s">
        <v>1617</v>
      </c>
      <c r="J156" s="65">
        <v>12</v>
      </c>
      <c r="K156" s="94" t="s">
        <v>455</v>
      </c>
      <c r="L156" s="2" t="s">
        <v>293</v>
      </c>
      <c r="M156" s="2"/>
      <c r="N156" s="2"/>
      <c r="O156" s="2" t="s">
        <v>1249</v>
      </c>
      <c r="P156" s="2" t="s">
        <v>1250</v>
      </c>
      <c r="Q156" s="2" t="s">
        <v>1293</v>
      </c>
      <c r="R156" s="65">
        <v>4.32</v>
      </c>
      <c r="S156" s="2" t="s">
        <v>1473</v>
      </c>
      <c r="T156" s="2" t="s">
        <v>1612</v>
      </c>
      <c r="U156" s="2" t="s">
        <v>1295</v>
      </c>
      <c r="V156" s="2" t="s">
        <v>126</v>
      </c>
      <c r="W156" s="2" t="s">
        <v>1476</v>
      </c>
      <c r="X156" s="2" t="s">
        <v>1477</v>
      </c>
      <c r="Y156" s="33"/>
      <c r="Z156" s="9"/>
      <c r="AA156" s="2" t="s">
        <v>958</v>
      </c>
      <c r="AB156" s="2" t="s">
        <v>959</v>
      </c>
      <c r="AC156" s="2"/>
      <c r="AD156" s="2" t="s">
        <v>179</v>
      </c>
      <c r="AE156" s="2" t="s">
        <v>198</v>
      </c>
      <c r="AF156" s="2" t="s">
        <v>134</v>
      </c>
      <c r="AG156" s="2" t="s">
        <v>1254</v>
      </c>
      <c r="AH156" s="2" t="s">
        <v>136</v>
      </c>
      <c r="AI156" s="2" t="str">
        <f t="shared" si="16"/>
        <v/>
      </c>
      <c r="AJ156" s="2" t="s">
        <v>137</v>
      </c>
      <c r="AK156" s="2" t="s">
        <v>138</v>
      </c>
      <c r="AL156" s="2" t="s">
        <v>139</v>
      </c>
      <c r="AM156" s="2">
        <f t="shared" si="17"/>
        <v>1</v>
      </c>
      <c r="AN156" s="2"/>
      <c r="AO156" s="32" t="s">
        <v>462</v>
      </c>
      <c r="AP156" s="32" t="s">
        <v>141</v>
      </c>
      <c r="AQ156" s="32"/>
      <c r="AR156" s="32" t="s">
        <v>142</v>
      </c>
      <c r="AS156" s="65">
        <f t="shared" si="18"/>
        <v>12</v>
      </c>
      <c r="AT156" s="65">
        <f t="shared" si="19"/>
        <v>4.32</v>
      </c>
      <c r="AU156" s="2" t="str">
        <f>IFERROR(INDEX('Source Review'!$B$2:$B$52,MATCH($A156,'Source Review'!$A$2:$A$52,0)),"NOT SOURCE-REVIEWED IN THIS PASS")</f>
        <v>NOT SOURCE-REVIEWED IN THIS PASS</v>
      </c>
      <c r="AV156" s="5" t="str">
        <f>IFERROR(INDEX('Source Review'!$F$2:$F$52,MATCH($A156,'Source Review'!$A$2:$A$52,0)),"")</f>
        <v/>
      </c>
      <c r="AW156" s="5" t="str">
        <f>IFERROR(INDEX('Source Review'!$G$2:$G$52,MATCH($A156,'Source Review'!$A$2:$A$52,0)),"")</f>
        <v/>
      </c>
      <c r="AX156" s="5" t="str">
        <f>IFERROR(INDEX('Source Review'!$H$2:$H$52,MATCH($A156,'Source Review'!$A$2:$A$52,0)),"")</f>
        <v/>
      </c>
      <c r="AY156" s="2" t="str">
        <f>IF(COUNTIF('Source Review'!$A$2:$A$52,$A156)&gt;0,"UNCONFIRMED REVIEW ESTIMATE - not P80 or elapsed","NOT ESTIMATED IN THIS PASS")</f>
        <v>NOT ESTIMATED IN THIS PASS</v>
      </c>
      <c r="AZ156" s="2" t="str">
        <f>IFERROR(INDEX('Source Review'!$I$2:$I$52,MATCH($A156,'Source Review'!$A$2:$A$52,0)),"")</f>
        <v/>
      </c>
      <c r="BA156" s="2" t="str">
        <f>IFERROR(INDEX('Source Review'!$E$2:$E$52,MATCH($A156,'Source Review'!$A$2:$A$52,0)),"")</f>
        <v/>
      </c>
      <c r="BB156" s="2" t="str">
        <f>IF(COUNTIF('Source Review'!$A$2:$A$52,$A156)&gt;0,"14-Sep-2026 snapshot; later closure evidence separate; no live HEAD verification","")</f>
        <v/>
      </c>
    </row>
    <row r="157" spans="1:54" ht="75.95" hidden="1" customHeight="1">
      <c r="A157" s="2" t="s">
        <v>1095</v>
      </c>
      <c r="B157" s="2" t="s">
        <v>1243</v>
      </c>
      <c r="C157" s="2" t="s">
        <v>858</v>
      </c>
      <c r="D157" s="2" t="s">
        <v>1618</v>
      </c>
      <c r="E157" s="2" t="s">
        <v>182</v>
      </c>
      <c r="F157" s="2" t="s">
        <v>1619</v>
      </c>
      <c r="G157" s="2" t="s">
        <v>113</v>
      </c>
      <c r="H157" s="2" t="s">
        <v>1620</v>
      </c>
      <c r="I157" s="2" t="s">
        <v>1621</v>
      </c>
      <c r="J157" s="65">
        <v>12</v>
      </c>
      <c r="K157" s="94" t="s">
        <v>455</v>
      </c>
      <c r="L157" s="2" t="s">
        <v>117</v>
      </c>
      <c r="M157" s="2" t="s">
        <v>1622</v>
      </c>
      <c r="N157" s="2" t="s">
        <v>1248</v>
      </c>
      <c r="O157" s="2" t="s">
        <v>1249</v>
      </c>
      <c r="P157" s="2" t="s">
        <v>1250</v>
      </c>
      <c r="Q157" s="2" t="s">
        <v>1269</v>
      </c>
      <c r="R157" s="65">
        <v>7.2</v>
      </c>
      <c r="S157" s="2" t="s">
        <v>1473</v>
      </c>
      <c r="T157" s="2" t="s">
        <v>1270</v>
      </c>
      <c r="U157" s="2" t="s">
        <v>1271</v>
      </c>
      <c r="V157" s="2" t="s">
        <v>126</v>
      </c>
      <c r="W157" s="2" t="s">
        <v>1476</v>
      </c>
      <c r="X157" s="2" t="s">
        <v>1477</v>
      </c>
      <c r="Y157" s="33"/>
      <c r="Z157" s="9"/>
      <c r="AA157" s="2" t="s">
        <v>1623</v>
      </c>
      <c r="AB157" s="2" t="s">
        <v>1624</v>
      </c>
      <c r="AC157" s="2"/>
      <c r="AD157" s="2" t="s">
        <v>179</v>
      </c>
      <c r="AE157" s="2" t="s">
        <v>198</v>
      </c>
      <c r="AF157" s="2" t="s">
        <v>134</v>
      </c>
      <c r="AG157" s="2" t="s">
        <v>1254</v>
      </c>
      <c r="AH157" s="2" t="s">
        <v>136</v>
      </c>
      <c r="AI157" s="2" t="str">
        <f t="shared" si="16"/>
        <v/>
      </c>
      <c r="AJ157" s="2" t="s">
        <v>137</v>
      </c>
      <c r="AK157" s="2" t="s">
        <v>138</v>
      </c>
      <c r="AL157" s="2" t="s">
        <v>139</v>
      </c>
      <c r="AM157" s="2">
        <f t="shared" si="17"/>
        <v>1</v>
      </c>
      <c r="AN157" s="2"/>
      <c r="AO157" s="32" t="s">
        <v>462</v>
      </c>
      <c r="AP157" s="32" t="s">
        <v>141</v>
      </c>
      <c r="AQ157" s="32"/>
      <c r="AR157" s="32" t="s">
        <v>142</v>
      </c>
      <c r="AS157" s="65">
        <f t="shared" si="18"/>
        <v>12</v>
      </c>
      <c r="AT157" s="65">
        <f t="shared" si="19"/>
        <v>7.2</v>
      </c>
      <c r="AU157" s="2" t="str">
        <f>IFERROR(INDEX('Source Review'!$B$2:$B$52,MATCH($A157,'Source Review'!$A$2:$A$52,0)),"NOT SOURCE-REVIEWED IN THIS PASS")</f>
        <v>NOT SOURCE-REVIEWED IN THIS PASS</v>
      </c>
      <c r="AV157" s="5" t="str">
        <f>IFERROR(INDEX('Source Review'!$F$2:$F$52,MATCH($A157,'Source Review'!$A$2:$A$52,0)),"")</f>
        <v/>
      </c>
      <c r="AW157" s="5" t="str">
        <f>IFERROR(INDEX('Source Review'!$G$2:$G$52,MATCH($A157,'Source Review'!$A$2:$A$52,0)),"")</f>
        <v/>
      </c>
      <c r="AX157" s="5" t="str">
        <f>IFERROR(INDEX('Source Review'!$H$2:$H$52,MATCH($A157,'Source Review'!$A$2:$A$52,0)),"")</f>
        <v/>
      </c>
      <c r="AY157" s="2" t="str">
        <f>IF(COUNTIF('Source Review'!$A$2:$A$52,$A157)&gt;0,"UNCONFIRMED REVIEW ESTIMATE - not P80 or elapsed","NOT ESTIMATED IN THIS PASS")</f>
        <v>NOT ESTIMATED IN THIS PASS</v>
      </c>
      <c r="AZ157" s="2" t="str">
        <f>IFERROR(INDEX('Source Review'!$I$2:$I$52,MATCH($A157,'Source Review'!$A$2:$A$52,0)),"")</f>
        <v/>
      </c>
      <c r="BA157" s="2" t="str">
        <f>IFERROR(INDEX('Source Review'!$E$2:$E$52,MATCH($A157,'Source Review'!$A$2:$A$52,0)),"")</f>
        <v/>
      </c>
      <c r="BB157" s="2" t="str">
        <f>IF(COUNTIF('Source Review'!$A$2:$A$52,$A157)&gt;0,"14-Sep-2026 snapshot; later closure evidence separate; no live HEAD verification","")</f>
        <v/>
      </c>
    </row>
    <row r="158" spans="1:54" ht="75.95" hidden="1" customHeight="1">
      <c r="A158" s="2" t="s">
        <v>1625</v>
      </c>
      <c r="B158" s="2" t="s">
        <v>1243</v>
      </c>
      <c r="C158" s="2" t="s">
        <v>858</v>
      </c>
      <c r="D158" s="2" t="s">
        <v>1626</v>
      </c>
      <c r="E158" s="2" t="s">
        <v>182</v>
      </c>
      <c r="F158" s="2" t="s">
        <v>1627</v>
      </c>
      <c r="G158" s="2" t="s">
        <v>160</v>
      </c>
      <c r="H158" s="2" t="s">
        <v>1628</v>
      </c>
      <c r="I158" s="2" t="s">
        <v>1629</v>
      </c>
      <c r="J158" s="65">
        <v>12</v>
      </c>
      <c r="K158" s="94" t="s">
        <v>455</v>
      </c>
      <c r="L158" s="2" t="s">
        <v>117</v>
      </c>
      <c r="M158" s="2"/>
      <c r="N158" s="2"/>
      <c r="O158" s="2" t="s">
        <v>1249</v>
      </c>
      <c r="P158" s="2" t="s">
        <v>1250</v>
      </c>
      <c r="Q158" s="2" t="s">
        <v>1269</v>
      </c>
      <c r="R158" s="65">
        <v>7.2</v>
      </c>
      <c r="S158" s="2" t="s">
        <v>1473</v>
      </c>
      <c r="T158" s="2" t="s">
        <v>1270</v>
      </c>
      <c r="U158" s="2" t="s">
        <v>1271</v>
      </c>
      <c r="V158" s="2" t="s">
        <v>126</v>
      </c>
      <c r="W158" s="2" t="s">
        <v>1476</v>
      </c>
      <c r="X158" s="2" t="s">
        <v>1477</v>
      </c>
      <c r="Y158" s="33"/>
      <c r="Z158" s="9"/>
      <c r="AA158" s="2" t="s">
        <v>1630</v>
      </c>
      <c r="AB158" s="2" t="s">
        <v>1631</v>
      </c>
      <c r="AC158" s="2" t="s">
        <v>1632</v>
      </c>
      <c r="AD158" s="2" t="s">
        <v>179</v>
      </c>
      <c r="AE158" s="2" t="s">
        <v>198</v>
      </c>
      <c r="AF158" s="2" t="s">
        <v>134</v>
      </c>
      <c r="AG158" s="2" t="s">
        <v>1254</v>
      </c>
      <c r="AH158" s="2" t="s">
        <v>136</v>
      </c>
      <c r="AI158" s="2" t="str">
        <f t="shared" si="16"/>
        <v/>
      </c>
      <c r="AJ158" s="2" t="s">
        <v>496</v>
      </c>
      <c r="AK158" s="2" t="s">
        <v>138</v>
      </c>
      <c r="AL158" s="2" t="s">
        <v>139</v>
      </c>
      <c r="AM158" s="2">
        <f t="shared" si="17"/>
        <v>0</v>
      </c>
      <c r="AN158" s="2"/>
      <c r="AO158" s="32" t="s">
        <v>462</v>
      </c>
      <c r="AP158" s="32" t="s">
        <v>141</v>
      </c>
      <c r="AQ158" s="32"/>
      <c r="AR158" s="32" t="s">
        <v>486</v>
      </c>
      <c r="AS158" s="65" t="str">
        <f t="shared" si="18"/>
        <v/>
      </c>
      <c r="AT158" s="65" t="str">
        <f t="shared" si="19"/>
        <v/>
      </c>
      <c r="AU158" s="2" t="str">
        <f>IFERROR(INDEX('Source Review'!$B$2:$B$52,MATCH($A158,'Source Review'!$A$2:$A$52,0)),"NOT SOURCE-REVIEWED IN THIS PASS")</f>
        <v>BOUNDED SOURCE REVIEW — CALCULATOR NOT ESTABLISHED</v>
      </c>
      <c r="AV158" s="5">
        <f>IFERROR(INDEX('Source Review'!$F$2:$F$52,MATCH($A158,'Source Review'!$A$2:$A$52,0)),"")</f>
        <v>8</v>
      </c>
      <c r="AW158" s="5">
        <f>IFERROR(INDEX('Source Review'!$G$2:$G$52,MATCH($A158,'Source Review'!$A$2:$A$52,0)),"")</f>
        <v>14</v>
      </c>
      <c r="AX158" s="5">
        <f>IFERROR(INDEX('Source Review'!$H$2:$H$52,MATCH($A158,'Source Review'!$A$2:$A$52,0)),"")</f>
        <v>24</v>
      </c>
      <c r="AY158" s="2" t="str">
        <f>IF(COUNTIF('Source Review'!$A$2:$A$52,$A158)&gt;0,"UNCONFIRMED REVIEW ESTIMATE - not P80 or elapsed","NOT ESTIMATED IN THIS PASS")</f>
        <v>UNCONFIRMED REVIEW ESTIMATE - not P80 or elapsed</v>
      </c>
      <c r="AZ158" s="2" t="str">
        <f>IFERROR(INDEX('Source Review'!$I$2:$I$52,MATCH($A158,'Source Review'!$A$2:$A$52,0)),"")</f>
        <v>Formula/input authority 3/5/8; sales calculator surface/integration 3/5/9; known-answer/refusal tests 2/4/7.</v>
      </c>
      <c r="BA158" s="2" t="str">
        <f>IFERROR(INDEX('Source Review'!$E$2:$E$52,MATCH($A158,'Source Review'!$A$2:$A$52,0)),"")</f>
        <v>Website/PlantProcess.Website/src/components/proof/PricingLicenseMatrix.tsx:1-49 — plan display
Backend/PlantProcess.ML.Runtime/Benchmarks/BenchmarkManifest.cs:17-26 — selected measured value identity</v>
      </c>
      <c r="BB158" s="2" t="str">
        <f>IF(COUNTIF('Source Review'!$A$2:$A$52,$A158)&gt;0,"14-Sep-2026 snapshot; later closure evidence separate; no live HEAD verification","")</f>
        <v>14-Sep-2026 snapshot; later closure evidence separate; no live HEAD verification</v>
      </c>
    </row>
    <row r="159" spans="1:54" ht="75.95" hidden="1" customHeight="1">
      <c r="A159" s="2" t="s">
        <v>1633</v>
      </c>
      <c r="B159" s="2" t="s">
        <v>1243</v>
      </c>
      <c r="C159" s="2" t="s">
        <v>858</v>
      </c>
      <c r="D159" s="2" t="s">
        <v>1634</v>
      </c>
      <c r="E159" s="2" t="s">
        <v>182</v>
      </c>
      <c r="F159" s="2" t="s">
        <v>1635</v>
      </c>
      <c r="G159" s="2" t="s">
        <v>113</v>
      </c>
      <c r="H159" s="2" t="s">
        <v>1636</v>
      </c>
      <c r="I159" s="2" t="s">
        <v>1637</v>
      </c>
      <c r="J159" s="65">
        <v>12</v>
      </c>
      <c r="K159" s="94" t="s">
        <v>455</v>
      </c>
      <c r="L159" s="2" t="s">
        <v>293</v>
      </c>
      <c r="M159" s="2" t="s">
        <v>1638</v>
      </c>
      <c r="N159" s="2" t="s">
        <v>1639</v>
      </c>
      <c r="O159" s="2" t="s">
        <v>1249</v>
      </c>
      <c r="P159" s="2" t="s">
        <v>1250</v>
      </c>
      <c r="Q159" s="2" t="s">
        <v>186</v>
      </c>
      <c r="R159" s="65">
        <v>1.7999999999999998</v>
      </c>
      <c r="S159" s="2" t="s">
        <v>1473</v>
      </c>
      <c r="T159" s="2" t="s">
        <v>1640</v>
      </c>
      <c r="U159" s="2" t="s">
        <v>1475</v>
      </c>
      <c r="V159" s="2" t="s">
        <v>126</v>
      </c>
      <c r="W159" s="2" t="s">
        <v>1476</v>
      </c>
      <c r="X159" s="2" t="s">
        <v>1477</v>
      </c>
      <c r="Y159" s="33"/>
      <c r="Z159" s="9"/>
      <c r="AA159" s="2" t="s">
        <v>981</v>
      </c>
      <c r="AB159" s="2" t="s">
        <v>1045</v>
      </c>
      <c r="AC159" s="2" t="s">
        <v>345</v>
      </c>
      <c r="AD159" s="2" t="s">
        <v>179</v>
      </c>
      <c r="AE159" s="2" t="s">
        <v>321</v>
      </c>
      <c r="AF159" s="2" t="s">
        <v>134</v>
      </c>
      <c r="AG159" s="2" t="s">
        <v>1254</v>
      </c>
      <c r="AH159" s="2" t="s">
        <v>136</v>
      </c>
      <c r="AI159" s="2" t="str">
        <f t="shared" si="16"/>
        <v/>
      </c>
      <c r="AJ159" s="2" t="s">
        <v>137</v>
      </c>
      <c r="AK159" s="2" t="s">
        <v>138</v>
      </c>
      <c r="AL159" s="2" t="s">
        <v>139</v>
      </c>
      <c r="AM159" s="2">
        <f t="shared" si="17"/>
        <v>1</v>
      </c>
      <c r="AN159" s="2"/>
      <c r="AO159" s="32" t="s">
        <v>462</v>
      </c>
      <c r="AP159" s="32" t="s">
        <v>141</v>
      </c>
      <c r="AQ159" s="32"/>
      <c r="AR159" s="32" t="s">
        <v>142</v>
      </c>
      <c r="AS159" s="65">
        <f t="shared" si="18"/>
        <v>12</v>
      </c>
      <c r="AT159" s="65">
        <f t="shared" si="19"/>
        <v>1.7999999999999998</v>
      </c>
      <c r="AU159" s="2" t="str">
        <f>IFERROR(INDEX('Source Review'!$B$2:$B$52,MATCH($A159,'Source Review'!$A$2:$A$52,0)),"NOT SOURCE-REVIEWED IN THIS PASS")</f>
        <v>NOT SOURCE-REVIEWED IN THIS PASS</v>
      </c>
      <c r="AV159" s="5" t="str">
        <f>IFERROR(INDEX('Source Review'!$F$2:$F$52,MATCH($A159,'Source Review'!$A$2:$A$52,0)),"")</f>
        <v/>
      </c>
      <c r="AW159" s="5" t="str">
        <f>IFERROR(INDEX('Source Review'!$G$2:$G$52,MATCH($A159,'Source Review'!$A$2:$A$52,0)),"")</f>
        <v/>
      </c>
      <c r="AX159" s="5" t="str">
        <f>IFERROR(INDEX('Source Review'!$H$2:$H$52,MATCH($A159,'Source Review'!$A$2:$A$52,0)),"")</f>
        <v/>
      </c>
      <c r="AY159" s="2" t="str">
        <f>IF(COUNTIF('Source Review'!$A$2:$A$52,$A159)&gt;0,"UNCONFIRMED REVIEW ESTIMATE - not P80 or elapsed","NOT ESTIMATED IN THIS PASS")</f>
        <v>NOT ESTIMATED IN THIS PASS</v>
      </c>
      <c r="AZ159" s="2" t="str">
        <f>IFERROR(INDEX('Source Review'!$I$2:$I$52,MATCH($A159,'Source Review'!$A$2:$A$52,0)),"")</f>
        <v/>
      </c>
      <c r="BA159" s="2" t="str">
        <f>IFERROR(INDEX('Source Review'!$E$2:$E$52,MATCH($A159,'Source Review'!$A$2:$A$52,0)),"")</f>
        <v/>
      </c>
      <c r="BB159" s="2" t="str">
        <f>IF(COUNTIF('Source Review'!$A$2:$A$52,$A159)&gt;0,"14-Sep-2026 snapshot; later closure evidence separate; no live HEAD verification","")</f>
        <v/>
      </c>
    </row>
    <row r="160" spans="1:54" ht="75.95" hidden="1" customHeight="1">
      <c r="A160" s="2" t="s">
        <v>1641</v>
      </c>
      <c r="B160" s="2" t="s">
        <v>1243</v>
      </c>
      <c r="C160" s="2" t="s">
        <v>858</v>
      </c>
      <c r="D160" s="2" t="s">
        <v>1642</v>
      </c>
      <c r="E160" s="2" t="s">
        <v>860</v>
      </c>
      <c r="F160" s="2" t="s">
        <v>1643</v>
      </c>
      <c r="G160" s="2" t="s">
        <v>113</v>
      </c>
      <c r="H160" s="2" t="s">
        <v>1644</v>
      </c>
      <c r="I160" s="2" t="s">
        <v>1645</v>
      </c>
      <c r="J160" s="65">
        <v>12</v>
      </c>
      <c r="K160" s="94" t="s">
        <v>455</v>
      </c>
      <c r="L160" s="2" t="s">
        <v>293</v>
      </c>
      <c r="M160" s="2" t="s">
        <v>1646</v>
      </c>
      <c r="N160" s="2" t="s">
        <v>1647</v>
      </c>
      <c r="O160" s="2" t="s">
        <v>1249</v>
      </c>
      <c r="P160" s="2" t="s">
        <v>1250</v>
      </c>
      <c r="Q160" s="2" t="s">
        <v>1472</v>
      </c>
      <c r="R160" s="65">
        <v>1.7999999999999998</v>
      </c>
      <c r="S160" s="2" t="s">
        <v>1473</v>
      </c>
      <c r="T160" s="2" t="s">
        <v>1648</v>
      </c>
      <c r="U160" s="2" t="s">
        <v>1475</v>
      </c>
      <c r="V160" s="2" t="s">
        <v>126</v>
      </c>
      <c r="W160" s="2" t="s">
        <v>1476</v>
      </c>
      <c r="X160" s="2" t="s">
        <v>1477</v>
      </c>
      <c r="Y160" s="33"/>
      <c r="Z160" s="9"/>
      <c r="AA160" s="2" t="s">
        <v>566</v>
      </c>
      <c r="AB160" s="2" t="s">
        <v>890</v>
      </c>
      <c r="AC160" s="2"/>
      <c r="AD160" s="2" t="s">
        <v>179</v>
      </c>
      <c r="AE160" s="2" t="s">
        <v>198</v>
      </c>
      <c r="AF160" s="2" t="s">
        <v>134</v>
      </c>
      <c r="AG160" s="2" t="s">
        <v>1254</v>
      </c>
      <c r="AH160" s="2" t="s">
        <v>136</v>
      </c>
      <c r="AI160" s="2" t="str">
        <f t="shared" si="16"/>
        <v/>
      </c>
      <c r="AJ160" s="2" t="s">
        <v>137</v>
      </c>
      <c r="AK160" s="2" t="s">
        <v>138</v>
      </c>
      <c r="AL160" s="2" t="s">
        <v>139</v>
      </c>
      <c r="AM160" s="2">
        <f t="shared" si="17"/>
        <v>1</v>
      </c>
      <c r="AN160" s="2"/>
      <c r="AO160" s="32" t="s">
        <v>462</v>
      </c>
      <c r="AP160" s="32" t="s">
        <v>141</v>
      </c>
      <c r="AQ160" s="32"/>
      <c r="AR160" s="32" t="s">
        <v>142</v>
      </c>
      <c r="AS160" s="65">
        <f t="shared" si="18"/>
        <v>12</v>
      </c>
      <c r="AT160" s="65">
        <f t="shared" si="19"/>
        <v>1.7999999999999998</v>
      </c>
      <c r="AU160" s="2" t="str">
        <f>IFERROR(INDEX('Source Review'!$B$2:$B$52,MATCH($A160,'Source Review'!$A$2:$A$52,0)),"NOT SOURCE-REVIEWED IN THIS PASS")</f>
        <v>NOT SOURCE-REVIEWED IN THIS PASS</v>
      </c>
      <c r="AV160" s="5" t="str">
        <f>IFERROR(INDEX('Source Review'!$F$2:$F$52,MATCH($A160,'Source Review'!$A$2:$A$52,0)),"")</f>
        <v/>
      </c>
      <c r="AW160" s="5" t="str">
        <f>IFERROR(INDEX('Source Review'!$G$2:$G$52,MATCH($A160,'Source Review'!$A$2:$A$52,0)),"")</f>
        <v/>
      </c>
      <c r="AX160" s="5" t="str">
        <f>IFERROR(INDEX('Source Review'!$H$2:$H$52,MATCH($A160,'Source Review'!$A$2:$A$52,0)),"")</f>
        <v/>
      </c>
      <c r="AY160" s="2" t="str">
        <f>IF(COUNTIF('Source Review'!$A$2:$A$52,$A160)&gt;0,"UNCONFIRMED REVIEW ESTIMATE - not P80 or elapsed","NOT ESTIMATED IN THIS PASS")</f>
        <v>NOT ESTIMATED IN THIS PASS</v>
      </c>
      <c r="AZ160" s="2" t="str">
        <f>IFERROR(INDEX('Source Review'!$I$2:$I$52,MATCH($A160,'Source Review'!$A$2:$A$52,0)),"")</f>
        <v/>
      </c>
      <c r="BA160" s="2" t="str">
        <f>IFERROR(INDEX('Source Review'!$E$2:$E$52,MATCH($A160,'Source Review'!$A$2:$A$52,0)),"")</f>
        <v/>
      </c>
      <c r="BB160" s="2" t="str">
        <f>IF(COUNTIF('Source Review'!$A$2:$A$52,$A160)&gt;0,"14-Sep-2026 snapshot; later closure evidence separate; no live HEAD verification","")</f>
        <v/>
      </c>
    </row>
    <row r="161" spans="1:54" ht="75.95" hidden="1" customHeight="1">
      <c r="A161" s="2" t="s">
        <v>1649</v>
      </c>
      <c r="B161" s="2" t="s">
        <v>1243</v>
      </c>
      <c r="C161" s="2" t="s">
        <v>858</v>
      </c>
      <c r="D161" s="2" t="s">
        <v>1650</v>
      </c>
      <c r="E161" s="2" t="s">
        <v>860</v>
      </c>
      <c r="F161" s="2" t="s">
        <v>1643</v>
      </c>
      <c r="G161" s="2" t="s">
        <v>113</v>
      </c>
      <c r="H161" s="2" t="s">
        <v>1651</v>
      </c>
      <c r="I161" s="2" t="s">
        <v>1652</v>
      </c>
      <c r="J161" s="65">
        <v>12</v>
      </c>
      <c r="K161" s="94" t="s">
        <v>455</v>
      </c>
      <c r="L161" s="2" t="s">
        <v>293</v>
      </c>
      <c r="M161" s="2" t="s">
        <v>1653</v>
      </c>
      <c r="N161" s="2" t="s">
        <v>1647</v>
      </c>
      <c r="O161" s="2" t="s">
        <v>1249</v>
      </c>
      <c r="P161" s="2" t="s">
        <v>1250</v>
      </c>
      <c r="Q161" s="2" t="s">
        <v>1472</v>
      </c>
      <c r="R161" s="65">
        <v>1.7999999999999998</v>
      </c>
      <c r="S161" s="2" t="s">
        <v>1473</v>
      </c>
      <c r="T161" s="2" t="s">
        <v>1654</v>
      </c>
      <c r="U161" s="2" t="s">
        <v>1475</v>
      </c>
      <c r="V161" s="2" t="s">
        <v>126</v>
      </c>
      <c r="W161" s="2" t="s">
        <v>1476</v>
      </c>
      <c r="X161" s="2" t="s">
        <v>1477</v>
      </c>
      <c r="Y161" s="33"/>
      <c r="Z161" s="9"/>
      <c r="AA161" s="2" t="s">
        <v>566</v>
      </c>
      <c r="AB161" s="2" t="s">
        <v>890</v>
      </c>
      <c r="AC161" s="2"/>
      <c r="AD161" s="2" t="s">
        <v>179</v>
      </c>
      <c r="AE161" s="2" t="s">
        <v>191</v>
      </c>
      <c r="AF161" s="2" t="s">
        <v>134</v>
      </c>
      <c r="AG161" s="2" t="s">
        <v>1254</v>
      </c>
      <c r="AH161" s="2" t="s">
        <v>136</v>
      </c>
      <c r="AI161" s="2" t="str">
        <f t="shared" si="16"/>
        <v/>
      </c>
      <c r="AJ161" s="2" t="s">
        <v>137</v>
      </c>
      <c r="AK161" s="2" t="s">
        <v>138</v>
      </c>
      <c r="AL161" s="2" t="s">
        <v>139</v>
      </c>
      <c r="AM161" s="2">
        <f t="shared" si="17"/>
        <v>1</v>
      </c>
      <c r="AN161" s="2"/>
      <c r="AO161" s="32" t="s">
        <v>462</v>
      </c>
      <c r="AP161" s="32" t="s">
        <v>141</v>
      </c>
      <c r="AQ161" s="32"/>
      <c r="AR161" s="32" t="s">
        <v>142</v>
      </c>
      <c r="AS161" s="65">
        <f t="shared" si="18"/>
        <v>12</v>
      </c>
      <c r="AT161" s="65">
        <f t="shared" si="19"/>
        <v>1.7999999999999998</v>
      </c>
      <c r="AU161" s="2" t="str">
        <f>IFERROR(INDEX('Source Review'!$B$2:$B$52,MATCH($A161,'Source Review'!$A$2:$A$52,0)),"NOT SOURCE-REVIEWED IN THIS PASS")</f>
        <v>NOT SOURCE-REVIEWED IN THIS PASS</v>
      </c>
      <c r="AV161" s="5" t="str">
        <f>IFERROR(INDEX('Source Review'!$F$2:$F$52,MATCH($A161,'Source Review'!$A$2:$A$52,0)),"")</f>
        <v/>
      </c>
      <c r="AW161" s="5" t="str">
        <f>IFERROR(INDEX('Source Review'!$G$2:$G$52,MATCH($A161,'Source Review'!$A$2:$A$52,0)),"")</f>
        <v/>
      </c>
      <c r="AX161" s="5" t="str">
        <f>IFERROR(INDEX('Source Review'!$H$2:$H$52,MATCH($A161,'Source Review'!$A$2:$A$52,0)),"")</f>
        <v/>
      </c>
      <c r="AY161" s="2" t="str">
        <f>IF(COUNTIF('Source Review'!$A$2:$A$52,$A161)&gt;0,"UNCONFIRMED REVIEW ESTIMATE - not P80 or elapsed","NOT ESTIMATED IN THIS PASS")</f>
        <v>NOT ESTIMATED IN THIS PASS</v>
      </c>
      <c r="AZ161" s="2" t="str">
        <f>IFERROR(INDEX('Source Review'!$I$2:$I$52,MATCH($A161,'Source Review'!$A$2:$A$52,0)),"")</f>
        <v/>
      </c>
      <c r="BA161" s="2" t="str">
        <f>IFERROR(INDEX('Source Review'!$E$2:$E$52,MATCH($A161,'Source Review'!$A$2:$A$52,0)),"")</f>
        <v/>
      </c>
      <c r="BB161" s="2" t="str">
        <f>IF(COUNTIF('Source Review'!$A$2:$A$52,$A161)&gt;0,"14-Sep-2026 snapshot; later closure evidence separate; no live HEAD verification","")</f>
        <v/>
      </c>
    </row>
    <row r="162" spans="1:54" ht="75.95" hidden="1" customHeight="1">
      <c r="A162" s="2" t="s">
        <v>1655</v>
      </c>
      <c r="B162" s="2" t="s">
        <v>1243</v>
      </c>
      <c r="C162" s="2" t="s">
        <v>858</v>
      </c>
      <c r="D162" s="2" t="s">
        <v>1656</v>
      </c>
      <c r="E162" s="2" t="s">
        <v>899</v>
      </c>
      <c r="F162" s="2" t="s">
        <v>900</v>
      </c>
      <c r="G162" s="2" t="s">
        <v>113</v>
      </c>
      <c r="H162" s="2" t="s">
        <v>1657</v>
      </c>
      <c r="I162" s="2" t="s">
        <v>1658</v>
      </c>
      <c r="J162" s="65">
        <v>12</v>
      </c>
      <c r="K162" s="94" t="s">
        <v>455</v>
      </c>
      <c r="L162" s="2" t="s">
        <v>293</v>
      </c>
      <c r="M162" s="2" t="s">
        <v>1659</v>
      </c>
      <c r="N162" s="2" t="s">
        <v>1660</v>
      </c>
      <c r="O162" s="2" t="s">
        <v>1249</v>
      </c>
      <c r="P162" s="2" t="s">
        <v>1250</v>
      </c>
      <c r="Q162" s="2" t="s">
        <v>1472</v>
      </c>
      <c r="R162" s="65">
        <v>1.7999999999999998</v>
      </c>
      <c r="S162" s="2" t="s">
        <v>1473</v>
      </c>
      <c r="T162" s="2" t="s">
        <v>1661</v>
      </c>
      <c r="U162" s="2" t="s">
        <v>1475</v>
      </c>
      <c r="V162" s="2" t="s">
        <v>126</v>
      </c>
      <c r="W162" s="2" t="s">
        <v>1476</v>
      </c>
      <c r="X162" s="2" t="s">
        <v>1477</v>
      </c>
      <c r="Y162" s="33"/>
      <c r="Z162" s="9"/>
      <c r="AA162" s="2" t="s">
        <v>905</v>
      </c>
      <c r="AB162" s="2" t="s">
        <v>906</v>
      </c>
      <c r="AC162" s="2" t="s">
        <v>872</v>
      </c>
      <c r="AD162" s="2" t="s">
        <v>179</v>
      </c>
      <c r="AE162" s="2" t="s">
        <v>191</v>
      </c>
      <c r="AF162" s="2" t="s">
        <v>134</v>
      </c>
      <c r="AG162" s="2" t="s">
        <v>1254</v>
      </c>
      <c r="AH162" s="2" t="s">
        <v>136</v>
      </c>
      <c r="AI162" s="2" t="str">
        <f t="shared" ref="AI162:AI176" si="20">IF(Y162="","",Y162)</f>
        <v/>
      </c>
      <c r="AJ162" s="2" t="s">
        <v>496</v>
      </c>
      <c r="AK162" s="2" t="s">
        <v>138</v>
      </c>
      <c r="AL162" s="2" t="s">
        <v>139</v>
      </c>
      <c r="AM162" s="2">
        <f t="shared" ref="AM162:AM180" si="21">IF(AND(ISNUMBER(J162),OR(AR162="INHERITED ESTIMATE",AR162="CONFIRMED ESTIMATE")),1,0)</f>
        <v>0</v>
      </c>
      <c r="AN162" s="2"/>
      <c r="AO162" s="32" t="s">
        <v>462</v>
      </c>
      <c r="AP162" s="32" t="s">
        <v>141</v>
      </c>
      <c r="AQ162" s="32"/>
      <c r="AR162" s="32" t="s">
        <v>486</v>
      </c>
      <c r="AS162" s="65" t="str">
        <f t="shared" ref="AS162:AS180" si="22">IF(AM162=1,J162,"")</f>
        <v/>
      </c>
      <c r="AT162" s="65" t="str">
        <f t="shared" ref="AT162:AT180" si="23">IF(AND(AM162=1,ISNUMBER(R162)),R162,"")</f>
        <v/>
      </c>
      <c r="AU162" s="2" t="str">
        <f>IFERROR(INDEX('Source Review'!$B$2:$B$52,MATCH($A162,'Source Review'!$A$2:$A$52,0)),"NOT SOURCE-REVIEWED IN THIS PASS")</f>
        <v>SOURCE REVIEWED — KERNEL REUSABLE / PERSISTENCE AND WIRING GAP</v>
      </c>
      <c r="AV162" s="5">
        <f>IFERROR(INDEX('Source Review'!$F$2:$F$52,MATCH($A162,'Source Review'!$A$2:$A$52,0)),"")</f>
        <v>8</v>
      </c>
      <c r="AW162" s="5">
        <f>IFERROR(INDEX('Source Review'!$G$2:$G$52,MATCH($A162,'Source Review'!$A$2:$A$52,0)),"")</f>
        <v>14</v>
      </c>
      <c r="AX162" s="5">
        <f>IFERROR(INDEX('Source Review'!$H$2:$H$52,MATCH($A162,'Source Review'!$A$2:$A$52,0)),"")</f>
        <v>24</v>
      </c>
      <c r="AY162" s="2" t="str">
        <f>IF(COUNTIF('Source Review'!$A$2:$A$52,$A162)&gt;0,"UNCONFIRMED REVIEW ESTIMATE - not P80 or elapsed","NOT ESTIMATED IN THIS PASS")</f>
        <v>UNCONFIRMED REVIEW ESTIMATE - not P80 or elapsed</v>
      </c>
      <c r="AZ162" s="2" t="str">
        <f>IFERROR(INDEX('Source Review'!$I$2:$I$52,MATCH($A162,'Source Review'!$A$2:$A$52,0)),"")</f>
        <v>Persistence/versioning 3/5/9; point/governor/consumer integration 3/5/8; deterministic/negative tests 2/4/7.</v>
      </c>
      <c r="BA162" s="2" t="str">
        <f>IFERROR(INDEX('Source Review'!$E$2:$E$52,MATCH($A162,'Source Review'!$A$2:$A$52,0)),"")</f>
        <v>Backend/PlantProcess.Analytics.Core/Kernel/Capability/CapabilityProfiler.cs:8-19 — pure kernel boundary
Backend/PlantProcess.Analytics.Core/Kernel/Capability/CapabilityProfiler.cs:36-64 — profile calculation
Backend/PlantProcess.Analytics.Core/Kernel/Capability/CapabilityProfiler.cs:69-96 — dimension assessment</v>
      </c>
      <c r="BB162" s="2" t="str">
        <f>IF(COUNTIF('Source Review'!$A$2:$A$52,$A162)&gt;0,"14-Sep-2026 snapshot; later closure evidence separate; no live HEAD verification","")</f>
        <v>14-Sep-2026 snapshot; later closure evidence separate; no live HEAD verification</v>
      </c>
    </row>
    <row r="163" spans="1:54" ht="75.95" hidden="1" customHeight="1">
      <c r="A163" s="2" t="s">
        <v>912</v>
      </c>
      <c r="B163" s="2" t="s">
        <v>1243</v>
      </c>
      <c r="C163" s="2" t="s">
        <v>858</v>
      </c>
      <c r="D163" s="2" t="s">
        <v>1662</v>
      </c>
      <c r="E163" s="2" t="s">
        <v>860</v>
      </c>
      <c r="F163" s="2" t="s">
        <v>1663</v>
      </c>
      <c r="G163" s="2" t="s">
        <v>113</v>
      </c>
      <c r="H163" s="2" t="s">
        <v>1664</v>
      </c>
      <c r="I163" s="2" t="s">
        <v>1665</v>
      </c>
      <c r="J163" s="65">
        <v>12</v>
      </c>
      <c r="K163" s="94" t="s">
        <v>455</v>
      </c>
      <c r="L163" s="2" t="s">
        <v>293</v>
      </c>
      <c r="M163" s="2" t="s">
        <v>1666</v>
      </c>
      <c r="N163" s="2" t="s">
        <v>1667</v>
      </c>
      <c r="O163" s="2" t="s">
        <v>1249</v>
      </c>
      <c r="P163" s="2" t="s">
        <v>1250</v>
      </c>
      <c r="Q163" s="2" t="s">
        <v>1472</v>
      </c>
      <c r="R163" s="65">
        <v>1.7999999999999998</v>
      </c>
      <c r="S163" s="2" t="s">
        <v>1473</v>
      </c>
      <c r="T163" s="2" t="s">
        <v>1668</v>
      </c>
      <c r="U163" s="2" t="s">
        <v>1475</v>
      </c>
      <c r="V163" s="2" t="s">
        <v>126</v>
      </c>
      <c r="W163" s="2" t="s">
        <v>1476</v>
      </c>
      <c r="X163" s="2" t="s">
        <v>1477</v>
      </c>
      <c r="Y163" s="33"/>
      <c r="Z163" s="9"/>
      <c r="AA163" s="2" t="s">
        <v>881</v>
      </c>
      <c r="AB163" s="2" t="s">
        <v>882</v>
      </c>
      <c r="AC163" s="2" t="s">
        <v>989</v>
      </c>
      <c r="AD163" s="2" t="s">
        <v>179</v>
      </c>
      <c r="AE163" s="2" t="s">
        <v>198</v>
      </c>
      <c r="AF163" s="2" t="s">
        <v>134</v>
      </c>
      <c r="AG163" s="2" t="s">
        <v>1254</v>
      </c>
      <c r="AH163" s="2" t="s">
        <v>136</v>
      </c>
      <c r="AI163" s="2" t="str">
        <f t="shared" si="20"/>
        <v/>
      </c>
      <c r="AJ163" s="2" t="s">
        <v>137</v>
      </c>
      <c r="AK163" s="2" t="s">
        <v>138</v>
      </c>
      <c r="AL163" s="2" t="s">
        <v>139</v>
      </c>
      <c r="AM163" s="2">
        <f t="shared" si="21"/>
        <v>1</v>
      </c>
      <c r="AN163" s="2"/>
      <c r="AO163" s="32" t="s">
        <v>462</v>
      </c>
      <c r="AP163" s="32" t="s">
        <v>141</v>
      </c>
      <c r="AQ163" s="32"/>
      <c r="AR163" s="32" t="s">
        <v>142</v>
      </c>
      <c r="AS163" s="65">
        <f t="shared" si="22"/>
        <v>12</v>
      </c>
      <c r="AT163" s="65">
        <f t="shared" si="23"/>
        <v>1.7999999999999998</v>
      </c>
      <c r="AU163" s="2" t="str">
        <f>IFERROR(INDEX('Source Review'!$B$2:$B$52,MATCH($A163,'Source Review'!$A$2:$A$52,0)),"NOT SOURCE-REVIEWED IN THIS PASS")</f>
        <v>NOT SOURCE-REVIEWED IN THIS PASS</v>
      </c>
      <c r="AV163" s="5" t="str">
        <f>IFERROR(INDEX('Source Review'!$F$2:$F$52,MATCH($A163,'Source Review'!$A$2:$A$52,0)),"")</f>
        <v/>
      </c>
      <c r="AW163" s="5" t="str">
        <f>IFERROR(INDEX('Source Review'!$G$2:$G$52,MATCH($A163,'Source Review'!$A$2:$A$52,0)),"")</f>
        <v/>
      </c>
      <c r="AX163" s="5" t="str">
        <f>IFERROR(INDEX('Source Review'!$H$2:$H$52,MATCH($A163,'Source Review'!$A$2:$A$52,0)),"")</f>
        <v/>
      </c>
      <c r="AY163" s="2" t="str">
        <f>IF(COUNTIF('Source Review'!$A$2:$A$52,$A163)&gt;0,"UNCONFIRMED REVIEW ESTIMATE - not P80 or elapsed","NOT ESTIMATED IN THIS PASS")</f>
        <v>NOT ESTIMATED IN THIS PASS</v>
      </c>
      <c r="AZ163" s="2" t="str">
        <f>IFERROR(INDEX('Source Review'!$I$2:$I$52,MATCH($A163,'Source Review'!$A$2:$A$52,0)),"")</f>
        <v/>
      </c>
      <c r="BA163" s="2" t="str">
        <f>IFERROR(INDEX('Source Review'!$E$2:$E$52,MATCH($A163,'Source Review'!$A$2:$A$52,0)),"")</f>
        <v/>
      </c>
      <c r="BB163" s="2" t="str">
        <f>IF(COUNTIF('Source Review'!$A$2:$A$52,$A163)&gt;0,"14-Sep-2026 snapshot; later closure evidence separate; no live HEAD verification","")</f>
        <v/>
      </c>
    </row>
    <row r="164" spans="1:54" ht="75.95" hidden="1" customHeight="1">
      <c r="A164" s="2" t="s">
        <v>1669</v>
      </c>
      <c r="B164" s="2" t="s">
        <v>1243</v>
      </c>
      <c r="C164" s="2" t="s">
        <v>858</v>
      </c>
      <c r="D164" s="2" t="s">
        <v>1670</v>
      </c>
      <c r="E164" s="2" t="s">
        <v>264</v>
      </c>
      <c r="F164" s="2" t="s">
        <v>1671</v>
      </c>
      <c r="G164" s="2" t="s">
        <v>113</v>
      </c>
      <c r="H164" s="2" t="s">
        <v>1672</v>
      </c>
      <c r="I164" s="2" t="s">
        <v>1673</v>
      </c>
      <c r="J164" s="65">
        <v>10</v>
      </c>
      <c r="K164" s="94" t="s">
        <v>455</v>
      </c>
      <c r="L164" s="2" t="s">
        <v>293</v>
      </c>
      <c r="M164" s="2" t="s">
        <v>1674</v>
      </c>
      <c r="N164" s="2" t="s">
        <v>1675</v>
      </c>
      <c r="O164" s="2" t="s">
        <v>1249</v>
      </c>
      <c r="P164" s="2" t="s">
        <v>1250</v>
      </c>
      <c r="Q164" s="2" t="s">
        <v>458</v>
      </c>
      <c r="R164" s="65">
        <v>1.6666666666666667</v>
      </c>
      <c r="S164" s="2" t="s">
        <v>1473</v>
      </c>
      <c r="T164" s="2" t="s">
        <v>1676</v>
      </c>
      <c r="U164" s="2" t="s">
        <v>1475</v>
      </c>
      <c r="V164" s="2" t="s">
        <v>126</v>
      </c>
      <c r="W164" s="2" t="s">
        <v>1476</v>
      </c>
      <c r="X164" s="2" t="s">
        <v>1477</v>
      </c>
      <c r="Y164" s="33"/>
      <c r="Z164" s="9"/>
      <c r="AA164" s="2" t="s">
        <v>591</v>
      </c>
      <c r="AB164" s="2" t="s">
        <v>592</v>
      </c>
      <c r="AC164" s="2" t="s">
        <v>1677</v>
      </c>
      <c r="AD164" s="2" t="s">
        <v>156</v>
      </c>
      <c r="AE164" s="2" t="s">
        <v>251</v>
      </c>
      <c r="AF164" s="2" t="s">
        <v>134</v>
      </c>
      <c r="AG164" s="2" t="s">
        <v>1254</v>
      </c>
      <c r="AH164" s="2" t="s">
        <v>136</v>
      </c>
      <c r="AI164" s="2" t="str">
        <f t="shared" si="20"/>
        <v/>
      </c>
      <c r="AJ164" s="2" t="s">
        <v>137</v>
      </c>
      <c r="AK164" s="2" t="s">
        <v>138</v>
      </c>
      <c r="AL164" s="2" t="s">
        <v>139</v>
      </c>
      <c r="AM164" s="2">
        <f t="shared" si="21"/>
        <v>1</v>
      </c>
      <c r="AN164" s="2"/>
      <c r="AO164" s="32" t="s">
        <v>462</v>
      </c>
      <c r="AP164" s="32" t="s">
        <v>141</v>
      </c>
      <c r="AQ164" s="32"/>
      <c r="AR164" s="32" t="s">
        <v>142</v>
      </c>
      <c r="AS164" s="65">
        <f t="shared" si="22"/>
        <v>10</v>
      </c>
      <c r="AT164" s="65">
        <f t="shared" si="23"/>
        <v>1.6666666666666667</v>
      </c>
      <c r="AU164" s="2" t="str">
        <f>IFERROR(INDEX('Source Review'!$B$2:$B$52,MATCH($A164,'Source Review'!$A$2:$A$52,0)),"NOT SOURCE-REVIEWED IN THIS PASS")</f>
        <v>NOT SOURCE-REVIEWED IN THIS PASS</v>
      </c>
      <c r="AV164" s="5" t="str">
        <f>IFERROR(INDEX('Source Review'!$F$2:$F$52,MATCH($A164,'Source Review'!$A$2:$A$52,0)),"")</f>
        <v/>
      </c>
      <c r="AW164" s="5" t="str">
        <f>IFERROR(INDEX('Source Review'!$G$2:$G$52,MATCH($A164,'Source Review'!$A$2:$A$52,0)),"")</f>
        <v/>
      </c>
      <c r="AX164" s="5" t="str">
        <f>IFERROR(INDEX('Source Review'!$H$2:$H$52,MATCH($A164,'Source Review'!$A$2:$A$52,0)),"")</f>
        <v/>
      </c>
      <c r="AY164" s="2" t="str">
        <f>IF(COUNTIF('Source Review'!$A$2:$A$52,$A164)&gt;0,"UNCONFIRMED REVIEW ESTIMATE - not P80 or elapsed","NOT ESTIMATED IN THIS PASS")</f>
        <v>NOT ESTIMATED IN THIS PASS</v>
      </c>
      <c r="AZ164" s="2" t="str">
        <f>IFERROR(INDEX('Source Review'!$I$2:$I$52,MATCH($A164,'Source Review'!$A$2:$A$52,0)),"")</f>
        <v/>
      </c>
      <c r="BA164" s="2" t="str">
        <f>IFERROR(INDEX('Source Review'!$E$2:$E$52,MATCH($A164,'Source Review'!$A$2:$A$52,0)),"")</f>
        <v/>
      </c>
      <c r="BB164" s="2" t="str">
        <f>IF(COUNTIF('Source Review'!$A$2:$A$52,$A164)&gt;0,"14-Sep-2026 snapshot; later closure evidence separate; no live HEAD verification","")</f>
        <v/>
      </c>
    </row>
    <row r="165" spans="1:54" ht="75.95" hidden="1" customHeight="1">
      <c r="A165" s="2" t="s">
        <v>1562</v>
      </c>
      <c r="B165" s="2" t="s">
        <v>1243</v>
      </c>
      <c r="C165" s="2" t="s">
        <v>858</v>
      </c>
      <c r="D165" s="2" t="s">
        <v>1678</v>
      </c>
      <c r="E165" s="2" t="s">
        <v>264</v>
      </c>
      <c r="F165" s="2" t="s">
        <v>1679</v>
      </c>
      <c r="G165" s="2" t="s">
        <v>113</v>
      </c>
      <c r="H165" s="2" t="s">
        <v>1680</v>
      </c>
      <c r="I165" s="2" t="s">
        <v>1681</v>
      </c>
      <c r="J165" s="65">
        <v>12</v>
      </c>
      <c r="K165" s="94" t="s">
        <v>455</v>
      </c>
      <c r="L165" s="2" t="s">
        <v>293</v>
      </c>
      <c r="M165" s="2" t="s">
        <v>1682</v>
      </c>
      <c r="N165" s="2" t="s">
        <v>1683</v>
      </c>
      <c r="O165" s="2" t="s">
        <v>1249</v>
      </c>
      <c r="P165" s="2" t="s">
        <v>1250</v>
      </c>
      <c r="Q165" s="2" t="s">
        <v>458</v>
      </c>
      <c r="R165" s="65">
        <v>2</v>
      </c>
      <c r="S165" s="2" t="s">
        <v>1473</v>
      </c>
      <c r="T165" s="2" t="s">
        <v>1684</v>
      </c>
      <c r="U165" s="2" t="s">
        <v>1475</v>
      </c>
      <c r="V165" s="2" t="s">
        <v>126</v>
      </c>
      <c r="W165" s="2" t="s">
        <v>1476</v>
      </c>
      <c r="X165" s="2" t="s">
        <v>1477</v>
      </c>
      <c r="Y165" s="33"/>
      <c r="Z165" s="9"/>
      <c r="AA165" s="2" t="s">
        <v>958</v>
      </c>
      <c r="AB165" s="2" t="s">
        <v>959</v>
      </c>
      <c r="AC165" s="2" t="s">
        <v>591</v>
      </c>
      <c r="AD165" s="2" t="s">
        <v>156</v>
      </c>
      <c r="AE165" s="2" t="s">
        <v>251</v>
      </c>
      <c r="AF165" s="2" t="s">
        <v>134</v>
      </c>
      <c r="AG165" s="2" t="s">
        <v>1254</v>
      </c>
      <c r="AH165" s="2" t="s">
        <v>136</v>
      </c>
      <c r="AI165" s="2" t="str">
        <f t="shared" si="20"/>
        <v/>
      </c>
      <c r="AJ165" s="2" t="s">
        <v>137</v>
      </c>
      <c r="AK165" s="2" t="s">
        <v>138</v>
      </c>
      <c r="AL165" s="2" t="s">
        <v>139</v>
      </c>
      <c r="AM165" s="2">
        <f t="shared" si="21"/>
        <v>1</v>
      </c>
      <c r="AN165" s="2"/>
      <c r="AO165" s="32" t="s">
        <v>462</v>
      </c>
      <c r="AP165" s="32" t="s">
        <v>141</v>
      </c>
      <c r="AQ165" s="32"/>
      <c r="AR165" s="32" t="s">
        <v>142</v>
      </c>
      <c r="AS165" s="65">
        <f t="shared" si="22"/>
        <v>12</v>
      </c>
      <c r="AT165" s="65">
        <f t="shared" si="23"/>
        <v>2</v>
      </c>
      <c r="AU165" s="2" t="str">
        <f>IFERROR(INDEX('Source Review'!$B$2:$B$52,MATCH($A165,'Source Review'!$A$2:$A$52,0)),"NOT SOURCE-REVIEWED IN THIS PASS")</f>
        <v>NOT SOURCE-REVIEWED IN THIS PASS</v>
      </c>
      <c r="AV165" s="5" t="str">
        <f>IFERROR(INDEX('Source Review'!$F$2:$F$52,MATCH($A165,'Source Review'!$A$2:$A$52,0)),"")</f>
        <v/>
      </c>
      <c r="AW165" s="5" t="str">
        <f>IFERROR(INDEX('Source Review'!$G$2:$G$52,MATCH($A165,'Source Review'!$A$2:$A$52,0)),"")</f>
        <v/>
      </c>
      <c r="AX165" s="5" t="str">
        <f>IFERROR(INDEX('Source Review'!$H$2:$H$52,MATCH($A165,'Source Review'!$A$2:$A$52,0)),"")</f>
        <v/>
      </c>
      <c r="AY165" s="2" t="str">
        <f>IF(COUNTIF('Source Review'!$A$2:$A$52,$A165)&gt;0,"UNCONFIRMED REVIEW ESTIMATE - not P80 or elapsed","NOT ESTIMATED IN THIS PASS")</f>
        <v>NOT ESTIMATED IN THIS PASS</v>
      </c>
      <c r="AZ165" s="2" t="str">
        <f>IFERROR(INDEX('Source Review'!$I$2:$I$52,MATCH($A165,'Source Review'!$A$2:$A$52,0)),"")</f>
        <v/>
      </c>
      <c r="BA165" s="2" t="str">
        <f>IFERROR(INDEX('Source Review'!$E$2:$E$52,MATCH($A165,'Source Review'!$A$2:$A$52,0)),"")</f>
        <v/>
      </c>
      <c r="BB165" s="2" t="str">
        <f>IF(COUNTIF('Source Review'!$A$2:$A$52,$A165)&gt;0,"14-Sep-2026 snapshot; later closure evidence separate; no live HEAD verification","")</f>
        <v/>
      </c>
    </row>
    <row r="166" spans="1:54" ht="75.95" hidden="1" customHeight="1">
      <c r="A166" s="4" t="s">
        <v>1685</v>
      </c>
      <c r="B166" s="4" t="s">
        <v>1243</v>
      </c>
      <c r="C166" s="4" t="s">
        <v>858</v>
      </c>
      <c r="D166" s="4" t="s">
        <v>1686</v>
      </c>
      <c r="E166" s="4" t="s">
        <v>264</v>
      </c>
      <c r="F166" s="4" t="s">
        <v>1687</v>
      </c>
      <c r="G166" s="4" t="s">
        <v>113</v>
      </c>
      <c r="H166" s="4" t="s">
        <v>1688</v>
      </c>
      <c r="I166" s="4" t="s">
        <v>1689</v>
      </c>
      <c r="J166" s="64">
        <v>12</v>
      </c>
      <c r="K166" s="94" t="s">
        <v>455</v>
      </c>
      <c r="L166" s="4" t="s">
        <v>293</v>
      </c>
      <c r="M166" s="2" t="s">
        <v>1690</v>
      </c>
      <c r="N166" s="2" t="s">
        <v>1683</v>
      </c>
      <c r="O166" s="2" t="s">
        <v>1249</v>
      </c>
      <c r="P166" s="2" t="s">
        <v>1250</v>
      </c>
      <c r="Q166" s="2" t="s">
        <v>458</v>
      </c>
      <c r="R166" s="65">
        <v>2</v>
      </c>
      <c r="S166" s="2" t="s">
        <v>1473</v>
      </c>
      <c r="T166" s="2" t="s">
        <v>1691</v>
      </c>
      <c r="U166" s="2" t="s">
        <v>1475</v>
      </c>
      <c r="V166" s="2" t="s">
        <v>126</v>
      </c>
      <c r="W166" s="2" t="s">
        <v>1476</v>
      </c>
      <c r="X166" s="2" t="s">
        <v>1477</v>
      </c>
      <c r="Y166" s="33"/>
      <c r="Z166" s="9"/>
      <c r="AA166" s="2" t="s">
        <v>1692</v>
      </c>
      <c r="AB166" s="2" t="s">
        <v>1693</v>
      </c>
      <c r="AC166" s="2" t="s">
        <v>1694</v>
      </c>
      <c r="AD166" s="2" t="s">
        <v>156</v>
      </c>
      <c r="AE166" s="2" t="s">
        <v>251</v>
      </c>
      <c r="AF166" s="2" t="s">
        <v>134</v>
      </c>
      <c r="AG166" s="2" t="s">
        <v>1254</v>
      </c>
      <c r="AH166" s="2" t="s">
        <v>136</v>
      </c>
      <c r="AI166" s="2" t="str">
        <f t="shared" si="20"/>
        <v/>
      </c>
      <c r="AJ166" s="2" t="s">
        <v>496</v>
      </c>
      <c r="AK166" s="2" t="s">
        <v>138</v>
      </c>
      <c r="AL166" s="2" t="s">
        <v>139</v>
      </c>
      <c r="AM166" s="2">
        <f t="shared" si="21"/>
        <v>0</v>
      </c>
      <c r="AN166" s="2"/>
      <c r="AO166" s="32" t="s">
        <v>462</v>
      </c>
      <c r="AP166" s="32" t="s">
        <v>141</v>
      </c>
      <c r="AQ166" s="32"/>
      <c r="AR166" s="32" t="s">
        <v>486</v>
      </c>
      <c r="AS166" s="65" t="str">
        <f t="shared" si="22"/>
        <v/>
      </c>
      <c r="AT166" s="65" t="str">
        <f t="shared" si="23"/>
        <v/>
      </c>
      <c r="AU166" s="2" t="str">
        <f>IFERROR(INDEX('Source Review'!$B$2:$B$52,MATCH($A166,'Source Review'!$A$2:$A$52,0)),"NOT SOURCE-REVIEWED IN THIS PASS")</f>
        <v>BOUNDED SOURCE REVIEW — CANONICAL D6 CUTOVER UNVERIFIED</v>
      </c>
      <c r="AV166" s="5">
        <f>IFERROR(INDEX('Source Review'!$F$2:$F$52,MATCH($A166,'Source Review'!$A$2:$A$52,0)),"")</f>
        <v>8</v>
      </c>
      <c r="AW166" s="5">
        <f>IFERROR(INDEX('Source Review'!$G$2:$G$52,MATCH($A166,'Source Review'!$A$2:$A$52,0)),"")</f>
        <v>14</v>
      </c>
      <c r="AX166" s="5">
        <f>IFERROR(INDEX('Source Review'!$H$2:$H$52,MATCH($A166,'Source Review'!$A$2:$A$52,0)),"")</f>
        <v>24</v>
      </c>
      <c r="AY166" s="2" t="str">
        <f>IF(COUNTIF('Source Review'!$A$2:$A$52,$A166)&gt;0,"UNCONFIRMED REVIEW ESTIMATE - not P80 or elapsed","NOT ESTIMATED IN THIS PASS")</f>
        <v>UNCONFIRMED REVIEW ESTIMATE - not P80 or elapsed</v>
      </c>
      <c r="AZ166" s="2" t="str">
        <f>IFERROR(INDEX('Source Review'!$I$2:$I$52,MATCH($A166,'Source Review'!$A$2:$A$52,0)),"")</f>
        <v>Canonical DTO/permission wiring 3/5/9; D6 state/history cutover 3/5/8; continuity/tampering tests 2/4/7.</v>
      </c>
      <c r="BA166" s="2" t="str">
        <f>IFERROR(INDEX('Source Review'!$E$2:$E$52,MATCH($A166,'Source Review'!$A$2:$A$52,0)),"")</f>
        <v>Backend/PlantProcess.Api/Endpoints/Assistant/Phase8SuggestionOutcomeLoopEndpoints.cs:16-43 — legacy write path
Backend/PlantProcess.Application/AssistantRuntime/Phase8SuggestionOutcomeLoop.cs:12-38 — caller outcome schema</v>
      </c>
      <c r="BB166" s="2" t="str">
        <f>IF(COUNTIF('Source Review'!$A$2:$A$52,$A166)&gt;0,"14-Sep-2026 snapshot; later closure evidence separate; no live HEAD verification","")</f>
        <v>14-Sep-2026 snapshot; later closure evidence separate; no live HEAD verification</v>
      </c>
    </row>
    <row r="167" spans="1:54" ht="75.95" hidden="1" customHeight="1">
      <c r="A167" s="2" t="s">
        <v>1695</v>
      </c>
      <c r="B167" s="2" t="s">
        <v>1243</v>
      </c>
      <c r="C167" s="2" t="s">
        <v>858</v>
      </c>
      <c r="D167" s="2" t="s">
        <v>1696</v>
      </c>
      <c r="E167" s="2" t="s">
        <v>860</v>
      </c>
      <c r="F167" s="2" t="s">
        <v>1697</v>
      </c>
      <c r="G167" s="2" t="s">
        <v>160</v>
      </c>
      <c r="H167" s="2" t="s">
        <v>1698</v>
      </c>
      <c r="I167" s="2" t="s">
        <v>1699</v>
      </c>
      <c r="J167" s="65">
        <v>12</v>
      </c>
      <c r="K167" s="94" t="s">
        <v>455</v>
      </c>
      <c r="L167" s="2" t="s">
        <v>293</v>
      </c>
      <c r="M167" s="2" t="s">
        <v>1700</v>
      </c>
      <c r="N167" s="2" t="s">
        <v>1683</v>
      </c>
      <c r="O167" s="2" t="s">
        <v>1249</v>
      </c>
      <c r="P167" s="2" t="s">
        <v>1250</v>
      </c>
      <c r="Q167" s="2" t="s">
        <v>1472</v>
      </c>
      <c r="R167" s="65">
        <v>1.7999999999999998</v>
      </c>
      <c r="S167" s="2" t="s">
        <v>1473</v>
      </c>
      <c r="T167" s="2" t="s">
        <v>1701</v>
      </c>
      <c r="U167" s="2" t="s">
        <v>1475</v>
      </c>
      <c r="V167" s="2" t="s">
        <v>126</v>
      </c>
      <c r="W167" s="2" t="s">
        <v>1476</v>
      </c>
      <c r="X167" s="2" t="s">
        <v>1477</v>
      </c>
      <c r="Y167" s="33"/>
      <c r="Z167" s="9"/>
      <c r="AA167" s="2" t="s">
        <v>1702</v>
      </c>
      <c r="AB167" s="2" t="s">
        <v>1697</v>
      </c>
      <c r="AC167" s="2"/>
      <c r="AD167" s="2" t="s">
        <v>179</v>
      </c>
      <c r="AE167" s="2" t="s">
        <v>198</v>
      </c>
      <c r="AF167" s="2" t="s">
        <v>845</v>
      </c>
      <c r="AG167" s="2" t="s">
        <v>1254</v>
      </c>
      <c r="AH167" s="2" t="s">
        <v>136</v>
      </c>
      <c r="AI167" s="2" t="str">
        <f t="shared" si="20"/>
        <v/>
      </c>
      <c r="AJ167" s="2" t="s">
        <v>137</v>
      </c>
      <c r="AK167" s="2" t="s">
        <v>138</v>
      </c>
      <c r="AL167" s="2" t="s">
        <v>139</v>
      </c>
      <c r="AM167" s="2">
        <f t="shared" si="21"/>
        <v>1</v>
      </c>
      <c r="AN167" s="2"/>
      <c r="AO167" s="32" t="s">
        <v>462</v>
      </c>
      <c r="AP167" s="32" t="s">
        <v>141</v>
      </c>
      <c r="AQ167" s="32"/>
      <c r="AR167" s="32" t="s">
        <v>142</v>
      </c>
      <c r="AS167" s="65">
        <f t="shared" si="22"/>
        <v>12</v>
      </c>
      <c r="AT167" s="65">
        <f t="shared" si="23"/>
        <v>1.7999999999999998</v>
      </c>
      <c r="AU167" s="2" t="str">
        <f>IFERROR(INDEX('Source Review'!$B$2:$B$52,MATCH($A167,'Source Review'!$A$2:$A$52,0)),"NOT SOURCE-REVIEWED IN THIS PASS")</f>
        <v>NOT SOURCE-REVIEWED IN THIS PASS</v>
      </c>
      <c r="AV167" s="5" t="str">
        <f>IFERROR(INDEX('Source Review'!$F$2:$F$52,MATCH($A167,'Source Review'!$A$2:$A$52,0)),"")</f>
        <v/>
      </c>
      <c r="AW167" s="5" t="str">
        <f>IFERROR(INDEX('Source Review'!$G$2:$G$52,MATCH($A167,'Source Review'!$A$2:$A$52,0)),"")</f>
        <v/>
      </c>
      <c r="AX167" s="5" t="str">
        <f>IFERROR(INDEX('Source Review'!$H$2:$H$52,MATCH($A167,'Source Review'!$A$2:$A$52,0)),"")</f>
        <v/>
      </c>
      <c r="AY167" s="2" t="str">
        <f>IF(COUNTIF('Source Review'!$A$2:$A$52,$A167)&gt;0,"UNCONFIRMED REVIEW ESTIMATE - not P80 or elapsed","NOT ESTIMATED IN THIS PASS")</f>
        <v>NOT ESTIMATED IN THIS PASS</v>
      </c>
      <c r="AZ167" s="2" t="str">
        <f>IFERROR(INDEX('Source Review'!$I$2:$I$52,MATCH($A167,'Source Review'!$A$2:$A$52,0)),"")</f>
        <v/>
      </c>
      <c r="BA167" s="2" t="str">
        <f>IFERROR(INDEX('Source Review'!$E$2:$E$52,MATCH($A167,'Source Review'!$A$2:$A$52,0)),"")</f>
        <v/>
      </c>
      <c r="BB167" s="2" t="str">
        <f>IF(COUNTIF('Source Review'!$A$2:$A$52,$A167)&gt;0,"14-Sep-2026 snapshot; later closure evidence separate; no live HEAD verification","")</f>
        <v/>
      </c>
    </row>
    <row r="168" spans="1:54" ht="75.95" hidden="1" customHeight="1">
      <c r="A168" s="4" t="s">
        <v>1683</v>
      </c>
      <c r="B168" s="4" t="s">
        <v>1243</v>
      </c>
      <c r="C168" s="4" t="s">
        <v>858</v>
      </c>
      <c r="D168" s="4" t="s">
        <v>1703</v>
      </c>
      <c r="E168" s="4" t="s">
        <v>111</v>
      </c>
      <c r="F168" s="4" t="s">
        <v>1704</v>
      </c>
      <c r="G168" s="4" t="s">
        <v>113</v>
      </c>
      <c r="H168" s="4" t="s">
        <v>1705</v>
      </c>
      <c r="I168" s="4" t="s">
        <v>1706</v>
      </c>
      <c r="J168" s="64">
        <v>10</v>
      </c>
      <c r="K168" s="94" t="s">
        <v>455</v>
      </c>
      <c r="L168" s="4" t="s">
        <v>293</v>
      </c>
      <c r="M168" s="2" t="s">
        <v>1707</v>
      </c>
      <c r="N168" s="2"/>
      <c r="O168" s="2" t="s">
        <v>1249</v>
      </c>
      <c r="P168" s="2" t="s">
        <v>1250</v>
      </c>
      <c r="Q168" s="2" t="s">
        <v>122</v>
      </c>
      <c r="R168" s="65">
        <v>1.7</v>
      </c>
      <c r="S168" s="2" t="s">
        <v>1473</v>
      </c>
      <c r="T168" s="2" t="s">
        <v>1708</v>
      </c>
      <c r="U168" s="2" t="s">
        <v>1475</v>
      </c>
      <c r="V168" s="2" t="s">
        <v>126</v>
      </c>
      <c r="W168" s="2" t="s">
        <v>1476</v>
      </c>
      <c r="X168" s="2" t="s">
        <v>1477</v>
      </c>
      <c r="Y168" s="33"/>
      <c r="Z168" s="9"/>
      <c r="AA168" s="2" t="s">
        <v>130</v>
      </c>
      <c r="AB168" s="2" t="s">
        <v>131</v>
      </c>
      <c r="AC168" s="2" t="s">
        <v>1709</v>
      </c>
      <c r="AD168" s="2" t="s">
        <v>132</v>
      </c>
      <c r="AE168" s="2" t="s">
        <v>133</v>
      </c>
      <c r="AF168" s="2" t="s">
        <v>134</v>
      </c>
      <c r="AG168" s="2" t="s">
        <v>1254</v>
      </c>
      <c r="AH168" s="2" t="s">
        <v>136</v>
      </c>
      <c r="AI168" s="2" t="str">
        <f t="shared" si="20"/>
        <v/>
      </c>
      <c r="AJ168" s="2" t="s">
        <v>137</v>
      </c>
      <c r="AK168" s="2" t="s">
        <v>138</v>
      </c>
      <c r="AL168" s="2" t="s">
        <v>139</v>
      </c>
      <c r="AM168" s="2">
        <f t="shared" si="21"/>
        <v>1</v>
      </c>
      <c r="AN168" s="2"/>
      <c r="AO168" s="32" t="s">
        <v>462</v>
      </c>
      <c r="AP168" s="32" t="s">
        <v>141</v>
      </c>
      <c r="AQ168" s="32"/>
      <c r="AR168" s="32" t="s">
        <v>142</v>
      </c>
      <c r="AS168" s="65">
        <f t="shared" si="22"/>
        <v>10</v>
      </c>
      <c r="AT168" s="65">
        <f t="shared" si="23"/>
        <v>1.7</v>
      </c>
      <c r="AU168" s="2" t="str">
        <f>IFERROR(INDEX('Source Review'!$B$2:$B$52,MATCH($A168,'Source Review'!$A$2:$A$52,0)),"NOT SOURCE-REVIEWED IN THIS PASS")</f>
        <v>NOT SOURCE-REVIEWED IN THIS PASS</v>
      </c>
      <c r="AV168" s="5" t="str">
        <f>IFERROR(INDEX('Source Review'!$F$2:$F$52,MATCH($A168,'Source Review'!$A$2:$A$52,0)),"")</f>
        <v/>
      </c>
      <c r="AW168" s="5" t="str">
        <f>IFERROR(INDEX('Source Review'!$G$2:$G$52,MATCH($A168,'Source Review'!$A$2:$A$52,0)),"")</f>
        <v/>
      </c>
      <c r="AX168" s="5" t="str">
        <f>IFERROR(INDEX('Source Review'!$H$2:$H$52,MATCH($A168,'Source Review'!$A$2:$A$52,0)),"")</f>
        <v/>
      </c>
      <c r="AY168" s="2" t="str">
        <f>IF(COUNTIF('Source Review'!$A$2:$A$52,$A168)&gt;0,"UNCONFIRMED REVIEW ESTIMATE - not P80 or elapsed","NOT ESTIMATED IN THIS PASS")</f>
        <v>NOT ESTIMATED IN THIS PASS</v>
      </c>
      <c r="AZ168" s="2" t="str">
        <f>IFERROR(INDEX('Source Review'!$I$2:$I$52,MATCH($A168,'Source Review'!$A$2:$A$52,0)),"")</f>
        <v/>
      </c>
      <c r="BA168" s="2" t="str">
        <f>IFERROR(INDEX('Source Review'!$E$2:$E$52,MATCH($A168,'Source Review'!$A$2:$A$52,0)),"")</f>
        <v/>
      </c>
      <c r="BB168" s="2" t="str">
        <f>IF(COUNTIF('Source Review'!$A$2:$A$52,$A168)&gt;0,"14-Sep-2026 snapshot; later closure evidence separate; no live HEAD verification","")</f>
        <v/>
      </c>
    </row>
    <row r="169" spans="1:54" ht="75.95" hidden="1" customHeight="1">
      <c r="A169" s="4" t="s">
        <v>1710</v>
      </c>
      <c r="B169" s="4" t="s">
        <v>1243</v>
      </c>
      <c r="C169" s="4" t="s">
        <v>858</v>
      </c>
      <c r="D169" s="4" t="s">
        <v>1711</v>
      </c>
      <c r="E169" s="4" t="s">
        <v>860</v>
      </c>
      <c r="F169" s="4" t="s">
        <v>938</v>
      </c>
      <c r="G169" s="4" t="s">
        <v>160</v>
      </c>
      <c r="H169" s="4" t="s">
        <v>1712</v>
      </c>
      <c r="I169" s="4" t="s">
        <v>1713</v>
      </c>
      <c r="J169" s="64">
        <v>10</v>
      </c>
      <c r="K169" s="94" t="s">
        <v>455</v>
      </c>
      <c r="L169" s="4" t="s">
        <v>293</v>
      </c>
      <c r="M169" s="2" t="s">
        <v>1714</v>
      </c>
      <c r="N169" s="2" t="s">
        <v>1248</v>
      </c>
      <c r="O169" s="2" t="s">
        <v>1249</v>
      </c>
      <c r="P169" s="2" t="s">
        <v>1250</v>
      </c>
      <c r="Q169" s="2" t="s">
        <v>1472</v>
      </c>
      <c r="R169" s="65">
        <v>1.5</v>
      </c>
      <c r="S169" s="2" t="s">
        <v>1473</v>
      </c>
      <c r="T169" s="2" t="s">
        <v>1715</v>
      </c>
      <c r="U169" s="2" t="s">
        <v>1475</v>
      </c>
      <c r="V169" s="2" t="s">
        <v>126</v>
      </c>
      <c r="W169" s="2" t="s">
        <v>1476</v>
      </c>
      <c r="X169" s="2" t="s">
        <v>1477</v>
      </c>
      <c r="Y169" s="33"/>
      <c r="Z169" s="9"/>
      <c r="AA169" s="2" t="s">
        <v>1716</v>
      </c>
      <c r="AB169" s="2" t="s">
        <v>1717</v>
      </c>
      <c r="AC169" s="2" t="s">
        <v>872</v>
      </c>
      <c r="AD169" s="2" t="s">
        <v>179</v>
      </c>
      <c r="AE169" s="2" t="s">
        <v>198</v>
      </c>
      <c r="AF169" s="2" t="s">
        <v>134</v>
      </c>
      <c r="AG169" s="2" t="s">
        <v>1254</v>
      </c>
      <c r="AH169" s="2" t="s">
        <v>136</v>
      </c>
      <c r="AI169" s="2" t="str">
        <f t="shared" si="20"/>
        <v/>
      </c>
      <c r="AJ169" s="2" t="s">
        <v>137</v>
      </c>
      <c r="AK169" s="2" t="s">
        <v>138</v>
      </c>
      <c r="AL169" s="2" t="s">
        <v>139</v>
      </c>
      <c r="AM169" s="2">
        <f t="shared" si="21"/>
        <v>1</v>
      </c>
      <c r="AN169" s="2"/>
      <c r="AO169" s="32" t="s">
        <v>462</v>
      </c>
      <c r="AP169" s="32" t="s">
        <v>141</v>
      </c>
      <c r="AQ169" s="32"/>
      <c r="AR169" s="32" t="s">
        <v>142</v>
      </c>
      <c r="AS169" s="65">
        <f t="shared" si="22"/>
        <v>10</v>
      </c>
      <c r="AT169" s="65">
        <f t="shared" si="23"/>
        <v>1.5</v>
      </c>
      <c r="AU169" s="2" t="str">
        <f>IFERROR(INDEX('Source Review'!$B$2:$B$52,MATCH($A169,'Source Review'!$A$2:$A$52,0)),"NOT SOURCE-REVIEWED IN THIS PASS")</f>
        <v>NOT SOURCE-REVIEWED IN THIS PASS</v>
      </c>
      <c r="AV169" s="5" t="str">
        <f>IFERROR(INDEX('Source Review'!$F$2:$F$52,MATCH($A169,'Source Review'!$A$2:$A$52,0)),"")</f>
        <v/>
      </c>
      <c r="AW169" s="5" t="str">
        <f>IFERROR(INDEX('Source Review'!$G$2:$G$52,MATCH($A169,'Source Review'!$A$2:$A$52,0)),"")</f>
        <v/>
      </c>
      <c r="AX169" s="5" t="str">
        <f>IFERROR(INDEX('Source Review'!$H$2:$H$52,MATCH($A169,'Source Review'!$A$2:$A$52,0)),"")</f>
        <v/>
      </c>
      <c r="AY169" s="2" t="str">
        <f>IF(COUNTIF('Source Review'!$A$2:$A$52,$A169)&gt;0,"UNCONFIRMED REVIEW ESTIMATE - not P80 or elapsed","NOT ESTIMATED IN THIS PASS")</f>
        <v>NOT ESTIMATED IN THIS PASS</v>
      </c>
      <c r="AZ169" s="2" t="str">
        <f>IFERROR(INDEX('Source Review'!$I$2:$I$52,MATCH($A169,'Source Review'!$A$2:$A$52,0)),"")</f>
        <v/>
      </c>
      <c r="BA169" s="2" t="str">
        <f>IFERROR(INDEX('Source Review'!$E$2:$E$52,MATCH($A169,'Source Review'!$A$2:$A$52,0)),"")</f>
        <v/>
      </c>
      <c r="BB169" s="2" t="str">
        <f>IF(COUNTIF('Source Review'!$A$2:$A$52,$A169)&gt;0,"14-Sep-2026 snapshot; later closure evidence separate; no live HEAD verification","")</f>
        <v/>
      </c>
    </row>
    <row r="170" spans="1:54" ht="75.95" hidden="1" customHeight="1">
      <c r="A170" s="4" t="s">
        <v>1718</v>
      </c>
      <c r="B170" s="4" t="s">
        <v>1243</v>
      </c>
      <c r="C170" s="4" t="s">
        <v>858</v>
      </c>
      <c r="D170" s="4" t="s">
        <v>1719</v>
      </c>
      <c r="E170" s="4" t="s">
        <v>182</v>
      </c>
      <c r="F170" s="4" t="s">
        <v>1720</v>
      </c>
      <c r="G170" s="4" t="s">
        <v>113</v>
      </c>
      <c r="H170" s="4" t="s">
        <v>1721</v>
      </c>
      <c r="I170" s="4" t="s">
        <v>1722</v>
      </c>
      <c r="J170" s="64">
        <v>10</v>
      </c>
      <c r="K170" s="94" t="s">
        <v>455</v>
      </c>
      <c r="L170" s="4" t="s">
        <v>293</v>
      </c>
      <c r="M170" s="2" t="s">
        <v>1723</v>
      </c>
      <c r="N170" s="2" t="s">
        <v>1724</v>
      </c>
      <c r="O170" s="2" t="s">
        <v>1249</v>
      </c>
      <c r="P170" s="2" t="s">
        <v>1250</v>
      </c>
      <c r="Q170" s="2" t="s">
        <v>186</v>
      </c>
      <c r="R170" s="65">
        <v>1.5</v>
      </c>
      <c r="S170" s="2" t="s">
        <v>1473</v>
      </c>
      <c r="T170" s="2" t="s">
        <v>1725</v>
      </c>
      <c r="U170" s="2" t="s">
        <v>1475</v>
      </c>
      <c r="V170" s="2" t="s">
        <v>126</v>
      </c>
      <c r="W170" s="2" t="s">
        <v>1476</v>
      </c>
      <c r="X170" s="2" t="s">
        <v>1477</v>
      </c>
      <c r="Y170" s="33"/>
      <c r="Z170" s="9"/>
      <c r="AA170" s="2" t="s">
        <v>905</v>
      </c>
      <c r="AB170" s="2" t="s">
        <v>906</v>
      </c>
      <c r="AC170" s="2"/>
      <c r="AD170" s="2" t="s">
        <v>179</v>
      </c>
      <c r="AE170" s="2" t="s">
        <v>198</v>
      </c>
      <c r="AF170" s="2" t="s">
        <v>134</v>
      </c>
      <c r="AG170" s="2" t="s">
        <v>1254</v>
      </c>
      <c r="AH170" s="2" t="s">
        <v>136</v>
      </c>
      <c r="AI170" s="2" t="str">
        <f t="shared" si="20"/>
        <v/>
      </c>
      <c r="AJ170" s="2" t="s">
        <v>137</v>
      </c>
      <c r="AK170" s="2" t="s">
        <v>138</v>
      </c>
      <c r="AL170" s="2" t="s">
        <v>139</v>
      </c>
      <c r="AM170" s="2">
        <f t="shared" si="21"/>
        <v>1</v>
      </c>
      <c r="AN170" s="2"/>
      <c r="AO170" s="32" t="s">
        <v>462</v>
      </c>
      <c r="AP170" s="32" t="s">
        <v>141</v>
      </c>
      <c r="AQ170" s="32"/>
      <c r="AR170" s="32" t="s">
        <v>142</v>
      </c>
      <c r="AS170" s="65">
        <f t="shared" si="22"/>
        <v>10</v>
      </c>
      <c r="AT170" s="65">
        <f t="shared" si="23"/>
        <v>1.5</v>
      </c>
      <c r="AU170" s="2" t="str">
        <f>IFERROR(INDEX('Source Review'!$B$2:$B$52,MATCH($A170,'Source Review'!$A$2:$A$52,0)),"NOT SOURCE-REVIEWED IN THIS PASS")</f>
        <v>NOT SOURCE-REVIEWED IN THIS PASS</v>
      </c>
      <c r="AV170" s="5" t="str">
        <f>IFERROR(INDEX('Source Review'!$F$2:$F$52,MATCH($A170,'Source Review'!$A$2:$A$52,0)),"")</f>
        <v/>
      </c>
      <c r="AW170" s="5" t="str">
        <f>IFERROR(INDEX('Source Review'!$G$2:$G$52,MATCH($A170,'Source Review'!$A$2:$A$52,0)),"")</f>
        <v/>
      </c>
      <c r="AX170" s="5" t="str">
        <f>IFERROR(INDEX('Source Review'!$H$2:$H$52,MATCH($A170,'Source Review'!$A$2:$A$52,0)),"")</f>
        <v/>
      </c>
      <c r="AY170" s="2" t="str">
        <f>IF(COUNTIF('Source Review'!$A$2:$A$52,$A170)&gt;0,"UNCONFIRMED REVIEW ESTIMATE - not P80 or elapsed","NOT ESTIMATED IN THIS PASS")</f>
        <v>NOT ESTIMATED IN THIS PASS</v>
      </c>
      <c r="AZ170" s="2" t="str">
        <f>IFERROR(INDEX('Source Review'!$I$2:$I$52,MATCH($A170,'Source Review'!$A$2:$A$52,0)),"")</f>
        <v/>
      </c>
      <c r="BA170" s="2" t="str">
        <f>IFERROR(INDEX('Source Review'!$E$2:$E$52,MATCH($A170,'Source Review'!$A$2:$A$52,0)),"")</f>
        <v/>
      </c>
      <c r="BB170" s="2" t="str">
        <f>IF(COUNTIF('Source Review'!$A$2:$A$52,$A170)&gt;0,"14-Sep-2026 snapshot; later closure evidence separate; no live HEAD verification","")</f>
        <v/>
      </c>
    </row>
    <row r="171" spans="1:54" ht="75.95" hidden="1" customHeight="1">
      <c r="A171" s="4" t="s">
        <v>1726</v>
      </c>
      <c r="B171" s="4" t="s">
        <v>1243</v>
      </c>
      <c r="C171" s="4" t="s">
        <v>858</v>
      </c>
      <c r="D171" s="4" t="s">
        <v>1727</v>
      </c>
      <c r="E171" s="4" t="s">
        <v>860</v>
      </c>
      <c r="F171" s="4" t="s">
        <v>1728</v>
      </c>
      <c r="G171" s="4" t="s">
        <v>160</v>
      </c>
      <c r="H171" s="4" t="s">
        <v>1729</v>
      </c>
      <c r="I171" s="4" t="s">
        <v>1730</v>
      </c>
      <c r="J171" s="64">
        <v>12</v>
      </c>
      <c r="K171" s="94" t="s">
        <v>455</v>
      </c>
      <c r="L171" s="4" t="s">
        <v>293</v>
      </c>
      <c r="M171" s="2" t="s">
        <v>1731</v>
      </c>
      <c r="N171" s="2" t="s">
        <v>1732</v>
      </c>
      <c r="O171" s="2" t="s">
        <v>1249</v>
      </c>
      <c r="P171" s="2" t="s">
        <v>1250</v>
      </c>
      <c r="Q171" s="2" t="s">
        <v>316</v>
      </c>
      <c r="R171" s="65">
        <v>3.2</v>
      </c>
      <c r="S171" s="2" t="s">
        <v>1473</v>
      </c>
      <c r="T171" s="2" t="s">
        <v>1733</v>
      </c>
      <c r="U171" s="2" t="s">
        <v>1734</v>
      </c>
      <c r="V171" s="2" t="s">
        <v>1735</v>
      </c>
      <c r="W171" s="2" t="s">
        <v>1476</v>
      </c>
      <c r="X171" s="2" t="s">
        <v>1477</v>
      </c>
      <c r="Y171" s="33"/>
      <c r="Z171" s="9"/>
      <c r="AA171" s="2" t="s">
        <v>1501</v>
      </c>
      <c r="AB171" s="2" t="s">
        <v>1502</v>
      </c>
      <c r="AC171" s="2" t="s">
        <v>1736</v>
      </c>
      <c r="AD171" s="2" t="s">
        <v>179</v>
      </c>
      <c r="AE171" s="2" t="s">
        <v>198</v>
      </c>
      <c r="AF171" s="2" t="s">
        <v>134</v>
      </c>
      <c r="AG171" s="2" t="s">
        <v>1254</v>
      </c>
      <c r="AH171" s="2" t="s">
        <v>136</v>
      </c>
      <c r="AI171" s="2" t="str">
        <f t="shared" si="20"/>
        <v/>
      </c>
      <c r="AJ171" s="2" t="s">
        <v>137</v>
      </c>
      <c r="AK171" s="2" t="s">
        <v>138</v>
      </c>
      <c r="AL171" s="2" t="s">
        <v>139</v>
      </c>
      <c r="AM171" s="2">
        <f t="shared" si="21"/>
        <v>1</v>
      </c>
      <c r="AN171" s="2"/>
      <c r="AO171" s="32" t="s">
        <v>462</v>
      </c>
      <c r="AP171" s="32" t="s">
        <v>141</v>
      </c>
      <c r="AQ171" s="32"/>
      <c r="AR171" s="32" t="s">
        <v>142</v>
      </c>
      <c r="AS171" s="65">
        <f t="shared" si="22"/>
        <v>12</v>
      </c>
      <c r="AT171" s="65">
        <f t="shared" si="23"/>
        <v>3.2</v>
      </c>
      <c r="AU171" s="2" t="str">
        <f>IFERROR(INDEX('Source Review'!$B$2:$B$52,MATCH($A171,'Source Review'!$A$2:$A$52,0)),"NOT SOURCE-REVIEWED IN THIS PASS")</f>
        <v>NOT SOURCE-REVIEWED IN THIS PASS</v>
      </c>
      <c r="AV171" s="5" t="str">
        <f>IFERROR(INDEX('Source Review'!$F$2:$F$52,MATCH($A171,'Source Review'!$A$2:$A$52,0)),"")</f>
        <v/>
      </c>
      <c r="AW171" s="5" t="str">
        <f>IFERROR(INDEX('Source Review'!$G$2:$G$52,MATCH($A171,'Source Review'!$A$2:$A$52,0)),"")</f>
        <v/>
      </c>
      <c r="AX171" s="5" t="str">
        <f>IFERROR(INDEX('Source Review'!$H$2:$H$52,MATCH($A171,'Source Review'!$A$2:$A$52,0)),"")</f>
        <v/>
      </c>
      <c r="AY171" s="2" t="str">
        <f>IF(COUNTIF('Source Review'!$A$2:$A$52,$A171)&gt;0,"UNCONFIRMED REVIEW ESTIMATE - not P80 or elapsed","NOT ESTIMATED IN THIS PASS")</f>
        <v>NOT ESTIMATED IN THIS PASS</v>
      </c>
      <c r="AZ171" s="2" t="str">
        <f>IFERROR(INDEX('Source Review'!$I$2:$I$52,MATCH($A171,'Source Review'!$A$2:$A$52,0)),"")</f>
        <v/>
      </c>
      <c r="BA171" s="2" t="str">
        <f>IFERROR(INDEX('Source Review'!$E$2:$E$52,MATCH($A171,'Source Review'!$A$2:$A$52,0)),"")</f>
        <v/>
      </c>
      <c r="BB171" s="2" t="str">
        <f>IF(COUNTIF('Source Review'!$A$2:$A$52,$A171)&gt;0,"14-Sep-2026 snapshot; later closure evidence separate; no live HEAD verification","")</f>
        <v/>
      </c>
    </row>
    <row r="172" spans="1:54" ht="75.95" hidden="1" customHeight="1">
      <c r="A172" s="4" t="s">
        <v>1737</v>
      </c>
      <c r="B172" s="4" t="s">
        <v>1243</v>
      </c>
      <c r="C172" s="4" t="s">
        <v>858</v>
      </c>
      <c r="D172" s="4" t="s">
        <v>1738</v>
      </c>
      <c r="E172" s="4" t="s">
        <v>348</v>
      </c>
      <c r="F172" s="4" t="s">
        <v>1739</v>
      </c>
      <c r="G172" s="4" t="s">
        <v>160</v>
      </c>
      <c r="H172" s="4" t="s">
        <v>1740</v>
      </c>
      <c r="I172" s="4" t="s">
        <v>1741</v>
      </c>
      <c r="J172" s="64">
        <v>8</v>
      </c>
      <c r="K172" s="94" t="s">
        <v>455</v>
      </c>
      <c r="L172" s="4" t="s">
        <v>117</v>
      </c>
      <c r="M172" s="2" t="s">
        <v>1742</v>
      </c>
      <c r="N172" s="2" t="s">
        <v>1743</v>
      </c>
      <c r="O172" s="2" t="s">
        <v>1249</v>
      </c>
      <c r="P172" s="2" t="s">
        <v>1250</v>
      </c>
      <c r="Q172" s="2" t="s">
        <v>329</v>
      </c>
      <c r="R172" s="65">
        <v>3.4</v>
      </c>
      <c r="S172" s="2" t="s">
        <v>1473</v>
      </c>
      <c r="T172" s="2" t="s">
        <v>1744</v>
      </c>
      <c r="U172" s="2" t="s">
        <v>1745</v>
      </c>
      <c r="V172" s="2" t="s">
        <v>1746</v>
      </c>
      <c r="W172" s="2" t="s">
        <v>1476</v>
      </c>
      <c r="X172" s="2" t="s">
        <v>1477</v>
      </c>
      <c r="Y172" s="33"/>
      <c r="Z172" s="9"/>
      <c r="AA172" s="2" t="s">
        <v>1501</v>
      </c>
      <c r="AB172" s="2" t="s">
        <v>1502</v>
      </c>
      <c r="AC172" s="2"/>
      <c r="AD172" s="2" t="s">
        <v>179</v>
      </c>
      <c r="AE172" s="2" t="s">
        <v>321</v>
      </c>
      <c r="AF172" s="2" t="s">
        <v>134</v>
      </c>
      <c r="AG172" s="2" t="s">
        <v>1254</v>
      </c>
      <c r="AH172" s="2" t="s">
        <v>136</v>
      </c>
      <c r="AI172" s="2" t="str">
        <f t="shared" si="20"/>
        <v/>
      </c>
      <c r="AJ172" s="2" t="s">
        <v>137</v>
      </c>
      <c r="AK172" s="2" t="s">
        <v>138</v>
      </c>
      <c r="AL172" s="2" t="s">
        <v>139</v>
      </c>
      <c r="AM172" s="2">
        <f t="shared" si="21"/>
        <v>1</v>
      </c>
      <c r="AN172" s="2"/>
      <c r="AO172" s="32" t="s">
        <v>462</v>
      </c>
      <c r="AP172" s="32" t="s">
        <v>141</v>
      </c>
      <c r="AQ172" s="32"/>
      <c r="AR172" s="32" t="s">
        <v>142</v>
      </c>
      <c r="AS172" s="65">
        <f t="shared" si="22"/>
        <v>8</v>
      </c>
      <c r="AT172" s="65">
        <f t="shared" si="23"/>
        <v>3.4</v>
      </c>
      <c r="AU172" s="2" t="str">
        <f>IFERROR(INDEX('Source Review'!$B$2:$B$52,MATCH($A172,'Source Review'!$A$2:$A$52,0)),"NOT SOURCE-REVIEWED IN THIS PASS")</f>
        <v>NOT SOURCE-REVIEWED IN THIS PASS</v>
      </c>
      <c r="AV172" s="5" t="str">
        <f>IFERROR(INDEX('Source Review'!$F$2:$F$52,MATCH($A172,'Source Review'!$A$2:$A$52,0)),"")</f>
        <v/>
      </c>
      <c r="AW172" s="5" t="str">
        <f>IFERROR(INDEX('Source Review'!$G$2:$G$52,MATCH($A172,'Source Review'!$A$2:$A$52,0)),"")</f>
        <v/>
      </c>
      <c r="AX172" s="5" t="str">
        <f>IFERROR(INDEX('Source Review'!$H$2:$H$52,MATCH($A172,'Source Review'!$A$2:$A$52,0)),"")</f>
        <v/>
      </c>
      <c r="AY172" s="2" t="str">
        <f>IF(COUNTIF('Source Review'!$A$2:$A$52,$A172)&gt;0,"UNCONFIRMED REVIEW ESTIMATE - not P80 or elapsed","NOT ESTIMATED IN THIS PASS")</f>
        <v>NOT ESTIMATED IN THIS PASS</v>
      </c>
      <c r="AZ172" s="2" t="str">
        <f>IFERROR(INDEX('Source Review'!$I$2:$I$52,MATCH($A172,'Source Review'!$A$2:$A$52,0)),"")</f>
        <v/>
      </c>
      <c r="BA172" s="2" t="str">
        <f>IFERROR(INDEX('Source Review'!$E$2:$E$52,MATCH($A172,'Source Review'!$A$2:$A$52,0)),"")</f>
        <v/>
      </c>
      <c r="BB172" s="2" t="str">
        <f>IF(COUNTIF('Source Review'!$A$2:$A$52,$A172)&gt;0,"14-Sep-2026 snapshot; later closure evidence separate; no live HEAD verification","")</f>
        <v/>
      </c>
    </row>
    <row r="173" spans="1:54" ht="75.95" hidden="1" customHeight="1">
      <c r="A173" s="4" t="s">
        <v>1743</v>
      </c>
      <c r="B173" s="4" t="s">
        <v>1243</v>
      </c>
      <c r="C173" s="4" t="s">
        <v>858</v>
      </c>
      <c r="D173" s="4" t="s">
        <v>1747</v>
      </c>
      <c r="E173" s="4" t="s">
        <v>1748</v>
      </c>
      <c r="F173" s="4" t="s">
        <v>1749</v>
      </c>
      <c r="G173" s="4" t="s">
        <v>160</v>
      </c>
      <c r="H173" s="4" t="s">
        <v>1750</v>
      </c>
      <c r="I173" s="4" t="s">
        <v>1751</v>
      </c>
      <c r="J173" s="64">
        <v>12</v>
      </c>
      <c r="K173" s="94" t="s">
        <v>455</v>
      </c>
      <c r="L173" s="4" t="s">
        <v>293</v>
      </c>
      <c r="M173" s="2" t="s">
        <v>1752</v>
      </c>
      <c r="N173" s="2" t="s">
        <v>1753</v>
      </c>
      <c r="O173" s="2" t="s">
        <v>1249</v>
      </c>
      <c r="P173" s="2" t="s">
        <v>1250</v>
      </c>
      <c r="Q173" s="2" t="s">
        <v>1472</v>
      </c>
      <c r="R173" s="65">
        <v>5.0999999999999996</v>
      </c>
      <c r="S173" s="2" t="s">
        <v>1473</v>
      </c>
      <c r="T173" s="2" t="s">
        <v>1754</v>
      </c>
      <c r="U173" s="2" t="s">
        <v>1755</v>
      </c>
      <c r="V173" s="2" t="s">
        <v>1756</v>
      </c>
      <c r="W173" s="2" t="s">
        <v>1476</v>
      </c>
      <c r="X173" s="2" t="s">
        <v>1477</v>
      </c>
      <c r="Y173" s="33"/>
      <c r="Z173" s="9"/>
      <c r="AA173" s="2" t="s">
        <v>1501</v>
      </c>
      <c r="AB173" s="2" t="s">
        <v>1502</v>
      </c>
      <c r="AC173" s="2" t="s">
        <v>967</v>
      </c>
      <c r="AD173" s="2" t="s">
        <v>179</v>
      </c>
      <c r="AE173" s="2" t="s">
        <v>198</v>
      </c>
      <c r="AF173" s="2" t="s">
        <v>134</v>
      </c>
      <c r="AG173" s="2" t="s">
        <v>1254</v>
      </c>
      <c r="AH173" s="2" t="s">
        <v>136</v>
      </c>
      <c r="AI173" s="2" t="str">
        <f t="shared" si="20"/>
        <v/>
      </c>
      <c r="AJ173" s="2" t="s">
        <v>137</v>
      </c>
      <c r="AK173" s="2" t="s">
        <v>138</v>
      </c>
      <c r="AL173" s="2" t="s">
        <v>139</v>
      </c>
      <c r="AM173" s="2">
        <f t="shared" si="21"/>
        <v>1</v>
      </c>
      <c r="AN173" s="2"/>
      <c r="AO173" s="32" t="s">
        <v>462</v>
      </c>
      <c r="AP173" s="32" t="s">
        <v>141</v>
      </c>
      <c r="AQ173" s="32"/>
      <c r="AR173" s="32" t="s">
        <v>142</v>
      </c>
      <c r="AS173" s="65">
        <f t="shared" si="22"/>
        <v>12</v>
      </c>
      <c r="AT173" s="65">
        <f t="shared" si="23"/>
        <v>5.0999999999999996</v>
      </c>
      <c r="AU173" s="2" t="str">
        <f>IFERROR(INDEX('Source Review'!$B$2:$B$52,MATCH($A173,'Source Review'!$A$2:$A$52,0)),"NOT SOURCE-REVIEWED IN THIS PASS")</f>
        <v>NOT SOURCE-REVIEWED IN THIS PASS</v>
      </c>
      <c r="AV173" s="5" t="str">
        <f>IFERROR(INDEX('Source Review'!$F$2:$F$52,MATCH($A173,'Source Review'!$A$2:$A$52,0)),"")</f>
        <v/>
      </c>
      <c r="AW173" s="5" t="str">
        <f>IFERROR(INDEX('Source Review'!$G$2:$G$52,MATCH($A173,'Source Review'!$A$2:$A$52,0)),"")</f>
        <v/>
      </c>
      <c r="AX173" s="5" t="str">
        <f>IFERROR(INDEX('Source Review'!$H$2:$H$52,MATCH($A173,'Source Review'!$A$2:$A$52,0)),"")</f>
        <v/>
      </c>
      <c r="AY173" s="2" t="str">
        <f>IF(COUNTIF('Source Review'!$A$2:$A$52,$A173)&gt;0,"UNCONFIRMED REVIEW ESTIMATE - not P80 or elapsed","NOT ESTIMATED IN THIS PASS")</f>
        <v>NOT ESTIMATED IN THIS PASS</v>
      </c>
      <c r="AZ173" s="2" t="str">
        <f>IFERROR(INDEX('Source Review'!$I$2:$I$52,MATCH($A173,'Source Review'!$A$2:$A$52,0)),"")</f>
        <v/>
      </c>
      <c r="BA173" s="2" t="str">
        <f>IFERROR(INDEX('Source Review'!$E$2:$E$52,MATCH($A173,'Source Review'!$A$2:$A$52,0)),"")</f>
        <v/>
      </c>
      <c r="BB173" s="2" t="str">
        <f>IF(COUNTIF('Source Review'!$A$2:$A$52,$A173)&gt;0,"14-Sep-2026 snapshot; later closure evidence separate; no live HEAD verification","")</f>
        <v/>
      </c>
    </row>
    <row r="174" spans="1:54" ht="75.95" hidden="1" customHeight="1">
      <c r="A174" s="2" t="s">
        <v>1757</v>
      </c>
      <c r="B174" s="2" t="s">
        <v>1243</v>
      </c>
      <c r="C174" s="2" t="s">
        <v>858</v>
      </c>
      <c r="D174" s="2" t="s">
        <v>1758</v>
      </c>
      <c r="E174" s="2" t="s">
        <v>264</v>
      </c>
      <c r="F174" s="2" t="s">
        <v>673</v>
      </c>
      <c r="G174" s="2" t="s">
        <v>674</v>
      </c>
      <c r="H174" s="2" t="s">
        <v>1759</v>
      </c>
      <c r="I174" s="2" t="s">
        <v>1760</v>
      </c>
      <c r="J174" s="65">
        <v>11</v>
      </c>
      <c r="K174" s="94" t="s">
        <v>455</v>
      </c>
      <c r="L174" s="2" t="s">
        <v>36</v>
      </c>
      <c r="M174" s="2" t="s">
        <v>1761</v>
      </c>
      <c r="N174" s="2" t="s">
        <v>1248</v>
      </c>
      <c r="O174" s="2" t="s">
        <v>1249</v>
      </c>
      <c r="P174" s="2" t="s">
        <v>1250</v>
      </c>
      <c r="Q174" s="2" t="s">
        <v>679</v>
      </c>
      <c r="R174" s="65">
        <v>4.7</v>
      </c>
      <c r="S174" s="2" t="s">
        <v>1473</v>
      </c>
      <c r="T174" s="2" t="s">
        <v>1762</v>
      </c>
      <c r="U174" s="2" t="s">
        <v>1763</v>
      </c>
      <c r="V174" s="2" t="s">
        <v>1764</v>
      </c>
      <c r="W174" s="2" t="s">
        <v>1476</v>
      </c>
      <c r="X174" s="2" t="s">
        <v>531</v>
      </c>
      <c r="Y174" s="33"/>
      <c r="Z174" s="9"/>
      <c r="AA174" s="2" t="s">
        <v>732</v>
      </c>
      <c r="AB174" s="2" t="s">
        <v>733</v>
      </c>
      <c r="AC174" s="2" t="s">
        <v>1765</v>
      </c>
      <c r="AD174" s="2" t="s">
        <v>179</v>
      </c>
      <c r="AE174" s="2" t="s">
        <v>251</v>
      </c>
      <c r="AF174" s="2" t="s">
        <v>134</v>
      </c>
      <c r="AG174" s="2" t="s">
        <v>1254</v>
      </c>
      <c r="AH174" s="2" t="s">
        <v>136</v>
      </c>
      <c r="AI174" s="2" t="str">
        <f t="shared" si="20"/>
        <v/>
      </c>
      <c r="AJ174" s="2" t="s">
        <v>137</v>
      </c>
      <c r="AK174" s="2" t="s">
        <v>138</v>
      </c>
      <c r="AL174" s="2" t="s">
        <v>139</v>
      </c>
      <c r="AM174" s="2">
        <f t="shared" si="21"/>
        <v>1</v>
      </c>
      <c r="AN174" s="2"/>
      <c r="AO174" s="32" t="s">
        <v>462</v>
      </c>
      <c r="AP174" s="32" t="s">
        <v>141</v>
      </c>
      <c r="AQ174" s="32"/>
      <c r="AR174" s="32" t="s">
        <v>142</v>
      </c>
      <c r="AS174" s="65">
        <f t="shared" si="22"/>
        <v>11</v>
      </c>
      <c r="AT174" s="65">
        <f t="shared" si="23"/>
        <v>4.7</v>
      </c>
      <c r="AU174" s="2" t="str">
        <f>IFERROR(INDEX('Source Review'!$B$2:$B$52,MATCH($A174,'Source Review'!$A$2:$A$52,0)),"NOT SOURCE-REVIEWED IN THIS PASS")</f>
        <v>NOT SOURCE-REVIEWED IN THIS PASS</v>
      </c>
      <c r="AV174" s="5" t="str">
        <f>IFERROR(INDEX('Source Review'!$F$2:$F$52,MATCH($A174,'Source Review'!$A$2:$A$52,0)),"")</f>
        <v/>
      </c>
      <c r="AW174" s="5" t="str">
        <f>IFERROR(INDEX('Source Review'!$G$2:$G$52,MATCH($A174,'Source Review'!$A$2:$A$52,0)),"")</f>
        <v/>
      </c>
      <c r="AX174" s="5" t="str">
        <f>IFERROR(INDEX('Source Review'!$H$2:$H$52,MATCH($A174,'Source Review'!$A$2:$A$52,0)),"")</f>
        <v/>
      </c>
      <c r="AY174" s="2" t="str">
        <f>IF(COUNTIF('Source Review'!$A$2:$A$52,$A174)&gt;0,"UNCONFIRMED REVIEW ESTIMATE - not P80 or elapsed","NOT ESTIMATED IN THIS PASS")</f>
        <v>NOT ESTIMATED IN THIS PASS</v>
      </c>
      <c r="AZ174" s="2" t="str">
        <f>IFERROR(INDEX('Source Review'!$I$2:$I$52,MATCH($A174,'Source Review'!$A$2:$A$52,0)),"")</f>
        <v/>
      </c>
      <c r="BA174" s="2" t="str">
        <f>IFERROR(INDEX('Source Review'!$E$2:$E$52,MATCH($A174,'Source Review'!$A$2:$A$52,0)),"")</f>
        <v/>
      </c>
      <c r="BB174" s="2" t="str">
        <f>IF(COUNTIF('Source Review'!$A$2:$A$52,$A174)&gt;0,"14-Sep-2026 snapshot; later closure evidence separate; no live HEAD verification","")</f>
        <v/>
      </c>
    </row>
    <row r="175" spans="1:54" ht="75.95" hidden="1" customHeight="1">
      <c r="A175" s="2" t="s">
        <v>1766</v>
      </c>
      <c r="B175" s="2" t="s">
        <v>1243</v>
      </c>
      <c r="C175" s="2" t="s">
        <v>858</v>
      </c>
      <c r="D175" s="2" t="s">
        <v>1767</v>
      </c>
      <c r="E175" s="2" t="s">
        <v>789</v>
      </c>
      <c r="F175" s="2" t="s">
        <v>1767</v>
      </c>
      <c r="G175" s="2" t="s">
        <v>160</v>
      </c>
      <c r="H175" s="2" t="s">
        <v>1768</v>
      </c>
      <c r="I175" s="2" t="s">
        <v>1769</v>
      </c>
      <c r="J175" s="67"/>
      <c r="K175" s="94" t="s">
        <v>455</v>
      </c>
      <c r="L175" s="2" t="s">
        <v>293</v>
      </c>
      <c r="M175" s="2" t="s">
        <v>1770</v>
      </c>
      <c r="N175" s="2" t="s">
        <v>1248</v>
      </c>
      <c r="O175" s="2" t="s">
        <v>1249</v>
      </c>
      <c r="P175" s="2" t="s">
        <v>1250</v>
      </c>
      <c r="Q175" s="2" t="s">
        <v>794</v>
      </c>
      <c r="R175" s="65"/>
      <c r="S175" s="2" t="s">
        <v>1473</v>
      </c>
      <c r="T175" s="2" t="s">
        <v>1771</v>
      </c>
      <c r="U175" s="2" t="s">
        <v>796</v>
      </c>
      <c r="V175" s="2" t="s">
        <v>797</v>
      </c>
      <c r="W175" s="2" t="s">
        <v>1476</v>
      </c>
      <c r="X175" s="2" t="s">
        <v>531</v>
      </c>
      <c r="Y175" s="33"/>
      <c r="Z175" s="9"/>
      <c r="AA175" s="2" t="s">
        <v>1736</v>
      </c>
      <c r="AB175" s="2" t="s">
        <v>1772</v>
      </c>
      <c r="AC175" s="2" t="s">
        <v>1773</v>
      </c>
      <c r="AD175" s="2" t="s">
        <v>179</v>
      </c>
      <c r="AE175" s="2" t="s">
        <v>801</v>
      </c>
      <c r="AF175" s="2" t="s">
        <v>134</v>
      </c>
      <c r="AG175" s="2" t="s">
        <v>1254</v>
      </c>
      <c r="AH175" s="2" t="s">
        <v>136</v>
      </c>
      <c r="AI175" s="2" t="str">
        <f t="shared" si="20"/>
        <v/>
      </c>
      <c r="AJ175" s="34" t="s">
        <v>802</v>
      </c>
      <c r="AK175" s="34" t="s">
        <v>138</v>
      </c>
      <c r="AL175" s="34" t="s">
        <v>1774</v>
      </c>
      <c r="AM175" s="34">
        <f t="shared" si="21"/>
        <v>0</v>
      </c>
      <c r="AN175" s="34"/>
      <c r="AO175" s="35" t="s">
        <v>462</v>
      </c>
      <c r="AP175" s="35" t="s">
        <v>141</v>
      </c>
      <c r="AQ175" s="35"/>
      <c r="AR175" s="35" t="s">
        <v>805</v>
      </c>
      <c r="AS175" s="65" t="str">
        <f t="shared" si="22"/>
        <v/>
      </c>
      <c r="AT175" s="65" t="str">
        <f t="shared" si="23"/>
        <v/>
      </c>
      <c r="AU175" s="2" t="str">
        <f>IFERROR(INDEX('Source Review'!$B$2:$B$52,MATCH($A175,'Source Review'!$A$2:$A$52,0)),"NOT SOURCE-REVIEWED IN THIS PASS")</f>
        <v>SOURCE REVIEWED — LEGACY DEMO IS NOT TARGET IMPLEMENTATION</v>
      </c>
      <c r="AV175" s="5">
        <f>IFERROR(INDEX('Source Review'!$F$2:$F$52,MATCH($A175,'Source Review'!$A$2:$A$52,0)),"")</f>
        <v>10</v>
      </c>
      <c r="AW175" s="5">
        <f>IFERROR(INDEX('Source Review'!$G$2:$G$52,MATCH($A175,'Source Review'!$A$2:$A$52,0)),"")</f>
        <v>18</v>
      </c>
      <c r="AX175" s="5">
        <f>IFERROR(INDEX('Source Review'!$H$2:$H$52,MATCH($A175,'Source Review'!$A$2:$A$52,0)),"")</f>
        <v>30</v>
      </c>
      <c r="AY175" s="2" t="str">
        <f>IF(COUNTIF('Source Review'!$A$2:$A$52,$A175)&gt;0,"UNCONFIRMED REVIEW ESTIMATE - not P80 or elapsed","NOT ESTIMATED IN THIS PASS")</f>
        <v>UNCONFIRMED REVIEW ESTIMATE - not P80 or elapsed</v>
      </c>
      <c r="AZ175" s="2" t="str">
        <f>IFERROR(INDEX('Source Review'!$I$2:$I$52,MATCH($A175,'Source Review'!$A$2:$A$52,0)),"")</f>
        <v>Registry/comparison service 4/7/12; result surface/evidence/export 3/6/10; BM01/BM02/tenant tests 3/5/8.</v>
      </c>
      <c r="BA175" s="2" t="str">
        <f>IFERROR(INDEX('Source Review'!$E$2:$E$52,MATCH($A175,'Source Review'!$A$2:$A$52,0)),"")</f>
        <v>Backend/PlantProcess.Application/Advisory/P15BenchmarkingService.cs:17-35 — demo dashboard
Backend/PlantProcess.Application/Advisory/P15BenchmarkingService.cs:50-85 — generated bands</v>
      </c>
      <c r="BB175" s="2" t="str">
        <f>IF(COUNTIF('Source Review'!$A$2:$A$52,$A175)&gt;0,"14-Sep-2026 snapshot; later closure evidence separate; no live HEAD verification","")</f>
        <v>14-Sep-2026 snapshot; later closure evidence separate; no live HEAD verification</v>
      </c>
    </row>
    <row r="176" spans="1:54" ht="75.95" hidden="1" customHeight="1">
      <c r="A176" s="23" t="s">
        <v>1775</v>
      </c>
      <c r="B176" s="23" t="s">
        <v>1243</v>
      </c>
      <c r="C176" s="23" t="s">
        <v>1103</v>
      </c>
      <c r="D176" s="23" t="s">
        <v>1776</v>
      </c>
      <c r="E176" s="23" t="s">
        <v>1189</v>
      </c>
      <c r="F176" s="23" t="s">
        <v>1190</v>
      </c>
      <c r="G176" s="23" t="s">
        <v>113</v>
      </c>
      <c r="H176" s="23" t="s">
        <v>1777</v>
      </c>
      <c r="I176" s="23" t="s">
        <v>1778</v>
      </c>
      <c r="J176" s="66">
        <v>12</v>
      </c>
      <c r="K176" s="94" t="s">
        <v>455</v>
      </c>
      <c r="L176" s="23" t="s">
        <v>36</v>
      </c>
      <c r="M176" s="2"/>
      <c r="N176" s="2" t="s">
        <v>1248</v>
      </c>
      <c r="O176" s="2" t="s">
        <v>1249</v>
      </c>
      <c r="P176" s="2" t="s">
        <v>1250</v>
      </c>
      <c r="Q176" s="2" t="s">
        <v>1269</v>
      </c>
      <c r="R176" s="65">
        <v>7.2</v>
      </c>
      <c r="S176" s="2" t="s">
        <v>1779</v>
      </c>
      <c r="T176" s="2" t="s">
        <v>1270</v>
      </c>
      <c r="U176" s="2" t="s">
        <v>1399</v>
      </c>
      <c r="V176" s="2" t="s">
        <v>126</v>
      </c>
      <c r="W176" s="2" t="s">
        <v>1780</v>
      </c>
      <c r="X176" s="2" t="s">
        <v>1781</v>
      </c>
      <c r="Y176" s="33"/>
      <c r="Z176" s="9"/>
      <c r="AA176" s="2" t="s">
        <v>1194</v>
      </c>
      <c r="AB176" s="2" t="s">
        <v>1195</v>
      </c>
      <c r="AC176" s="2" t="s">
        <v>130</v>
      </c>
      <c r="AD176" s="2" t="s">
        <v>179</v>
      </c>
      <c r="AE176" s="2" t="s">
        <v>133</v>
      </c>
      <c r="AF176" s="2" t="s">
        <v>134</v>
      </c>
      <c r="AG176" s="2" t="s">
        <v>1254</v>
      </c>
      <c r="AH176" s="2" t="s">
        <v>136</v>
      </c>
      <c r="AI176" s="2" t="str">
        <f t="shared" si="20"/>
        <v/>
      </c>
      <c r="AJ176" s="2" t="s">
        <v>137</v>
      </c>
      <c r="AK176" s="2" t="s">
        <v>138</v>
      </c>
      <c r="AL176" s="2" t="s">
        <v>139</v>
      </c>
      <c r="AM176" s="2">
        <f t="shared" si="21"/>
        <v>1</v>
      </c>
      <c r="AN176" s="2"/>
      <c r="AO176" s="32" t="s">
        <v>462</v>
      </c>
      <c r="AP176" s="32" t="s">
        <v>141</v>
      </c>
      <c r="AQ176" s="32"/>
      <c r="AR176" s="32" t="s">
        <v>142</v>
      </c>
      <c r="AS176" s="65">
        <f t="shared" si="22"/>
        <v>12</v>
      </c>
      <c r="AT176" s="65">
        <f t="shared" si="23"/>
        <v>7.2</v>
      </c>
      <c r="AU176" s="2" t="str">
        <f>IFERROR(INDEX('Source Review'!$B$2:$B$52,MATCH($A176,'Source Review'!$A$2:$A$52,0)),"NOT SOURCE-REVIEWED IN THIS PASS")</f>
        <v>NOT SOURCE-REVIEWED IN THIS PASS</v>
      </c>
      <c r="AV176" s="5" t="str">
        <f>IFERROR(INDEX('Source Review'!$F$2:$F$52,MATCH($A176,'Source Review'!$A$2:$A$52,0)),"")</f>
        <v/>
      </c>
      <c r="AW176" s="5" t="str">
        <f>IFERROR(INDEX('Source Review'!$G$2:$G$52,MATCH($A176,'Source Review'!$A$2:$A$52,0)),"")</f>
        <v/>
      </c>
      <c r="AX176" s="5" t="str">
        <f>IFERROR(INDEX('Source Review'!$H$2:$H$52,MATCH($A176,'Source Review'!$A$2:$A$52,0)),"")</f>
        <v/>
      </c>
      <c r="AY176" s="2" t="str">
        <f>IF(COUNTIF('Source Review'!$A$2:$A$52,$A176)&gt;0,"UNCONFIRMED REVIEW ESTIMATE - not P80 or elapsed","NOT ESTIMATED IN THIS PASS")</f>
        <v>NOT ESTIMATED IN THIS PASS</v>
      </c>
      <c r="AZ176" s="2" t="str">
        <f>IFERROR(INDEX('Source Review'!$I$2:$I$52,MATCH($A176,'Source Review'!$A$2:$A$52,0)),"")</f>
        <v/>
      </c>
      <c r="BA176" s="2" t="str">
        <f>IFERROR(INDEX('Source Review'!$E$2:$E$52,MATCH($A176,'Source Review'!$A$2:$A$52,0)),"")</f>
        <v/>
      </c>
      <c r="BB176" s="2" t="str">
        <f>IF(COUNTIF('Source Review'!$A$2:$A$52,$A176)&gt;0,"14-Sep-2026 snapshot; later closure evidence separate; no live HEAD verification","")</f>
        <v/>
      </c>
    </row>
    <row r="177" spans="1:54" ht="75.95" hidden="1" customHeight="1">
      <c r="A177" s="2" t="s">
        <v>1248</v>
      </c>
      <c r="B177" s="2" t="s">
        <v>1243</v>
      </c>
      <c r="C177" s="2" t="s">
        <v>1103</v>
      </c>
      <c r="D177" s="2" t="s">
        <v>1782</v>
      </c>
      <c r="E177" s="2" t="s">
        <v>111</v>
      </c>
      <c r="F177" s="2" t="s">
        <v>1783</v>
      </c>
      <c r="G177" s="2" t="s">
        <v>113</v>
      </c>
      <c r="H177" s="2" t="s">
        <v>1784</v>
      </c>
      <c r="I177" s="2" t="s">
        <v>1785</v>
      </c>
      <c r="J177" s="65">
        <v>12</v>
      </c>
      <c r="K177" s="94" t="s">
        <v>455</v>
      </c>
      <c r="L177" s="2" t="s">
        <v>117</v>
      </c>
      <c r="M177" s="2" t="s">
        <v>1786</v>
      </c>
      <c r="N177" s="2"/>
      <c r="O177" s="2" t="s">
        <v>1249</v>
      </c>
      <c r="P177" s="2" t="s">
        <v>1250</v>
      </c>
      <c r="Q177" s="2" t="s">
        <v>1783</v>
      </c>
      <c r="R177" s="65">
        <v>6</v>
      </c>
      <c r="S177" s="2" t="s">
        <v>1779</v>
      </c>
      <c r="T177" s="2" t="s">
        <v>1787</v>
      </c>
      <c r="U177" s="2" t="s">
        <v>1788</v>
      </c>
      <c r="V177" s="2" t="s">
        <v>1789</v>
      </c>
      <c r="W177" s="2" t="s">
        <v>1780</v>
      </c>
      <c r="X177" s="2" t="s">
        <v>1790</v>
      </c>
      <c r="Y177" s="33"/>
      <c r="Z177" s="9"/>
      <c r="AA177" s="2" t="s">
        <v>130</v>
      </c>
      <c r="AB177" s="2" t="s">
        <v>131</v>
      </c>
      <c r="AC177" s="2"/>
      <c r="AD177" s="2" t="s">
        <v>1205</v>
      </c>
      <c r="AE177" s="2" t="s">
        <v>133</v>
      </c>
      <c r="AF177" s="2" t="s">
        <v>134</v>
      </c>
      <c r="AG177" s="2" t="s">
        <v>1254</v>
      </c>
      <c r="AH177" s="2" t="s">
        <v>136</v>
      </c>
      <c r="AI177" s="2"/>
      <c r="AJ177" s="2" t="s">
        <v>137</v>
      </c>
      <c r="AK177" s="2" t="s">
        <v>138</v>
      </c>
      <c r="AL177" s="2" t="s">
        <v>139</v>
      </c>
      <c r="AM177" s="2">
        <f t="shared" si="21"/>
        <v>1</v>
      </c>
      <c r="AN177" s="2"/>
      <c r="AO177" s="32" t="s">
        <v>462</v>
      </c>
      <c r="AP177" s="32" t="s">
        <v>141</v>
      </c>
      <c r="AQ177" s="32"/>
      <c r="AR177" s="32" t="s">
        <v>142</v>
      </c>
      <c r="AS177" s="65">
        <f t="shared" si="22"/>
        <v>12</v>
      </c>
      <c r="AT177" s="65">
        <f t="shared" si="23"/>
        <v>6</v>
      </c>
      <c r="AU177" s="2" t="str">
        <f>IFERROR(INDEX('Source Review'!$B$2:$B$52,MATCH($A177,'Source Review'!$A$2:$A$52,0)),"NOT SOURCE-REVIEWED IN THIS PASS")</f>
        <v>NOT SOURCE-REVIEWED IN THIS PASS</v>
      </c>
      <c r="AV177" s="5" t="str">
        <f>IFERROR(INDEX('Source Review'!$F$2:$F$52,MATCH($A177,'Source Review'!$A$2:$A$52,0)),"")</f>
        <v/>
      </c>
      <c r="AW177" s="5" t="str">
        <f>IFERROR(INDEX('Source Review'!$G$2:$G$52,MATCH($A177,'Source Review'!$A$2:$A$52,0)),"")</f>
        <v/>
      </c>
      <c r="AX177" s="5" t="str">
        <f>IFERROR(INDEX('Source Review'!$H$2:$H$52,MATCH($A177,'Source Review'!$A$2:$A$52,0)),"")</f>
        <v/>
      </c>
      <c r="AY177" s="2" t="str">
        <f>IF(COUNTIF('Source Review'!$A$2:$A$52,$A177)&gt;0,"UNCONFIRMED REVIEW ESTIMATE - not P80 or elapsed","NOT ESTIMATED IN THIS PASS")</f>
        <v>NOT ESTIMATED IN THIS PASS</v>
      </c>
      <c r="AZ177" s="2" t="str">
        <f>IFERROR(INDEX('Source Review'!$I$2:$I$52,MATCH($A177,'Source Review'!$A$2:$A$52,0)),"")</f>
        <v/>
      </c>
      <c r="BA177" s="2" t="str">
        <f>IFERROR(INDEX('Source Review'!$E$2:$E$52,MATCH($A177,'Source Review'!$A$2:$A$52,0)),"")</f>
        <v/>
      </c>
      <c r="BB177" s="2" t="str">
        <f>IF(COUNTIF('Source Review'!$A$2:$A$52,$A177)&gt;0,"14-Sep-2026 snapshot; later closure evidence separate; no live HEAD verification","")</f>
        <v/>
      </c>
    </row>
    <row r="178" spans="1:54" ht="90" hidden="1" customHeight="1">
      <c r="A178" s="2" t="s">
        <v>1791</v>
      </c>
      <c r="B178" s="2" t="s">
        <v>108</v>
      </c>
      <c r="C178" s="2" t="s">
        <v>807</v>
      </c>
      <c r="D178" s="2" t="s">
        <v>1792</v>
      </c>
      <c r="E178" s="2" t="s">
        <v>264</v>
      </c>
      <c r="F178" s="2" t="s">
        <v>1793</v>
      </c>
      <c r="G178" s="2" t="s">
        <v>1794</v>
      </c>
      <c r="H178" s="2" t="s">
        <v>1795</v>
      </c>
      <c r="I178" s="2" t="s">
        <v>1796</v>
      </c>
      <c r="J178" s="65"/>
      <c r="K178" s="94" t="s">
        <v>455</v>
      </c>
      <c r="L178" s="2" t="s">
        <v>36</v>
      </c>
      <c r="M178" s="2"/>
      <c r="N178" s="2" t="s">
        <v>1797</v>
      </c>
      <c r="O178" s="2" t="s">
        <v>4</v>
      </c>
      <c r="P178" s="2" t="s">
        <v>121</v>
      </c>
      <c r="Q178" s="2" t="s">
        <v>1798</v>
      </c>
      <c r="R178" s="65"/>
      <c r="S178" s="2" t="s">
        <v>1799</v>
      </c>
      <c r="T178" s="2" t="s">
        <v>1800</v>
      </c>
      <c r="U178" s="2" t="s">
        <v>1801</v>
      </c>
      <c r="V178" s="2" t="s">
        <v>1802</v>
      </c>
      <c r="W178" s="2" t="s">
        <v>1803</v>
      </c>
      <c r="X178" s="2" t="s">
        <v>1804</v>
      </c>
      <c r="Y178" s="2"/>
      <c r="Z178" s="2"/>
      <c r="AA178" s="2" t="s">
        <v>819</v>
      </c>
      <c r="AB178" s="2" t="s">
        <v>820</v>
      </c>
      <c r="AC178" s="2" t="s">
        <v>1805</v>
      </c>
      <c r="AD178" s="2" t="s">
        <v>1806</v>
      </c>
      <c r="AE178" s="2" t="s">
        <v>1807</v>
      </c>
      <c r="AF178" s="2" t="s">
        <v>134</v>
      </c>
      <c r="AG178" s="2" t="s">
        <v>1808</v>
      </c>
      <c r="AH178" s="2" t="s">
        <v>1809</v>
      </c>
      <c r="AI178" s="2" t="s">
        <v>1810</v>
      </c>
      <c r="AJ178" s="2" t="s">
        <v>1811</v>
      </c>
      <c r="AK178" s="2" t="s">
        <v>12459</v>
      </c>
      <c r="AL178" s="2" t="s">
        <v>1812</v>
      </c>
      <c r="AM178" s="2">
        <f t="shared" si="21"/>
        <v>0</v>
      </c>
      <c r="AN178" s="2" t="s">
        <v>1813</v>
      </c>
      <c r="AO178" s="2" t="s">
        <v>1814</v>
      </c>
      <c r="AP178" s="2" t="s">
        <v>1815</v>
      </c>
      <c r="AQ178" s="2"/>
      <c r="AR178" s="2" t="s">
        <v>1816</v>
      </c>
      <c r="AS178" s="65" t="str">
        <f t="shared" si="22"/>
        <v/>
      </c>
      <c r="AT178" s="65" t="str">
        <f t="shared" si="23"/>
        <v/>
      </c>
      <c r="AU178" s="2" t="str">
        <f>IFERROR(INDEX('Source Review'!$B$2:$B$52,MATCH($A178,'Source Review'!$A$2:$A$52,0)),"NOT SOURCE-REVIEWED IN THIS PASS")</f>
        <v>SOURCE + DELIVERED UI DATA REVIEWED — DESIGN DEPTH/PROTOTYPE NOT ACCEPTED</v>
      </c>
      <c r="AV178" s="5">
        <f>IFERROR(INDEX('Source Review'!$F$2:$F$52,MATCH($A178,'Source Review'!$A$2:$A$52,0)),"")</f>
        <v>28</v>
      </c>
      <c r="AW178" s="5">
        <f>IFERROR(INDEX('Source Review'!$G$2:$G$52,MATCH($A178,'Source Review'!$A$2:$A$52,0)),"")</f>
        <v>44</v>
      </c>
      <c r="AX178" s="5">
        <f>IFERROR(INDEX('Source Review'!$H$2:$H$52,MATCH($A178,'Source Review'!$A$2:$A$52,0)),"")</f>
        <v>68</v>
      </c>
      <c r="AY178" s="2" t="str">
        <f>IF(COUNTIF('Source Review'!$A$2:$A$52,$A178)&gt;0,"UNCONFIRMED REVIEW ESTIMATE - not P80 or elapsed","NOT ESTIMATED IN THIS PASS")</f>
        <v>UNCONFIRMED REVIEW ESTIMATE - not P80 or elapsed</v>
      </c>
      <c r="AZ178" s="2" t="str">
        <f>IFERROR(INDEX('Source Review'!$I$2:$I$52,MATCH($A178,'Source Review'!$A$2:$A$52,0)),"")</f>
        <v>Semantic/fixture mapping 6/10/15; connected M2 flows 16/24/37; native import/RTL/focus/Word synchronization 6/10/16.</v>
      </c>
      <c r="BA178" s="2" t="str">
        <f>IFERROR(INDEX('Source Review'!$E$2:$E$52,MATCH($A178,'Source Review'!$A$2:$A$52,0)),"")</f>
        <v>Frontend/PlantProcess.Web/src/state/AssociativeContext.tsx:8-36 — existing associative control semantics
Frontend/PlantProcess.Web/src/authoring/SharedAuthoringShell.tsx:333-403 — existing reopen model
PPIQ_UI_Figma_v4.10.3.zip!UI_Figma/UI_Design_Data.json: pages40/dialogs87/scenes607; figma_status explicitly states importer not executed. UI Controls v223: PENDING SEMANTIC TRACE.</v>
      </c>
      <c r="BB178" s="2" t="str">
        <f>IF(COUNTIF('Source Review'!$A$2:$A$52,$A178)&gt;0,"14-Sep-2026 snapshot; later closure evidence separate; no live HEAD verification","")</f>
        <v>14-Sep-2026 snapshot; later closure evidence separate; no live HEAD verification</v>
      </c>
    </row>
    <row r="179" spans="1:54" ht="90" hidden="1" customHeight="1">
      <c r="A179" s="2" t="s">
        <v>1817</v>
      </c>
      <c r="B179" s="2" t="s">
        <v>108</v>
      </c>
      <c r="C179" s="2" t="s">
        <v>426</v>
      </c>
      <c r="D179" s="2" t="s">
        <v>12499</v>
      </c>
      <c r="E179" s="2" t="s">
        <v>264</v>
      </c>
      <c r="F179" s="2" t="s">
        <v>1793</v>
      </c>
      <c r="G179" s="2" t="s">
        <v>1794</v>
      </c>
      <c r="H179" s="2" t="s">
        <v>12500</v>
      </c>
      <c r="I179" s="2" t="s">
        <v>12501</v>
      </c>
      <c r="J179" s="65"/>
      <c r="K179" s="94" t="s">
        <v>455</v>
      </c>
      <c r="L179" s="2" t="s">
        <v>36</v>
      </c>
      <c r="M179" s="2" t="s">
        <v>567</v>
      </c>
      <c r="N179" s="2" t="s">
        <v>12502</v>
      </c>
      <c r="O179" s="2" t="s">
        <v>4</v>
      </c>
      <c r="P179" s="2" t="s">
        <v>121</v>
      </c>
      <c r="Q179" s="2" t="s">
        <v>1798</v>
      </c>
      <c r="R179" s="65"/>
      <c r="S179" s="2" t="s">
        <v>1799</v>
      </c>
      <c r="T179" s="2" t="s">
        <v>1800</v>
      </c>
      <c r="U179" s="2" t="s">
        <v>1818</v>
      </c>
      <c r="V179" s="2" t="s">
        <v>1802</v>
      </c>
      <c r="W179" s="2" t="s">
        <v>1803</v>
      </c>
      <c r="X179" s="2" t="s">
        <v>12503</v>
      </c>
      <c r="Y179" s="2"/>
      <c r="Z179" s="2"/>
      <c r="AA179" s="2" t="s">
        <v>619</v>
      </c>
      <c r="AB179" s="2" t="s">
        <v>620</v>
      </c>
      <c r="AC179" s="2" t="s">
        <v>1819</v>
      </c>
      <c r="AD179" s="2" t="s">
        <v>1806</v>
      </c>
      <c r="AE179" s="2" t="s">
        <v>1807</v>
      </c>
      <c r="AF179" s="2" t="s">
        <v>134</v>
      </c>
      <c r="AG179" s="2" t="s">
        <v>1808</v>
      </c>
      <c r="AH179" s="2" t="s">
        <v>1809</v>
      </c>
      <c r="AI179" s="2" t="s">
        <v>1810</v>
      </c>
      <c r="AJ179" s="2" t="s">
        <v>1811</v>
      </c>
      <c r="AK179" s="2" t="s">
        <v>12459</v>
      </c>
      <c r="AL179" s="2" t="s">
        <v>12504</v>
      </c>
      <c r="AM179" s="2">
        <f t="shared" si="21"/>
        <v>0</v>
      </c>
      <c r="AN179" s="2" t="s">
        <v>1820</v>
      </c>
      <c r="AO179" s="2" t="s">
        <v>1814</v>
      </c>
      <c r="AP179" s="2" t="s">
        <v>1815</v>
      </c>
      <c r="AQ179" s="2"/>
      <c r="AR179" s="2" t="s">
        <v>12505</v>
      </c>
      <c r="AS179" s="65" t="str">
        <f t="shared" si="22"/>
        <v/>
      </c>
      <c r="AT179" s="65" t="str">
        <f t="shared" si="23"/>
        <v/>
      </c>
      <c r="AU179" s="2" t="s">
        <v>12506</v>
      </c>
      <c r="AV179" s="5"/>
      <c r="AW179" s="5"/>
      <c r="AX179" s="5"/>
      <c r="AY179" s="2" t="s">
        <v>12489</v>
      </c>
      <c r="AZ179" s="2" t="s">
        <v>12507</v>
      </c>
      <c r="BA179" s="2" t="s">
        <v>12508</v>
      </c>
      <c r="BB179" s="2" t="s">
        <v>12509</v>
      </c>
    </row>
    <row r="180" spans="1:54" ht="90" hidden="1" customHeight="1">
      <c r="A180" s="2" t="s">
        <v>1821</v>
      </c>
      <c r="B180" s="2" t="s">
        <v>1243</v>
      </c>
      <c r="C180" s="2" t="s">
        <v>807</v>
      </c>
      <c r="D180" s="2" t="s">
        <v>1822</v>
      </c>
      <c r="E180" s="2" t="s">
        <v>264</v>
      </c>
      <c r="F180" s="2" t="s">
        <v>1793</v>
      </c>
      <c r="G180" s="2" t="s">
        <v>1794</v>
      </c>
      <c r="H180" s="2" t="s">
        <v>1823</v>
      </c>
      <c r="I180" s="2" t="s">
        <v>1824</v>
      </c>
      <c r="J180" s="65"/>
      <c r="K180" s="94" t="s">
        <v>455</v>
      </c>
      <c r="L180" s="2" t="s">
        <v>36</v>
      </c>
      <c r="M180" s="2" t="s">
        <v>1791</v>
      </c>
      <c r="N180" s="2" t="s">
        <v>1825</v>
      </c>
      <c r="O180" s="2" t="s">
        <v>8</v>
      </c>
      <c r="P180" s="2" t="s">
        <v>1250</v>
      </c>
      <c r="Q180" s="2" t="s">
        <v>1798</v>
      </c>
      <c r="R180" s="65"/>
      <c r="S180" s="2" t="s">
        <v>1799</v>
      </c>
      <c r="T180" s="2" t="s">
        <v>1800</v>
      </c>
      <c r="U180" s="2" t="s">
        <v>1826</v>
      </c>
      <c r="V180" s="2" t="s">
        <v>1802</v>
      </c>
      <c r="W180" s="2" t="s">
        <v>1803</v>
      </c>
      <c r="X180" s="2" t="s">
        <v>1804</v>
      </c>
      <c r="Y180" s="2"/>
      <c r="Z180" s="2"/>
      <c r="AA180" s="2" t="s">
        <v>721</v>
      </c>
      <c r="AB180" s="2" t="s">
        <v>1453</v>
      </c>
      <c r="AC180" s="2" t="s">
        <v>1827</v>
      </c>
      <c r="AD180" s="2" t="s">
        <v>1806</v>
      </c>
      <c r="AE180" s="2" t="s">
        <v>1807</v>
      </c>
      <c r="AF180" s="2" t="s">
        <v>134</v>
      </c>
      <c r="AG180" s="2" t="s">
        <v>1828</v>
      </c>
      <c r="AH180" s="2" t="s">
        <v>1809</v>
      </c>
      <c r="AI180" s="2" t="s">
        <v>1810</v>
      </c>
      <c r="AJ180" s="2" t="s">
        <v>1811</v>
      </c>
      <c r="AK180" s="2" t="s">
        <v>12459</v>
      </c>
      <c r="AL180" s="2" t="s">
        <v>1829</v>
      </c>
      <c r="AM180" s="2">
        <f t="shared" si="21"/>
        <v>0</v>
      </c>
      <c r="AN180" s="2" t="s">
        <v>1830</v>
      </c>
      <c r="AO180" s="2" t="s">
        <v>1814</v>
      </c>
      <c r="AP180" s="2" t="s">
        <v>1815</v>
      </c>
      <c r="AQ180" s="2"/>
      <c r="AR180" s="2" t="s">
        <v>1816</v>
      </c>
      <c r="AS180" s="65" t="str">
        <f t="shared" si="22"/>
        <v/>
      </c>
      <c r="AT180" s="65" t="str">
        <f t="shared" si="23"/>
        <v/>
      </c>
      <c r="AU180" s="2" t="str">
        <f>IFERROR(INDEX('Source Review'!$B$2:$B$52,MATCH($A180,'Source Review'!$A$2:$A$52,0)),"NOT SOURCE-REVIEWED IN THIS PASS")</f>
        <v>BOUNDED SOURCE + UI INVENTORY REVIEW — M3 DESIGN REMAINDER</v>
      </c>
      <c r="AV180" s="5">
        <f>IFERROR(INDEX('Source Review'!$F$2:$F$52,MATCH($A180,'Source Review'!$A$2:$A$52,0)),"")</f>
        <v>24</v>
      </c>
      <c r="AW180" s="5">
        <f>IFERROR(INDEX('Source Review'!$G$2:$G$52,MATCH($A180,'Source Review'!$A$2:$A$52,0)),"")</f>
        <v>40</v>
      </c>
      <c r="AX180" s="5">
        <f>IFERROR(INDEX('Source Review'!$H$2:$H$52,MATCH($A180,'Source Review'!$A$2:$A$52,0)),"")</f>
        <v>64</v>
      </c>
      <c r="AY180" s="2" t="str">
        <f>IF(COUNTIF('Source Review'!$A$2:$A$52,$A180)&gt;0,"UNCONFIRMED REVIEW ESTIMATE - not P80 or elapsed","NOT ESTIMATED IN THIS PASS")</f>
        <v>UNCONFIRMED REVIEW ESTIMATE - not P80 or elapsed</v>
      </c>
      <c r="AZ180" s="2" t="str">
        <f>IFERROR(INDEX('Source Review'!$I$2:$I$52,MATCH($A180,'Source Review'!$A$2:$A$52,0)),"")</f>
        <v>M3 requirement/producer mapping 5/8/13; advanced connected flows 14/24/38; native/RTL/coverage/chapter checks 5/8/13.</v>
      </c>
      <c r="BA180" s="2" t="str">
        <f>IFERROR(INDEX('Source Review'!$E$2:$E$52,MATCH($A180,'Source Review'!$A$2:$A$52,0)),"")</f>
        <v>Frontend/PlantProcess.Web/src/state/AssociativeContext.tsx:8-36 — M2 behaviour to preserve
Backend/PlantProcess.Api/Endpoints/Reporting/ReportingEndpoints.cs:10-33 — existing report subset, not full E5
PPIQ_UI_Figma_v4.10.3.zip!UI_Figma/UI_Design_Data.json: pages40/dialogs87/scenes607; figma_status explicitly states importer not executed. UI Controls v223: PENDING SEMANTIC TRACE.</v>
      </c>
      <c r="BB180" s="2" t="str">
        <f>IF(COUNTIF('Source Review'!$A$2:$A$52,$A180)&gt;0,"14-Sep-2026 snapshot; later closure evidence separate; no live HEAD verification","")</f>
        <v>14-Sep-2026 snapshot; later closure evidence separate; no live HEAD verification</v>
      </c>
    </row>
    <row r="181" spans="1:54" ht="90" customHeight="1">
      <c r="A181" s="2" t="s">
        <v>12510</v>
      </c>
      <c r="B181" s="2" t="s">
        <v>108</v>
      </c>
      <c r="C181" s="2" t="s">
        <v>426</v>
      </c>
      <c r="D181" s="2" t="s">
        <v>12511</v>
      </c>
      <c r="E181" s="2" t="s">
        <v>348</v>
      </c>
      <c r="F181" s="2" t="s">
        <v>12512</v>
      </c>
      <c r="G181" s="2" t="s">
        <v>113</v>
      </c>
      <c r="H181" s="2" t="s">
        <v>12513</v>
      </c>
      <c r="I181" s="2" t="s">
        <v>12514</v>
      </c>
      <c r="J181" s="2"/>
      <c r="K181" s="2" t="s">
        <v>455</v>
      </c>
      <c r="L181" s="2" t="s">
        <v>117</v>
      </c>
      <c r="M181" s="2" t="s">
        <v>567</v>
      </c>
      <c r="N181" s="2" t="s">
        <v>12515</v>
      </c>
      <c r="O181" s="2" t="s">
        <v>120</v>
      </c>
      <c r="P181" s="2" t="s">
        <v>121</v>
      </c>
      <c r="Q181" s="2" t="s">
        <v>12516</v>
      </c>
      <c r="R181" s="2"/>
      <c r="S181" s="2" t="s">
        <v>12517</v>
      </c>
      <c r="T181" s="2" t="s">
        <v>12518</v>
      </c>
      <c r="U181" s="2" t="s">
        <v>12519</v>
      </c>
      <c r="V181" s="2" t="s">
        <v>12520</v>
      </c>
      <c r="W181" s="2" t="s">
        <v>12521</v>
      </c>
      <c r="X181" s="2" t="s">
        <v>12522</v>
      </c>
      <c r="Y181" s="2"/>
      <c r="Z181" s="2"/>
      <c r="AA181" s="2" t="s">
        <v>607</v>
      </c>
      <c r="AB181" s="2" t="s">
        <v>608</v>
      </c>
      <c r="AC181" s="2" t="s">
        <v>12523</v>
      </c>
      <c r="AD181" s="2" t="s">
        <v>179</v>
      </c>
      <c r="AE181" s="2" t="s">
        <v>321</v>
      </c>
      <c r="AF181" s="2" t="s">
        <v>134</v>
      </c>
      <c r="AG181" s="2" t="s">
        <v>135</v>
      </c>
      <c r="AH181" s="2" t="s">
        <v>136</v>
      </c>
      <c r="AI181" s="2" t="s">
        <v>12524</v>
      </c>
      <c r="AJ181" s="2" t="s">
        <v>12525</v>
      </c>
      <c r="AK181" s="2" t="s">
        <v>12459</v>
      </c>
      <c r="AL181" s="2" t="s">
        <v>12526</v>
      </c>
      <c r="AM181" s="2">
        <v>0</v>
      </c>
      <c r="AN181" s="2"/>
      <c r="AO181" s="2" t="s">
        <v>12527</v>
      </c>
      <c r="AP181" s="2" t="s">
        <v>12528</v>
      </c>
      <c r="AQ181" s="2"/>
      <c r="AR181" s="2" t="s">
        <v>12529</v>
      </c>
      <c r="AS181" s="2"/>
      <c r="AT181" s="2"/>
      <c r="AU181" s="2" t="s">
        <v>12530</v>
      </c>
      <c r="AV181" s="2"/>
      <c r="AW181" s="2"/>
      <c r="AX181" s="2"/>
      <c r="AY181" s="2" t="s">
        <v>12531</v>
      </c>
      <c r="AZ181" s="2" t="s">
        <v>12532</v>
      </c>
      <c r="BA181" s="2" t="s">
        <v>12533</v>
      </c>
      <c r="BB181" s="2" t="s">
        <v>12534</v>
      </c>
    </row>
    <row r="182" spans="1:54" ht="90" customHeight="1">
      <c r="A182" s="2" t="s">
        <v>12535</v>
      </c>
      <c r="B182" s="2" t="s">
        <v>108</v>
      </c>
      <c r="C182" s="2" t="s">
        <v>426</v>
      </c>
      <c r="D182" s="2" t="s">
        <v>12536</v>
      </c>
      <c r="E182" s="2" t="s">
        <v>12537</v>
      </c>
      <c r="F182" s="2" t="s">
        <v>12538</v>
      </c>
      <c r="G182" s="2" t="s">
        <v>113</v>
      </c>
      <c r="H182" s="2" t="s">
        <v>12539</v>
      </c>
      <c r="I182" s="2" t="s">
        <v>12540</v>
      </c>
      <c r="J182" s="2"/>
      <c r="K182" s="2" t="s">
        <v>455</v>
      </c>
      <c r="L182" s="2" t="s">
        <v>117</v>
      </c>
      <c r="M182" s="2" t="s">
        <v>12510</v>
      </c>
      <c r="N182" s="2" t="s">
        <v>12541</v>
      </c>
      <c r="O182" s="2" t="s">
        <v>120</v>
      </c>
      <c r="P182" s="2" t="s">
        <v>121</v>
      </c>
      <c r="Q182" s="2" t="s">
        <v>12516</v>
      </c>
      <c r="R182" s="2"/>
      <c r="S182" s="2" t="s">
        <v>12517</v>
      </c>
      <c r="T182" s="2" t="s">
        <v>12518</v>
      </c>
      <c r="U182" s="2" t="s">
        <v>12519</v>
      </c>
      <c r="V182" s="2" t="s">
        <v>12520</v>
      </c>
      <c r="W182" s="2" t="s">
        <v>12521</v>
      </c>
      <c r="X182" s="2" t="s">
        <v>12522</v>
      </c>
      <c r="Y182" s="2"/>
      <c r="Z182" s="2"/>
      <c r="AA182" s="2" t="s">
        <v>607</v>
      </c>
      <c r="AB182" s="2" t="s">
        <v>608</v>
      </c>
      <c r="AC182" s="2" t="s">
        <v>12542</v>
      </c>
      <c r="AD182" s="2" t="s">
        <v>179</v>
      </c>
      <c r="AE182" s="2" t="s">
        <v>191</v>
      </c>
      <c r="AF182" s="2" t="s">
        <v>134</v>
      </c>
      <c r="AG182" s="2" t="s">
        <v>135</v>
      </c>
      <c r="AH182" s="2" t="s">
        <v>136</v>
      </c>
      <c r="AI182" s="2" t="s">
        <v>12524</v>
      </c>
      <c r="AJ182" s="2" t="s">
        <v>12525</v>
      </c>
      <c r="AK182" s="2" t="s">
        <v>12459</v>
      </c>
      <c r="AL182" s="2" t="s">
        <v>12526</v>
      </c>
      <c r="AM182" s="2">
        <v>0</v>
      </c>
      <c r="AN182" s="2"/>
      <c r="AO182" s="2" t="s">
        <v>12527</v>
      </c>
      <c r="AP182" s="2" t="s">
        <v>12528</v>
      </c>
      <c r="AQ182" s="2"/>
      <c r="AR182" s="2" t="s">
        <v>12529</v>
      </c>
      <c r="AS182" s="2"/>
      <c r="AT182" s="2"/>
      <c r="AU182" s="2" t="s">
        <v>12530</v>
      </c>
      <c r="AV182" s="2"/>
      <c r="AW182" s="2"/>
      <c r="AX182" s="2"/>
      <c r="AY182" s="2" t="s">
        <v>12531</v>
      </c>
      <c r="AZ182" s="2" t="s">
        <v>12532</v>
      </c>
      <c r="BA182" s="2" t="s">
        <v>12533</v>
      </c>
      <c r="BB182" s="2" t="s">
        <v>12534</v>
      </c>
    </row>
    <row r="183" spans="1:54" ht="90" customHeight="1">
      <c r="A183" s="2" t="s">
        <v>12543</v>
      </c>
      <c r="B183" s="2" t="s">
        <v>108</v>
      </c>
      <c r="C183" s="2" t="s">
        <v>426</v>
      </c>
      <c r="D183" s="2" t="s">
        <v>12544</v>
      </c>
      <c r="E183" s="2" t="s">
        <v>12537</v>
      </c>
      <c r="F183" s="2" t="s">
        <v>12545</v>
      </c>
      <c r="G183" s="2" t="s">
        <v>113</v>
      </c>
      <c r="H183" s="2" t="s">
        <v>12546</v>
      </c>
      <c r="I183" s="2" t="s">
        <v>12547</v>
      </c>
      <c r="J183" s="2"/>
      <c r="K183" s="2" t="s">
        <v>455</v>
      </c>
      <c r="L183" s="2" t="s">
        <v>117</v>
      </c>
      <c r="M183" s="2" t="s">
        <v>12548</v>
      </c>
      <c r="N183" s="2" t="s">
        <v>12549</v>
      </c>
      <c r="O183" s="2" t="s">
        <v>120</v>
      </c>
      <c r="P183" s="2" t="s">
        <v>121</v>
      </c>
      <c r="Q183" s="2" t="s">
        <v>12516</v>
      </c>
      <c r="R183" s="2"/>
      <c r="S183" s="2" t="s">
        <v>12517</v>
      </c>
      <c r="T183" s="2" t="s">
        <v>12518</v>
      </c>
      <c r="U183" s="2" t="s">
        <v>12519</v>
      </c>
      <c r="V183" s="2" t="s">
        <v>12520</v>
      </c>
      <c r="W183" s="2" t="s">
        <v>12521</v>
      </c>
      <c r="X183" s="2" t="s">
        <v>12522</v>
      </c>
      <c r="Y183" s="2"/>
      <c r="Z183" s="2"/>
      <c r="AA183" s="2" t="s">
        <v>619</v>
      </c>
      <c r="AB183" s="2" t="s">
        <v>12550</v>
      </c>
      <c r="AC183" s="2" t="s">
        <v>12551</v>
      </c>
      <c r="AD183" s="2" t="s">
        <v>179</v>
      </c>
      <c r="AE183" s="2" t="s">
        <v>321</v>
      </c>
      <c r="AF183" s="2" t="s">
        <v>134</v>
      </c>
      <c r="AG183" s="2" t="s">
        <v>135</v>
      </c>
      <c r="AH183" s="2" t="s">
        <v>136</v>
      </c>
      <c r="AI183" s="2" t="s">
        <v>12524</v>
      </c>
      <c r="AJ183" s="2" t="s">
        <v>12525</v>
      </c>
      <c r="AK183" s="2" t="s">
        <v>12459</v>
      </c>
      <c r="AL183" s="2" t="s">
        <v>12526</v>
      </c>
      <c r="AM183" s="2">
        <v>0</v>
      </c>
      <c r="AN183" s="2"/>
      <c r="AO183" s="2" t="s">
        <v>12527</v>
      </c>
      <c r="AP183" s="2" t="s">
        <v>12528</v>
      </c>
      <c r="AQ183" s="2"/>
      <c r="AR183" s="2" t="s">
        <v>12529</v>
      </c>
      <c r="AS183" s="2"/>
      <c r="AT183" s="2"/>
      <c r="AU183" s="2" t="s">
        <v>12530</v>
      </c>
      <c r="AV183" s="2"/>
      <c r="AW183" s="2"/>
      <c r="AX183" s="2"/>
      <c r="AY183" s="2" t="s">
        <v>12531</v>
      </c>
      <c r="AZ183" s="2" t="s">
        <v>12532</v>
      </c>
      <c r="BA183" s="2" t="s">
        <v>12533</v>
      </c>
      <c r="BB183" s="2" t="s">
        <v>12534</v>
      </c>
    </row>
    <row r="184" spans="1:54" ht="90" customHeight="1">
      <c r="A184" s="2" t="s">
        <v>12552</v>
      </c>
      <c r="B184" s="2" t="s">
        <v>108</v>
      </c>
      <c r="C184" s="2" t="s">
        <v>426</v>
      </c>
      <c r="D184" s="2" t="s">
        <v>12553</v>
      </c>
      <c r="E184" s="2" t="s">
        <v>12554</v>
      </c>
      <c r="F184" s="2" t="s">
        <v>12555</v>
      </c>
      <c r="G184" s="2" t="s">
        <v>113</v>
      </c>
      <c r="H184" s="2" t="s">
        <v>12556</v>
      </c>
      <c r="I184" s="2" t="s">
        <v>12557</v>
      </c>
      <c r="J184" s="2"/>
      <c r="K184" s="2" t="s">
        <v>455</v>
      </c>
      <c r="L184" s="2" t="s">
        <v>117</v>
      </c>
      <c r="M184" s="2" t="s">
        <v>12558</v>
      </c>
      <c r="N184" s="2" t="s">
        <v>12502</v>
      </c>
      <c r="O184" s="2" t="s">
        <v>120</v>
      </c>
      <c r="P184" s="2" t="s">
        <v>121</v>
      </c>
      <c r="Q184" s="2" t="s">
        <v>12516</v>
      </c>
      <c r="R184" s="2"/>
      <c r="S184" s="2" t="s">
        <v>12517</v>
      </c>
      <c r="T184" s="2" t="s">
        <v>12518</v>
      </c>
      <c r="U184" s="2" t="s">
        <v>12519</v>
      </c>
      <c r="V184" s="2" t="s">
        <v>12520</v>
      </c>
      <c r="W184" s="2" t="s">
        <v>12521</v>
      </c>
      <c r="X184" s="2" t="s">
        <v>12522</v>
      </c>
      <c r="Y184" s="2"/>
      <c r="Z184" s="2"/>
      <c r="AA184" s="2" t="s">
        <v>2843</v>
      </c>
      <c r="AB184" s="2" t="s">
        <v>2844</v>
      </c>
      <c r="AC184" s="2" t="s">
        <v>12559</v>
      </c>
      <c r="AD184" s="2" t="s">
        <v>156</v>
      </c>
      <c r="AE184" s="2" t="s">
        <v>321</v>
      </c>
      <c r="AF184" s="2" t="s">
        <v>134</v>
      </c>
      <c r="AG184" s="2" t="s">
        <v>135</v>
      </c>
      <c r="AH184" s="2" t="s">
        <v>136</v>
      </c>
      <c r="AI184" s="2" t="s">
        <v>12524</v>
      </c>
      <c r="AJ184" s="2" t="s">
        <v>12525</v>
      </c>
      <c r="AK184" s="2" t="s">
        <v>12459</v>
      </c>
      <c r="AL184" s="2" t="s">
        <v>12526</v>
      </c>
      <c r="AM184" s="2">
        <v>0</v>
      </c>
      <c r="AN184" s="2"/>
      <c r="AO184" s="2" t="s">
        <v>12527</v>
      </c>
      <c r="AP184" s="2" t="s">
        <v>12528</v>
      </c>
      <c r="AQ184" s="2"/>
      <c r="AR184" s="2" t="s">
        <v>12529</v>
      </c>
      <c r="AS184" s="2"/>
      <c r="AT184" s="2"/>
      <c r="AU184" s="2" t="s">
        <v>12530</v>
      </c>
      <c r="AV184" s="2"/>
      <c r="AW184" s="2"/>
      <c r="AX184" s="2"/>
      <c r="AY184" s="2" t="s">
        <v>12531</v>
      </c>
      <c r="AZ184" s="2" t="s">
        <v>12532</v>
      </c>
      <c r="BA184" s="2" t="s">
        <v>12533</v>
      </c>
      <c r="BB184" s="2" t="s">
        <v>12534</v>
      </c>
    </row>
    <row r="185" spans="1:54" ht="90" customHeight="1">
      <c r="A185" s="2" t="s">
        <v>12560</v>
      </c>
      <c r="B185" s="2" t="s">
        <v>108</v>
      </c>
      <c r="C185" s="2" t="s">
        <v>426</v>
      </c>
      <c r="D185" s="2" t="s">
        <v>12561</v>
      </c>
      <c r="E185" s="2" t="s">
        <v>12562</v>
      </c>
      <c r="F185" s="2" t="s">
        <v>12563</v>
      </c>
      <c r="G185" s="2" t="s">
        <v>113</v>
      </c>
      <c r="H185" s="2" t="s">
        <v>12564</v>
      </c>
      <c r="I185" s="2" t="s">
        <v>12565</v>
      </c>
      <c r="J185" s="2"/>
      <c r="K185" s="2" t="s">
        <v>455</v>
      </c>
      <c r="L185" s="2" t="s">
        <v>117</v>
      </c>
      <c r="M185" s="2" t="s">
        <v>12566</v>
      </c>
      <c r="N185" s="2" t="s">
        <v>12567</v>
      </c>
      <c r="O185" s="2" t="s">
        <v>120</v>
      </c>
      <c r="P185" s="2" t="s">
        <v>121</v>
      </c>
      <c r="Q185" s="2" t="s">
        <v>12516</v>
      </c>
      <c r="R185" s="2"/>
      <c r="S185" s="2" t="s">
        <v>12517</v>
      </c>
      <c r="T185" s="2" t="s">
        <v>12518</v>
      </c>
      <c r="U185" s="2" t="s">
        <v>12519</v>
      </c>
      <c r="V185" s="2" t="s">
        <v>12520</v>
      </c>
      <c r="W185" s="2" t="s">
        <v>12521</v>
      </c>
      <c r="X185" s="2" t="s">
        <v>12522</v>
      </c>
      <c r="Y185" s="2"/>
      <c r="Z185" s="2"/>
      <c r="AA185" s="2" t="s">
        <v>2843</v>
      </c>
      <c r="AB185" s="2" t="s">
        <v>2844</v>
      </c>
      <c r="AC185" s="2" t="s">
        <v>12568</v>
      </c>
      <c r="AD185" s="2" t="s">
        <v>179</v>
      </c>
      <c r="AE185" s="2" t="s">
        <v>191</v>
      </c>
      <c r="AF185" s="2" t="s">
        <v>134</v>
      </c>
      <c r="AG185" s="2" t="s">
        <v>135</v>
      </c>
      <c r="AH185" s="2" t="s">
        <v>136</v>
      </c>
      <c r="AI185" s="2" t="s">
        <v>12524</v>
      </c>
      <c r="AJ185" s="2" t="s">
        <v>12525</v>
      </c>
      <c r="AK185" s="2" t="s">
        <v>12459</v>
      </c>
      <c r="AL185" s="2" t="s">
        <v>12526</v>
      </c>
      <c r="AM185" s="2">
        <v>0</v>
      </c>
      <c r="AN185" s="2"/>
      <c r="AO185" s="2" t="s">
        <v>12527</v>
      </c>
      <c r="AP185" s="2" t="s">
        <v>12528</v>
      </c>
      <c r="AQ185" s="2"/>
      <c r="AR185" s="2" t="s">
        <v>12529</v>
      </c>
      <c r="AS185" s="2"/>
      <c r="AT185" s="2"/>
      <c r="AU185" s="2" t="s">
        <v>12530</v>
      </c>
      <c r="AV185" s="2"/>
      <c r="AW185" s="2"/>
      <c r="AX185" s="2"/>
      <c r="AY185" s="2" t="s">
        <v>12531</v>
      </c>
      <c r="AZ185" s="2" t="s">
        <v>12532</v>
      </c>
      <c r="BA185" s="2" t="s">
        <v>12533</v>
      </c>
      <c r="BB185" s="2" t="s">
        <v>12534</v>
      </c>
    </row>
    <row r="186" spans="1:54" ht="90" customHeight="1">
      <c r="A186" s="2" t="s">
        <v>12569</v>
      </c>
      <c r="B186" s="2" t="s">
        <v>108</v>
      </c>
      <c r="C186" s="2" t="s">
        <v>426</v>
      </c>
      <c r="D186" s="2" t="s">
        <v>12570</v>
      </c>
      <c r="E186" s="2" t="s">
        <v>12571</v>
      </c>
      <c r="F186" s="2" t="s">
        <v>12572</v>
      </c>
      <c r="G186" s="2" t="s">
        <v>113</v>
      </c>
      <c r="H186" s="2" t="s">
        <v>12573</v>
      </c>
      <c r="I186" s="2" t="s">
        <v>12574</v>
      </c>
      <c r="J186" s="2"/>
      <c r="K186" s="2" t="s">
        <v>455</v>
      </c>
      <c r="L186" s="2" t="s">
        <v>117</v>
      </c>
      <c r="M186" s="2" t="s">
        <v>12575</v>
      </c>
      <c r="N186" s="2" t="s">
        <v>12576</v>
      </c>
      <c r="O186" s="2" t="s">
        <v>120</v>
      </c>
      <c r="P186" s="2" t="s">
        <v>121</v>
      </c>
      <c r="Q186" s="2" t="s">
        <v>12516</v>
      </c>
      <c r="R186" s="2"/>
      <c r="S186" s="2" t="s">
        <v>12517</v>
      </c>
      <c r="T186" s="2" t="s">
        <v>12518</v>
      </c>
      <c r="U186" s="2" t="s">
        <v>12519</v>
      </c>
      <c r="V186" s="2" t="s">
        <v>12520</v>
      </c>
      <c r="W186" s="2" t="s">
        <v>12521</v>
      </c>
      <c r="X186" s="2" t="s">
        <v>12522</v>
      </c>
      <c r="Y186" s="2"/>
      <c r="Z186" s="2"/>
      <c r="AA186" s="2" t="s">
        <v>987</v>
      </c>
      <c r="AB186" s="2" t="s">
        <v>988</v>
      </c>
      <c r="AC186" s="2" t="s">
        <v>12577</v>
      </c>
      <c r="AD186" s="2" t="s">
        <v>132</v>
      </c>
      <c r="AE186" s="2" t="s">
        <v>191</v>
      </c>
      <c r="AF186" s="2" t="s">
        <v>134</v>
      </c>
      <c r="AG186" s="2" t="s">
        <v>135</v>
      </c>
      <c r="AH186" s="2" t="s">
        <v>136</v>
      </c>
      <c r="AI186" s="2" t="s">
        <v>12524</v>
      </c>
      <c r="AJ186" s="2" t="s">
        <v>12525</v>
      </c>
      <c r="AK186" s="2" t="s">
        <v>12459</v>
      </c>
      <c r="AL186" s="2" t="s">
        <v>12526</v>
      </c>
      <c r="AM186" s="2">
        <v>0</v>
      </c>
      <c r="AN186" s="2"/>
      <c r="AO186" s="2" t="s">
        <v>12527</v>
      </c>
      <c r="AP186" s="2" t="s">
        <v>12528</v>
      </c>
      <c r="AQ186" s="2"/>
      <c r="AR186" s="2" t="s">
        <v>12529</v>
      </c>
      <c r="AS186" s="2"/>
      <c r="AT186" s="2"/>
      <c r="AU186" s="2" t="s">
        <v>12530</v>
      </c>
      <c r="AV186" s="2"/>
      <c r="AW186" s="2"/>
      <c r="AX186" s="2"/>
      <c r="AY186" s="2" t="s">
        <v>12531</v>
      </c>
      <c r="AZ186" s="2" t="s">
        <v>12532</v>
      </c>
      <c r="BA186" s="2" t="s">
        <v>12533</v>
      </c>
      <c r="BB186" s="2" t="s">
        <v>12534</v>
      </c>
    </row>
    <row r="187" spans="1:54" ht="90" customHeight="1">
      <c r="A187" s="2" t="s">
        <v>12578</v>
      </c>
      <c r="B187" s="2" t="s">
        <v>108</v>
      </c>
      <c r="C187" s="2" t="s">
        <v>426</v>
      </c>
      <c r="D187" s="2" t="s">
        <v>12579</v>
      </c>
      <c r="E187" s="2" t="s">
        <v>12580</v>
      </c>
      <c r="F187" s="2" t="s">
        <v>12581</v>
      </c>
      <c r="G187" s="2" t="s">
        <v>113</v>
      </c>
      <c r="H187" s="2" t="s">
        <v>12582</v>
      </c>
      <c r="I187" s="2" t="s">
        <v>12583</v>
      </c>
      <c r="J187" s="2"/>
      <c r="K187" s="2" t="s">
        <v>455</v>
      </c>
      <c r="L187" s="2" t="s">
        <v>36</v>
      </c>
      <c r="M187" s="2" t="s">
        <v>12584</v>
      </c>
      <c r="N187" s="2" t="s">
        <v>2760</v>
      </c>
      <c r="O187" s="2" t="s">
        <v>120</v>
      </c>
      <c r="P187" s="2" t="s">
        <v>121</v>
      </c>
      <c r="Q187" s="2" t="s">
        <v>12585</v>
      </c>
      <c r="R187" s="2"/>
      <c r="S187" s="2" t="s">
        <v>12517</v>
      </c>
      <c r="T187" s="2" t="s">
        <v>12518</v>
      </c>
      <c r="U187" s="2" t="s">
        <v>12519</v>
      </c>
      <c r="V187" s="2" t="s">
        <v>12520</v>
      </c>
      <c r="W187" s="2" t="s">
        <v>12521</v>
      </c>
      <c r="X187" s="2" t="s">
        <v>12522</v>
      </c>
      <c r="Y187" s="2"/>
      <c r="Z187" s="2"/>
      <c r="AA187" s="2" t="s">
        <v>619</v>
      </c>
      <c r="AB187" s="2" t="s">
        <v>12550</v>
      </c>
      <c r="AC187" s="2" t="s">
        <v>12586</v>
      </c>
      <c r="AD187" s="2" t="s">
        <v>12587</v>
      </c>
      <c r="AE187" s="2" t="s">
        <v>594</v>
      </c>
      <c r="AF187" s="2" t="s">
        <v>134</v>
      </c>
      <c r="AG187" s="2" t="s">
        <v>135</v>
      </c>
      <c r="AH187" s="2" t="s">
        <v>136</v>
      </c>
      <c r="AI187" s="2" t="s">
        <v>12524</v>
      </c>
      <c r="AJ187" s="2" t="s">
        <v>12525</v>
      </c>
      <c r="AK187" s="2" t="s">
        <v>12459</v>
      </c>
      <c r="AL187" s="2" t="s">
        <v>12526</v>
      </c>
      <c r="AM187" s="2">
        <v>0</v>
      </c>
      <c r="AN187" s="2"/>
      <c r="AO187" s="2" t="s">
        <v>12527</v>
      </c>
      <c r="AP187" s="2" t="s">
        <v>12528</v>
      </c>
      <c r="AQ187" s="2"/>
      <c r="AR187" s="2" t="s">
        <v>12529</v>
      </c>
      <c r="AS187" s="2"/>
      <c r="AT187" s="2"/>
      <c r="AU187" s="2" t="s">
        <v>12530</v>
      </c>
      <c r="AV187" s="2"/>
      <c r="AW187" s="2"/>
      <c r="AX187" s="2"/>
      <c r="AY187" s="2" t="s">
        <v>12531</v>
      </c>
      <c r="AZ187" s="2" t="s">
        <v>12532</v>
      </c>
      <c r="BA187" s="2" t="s">
        <v>12533</v>
      </c>
      <c r="BB187" s="2" t="s">
        <v>12534</v>
      </c>
    </row>
    <row r="188" spans="1:54" ht="90" customHeight="1">
      <c r="A188" s="2" t="s">
        <v>12588</v>
      </c>
      <c r="B188" s="2" t="s">
        <v>108</v>
      </c>
      <c r="C188" s="2" t="s">
        <v>426</v>
      </c>
      <c r="D188" s="2" t="s">
        <v>12589</v>
      </c>
      <c r="E188" s="2" t="s">
        <v>12590</v>
      </c>
      <c r="F188" s="2" t="s">
        <v>12591</v>
      </c>
      <c r="G188" s="2" t="s">
        <v>113</v>
      </c>
      <c r="H188" s="2" t="s">
        <v>12592</v>
      </c>
      <c r="I188" s="2" t="s">
        <v>12593</v>
      </c>
      <c r="J188" s="2"/>
      <c r="K188" s="2" t="s">
        <v>455</v>
      </c>
      <c r="L188" s="2" t="s">
        <v>293</v>
      </c>
      <c r="M188" s="2" t="s">
        <v>12594</v>
      </c>
      <c r="N188" s="2" t="s">
        <v>12595</v>
      </c>
      <c r="O188" s="2" t="s">
        <v>120</v>
      </c>
      <c r="P188" s="2" t="s">
        <v>121</v>
      </c>
      <c r="Q188" s="2" t="s">
        <v>12516</v>
      </c>
      <c r="R188" s="2"/>
      <c r="S188" s="2" t="s">
        <v>12517</v>
      </c>
      <c r="T188" s="2" t="s">
        <v>12518</v>
      </c>
      <c r="U188" s="2" t="s">
        <v>12519</v>
      </c>
      <c r="V188" s="2" t="s">
        <v>12520</v>
      </c>
      <c r="W188" s="2" t="s">
        <v>12521</v>
      </c>
      <c r="X188" s="2" t="s">
        <v>12522</v>
      </c>
      <c r="Y188" s="2"/>
      <c r="Z188" s="2"/>
      <c r="AA188" s="2" t="s">
        <v>533</v>
      </c>
      <c r="AB188" s="2" t="s">
        <v>534</v>
      </c>
      <c r="AC188" s="2" t="s">
        <v>12596</v>
      </c>
      <c r="AD188" s="2" t="s">
        <v>179</v>
      </c>
      <c r="AE188" s="2" t="s">
        <v>321</v>
      </c>
      <c r="AF188" s="2" t="s">
        <v>134</v>
      </c>
      <c r="AG188" s="2" t="s">
        <v>135</v>
      </c>
      <c r="AH188" s="2" t="s">
        <v>136</v>
      </c>
      <c r="AI188" s="2" t="s">
        <v>12524</v>
      </c>
      <c r="AJ188" s="2" t="s">
        <v>12525</v>
      </c>
      <c r="AK188" s="2" t="s">
        <v>12459</v>
      </c>
      <c r="AL188" s="2" t="s">
        <v>12526</v>
      </c>
      <c r="AM188" s="2">
        <v>0</v>
      </c>
      <c r="AN188" s="2"/>
      <c r="AO188" s="2" t="s">
        <v>12527</v>
      </c>
      <c r="AP188" s="2" t="s">
        <v>12528</v>
      </c>
      <c r="AQ188" s="2"/>
      <c r="AR188" s="2" t="s">
        <v>12529</v>
      </c>
      <c r="AS188" s="2"/>
      <c r="AT188" s="2"/>
      <c r="AU188" s="2" t="s">
        <v>12530</v>
      </c>
      <c r="AV188" s="2"/>
      <c r="AW188" s="2"/>
      <c r="AX188" s="2"/>
      <c r="AY188" s="2" t="s">
        <v>12531</v>
      </c>
      <c r="AZ188" s="2" t="s">
        <v>12532</v>
      </c>
      <c r="BA188" s="2" t="s">
        <v>12533</v>
      </c>
      <c r="BB188" s="2" t="s">
        <v>12534</v>
      </c>
    </row>
  </sheetData>
  <conditionalFormatting sqref="B2:B180">
    <cfRule type="expression" dxfId="40" priority="15">
      <formula>$B2="M2"</formula>
    </cfRule>
    <cfRule type="expression" dxfId="39" priority="16">
      <formula>$B2="M3"</formula>
    </cfRule>
  </conditionalFormatting>
  <conditionalFormatting sqref="J2:J180">
    <cfRule type="expression" dxfId="38" priority="17">
      <formula>$AM2=0</formula>
    </cfRule>
  </conditionalFormatting>
  <conditionalFormatting sqref="K2:K180">
    <cfRule type="expression" dxfId="37" priority="8">
      <formula>$K2="Done"</formula>
    </cfRule>
    <cfRule type="expression" dxfId="36" priority="9">
      <formula>$K2="In Progress"</formula>
    </cfRule>
    <cfRule type="expression" dxfId="35" priority="10">
      <formula>$K2="Not Started"</formula>
    </cfRule>
    <cfRule type="expression" dxfId="34" priority="11">
      <formula>$K2="Blocked"</formula>
    </cfRule>
  </conditionalFormatting>
  <conditionalFormatting sqref="R2:R180">
    <cfRule type="expression" dxfId="33" priority="18">
      <formula>$AM2=0</formula>
    </cfRule>
    <cfRule type="expression" dxfId="32" priority="20">
      <formula>AND($AM2=1,NOT(ISNUMBER($R2)))</formula>
    </cfRule>
  </conditionalFormatting>
  <conditionalFormatting sqref="AR2:AR180">
    <cfRule type="expression" dxfId="31" priority="19">
      <formula>$AM2=0</formula>
    </cfRule>
  </conditionalFormatting>
  <conditionalFormatting sqref="AV2:AX180">
    <cfRule type="expression" dxfId="30" priority="21">
      <formula>ISNUMBER(AV2)</formula>
    </cfRule>
  </conditionalFormatting>
  <dataValidations count="5">
    <dataValidation type="list" sqref="K2:K180" xr:uid="{00000000-0002-0000-0100-000000000000}">
      <formula1>"Not Started,In Progress,Done,Blocked"</formula1>
    </dataValidation>
    <dataValidation type="list" sqref="B2:B180" xr:uid="{00000000-0002-0000-0100-000001000000}">
      <formula1>"M2,M3"</formula1>
    </dataValidation>
    <dataValidation type="list" sqref="C2:C180" xr:uid="{00000000-0002-0000-0100-000002000000}">
      <formula1>"P1,P2,P3,P4,P5"</formula1>
    </dataValidation>
    <dataValidation type="decimal" operator="greaterThanOrEqual" allowBlank="1" showErrorMessage="1" errorTitle="Hours must be numeric" error="Use a non-negative numeric estimate or leave blank with an explicit Estimate Status. Blank is never zero effort." sqref="J2:J180 R2:R180" xr:uid="{00000000-0002-0000-0100-000003000000}">
      <formula1>0</formula1>
    </dataValidation>
    <dataValidation type="list" sqref="AR2:AR180" xr:uid="{00000000-0002-0000-0100-000004000000}">
      <formula1>"INHERITED ESTIMATE,CONFIRMED ESTIMATE,RE-ESTIMATE REQUIRED,UNESTIMATED,UNCONFIRMED DESIGN ESTIMATE"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5"/>
  <sheetViews>
    <sheetView workbookViewId="0"/>
  </sheetViews>
  <sheetFormatPr defaultRowHeight="14.25"/>
  <cols>
    <col min="1" max="1" width="20" customWidth="1"/>
    <col min="2" max="4" width="34" customWidth="1"/>
    <col min="5" max="12" width="20" customWidth="1"/>
    <col min="13" max="17" width="18" customWidth="1"/>
  </cols>
  <sheetData>
    <row r="1" spans="1:17" ht="26.1" customHeight="1">
      <c r="A1" s="97" t="s">
        <v>1831</v>
      </c>
      <c r="B1" s="97"/>
      <c r="C1" s="97"/>
      <c r="D1" s="97"/>
      <c r="E1" s="97"/>
      <c r="F1" s="97"/>
      <c r="G1" s="97"/>
      <c r="H1" s="97"/>
      <c r="I1" s="97"/>
      <c r="J1" s="97"/>
      <c r="K1" s="98"/>
      <c r="L1" s="98"/>
      <c r="M1" s="55"/>
      <c r="N1" s="55"/>
      <c r="O1" s="18"/>
      <c r="P1" s="18"/>
      <c r="Q1" s="18"/>
    </row>
    <row r="2" spans="1:17" ht="26.1" customHeight="1">
      <c r="A2" s="26"/>
      <c r="B2" s="26"/>
      <c r="C2" s="26"/>
      <c r="D2" s="26"/>
      <c r="E2" s="26"/>
      <c r="F2" s="26"/>
      <c r="G2" s="26"/>
      <c r="H2" s="26"/>
      <c r="I2" s="26"/>
      <c r="J2" s="26"/>
      <c r="K2" s="26"/>
      <c r="L2" s="26"/>
    </row>
    <row r="3" spans="1:17" ht="36" customHeight="1">
      <c r="A3" s="36" t="s">
        <v>1832</v>
      </c>
      <c r="B3" s="36" t="s">
        <v>1833</v>
      </c>
      <c r="C3" s="36" t="s">
        <v>1834</v>
      </c>
      <c r="D3" s="36" t="s">
        <v>1835</v>
      </c>
      <c r="E3" s="36" t="s">
        <v>1836</v>
      </c>
      <c r="F3" s="36" t="s">
        <v>116</v>
      </c>
      <c r="G3" s="36" t="s">
        <v>1837</v>
      </c>
      <c r="H3" s="36" t="s">
        <v>1838</v>
      </c>
      <c r="I3" s="36" t="s">
        <v>1839</v>
      </c>
      <c r="J3" s="36" t="s">
        <v>1840</v>
      </c>
      <c r="K3" s="40" t="s">
        <v>1841</v>
      </c>
      <c r="L3" s="40" t="s">
        <v>1842</v>
      </c>
      <c r="M3" s="20"/>
      <c r="N3" s="19"/>
      <c r="O3" s="20"/>
      <c r="P3" s="19"/>
      <c r="Q3" s="21"/>
    </row>
    <row r="4" spans="1:17" ht="26.1" customHeight="1">
      <c r="A4" s="38" t="s">
        <v>108</v>
      </c>
      <c r="B4" s="38" t="s">
        <v>1843</v>
      </c>
      <c r="C4" s="38" t="s">
        <v>109</v>
      </c>
      <c r="D4" s="38" t="s">
        <v>127</v>
      </c>
      <c r="E4" s="44">
        <f>COUNTIFS(Backlog!$B$2:$B$188,$A4,Backlog!$C$2:$C$188,$C4)</f>
        <v>26</v>
      </c>
      <c r="F4" s="44">
        <f>COUNTIFS(Backlog!$B$2:$B$188,$A4,Backlog!$C$2:$C$188,$C4,Backlog!$K$2:$K$188,"Done")</f>
        <v>26</v>
      </c>
      <c r="G4" s="45">
        <f t="shared" ref="G4:G13" si="0">E4-F4</f>
        <v>0</v>
      </c>
      <c r="H4" s="38">
        <f>COUNTIFS(Backlog!$B$2:$B$188,$A4,Backlog!$C$2:$C$188,$C4,Backlog!$K$2:$K$188,"In Progress")</f>
        <v>0</v>
      </c>
      <c r="I4" s="38">
        <f>SUMIFS(Backlog!$AS$2:$AS$188,Backlog!$B$2:$B$188,$A4,Backlog!$C$2:$C$188,$C4)</f>
        <v>245</v>
      </c>
      <c r="J4" s="38">
        <f>SUMIFS(Backlog!$AS$2:$AS$188,Backlog!$B$2:$B$188,$A4,Backlog!$C$2:$C$188,$C4,Backlog!$K$2:$K$188,"&lt;&gt;Done")</f>
        <v>0</v>
      </c>
      <c r="K4" s="38">
        <f>COUNTIFS(Backlog!$B$2:$B$188,$A4,Backlog!$C$2:$C$188,$C4,Backlog!$AM$2:$AM$188,0)</f>
        <v>0</v>
      </c>
      <c r="L4" s="46" t="s">
        <v>1844</v>
      </c>
      <c r="M4" s="7"/>
      <c r="N4" s="3"/>
      <c r="O4" s="7"/>
      <c r="P4" s="3"/>
      <c r="Q4" s="12"/>
    </row>
    <row r="5" spans="1:17" ht="26.1" customHeight="1">
      <c r="A5" s="38" t="s">
        <v>108</v>
      </c>
      <c r="B5" s="38" t="s">
        <v>1843</v>
      </c>
      <c r="C5" s="38" t="s">
        <v>426</v>
      </c>
      <c r="D5" s="38" t="s">
        <v>434</v>
      </c>
      <c r="E5" s="44">
        <f>COUNTIFS(Backlog!$B$2:$B$188,$A5,Backlog!$C$2:$C$188,$C5)</f>
        <v>42</v>
      </c>
      <c r="F5" s="44">
        <f>COUNTIFS(Backlog!$B$2:$B$188,$A5,Backlog!$C$2:$C$188,$C5,Backlog!$K$2:$K$188,"Done")</f>
        <v>14</v>
      </c>
      <c r="G5" s="45">
        <f t="shared" si="0"/>
        <v>28</v>
      </c>
      <c r="H5" s="38">
        <f>COUNTIFS(Backlog!$B$2:$B$188,$A5,Backlog!$C$2:$C$188,$C5,Backlog!$K$2:$K$188,"In Progress")</f>
        <v>3</v>
      </c>
      <c r="I5" s="38">
        <f>SUMIFS(Backlog!$AS$2:$AS$188,Backlog!$B$2:$B$188,$A5,Backlog!$C$2:$C$188,$C5)</f>
        <v>199</v>
      </c>
      <c r="J5" s="38">
        <f>SUMIFS(Backlog!$AS$2:$AS$188,Backlog!$B$2:$B$188,$A5,Backlog!$C$2:$C$188,$C5,Backlog!$K$2:$K$188,"&lt;&gt;Done")</f>
        <v>99</v>
      </c>
      <c r="K5" s="38">
        <f>COUNTIFS(Backlog!$B$2:$B$188,$A5,Backlog!$C$2:$C$188,$C5,Backlog!$AM$2:$AM$188,0)</f>
        <v>22</v>
      </c>
      <c r="L5" s="38" t="s">
        <v>1844</v>
      </c>
      <c r="M5" s="2"/>
      <c r="N5" s="2"/>
      <c r="O5" s="2"/>
      <c r="P5" s="2"/>
      <c r="Q5" s="2"/>
    </row>
    <row r="6" spans="1:17" ht="26.1" customHeight="1">
      <c r="A6" s="38" t="s">
        <v>108</v>
      </c>
      <c r="B6" s="38" t="s">
        <v>1843</v>
      </c>
      <c r="C6" s="38" t="s">
        <v>807</v>
      </c>
      <c r="D6" s="38" t="s">
        <v>817</v>
      </c>
      <c r="E6" s="44">
        <f>COUNTIFS(Backlog!$B$2:$B$188,$A6,Backlog!$C$2:$C$188,$C6)</f>
        <v>5</v>
      </c>
      <c r="F6" s="44">
        <f>COUNTIFS(Backlog!$B$2:$B$188,$A6,Backlog!$C$2:$C$188,$C6,Backlog!$K$2:$K$188,"Done")</f>
        <v>0</v>
      </c>
      <c r="G6" s="45">
        <f t="shared" si="0"/>
        <v>5</v>
      </c>
      <c r="H6" s="38">
        <f>COUNTIFS(Backlog!$B$2:$B$188,$A6,Backlog!$C$2:$C$188,$C6,Backlog!$K$2:$K$188,"In Progress")</f>
        <v>0</v>
      </c>
      <c r="I6" s="38">
        <f>SUMIFS(Backlog!$AS$2:$AS$188,Backlog!$B$2:$B$188,$A6,Backlog!$C$2:$C$188,$C6)</f>
        <v>36</v>
      </c>
      <c r="J6" s="38">
        <f>SUMIFS(Backlog!$AS$2:$AS$188,Backlog!$B$2:$B$188,$A6,Backlog!$C$2:$C$188,$C6,Backlog!$K$2:$K$188,"&lt;&gt;Done")</f>
        <v>36</v>
      </c>
      <c r="K6" s="38">
        <f>COUNTIFS(Backlog!$B$2:$B$188,$A6,Backlog!$C$2:$C$188,$C6,Backlog!$AM$2:$AM$188,0)</f>
        <v>1</v>
      </c>
      <c r="L6" s="38" t="s">
        <v>1844</v>
      </c>
      <c r="M6" s="2"/>
      <c r="N6" s="2"/>
      <c r="O6" s="2"/>
      <c r="P6" s="2"/>
      <c r="Q6" s="2"/>
    </row>
    <row r="7" spans="1:17" ht="26.1" customHeight="1">
      <c r="A7" s="38" t="s">
        <v>108</v>
      </c>
      <c r="B7" s="38" t="s">
        <v>1843</v>
      </c>
      <c r="C7" s="38" t="s">
        <v>858</v>
      </c>
      <c r="D7" s="38" t="s">
        <v>1845</v>
      </c>
      <c r="E7" s="44">
        <f>COUNTIFS(Backlog!$B$2:$B$188,$A7,Backlog!$C$2:$C$188,$C7)</f>
        <v>27</v>
      </c>
      <c r="F7" s="44">
        <f>COUNTIFS(Backlog!$B$2:$B$188,$A7,Backlog!$C$2:$C$188,$C7,Backlog!$K$2:$K$188,"Done")</f>
        <v>22</v>
      </c>
      <c r="G7" s="45">
        <f t="shared" si="0"/>
        <v>5</v>
      </c>
      <c r="H7" s="38">
        <f>COUNTIFS(Backlog!$B$2:$B$188,$A7,Backlog!$C$2:$C$188,$C7,Backlog!$K$2:$K$188,"In Progress")</f>
        <v>0</v>
      </c>
      <c r="I7" s="38">
        <f>SUMIFS(Backlog!$AS$2:$AS$188,Backlog!$B$2:$B$188,$A7,Backlog!$C$2:$C$188,$C7)</f>
        <v>276</v>
      </c>
      <c r="J7" s="38">
        <f>SUMIFS(Backlog!$AS$2:$AS$188,Backlog!$B$2:$B$188,$A7,Backlog!$C$2:$C$188,$C7,Backlog!$K$2:$K$188,"&lt;&gt;Done")</f>
        <v>48</v>
      </c>
      <c r="K7" s="38">
        <f>COUNTIFS(Backlog!$B$2:$B$188,$A7,Backlog!$C$2:$C$188,$C7,Backlog!$AM$2:$AM$188,0)</f>
        <v>0</v>
      </c>
      <c r="L7" s="38" t="s">
        <v>1844</v>
      </c>
      <c r="M7" s="2"/>
      <c r="N7" s="2"/>
      <c r="O7" s="2"/>
      <c r="P7" s="2"/>
      <c r="Q7" s="2"/>
    </row>
    <row r="8" spans="1:17" ht="26.1" customHeight="1">
      <c r="A8" s="38" t="s">
        <v>108</v>
      </c>
      <c r="B8" s="38" t="s">
        <v>1843</v>
      </c>
      <c r="C8" s="38" t="s">
        <v>1103</v>
      </c>
      <c r="D8" s="38" t="s">
        <v>1846</v>
      </c>
      <c r="E8" s="44">
        <f>COUNTIFS(Backlog!$B$2:$B$188,$A8,Backlog!$C$2:$C$188,$C8)</f>
        <v>15</v>
      </c>
      <c r="F8" s="44">
        <f>COUNTIFS(Backlog!$B$2:$B$188,$A8,Backlog!$C$2:$C$188,$C8,Backlog!$K$2:$K$188,"Done")</f>
        <v>0</v>
      </c>
      <c r="G8" s="45">
        <f t="shared" si="0"/>
        <v>15</v>
      </c>
      <c r="H8" s="38">
        <f>COUNTIFS(Backlog!$B$2:$B$188,$A8,Backlog!$C$2:$C$188,$C8,Backlog!$K$2:$K$188,"In Progress")</f>
        <v>0</v>
      </c>
      <c r="I8" s="38">
        <f>SUMIFS(Backlog!$AS$2:$AS$188,Backlog!$B$2:$B$188,$A8,Backlog!$C$2:$C$188,$C8)</f>
        <v>116</v>
      </c>
      <c r="J8" s="38">
        <f>SUMIFS(Backlog!$AS$2:$AS$188,Backlog!$B$2:$B$188,$A8,Backlog!$C$2:$C$188,$C8,Backlog!$K$2:$K$188,"&lt;&gt;Done")</f>
        <v>116</v>
      </c>
      <c r="K8" s="38">
        <f>COUNTIFS(Backlog!$B$2:$B$188,$A8,Backlog!$C$2:$C$188,$C8,Backlog!$AM$2:$AM$188,0)</f>
        <v>3</v>
      </c>
      <c r="L8" s="38" t="s">
        <v>1844</v>
      </c>
      <c r="M8" s="2"/>
      <c r="N8" s="2"/>
      <c r="O8" s="2"/>
      <c r="P8" s="2"/>
      <c r="Q8" s="2"/>
    </row>
    <row r="9" spans="1:17" ht="26.1" customHeight="1">
      <c r="A9" s="38" t="s">
        <v>1243</v>
      </c>
      <c r="B9" s="38" t="s">
        <v>1847</v>
      </c>
      <c r="C9" s="38" t="s">
        <v>109</v>
      </c>
      <c r="D9" s="38" t="s">
        <v>1253</v>
      </c>
      <c r="E9" s="44">
        <f>COUNTIFS(Backlog!$B$2:$B$188,$A9,Backlog!$C$2:$C$188,$C9)</f>
        <v>10</v>
      </c>
      <c r="F9" s="44">
        <f>COUNTIFS(Backlog!$B$2:$B$188,$A9,Backlog!$C$2:$C$188,$C9,Backlog!$K$2:$K$188,"Done")</f>
        <v>0</v>
      </c>
      <c r="G9" s="45">
        <f t="shared" si="0"/>
        <v>10</v>
      </c>
      <c r="H9" s="38">
        <f>COUNTIFS(Backlog!$B$2:$B$188,$A9,Backlog!$C$2:$C$188,$C9,Backlog!$K$2:$K$188,"In Progress")</f>
        <v>0</v>
      </c>
      <c r="I9" s="38">
        <f>SUMIFS(Backlog!$AS$2:$AS$188,Backlog!$B$2:$B$188,$A9,Backlog!$C$2:$C$188,$C9)</f>
        <v>84</v>
      </c>
      <c r="J9" s="38">
        <f>SUMIFS(Backlog!$AS$2:$AS$188,Backlog!$B$2:$B$188,$A9,Backlog!$C$2:$C$188,$C9,Backlog!$K$2:$K$188,"&lt;&gt;Done")</f>
        <v>84</v>
      </c>
      <c r="K9" s="38">
        <f>COUNTIFS(Backlog!$B$2:$B$188,$A9,Backlog!$C$2:$C$188,$C9,Backlog!$AM$2:$AM$188,0)</f>
        <v>3</v>
      </c>
      <c r="L9" s="38" t="s">
        <v>1848</v>
      </c>
      <c r="M9" s="2"/>
      <c r="N9" s="2"/>
      <c r="O9" s="2"/>
      <c r="P9" s="2"/>
      <c r="Q9" s="2"/>
    </row>
    <row r="10" spans="1:17" ht="26.1" customHeight="1">
      <c r="A10" s="38" t="s">
        <v>1243</v>
      </c>
      <c r="B10" s="38" t="s">
        <v>1847</v>
      </c>
      <c r="C10" s="38" t="s">
        <v>426</v>
      </c>
      <c r="D10" s="38" t="s">
        <v>1315</v>
      </c>
      <c r="E10" s="44">
        <f>COUNTIFS(Backlog!$B$2:$B$188,$A10,Backlog!$C$2:$C$188,$C10)</f>
        <v>12</v>
      </c>
      <c r="F10" s="44">
        <f>COUNTIFS(Backlog!$B$2:$B$188,$A10,Backlog!$C$2:$C$188,$C10,Backlog!$K$2:$K$188,"Done")</f>
        <v>0</v>
      </c>
      <c r="G10" s="45">
        <f t="shared" si="0"/>
        <v>12</v>
      </c>
      <c r="H10" s="38">
        <f>COUNTIFS(Backlog!$B$2:$B$188,$A10,Backlog!$C$2:$C$188,$C10,Backlog!$K$2:$K$188,"In Progress")</f>
        <v>0</v>
      </c>
      <c r="I10" s="38">
        <f>SUMIFS(Backlog!$AS$2:$AS$188,Backlog!$B$2:$B$188,$A10,Backlog!$C$2:$C$188,$C10)</f>
        <v>106</v>
      </c>
      <c r="J10" s="38">
        <f>SUMIFS(Backlog!$AS$2:$AS$188,Backlog!$B$2:$B$188,$A10,Backlog!$C$2:$C$188,$C10,Backlog!$K$2:$K$188,"&lt;&gt;Done")</f>
        <v>106</v>
      </c>
      <c r="K10" s="38">
        <f>COUNTIFS(Backlog!$B$2:$B$188,$A10,Backlog!$C$2:$C$188,$C10,Backlog!$AM$2:$AM$188,0)</f>
        <v>1</v>
      </c>
      <c r="L10" s="38" t="s">
        <v>1848</v>
      </c>
      <c r="M10" s="2"/>
      <c r="N10" s="2"/>
      <c r="O10" s="2"/>
      <c r="P10" s="2"/>
      <c r="Q10" s="2"/>
    </row>
    <row r="11" spans="1:17" ht="26.1" customHeight="1">
      <c r="A11" s="38" t="s">
        <v>1243</v>
      </c>
      <c r="B11" s="38" t="s">
        <v>1847</v>
      </c>
      <c r="C11" s="38" t="s">
        <v>807</v>
      </c>
      <c r="D11" s="38" t="s">
        <v>1849</v>
      </c>
      <c r="E11" s="44">
        <f>COUNTIFS(Backlog!$B$2:$B$188,$A11,Backlog!$C$2:$C$188,$C11)</f>
        <v>8</v>
      </c>
      <c r="F11" s="44">
        <f>COUNTIFS(Backlog!$B$2:$B$188,$A11,Backlog!$C$2:$C$188,$C11,Backlog!$K$2:$K$188,"Done")</f>
        <v>0</v>
      </c>
      <c r="G11" s="45">
        <f t="shared" si="0"/>
        <v>8</v>
      </c>
      <c r="H11" s="38">
        <f>COUNTIFS(Backlog!$B$2:$B$188,$A11,Backlog!$C$2:$C$188,$C11,Backlog!$K$2:$K$188,"In Progress")</f>
        <v>0</v>
      </c>
      <c r="I11" s="38">
        <f>SUMIFS(Backlog!$AS$2:$AS$188,Backlog!$B$2:$B$188,$A11,Backlog!$C$2:$C$188,$C11)</f>
        <v>58</v>
      </c>
      <c r="J11" s="38">
        <f>SUMIFS(Backlog!$AS$2:$AS$188,Backlog!$B$2:$B$188,$A11,Backlog!$C$2:$C$188,$C11,Backlog!$K$2:$K$188,"&lt;&gt;Done")</f>
        <v>58</v>
      </c>
      <c r="K11" s="38">
        <f>COUNTIFS(Backlog!$B$2:$B$188,$A11,Backlog!$C$2:$C$188,$C11,Backlog!$AM$2:$AM$188,0)</f>
        <v>3</v>
      </c>
      <c r="L11" s="38" t="s">
        <v>1848</v>
      </c>
      <c r="M11" s="2"/>
      <c r="N11" s="2"/>
      <c r="O11" s="2"/>
      <c r="P11" s="2"/>
      <c r="Q11" s="2"/>
    </row>
    <row r="12" spans="1:17" ht="26.1" customHeight="1">
      <c r="A12" s="38" t="s">
        <v>1243</v>
      </c>
      <c r="B12" s="38" t="s">
        <v>1847</v>
      </c>
      <c r="C12" s="38" t="s">
        <v>858</v>
      </c>
      <c r="D12" s="38" t="s">
        <v>1850</v>
      </c>
      <c r="E12" s="44">
        <f>COUNTIFS(Backlog!$B$2:$B$188,$A12,Backlog!$C$2:$C$188,$C12)</f>
        <v>40</v>
      </c>
      <c r="F12" s="44">
        <f>COUNTIFS(Backlog!$B$2:$B$188,$A12,Backlog!$C$2:$C$188,$C12,Backlog!$K$2:$K$188,"Done")</f>
        <v>0</v>
      </c>
      <c r="G12" s="45">
        <f t="shared" si="0"/>
        <v>40</v>
      </c>
      <c r="H12" s="38">
        <f>COUNTIFS(Backlog!$B$2:$B$188,$A12,Backlog!$C$2:$C$188,$C12,Backlog!$K$2:$K$188,"In Progress")</f>
        <v>0</v>
      </c>
      <c r="I12" s="38">
        <f>SUMIFS(Backlog!$AS$2:$AS$188,Backlog!$B$2:$B$188,$A12,Backlog!$C$2:$C$188,$C12)</f>
        <v>377</v>
      </c>
      <c r="J12" s="38">
        <f>SUMIFS(Backlog!$AS$2:$AS$188,Backlog!$B$2:$B$188,$A12,Backlog!$C$2:$C$188,$C12,Backlog!$K$2:$K$188,"&lt;&gt;Done")</f>
        <v>377</v>
      </c>
      <c r="K12" s="38">
        <f>COUNTIFS(Backlog!$B$2:$B$188,$A12,Backlog!$C$2:$C$188,$C12,Backlog!$AM$2:$AM$188,0)</f>
        <v>6</v>
      </c>
      <c r="L12" s="38" t="s">
        <v>1848</v>
      </c>
      <c r="M12" s="2"/>
      <c r="N12" s="2"/>
      <c r="O12" s="2"/>
      <c r="P12" s="2"/>
      <c r="Q12" s="2"/>
    </row>
    <row r="13" spans="1:17" ht="26.1" customHeight="1">
      <c r="A13" s="32" t="s">
        <v>1243</v>
      </c>
      <c r="B13" s="32" t="s">
        <v>1847</v>
      </c>
      <c r="C13" s="32" t="s">
        <v>1103</v>
      </c>
      <c r="D13" s="32" t="s">
        <v>1780</v>
      </c>
      <c r="E13" s="47">
        <f>COUNTIFS(Backlog!$B$2:$B$188,$A13,Backlog!$C$2:$C$188,$C13)</f>
        <v>2</v>
      </c>
      <c r="F13" s="47">
        <f>COUNTIFS(Backlog!$B$2:$B$188,$A13,Backlog!$C$2:$C$188,$C13,Backlog!$K$2:$K$188,"Done")</f>
        <v>0</v>
      </c>
      <c r="G13" s="48">
        <f t="shared" si="0"/>
        <v>2</v>
      </c>
      <c r="H13" s="32">
        <f>COUNTIFS(Backlog!$B$2:$B$188,$A13,Backlog!$C$2:$C$188,$C13,Backlog!$K$2:$K$188,"In Progress")</f>
        <v>0</v>
      </c>
      <c r="I13" s="32">
        <f>SUMIFS(Backlog!$AS$2:$AS$188,Backlog!$B$2:$B$188,$A13,Backlog!$C$2:$C$188,$C13)</f>
        <v>24</v>
      </c>
      <c r="J13" s="32">
        <f>SUMIFS(Backlog!$AS$2:$AS$188,Backlog!$B$2:$B$188,$A13,Backlog!$C$2:$C$188,$C13,Backlog!$K$2:$K$188,"&lt;&gt;Done")</f>
        <v>24</v>
      </c>
      <c r="K13" s="32">
        <f>COUNTIFS(Backlog!$B$2:$B$188,$A13,Backlog!$C$2:$C$188,$C13,Backlog!$AM$2:$AM$188,0)</f>
        <v>0</v>
      </c>
      <c r="L13" s="32" t="s">
        <v>1848</v>
      </c>
      <c r="M13" s="2"/>
      <c r="N13" s="2"/>
      <c r="O13" s="2"/>
      <c r="P13" s="2"/>
      <c r="Q13" s="2"/>
    </row>
    <row r="14" spans="1:17">
      <c r="A14" s="2"/>
      <c r="B14" s="2"/>
      <c r="C14" s="2"/>
      <c r="D14" s="2"/>
      <c r="E14" s="2"/>
      <c r="F14" s="2"/>
      <c r="G14" s="2"/>
      <c r="H14" s="2"/>
      <c r="I14" s="2"/>
      <c r="J14" s="2"/>
      <c r="K14" s="2"/>
      <c r="L14" s="2"/>
      <c r="M14" s="2"/>
      <c r="N14" s="2"/>
      <c r="O14" s="2"/>
      <c r="P14" s="2"/>
      <c r="Q14" s="2"/>
    </row>
    <row r="15" spans="1:17">
      <c r="A15" s="2"/>
      <c r="B15" s="2"/>
      <c r="C15" s="2"/>
      <c r="D15" s="2"/>
      <c r="E15" s="2"/>
      <c r="F15" s="2"/>
      <c r="G15" s="2"/>
      <c r="H15" s="2"/>
      <c r="I15" s="2"/>
      <c r="J15" s="2"/>
      <c r="K15" s="2"/>
      <c r="L15" s="2"/>
      <c r="M15" s="2"/>
      <c r="N15" s="2"/>
      <c r="O15" s="2"/>
      <c r="P15" s="2"/>
      <c r="Q15" s="2"/>
    </row>
  </sheetData>
  <mergeCells count="1">
    <mergeCell ref="A1:L1"/>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89"/>
  <sheetViews>
    <sheetView workbookViewId="0"/>
  </sheetViews>
  <sheetFormatPr defaultRowHeight="14.25"/>
  <cols>
    <col min="1" max="4" width="20" customWidth="1"/>
    <col min="5" max="5" width="40" customWidth="1"/>
    <col min="6" max="8" width="20" customWidth="1"/>
    <col min="9" max="14" width="38" customWidth="1"/>
  </cols>
  <sheetData>
    <row r="1" spans="1:14" ht="26.1" customHeight="1">
      <c r="A1" s="97" t="s">
        <v>1851</v>
      </c>
      <c r="B1" s="97"/>
      <c r="C1" s="97"/>
      <c r="D1" s="97"/>
      <c r="E1" s="97"/>
      <c r="F1" s="97"/>
      <c r="G1" s="97"/>
      <c r="H1" s="97"/>
      <c r="I1" s="97"/>
      <c r="J1" s="97"/>
      <c r="K1" s="97"/>
      <c r="L1" s="97"/>
      <c r="M1" s="54"/>
      <c r="N1" s="54"/>
    </row>
    <row r="2" spans="1:14" ht="36" customHeight="1">
      <c r="A2" s="40" t="s">
        <v>1852</v>
      </c>
      <c r="B2" s="40" t="s">
        <v>1832</v>
      </c>
      <c r="C2" s="40" t="s">
        <v>1834</v>
      </c>
      <c r="D2" s="40" t="s">
        <v>53</v>
      </c>
      <c r="E2" s="40" t="s">
        <v>56</v>
      </c>
      <c r="F2" s="40" t="s">
        <v>63</v>
      </c>
      <c r="G2" s="40" t="s">
        <v>1853</v>
      </c>
      <c r="H2" s="40" t="s">
        <v>1854</v>
      </c>
      <c r="I2" s="40" t="s">
        <v>1855</v>
      </c>
      <c r="J2" s="40" t="s">
        <v>1856</v>
      </c>
      <c r="K2" s="40" t="s">
        <v>1857</v>
      </c>
      <c r="L2" s="40" t="s">
        <v>1858</v>
      </c>
      <c r="M2" s="37" t="s">
        <v>1859</v>
      </c>
      <c r="N2" s="37" t="s">
        <v>1860</v>
      </c>
    </row>
    <row r="3" spans="1:14" ht="26.1" customHeight="1">
      <c r="A3" s="41" t="str">
        <f>IF(INDEX(Backlog!$L$2:$L$188,MATCH($D3,Backlog!$A$2:$A$188,0))="","",INDEX(Backlog!$L$2:$L$188,MATCH($D3,Backlog!$A$2:$A$188,0)))</f>
        <v>CLOSED</v>
      </c>
      <c r="B3" s="41" t="str">
        <f>IF(INDEX(Backlog!$B$2:$B$188,MATCH($D3,Backlog!$A$2:$A$188,0))="","",INDEX(Backlog!$B$2:$B$188,MATCH($D3,Backlog!$A$2:$A$188,0)))</f>
        <v>M2</v>
      </c>
      <c r="C3" s="41" t="str">
        <f>IF(INDEX(Backlog!$C$2:$C$188,MATCH($D3,Backlog!$A$2:$A$188,0))="","",INDEX(Backlog!$C$2:$C$188,MATCH($D3,Backlog!$A$2:$A$188,0)))</f>
        <v>P4</v>
      </c>
      <c r="D3" s="41" t="s">
        <v>857</v>
      </c>
      <c r="E3" s="41" t="str">
        <f>IF(INDEX(Backlog!$D$2:$D$188,MATCH($D3,Backlog!$A$2:$A$188,0))="","",INDEX(Backlog!$D$2:$D$188,MATCH($D3,Backlog!$A$2:$A$188,0)))</f>
        <v>ModelServingRuntime and model-gateway adapter, isolated from the presentation dock</v>
      </c>
      <c r="F3" s="69" t="str">
        <f>IF(INDEX(Backlog!$K$2:$K$188,MATCH($D3,Backlog!$A$2:$A$188,0))="","",INDEX(Backlog!$K$2:$K$188,MATCH($D3,Backlog!$A$2:$A$188,0)))</f>
        <v>Done</v>
      </c>
      <c r="G3" s="41">
        <f>IF(ISNUMBER(INDEX(Backlog!$AS$2:$AS$188,MATCH($D3,Backlog!$A$2:$A$188,0))),INDEX(Backlog!$AS$2:$AS$188,MATCH($D3,Backlog!$A$2:$A$188,0)),"")</f>
        <v>10</v>
      </c>
      <c r="H3" s="41">
        <f>IF(ISNUMBER(INDEX(Backlog!$AT$2:$AT$188,MATCH($D3,Backlog!$A$2:$A$188,0))),INDEX(Backlog!$AT$2:$AT$188,MATCH($D3,Backlog!$A$2:$A$188,0)),"")</f>
        <v>0</v>
      </c>
      <c r="I3" s="41" t="str">
        <f>IF(INDEX(Backlog!$M$2:$M$188,MATCH($D3,Backlog!$A$2:$A$188,0))="","",INDEX(Backlog!$M$2:$M$188,MATCH($D3,Backlog!$A$2:$A$188,0)))</f>
        <v/>
      </c>
      <c r="J3" s="41" t="str">
        <f>IF(INDEX(Backlog!$T$2:$T$188,MATCH($D3,Backlog!$A$2:$A$188,0))="","",INDEX(Backlog!$T$2:$T$188,MATCH($D3,Backlog!$A$2:$A$188,0)))</f>
        <v>CLOSED BASELINE — no new start gate and no re-execution implied. Preserve accepted closure and clean owned scope; reopen only on a concrete, separately recorded regression. Downstream consumes the frozen contract.</v>
      </c>
      <c r="K3" s="41" t="str">
        <f>IF(INDEX(Backlog!$U$2:$U$188,MATCH($D3,Backlog!$A$2:$A$188,0))="","",INDEX(Backlog!$U$2:$U$188,MATCH($D3,Backlog!$A$2:$A$188,0)))</f>
        <v>No active lock.</v>
      </c>
      <c r="L3" s="41" t="str">
        <f>IF(INDEX(Backlog!$V$2:$V$188,MATCH($D3,Backlog!$A$2:$A$188,0))="","",INDEX(Backlog!$V$2:$V$188,MATCH($D3,Backlog!$A$2:$A$188,0)))</f>
        <v>None — preserve evidence.</v>
      </c>
      <c r="M3" s="32" t="str">
        <f>IF(INDEX(Backlog!$AO$2:$AO$188,MATCH($D3,Backlog!$A$2:$A$188,0))="","",INDEX(Backlog!$AO$2:$AO$188,MATCH($D3,Backlog!$A$2:$A$188,0)))</f>
        <v>Recorded closed — inherited evidence</v>
      </c>
      <c r="N3" s="32" t="str">
        <f>IF(INDEX(Backlog!$AN$2:$AN$188,MATCH($D3,Backlog!$A$2:$A$188,0))="","",INDEX(Backlog!$AN$2:$AN$188,MATCH($D3,Backlog!$A$2:$A$188,0)))</f>
        <v/>
      </c>
    </row>
    <row r="4" spans="1:14" ht="26.1" customHeight="1">
      <c r="A4" s="38" t="str">
        <f>IF(INDEX(Backlog!$L$2:$L$188,MATCH($D4,Backlog!$A$2:$A$188,0))="","",INDEX(Backlog!$L$2:$L$188,MATCH($D4,Backlog!$A$2:$A$188,0)))</f>
        <v>CLOSED</v>
      </c>
      <c r="B4" s="38" t="str">
        <f>IF(INDEX(Backlog!$B$2:$B$188,MATCH($D4,Backlog!$A$2:$A$188,0))="","",INDEX(Backlog!$B$2:$B$188,MATCH($D4,Backlog!$A$2:$A$188,0)))</f>
        <v>M2</v>
      </c>
      <c r="C4" s="38" t="str">
        <f>IF(INDEX(Backlog!$C$2:$C$188,MATCH($D4,Backlog!$A$2:$A$188,0))="","",INDEX(Backlog!$C$2:$C$188,MATCH($D4,Backlog!$A$2:$A$188,0)))</f>
        <v>P4</v>
      </c>
      <c r="D4" s="38" t="s">
        <v>874</v>
      </c>
      <c r="E4" s="38" t="str">
        <f>IF(INDEX(Backlog!$D$2:$D$188,MATCH($D4,Backlog!$A$2:$A$188,0))="","",INDEX(Backlog!$D$2:$D$188,MATCH($D4,Backlog!$A$2:$A$188,0)))</f>
        <v>Versioned C#↔Python ML job protocol and isolated runtime harness</v>
      </c>
      <c r="F4" s="70" t="str">
        <f>IF(INDEX(Backlog!$K$2:$K$188,MATCH($D4,Backlog!$A$2:$A$188,0))="","",INDEX(Backlog!$K$2:$K$188,MATCH($D4,Backlog!$A$2:$A$188,0)))</f>
        <v>Done</v>
      </c>
      <c r="G4" s="38">
        <f>IF(ISNUMBER(INDEX(Backlog!$AS$2:$AS$188,MATCH($D4,Backlog!$A$2:$A$188,0))),INDEX(Backlog!$AS$2:$AS$188,MATCH($D4,Backlog!$A$2:$A$188,0)),"")</f>
        <v>12</v>
      </c>
      <c r="H4" s="38">
        <f>IF(ISNUMBER(INDEX(Backlog!$AT$2:$AT$188,MATCH($D4,Backlog!$A$2:$A$188,0))),INDEX(Backlog!$AT$2:$AT$188,MATCH($D4,Backlog!$A$2:$A$188,0)),"")</f>
        <v>0</v>
      </c>
      <c r="I4" s="38" t="str">
        <f>IF(INDEX(Backlog!$M$2:$M$188,MATCH($D4,Backlog!$A$2:$A$188,0))="","",INDEX(Backlog!$M$2:$M$188,MATCH($D4,Backlog!$A$2:$A$188,0)))</f>
        <v/>
      </c>
      <c r="J4" s="38" t="str">
        <f>IF(INDEX(Backlog!$T$2:$T$188,MATCH($D4,Backlog!$A$2:$A$188,0))="","",INDEX(Backlog!$T$2:$T$188,MATCH($D4,Backlog!$A$2:$A$188,0)))</f>
        <v>CLOSED BASELINE — no new start gate and no re-execution implied. Preserve accepted closure and clean owned scope; reopen only on a concrete, separately recorded regression. Downstream consumes the frozen contract.</v>
      </c>
      <c r="K4" s="38" t="str">
        <f>IF(INDEX(Backlog!$U$2:$U$188,MATCH($D4,Backlog!$A$2:$A$188,0))="","",INDEX(Backlog!$U$2:$U$188,MATCH($D4,Backlog!$A$2:$A$188,0)))</f>
        <v>No active lock.</v>
      </c>
      <c r="L4" s="38" t="str">
        <f>IF(INDEX(Backlog!$V$2:$V$188,MATCH($D4,Backlog!$A$2:$A$188,0))="","",INDEX(Backlog!$V$2:$V$188,MATCH($D4,Backlog!$A$2:$A$188,0)))</f>
        <v>None — preserve evidence.</v>
      </c>
      <c r="M4" s="32" t="str">
        <f>IF(INDEX(Backlog!$AO$2:$AO$188,MATCH($D4,Backlog!$A$2:$A$188,0))="","",INDEX(Backlog!$AO$2:$AO$188,MATCH($D4,Backlog!$A$2:$A$188,0)))</f>
        <v>Recorded closed — inherited evidence</v>
      </c>
      <c r="N4" s="32" t="str">
        <f>IF(INDEX(Backlog!$AN$2:$AN$188,MATCH($D4,Backlog!$A$2:$A$188,0))="","",INDEX(Backlog!$AN$2:$AN$188,MATCH($D4,Backlog!$A$2:$A$188,0)))</f>
        <v/>
      </c>
    </row>
    <row r="5" spans="1:14" ht="26.1" customHeight="1">
      <c r="A5" s="38" t="str">
        <f>IF(INDEX(Backlog!$L$2:$L$188,MATCH($D5,Backlog!$A$2:$A$188,0))="","",INDEX(Backlog!$L$2:$L$188,MATCH($D5,Backlog!$A$2:$A$188,0)))</f>
        <v>CLOSED</v>
      </c>
      <c r="B5" s="38" t="str">
        <f>IF(INDEX(Backlog!$B$2:$B$188,MATCH($D5,Backlog!$A$2:$A$188,0))="","",INDEX(Backlog!$B$2:$B$188,MATCH($D5,Backlog!$A$2:$A$188,0)))</f>
        <v>M2</v>
      </c>
      <c r="C5" s="38" t="str">
        <f>IF(INDEX(Backlog!$C$2:$C$188,MATCH($D5,Backlog!$A$2:$A$188,0))="","",INDEX(Backlog!$C$2:$C$188,MATCH($D5,Backlog!$A$2:$A$188,0)))</f>
        <v>P4</v>
      </c>
      <c r="D5" s="38" t="s">
        <v>883</v>
      </c>
      <c r="E5" s="38" t="str">
        <f>IF(INDEX(Backlog!$D$2:$D$188,MATCH($D5,Backlog!$A$2:$A$188,0))="","",INDEX(Backlog!$D$2:$D$188,MATCH($D5,Backlog!$A$2:$A$188,0)))</f>
        <v>Typed columnar training-artifact library and B-03 harness</v>
      </c>
      <c r="F5" s="70" t="str">
        <f>IF(INDEX(Backlog!$K$2:$K$188,MATCH($D5,Backlog!$A$2:$A$188,0))="","",INDEX(Backlog!$K$2:$K$188,MATCH($D5,Backlog!$A$2:$A$188,0)))</f>
        <v>Done</v>
      </c>
      <c r="G5" s="38">
        <f>IF(ISNUMBER(INDEX(Backlog!$AS$2:$AS$188,MATCH($D5,Backlog!$A$2:$A$188,0))),INDEX(Backlog!$AS$2:$AS$188,MATCH($D5,Backlog!$A$2:$A$188,0)),"")</f>
        <v>10</v>
      </c>
      <c r="H5" s="38">
        <f>IF(ISNUMBER(INDEX(Backlog!$AT$2:$AT$188,MATCH($D5,Backlog!$A$2:$A$188,0))),INDEX(Backlog!$AT$2:$AT$188,MATCH($D5,Backlog!$A$2:$A$188,0)),"")</f>
        <v>0</v>
      </c>
      <c r="I5" s="38" t="str">
        <f>IF(INDEX(Backlog!$M$2:$M$188,MATCH($D5,Backlog!$A$2:$A$188,0))="","",INDEX(Backlog!$M$2:$M$188,MATCH($D5,Backlog!$A$2:$A$188,0)))</f>
        <v/>
      </c>
      <c r="J5" s="38" t="str">
        <f>IF(INDEX(Backlog!$T$2:$T$188,MATCH($D5,Backlog!$A$2:$A$188,0))="","",INDEX(Backlog!$T$2:$T$188,MATCH($D5,Backlog!$A$2:$A$188,0)))</f>
        <v>CLOSED BASELINE — no new start gate and no re-execution implied. Preserve accepted closure and clean owned scope; reopen only on a concrete, separately recorded regression. Downstream consumes the frozen contract.</v>
      </c>
      <c r="K5" s="38" t="str">
        <f>IF(INDEX(Backlog!$U$2:$U$188,MATCH($D5,Backlog!$A$2:$A$188,0))="","",INDEX(Backlog!$U$2:$U$188,MATCH($D5,Backlog!$A$2:$A$188,0)))</f>
        <v>No active lock.</v>
      </c>
      <c r="L5" s="38" t="str">
        <f>IF(INDEX(Backlog!$V$2:$V$188,MATCH($D5,Backlog!$A$2:$A$188,0))="","",INDEX(Backlog!$V$2:$V$188,MATCH($D5,Backlog!$A$2:$A$188,0)))</f>
        <v>None — preserve evidence.</v>
      </c>
      <c r="M5" s="32" t="str">
        <f>IF(INDEX(Backlog!$AO$2:$AO$188,MATCH($D5,Backlog!$A$2:$A$188,0))="","",INDEX(Backlog!$AO$2:$AO$188,MATCH($D5,Backlog!$A$2:$A$188,0)))</f>
        <v>Recorded closed — inherited evidence</v>
      </c>
      <c r="N5" s="32" t="str">
        <f>IF(INDEX(Backlog!$AN$2:$AN$188,MATCH($D5,Backlog!$A$2:$A$188,0))="","",INDEX(Backlog!$AN$2:$AN$188,MATCH($D5,Backlog!$A$2:$A$188,0)))</f>
        <v/>
      </c>
    </row>
    <row r="6" spans="1:14" ht="26.1" customHeight="1">
      <c r="A6" s="38" t="str">
        <f>IF(INDEX(Backlog!$L$2:$L$188,MATCH($D6,Backlog!$A$2:$A$188,0))="","",INDEX(Backlog!$L$2:$L$188,MATCH($D6,Backlog!$A$2:$A$188,0)))</f>
        <v>CLOSED</v>
      </c>
      <c r="B6" s="38" t="str">
        <f>IF(INDEX(Backlog!$B$2:$B$188,MATCH($D6,Backlog!$A$2:$A$188,0))="","",INDEX(Backlog!$B$2:$B$188,MATCH($D6,Backlog!$A$2:$A$188,0)))</f>
        <v>M2</v>
      </c>
      <c r="C6" s="38" t="str">
        <f>IF(INDEX(Backlog!$C$2:$C$188,MATCH($D6,Backlog!$A$2:$A$188,0))="","",INDEX(Backlog!$C$2:$C$188,MATCH($D6,Backlog!$A$2:$A$188,0)))</f>
        <v>P4</v>
      </c>
      <c r="D6" s="38" t="s">
        <v>891</v>
      </c>
      <c r="E6" s="38" t="str">
        <f>IF(INDEX(Backlog!$D$2:$D$188,MATCH($D6,Backlog!$A$2:$A$188,0))="","",INDEX(Backlog!$D$2:$D$188,MATCH($D6,Backlog!$A$2:$A$188,0)))</f>
        <v>Chunked sequence-artifact library and bounded loader</v>
      </c>
      <c r="F6" s="70" t="str">
        <f>IF(INDEX(Backlog!$K$2:$K$188,MATCH($D6,Backlog!$A$2:$A$188,0))="","",INDEX(Backlog!$K$2:$K$188,MATCH($D6,Backlog!$A$2:$A$188,0)))</f>
        <v>Done</v>
      </c>
      <c r="G6" s="38">
        <f>IF(ISNUMBER(INDEX(Backlog!$AS$2:$AS$188,MATCH($D6,Backlog!$A$2:$A$188,0))),INDEX(Backlog!$AS$2:$AS$188,MATCH($D6,Backlog!$A$2:$A$188,0)),"")</f>
        <v>10</v>
      </c>
      <c r="H6" s="38">
        <f>IF(ISNUMBER(INDEX(Backlog!$AT$2:$AT$188,MATCH($D6,Backlog!$A$2:$A$188,0))),INDEX(Backlog!$AT$2:$AT$188,MATCH($D6,Backlog!$A$2:$A$188,0)),"")</f>
        <v>0</v>
      </c>
      <c r="I6" s="38" t="str">
        <f>IF(INDEX(Backlog!$M$2:$M$188,MATCH($D6,Backlog!$A$2:$A$188,0))="","",INDEX(Backlog!$M$2:$M$188,MATCH($D6,Backlog!$A$2:$A$188,0)))</f>
        <v/>
      </c>
      <c r="J6" s="38" t="str">
        <f>IF(INDEX(Backlog!$T$2:$T$188,MATCH($D6,Backlog!$A$2:$A$188,0))="","",INDEX(Backlog!$T$2:$T$188,MATCH($D6,Backlog!$A$2:$A$188,0)))</f>
        <v>CLOSED BASELINE — no new start gate and no re-execution implied. Preserve accepted closure and clean owned scope; reopen only on a concrete, separately recorded regression. Downstream consumes the frozen contract.</v>
      </c>
      <c r="K6" s="38" t="str">
        <f>IF(INDEX(Backlog!$U$2:$U$188,MATCH($D6,Backlog!$A$2:$A$188,0))="","",INDEX(Backlog!$U$2:$U$188,MATCH($D6,Backlog!$A$2:$A$188,0)))</f>
        <v>No active lock.</v>
      </c>
      <c r="L6" s="38" t="str">
        <f>IF(INDEX(Backlog!$V$2:$V$188,MATCH($D6,Backlog!$A$2:$A$188,0))="","",INDEX(Backlog!$V$2:$V$188,MATCH($D6,Backlog!$A$2:$A$188,0)))</f>
        <v>None — preserve evidence.</v>
      </c>
      <c r="M6" s="32" t="str">
        <f>IF(INDEX(Backlog!$AO$2:$AO$188,MATCH($D6,Backlog!$A$2:$A$188,0))="","",INDEX(Backlog!$AO$2:$AO$188,MATCH($D6,Backlog!$A$2:$A$188,0)))</f>
        <v>Recorded closed — inherited evidence</v>
      </c>
      <c r="N6" s="32" t="str">
        <f>IF(INDEX(Backlog!$AN$2:$AN$188,MATCH($D6,Backlog!$A$2:$A$188,0))="","",INDEX(Backlog!$AN$2:$AN$188,MATCH($D6,Backlog!$A$2:$A$188,0)))</f>
        <v/>
      </c>
    </row>
    <row r="7" spans="1:14" ht="26.1" customHeight="1">
      <c r="A7" s="38" t="str">
        <f>IF(INDEX(Backlog!$L$2:$L$188,MATCH($D7,Backlog!$A$2:$A$188,0))="","",INDEX(Backlog!$L$2:$L$188,MATCH($D7,Backlog!$A$2:$A$188,0)))</f>
        <v>CLOSED</v>
      </c>
      <c r="B7" s="38" t="str">
        <f>IF(INDEX(Backlog!$B$2:$B$188,MATCH($D7,Backlog!$A$2:$A$188,0))="","",INDEX(Backlog!$B$2:$B$188,MATCH($D7,Backlog!$A$2:$A$188,0)))</f>
        <v>M2</v>
      </c>
      <c r="C7" s="38" t="str">
        <f>IF(INDEX(Backlog!$C$2:$C$188,MATCH($D7,Backlog!$A$2:$A$188,0))="","",INDEX(Backlog!$C$2:$C$188,MATCH($D7,Backlog!$A$2:$A$188,0)))</f>
        <v>P4</v>
      </c>
      <c r="D7" s="38" t="s">
        <v>897</v>
      </c>
      <c r="E7" s="38" t="str">
        <f>IF(INDEX(Backlog!$D$2:$D$188,MATCH($D7,Backlog!$A$2:$A$188,0))="","",INDEX(Backlog!$D$2:$D$188,MATCH($D7,Backlog!$A$2:$A$188,0)))</f>
        <v>Capability Profiler and eligibility/refusal kernel</v>
      </c>
      <c r="F7" s="70" t="str">
        <f>IF(INDEX(Backlog!$K$2:$K$188,MATCH($D7,Backlog!$A$2:$A$188,0))="","",INDEX(Backlog!$K$2:$K$188,MATCH($D7,Backlog!$A$2:$A$188,0)))</f>
        <v>Done</v>
      </c>
      <c r="G7" s="38">
        <f>IF(ISNUMBER(INDEX(Backlog!$AS$2:$AS$188,MATCH($D7,Backlog!$A$2:$A$188,0))),INDEX(Backlog!$AS$2:$AS$188,MATCH($D7,Backlog!$A$2:$A$188,0)),"")</f>
        <v>10</v>
      </c>
      <c r="H7" s="38">
        <f>IF(ISNUMBER(INDEX(Backlog!$AT$2:$AT$188,MATCH($D7,Backlog!$A$2:$A$188,0))),INDEX(Backlog!$AT$2:$AT$188,MATCH($D7,Backlog!$A$2:$A$188,0)),"")</f>
        <v>0</v>
      </c>
      <c r="I7" s="38" t="str">
        <f>IF(INDEX(Backlog!$M$2:$M$188,MATCH($D7,Backlog!$A$2:$A$188,0))="","",INDEX(Backlog!$M$2:$M$188,MATCH($D7,Backlog!$A$2:$A$188,0)))</f>
        <v/>
      </c>
      <c r="J7" s="38" t="str">
        <f>IF(INDEX(Backlog!$T$2:$T$188,MATCH($D7,Backlog!$A$2:$A$188,0))="","",INDEX(Backlog!$T$2:$T$188,MATCH($D7,Backlog!$A$2:$A$188,0)))</f>
        <v>CLOSED BASELINE — no new start gate and no re-execution implied. Preserve accepted closure and clean owned scope; reopen only on a concrete, separately recorded regression. Downstream consumes the frozen contract.</v>
      </c>
      <c r="K7" s="38" t="str">
        <f>IF(INDEX(Backlog!$U$2:$U$188,MATCH($D7,Backlog!$A$2:$A$188,0))="","",INDEX(Backlog!$U$2:$U$188,MATCH($D7,Backlog!$A$2:$A$188,0)))</f>
        <v>No active lock.</v>
      </c>
      <c r="L7" s="38" t="str">
        <f>IF(INDEX(Backlog!$V$2:$V$188,MATCH($D7,Backlog!$A$2:$A$188,0))="","",INDEX(Backlog!$V$2:$V$188,MATCH($D7,Backlog!$A$2:$A$188,0)))</f>
        <v>None — preserve evidence.</v>
      </c>
      <c r="M7" s="32" t="str">
        <f>IF(INDEX(Backlog!$AO$2:$AO$188,MATCH($D7,Backlog!$A$2:$A$188,0))="","",INDEX(Backlog!$AO$2:$AO$188,MATCH($D7,Backlog!$A$2:$A$188,0)))</f>
        <v>Recorded closed — inherited evidence</v>
      </c>
      <c r="N7" s="32" t="str">
        <f>IF(INDEX(Backlog!$AN$2:$AN$188,MATCH($D7,Backlog!$A$2:$A$188,0))="","",INDEX(Backlog!$AN$2:$AN$188,MATCH($D7,Backlog!$A$2:$A$188,0)))</f>
        <v/>
      </c>
    </row>
    <row r="8" spans="1:14" ht="26.1" customHeight="1">
      <c r="A8" s="38" t="str">
        <f>IF(INDEX(Backlog!$L$2:$L$188,MATCH($D8,Backlog!$A$2:$A$188,0))="","",INDEX(Backlog!$L$2:$L$188,MATCH($D8,Backlog!$A$2:$A$188,0)))</f>
        <v>CLOSED</v>
      </c>
      <c r="B8" s="38" t="str">
        <f>IF(INDEX(Backlog!$B$2:$B$188,MATCH($D8,Backlog!$A$2:$A$188,0))="","",INDEX(Backlog!$B$2:$B$188,MATCH($D8,Backlog!$A$2:$A$188,0)))</f>
        <v>M2</v>
      </c>
      <c r="C8" s="38" t="str">
        <f>IF(INDEX(Backlog!$C$2:$C$188,MATCH($D8,Backlog!$A$2:$A$188,0))="","",INDEX(Backlog!$C$2:$C$188,MATCH($D8,Backlog!$A$2:$A$188,0)))</f>
        <v>P4</v>
      </c>
      <c r="D8" s="38" t="s">
        <v>907</v>
      </c>
      <c r="E8" s="38" t="str">
        <f>IF(INDEX(Backlog!$D$2:$D$188,MATCH($D8,Backlog!$A$2:$A$188,0))="","",INDEX(Backlog!$D$2:$D$188,MATCH($D8,Backlog!$A$2:$A$188,0)))</f>
        <v>MF-01 Process Encoder runtime behind a replaceable contract</v>
      </c>
      <c r="F8" s="70" t="str">
        <f>IF(INDEX(Backlog!$K$2:$K$188,MATCH($D8,Backlog!$A$2:$A$188,0))="","",INDEX(Backlog!$K$2:$K$188,MATCH($D8,Backlog!$A$2:$A$188,0)))</f>
        <v>Done</v>
      </c>
      <c r="G8" s="38">
        <f>IF(ISNUMBER(INDEX(Backlog!$AS$2:$AS$188,MATCH($D8,Backlog!$A$2:$A$188,0))),INDEX(Backlog!$AS$2:$AS$188,MATCH($D8,Backlog!$A$2:$A$188,0)),"")</f>
        <v>12</v>
      </c>
      <c r="H8" s="38">
        <f>IF(ISNUMBER(INDEX(Backlog!$AT$2:$AT$188,MATCH($D8,Backlog!$A$2:$A$188,0))),INDEX(Backlog!$AT$2:$AT$188,MATCH($D8,Backlog!$A$2:$A$188,0)),"")</f>
        <v>0</v>
      </c>
      <c r="I8" s="38" t="str">
        <f>IF(INDEX(Backlog!$M$2:$M$188,MATCH($D8,Backlog!$A$2:$A$188,0))="","",INDEX(Backlog!$M$2:$M$188,MATCH($D8,Backlog!$A$2:$A$188,0)))</f>
        <v/>
      </c>
      <c r="J8" s="38" t="str">
        <f>IF(INDEX(Backlog!$T$2:$T$188,MATCH($D8,Backlog!$A$2:$A$188,0))="","",INDEX(Backlog!$T$2:$T$188,MATCH($D8,Backlog!$A$2:$A$188,0)))</f>
        <v>CLOSED BASELINE — no new start gate and no re-execution implied. Preserve accepted closure and clean owned scope; reopen only on a concrete, separately recorded regression. Downstream consumes the frozen contract.</v>
      </c>
      <c r="K8" s="38" t="str">
        <f>IF(INDEX(Backlog!$U$2:$U$188,MATCH($D8,Backlog!$A$2:$A$188,0))="","",INDEX(Backlog!$U$2:$U$188,MATCH($D8,Backlog!$A$2:$A$188,0)))</f>
        <v>No active lock.</v>
      </c>
      <c r="L8" s="38" t="str">
        <f>IF(INDEX(Backlog!$V$2:$V$188,MATCH($D8,Backlog!$A$2:$A$188,0))="","",INDEX(Backlog!$V$2:$V$188,MATCH($D8,Backlog!$A$2:$A$188,0)))</f>
        <v>None — preserve evidence.</v>
      </c>
      <c r="M8" s="32" t="str">
        <f>IF(INDEX(Backlog!$AO$2:$AO$188,MATCH($D8,Backlog!$A$2:$A$188,0))="","",INDEX(Backlog!$AO$2:$AO$188,MATCH($D8,Backlog!$A$2:$A$188,0)))</f>
        <v>Recorded closed — inherited evidence</v>
      </c>
      <c r="N8" s="32" t="str">
        <f>IF(INDEX(Backlog!$AN$2:$AN$188,MATCH($D8,Backlog!$A$2:$A$188,0))="","",INDEX(Backlog!$AN$2:$AN$188,MATCH($D8,Backlog!$A$2:$A$188,0)))</f>
        <v/>
      </c>
    </row>
    <row r="9" spans="1:14" ht="26.1" customHeight="1">
      <c r="A9" s="38" t="str">
        <f>IF(INDEX(Backlog!$L$2:$L$188,MATCH($D9,Backlog!$A$2:$A$188,0))="","",INDEX(Backlog!$L$2:$L$188,MATCH($D9,Backlog!$A$2:$A$188,0)))</f>
        <v>CLOSED</v>
      </c>
      <c r="B9" s="38" t="str">
        <f>IF(INDEX(Backlog!$B$2:$B$188,MATCH($D9,Backlog!$A$2:$A$188,0))="","",INDEX(Backlog!$B$2:$B$188,MATCH($D9,Backlog!$A$2:$A$188,0)))</f>
        <v>M2</v>
      </c>
      <c r="C9" s="38" t="str">
        <f>IF(INDEX(Backlog!$C$2:$C$188,MATCH($D9,Backlog!$A$2:$A$188,0))="","",INDEX(Backlog!$C$2:$C$188,MATCH($D9,Backlog!$A$2:$A$188,0)))</f>
        <v>P4</v>
      </c>
      <c r="D9" s="38" t="s">
        <v>914</v>
      </c>
      <c r="E9" s="38" t="str">
        <f>IF(INDEX(Backlog!$D$2:$D$188,MATCH($D9,Backlog!$A$2:$A$188,0))="","",INDEX(Backlog!$D$2:$D$188,MATCH($D9,Backlog!$A$2:$A$188,0)))</f>
        <v>MF-02 VectorSimilarityIndex with exact-Flat recall baseline</v>
      </c>
      <c r="F9" s="70" t="str">
        <f>IF(INDEX(Backlog!$K$2:$K$188,MATCH($D9,Backlog!$A$2:$A$188,0))="","",INDEX(Backlog!$K$2:$K$188,MATCH($D9,Backlog!$A$2:$A$188,0)))</f>
        <v>Done</v>
      </c>
      <c r="G9" s="38">
        <f>IF(ISNUMBER(INDEX(Backlog!$AS$2:$AS$188,MATCH($D9,Backlog!$A$2:$A$188,0))),INDEX(Backlog!$AS$2:$AS$188,MATCH($D9,Backlog!$A$2:$A$188,0)),"")</f>
        <v>12</v>
      </c>
      <c r="H9" s="38">
        <f>IF(ISNUMBER(INDEX(Backlog!$AT$2:$AT$188,MATCH($D9,Backlog!$A$2:$A$188,0))),INDEX(Backlog!$AT$2:$AT$188,MATCH($D9,Backlog!$A$2:$A$188,0)),"")</f>
        <v>0</v>
      </c>
      <c r="I9" s="38" t="str">
        <f>IF(INDEX(Backlog!$M$2:$M$188,MATCH($D9,Backlog!$A$2:$A$188,0))="","",INDEX(Backlog!$M$2:$M$188,MATCH($D9,Backlog!$A$2:$A$188,0)))</f>
        <v/>
      </c>
      <c r="J9" s="38" t="str">
        <f>IF(INDEX(Backlog!$T$2:$T$188,MATCH($D9,Backlog!$A$2:$A$188,0))="","",INDEX(Backlog!$T$2:$T$188,MATCH($D9,Backlog!$A$2:$A$188,0)))</f>
        <v>CLOSED BASELINE — no new start gate and no re-execution implied. Preserve accepted closure and clean owned scope; reopen only on a concrete, separately recorded regression. Downstream consumes the frozen contract.</v>
      </c>
      <c r="K9" s="38" t="str">
        <f>IF(INDEX(Backlog!$U$2:$U$188,MATCH($D9,Backlog!$A$2:$A$188,0))="","",INDEX(Backlog!$U$2:$U$188,MATCH($D9,Backlog!$A$2:$A$188,0)))</f>
        <v>No active lock.</v>
      </c>
      <c r="L9" s="38" t="str">
        <f>IF(INDEX(Backlog!$V$2:$V$188,MATCH($D9,Backlog!$A$2:$A$188,0))="","",INDEX(Backlog!$V$2:$V$188,MATCH($D9,Backlog!$A$2:$A$188,0)))</f>
        <v>None — preserve evidence.</v>
      </c>
      <c r="M9" s="32" t="str">
        <f>IF(INDEX(Backlog!$AO$2:$AO$188,MATCH($D9,Backlog!$A$2:$A$188,0))="","",INDEX(Backlog!$AO$2:$AO$188,MATCH($D9,Backlog!$A$2:$A$188,0)))</f>
        <v>Recorded closed — inherited evidence</v>
      </c>
      <c r="N9" s="32" t="str">
        <f>IF(INDEX(Backlog!$AN$2:$AN$188,MATCH($D9,Backlog!$A$2:$A$188,0))="","",INDEX(Backlog!$AN$2:$AN$188,MATCH($D9,Backlog!$A$2:$A$188,0)))</f>
        <v/>
      </c>
    </row>
    <row r="10" spans="1:14" ht="26.1" customHeight="1">
      <c r="A10" s="38" t="str">
        <f>IF(INDEX(Backlog!$L$2:$L$188,MATCH($D10,Backlog!$A$2:$A$188,0))="","",INDEX(Backlog!$L$2:$L$188,MATCH($D10,Backlog!$A$2:$A$188,0)))</f>
        <v>CLOSED</v>
      </c>
      <c r="B10" s="38" t="str">
        <f>IF(INDEX(Backlog!$B$2:$B$188,MATCH($D10,Backlog!$A$2:$A$188,0))="","",INDEX(Backlog!$B$2:$B$188,MATCH($D10,Backlog!$A$2:$A$188,0)))</f>
        <v>M2</v>
      </c>
      <c r="C10" s="38" t="str">
        <f>IF(INDEX(Backlog!$C$2:$C$188,MATCH($D10,Backlog!$A$2:$A$188,0))="","",INDEX(Backlog!$C$2:$C$188,MATCH($D10,Backlog!$A$2:$A$188,0)))</f>
        <v>P4</v>
      </c>
      <c r="D10" s="38" t="s">
        <v>923</v>
      </c>
      <c r="E10" s="38" t="str">
        <f>IF(INDEX(Backlog!$D$2:$D$188,MATCH($D10,Backlog!$A$2:$A$188,0))="","",INDEX(Backlog!$D$2:$D$188,MATCH($D10,Backlog!$A$2:$A$188,0)))</f>
        <v>MF-03 novelty-model runtime and honest refusal semantics</v>
      </c>
      <c r="F10" s="70" t="str">
        <f>IF(INDEX(Backlog!$K$2:$K$188,MATCH($D10,Backlog!$A$2:$A$188,0))="","",INDEX(Backlog!$K$2:$K$188,MATCH($D10,Backlog!$A$2:$A$188,0)))</f>
        <v>Done</v>
      </c>
      <c r="G10" s="38">
        <f>IF(ISNUMBER(INDEX(Backlog!$AS$2:$AS$188,MATCH($D10,Backlog!$A$2:$A$188,0))),INDEX(Backlog!$AS$2:$AS$188,MATCH($D10,Backlog!$A$2:$A$188,0)),"")</f>
        <v>10</v>
      </c>
      <c r="H10" s="38">
        <f>IF(ISNUMBER(INDEX(Backlog!$AT$2:$AT$188,MATCH($D10,Backlog!$A$2:$A$188,0))),INDEX(Backlog!$AT$2:$AT$188,MATCH($D10,Backlog!$A$2:$A$188,0)),"")</f>
        <v>0</v>
      </c>
      <c r="I10" s="38" t="str">
        <f>IF(INDEX(Backlog!$M$2:$M$188,MATCH($D10,Backlog!$A$2:$A$188,0))="","",INDEX(Backlog!$M$2:$M$188,MATCH($D10,Backlog!$A$2:$A$188,0)))</f>
        <v/>
      </c>
      <c r="J10" s="38" t="str">
        <f>IF(INDEX(Backlog!$T$2:$T$188,MATCH($D10,Backlog!$A$2:$A$188,0))="","",INDEX(Backlog!$T$2:$T$188,MATCH($D10,Backlog!$A$2:$A$188,0)))</f>
        <v>CLOSED BASELINE — no new start gate and no re-execution implied. Preserve accepted closure and clean owned scope; reopen only on a concrete, separately recorded regression. Downstream consumes the frozen contract.</v>
      </c>
      <c r="K10" s="38" t="str">
        <f>IF(INDEX(Backlog!$U$2:$U$188,MATCH($D10,Backlog!$A$2:$A$188,0))="","",INDEX(Backlog!$U$2:$U$188,MATCH($D10,Backlog!$A$2:$A$188,0)))</f>
        <v>No active lock.</v>
      </c>
      <c r="L10" s="38" t="str">
        <f>IF(INDEX(Backlog!$V$2:$V$188,MATCH($D10,Backlog!$A$2:$A$188,0))="","",INDEX(Backlog!$V$2:$V$188,MATCH($D10,Backlog!$A$2:$A$188,0)))</f>
        <v>None — preserve evidence.</v>
      </c>
      <c r="M10" s="32" t="str">
        <f>IF(INDEX(Backlog!$AO$2:$AO$188,MATCH($D10,Backlog!$A$2:$A$188,0))="","",INDEX(Backlog!$AO$2:$AO$188,MATCH($D10,Backlog!$A$2:$A$188,0)))</f>
        <v>Recorded closed — inherited evidence</v>
      </c>
      <c r="N10" s="32" t="str">
        <f>IF(INDEX(Backlog!$AN$2:$AN$188,MATCH($D10,Backlog!$A$2:$A$188,0))="","",INDEX(Backlog!$AN$2:$AN$188,MATCH($D10,Backlog!$A$2:$A$188,0)))</f>
        <v/>
      </c>
    </row>
    <row r="11" spans="1:14" ht="26.1" customHeight="1">
      <c r="A11" s="38" t="str">
        <f>IF(INDEX(Backlog!$L$2:$L$188,MATCH($D11,Backlog!$A$2:$A$188,0))="","",INDEX(Backlog!$L$2:$L$188,MATCH($D11,Backlog!$A$2:$A$188,0)))</f>
        <v>CLOSED</v>
      </c>
      <c r="B11" s="38" t="str">
        <f>IF(INDEX(Backlog!$B$2:$B$188,MATCH($D11,Backlog!$A$2:$A$188,0))="","",INDEX(Backlog!$B$2:$B$188,MATCH($D11,Backlog!$A$2:$A$188,0)))</f>
        <v>M2</v>
      </c>
      <c r="C11" s="38" t="str">
        <f>IF(INDEX(Backlog!$C$2:$C$188,MATCH($D11,Backlog!$A$2:$A$188,0))="","",INDEX(Backlog!$C$2:$C$188,MATCH($D11,Backlog!$A$2:$A$188,0)))</f>
        <v>P4</v>
      </c>
      <c r="D11" s="38" t="s">
        <v>929</v>
      </c>
      <c r="E11" s="38" t="str">
        <f>IF(INDEX(Backlog!$D$2:$D$188,MATCH($D11,Backlog!$A$2:$A$188,0))="","",INDEX(Backlog!$D$2:$D$188,MATCH($D11,Backlog!$A$2:$A$188,0)))</f>
        <v>MF-04 supervised-outcome training runtime and mandatory simple baseline</v>
      </c>
      <c r="F11" s="70" t="str">
        <f>IF(INDEX(Backlog!$K$2:$K$188,MATCH($D11,Backlog!$A$2:$A$188,0))="","",INDEX(Backlog!$K$2:$K$188,MATCH($D11,Backlog!$A$2:$A$188,0)))</f>
        <v>Done</v>
      </c>
      <c r="G11" s="38">
        <f>IF(ISNUMBER(INDEX(Backlog!$AS$2:$AS$188,MATCH($D11,Backlog!$A$2:$A$188,0))),INDEX(Backlog!$AS$2:$AS$188,MATCH($D11,Backlog!$A$2:$A$188,0)),"")</f>
        <v>12</v>
      </c>
      <c r="H11" s="38">
        <f>IF(ISNUMBER(INDEX(Backlog!$AT$2:$AT$188,MATCH($D11,Backlog!$A$2:$A$188,0))),INDEX(Backlog!$AT$2:$AT$188,MATCH($D11,Backlog!$A$2:$A$188,0)),"")</f>
        <v>0</v>
      </c>
      <c r="I11" s="38" t="str">
        <f>IF(INDEX(Backlog!$M$2:$M$188,MATCH($D11,Backlog!$A$2:$A$188,0))="","",INDEX(Backlog!$M$2:$M$188,MATCH($D11,Backlog!$A$2:$A$188,0)))</f>
        <v>T-168; T-169</v>
      </c>
      <c r="J11" s="38" t="str">
        <f>IF(INDEX(Backlog!$T$2:$T$188,MATCH($D11,Backlog!$A$2:$A$188,0))="","",INDEX(Backlog!$T$2:$T$188,MATCH($D11,Backlog!$A$2:$A$188,0)))</f>
        <v>CLOSED BASELINE — no new start gate and no re-execution implied. Preserve accepted closure and clean owned scope; reopen only on a concrete, separately recorded regression. Downstream consumes the frozen contract.</v>
      </c>
      <c r="K11" s="38" t="str">
        <f>IF(INDEX(Backlog!$U$2:$U$188,MATCH($D11,Backlog!$A$2:$A$188,0))="","",INDEX(Backlog!$U$2:$U$188,MATCH($D11,Backlog!$A$2:$A$188,0)))</f>
        <v>No active lock.</v>
      </c>
      <c r="L11" s="38" t="str">
        <f>IF(INDEX(Backlog!$V$2:$V$188,MATCH($D11,Backlog!$A$2:$A$188,0))="","",INDEX(Backlog!$V$2:$V$188,MATCH($D11,Backlog!$A$2:$A$188,0)))</f>
        <v>None — preserve evidence.</v>
      </c>
      <c r="M11" s="32" t="str">
        <f>IF(INDEX(Backlog!$AO$2:$AO$188,MATCH($D11,Backlog!$A$2:$A$188,0))="","",INDEX(Backlog!$AO$2:$AO$188,MATCH($D11,Backlog!$A$2:$A$188,0)))</f>
        <v>Recorded closed — inherited evidence</v>
      </c>
      <c r="N11" s="32" t="str">
        <f>IF(INDEX(Backlog!$AN$2:$AN$188,MATCH($D11,Backlog!$A$2:$A$188,0))="","",INDEX(Backlog!$AN$2:$AN$188,MATCH($D11,Backlog!$A$2:$A$188,0)))</f>
        <v/>
      </c>
    </row>
    <row r="12" spans="1:14" ht="26.1" customHeight="1">
      <c r="A12" s="38" t="str">
        <f>IF(INDEX(Backlog!$L$2:$L$188,MATCH($D12,Backlog!$A$2:$A$188,0))="","",INDEX(Backlog!$L$2:$L$188,MATCH($D12,Backlog!$A$2:$A$188,0)))</f>
        <v>CLOSED</v>
      </c>
      <c r="B12" s="38" t="str">
        <f>IF(INDEX(Backlog!$B$2:$B$188,MATCH($D12,Backlog!$A$2:$A$188,0))="","",INDEX(Backlog!$B$2:$B$188,MATCH($D12,Backlog!$A$2:$A$188,0)))</f>
        <v>M2</v>
      </c>
      <c r="C12" s="38" t="str">
        <f>IF(INDEX(Backlog!$C$2:$C$188,MATCH($D12,Backlog!$A$2:$A$188,0))="","",INDEX(Backlog!$C$2:$C$188,MATCH($D12,Backlog!$A$2:$A$188,0)))</f>
        <v>P4</v>
      </c>
      <c r="D12" s="38" t="s">
        <v>936</v>
      </c>
      <c r="E12" s="38" t="str">
        <f>IF(INDEX(Backlog!$D$2:$D$188,MATCH($D12,Backlog!$A$2:$A$188,0))="","",INDEX(Backlog!$D$2:$D$188,MATCH($D12,Backlog!$A$2:$A$188,0)))</f>
        <v>Calibration, explanation stability and three-dimensional promotion kernel</v>
      </c>
      <c r="F12" s="70" t="str">
        <f>IF(INDEX(Backlog!$K$2:$K$188,MATCH($D12,Backlog!$A$2:$A$188,0))="","",INDEX(Backlog!$K$2:$K$188,MATCH($D12,Backlog!$A$2:$A$188,0)))</f>
        <v>Done</v>
      </c>
      <c r="G12" s="38">
        <f>IF(ISNUMBER(INDEX(Backlog!$AS$2:$AS$188,MATCH($D12,Backlog!$A$2:$A$188,0))),INDEX(Backlog!$AS$2:$AS$188,MATCH($D12,Backlog!$A$2:$A$188,0)),"")</f>
        <v>12</v>
      </c>
      <c r="H12" s="38">
        <f>IF(ISNUMBER(INDEX(Backlog!$AT$2:$AT$188,MATCH($D12,Backlog!$A$2:$A$188,0))),INDEX(Backlog!$AT$2:$AT$188,MATCH($D12,Backlog!$A$2:$A$188,0)),"")</f>
        <v>0</v>
      </c>
      <c r="I12" s="38" t="str">
        <f>IF(INDEX(Backlog!$M$2:$M$188,MATCH($D12,Backlog!$A$2:$A$188,0))="","",INDEX(Backlog!$M$2:$M$188,MATCH($D12,Backlog!$A$2:$A$188,0)))</f>
        <v/>
      </c>
      <c r="J12" s="38" t="str">
        <f>IF(INDEX(Backlog!$T$2:$T$188,MATCH($D12,Backlog!$A$2:$A$188,0))="","",INDEX(Backlog!$T$2:$T$188,MATCH($D12,Backlog!$A$2:$A$188,0)))</f>
        <v>CLOSED BASELINE — no new start gate and no re-execution implied. Preserve accepted closure and clean owned scope; reopen only on a concrete, separately recorded regression. Downstream consumes the frozen contract.</v>
      </c>
      <c r="K12" s="38" t="str">
        <f>IF(INDEX(Backlog!$U$2:$U$188,MATCH($D12,Backlog!$A$2:$A$188,0))="","",INDEX(Backlog!$U$2:$U$188,MATCH($D12,Backlog!$A$2:$A$188,0)))</f>
        <v>No active lock.</v>
      </c>
      <c r="L12" s="38" t="str">
        <f>IF(INDEX(Backlog!$V$2:$V$188,MATCH($D12,Backlog!$A$2:$A$188,0))="","",INDEX(Backlog!$V$2:$V$188,MATCH($D12,Backlog!$A$2:$A$188,0)))</f>
        <v>None — preserve evidence.</v>
      </c>
      <c r="M12" s="32" t="str">
        <f>IF(INDEX(Backlog!$AO$2:$AO$188,MATCH($D12,Backlog!$A$2:$A$188,0))="","",INDEX(Backlog!$AO$2:$AO$188,MATCH($D12,Backlog!$A$2:$A$188,0)))</f>
        <v>Recorded closed — inherited evidence</v>
      </c>
      <c r="N12" s="32" t="str">
        <f>IF(INDEX(Backlog!$AN$2:$AN$188,MATCH($D12,Backlog!$A$2:$A$188,0))="","",INDEX(Backlog!$AN$2:$AN$188,MATCH($D12,Backlog!$A$2:$A$188,0)))</f>
        <v/>
      </c>
    </row>
    <row r="13" spans="1:14" ht="26.1" customHeight="1">
      <c r="A13" s="38" t="str">
        <f>IF(INDEX(Backlog!$L$2:$L$188,MATCH($D13,Backlog!$A$2:$A$188,0))="","",INDEX(Backlog!$L$2:$L$188,MATCH($D13,Backlog!$A$2:$A$188,0)))</f>
        <v>CLOSED</v>
      </c>
      <c r="B13" s="38" t="str">
        <f>IF(INDEX(Backlog!$B$2:$B$188,MATCH($D13,Backlog!$A$2:$A$188,0))="","",INDEX(Backlog!$B$2:$B$188,MATCH($D13,Backlog!$A$2:$A$188,0)))</f>
        <v>M2</v>
      </c>
      <c r="C13" s="38" t="str">
        <f>IF(INDEX(Backlog!$C$2:$C$188,MATCH($D13,Backlog!$A$2:$A$188,0))="","",INDEX(Backlog!$C$2:$C$188,MATCH($D13,Backlog!$A$2:$A$188,0)))</f>
        <v>P4</v>
      </c>
      <c r="D13" s="38" t="s">
        <v>943</v>
      </c>
      <c r="E13" s="38" t="str">
        <f>IF(INDEX(Backlog!$D$2:$D$188,MATCH($D13,Backlog!$A$2:$A$188,0))="","",INDEX(Backlog!$D$2:$D$188,MATCH($D13,Backlog!$A$2:$A$188,0)))</f>
        <v>Production statistical-method kernel, including Numeric×Categorical</v>
      </c>
      <c r="F13" s="70" t="str">
        <f>IF(INDEX(Backlog!$K$2:$K$188,MATCH($D13,Backlog!$A$2:$A$188,0))="","",INDEX(Backlog!$K$2:$K$188,MATCH($D13,Backlog!$A$2:$A$188,0)))</f>
        <v>Done</v>
      </c>
      <c r="G13" s="38">
        <f>IF(ISNUMBER(INDEX(Backlog!$AS$2:$AS$188,MATCH($D13,Backlog!$A$2:$A$188,0))),INDEX(Backlog!$AS$2:$AS$188,MATCH($D13,Backlog!$A$2:$A$188,0)),"")</f>
        <v>10</v>
      </c>
      <c r="H13" s="38">
        <f>IF(ISNUMBER(INDEX(Backlog!$AT$2:$AT$188,MATCH($D13,Backlog!$A$2:$A$188,0))),INDEX(Backlog!$AT$2:$AT$188,MATCH($D13,Backlog!$A$2:$A$188,0)),"")</f>
        <v>0</v>
      </c>
      <c r="I13" s="38" t="str">
        <f>IF(INDEX(Backlog!$M$2:$M$188,MATCH($D13,Backlog!$A$2:$A$188,0))="","",INDEX(Backlog!$M$2:$M$188,MATCH($D13,Backlog!$A$2:$A$188,0)))</f>
        <v/>
      </c>
      <c r="J13" s="38" t="str">
        <f>IF(INDEX(Backlog!$T$2:$T$188,MATCH($D13,Backlog!$A$2:$A$188,0))="","",INDEX(Backlog!$T$2:$T$188,MATCH($D13,Backlog!$A$2:$A$188,0)))</f>
        <v>CLOSED BASELINE — no new start gate and no re-execution implied. Preserve accepted closure and clean owned scope; reopen only on a concrete, separately recorded regression. Downstream consumes the frozen contract.</v>
      </c>
      <c r="K13" s="38" t="str">
        <f>IF(INDEX(Backlog!$U$2:$U$188,MATCH($D13,Backlog!$A$2:$A$188,0))="","",INDEX(Backlog!$U$2:$U$188,MATCH($D13,Backlog!$A$2:$A$188,0)))</f>
        <v>No active lock.</v>
      </c>
      <c r="L13" s="38" t="str">
        <f>IF(INDEX(Backlog!$V$2:$V$188,MATCH($D13,Backlog!$A$2:$A$188,0))="","",INDEX(Backlog!$V$2:$V$188,MATCH($D13,Backlog!$A$2:$A$188,0)))</f>
        <v>None — preserve evidence.</v>
      </c>
      <c r="M13" s="32" t="str">
        <f>IF(INDEX(Backlog!$AO$2:$AO$188,MATCH($D13,Backlog!$A$2:$A$188,0))="","",INDEX(Backlog!$AO$2:$AO$188,MATCH($D13,Backlog!$A$2:$A$188,0)))</f>
        <v>Recorded closed — inherited evidence</v>
      </c>
      <c r="N13" s="32" t="str">
        <f>IF(INDEX(Backlog!$AN$2:$AN$188,MATCH($D13,Backlog!$A$2:$A$188,0))="","",INDEX(Backlog!$AN$2:$AN$188,MATCH($D13,Backlog!$A$2:$A$188,0)))</f>
        <v/>
      </c>
    </row>
    <row r="14" spans="1:14" ht="26.1" customHeight="1">
      <c r="A14" s="38" t="str">
        <f>IF(INDEX(Backlog!$L$2:$L$188,MATCH($D14,Backlog!$A$2:$A$188,0))="","",INDEX(Backlog!$L$2:$L$188,MATCH($D14,Backlog!$A$2:$A$188,0)))</f>
        <v>CLOSED</v>
      </c>
      <c r="B14" s="38" t="str">
        <f>IF(INDEX(Backlog!$B$2:$B$188,MATCH($D14,Backlog!$A$2:$A$188,0))="","",INDEX(Backlog!$B$2:$B$188,MATCH($D14,Backlog!$A$2:$A$188,0)))</f>
        <v>M2</v>
      </c>
      <c r="C14" s="38" t="str">
        <f>IF(INDEX(Backlog!$C$2:$C$188,MATCH($D14,Backlog!$A$2:$A$188,0))="","",INDEX(Backlog!$C$2:$C$188,MATCH($D14,Backlog!$A$2:$A$188,0)))</f>
        <v>P4</v>
      </c>
      <c r="D14" s="38" t="s">
        <v>951</v>
      </c>
      <c r="E14" s="38" t="str">
        <f>IF(INDEX(Backlog!$D$2:$D$188,MATCH($D14,Backlog!$A$2:$A$188,0))="","",INDEX(Backlog!$D$2:$D$188,MATCH($D14,Backlog!$A$2:$A$188,0)))</f>
        <v>Pure remediation eligibility and can_accept decision kernel</v>
      </c>
      <c r="F14" s="70" t="str">
        <f>IF(INDEX(Backlog!$K$2:$K$188,MATCH($D14,Backlog!$A$2:$A$188,0))="","",INDEX(Backlog!$K$2:$K$188,MATCH($D14,Backlog!$A$2:$A$188,0)))</f>
        <v>Done</v>
      </c>
      <c r="G14" s="38">
        <f>IF(ISNUMBER(INDEX(Backlog!$AS$2:$AS$188,MATCH($D14,Backlog!$A$2:$A$188,0))),INDEX(Backlog!$AS$2:$AS$188,MATCH($D14,Backlog!$A$2:$A$188,0)),"")</f>
        <v>8</v>
      </c>
      <c r="H14" s="38">
        <f>IF(ISNUMBER(INDEX(Backlog!$AT$2:$AT$188,MATCH($D14,Backlog!$A$2:$A$188,0))),INDEX(Backlog!$AT$2:$AT$188,MATCH($D14,Backlog!$A$2:$A$188,0)),"")</f>
        <v>0</v>
      </c>
      <c r="I14" s="38" t="str">
        <f>IF(INDEX(Backlog!$M$2:$M$188,MATCH($D14,Backlog!$A$2:$A$188,0))="","",INDEX(Backlog!$M$2:$M$188,MATCH($D14,Backlog!$A$2:$A$188,0)))</f>
        <v/>
      </c>
      <c r="J14" s="38" t="str">
        <f>IF(INDEX(Backlog!$T$2:$T$188,MATCH($D14,Backlog!$A$2:$A$188,0))="","",INDEX(Backlog!$T$2:$T$188,MATCH($D14,Backlog!$A$2:$A$188,0)))</f>
        <v>CLOSED BASELINE — no new start gate and no re-execution implied. Preserve accepted closure and clean owned scope; reopen only on a concrete, separately recorded regression. Downstream consumes the frozen contract.</v>
      </c>
      <c r="K14" s="38" t="str">
        <f>IF(INDEX(Backlog!$U$2:$U$188,MATCH($D14,Backlog!$A$2:$A$188,0))="","",INDEX(Backlog!$U$2:$U$188,MATCH($D14,Backlog!$A$2:$A$188,0)))</f>
        <v>No active lock.</v>
      </c>
      <c r="L14" s="38" t="str">
        <f>IF(INDEX(Backlog!$V$2:$V$188,MATCH($D14,Backlog!$A$2:$A$188,0))="","",INDEX(Backlog!$V$2:$V$188,MATCH($D14,Backlog!$A$2:$A$188,0)))</f>
        <v>None — preserve evidence.</v>
      </c>
      <c r="M14" s="32" t="str">
        <f>IF(INDEX(Backlog!$AO$2:$AO$188,MATCH($D14,Backlog!$A$2:$A$188,0))="","",INDEX(Backlog!$AO$2:$AO$188,MATCH($D14,Backlog!$A$2:$A$188,0)))</f>
        <v>Recorded closed — inherited evidence</v>
      </c>
      <c r="N14" s="32" t="str">
        <f>IF(INDEX(Backlog!$AN$2:$AN$188,MATCH($D14,Backlog!$A$2:$A$188,0))="","",INDEX(Backlog!$AN$2:$AN$188,MATCH($D14,Backlog!$A$2:$A$188,0)))</f>
        <v/>
      </c>
    </row>
    <row r="15" spans="1:14" ht="26.1" customHeight="1">
      <c r="A15" s="38" t="str">
        <f>IF(INDEX(Backlog!$L$2:$L$188,MATCH($D15,Backlog!$A$2:$A$188,0))="","",INDEX(Backlog!$L$2:$L$188,MATCH($D15,Backlog!$A$2:$A$188,0)))</f>
        <v>CLOSED</v>
      </c>
      <c r="B15" s="38" t="str">
        <f>IF(INDEX(Backlog!$B$2:$B$188,MATCH($D15,Backlog!$A$2:$A$188,0))="","",INDEX(Backlog!$B$2:$B$188,MATCH($D15,Backlog!$A$2:$A$188,0)))</f>
        <v>M2</v>
      </c>
      <c r="C15" s="38" t="str">
        <f>IF(INDEX(Backlog!$C$2:$C$188,MATCH($D15,Backlog!$A$2:$A$188,0))="","",INDEX(Backlog!$C$2:$C$188,MATCH($D15,Backlog!$A$2:$A$188,0)))</f>
        <v>P4</v>
      </c>
      <c r="D15" s="38" t="s">
        <v>960</v>
      </c>
      <c r="E15" s="38" t="str">
        <f>IF(INDEX(Backlog!$D$2:$D$188,MATCH($D15,Backlog!$A$2:$A$188,0))="","",INDEX(Backlog!$D$2:$D$188,MATCH($D15,Backlog!$A$2:$A$188,0)))</f>
        <v>Deterministic Assistant tool planner</v>
      </c>
      <c r="F15" s="70" t="str">
        <f>IF(INDEX(Backlog!$K$2:$K$188,MATCH($D15,Backlog!$A$2:$A$188,0))="","",INDEX(Backlog!$K$2:$K$188,MATCH($D15,Backlog!$A$2:$A$188,0)))</f>
        <v>Done</v>
      </c>
      <c r="G15" s="38">
        <f>IF(ISNUMBER(INDEX(Backlog!$AS$2:$AS$188,MATCH($D15,Backlog!$A$2:$A$188,0))),INDEX(Backlog!$AS$2:$AS$188,MATCH($D15,Backlog!$A$2:$A$188,0)),"")</f>
        <v>10</v>
      </c>
      <c r="H15" s="38">
        <f>IF(ISNUMBER(INDEX(Backlog!$AT$2:$AT$188,MATCH($D15,Backlog!$A$2:$A$188,0))),INDEX(Backlog!$AT$2:$AT$188,MATCH($D15,Backlog!$A$2:$A$188,0)),"")</f>
        <v>0</v>
      </c>
      <c r="I15" s="38" t="str">
        <f>IF(INDEX(Backlog!$M$2:$M$188,MATCH($D15,Backlog!$A$2:$A$188,0))="","",INDEX(Backlog!$M$2:$M$188,MATCH($D15,Backlog!$A$2:$A$188,0)))</f>
        <v/>
      </c>
      <c r="J15" s="38" t="str">
        <f>IF(INDEX(Backlog!$T$2:$T$188,MATCH($D15,Backlog!$A$2:$A$188,0))="","",INDEX(Backlog!$T$2:$T$188,MATCH($D15,Backlog!$A$2:$A$188,0)))</f>
        <v>CLOSED BASELINE — no new start gate and no re-execution implied. Preserve accepted closure and clean owned scope; reopen only on a concrete, separately recorded regression. Downstream consumes the frozen contract.</v>
      </c>
      <c r="K15" s="38" t="str">
        <f>IF(INDEX(Backlog!$U$2:$U$188,MATCH($D15,Backlog!$A$2:$A$188,0))="","",INDEX(Backlog!$U$2:$U$188,MATCH($D15,Backlog!$A$2:$A$188,0)))</f>
        <v>No active lock.</v>
      </c>
      <c r="L15" s="38" t="str">
        <f>IF(INDEX(Backlog!$V$2:$V$188,MATCH($D15,Backlog!$A$2:$A$188,0))="","",INDEX(Backlog!$V$2:$V$188,MATCH($D15,Backlog!$A$2:$A$188,0)))</f>
        <v>None — preserve evidence.</v>
      </c>
      <c r="M15" s="32" t="str">
        <f>IF(INDEX(Backlog!$AO$2:$AO$188,MATCH($D15,Backlog!$A$2:$A$188,0))="","",INDEX(Backlog!$AO$2:$AO$188,MATCH($D15,Backlog!$A$2:$A$188,0)))</f>
        <v>Recorded closed — inherited evidence</v>
      </c>
      <c r="N15" s="32" t="str">
        <f>IF(INDEX(Backlog!$AN$2:$AN$188,MATCH($D15,Backlog!$A$2:$A$188,0))="","",INDEX(Backlog!$AN$2:$AN$188,MATCH($D15,Backlog!$A$2:$A$188,0)))</f>
        <v/>
      </c>
    </row>
    <row r="16" spans="1:14" ht="26.1" customHeight="1">
      <c r="A16" s="38" t="str">
        <f>IF(INDEX(Backlog!$L$2:$L$188,MATCH($D16,Backlog!$A$2:$A$188,0))="","",INDEX(Backlog!$L$2:$L$188,MATCH($D16,Backlog!$A$2:$A$188,0)))</f>
        <v>CLOSED</v>
      </c>
      <c r="B16" s="38" t="str">
        <f>IF(INDEX(Backlog!$B$2:$B$188,MATCH($D16,Backlog!$A$2:$A$188,0))="","",INDEX(Backlog!$B$2:$B$188,MATCH($D16,Backlog!$A$2:$A$188,0)))</f>
        <v>M2</v>
      </c>
      <c r="C16" s="38" t="str">
        <f>IF(INDEX(Backlog!$C$2:$C$188,MATCH($D16,Backlog!$A$2:$A$188,0))="","",INDEX(Backlog!$C$2:$C$188,MATCH($D16,Backlog!$A$2:$A$188,0)))</f>
        <v>P4</v>
      </c>
      <c r="D16" s="38" t="s">
        <v>969</v>
      </c>
      <c r="E16" s="38" t="str">
        <f>IF(INDEX(Backlog!$D$2:$D$188,MATCH($D16,Backlog!$A$2:$A$188,0))="","",INDEX(Backlog!$D$2:$D$188,MATCH($D16,Backlog!$A$2:$A$188,0)))</f>
        <v>Permission-first hybrid retrieval and evidence packer</v>
      </c>
      <c r="F16" s="70" t="str">
        <f>IF(INDEX(Backlog!$K$2:$K$188,MATCH($D16,Backlog!$A$2:$A$188,0))="","",INDEX(Backlog!$K$2:$K$188,MATCH($D16,Backlog!$A$2:$A$188,0)))</f>
        <v>Done</v>
      </c>
      <c r="G16" s="38">
        <f>IF(ISNUMBER(INDEX(Backlog!$AS$2:$AS$188,MATCH($D16,Backlog!$A$2:$A$188,0))),INDEX(Backlog!$AS$2:$AS$188,MATCH($D16,Backlog!$A$2:$A$188,0)),"")</f>
        <v>12</v>
      </c>
      <c r="H16" s="38">
        <f>IF(ISNUMBER(INDEX(Backlog!$AT$2:$AT$188,MATCH($D16,Backlog!$A$2:$A$188,0))),INDEX(Backlog!$AT$2:$AT$188,MATCH($D16,Backlog!$A$2:$A$188,0)),"")</f>
        <v>0</v>
      </c>
      <c r="I16" s="38" t="str">
        <f>IF(INDEX(Backlog!$M$2:$M$188,MATCH($D16,Backlog!$A$2:$A$188,0))="","",INDEX(Backlog!$M$2:$M$188,MATCH($D16,Backlog!$A$2:$A$188,0)))</f>
        <v/>
      </c>
      <c r="J16" s="38" t="str">
        <f>IF(INDEX(Backlog!$T$2:$T$188,MATCH($D16,Backlog!$A$2:$A$188,0))="","",INDEX(Backlog!$T$2:$T$188,MATCH($D16,Backlog!$A$2:$A$188,0)))</f>
        <v>CLOSED BASELINE — no new start gate and no re-execution implied. Preserve accepted closure and clean owned scope; reopen only on a concrete, separately recorded regression. Downstream consumes the frozen contract.</v>
      </c>
      <c r="K16" s="38" t="str">
        <f>IF(INDEX(Backlog!$U$2:$U$188,MATCH($D16,Backlog!$A$2:$A$188,0))="","",INDEX(Backlog!$U$2:$U$188,MATCH($D16,Backlog!$A$2:$A$188,0)))</f>
        <v>No active lock.</v>
      </c>
      <c r="L16" s="38" t="str">
        <f>IF(INDEX(Backlog!$V$2:$V$188,MATCH($D16,Backlog!$A$2:$A$188,0))="","",INDEX(Backlog!$V$2:$V$188,MATCH($D16,Backlog!$A$2:$A$188,0)))</f>
        <v>None — preserve evidence.</v>
      </c>
      <c r="M16" s="32" t="str">
        <f>IF(INDEX(Backlog!$AO$2:$AO$188,MATCH($D16,Backlog!$A$2:$A$188,0))="","",INDEX(Backlog!$AO$2:$AO$188,MATCH($D16,Backlog!$A$2:$A$188,0)))</f>
        <v>Recorded closed — inherited evidence</v>
      </c>
      <c r="N16" s="32" t="str">
        <f>IF(INDEX(Backlog!$AN$2:$AN$188,MATCH($D16,Backlog!$A$2:$A$188,0))="","",INDEX(Backlog!$AN$2:$AN$188,MATCH($D16,Backlog!$A$2:$A$188,0)))</f>
        <v/>
      </c>
    </row>
    <row r="17" spans="1:14" ht="26.1" customHeight="1">
      <c r="A17" s="38" t="str">
        <f>IF(INDEX(Backlog!$L$2:$L$188,MATCH($D17,Backlog!$A$2:$A$188,0))="","",INDEX(Backlog!$L$2:$L$188,MATCH($D17,Backlog!$A$2:$A$188,0)))</f>
        <v>CLOSED</v>
      </c>
      <c r="B17" s="38" t="str">
        <f>IF(INDEX(Backlog!$B$2:$B$188,MATCH($D17,Backlog!$A$2:$A$188,0))="","",INDEX(Backlog!$B$2:$B$188,MATCH($D17,Backlog!$A$2:$A$188,0)))</f>
        <v>M2</v>
      </c>
      <c r="C17" s="38" t="str">
        <f>IF(INDEX(Backlog!$C$2:$C$188,MATCH($D17,Backlog!$A$2:$A$188,0))="","",INDEX(Backlog!$C$2:$C$188,MATCH($D17,Backlog!$A$2:$A$188,0)))</f>
        <v>P4</v>
      </c>
      <c r="D17" s="38" t="s">
        <v>975</v>
      </c>
      <c r="E17" s="38" t="str">
        <f>IF(INDEX(Backlog!$D$2:$D$188,MATCH($D17,Backlog!$A$2:$A$188,0))="","",INDEX(Backlog!$D$2:$D$188,MATCH($D17,Backlog!$A$2:$A$188,0)))</f>
        <v>Deterministic answer verifier and Q-01..Q-11 evaluation harness</v>
      </c>
      <c r="F17" s="70" t="str">
        <f>IF(INDEX(Backlog!$K$2:$K$188,MATCH($D17,Backlog!$A$2:$A$188,0))="","",INDEX(Backlog!$K$2:$K$188,MATCH($D17,Backlog!$A$2:$A$188,0)))</f>
        <v>Done</v>
      </c>
      <c r="G17" s="38">
        <f>IF(ISNUMBER(INDEX(Backlog!$AS$2:$AS$188,MATCH($D17,Backlog!$A$2:$A$188,0))),INDEX(Backlog!$AS$2:$AS$188,MATCH($D17,Backlog!$A$2:$A$188,0)),"")</f>
        <v>12</v>
      </c>
      <c r="H17" s="38">
        <f>IF(ISNUMBER(INDEX(Backlog!$AT$2:$AT$188,MATCH($D17,Backlog!$A$2:$A$188,0))),INDEX(Backlog!$AT$2:$AT$188,MATCH($D17,Backlog!$A$2:$A$188,0)),"")</f>
        <v>0</v>
      </c>
      <c r="I17" s="38" t="str">
        <f>IF(INDEX(Backlog!$M$2:$M$188,MATCH($D17,Backlog!$A$2:$A$188,0))="","",INDEX(Backlog!$M$2:$M$188,MATCH($D17,Backlog!$A$2:$A$188,0)))</f>
        <v/>
      </c>
      <c r="J17" s="38" t="str">
        <f>IF(INDEX(Backlog!$T$2:$T$188,MATCH($D17,Backlog!$A$2:$A$188,0))="","",INDEX(Backlog!$T$2:$T$188,MATCH($D17,Backlog!$A$2:$A$188,0)))</f>
        <v>CLOSED BASELINE — no new start gate and no re-execution implied. Preserve accepted closure and clean owned scope; reopen only on a concrete, separately recorded regression. Downstream consumes the frozen contract.</v>
      </c>
      <c r="K17" s="38" t="str">
        <f>IF(INDEX(Backlog!$U$2:$U$188,MATCH($D17,Backlog!$A$2:$A$188,0))="","",INDEX(Backlog!$U$2:$U$188,MATCH($D17,Backlog!$A$2:$A$188,0)))</f>
        <v>No active lock.</v>
      </c>
      <c r="L17" s="38" t="str">
        <f>IF(INDEX(Backlog!$V$2:$V$188,MATCH($D17,Backlog!$A$2:$A$188,0))="","",INDEX(Backlog!$V$2:$V$188,MATCH($D17,Backlog!$A$2:$A$188,0)))</f>
        <v>None — preserve evidence.</v>
      </c>
      <c r="M17" s="32" t="str">
        <f>IF(INDEX(Backlog!$AO$2:$AO$188,MATCH($D17,Backlog!$A$2:$A$188,0))="","",INDEX(Backlog!$AO$2:$AO$188,MATCH($D17,Backlog!$A$2:$A$188,0)))</f>
        <v>Recorded closed — inherited evidence</v>
      </c>
      <c r="N17" s="32" t="str">
        <f>IF(INDEX(Backlog!$AN$2:$AN$188,MATCH($D17,Backlog!$A$2:$A$188,0))="","",INDEX(Backlog!$AN$2:$AN$188,MATCH($D17,Backlog!$A$2:$A$188,0)))</f>
        <v/>
      </c>
    </row>
    <row r="18" spans="1:14" ht="26.1" customHeight="1">
      <c r="A18" s="38" t="str">
        <f>IF(INDEX(Backlog!$L$2:$L$188,MATCH($D18,Backlog!$A$2:$A$188,0))="","",INDEX(Backlog!$L$2:$L$188,MATCH($D18,Backlog!$A$2:$A$188,0)))</f>
        <v>CLOSED</v>
      </c>
      <c r="B18" s="38" t="str">
        <f>IF(INDEX(Backlog!$B$2:$B$188,MATCH($D18,Backlog!$A$2:$A$188,0))="","",INDEX(Backlog!$B$2:$B$188,MATCH($D18,Backlog!$A$2:$A$188,0)))</f>
        <v>M2</v>
      </c>
      <c r="C18" s="38" t="str">
        <f>IF(INDEX(Backlog!$C$2:$C$188,MATCH($D18,Backlog!$A$2:$A$188,0))="","",INDEX(Backlog!$C$2:$C$188,MATCH($D18,Backlog!$A$2:$A$188,0)))</f>
        <v>P4</v>
      </c>
      <c r="D18" s="38" t="s">
        <v>982</v>
      </c>
      <c r="E18" s="38" t="str">
        <f>IF(INDEX(Backlog!$D$2:$D$188,MATCH($D18,Backlog!$A$2:$A$188,0))="","",INDEX(Backlog!$D$2:$D$188,MATCH($D18,Backlog!$A$2:$A$188,0)))</f>
        <v>Benchmark harness and result manifest for B-01..B-09</v>
      </c>
      <c r="F18" s="70" t="str">
        <f>IF(INDEX(Backlog!$K$2:$K$188,MATCH($D18,Backlog!$A$2:$A$188,0))="","",INDEX(Backlog!$K$2:$K$188,MATCH($D18,Backlog!$A$2:$A$188,0)))</f>
        <v>Done</v>
      </c>
      <c r="G18" s="38">
        <f>IF(ISNUMBER(INDEX(Backlog!$AS$2:$AS$188,MATCH($D18,Backlog!$A$2:$A$188,0))),INDEX(Backlog!$AS$2:$AS$188,MATCH($D18,Backlog!$A$2:$A$188,0)),"")</f>
        <v>10</v>
      </c>
      <c r="H18" s="38">
        <f>IF(ISNUMBER(INDEX(Backlog!$AT$2:$AT$188,MATCH($D18,Backlog!$A$2:$A$188,0))),INDEX(Backlog!$AT$2:$AT$188,MATCH($D18,Backlog!$A$2:$A$188,0)),"")</f>
        <v>0</v>
      </c>
      <c r="I18" s="38" t="str">
        <f>IF(INDEX(Backlog!$M$2:$M$188,MATCH($D18,Backlog!$A$2:$A$188,0))="","",INDEX(Backlog!$M$2:$M$188,MATCH($D18,Backlog!$A$2:$A$188,0)))</f>
        <v/>
      </c>
      <c r="J18" s="38" t="str">
        <f>IF(INDEX(Backlog!$T$2:$T$188,MATCH($D18,Backlog!$A$2:$A$188,0))="","",INDEX(Backlog!$T$2:$T$188,MATCH($D18,Backlog!$A$2:$A$188,0)))</f>
        <v>CLOSED BASELINE — no new start gate and no re-execution implied. Preserve accepted closure and clean owned scope; reopen only on a concrete, separately recorded regression. Downstream consumes the frozen contract.</v>
      </c>
      <c r="K18" s="38" t="str">
        <f>IF(INDEX(Backlog!$U$2:$U$188,MATCH($D18,Backlog!$A$2:$A$188,0))="","",INDEX(Backlog!$U$2:$U$188,MATCH($D18,Backlog!$A$2:$A$188,0)))</f>
        <v>No active lock.</v>
      </c>
      <c r="L18" s="38" t="str">
        <f>IF(INDEX(Backlog!$V$2:$V$188,MATCH($D18,Backlog!$A$2:$A$188,0))="","",INDEX(Backlog!$V$2:$V$188,MATCH($D18,Backlog!$A$2:$A$188,0)))</f>
        <v>None — preserve evidence.</v>
      </c>
      <c r="M18" s="32" t="str">
        <f>IF(INDEX(Backlog!$AO$2:$AO$188,MATCH($D18,Backlog!$A$2:$A$188,0))="","",INDEX(Backlog!$AO$2:$AO$188,MATCH($D18,Backlog!$A$2:$A$188,0)))</f>
        <v>Recorded closed — inherited evidence</v>
      </c>
      <c r="N18" s="32" t="str">
        <f>IF(INDEX(Backlog!$AN$2:$AN$188,MATCH($D18,Backlog!$A$2:$A$188,0))="","",INDEX(Backlog!$AN$2:$AN$188,MATCH($D18,Backlog!$A$2:$A$188,0)))</f>
        <v/>
      </c>
    </row>
    <row r="19" spans="1:14" ht="26.1" customHeight="1">
      <c r="A19" s="38" t="str">
        <f>IF(INDEX(Backlog!$L$2:$L$188,MATCH($D19,Backlog!$A$2:$A$188,0))="","",INDEX(Backlog!$L$2:$L$188,MATCH($D19,Backlog!$A$2:$A$188,0)))</f>
        <v>Worker 1</v>
      </c>
      <c r="B19" s="38" t="str">
        <f>IF(INDEX(Backlog!$B$2:$B$188,MATCH($D19,Backlog!$A$2:$A$188,0))="","",INDEX(Backlog!$B$2:$B$188,MATCH($D19,Backlog!$A$2:$A$188,0)))</f>
        <v>M2</v>
      </c>
      <c r="C19" s="38" t="str">
        <f>IF(INDEX(Backlog!$C$2:$C$188,MATCH($D19,Backlog!$A$2:$A$188,0))="","",INDEX(Backlog!$C$2:$C$188,MATCH($D19,Backlog!$A$2:$A$188,0)))</f>
        <v>P1</v>
      </c>
      <c r="D19" s="38" t="s">
        <v>107</v>
      </c>
      <c r="E19" s="38" t="str">
        <f>IF(INDEX(Backlog!$D$2:$D$188,MATCH($D19,Backlog!$A$2:$A$188,0))="","",INDEX(Backlog!$D$2:$D$188,MATCH($D19,Backlog!$A$2:$A$188,0)))</f>
        <v>Freeze the legacy Fleet v2 controlled regression oracle</v>
      </c>
      <c r="F19" s="70" t="str">
        <f>IF(INDEX(Backlog!$K$2:$K$188,MATCH($D19,Backlog!$A$2:$A$188,0))="","",INDEX(Backlog!$K$2:$K$188,MATCH($D19,Backlog!$A$2:$A$188,0)))</f>
        <v>Done</v>
      </c>
      <c r="G19" s="38">
        <f>IF(ISNUMBER(INDEX(Backlog!$AS$2:$AS$188,MATCH($D19,Backlog!$A$2:$A$188,0))),INDEX(Backlog!$AS$2:$AS$188,MATCH($D19,Backlog!$A$2:$A$188,0)),"")</f>
        <v>8</v>
      </c>
      <c r="H19" s="38">
        <f>IF(ISNUMBER(INDEX(Backlog!$AT$2:$AT$188,MATCH($D19,Backlog!$A$2:$A$188,0))),INDEX(Backlog!$AT$2:$AT$188,MATCH($D19,Backlog!$A$2:$A$188,0)),"")</f>
        <v>2.72</v>
      </c>
      <c r="I19" s="38" t="str">
        <f>IF(INDEX(Backlog!$M$2:$M$188,MATCH($D19,Backlog!$A$2:$A$188,0))="","",INDEX(Backlog!$M$2:$M$188,MATCH($D19,Backlog!$A$2:$A$188,0)))</f>
        <v>T-201</v>
      </c>
      <c r="J19" s="38" t="str">
        <f>IF(INDEX(Backlog!$T$2:$T$188,MATCH($D19,Backlog!$A$2:$A$188,0))="","",INDEX(Backlog!$T$2:$T$188,MATCH($D19,Backlog!$A$2:$A$188,0)))</f>
        <v>CLOSED BASELINE — no new start gate and no re-execution implied. Preserve accepted closure and clean owned scope; reopen only on a concrete, separately recorded regression. Downstream consumes the frozen contract.</v>
      </c>
      <c r="K19" s="38" t="str">
        <f>IF(INDEX(Backlog!$U$2:$U$188,MATCH($D19,Backlog!$A$2:$A$188,0))="","",INDEX(Backlog!$U$2:$U$188,MATCH($D19,Backlog!$A$2:$A$188,0)))</f>
        <v>Own canonical DB/backend/security/API/infra. No W2-owned UI/admin task files and no W3 ML/Assistant runtime.</v>
      </c>
      <c r="L19" s="38" t="str">
        <f>IF(INDEX(Backlog!$V$2:$V$188,MATCH($D19,Backlog!$A$2:$A$188,0))="","",INDEX(Backlog!$V$2:$V$188,MATCH($D19,Backlog!$A$2:$A$188,0)))</f>
        <v>Commit before downstream consumer starts; consumer must use the contract, not redesign producer-owned semantics.</v>
      </c>
      <c r="M19" s="32" t="str">
        <f>IF(INDEX(Backlog!$AO$2:$AO$188,MATCH($D19,Backlog!$A$2:$A$188,0))="","",INDEX(Backlog!$AO$2:$AO$188,MATCH($D19,Backlog!$A$2:$A$188,0)))</f>
        <v>Recorded closed — inherited evidence</v>
      </c>
      <c r="N19" s="32" t="str">
        <f>IF(INDEX(Backlog!$AN$2:$AN$188,MATCH($D19,Backlog!$A$2:$A$188,0))="","",INDEX(Backlog!$AN$2:$AN$188,MATCH($D19,Backlog!$A$2:$A$188,0)))</f>
        <v/>
      </c>
    </row>
    <row r="20" spans="1:14" ht="26.1" customHeight="1">
      <c r="A20" s="38" t="str">
        <f>IF(INDEX(Backlog!$L$2:$L$188,MATCH($D20,Backlog!$A$2:$A$188,0))="","",INDEX(Backlog!$L$2:$L$188,MATCH($D20,Backlog!$A$2:$A$188,0)))</f>
        <v>Worker 1</v>
      </c>
      <c r="B20" s="38" t="str">
        <f>IF(INDEX(Backlog!$B$2:$B$188,MATCH($D20,Backlog!$A$2:$A$188,0))="","",INDEX(Backlog!$B$2:$B$188,MATCH($D20,Backlog!$A$2:$A$188,0)))</f>
        <v>M2</v>
      </c>
      <c r="C20" s="38" t="str">
        <f>IF(INDEX(Backlog!$C$2:$C$188,MATCH($D20,Backlog!$A$2:$A$188,0))="","",INDEX(Backlog!$C$2:$C$188,MATCH($D20,Backlog!$A$2:$A$188,0)))</f>
        <v>P1</v>
      </c>
      <c r="D20" s="38" t="s">
        <v>143</v>
      </c>
      <c r="E20" s="38" t="str">
        <f>IF(INDEX(Backlog!$D$2:$D$188,MATCH($D20,Backlog!$A$2:$A$188,0))="","",INDEX(Backlog!$D$2:$D$188,MATCH($D20,Backlog!$A$2:$A$188,0)))</f>
        <v>Physical three-schema migration</v>
      </c>
      <c r="F20" s="70" t="str">
        <f>IF(INDEX(Backlog!$K$2:$K$188,MATCH($D20,Backlog!$A$2:$A$188,0))="","",INDEX(Backlog!$K$2:$K$188,MATCH($D20,Backlog!$A$2:$A$188,0)))</f>
        <v>Done</v>
      </c>
      <c r="G20" s="38">
        <f>IF(ISNUMBER(INDEX(Backlog!$AS$2:$AS$188,MATCH($D20,Backlog!$A$2:$A$188,0))),INDEX(Backlog!$AS$2:$AS$188,MATCH($D20,Backlog!$A$2:$A$188,0)),"")</f>
        <v>12</v>
      </c>
      <c r="H20" s="38">
        <f>IF(ISNUMBER(INDEX(Backlog!$AT$2:$AT$188,MATCH($D20,Backlog!$A$2:$A$188,0))),INDEX(Backlog!$AT$2:$AT$188,MATCH($D20,Backlog!$A$2:$A$188,0)),"")</f>
        <v>2.3250000000000002</v>
      </c>
      <c r="I20" s="38" t="str">
        <f>IF(INDEX(Backlog!$M$2:$M$188,MATCH($D20,Backlog!$A$2:$A$188,0))="","",INDEX(Backlog!$M$2:$M$188,MATCH($D20,Backlog!$A$2:$A$188,0)))</f>
        <v>T-086; T-088</v>
      </c>
      <c r="J20" s="38" t="str">
        <f>IF(INDEX(Backlog!$T$2:$T$188,MATCH($D20,Backlog!$A$2:$A$188,0))="","",INDEX(Backlog!$T$2:$T$188,MATCH($D20,Backlog!$A$2:$A$188,0)))</f>
        <v>CLOSED BASELINE — no new start gate and no re-execution implied. Preserve accepted closure and clean owned scope; reopen only on a concrete, separately recorded regression. Downstream consumes the frozen contract.</v>
      </c>
      <c r="K20" s="38" t="str">
        <f>IF(INDEX(Backlog!$U$2:$U$188,MATCH($D20,Backlog!$A$2:$A$188,0))="","",INDEX(Backlog!$U$2:$U$188,MATCH($D20,Backlog!$A$2:$A$188,0)))</f>
        <v>Own canonical DB/backend/security/API/infra. No W2-owned UI/admin task files and no W3 ML/Assistant runtime.</v>
      </c>
      <c r="L20" s="38" t="str">
        <f>IF(INDEX(Backlog!$V$2:$V$188,MATCH($D20,Backlog!$A$2:$A$188,0))="","",INDEX(Backlog!$V$2:$V$188,MATCH($D20,Backlog!$A$2:$A$188,0)))</f>
        <v>Commit before downstream consumer starts; consumer must use the contract, not redesign producer-owned semantics.</v>
      </c>
      <c r="M20" s="32" t="str">
        <f>IF(INDEX(Backlog!$AO$2:$AO$188,MATCH($D20,Backlog!$A$2:$A$188,0))="","",INDEX(Backlog!$AO$2:$AO$188,MATCH($D20,Backlog!$A$2:$A$188,0)))</f>
        <v>Recorded closed — inherited evidence</v>
      </c>
      <c r="N20" s="32" t="str">
        <f>IF(INDEX(Backlog!$AN$2:$AN$188,MATCH($D20,Backlog!$A$2:$A$188,0))="","",INDEX(Backlog!$AN$2:$AN$188,MATCH($D20,Backlog!$A$2:$A$188,0)))</f>
        <v/>
      </c>
    </row>
    <row r="21" spans="1:14" ht="26.1" customHeight="1">
      <c r="A21" s="38" t="str">
        <f>IF(INDEX(Backlog!$L$2:$L$188,MATCH($D21,Backlog!$A$2:$A$188,0))="","",INDEX(Backlog!$L$2:$L$188,MATCH($D21,Backlog!$A$2:$A$188,0)))</f>
        <v>Worker 1</v>
      </c>
      <c r="B21" s="38" t="str">
        <f>IF(INDEX(Backlog!$B$2:$B$188,MATCH($D21,Backlog!$A$2:$A$188,0))="","",INDEX(Backlog!$B$2:$B$188,MATCH($D21,Backlog!$A$2:$A$188,0)))</f>
        <v>M2</v>
      </c>
      <c r="C21" s="38" t="str">
        <f>IF(INDEX(Backlog!$C$2:$C$188,MATCH($D21,Backlog!$A$2:$A$188,0))="","",INDEX(Backlog!$C$2:$C$188,MATCH($D21,Backlog!$A$2:$A$188,0)))</f>
        <v>P1</v>
      </c>
      <c r="D21" s="38" t="s">
        <v>158</v>
      </c>
      <c r="E21" s="38" t="str">
        <f>IF(INDEX(Backlog!$D$2:$D$188,MATCH($D21,Backlog!$A$2:$A$188,0))="","",INDEX(Backlog!$D$2:$D$188,MATCH($D21,Backlog!$A$2:$A$188,0)))</f>
        <v>Canonical migration order and legacy script archival</v>
      </c>
      <c r="F21" s="70" t="str">
        <f>IF(INDEX(Backlog!$K$2:$K$188,MATCH($D21,Backlog!$A$2:$A$188,0))="","",INDEX(Backlog!$K$2:$K$188,MATCH($D21,Backlog!$A$2:$A$188,0)))</f>
        <v>Done</v>
      </c>
      <c r="G21" s="38">
        <f>IF(ISNUMBER(INDEX(Backlog!$AS$2:$AS$188,MATCH($D21,Backlog!$A$2:$A$188,0))),INDEX(Backlog!$AS$2:$AS$188,MATCH($D21,Backlog!$A$2:$A$188,0)),"")</f>
        <v>12</v>
      </c>
      <c r="H21" s="38">
        <f>IF(ISNUMBER(INDEX(Backlog!$AT$2:$AT$188,MATCH($D21,Backlog!$A$2:$A$188,0))),INDEX(Backlog!$AT$2:$AT$188,MATCH($D21,Backlog!$A$2:$A$188,0)),"")</f>
        <v>2.3250000000000002</v>
      </c>
      <c r="I21" s="38" t="str">
        <f>IF(INDEX(Backlog!$M$2:$M$188,MATCH($D21,Backlog!$A$2:$A$188,0))="","",INDEX(Backlog!$M$2:$M$188,MATCH($D21,Backlog!$A$2:$A$188,0)))</f>
        <v>T-086</v>
      </c>
      <c r="J21" s="38" t="str">
        <f>IF(INDEX(Backlog!$T$2:$T$188,MATCH($D21,Backlog!$A$2:$A$188,0))="","",INDEX(Backlog!$T$2:$T$188,MATCH($D21,Backlog!$A$2:$A$188,0)))</f>
        <v>CLOSED BASELINE — no new start gate and no re-execution implied. Preserve accepted closure and clean owned scope; reopen only on a concrete, separately recorded regression. Downstream consumes the frozen contract.</v>
      </c>
      <c r="K21" s="38" t="str">
        <f>IF(INDEX(Backlog!$U$2:$U$188,MATCH($D21,Backlog!$A$2:$A$188,0))="","",INDEX(Backlog!$U$2:$U$188,MATCH($D21,Backlog!$A$2:$A$188,0)))</f>
        <v>Own canonical DB/backend/security/API/infra. No W2-owned UI/admin task files and no W3 ML/Assistant runtime.</v>
      </c>
      <c r="L21" s="38" t="str">
        <f>IF(INDEX(Backlog!$V$2:$V$188,MATCH($D21,Backlog!$A$2:$A$188,0))="","",INDEX(Backlog!$V$2:$V$188,MATCH($D21,Backlog!$A$2:$A$188,0)))</f>
        <v>Commit before downstream consumer starts; consumer must use the contract, not redesign producer-owned semantics.</v>
      </c>
      <c r="M21" s="32" t="str">
        <f>IF(INDEX(Backlog!$AO$2:$AO$188,MATCH($D21,Backlog!$A$2:$A$188,0))="","",INDEX(Backlog!$AO$2:$AO$188,MATCH($D21,Backlog!$A$2:$A$188,0)))</f>
        <v>Recorded closed — inherited evidence</v>
      </c>
      <c r="N21" s="32" t="str">
        <f>IF(INDEX(Backlog!$AN$2:$AN$188,MATCH($D21,Backlog!$A$2:$A$188,0))="","",INDEX(Backlog!$AN$2:$AN$188,MATCH($D21,Backlog!$A$2:$A$188,0)))</f>
        <v/>
      </c>
    </row>
    <row r="22" spans="1:14" ht="26.1" customHeight="1">
      <c r="A22" s="38" t="str">
        <f>IF(INDEX(Backlog!$L$2:$L$188,MATCH($D22,Backlog!$A$2:$A$188,0))="","",INDEX(Backlog!$L$2:$L$188,MATCH($D22,Backlog!$A$2:$A$188,0)))</f>
        <v>Worker 1</v>
      </c>
      <c r="B22" s="38" t="str">
        <f>IF(INDEX(Backlog!$B$2:$B$188,MATCH($D22,Backlog!$A$2:$A$188,0))="","",INDEX(Backlog!$B$2:$B$188,MATCH($D22,Backlog!$A$2:$A$188,0)))</f>
        <v>M2</v>
      </c>
      <c r="C22" s="38" t="str">
        <f>IF(INDEX(Backlog!$C$2:$C$188,MATCH($D22,Backlog!$A$2:$A$188,0))="","",INDEX(Backlog!$C$2:$C$188,MATCH($D22,Backlog!$A$2:$A$188,0)))</f>
        <v>P1</v>
      </c>
      <c r="D22" s="38" t="s">
        <v>168</v>
      </c>
      <c r="E22" s="38" t="str">
        <f>IF(INDEX(Backlog!$D$2:$D$188,MATCH($D22,Backlog!$A$2:$A$188,0))="","",INDEX(Backlog!$D$2:$D$188,MATCH($D22,Backlog!$A$2:$A$188,0)))</f>
        <v>definition_store, definition_versions and definition_dependencies</v>
      </c>
      <c r="F22" s="70" t="str">
        <f>IF(INDEX(Backlog!$K$2:$K$188,MATCH($D22,Backlog!$A$2:$A$188,0))="","",INDEX(Backlog!$K$2:$K$188,MATCH($D22,Backlog!$A$2:$A$188,0)))</f>
        <v>Done</v>
      </c>
      <c r="G22" s="38">
        <f>IF(ISNUMBER(INDEX(Backlog!$AS$2:$AS$188,MATCH($D22,Backlog!$A$2:$A$188,0))),INDEX(Backlog!$AS$2:$AS$188,MATCH($D22,Backlog!$A$2:$A$188,0)),"")</f>
        <v>12</v>
      </c>
      <c r="H22" s="38">
        <f>IF(ISNUMBER(INDEX(Backlog!$AT$2:$AT$188,MATCH($D22,Backlog!$A$2:$A$188,0))),INDEX(Backlog!$AT$2:$AT$188,MATCH($D22,Backlog!$A$2:$A$188,0)),"")</f>
        <v>2.3250000000000002</v>
      </c>
      <c r="I22" s="38" t="str">
        <f>IF(INDEX(Backlog!$M$2:$M$188,MATCH($D22,Backlog!$A$2:$A$188,0))="","",INDEX(Backlog!$M$2:$M$188,MATCH($D22,Backlog!$A$2:$A$188,0)))</f>
        <v>T-087; T-088</v>
      </c>
      <c r="J22" s="38" t="str">
        <f>IF(INDEX(Backlog!$T$2:$T$188,MATCH($D22,Backlog!$A$2:$A$188,0))="","",INDEX(Backlog!$T$2:$T$188,MATCH($D22,Backlog!$A$2:$A$188,0)))</f>
        <v>CLOSED BASELINE — no new start gate and no re-execution implied. Preserve accepted closure and clean owned scope; reopen only on a concrete, separately recorded regression. Downstream consumes the frozen contract.</v>
      </c>
      <c r="K22" s="38" t="str">
        <f>IF(INDEX(Backlog!$U$2:$U$188,MATCH($D22,Backlog!$A$2:$A$188,0))="","",INDEX(Backlog!$U$2:$U$188,MATCH($D22,Backlog!$A$2:$A$188,0)))</f>
        <v>Own canonical DB/backend/security/API/infra. No W2-owned UI/admin task files and no W3 ML/Assistant runtime.</v>
      </c>
      <c r="L22" s="38" t="str">
        <f>IF(INDEX(Backlog!$V$2:$V$188,MATCH($D22,Backlog!$A$2:$A$188,0))="","",INDEX(Backlog!$V$2:$V$188,MATCH($D22,Backlog!$A$2:$A$188,0)))</f>
        <v>Commit before downstream consumer starts; consumer must use the contract, not redesign producer-owned semantics.</v>
      </c>
      <c r="M22" s="32" t="str">
        <f>IF(INDEX(Backlog!$AO$2:$AO$188,MATCH($D22,Backlog!$A$2:$A$188,0))="","",INDEX(Backlog!$AO$2:$AO$188,MATCH($D22,Backlog!$A$2:$A$188,0)))</f>
        <v>Recorded closed — inherited evidence</v>
      </c>
      <c r="N22" s="32" t="str">
        <f>IF(INDEX(Backlog!$AN$2:$AN$188,MATCH($D22,Backlog!$A$2:$A$188,0))="","",INDEX(Backlog!$AN$2:$AN$188,MATCH($D22,Backlog!$A$2:$A$188,0)))</f>
        <v/>
      </c>
    </row>
    <row r="23" spans="1:14" ht="26.1" customHeight="1">
      <c r="A23" s="38" t="str">
        <f>IF(INDEX(Backlog!$L$2:$L$188,MATCH($D23,Backlog!$A$2:$A$188,0))="","",INDEX(Backlog!$L$2:$L$188,MATCH($D23,Backlog!$A$2:$A$188,0)))</f>
        <v>Worker 1</v>
      </c>
      <c r="B23" s="38" t="str">
        <f>IF(INDEX(Backlog!$B$2:$B$188,MATCH($D23,Backlog!$A$2:$A$188,0))="","",INDEX(Backlog!$B$2:$B$188,MATCH($D23,Backlog!$A$2:$A$188,0)))</f>
        <v>M2</v>
      </c>
      <c r="C23" s="38" t="str">
        <f>IF(INDEX(Backlog!$C$2:$C$188,MATCH($D23,Backlog!$A$2:$A$188,0))="","",INDEX(Backlog!$C$2:$C$188,MATCH($D23,Backlog!$A$2:$A$188,0)))</f>
        <v>P1</v>
      </c>
      <c r="D23" s="38" t="s">
        <v>180</v>
      </c>
      <c r="E23" s="38" t="str">
        <f>IF(INDEX(Backlog!$D$2:$D$188,MATCH($D23,Backlog!$A$2:$A$188,0))="","",INDEX(Backlog!$D$2:$D$188,MATCH($D23,Backlog!$A$2:$A$188,0)))</f>
        <v>Move all five definition kinds onto the store</v>
      </c>
      <c r="F23" s="70" t="str">
        <f>IF(INDEX(Backlog!$K$2:$K$188,MATCH($D23,Backlog!$A$2:$A$188,0))="","",INDEX(Backlog!$K$2:$K$188,MATCH($D23,Backlog!$A$2:$A$188,0)))</f>
        <v>Done</v>
      </c>
      <c r="G23" s="38">
        <f>IF(ISNUMBER(INDEX(Backlog!$AS$2:$AS$188,MATCH($D23,Backlog!$A$2:$A$188,0))),INDEX(Backlog!$AS$2:$AS$188,MATCH($D23,Backlog!$A$2:$A$188,0)),"")</f>
        <v>12</v>
      </c>
      <c r="H23" s="38">
        <f>IF(ISNUMBER(INDEX(Backlog!$AT$2:$AT$188,MATCH($D23,Backlog!$A$2:$A$188,0))),INDEX(Backlog!$AT$2:$AT$188,MATCH($D23,Backlog!$A$2:$A$188,0)),"")</f>
        <v>1.7999999999999998</v>
      </c>
      <c r="I23" s="38" t="str">
        <f>IF(INDEX(Backlog!$M$2:$M$188,MATCH($D23,Backlog!$A$2:$A$188,0))="","",INDEX(Backlog!$M$2:$M$188,MATCH($D23,Backlog!$A$2:$A$188,0)))</f>
        <v>T-089</v>
      </c>
      <c r="J23" s="38" t="str">
        <f>IF(INDEX(Backlog!$T$2:$T$188,MATCH($D23,Backlog!$A$2:$A$188,0))="","",INDEX(Backlog!$T$2:$T$188,MATCH($D23,Backlog!$A$2:$A$188,0)))</f>
        <v>CLOSED BASELINE — no new start gate and no re-execution implied. Preserve accepted closure and clean owned scope; reopen only on a concrete, separately recorded regression. Downstream consumes the frozen contract.</v>
      </c>
      <c r="K23" s="38" t="str">
        <f>IF(INDEX(Backlog!$U$2:$U$188,MATCH($D23,Backlog!$A$2:$A$188,0))="","",INDEX(Backlog!$U$2:$U$188,MATCH($D23,Backlog!$A$2:$A$188,0)))</f>
        <v>Own canonical DB/backend/security/API/infra. No W2-owned UI/admin task files and no W3 ML/Assistant runtime.</v>
      </c>
      <c r="L23" s="38" t="str">
        <f>IF(INDEX(Backlog!$V$2:$V$188,MATCH($D23,Backlog!$A$2:$A$188,0))="","",INDEX(Backlog!$V$2:$V$188,MATCH($D23,Backlog!$A$2:$A$188,0)))</f>
        <v>Downstream consumers wait for the committed T-090 authority. Handover/progress notes do not substitute for closure; the pack must apply, build, test, replay and commit on the user machine.</v>
      </c>
      <c r="M23" s="32" t="str">
        <f>IF(INDEX(Backlog!$AO$2:$AO$188,MATCH($D23,Backlog!$A$2:$A$188,0))="","",INDEX(Backlog!$AO$2:$AO$188,MATCH($D23,Backlog!$A$2:$A$188,0)))</f>
        <v>Recorded closed — inherited evidence</v>
      </c>
      <c r="N23" s="32" t="str">
        <f>IF(INDEX(Backlog!$AN$2:$AN$188,MATCH($D23,Backlog!$A$2:$A$188,0))="","",INDEX(Backlog!$AN$2:$AN$188,MATCH($D23,Backlog!$A$2:$A$188,0)))</f>
        <v/>
      </c>
    </row>
    <row r="24" spans="1:14" ht="26.1" customHeight="1">
      <c r="A24" s="38" t="str">
        <f>IF(INDEX(Backlog!$L$2:$L$188,MATCH($D24,Backlog!$A$2:$A$188,0))="","",INDEX(Backlog!$L$2:$L$188,MATCH($D24,Backlog!$A$2:$A$188,0)))</f>
        <v>Worker 1</v>
      </c>
      <c r="B24" s="38" t="str">
        <f>IF(INDEX(Backlog!$B$2:$B$188,MATCH($D24,Backlog!$A$2:$A$188,0))="","",INDEX(Backlog!$B$2:$B$188,MATCH($D24,Backlog!$A$2:$A$188,0)))</f>
        <v>M2</v>
      </c>
      <c r="C24" s="38" t="str">
        <f>IF(INDEX(Backlog!$C$2:$C$188,MATCH($D24,Backlog!$A$2:$A$188,0))="","",INDEX(Backlog!$C$2:$C$188,MATCH($D24,Backlog!$A$2:$A$188,0)))</f>
        <v>P1</v>
      </c>
      <c r="D24" s="38" t="s">
        <v>192</v>
      </c>
      <c r="E24" s="38" t="str">
        <f>IF(INDEX(Backlog!$D$2:$D$188,MATCH($D24,Backlog!$A$2:$A$188,0))="","",INDEX(Backlog!$D$2:$D$188,MATCH($D24,Backlog!$A$2:$A$188,0)))</f>
        <v>Impact preview, export and import</v>
      </c>
      <c r="F24" s="70" t="str">
        <f>IF(INDEX(Backlog!$K$2:$K$188,MATCH($D24,Backlog!$A$2:$A$188,0))="","",INDEX(Backlog!$K$2:$K$188,MATCH($D24,Backlog!$A$2:$A$188,0)))</f>
        <v>Done</v>
      </c>
      <c r="G24" s="38">
        <f>IF(ISNUMBER(INDEX(Backlog!$AS$2:$AS$188,MATCH($D24,Backlog!$A$2:$A$188,0))),INDEX(Backlog!$AS$2:$AS$188,MATCH($D24,Backlog!$A$2:$A$188,0)),"")</f>
        <v>12</v>
      </c>
      <c r="H24" s="38">
        <f>IF(ISNUMBER(INDEX(Backlog!$AT$2:$AT$188,MATCH($D24,Backlog!$A$2:$A$188,0))),INDEX(Backlog!$AT$2:$AT$188,MATCH($D24,Backlog!$A$2:$A$188,0)),"")</f>
        <v>1.7999999999999998</v>
      </c>
      <c r="I24" s="38" t="str">
        <f>IF(INDEX(Backlog!$M$2:$M$188,MATCH($D24,Backlog!$A$2:$A$188,0))="","",INDEX(Backlog!$M$2:$M$188,MATCH($D24,Backlog!$A$2:$A$188,0)))</f>
        <v>T-090</v>
      </c>
      <c r="J24" s="38" t="str">
        <f>IF(INDEX(Backlog!$T$2:$T$188,MATCH($D24,Backlog!$A$2:$A$188,0))="","",INDEX(Backlog!$T$2:$T$188,MATCH($D24,Backlog!$A$2:$A$188,0)))</f>
        <v>CLOSED BASELINE — no new start gate and no re-execution implied. Preserve accepted closure and clean owned scope; reopen only on a concrete, separately recorded regression. Downstream consumes the frozen contract.</v>
      </c>
      <c r="K24" s="38" t="str">
        <f>IF(INDEX(Backlog!$U$2:$U$188,MATCH($D24,Backlog!$A$2:$A$188,0))="","",INDEX(Backlog!$U$2:$U$188,MATCH($D24,Backlog!$A$2:$A$188,0)))</f>
        <v>Own canonical DB/backend/security/API/infra. No W2-owned UI/admin task files and no W3 ML/Assistant runtime.</v>
      </c>
      <c r="L24" s="38" t="str">
        <f>IF(INDEX(Backlog!$V$2:$V$188,MATCH($D24,Backlog!$A$2:$A$188,0))="","",INDEX(Backlog!$V$2:$V$188,MATCH($D24,Backlog!$A$2:$A$188,0)))</f>
        <v>Commit before downstream consumer starts; consumer must use the contract, not redesign producer-owned semantics.</v>
      </c>
      <c r="M24" s="32" t="str">
        <f>IF(INDEX(Backlog!$AO$2:$AO$188,MATCH($D24,Backlog!$A$2:$A$188,0))="","",INDEX(Backlog!$AO$2:$AO$188,MATCH($D24,Backlog!$A$2:$A$188,0)))</f>
        <v>Recorded closed — inherited evidence</v>
      </c>
      <c r="N24" s="32" t="str">
        <f>IF(INDEX(Backlog!$AN$2:$AN$188,MATCH($D24,Backlog!$A$2:$A$188,0))="","",INDEX(Backlog!$AN$2:$AN$188,MATCH($D24,Backlog!$A$2:$A$188,0)))</f>
        <v/>
      </c>
    </row>
    <row r="25" spans="1:14" ht="26.1" customHeight="1">
      <c r="A25" s="38" t="str">
        <f>IF(INDEX(Backlog!$L$2:$L$188,MATCH($D25,Backlog!$A$2:$A$188,0))="","",INDEX(Backlog!$L$2:$L$188,MATCH($D25,Backlog!$A$2:$A$188,0)))</f>
        <v>Worker 1</v>
      </c>
      <c r="B25" s="38" t="str">
        <f>IF(INDEX(Backlog!$B$2:$B$188,MATCH($D25,Backlog!$A$2:$A$188,0))="","",INDEX(Backlog!$B$2:$B$188,MATCH($D25,Backlog!$A$2:$A$188,0)))</f>
        <v>M2</v>
      </c>
      <c r="C25" s="38" t="str">
        <f>IF(INDEX(Backlog!$C$2:$C$188,MATCH($D25,Backlog!$A$2:$A$188,0))="","",INDEX(Backlog!$C$2:$C$188,MATCH($D25,Backlog!$A$2:$A$188,0)))</f>
        <v>P1</v>
      </c>
      <c r="D25" s="38" t="s">
        <v>199</v>
      </c>
      <c r="E25" s="38" t="str">
        <f>IF(INDEX(Backlog!$D$2:$D$188,MATCH($D25,Backlog!$A$2:$A$188,0))="","",INDEX(Backlog!$D$2:$D$188,MATCH($D25,Backlog!$A$2:$A$188,0)))</f>
        <v>Registry authority: dimensions and measures as rows</v>
      </c>
      <c r="F25" s="70" t="str">
        <f>IF(INDEX(Backlog!$K$2:$K$188,MATCH($D25,Backlog!$A$2:$A$188,0))="","",INDEX(Backlog!$K$2:$K$188,MATCH($D25,Backlog!$A$2:$A$188,0)))</f>
        <v>Done</v>
      </c>
      <c r="G25" s="38">
        <f>IF(ISNUMBER(INDEX(Backlog!$AS$2:$AS$188,MATCH($D25,Backlog!$A$2:$A$188,0))),INDEX(Backlog!$AS$2:$AS$188,MATCH($D25,Backlog!$A$2:$A$188,0)),"")</f>
        <v>12</v>
      </c>
      <c r="H25" s="38">
        <f>IF(ISNUMBER(INDEX(Backlog!$AT$2:$AT$188,MATCH($D25,Backlog!$A$2:$A$188,0))),INDEX(Backlog!$AT$2:$AT$188,MATCH($D25,Backlog!$A$2:$A$188,0)),"")</f>
        <v>1.7999999999999998</v>
      </c>
      <c r="I25" s="38" t="str">
        <f>IF(INDEX(Backlog!$M$2:$M$188,MATCH($D25,Backlog!$A$2:$A$188,0))="","",INDEX(Backlog!$M$2:$M$188,MATCH($D25,Backlog!$A$2:$A$188,0)))</f>
        <v>T-089; T-090; T-210; T-231</v>
      </c>
      <c r="J25" s="38" t="str">
        <f>IF(INDEX(Backlog!$T$2:$T$188,MATCH($D25,Backlog!$A$2:$A$188,0))="","",INDEX(Backlog!$T$2:$T$188,MATCH($D25,Backlog!$A$2:$A$188,0)))</f>
        <v>CLOSED BASELINE — no new start gate and no re-execution implied. Preserve accepted closure and clean owned scope; reopen only on a concrete, separately recorded regression. Downstream consumes the frozen contract.</v>
      </c>
      <c r="K25" s="38" t="str">
        <f>IF(INDEX(Backlog!$U$2:$U$188,MATCH($D25,Backlog!$A$2:$A$188,0))="","",INDEX(Backlog!$U$2:$U$188,MATCH($D25,Backlog!$A$2:$A$188,0)))</f>
        <v>Own canonical DB/backend/security/API/infra. No W2-owned UI/admin task files and no W3 ML/Assistant runtime.</v>
      </c>
      <c r="L25" s="38" t="str">
        <f>IF(INDEX(Backlog!$V$2:$V$188,MATCH($D25,Backlog!$A$2:$A$188,0))="","",INDEX(Backlog!$V$2:$V$188,MATCH($D25,Backlog!$A$2:$A$188,0)))</f>
        <v>Commit before downstream consumer starts; consumer must use the contract, not redesign producer-owned semantics.</v>
      </c>
      <c r="M25" s="32" t="str">
        <f>IF(INDEX(Backlog!$AO$2:$AO$188,MATCH($D25,Backlog!$A$2:$A$188,0))="","",INDEX(Backlog!$AO$2:$AO$188,MATCH($D25,Backlog!$A$2:$A$188,0)))</f>
        <v>Recorded closed — inherited evidence</v>
      </c>
      <c r="N25" s="32" t="str">
        <f>IF(INDEX(Backlog!$AN$2:$AN$188,MATCH($D25,Backlog!$A$2:$A$188,0))="","",INDEX(Backlog!$AN$2:$AN$188,MATCH($D25,Backlog!$A$2:$A$188,0)))</f>
        <v/>
      </c>
    </row>
    <row r="26" spans="1:14" ht="26.1" customHeight="1">
      <c r="A26" s="38" t="str">
        <f>IF(INDEX(Backlog!$L$2:$L$188,MATCH($D26,Backlog!$A$2:$A$188,0))="","",INDEX(Backlog!$L$2:$L$188,MATCH($D26,Backlog!$A$2:$A$188,0)))</f>
        <v>Worker 1</v>
      </c>
      <c r="B26" s="38" t="str">
        <f>IF(INDEX(Backlog!$B$2:$B$188,MATCH($D26,Backlog!$A$2:$A$188,0))="","",INDEX(Backlog!$B$2:$B$188,MATCH($D26,Backlog!$A$2:$A$188,0)))</f>
        <v>M2</v>
      </c>
      <c r="C26" s="38" t="str">
        <f>IF(INDEX(Backlog!$C$2:$C$188,MATCH($D26,Backlog!$A$2:$A$188,0))="","",INDEX(Backlog!$C$2:$C$188,MATCH($D26,Backlog!$A$2:$A$188,0)))</f>
        <v>P1</v>
      </c>
      <c r="D26" s="38" t="s">
        <v>211</v>
      </c>
      <c r="E26" s="38" t="str">
        <f>IF(INDEX(Backlog!$D$2:$D$188,MATCH($D26,Backlog!$A$2:$A$188,0))="","",INDEX(Backlog!$D$2:$D$188,MATCH($D26,Backlog!$A$2:$A$188,0)))</f>
        <v>Plant-vocabulary sweep, part 1: build the term list and the architecture test</v>
      </c>
      <c r="F26" s="70" t="str">
        <f>IF(INDEX(Backlog!$K$2:$K$188,MATCH($D26,Backlog!$A$2:$A$188,0))="","",INDEX(Backlog!$K$2:$K$188,MATCH($D26,Backlog!$A$2:$A$188,0)))</f>
        <v>Done</v>
      </c>
      <c r="G26" s="38">
        <f>IF(ISNUMBER(INDEX(Backlog!$AS$2:$AS$188,MATCH($D26,Backlog!$A$2:$A$188,0))),INDEX(Backlog!$AS$2:$AS$188,MATCH($D26,Backlog!$A$2:$A$188,0)),"")</f>
        <v>6</v>
      </c>
      <c r="H26" s="38">
        <f>IF(ISNUMBER(INDEX(Backlog!$AT$2:$AT$188,MATCH($D26,Backlog!$A$2:$A$188,0))),INDEX(Backlog!$AT$2:$AT$188,MATCH($D26,Backlog!$A$2:$A$188,0)),"")</f>
        <v>0.89999999999999991</v>
      </c>
      <c r="I26" s="38" t="str">
        <f>IF(INDEX(Backlog!$M$2:$M$188,MATCH($D26,Backlog!$A$2:$A$188,0))="","",INDEX(Backlog!$M$2:$M$188,MATCH($D26,Backlog!$A$2:$A$188,0)))</f>
        <v>T-092; T-206</v>
      </c>
      <c r="J26" s="38" t="str">
        <f>IF(INDEX(Backlog!$T$2:$T$188,MATCH($D26,Backlog!$A$2:$A$188,0))="","",INDEX(Backlog!$T$2:$T$188,MATCH($D26,Backlog!$A$2:$A$188,0)))</f>
        <v>CLOSED BASELINE — no new start gate and no re-execution implied. Preserve accepted closure and clean owned scope; reopen only on a concrete, separately recorded regression. Downstream consumes the frozen contract.</v>
      </c>
      <c r="K26" s="38" t="str">
        <f>IF(INDEX(Backlog!$U$2:$U$188,MATCH($D26,Backlog!$A$2:$A$188,0))="","",INDEX(Backlog!$U$2:$U$188,MATCH($D26,Backlog!$A$2:$A$188,0)))</f>
        <v>Own canonical DB/backend/security/API/infra. No W2-owned UI/admin task files and no W3 ML/Assistant runtime.</v>
      </c>
      <c r="L26" s="38" t="str">
        <f>IF(INDEX(Backlog!$V$2:$V$188,MATCH($D26,Backlog!$A$2:$A$188,0))="","",INDEX(Backlog!$V$2:$V$188,MATCH($D26,Backlog!$A$2:$A$188,0)))</f>
        <v>Commit before downstream consumer starts; consumer must use the contract, not redesign producer-owned semantics.</v>
      </c>
      <c r="M26" s="32" t="str">
        <f>IF(INDEX(Backlog!$AO$2:$AO$188,MATCH($D26,Backlog!$A$2:$A$188,0))="","",INDEX(Backlog!$AO$2:$AO$188,MATCH($D26,Backlog!$A$2:$A$188,0)))</f>
        <v>Recorded closed — inherited evidence</v>
      </c>
      <c r="N26" s="32" t="str">
        <f>IF(INDEX(Backlog!$AN$2:$AN$188,MATCH($D26,Backlog!$A$2:$A$188,0))="","",INDEX(Backlog!$AN$2:$AN$188,MATCH($D26,Backlog!$A$2:$A$188,0)))</f>
        <v/>
      </c>
    </row>
    <row r="27" spans="1:14" ht="26.1" customHeight="1">
      <c r="A27" s="38" t="str">
        <f>IF(INDEX(Backlog!$L$2:$L$188,MATCH($D27,Backlog!$A$2:$A$188,0))="","",INDEX(Backlog!$L$2:$L$188,MATCH($D27,Backlog!$A$2:$A$188,0)))</f>
        <v>Worker 1</v>
      </c>
      <c r="B27" s="38" t="str">
        <f>IF(INDEX(Backlog!$B$2:$B$188,MATCH($D27,Backlog!$A$2:$A$188,0))="","",INDEX(Backlog!$B$2:$B$188,MATCH($D27,Backlog!$A$2:$A$188,0)))</f>
        <v>M2</v>
      </c>
      <c r="C27" s="38" t="str">
        <f>IF(INDEX(Backlog!$C$2:$C$188,MATCH($D27,Backlog!$A$2:$A$188,0))="","",INDEX(Backlog!$C$2:$C$188,MATCH($D27,Backlog!$A$2:$A$188,0)))</f>
        <v>P1</v>
      </c>
      <c r="D27" s="38" t="s">
        <v>219</v>
      </c>
      <c r="E27" s="38" t="str">
        <f>IF(INDEX(Backlog!$D$2:$D$188,MATCH($D27,Backlog!$A$2:$A$188,0))="","",INDEX(Backlog!$D$2:$D$188,MATCH($D27,Backlog!$A$2:$A$188,0)))</f>
        <v>Plant-vocabulary sweep, part 2: remove hardcoded universal grain and industry vocabulary</v>
      </c>
      <c r="F27" s="70" t="str">
        <f>IF(INDEX(Backlog!$K$2:$K$188,MATCH($D27,Backlog!$A$2:$A$188,0))="","",INDEX(Backlog!$K$2:$K$188,MATCH($D27,Backlog!$A$2:$A$188,0)))</f>
        <v>Done</v>
      </c>
      <c r="G27" s="38">
        <f>IF(ISNUMBER(INDEX(Backlog!$AS$2:$AS$188,MATCH($D27,Backlog!$A$2:$A$188,0))),INDEX(Backlog!$AS$2:$AS$188,MATCH($D27,Backlog!$A$2:$A$188,0)),"")</f>
        <v>24</v>
      </c>
      <c r="H27" s="38">
        <f>IF(ISNUMBER(INDEX(Backlog!$AT$2:$AT$188,MATCH($D27,Backlog!$A$2:$A$188,0))),INDEX(Backlog!$AT$2:$AT$188,MATCH($D27,Backlog!$A$2:$A$188,0)),"")</f>
        <v>3.6</v>
      </c>
      <c r="I27" s="38" t="str">
        <f>IF(INDEX(Backlog!$M$2:$M$188,MATCH($D27,Backlog!$A$2:$A$188,0))="","",INDEX(Backlog!$M$2:$M$188,MATCH($D27,Backlog!$A$2:$A$188,0)))</f>
        <v>T-092; T-093; T-209</v>
      </c>
      <c r="J27" s="38" t="str">
        <f>IF(INDEX(Backlog!$T$2:$T$188,MATCH($D27,Backlog!$A$2:$A$188,0))="","",INDEX(Backlog!$T$2:$T$188,MATCH($D27,Backlog!$A$2:$A$188,0)))</f>
        <v>CLOSED BASELINE — no new start gate and no re-execution implied. Preserve accepted closure and clean owned scope; reopen only on a concrete, separately recorded regression. Downstream consumes the frozen contract.</v>
      </c>
      <c r="K27" s="38" t="str">
        <f>IF(INDEX(Backlog!$U$2:$U$188,MATCH($D27,Backlog!$A$2:$A$188,0))="","",INDEX(Backlog!$U$2:$U$188,MATCH($D27,Backlog!$A$2:$A$188,0)))</f>
        <v>Own canonical DB/backend/security/API/infra. No W2-owned UI/admin task files and no W3 ML/Assistant runtime.</v>
      </c>
      <c r="L27" s="38" t="str">
        <f>IF(INDEX(Backlog!$V$2:$V$188,MATCH($D27,Backlog!$A$2:$A$188,0))="","",INDEX(Backlog!$V$2:$V$188,MATCH($D27,Backlog!$A$2:$A$188,0)))</f>
        <v>Commit before downstream consumer starts; consumer must use the contract, not redesign producer-owned semantics.</v>
      </c>
      <c r="M27" s="32" t="str">
        <f>IF(INDEX(Backlog!$AO$2:$AO$188,MATCH($D27,Backlog!$A$2:$A$188,0))="","",INDEX(Backlog!$AO$2:$AO$188,MATCH($D27,Backlog!$A$2:$A$188,0)))</f>
        <v>Recorded closed — inherited evidence</v>
      </c>
      <c r="N27" s="32" t="str">
        <f>IF(INDEX(Backlog!$AN$2:$AN$188,MATCH($D27,Backlog!$A$2:$A$188,0))="","",INDEX(Backlog!$AN$2:$AN$188,MATCH($D27,Backlog!$A$2:$A$188,0)))</f>
        <v/>
      </c>
    </row>
    <row r="28" spans="1:14" ht="26.1" customHeight="1">
      <c r="A28" s="38" t="str">
        <f>IF(INDEX(Backlog!$L$2:$L$188,MATCH($D28,Backlog!$A$2:$A$188,0))="","",INDEX(Backlog!$L$2:$L$188,MATCH($D28,Backlog!$A$2:$A$188,0)))</f>
        <v>Worker 1</v>
      </c>
      <c r="B28" s="38" t="str">
        <f>IF(INDEX(Backlog!$B$2:$B$188,MATCH($D28,Backlog!$A$2:$A$188,0))="","",INDEX(Backlog!$B$2:$B$188,MATCH($D28,Backlog!$A$2:$A$188,0)))</f>
        <v>M2</v>
      </c>
      <c r="C28" s="38" t="str">
        <f>IF(INDEX(Backlog!$C$2:$C$188,MATCH($D28,Backlog!$A$2:$A$188,0))="","",INDEX(Backlog!$C$2:$C$188,MATCH($D28,Backlog!$A$2:$A$188,0)))</f>
        <v>P1</v>
      </c>
      <c r="D28" s="38" t="s">
        <v>118</v>
      </c>
      <c r="E28" s="38" t="str">
        <f>IF(INDEX(Backlog!$D$2:$D$188,MATCH($D28,Backlog!$A$2:$A$188,0))="","",INDEX(Backlog!$D$2:$D$188,MATCH($D28,Backlog!$A$2:$A$188,0)))</f>
        <v>Freeze the successful M1 presentation baseline and transfer programme authority to M2</v>
      </c>
      <c r="F28" s="70" t="str">
        <f>IF(INDEX(Backlog!$K$2:$K$188,MATCH($D28,Backlog!$A$2:$A$188,0))="","",INDEX(Backlog!$K$2:$K$188,MATCH($D28,Backlog!$A$2:$A$188,0)))</f>
        <v>Done</v>
      </c>
      <c r="G28" s="38">
        <f>IF(ISNUMBER(INDEX(Backlog!$AS$2:$AS$188,MATCH($D28,Backlog!$A$2:$A$188,0))),INDEX(Backlog!$AS$2:$AS$188,MATCH($D28,Backlog!$A$2:$A$188,0)),"")</f>
        <v>4</v>
      </c>
      <c r="H28" s="38">
        <f>IF(ISNUMBER(INDEX(Backlog!$AT$2:$AT$188,MATCH($D28,Backlog!$A$2:$A$188,0))),INDEX(Backlog!$AT$2:$AT$188,MATCH($D28,Backlog!$A$2:$A$188,0)),"")</f>
        <v>1.5</v>
      </c>
      <c r="I28" s="38" t="str">
        <f>IF(INDEX(Backlog!$M$2:$M$188,MATCH($D28,Backlog!$A$2:$A$188,0))="","",INDEX(Backlog!$M$2:$M$188,MATCH($D28,Backlog!$A$2:$A$188,0)))</f>
        <v/>
      </c>
      <c r="J28" s="38" t="str">
        <f>IF(INDEX(Backlog!$T$2:$T$188,MATCH($D28,Backlog!$A$2:$A$188,0))="","",INDEX(Backlog!$T$2:$T$188,MATCH($D28,Backlog!$A$2:$A$188,0)))</f>
        <v>CLOSED BASELINE — no new start gate and no re-execution implied. Preserve accepted closure and clean owned scope; reopen only on a concrete, separately recorded regression. Downstream consumes the frozen contract.</v>
      </c>
      <c r="K28" s="38" t="str">
        <f>IF(INDEX(Backlog!$U$2:$U$188,MATCH($D28,Backlog!$A$2:$A$188,0))="","",INDEX(Backlog!$U$2:$U$188,MATCH($D28,Backlog!$A$2:$A$188,0)))</f>
        <v>Git/worktree ownership + release/tag only.</v>
      </c>
      <c r="L28" s="38" t="str">
        <f>IF(INDEX(Backlog!$V$2:$V$188,MATCH($D28,Backlog!$A$2:$A$188,0))="","",INDEX(Backlog!$V$2:$V$188,MATCH($D28,Backlog!$A$2:$A$188,0)))</f>
        <v>After commit/tag, all workers consume the frozen baseline; nobody reopens M1 presentation scope without a proven regression.</v>
      </c>
      <c r="M28" s="32" t="str">
        <f>IF(INDEX(Backlog!$AO$2:$AO$188,MATCH($D28,Backlog!$A$2:$A$188,0))="","",INDEX(Backlog!$AO$2:$AO$188,MATCH($D28,Backlog!$A$2:$A$188,0)))</f>
        <v>Recorded closed — inherited evidence</v>
      </c>
      <c r="N28" s="32" t="str">
        <f>IF(INDEX(Backlog!$AN$2:$AN$188,MATCH($D28,Backlog!$A$2:$A$188,0))="","",INDEX(Backlog!$AN$2:$AN$188,MATCH($D28,Backlog!$A$2:$A$188,0)))</f>
        <v/>
      </c>
    </row>
    <row r="29" spans="1:14" ht="26.1" customHeight="1">
      <c r="A29" s="38" t="str">
        <f>IF(INDEX(Backlog!$L$2:$L$188,MATCH($D29,Backlog!$A$2:$A$188,0))="","",INDEX(Backlog!$L$2:$L$188,MATCH($D29,Backlog!$A$2:$A$188,0)))</f>
        <v>Worker 1</v>
      </c>
      <c r="B29" s="38" t="str">
        <f>IF(INDEX(Backlog!$B$2:$B$188,MATCH($D29,Backlog!$A$2:$A$188,0))="","",INDEX(Backlog!$B$2:$B$188,MATCH($D29,Backlog!$A$2:$A$188,0)))</f>
        <v>M2</v>
      </c>
      <c r="C29" s="38" t="str">
        <f>IF(INDEX(Backlog!$C$2:$C$188,MATCH($D29,Backlog!$A$2:$A$188,0))="","",INDEX(Backlog!$C$2:$C$188,MATCH($D29,Backlog!$A$2:$A$188,0)))</f>
        <v>P1</v>
      </c>
      <c r="D29" s="38" t="s">
        <v>322</v>
      </c>
      <c r="E29" s="38" t="str">
        <f>IF(INDEX(Backlog!$D$2:$D$188,MATCH($D29,Backlog!$A$2:$A$188,0))="","",INDEX(Backlog!$D$2:$D$188,MATCH($D29,Backlog!$A$2:$A$188,0)))</f>
        <v>Canonical signal and aggregation semantics authority</v>
      </c>
      <c r="F29" s="70" t="str">
        <f>IF(INDEX(Backlog!$K$2:$K$188,MATCH($D29,Backlog!$A$2:$A$188,0))="","",INDEX(Backlog!$K$2:$K$188,MATCH($D29,Backlog!$A$2:$A$188,0)))</f>
        <v>Done</v>
      </c>
      <c r="G29" s="38">
        <f>IF(ISNUMBER(INDEX(Backlog!$AS$2:$AS$188,MATCH($D29,Backlog!$A$2:$A$188,0))),INDEX(Backlog!$AS$2:$AS$188,MATCH($D29,Backlog!$A$2:$A$188,0)),"")</f>
        <v>12</v>
      </c>
      <c r="H29" s="38">
        <f>IF(ISNUMBER(INDEX(Backlog!$AT$2:$AT$188,MATCH($D29,Backlog!$A$2:$A$188,0))),INDEX(Backlog!$AT$2:$AT$188,MATCH($D29,Backlog!$A$2:$A$188,0)),"")</f>
        <v>5.0999999999999996</v>
      </c>
      <c r="I29" s="38" t="str">
        <f>IF(INDEX(Backlog!$M$2:$M$188,MATCH($D29,Backlog!$A$2:$A$188,0))="","",INDEX(Backlog!$M$2:$M$188,MATCH($D29,Backlog!$A$2:$A$188,0)))</f>
        <v>T-090; T-209</v>
      </c>
      <c r="J29" s="38" t="str">
        <f>IF(INDEX(Backlog!$T$2:$T$188,MATCH($D29,Backlog!$A$2:$A$188,0))="","",INDEX(Backlog!$T$2:$T$188,MATCH($D29,Backlog!$A$2:$A$188,0)))</f>
        <v>CLOSED BASELINE — no new start gate and no re-execution implied. Preserve accepted closure and clean owned scope; reopen only on a concrete, separately recorded regression. Downstream consumes the frozen contract.</v>
      </c>
      <c r="K29" s="38" t="str">
        <f>IF(INDEX(Backlog!$U$2:$U$188,MATCH($D29,Backlog!$A$2:$A$188,0))="","",INDEX(Backlog!$U$2:$U$188,MATCH($D29,Backlog!$A$2:$A$188,0)))</f>
        <v>Parameter definitions/KPI bindings/migrations/definition contract.</v>
      </c>
      <c r="L29" s="38" t="str">
        <f>IF(INDEX(Backlog!$V$2:$V$188,MATCH($D29,Backlog!$A$2:$A$188,0))="","",INDEX(Backlog!$V$2:$V$188,MATCH($D29,Backlog!$A$2:$A$188,0)))</f>
        <v>T-211 executes exactly this contract; no second aggregation registry.</v>
      </c>
      <c r="M29" s="32" t="str">
        <f>IF(INDEX(Backlog!$AO$2:$AO$188,MATCH($D29,Backlog!$A$2:$A$188,0))="","",INDEX(Backlog!$AO$2:$AO$188,MATCH($D29,Backlog!$A$2:$A$188,0)))</f>
        <v>Recorded closed — inherited evidence</v>
      </c>
      <c r="N29" s="32" t="str">
        <f>IF(INDEX(Backlog!$AN$2:$AN$188,MATCH($D29,Backlog!$A$2:$A$188,0))="","",INDEX(Backlog!$AN$2:$AN$188,MATCH($D29,Backlog!$A$2:$A$188,0)))</f>
        <v/>
      </c>
    </row>
    <row r="30" spans="1:14" ht="26.1" customHeight="1">
      <c r="A30" s="38" t="str">
        <f>IF(INDEX(Backlog!$L$2:$L$188,MATCH($D30,Backlog!$A$2:$A$188,0))="","",INDEX(Backlog!$L$2:$L$188,MATCH($D30,Backlog!$A$2:$A$188,0)))</f>
        <v>Worker 1</v>
      </c>
      <c r="B30" s="38" t="str">
        <f>IF(INDEX(Backlog!$B$2:$B$188,MATCH($D30,Backlog!$A$2:$A$188,0))="","",INDEX(Backlog!$B$2:$B$188,MATCH($D30,Backlog!$A$2:$A$188,0)))</f>
        <v>M2</v>
      </c>
      <c r="C30" s="38" t="str">
        <f>IF(INDEX(Backlog!$C$2:$C$188,MATCH($D30,Backlog!$A$2:$A$188,0))="","",INDEX(Backlog!$C$2:$C$188,MATCH($D30,Backlog!$A$2:$A$188,0)))</f>
        <v>P1</v>
      </c>
      <c r="D30" s="38" t="s">
        <v>346</v>
      </c>
      <c r="E30" s="38" t="str">
        <f>IF(INDEX(Backlog!$D$2:$D$188,MATCH($D30,Backlog!$A$2:$A$188,0))="","",INDEX(Backlog!$D$2:$D$188,MATCH($D30,Backlog!$A$2:$A$188,0)))</f>
        <v>Persist Analysis Subject and Grain authority in canonical definition store</v>
      </c>
      <c r="F30" s="70" t="str">
        <f>IF(INDEX(Backlog!$K$2:$K$188,MATCH($D30,Backlog!$A$2:$A$188,0))="","",INDEX(Backlog!$K$2:$K$188,MATCH($D30,Backlog!$A$2:$A$188,0)))</f>
        <v>Done</v>
      </c>
      <c r="G30" s="38">
        <f>IF(ISNUMBER(INDEX(Backlog!$AS$2:$AS$188,MATCH($D30,Backlog!$A$2:$A$188,0))),INDEX(Backlog!$AS$2:$AS$188,MATCH($D30,Backlog!$A$2:$A$188,0)),"")</f>
        <v>6</v>
      </c>
      <c r="H30" s="38">
        <f>IF(ISNUMBER(INDEX(Backlog!$AT$2:$AT$188,MATCH($D30,Backlog!$A$2:$A$188,0))),INDEX(Backlog!$AT$2:$AT$188,MATCH($D30,Backlog!$A$2:$A$188,0)),"")</f>
        <v>2.5499999999999998</v>
      </c>
      <c r="I30" s="38" t="str">
        <f>IF(INDEX(Backlog!$M$2:$M$188,MATCH($D30,Backlog!$A$2:$A$188,0))="","",INDEX(Backlog!$M$2:$M$188,MATCH($D30,Backlog!$A$2:$A$188,0)))</f>
        <v>T-090; T-209</v>
      </c>
      <c r="J30" s="38" t="str">
        <f>IF(INDEX(Backlog!$T$2:$T$188,MATCH($D30,Backlog!$A$2:$A$188,0))="","",INDEX(Backlog!$T$2:$T$188,MATCH($D30,Backlog!$A$2:$A$188,0)))</f>
        <v>CLOSED BASELINE — no new start gate and no re-execution implied. Preserve accepted closure and clean owned scope; reopen only on a concrete, separately recorded regression. Downstream consumes the frozen contract.</v>
      </c>
      <c r="K30" s="38" t="str">
        <f>IF(INDEX(Backlog!$U$2:$U$188,MATCH($D30,Backlog!$A$2:$A$188,0))="","",INDEX(Backlog!$U$2:$U$188,MATCH($D30,Backlog!$A$2:$A$188,0)))</f>
        <v>analysis_subjects/grain definitions + API/migrations.</v>
      </c>
      <c r="L30" s="38" t="str">
        <f>IF(INDEX(Backlog!$V$2:$V$188,MATCH($D30,Backlog!$A$2:$A$188,0))="","",INDEX(Backlog!$V$2:$V$188,MATCH($D30,Backlog!$A$2:$A$188,0)))</f>
        <v>T-092/T-128/T-139/T-213 consume committed persistence; they do not invent subject identity.</v>
      </c>
      <c r="M30" s="32" t="str">
        <f>IF(INDEX(Backlog!$AO$2:$AO$188,MATCH($D30,Backlog!$A$2:$A$188,0))="","",INDEX(Backlog!$AO$2:$AO$188,MATCH($D30,Backlog!$A$2:$A$188,0)))</f>
        <v>Recorded closed — inherited evidence</v>
      </c>
      <c r="N30" s="32" t="str">
        <f>IF(INDEX(Backlog!$AN$2:$AN$188,MATCH($D30,Backlog!$A$2:$A$188,0))="","",INDEX(Backlog!$AN$2:$AN$188,MATCH($D30,Backlog!$A$2:$A$188,0)))</f>
        <v/>
      </c>
    </row>
    <row r="31" spans="1:14" ht="26.1" customHeight="1">
      <c r="A31" s="38" t="str">
        <f>IF(INDEX(Backlog!$L$2:$L$188,MATCH($D31,Backlog!$A$2:$A$188,0))="","",INDEX(Backlog!$L$2:$L$188,MATCH($D31,Backlog!$A$2:$A$188,0)))</f>
        <v>Worker 1</v>
      </c>
      <c r="B31" s="38" t="str">
        <f>IF(INDEX(Backlog!$B$2:$B$188,MATCH($D31,Backlog!$A$2:$A$188,0))="","",INDEX(Backlog!$B$2:$B$188,MATCH($D31,Backlog!$A$2:$A$188,0)))</f>
        <v>M2</v>
      </c>
      <c r="C31" s="38" t="str">
        <f>IF(INDEX(Backlog!$C$2:$C$188,MATCH($D31,Backlog!$A$2:$A$188,0))="","",INDEX(Backlog!$C$2:$C$188,MATCH($D31,Backlog!$A$2:$A$188,0)))</f>
        <v>P1</v>
      </c>
      <c r="D31" s="38" t="s">
        <v>368</v>
      </c>
      <c r="E31" s="38" t="str">
        <f>IF(INDEX(Backlog!$D$2:$D$188,MATCH($D31,Backlog!$A$2:$A$188,0))="","",INDEX(Backlog!$D$2:$D$188,MATCH($D31,Backlog!$A$2:$A$188,0)))</f>
        <v>Physical database catalogue, naming authority and zero-unknown schema dictionary</v>
      </c>
      <c r="F31" s="70" t="str">
        <f>IF(INDEX(Backlog!$K$2:$K$188,MATCH($D31,Backlog!$A$2:$A$188,0))="","",INDEX(Backlog!$K$2:$K$188,MATCH($D31,Backlog!$A$2:$A$188,0)))</f>
        <v>Done</v>
      </c>
      <c r="G31" s="38">
        <f>IF(ISNUMBER(INDEX(Backlog!$AS$2:$AS$188,MATCH($D31,Backlog!$A$2:$A$188,0))),INDEX(Backlog!$AS$2:$AS$188,MATCH($D31,Backlog!$A$2:$A$188,0)),"")</f>
        <v>12</v>
      </c>
      <c r="H31" s="38">
        <f>IF(ISNUMBER(INDEX(Backlog!$AT$2:$AT$188,MATCH($D31,Backlog!$A$2:$A$188,0))),INDEX(Backlog!$AT$2:$AT$188,MATCH($D31,Backlog!$A$2:$A$188,0)),"")</f>
        <v>1.8</v>
      </c>
      <c r="I31" s="38" t="str">
        <f>IF(INDEX(Backlog!$M$2:$M$188,MATCH($D31,Backlog!$A$2:$A$188,0))="","",INDEX(Backlog!$M$2:$M$188,MATCH($D31,Backlog!$A$2:$A$188,0)))</f>
        <v>T-087; T-088; T-260</v>
      </c>
      <c r="J31" s="38" t="str">
        <f>IF(INDEX(Backlog!$T$2:$T$188,MATCH($D31,Backlog!$A$2:$A$188,0))="","",INDEX(Backlog!$T$2:$T$188,MATCH($D31,Backlog!$A$2:$A$188,0)))</f>
        <v>CLOSED BASELINE — no new start gate and no re-execution implied. Preserve accepted closure and clean owned scope; reopen only on a concrete, separately recorded regression. Downstream consumes the frozen contract.</v>
      </c>
      <c r="K31" s="38" t="str">
        <f>IF(INDEX(Backlog!$U$2:$U$188,MATCH($D31,Backlog!$A$2:$A$188,0))="","",INDEX(Backlog!$U$2:$U$188,MATCH($D31,Backlog!$A$2:$A$188,0)))</f>
        <v>Own generated DB catalogue tooling/documentation and read-only pg_catalog queries. No product table deletion, rename or unrelated DDL.</v>
      </c>
      <c r="L31" s="38" t="str">
        <f>IF(INDEX(Backlog!$V$2:$V$188,MATCH($D31,Backlog!$A$2:$A$188,0))="","",INDEX(Backlog!$V$2:$V$188,MATCH($D31,Backlog!$A$2:$A$188,0)))</f>
        <v>Publish semantic-named catalogue artifacts only; no task-number repository filename. Hand off the generated dictionary to T-115/T-123/T-150.</v>
      </c>
      <c r="M31" s="32" t="str">
        <f>IF(INDEX(Backlog!$AO$2:$AO$188,MATCH($D31,Backlog!$A$2:$A$188,0))="","",INDEX(Backlog!$AO$2:$AO$188,MATCH($D31,Backlog!$A$2:$A$188,0)))</f>
        <v>Recorded closed — inherited evidence</v>
      </c>
      <c r="N31" s="32" t="str">
        <f>IF(INDEX(Backlog!$AN$2:$AN$188,MATCH($D31,Backlog!$A$2:$A$188,0))="","",INDEX(Backlog!$AN$2:$AN$188,MATCH($D31,Backlog!$A$2:$A$188,0)))</f>
        <v/>
      </c>
    </row>
    <row r="32" spans="1:14" ht="26.1" customHeight="1">
      <c r="A32" s="38" t="str">
        <f>IF(INDEX(Backlog!$L$2:$L$188,MATCH($D32,Backlog!$A$2:$A$188,0))="","",INDEX(Backlog!$L$2:$L$188,MATCH($D32,Backlog!$A$2:$A$188,0)))</f>
        <v>Worker 1</v>
      </c>
      <c r="B32" s="38" t="str">
        <f>IF(INDEX(Backlog!$B$2:$B$188,MATCH($D32,Backlog!$A$2:$A$188,0))="","",INDEX(Backlog!$B$2:$B$188,MATCH($D32,Backlog!$A$2:$A$188,0)))</f>
        <v>M2</v>
      </c>
      <c r="C32" s="38" t="str">
        <f>IF(INDEX(Backlog!$C$2:$C$188,MATCH($D32,Backlog!$A$2:$A$188,0))="","",INDEX(Backlog!$C$2:$C$188,MATCH($D32,Backlog!$A$2:$A$188,0)))</f>
        <v>P1</v>
      </c>
      <c r="D32" s="38" t="s">
        <v>381</v>
      </c>
      <c r="E32" s="38" t="str">
        <f>IF(INDEX(Backlog!$D$2:$D$188,MATCH($D32,Backlog!$A$2:$A$188,0))="","",INDEX(Backlog!$D$2:$D$188,MATCH($D32,Backlog!$A$2:$A$188,0)))</f>
        <v>Disposable database lifecycle and integration-test database isolation</v>
      </c>
      <c r="F32" s="70" t="str">
        <f>IF(INDEX(Backlog!$K$2:$K$188,MATCH($D32,Backlog!$A$2:$A$188,0))="","",INDEX(Backlog!$K$2:$K$188,MATCH($D32,Backlog!$A$2:$A$188,0)))</f>
        <v>Done</v>
      </c>
      <c r="G32" s="38">
        <f>IF(ISNUMBER(INDEX(Backlog!$AS$2:$AS$188,MATCH($D32,Backlog!$A$2:$A$188,0))),INDEX(Backlog!$AS$2:$AS$188,MATCH($D32,Backlog!$A$2:$A$188,0)),"")</f>
        <v>8</v>
      </c>
      <c r="H32" s="38">
        <f>IF(ISNUMBER(INDEX(Backlog!$AT$2:$AT$188,MATCH($D32,Backlog!$A$2:$A$188,0))),INDEX(Backlog!$AT$2:$AT$188,MATCH($D32,Backlog!$A$2:$A$188,0)),"")</f>
        <v>1.2</v>
      </c>
      <c r="I32" s="38" t="str">
        <f>IF(INDEX(Backlog!$M$2:$M$188,MATCH($D32,Backlog!$A$2:$A$188,0))="","",INDEX(Backlog!$M$2:$M$188,MATCH($D32,Backlog!$A$2:$A$188,0)))</f>
        <v>T-087; T-088; T-251; T-259</v>
      </c>
      <c r="J32" s="38" t="str">
        <f>IF(INDEX(Backlog!$T$2:$T$188,MATCH($D32,Backlog!$A$2:$A$188,0))="","",INDEX(Backlog!$T$2:$T$188,MATCH($D32,Backlog!$A$2:$A$188,0)))</f>
        <v>CLOSED BASELINE — no new start gate and no re-execution implied. Preserve accepted closure and clean owned scope; reopen only on a concrete, separately recorded regression. Downstream consumes the frozen contract.</v>
      </c>
      <c r="K32" s="38" t="str">
        <f>IF(INDEX(Backlog!$U$2:$U$188,MATCH($D32,Backlog!$A$2:$A$188,0))="","",INDEX(Backlog!$U$2:$U$188,MATCH($D32,Backlog!$A$2:$A$188,0)))</f>
        <v>Own integration-test DB fixture/runner and disposable-DB lifecycle tooling only. Do not change product schema semantics.</v>
      </c>
      <c r="L32" s="38" t="str">
        <f>IF(INDEX(Backlog!$V$2:$V$188,MATCH($D32,Backlog!$A$2:$A$188,0))="","",INDEX(Backlog!$V$2:$V$188,MATCH($D32,Backlog!$A$2:$A$188,0)))</f>
        <v>Every pack that CREATE DATABASEs owns DROP in finally. Persistent DB roles are explicit and protected.</v>
      </c>
      <c r="M32" s="32" t="str">
        <f>IF(INDEX(Backlog!$AO$2:$AO$188,MATCH($D32,Backlog!$A$2:$A$188,0))="","",INDEX(Backlog!$AO$2:$AO$188,MATCH($D32,Backlog!$A$2:$A$188,0)))</f>
        <v>Recorded closed — inherited evidence</v>
      </c>
      <c r="N32" s="32" t="str">
        <f>IF(INDEX(Backlog!$AN$2:$AN$188,MATCH($D32,Backlog!$A$2:$A$188,0))="","",INDEX(Backlog!$AN$2:$AN$188,MATCH($D32,Backlog!$A$2:$A$188,0)))</f>
        <v/>
      </c>
    </row>
    <row r="33" spans="1:14" ht="26.1" customHeight="1">
      <c r="A33" s="38" t="str">
        <f>IF(INDEX(Backlog!$L$2:$L$188,MATCH($D33,Backlog!$A$2:$A$188,0))="","",INDEX(Backlog!$L$2:$L$188,MATCH($D33,Backlog!$A$2:$A$188,0)))</f>
        <v>Worker 1</v>
      </c>
      <c r="B33" s="38" t="str">
        <f>IF(INDEX(Backlog!$B$2:$B$188,MATCH($D33,Backlog!$A$2:$A$188,0))="","",INDEX(Backlog!$B$2:$B$188,MATCH($D33,Backlog!$A$2:$A$188,0)))</f>
        <v>M2</v>
      </c>
      <c r="C33" s="38" t="str">
        <f>IF(INDEX(Backlog!$C$2:$C$188,MATCH($D33,Backlog!$A$2:$A$188,0))="","",INDEX(Backlog!$C$2:$C$188,MATCH($D33,Backlog!$A$2:$A$188,0)))</f>
        <v>P1</v>
      </c>
      <c r="D33" s="38" t="s">
        <v>392</v>
      </c>
      <c r="E33" s="38" t="str">
        <f>IF(INDEX(Backlog!$D$2:$D$188,MATCH($D33,Backlog!$A$2:$A$188,0))="","",INDEX(Backlog!$D$2:$D$188,MATCH($D33,Backlog!$A$2:$A$188,0)))</f>
        <v>Runtime genericity and three-schema consumer convergence</v>
      </c>
      <c r="F33" s="70" t="str">
        <f>IF(INDEX(Backlog!$K$2:$K$188,MATCH($D33,Backlog!$A$2:$A$188,0))="","",INDEX(Backlog!$K$2:$K$188,MATCH($D33,Backlog!$A$2:$A$188,0)))</f>
        <v>Done</v>
      </c>
      <c r="G33" s="38">
        <f>IF(ISNUMBER(INDEX(Backlog!$AS$2:$AS$188,MATCH($D33,Backlog!$A$2:$A$188,0))),INDEX(Backlog!$AS$2:$AS$188,MATCH($D33,Backlog!$A$2:$A$188,0)),"")</f>
        <v>12</v>
      </c>
      <c r="H33" s="38">
        <f>IF(ISNUMBER(INDEX(Backlog!$AT$2:$AT$188,MATCH($D33,Backlog!$A$2:$A$188,0))),INDEX(Backlog!$AT$2:$AT$188,MATCH($D33,Backlog!$A$2:$A$188,0)),"")</f>
        <v>3.2</v>
      </c>
      <c r="I33" s="38" t="str">
        <f>IF(INDEX(Backlog!$M$2:$M$188,MATCH($D33,Backlog!$A$2:$A$188,0))="","",INDEX(Backlog!$M$2:$M$188,MATCH($D33,Backlog!$A$2:$A$188,0)))</f>
        <v>T-088; T-094; T-251; T-252; T-253</v>
      </c>
      <c r="J33" s="38" t="str">
        <f>IF(INDEX(Backlog!$T$2:$T$188,MATCH($D33,Backlog!$A$2:$A$188,0))="","",INDEX(Backlog!$T$2:$T$188,MATCH($D33,Backlog!$A$2:$A$188,0)))</f>
        <v>CLOSED BASELINE — no new start gate and no re-execution implied. Preserve accepted closure and clean owned scope; reopen only on a concrete, separately recorded regression. Downstream consumes the frozen contract.</v>
      </c>
      <c r="K33" s="38" t="str">
        <f>IF(INDEX(Backlog!$U$2:$U$188,MATCH($D33,Backlog!$A$2:$A$188,0))="","",INDEX(Backlog!$U$2:$U$188,MATCH($D33,Backlog!$A$2:$A$188,0)))</f>
        <v>Backend runtime consumers, API composition, DB-facing services and backend architecture/genericity guards only. NO Frontend/PlantProcess.Web mutation. T-258 exclusively owns frontend material/genericity convergence.</v>
      </c>
      <c r="L33" s="38" t="str">
        <f>IF(INDEX(Backlog!$V$2:$V$188,MATCH($D33,Backlog!$A$2:$A$188,0))="","",INDEX(Backlog!$V$2:$V$188,MATCH($D33,Backlog!$A$2:$A$188,0)))</f>
        <v>Publish a bounded compatibility/consumer handoff manifest to T-258. Do not solve frontend Material pages/types/routes inside T-256; do not leave generic frontend red.</v>
      </c>
      <c r="M33" s="32" t="str">
        <f>IF(INDEX(Backlog!$AO$2:$AO$188,MATCH($D33,Backlog!$A$2:$A$188,0))="","",INDEX(Backlog!$AO$2:$AO$188,MATCH($D33,Backlog!$A$2:$A$188,0)))</f>
        <v>Recorded closed — inherited evidence</v>
      </c>
      <c r="N33" s="32" t="str">
        <f>IF(INDEX(Backlog!$AN$2:$AN$188,MATCH($D33,Backlog!$A$2:$A$188,0))="","",INDEX(Backlog!$AN$2:$AN$188,MATCH($D33,Backlog!$A$2:$A$188,0)))</f>
        <v/>
      </c>
    </row>
    <row r="34" spans="1:14" ht="26.1" customHeight="1">
      <c r="A34" s="38" t="str">
        <f>IF(INDEX(Backlog!$L$2:$L$188,MATCH($D34,Backlog!$A$2:$A$188,0))="","",INDEX(Backlog!$L$2:$L$188,MATCH($D34,Backlog!$A$2:$A$188,0)))</f>
        <v>Worker 1</v>
      </c>
      <c r="B34" s="38" t="str">
        <f>IF(INDEX(Backlog!$B$2:$B$188,MATCH($D34,Backlog!$A$2:$A$188,0))="","",INDEX(Backlog!$B$2:$B$188,MATCH($D34,Backlog!$A$2:$A$188,0)))</f>
        <v>M2</v>
      </c>
      <c r="C34" s="38" t="str">
        <f>IF(INDEX(Backlog!$C$2:$C$188,MATCH($D34,Backlog!$A$2:$A$188,0))="","",INDEX(Backlog!$C$2:$C$188,MATCH($D34,Backlog!$A$2:$A$188,0)))</f>
        <v>P1</v>
      </c>
      <c r="D34" s="38" t="s">
        <v>405</v>
      </c>
      <c r="E34" s="38" t="str">
        <f>IF(INDEX(Backlog!$D$2:$D$188,MATCH($D34,Backlog!$A$2:$A$188,0))="","",INDEX(Backlog!$D$2:$D$188,MATCH($D34,Backlog!$A$2:$A$188,0)))</f>
        <v>Release evidence envelope v1 machine-readable contract</v>
      </c>
      <c r="F34" s="70" t="str">
        <f>IF(INDEX(Backlog!$K$2:$K$188,MATCH($D34,Backlog!$A$2:$A$188,0))="","",INDEX(Backlog!$K$2:$K$188,MATCH($D34,Backlog!$A$2:$A$188,0)))</f>
        <v>Done</v>
      </c>
      <c r="G34" s="38">
        <f>IF(ISNUMBER(INDEX(Backlog!$AS$2:$AS$188,MATCH($D34,Backlog!$A$2:$A$188,0))),INDEX(Backlog!$AS$2:$AS$188,MATCH($D34,Backlog!$A$2:$A$188,0)),"")</f>
        <v>2</v>
      </c>
      <c r="H34" s="38">
        <f>IF(ISNUMBER(INDEX(Backlog!$AT$2:$AT$188,MATCH($D34,Backlog!$A$2:$A$188,0))),INDEX(Backlog!$AT$2:$AT$188,MATCH($D34,Backlog!$A$2:$A$188,0)),"")</f>
        <v>0.3</v>
      </c>
      <c r="I34" s="38" t="str">
        <f>IF(INDEX(Backlog!$M$2:$M$188,MATCH($D34,Backlog!$A$2:$A$188,0))="","",INDEX(Backlog!$M$2:$M$188,MATCH($D34,Backlog!$A$2:$A$188,0)))</f>
        <v>T-251</v>
      </c>
      <c r="J34" s="38" t="str">
        <f>IF(INDEX(Backlog!$T$2:$T$188,MATCH($D34,Backlog!$A$2:$A$188,0))="","",INDEX(Backlog!$T$2:$T$188,MATCH($D34,Backlog!$A$2:$A$188,0)))</f>
        <v>CLOSED BASELINE — no new start gate and no re-execution implied. Preserve accepted closure and clean owned scope; reopen only on a concrete, separately recorded regression. Downstream consumes the frozen contract.</v>
      </c>
      <c r="K34" s="38" t="str">
        <f>IF(INDEX(Backlog!$U$2:$U$188,MATCH($D34,Backlog!$A$2:$A$188,0))="","",INDEX(Backlog!$U$2:$U$188,MATCH($D34,Backlog!$A$2:$A$188,0)))</f>
        <v>Shared release-evidence schema/validator + focused contract tests only. No DB fixture implementation, frontend test runner, scorecard, feature code or release aggregation.</v>
      </c>
      <c r="L34" s="38" t="str">
        <f>IF(INDEX(Backlog!$V$2:$V$188,MATCH($D34,Backlog!$A$2:$A$188,0))="","",INDEX(Backlog!$V$2:$V$188,MATCH($D34,Backlog!$A$2:$A$188,0)))</f>
        <v>T-252/T-257 are producers. T-227 owns production acceptance scorecard/policy. T-150 aggregates. None may redefine the v1 envelope.</v>
      </c>
      <c r="M34" s="32" t="str">
        <f>IF(INDEX(Backlog!$AO$2:$AO$188,MATCH($D34,Backlog!$A$2:$A$188,0))="","",INDEX(Backlog!$AO$2:$AO$188,MATCH($D34,Backlog!$A$2:$A$188,0)))</f>
        <v>Recorded closed — inherited evidence</v>
      </c>
      <c r="N34" s="32" t="str">
        <f>IF(INDEX(Backlog!$AN$2:$AN$188,MATCH($D34,Backlog!$A$2:$A$188,0))="","",INDEX(Backlog!$AN$2:$AN$188,MATCH($D34,Backlog!$A$2:$A$188,0)))</f>
        <v/>
      </c>
    </row>
    <row r="35" spans="1:14" ht="26.1" customHeight="1">
      <c r="A35" s="38" t="str">
        <f>IF(INDEX(Backlog!$L$2:$L$188,MATCH($D35,Backlog!$A$2:$A$188,0))="","",INDEX(Backlog!$L$2:$L$188,MATCH($D35,Backlog!$A$2:$A$188,0)))</f>
        <v>Worker 1</v>
      </c>
      <c r="B35" s="38" t="str">
        <f>IF(INDEX(Backlog!$B$2:$B$188,MATCH($D35,Backlog!$A$2:$A$188,0))="","",INDEX(Backlog!$B$2:$B$188,MATCH($D35,Backlog!$A$2:$A$188,0)))</f>
        <v>M2</v>
      </c>
      <c r="C35" s="38" t="str">
        <f>IF(INDEX(Backlog!$C$2:$C$188,MATCH($D35,Backlog!$A$2:$A$188,0))="","",INDEX(Backlog!$C$2:$C$188,MATCH($D35,Backlog!$A$2:$A$188,0)))</f>
        <v>P1</v>
      </c>
      <c r="D35" s="38" t="s">
        <v>414</v>
      </c>
      <c r="E35" s="38" t="str">
        <f>IF(INDEX(Backlog!$D$2:$D$188,MATCH($D35,Backlog!$A$2:$A$188,0))="","",INDEX(Backlog!$D$2:$D$188,MATCH($D35,Backlog!$A$2:$A$188,0)))</f>
        <v>Canonical acceptance database builder convergence</v>
      </c>
      <c r="F35" s="70" t="str">
        <f>IF(INDEX(Backlog!$K$2:$K$188,MATCH($D35,Backlog!$A$2:$A$188,0))="","",INDEX(Backlog!$K$2:$K$188,MATCH($D35,Backlog!$A$2:$A$188,0)))</f>
        <v>Done</v>
      </c>
      <c r="G35" s="38">
        <f>IF(ISNUMBER(INDEX(Backlog!$AS$2:$AS$188,MATCH($D35,Backlog!$A$2:$A$188,0))),INDEX(Backlog!$AS$2:$AS$188,MATCH($D35,Backlog!$A$2:$A$188,0)),"")</f>
        <v>6</v>
      </c>
      <c r="H35" s="38">
        <f>IF(ISNUMBER(INDEX(Backlog!$AT$2:$AT$188,MATCH($D35,Backlog!$A$2:$A$188,0))),INDEX(Backlog!$AT$2:$AT$188,MATCH($D35,Backlog!$A$2:$A$188,0)),"")</f>
        <v>1.8</v>
      </c>
      <c r="I35" s="38" t="str">
        <f>IF(INDEX(Backlog!$M$2:$M$188,MATCH($D35,Backlog!$A$2:$A$188,0))="","",INDEX(Backlog!$M$2:$M$188,MATCH($D35,Backlog!$A$2:$A$188,0)))</f>
        <v>T-088</v>
      </c>
      <c r="J35" s="38" t="str">
        <f>IF(INDEX(Backlog!$T$2:$T$188,MATCH($D35,Backlog!$A$2:$A$188,0))="","",INDEX(Backlog!$T$2:$T$188,MATCH($D35,Backlog!$A$2:$A$188,0)))</f>
        <v>CLOSED BASELINE — no new start gate and no re-execution implied. Preserve accepted closure and clean owned scope; reopen only on a concrete, separately recorded regression. Downstream consumes the frozen contract.</v>
      </c>
      <c r="K35" s="38" t="str">
        <f>IF(INDEX(Backlog!$U$2:$U$188,MATCH($D35,Backlog!$A$2:$A$188,0))="","",INDEX(Backlog!$U$2:$U$188,MATCH($D35,Backlog!$A$2:$A$188,0)))</f>
        <v>Fresh acceptance DB builder, canonical migration-order consumer/validation, focused builder tests and T-251 rerun orchestration only. No product runtime/API/frontend changes; no mutation of ppiq_app or ppiq_presentation; no broad migration rewrite.</v>
      </c>
      <c r="L35" s="38" t="str">
        <f>IF(INDEX(Backlog!$V$2:$V$188,MATCH($D35,Backlog!$A$2:$A$188,0))="","",INDEX(Backlog!$V$2:$V$188,MATCH($D35,Backlog!$A$2:$A$188,0)))</f>
        <v>T-260 corrects how the fresh certification DB is constructed; T-251 remains the physical catalogue owner and resumes only on the corrected DB. T-256 later owns genuine runtime/schema compatibility residue that remains after a correct fresh build.</v>
      </c>
      <c r="M35" s="32" t="str">
        <f>IF(INDEX(Backlog!$AO$2:$AO$188,MATCH($D35,Backlog!$A$2:$A$188,0))="","",INDEX(Backlog!$AO$2:$AO$188,MATCH($D35,Backlog!$A$2:$A$188,0)))</f>
        <v>Recorded closed — inherited evidence</v>
      </c>
      <c r="N35" s="32" t="str">
        <f>IF(INDEX(Backlog!$AN$2:$AN$188,MATCH($D35,Backlog!$A$2:$A$188,0))="","",INDEX(Backlog!$AN$2:$AN$188,MATCH($D35,Backlog!$A$2:$A$188,0)))</f>
        <v/>
      </c>
    </row>
    <row r="36" spans="1:14" ht="26.1" customHeight="1">
      <c r="A36" s="38" t="str">
        <f>IF(INDEX(Backlog!$L$2:$L$188,MATCH($D36,Backlog!$A$2:$A$188,0))="","",INDEX(Backlog!$L$2:$L$188,MATCH($D36,Backlog!$A$2:$A$188,0)))</f>
        <v>Worker 1</v>
      </c>
      <c r="B36" s="38" t="str">
        <f>IF(INDEX(Backlog!$B$2:$B$188,MATCH($D36,Backlog!$A$2:$A$188,0))="","",INDEX(Backlog!$B$2:$B$188,MATCH($D36,Backlog!$A$2:$A$188,0)))</f>
        <v>M2</v>
      </c>
      <c r="C36" s="38" t="str">
        <f>IF(INDEX(Backlog!$C$2:$C$188,MATCH($D36,Backlog!$A$2:$A$188,0))="","",INDEX(Backlog!$C$2:$C$188,MATCH($D36,Backlog!$A$2:$A$188,0)))</f>
        <v>P2</v>
      </c>
      <c r="D36" s="38" t="s">
        <v>425</v>
      </c>
      <c r="E36" s="38" t="str">
        <f>IF(INDEX(Backlog!$D$2:$D$188,MATCH($D36,Backlog!$A$2:$A$188,0))="","",INDEX(Backlog!$D$2:$D$188,MATCH($D36,Backlog!$A$2:$A$188,0)))</f>
        <v>Relationship members, cardinality, grain conversion and preferred paths</v>
      </c>
      <c r="F36" s="70" t="str">
        <f>IF(INDEX(Backlog!$K$2:$K$188,MATCH($D36,Backlog!$A$2:$A$188,0))="","",INDEX(Backlog!$K$2:$K$188,MATCH($D36,Backlog!$A$2:$A$188,0)))</f>
        <v>Done</v>
      </c>
      <c r="G36" s="38">
        <f>IF(ISNUMBER(INDEX(Backlog!$AS$2:$AS$188,MATCH($D36,Backlog!$A$2:$A$188,0))),INDEX(Backlog!$AS$2:$AS$188,MATCH($D36,Backlog!$A$2:$A$188,0)),"")</f>
        <v>12</v>
      </c>
      <c r="H36" s="38">
        <f>IF(ISNUMBER(INDEX(Backlog!$AT$2:$AT$188,MATCH($D36,Backlog!$A$2:$A$188,0))),INDEX(Backlog!$AT$2:$AT$188,MATCH($D36,Backlog!$A$2:$A$188,0)),"")</f>
        <v>1.7999999999999998</v>
      </c>
      <c r="I36" s="38" t="str">
        <f>IF(INDEX(Backlog!$M$2:$M$188,MATCH($D36,Backlog!$A$2:$A$188,0))="","",INDEX(Backlog!$M$2:$M$188,MATCH($D36,Backlog!$A$2:$A$188,0)))</f>
        <v>T-057; T-089; T-090; T-094</v>
      </c>
      <c r="J36" s="38" t="str">
        <f>IF(INDEX(Backlog!$T$2:$T$188,MATCH($D36,Backlog!$A$2:$A$188,0))="","",INDEX(Backlog!$T$2:$T$188,MATCH($D36,Backlog!$A$2:$A$188,0)))</f>
        <v>CLOSED BASELINE — no new start gate and no re-execution implied. Preserve accepted closure and clean owned scope; reopen only on a concrete, separately recorded regression. Downstream consumes the frozen contract.</v>
      </c>
      <c r="K36" s="38" t="str">
        <f>IF(INDEX(Backlog!$U$2:$U$188,MATCH($D36,Backlog!$A$2:$A$188,0))="","",INDEX(Backlog!$U$2:$U$188,MATCH($D36,Backlog!$A$2:$A$188,0)))</f>
        <v>Own canonical DB/backend/security/API/infra. No W2-owned UI/admin task files and no W3 ML/Assistant runtime.</v>
      </c>
      <c r="L36" s="38" t="str">
        <f>IF(INDEX(Backlog!$V$2:$V$188,MATCH($D36,Backlog!$A$2:$A$188,0))="","",INDEX(Backlog!$V$2:$V$188,MATCH($D36,Backlog!$A$2:$A$188,0)))</f>
        <v>Commit before downstream consumer starts; consumer must use the contract, not redesign producer-owned semantics.</v>
      </c>
      <c r="M36" s="32" t="str">
        <f>IF(INDEX(Backlog!$AO$2:$AO$188,MATCH($D36,Backlog!$A$2:$A$188,0))="","",INDEX(Backlog!$AO$2:$AO$188,MATCH($D36,Backlog!$A$2:$A$188,0)))</f>
        <v>Recorded closed — inherited evidence</v>
      </c>
      <c r="N36" s="32" t="str">
        <f>IF(INDEX(Backlog!$AN$2:$AN$188,MATCH($D36,Backlog!$A$2:$A$188,0))="","",INDEX(Backlog!$AN$2:$AN$188,MATCH($D36,Backlog!$A$2:$A$188,0)))</f>
        <v/>
      </c>
    </row>
    <row r="37" spans="1:14" ht="26.1" customHeight="1">
      <c r="A37" s="38" t="str">
        <f>IF(INDEX(Backlog!$L$2:$L$188,MATCH($D37,Backlog!$A$2:$A$188,0))="","",INDEX(Backlog!$L$2:$L$188,MATCH($D37,Backlog!$A$2:$A$188,0)))</f>
        <v>Worker 1</v>
      </c>
      <c r="B37" s="38" t="str">
        <f>IF(INDEX(Backlog!$B$2:$B$188,MATCH($D37,Backlog!$A$2:$A$188,0))="","",INDEX(Backlog!$B$2:$B$188,MATCH($D37,Backlog!$A$2:$A$188,0)))</f>
        <v>M2</v>
      </c>
      <c r="C37" s="38" t="str">
        <f>IF(INDEX(Backlog!$C$2:$C$188,MATCH($D37,Backlog!$A$2:$A$188,0))="","",INDEX(Backlog!$C$2:$C$188,MATCH($D37,Backlog!$A$2:$A$188,0)))</f>
        <v>P2</v>
      </c>
      <c r="D37" s="38" t="s">
        <v>439</v>
      </c>
      <c r="E37" s="38" t="str">
        <f>IF(INDEX(Backlog!$D$2:$D$188,MATCH($D37,Backlog!$A$2:$A$188,0))="","",INDEX(Backlog!$D$2:$D$188,MATCH($D37,Backlog!$A$2:$A$188,0)))</f>
        <v>Path resolver, part 1: resolver core and the first eight consumers</v>
      </c>
      <c r="F37" s="70" t="str">
        <f>IF(INDEX(Backlog!$K$2:$K$188,MATCH($D37,Backlog!$A$2:$A$188,0))="","",INDEX(Backlog!$K$2:$K$188,MATCH($D37,Backlog!$A$2:$A$188,0)))</f>
        <v>Done</v>
      </c>
      <c r="G37" s="38">
        <f>IF(ISNUMBER(INDEX(Backlog!$AS$2:$AS$188,MATCH($D37,Backlog!$A$2:$A$188,0))),INDEX(Backlog!$AS$2:$AS$188,MATCH($D37,Backlog!$A$2:$A$188,0)),"")</f>
        <v>8</v>
      </c>
      <c r="H37" s="38">
        <f>IF(ISNUMBER(INDEX(Backlog!$AT$2:$AT$188,MATCH($D37,Backlog!$A$2:$A$188,0))),INDEX(Backlog!$AT$2:$AT$188,MATCH($D37,Backlog!$A$2:$A$188,0)),"")</f>
        <v>1.2000000000000002</v>
      </c>
      <c r="I37" s="38" t="str">
        <f>IF(INDEX(Backlog!$M$2:$M$188,MATCH($D37,Backlog!$A$2:$A$188,0))="","",INDEX(Backlog!$M$2:$M$188,MATCH($D37,Backlog!$A$2:$A$188,0)))</f>
        <v>T-095</v>
      </c>
      <c r="J37" s="38" t="str">
        <f>IF(INDEX(Backlog!$T$2:$T$188,MATCH($D37,Backlog!$A$2:$A$188,0))="","",INDEX(Backlog!$T$2:$T$188,MATCH($D37,Backlog!$A$2:$A$188,0)))</f>
        <v>CLOSED BASELINE — no new start gate and no re-execution implied. Preserve accepted closure and clean owned scope; reopen only on a concrete, separately recorded regression. Downstream consumes the frozen contract.</v>
      </c>
      <c r="K37" s="38" t="str">
        <f>IF(INDEX(Backlog!$U$2:$U$188,MATCH($D37,Backlog!$A$2:$A$188,0))="","",INDEX(Backlog!$U$2:$U$188,MATCH($D37,Backlog!$A$2:$A$188,0)))</f>
        <v>Own canonical DB/backend/security/API/infra. No W2-owned UI/admin task files and no W3 ML/Assistant runtime.</v>
      </c>
      <c r="L37" s="38" t="str">
        <f>IF(INDEX(Backlog!$V$2:$V$188,MATCH($D37,Backlog!$A$2:$A$188,0))="","",INDEX(Backlog!$V$2:$V$188,MATCH($D37,Backlog!$A$2:$A$188,0)))</f>
        <v>Commit before downstream consumer starts; consumer must use the contract, not redesign producer-owned semantics.</v>
      </c>
      <c r="M37" s="32" t="str">
        <f>IF(INDEX(Backlog!$AO$2:$AO$188,MATCH($D37,Backlog!$A$2:$A$188,0))="","",INDEX(Backlog!$AO$2:$AO$188,MATCH($D37,Backlog!$A$2:$A$188,0)))</f>
        <v>Recorded closed — inherited evidence</v>
      </c>
      <c r="N37" s="32" t="str">
        <f>IF(INDEX(Backlog!$AN$2:$AN$188,MATCH($D37,Backlog!$A$2:$A$188,0))="","",INDEX(Backlog!$AN$2:$AN$188,MATCH($D37,Backlog!$A$2:$A$188,0)))</f>
        <v/>
      </c>
    </row>
    <row r="38" spans="1:14" ht="26.1" customHeight="1">
      <c r="A38" s="38" t="str">
        <f>IF(INDEX(Backlog!$L$2:$L$188,MATCH($D38,Backlog!$A$2:$A$188,0))="","",INDEX(Backlog!$L$2:$L$188,MATCH($D38,Backlog!$A$2:$A$188,0)))</f>
        <v>Worker 1</v>
      </c>
      <c r="B38" s="38" t="str">
        <f>IF(INDEX(Backlog!$B$2:$B$188,MATCH($D38,Backlog!$A$2:$A$188,0))="","",INDEX(Backlog!$B$2:$B$188,MATCH($D38,Backlog!$A$2:$A$188,0)))</f>
        <v>M2</v>
      </c>
      <c r="C38" s="38" t="str">
        <f>IF(INDEX(Backlog!$C$2:$C$188,MATCH($D38,Backlog!$A$2:$A$188,0))="","",INDEX(Backlog!$C$2:$C$188,MATCH($D38,Backlog!$A$2:$A$188,0)))</f>
        <v>P2</v>
      </c>
      <c r="D38" s="38" t="s">
        <v>445</v>
      </c>
      <c r="E38" s="38" t="str">
        <f>IF(INDEX(Backlog!$D$2:$D$188,MATCH($D38,Backlog!$A$2:$A$188,0))="","",INDEX(Backlog!$D$2:$D$188,MATCH($D38,Backlog!$A$2:$A$188,0)))</f>
        <v>Path resolver, part 2: the remaining eight consumers and the regression suite</v>
      </c>
      <c r="F38" s="70" t="str">
        <f>IF(INDEX(Backlog!$K$2:$K$188,MATCH($D38,Backlog!$A$2:$A$188,0))="","",INDEX(Backlog!$K$2:$K$188,MATCH($D38,Backlog!$A$2:$A$188,0)))</f>
        <v>Done</v>
      </c>
      <c r="G38" s="38">
        <f>IF(ISNUMBER(INDEX(Backlog!$AS$2:$AS$188,MATCH($D38,Backlog!$A$2:$A$188,0))),INDEX(Backlog!$AS$2:$AS$188,MATCH($D38,Backlog!$A$2:$A$188,0)),"")</f>
        <v>6</v>
      </c>
      <c r="H38" s="38">
        <f>IF(ISNUMBER(INDEX(Backlog!$AT$2:$AT$188,MATCH($D38,Backlog!$A$2:$A$188,0))),INDEX(Backlog!$AT$2:$AT$188,MATCH($D38,Backlog!$A$2:$A$188,0)),"")</f>
        <v>0.89999999999999991</v>
      </c>
      <c r="I38" s="38" t="str">
        <f>IF(INDEX(Backlog!$M$2:$M$188,MATCH($D38,Backlog!$A$2:$A$188,0))="","",INDEX(Backlog!$M$2:$M$188,MATCH($D38,Backlog!$A$2:$A$188,0)))</f>
        <v>T-096</v>
      </c>
      <c r="J38" s="38" t="str">
        <f>IF(INDEX(Backlog!$T$2:$T$188,MATCH($D38,Backlog!$A$2:$A$188,0))="","",INDEX(Backlog!$T$2:$T$188,MATCH($D38,Backlog!$A$2:$A$188,0)))</f>
        <v>CLOSED BASELINE — no new start gate and no re-execution implied. Preserve accepted closure and clean owned scope; reopen only on a concrete, separately recorded regression. Downstream consumes the frozen contract.</v>
      </c>
      <c r="K38" s="38" t="str">
        <f>IF(INDEX(Backlog!$U$2:$U$188,MATCH($D38,Backlog!$A$2:$A$188,0))="","",INDEX(Backlog!$U$2:$U$188,MATCH($D38,Backlog!$A$2:$A$188,0)))</f>
        <v>Own canonical DB/backend/security/API/infra. No W2-owned UI/admin task files and no W3 ML/Assistant runtime.</v>
      </c>
      <c r="L38" s="38" t="str">
        <f>IF(INDEX(Backlog!$V$2:$V$188,MATCH($D38,Backlog!$A$2:$A$188,0))="","",INDEX(Backlog!$V$2:$V$188,MATCH($D38,Backlog!$A$2:$A$188,0)))</f>
        <v>Commit before downstream consumer starts; consumer must use the contract, not redesign producer-owned semantics.</v>
      </c>
      <c r="M38" s="32" t="str">
        <f>IF(INDEX(Backlog!$AO$2:$AO$188,MATCH($D38,Backlog!$A$2:$A$188,0))="","",INDEX(Backlog!$AO$2:$AO$188,MATCH($D38,Backlog!$A$2:$A$188,0)))</f>
        <v>Recorded closed — inherited evidence</v>
      </c>
      <c r="N38" s="32" t="str">
        <f>IF(INDEX(Backlog!$AN$2:$AN$188,MATCH($D38,Backlog!$A$2:$A$188,0))="","",INDEX(Backlog!$AN$2:$AN$188,MATCH($D38,Backlog!$A$2:$A$188,0)))</f>
        <v/>
      </c>
    </row>
    <row r="39" spans="1:14" ht="26.1" customHeight="1">
      <c r="A39" s="38" t="str">
        <f>IF(INDEX(Backlog!$L$2:$L$188,MATCH($D39,Backlog!$A$2:$A$188,0))="","",INDEX(Backlog!$L$2:$L$188,MATCH($D39,Backlog!$A$2:$A$188,0)))</f>
        <v>Worker 1</v>
      </c>
      <c r="B39" s="38" t="str">
        <f>IF(INDEX(Backlog!$B$2:$B$188,MATCH($D39,Backlog!$A$2:$A$188,0))="","",INDEX(Backlog!$B$2:$B$188,MATCH($D39,Backlog!$A$2:$A$188,0)))</f>
        <v>M2</v>
      </c>
      <c r="C39" s="38" t="str">
        <f>IF(INDEX(Backlog!$C$2:$C$188,MATCH($D39,Backlog!$A$2:$A$188,0))="","",INDEX(Backlog!$C$2:$C$188,MATCH($D39,Backlog!$A$2:$A$188,0)))</f>
        <v>P2</v>
      </c>
      <c r="D39" s="38" t="s">
        <v>463</v>
      </c>
      <c r="E39" s="38" t="str">
        <f>IF(INDEX(Backlog!$D$2:$D$188,MATCH($D39,Backlog!$A$2:$A$188,0))="","",INDEX(Backlog!$D$2:$D$188,MATCH($D39,Backlog!$A$2:$A$188,0)))</f>
        <v>Quarantine, part 1: the table, the reprocess API and the first eight PV classes</v>
      </c>
      <c r="F39" s="70" t="str">
        <f>IF(INDEX(Backlog!$K$2:$K$188,MATCH($D39,Backlog!$A$2:$A$188,0))="","",INDEX(Backlog!$K$2:$K$188,MATCH($D39,Backlog!$A$2:$A$188,0)))</f>
        <v>Done</v>
      </c>
      <c r="G39" s="38">
        <f>IF(ISNUMBER(INDEX(Backlog!$AS$2:$AS$188,MATCH($D39,Backlog!$A$2:$A$188,0))),INDEX(Backlog!$AS$2:$AS$188,MATCH($D39,Backlog!$A$2:$A$188,0)),"")</f>
        <v>8</v>
      </c>
      <c r="H39" s="38">
        <f>IF(ISNUMBER(INDEX(Backlog!$AT$2:$AT$188,MATCH($D39,Backlog!$A$2:$A$188,0))),INDEX(Backlog!$AT$2:$AT$188,MATCH($D39,Backlog!$A$2:$A$188,0)),"")</f>
        <v>1.2000000000000002</v>
      </c>
      <c r="I39" s="38" t="str">
        <f>IF(INDEX(Backlog!$M$2:$M$188,MATCH($D39,Backlog!$A$2:$A$188,0))="","",INDEX(Backlog!$M$2:$M$188,MATCH($D39,Backlog!$A$2:$A$188,0)))</f>
        <v>T-087; T-089; T-090</v>
      </c>
      <c r="J39" s="38" t="str">
        <f>IF(INDEX(Backlog!$T$2:$T$188,MATCH($D39,Backlog!$A$2:$A$188,0))="","",INDEX(Backlog!$T$2:$T$188,MATCH($D39,Backlog!$A$2:$A$188,0)))</f>
        <v>CLOSED BASELINE — no new start gate and no re-execution implied. Preserve accepted closure and clean owned scope; reopen only on a concrete, separately recorded regression. Downstream consumes the frozen contract.</v>
      </c>
      <c r="K39" s="38" t="str">
        <f>IF(INDEX(Backlog!$U$2:$U$188,MATCH($D39,Backlog!$A$2:$A$188,0))="","",INDEX(Backlog!$U$2:$U$188,MATCH($D39,Backlog!$A$2:$A$188,0)))</f>
        <v>Own canonical DB/backend/security/API/infra. No W2-owned UI/admin task files and no W3 ML/Assistant runtime.</v>
      </c>
      <c r="L39" s="38" t="str">
        <f>IF(INDEX(Backlog!$V$2:$V$188,MATCH($D39,Backlog!$A$2:$A$188,0))="","",INDEX(Backlog!$V$2:$V$188,MATCH($D39,Backlog!$A$2:$A$188,0)))</f>
        <v>Commit before downstream consumer starts; consumer must use the contract, not redesign producer-owned semantics.</v>
      </c>
      <c r="M39" s="32" t="str">
        <f>IF(INDEX(Backlog!$AO$2:$AO$188,MATCH($D39,Backlog!$A$2:$A$188,0))="","",INDEX(Backlog!$AO$2:$AO$188,MATCH($D39,Backlog!$A$2:$A$188,0)))</f>
        <v>CLOSED GREEN / COMMITTED — FINAL TRANSCRIPT CORROBORATED</v>
      </c>
      <c r="N39" s="32" t="str">
        <f>IF(INDEX(Backlog!$AN$2:$AN$188,MATCH($D39,Backlog!$A$2:$A$188,0))="","",INDEX(Backlog!$AN$2:$AN$188,MATCH($D39,Backlog!$A$2:$A$188,0)))</f>
        <v/>
      </c>
    </row>
    <row r="40" spans="1:14" ht="26.1" customHeight="1">
      <c r="A40" s="38" t="str">
        <f>IF(INDEX(Backlog!$L$2:$L$188,MATCH($D40,Backlog!$A$2:$A$188,0))="","",INDEX(Backlog!$L$2:$L$188,MATCH($D40,Backlog!$A$2:$A$188,0)))</f>
        <v>Worker 1</v>
      </c>
      <c r="B40" s="38" t="str">
        <f>IF(INDEX(Backlog!$B$2:$B$188,MATCH($D40,Backlog!$A$2:$A$188,0))="","",INDEX(Backlog!$B$2:$B$188,MATCH($D40,Backlog!$A$2:$A$188,0)))</f>
        <v>M2</v>
      </c>
      <c r="C40" s="38" t="str">
        <f>IF(INDEX(Backlog!$C$2:$C$188,MATCH($D40,Backlog!$A$2:$A$188,0))="","",INDEX(Backlog!$C$2:$C$188,MATCH($D40,Backlog!$A$2:$A$188,0)))</f>
        <v>P2</v>
      </c>
      <c r="D40" s="38" t="s">
        <v>476</v>
      </c>
      <c r="E40" s="38" t="str">
        <f>IF(INDEX(Backlog!$D$2:$D$188,MATCH($D40,Backlog!$A$2:$A$188,0))="","",INDEX(Backlog!$D$2:$D$188,MATCH($D40,Backlog!$A$2:$A$188,0)))</f>
        <v>Quarantine, part 2: the remaining seven PV classes and per-class tests</v>
      </c>
      <c r="F40" s="70" t="str">
        <f>IF(INDEX(Backlog!$K$2:$K$188,MATCH($D40,Backlog!$A$2:$A$188,0))="","",INDEX(Backlog!$K$2:$K$188,MATCH($D40,Backlog!$A$2:$A$188,0)))</f>
        <v>Done</v>
      </c>
      <c r="G40" s="38" t="str">
        <f>IF(ISNUMBER(INDEX(Backlog!$AS$2:$AS$188,MATCH($D40,Backlog!$A$2:$A$188,0))),INDEX(Backlog!$AS$2:$AS$188,MATCH($D40,Backlog!$A$2:$A$188,0)),"")</f>
        <v/>
      </c>
      <c r="H40" s="38" t="str">
        <f>IF(ISNUMBER(INDEX(Backlog!$AT$2:$AT$188,MATCH($D40,Backlog!$A$2:$A$188,0))),INDEX(Backlog!$AT$2:$AT$188,MATCH($D40,Backlog!$A$2:$A$188,0)),"")</f>
        <v/>
      </c>
      <c r="I40" s="38" t="str">
        <f>IF(INDEX(Backlog!$M$2:$M$188,MATCH($D40,Backlog!$A$2:$A$188,0))="","",INDEX(Backlog!$M$2:$M$188,MATCH($D40,Backlog!$A$2:$A$188,0)))</f>
        <v>T-099</v>
      </c>
      <c r="J40" s="38" t="str">
        <f>IF(INDEX(Backlog!$T$2:$T$188,MATCH($D40,Backlog!$A$2:$A$188,0))="","",INDEX(Backlog!$T$2:$T$188,MATCH($D40,Backlog!$A$2:$A$188,0)))</f>
        <v>RUNNER-1 CANDIDATE IS PRESENT; DO NOT RERUN RUNNER 1 or require a clean owned tree relative to HEAD. Resume from the exact handoff/postimages. Resume v1.0.1 is issued; success is not yet reported. Validate HEAD against the handoff and all owned postimage hashes before continuing. Expected parent supplied for closure is 4e0f1219ddbac3163bafe7ce510b62520683a77c; do not substitute the older T-099-only HEAD. If the exact gates fail, stop and report without manual resets, cleanup of unrelated work, or a fresh mutation pack. Worker 1/CENTRAL retains the execution lock through T-100 final commit; Worker 2 remains held.</v>
      </c>
      <c r="K40" s="38" t="str">
        <f>IF(INDEX(Backlog!$U$2:$U$188,MATCH($D40,Backlog!$A$2:$A$188,0))="","",INDEX(Backlog!$U$2:$U$188,MATCH($D40,Backlog!$A$2:$A$188,0)))</f>
        <v>Worker 1 is the recorded execution owner; CENTRAL-assisted delivery. Preserve the existing T-100 candidate and unrelated dirty work. Exclusive shared repository mutation lock until T-100 is committed.</v>
      </c>
      <c r="L40" s="38" t="str">
        <f>IF(INDEX(Backlog!$V$2:$V$188,MATCH($D40,Backlog!$A$2:$A$188,0))="","",INDEX(Backlog!$V$2:$V$188,MATCH($D40,Backlog!$A$2:$A$188,0)))</f>
        <v>Release Worker 2 only after T-100 final commit SHA and closure evidence. The successor consumes PROJECTION_* declaration, PV01..PV15 row-validation and JOB_EXEC_* runtime boundaries without duplication.</v>
      </c>
      <c r="M40" s="32" t="str">
        <f>IF(INDEX(Backlog!$AO$2:$AO$188,MATCH($D40,Backlog!$A$2:$A$188,0))="","",INDEX(Backlog!$AO$2:$AO$188,MATCH($D40,Backlog!$A$2:$A$188,0)))</f>
        <v>RUNNER 1 GREEN REPORTED / DB BUILD PASSED / LIVE HARNESS BLOCKED / UNCOMMITTED</v>
      </c>
      <c r="N40" s="32" t="str">
        <f>IF(INDEX(Backlog!$AN$2:$AN$188,MATCH($D40,Backlog!$A$2:$A$188,0))="","",INDEX(Backlog!$AN$2:$AN$188,MATCH($D40,Backlog!$A$2:$A$188,0)))</f>
        <v/>
      </c>
    </row>
    <row r="41" spans="1:14" ht="26.1" customHeight="1">
      <c r="A41" s="38" t="str">
        <f>IF(INDEX(Backlog!$L$2:$L$188,MATCH($D41,Backlog!$A$2:$A$188,0))="","",INDEX(Backlog!$L$2:$L$188,MATCH($D41,Backlog!$A$2:$A$188,0)))</f>
        <v>Worker 1</v>
      </c>
      <c r="B41" s="38" t="str">
        <f>IF(INDEX(Backlog!$B$2:$B$188,MATCH($D41,Backlog!$A$2:$A$188,0))="","",INDEX(Backlog!$B$2:$B$188,MATCH($D41,Backlog!$A$2:$A$188,0)))</f>
        <v>M2</v>
      </c>
      <c r="C41" s="38" t="str">
        <f>IF(INDEX(Backlog!$C$2:$C$188,MATCH($D41,Backlog!$A$2:$A$188,0))="","",INDEX(Backlog!$C$2:$C$188,MATCH($D41,Backlog!$A$2:$A$188,0)))</f>
        <v>P2</v>
      </c>
      <c r="D41" s="38" t="s">
        <v>498</v>
      </c>
      <c r="E41" s="38" t="str">
        <f>IF(INDEX(Backlog!$D$2:$D$188,MATCH($D41,Backlog!$A$2:$A$188,0))="","",INDEX(Backlog!$D$2:$D$188,MATCH($D41,Backlog!$A$2:$A$188,0)))</f>
        <v>Identity resolution across sources</v>
      </c>
      <c r="F41" s="70" t="str">
        <f>IF(INDEX(Backlog!$K$2:$K$188,MATCH($D41,Backlog!$A$2:$A$188,0))="","",INDEX(Backlog!$K$2:$K$188,MATCH($D41,Backlog!$A$2:$A$188,0)))</f>
        <v>Not Started</v>
      </c>
      <c r="G41" s="38">
        <f>IF(ISNUMBER(INDEX(Backlog!$AS$2:$AS$188,MATCH($D41,Backlog!$A$2:$A$188,0))),INDEX(Backlog!$AS$2:$AS$188,MATCH($D41,Backlog!$A$2:$A$188,0)),"")</f>
        <v>8</v>
      </c>
      <c r="H41" s="38">
        <f>IF(ISNUMBER(INDEX(Backlog!$AT$2:$AT$188,MATCH($D41,Backlog!$A$2:$A$188,0))),INDEX(Backlog!$AT$2:$AT$188,MATCH($D41,Backlog!$A$2:$A$188,0)),"")</f>
        <v>1.2000000000000002</v>
      </c>
      <c r="I41" s="38" t="str">
        <f>IF(INDEX(Backlog!$M$2:$M$188,MATCH($D41,Backlog!$A$2:$A$188,0))="","",INDEX(Backlog!$M$2:$M$188,MATCH($D41,Backlog!$A$2:$A$188,0)))</f>
        <v>T-087; T-095</v>
      </c>
      <c r="J41" s="38" t="str">
        <f>IF(INDEX(Backlog!$T$2:$T$188,MATCH($D41,Backlog!$A$2:$A$188,0))="","",INDEX(Backlog!$T$2:$T$188,MATCH($D41,Backlog!$A$2:$A$188,0)))</f>
        <v>Use the accepted M1 regression baseline; require empty index and clean owned paths, preserving unrelated user work. Then: T-087 canonical plant schema + T-095 relationship/material identity authority.</v>
      </c>
      <c r="K41" s="38" t="str">
        <f>IF(INDEX(Backlog!$U$2:$U$188,MATCH($D41,Backlog!$A$2:$A$188,0))="","",INDEX(Backlog!$U$2:$U$188,MATCH($D41,Backlog!$A$2:$A$188,0)))</f>
        <v>Own canonical DB/backend/security/API/infra. No W2-owned UI/admin task files and no W3 ML/Assistant runtime.</v>
      </c>
      <c r="L41" s="38" t="str">
        <f>IF(INDEX(Backlog!$V$2:$V$188,MATCH($D41,Backlog!$A$2:$A$188,0))="","",INDEX(Backlog!$V$2:$V$188,MATCH($D41,Backlog!$A$2:$A$188,0)))</f>
        <v>Commit before downstream consumer starts; consumer must use the contract, not redesign producer-owned semantics.</v>
      </c>
      <c r="M41" s="32" t="str">
        <f>IF(INDEX(Backlog!$AO$2:$AO$188,MATCH($D41,Backlog!$A$2:$A$188,0))="","",INDEX(Backlog!$AO$2:$AO$188,MATCH($D41,Backlog!$A$2:$A$188,0)))</f>
        <v>Not started — no completion claimed</v>
      </c>
      <c r="N41" s="32" t="str">
        <f>IF(INDEX(Backlog!$AN$2:$AN$188,MATCH($D41,Backlog!$A$2:$A$188,0))="","",INDEX(Backlog!$AN$2:$AN$188,MATCH($D41,Backlog!$A$2:$A$188,0)))</f>
        <v/>
      </c>
    </row>
    <row r="42" spans="1:14" ht="26.1" customHeight="1">
      <c r="A42" s="38" t="str">
        <f>IF(INDEX(Backlog!$L$2:$L$188,MATCH($D42,Backlog!$A$2:$A$188,0))="","",INDEX(Backlog!$L$2:$L$188,MATCH($D42,Backlog!$A$2:$A$188,0)))</f>
        <v>Worker 1</v>
      </c>
      <c r="B42" s="38" t="str">
        <f>IF(INDEX(Backlog!$B$2:$B$188,MATCH($D42,Backlog!$A$2:$A$188,0))="","",INDEX(Backlog!$B$2:$B$188,MATCH($D42,Backlog!$A$2:$A$188,0)))</f>
        <v>M2</v>
      </c>
      <c r="C42" s="38" t="str">
        <f>IF(INDEX(Backlog!$C$2:$C$188,MATCH($D42,Backlog!$A$2:$A$188,0))="","",INDEX(Backlog!$C$2:$C$188,MATCH($D42,Backlog!$A$2:$A$188,0)))</f>
        <v>P2</v>
      </c>
      <c r="D42" s="38" t="s">
        <v>508</v>
      </c>
      <c r="E42" s="38" t="str">
        <f>IF(INDEX(Backlog!$D$2:$D$188,MATCH($D42,Backlog!$A$2:$A$188,0))="","",INDEX(Backlog!$D$2:$D$188,MATCH($D42,Backlog!$A$2:$A$188,0)))</f>
        <v>Genealogy bidirectional walk hardening and weight proof</v>
      </c>
      <c r="F42" s="70" t="str">
        <f>IF(INDEX(Backlog!$K$2:$K$188,MATCH($D42,Backlog!$A$2:$A$188,0))="","",INDEX(Backlog!$K$2:$K$188,MATCH($D42,Backlog!$A$2:$A$188,0)))</f>
        <v>Not Started</v>
      </c>
      <c r="G42" s="38" t="str">
        <f>IF(ISNUMBER(INDEX(Backlog!$AS$2:$AS$188,MATCH($D42,Backlog!$A$2:$A$188,0))),INDEX(Backlog!$AS$2:$AS$188,MATCH($D42,Backlog!$A$2:$A$188,0)),"")</f>
        <v/>
      </c>
      <c r="H42" s="38" t="str">
        <f>IF(ISNUMBER(INDEX(Backlog!$AT$2:$AT$188,MATCH($D42,Backlog!$A$2:$A$188,0))),INDEX(Backlog!$AT$2:$AT$188,MATCH($D42,Backlog!$A$2:$A$188,0)),"")</f>
        <v/>
      </c>
      <c r="I42" s="38" t="str">
        <f>IF(INDEX(Backlog!$M$2:$M$188,MATCH($D42,Backlog!$A$2:$A$188,0))="","",INDEX(Backlog!$M$2:$M$188,MATCH($D42,Backlog!$A$2:$A$188,0)))</f>
        <v>T-095; T-102</v>
      </c>
      <c r="J42" s="38" t="str">
        <f>IF(INDEX(Backlog!$T$2:$T$188,MATCH($D42,Backlog!$A$2:$A$188,0))="","",INDEX(Backlog!$T$2:$T$188,MATCH($D42,Backlog!$A$2:$A$188,0)))</f>
        <v>Use the accepted M1 regression baseline; require empty index and clean owned paths, preserving unrelated user work. Then: T-095 + T-102 canonical relationship/identity authority.</v>
      </c>
      <c r="K42" s="38" t="str">
        <f>IF(INDEX(Backlog!$U$2:$U$188,MATCH($D42,Backlog!$A$2:$A$188,0))="","",INDEX(Backlog!$U$2:$U$188,MATCH($D42,Backlog!$A$2:$A$188,0)))</f>
        <v>Own canonical DB/backend/security/API/infra. No W2-owned UI/admin task files and no W3 ML/Assistant runtime.</v>
      </c>
      <c r="L42" s="38" t="str">
        <f>IF(INDEX(Backlog!$V$2:$V$188,MATCH($D42,Backlog!$A$2:$A$188,0))="","",INDEX(Backlog!$V$2:$V$188,MATCH($D42,Backlog!$A$2:$A$188,0)))</f>
        <v>Commit before downstream consumer starts; consumer must use the contract, not redesign producer-owned semantics.</v>
      </c>
      <c r="M42" s="32" t="str">
        <f>IF(INDEX(Backlog!$AO$2:$AO$188,MATCH($D42,Backlog!$A$2:$A$188,0))="","",INDEX(Backlog!$AO$2:$AO$188,MATCH($D42,Backlog!$A$2:$A$188,0)))</f>
        <v>Not started — no completion claimed</v>
      </c>
      <c r="N42" s="32" t="str">
        <f>IF(INDEX(Backlog!$AN$2:$AN$188,MATCH($D42,Backlog!$A$2:$A$188,0))="","",INDEX(Backlog!$AN$2:$AN$188,MATCH($D42,Backlog!$A$2:$A$188,0)))</f>
        <v/>
      </c>
    </row>
    <row r="43" spans="1:14" ht="26.1" customHeight="1">
      <c r="A43" s="38" t="str">
        <f>IF(INDEX(Backlog!$L$2:$L$188,MATCH($D43,Backlog!$A$2:$A$188,0))="","",INDEX(Backlog!$L$2:$L$188,MATCH($D43,Backlog!$A$2:$A$188,0)))</f>
        <v>Worker 1</v>
      </c>
      <c r="B43" s="38" t="str">
        <f>IF(INDEX(Backlog!$B$2:$B$188,MATCH($D43,Backlog!$A$2:$A$188,0))="","",INDEX(Backlog!$B$2:$B$188,MATCH($D43,Backlog!$A$2:$A$188,0)))</f>
        <v>M2</v>
      </c>
      <c r="C43" s="38" t="str">
        <f>IF(INDEX(Backlog!$C$2:$C$188,MATCH($D43,Backlog!$A$2:$A$188,0))="","",INDEX(Backlog!$C$2:$C$188,MATCH($D43,Backlog!$A$2:$A$188,0)))</f>
        <v>P2</v>
      </c>
      <c r="D43" s="38" t="s">
        <v>514</v>
      </c>
      <c r="E43" s="38" t="str">
        <f>IF(INDEX(Backlog!$D$2:$D$188,MATCH($D43,Backlog!$A$2:$A$188,0))="","",INDEX(Backlog!$D$2:$D$188,MATCH($D43,Backlog!$A$2:$A$188,0)))</f>
        <v>Projection provenance, exact-version stamping and idempotent reprojection</v>
      </c>
      <c r="F43" s="70" t="str">
        <f>IF(INDEX(Backlog!$K$2:$K$188,MATCH($D43,Backlog!$A$2:$A$188,0))="","",INDEX(Backlog!$K$2:$K$188,MATCH($D43,Backlog!$A$2:$A$188,0)))</f>
        <v>Not Started</v>
      </c>
      <c r="G43" s="38" t="str">
        <f>IF(ISNUMBER(INDEX(Backlog!$AS$2:$AS$188,MATCH($D43,Backlog!$A$2:$A$188,0))),INDEX(Backlog!$AS$2:$AS$188,MATCH($D43,Backlog!$A$2:$A$188,0)),"")</f>
        <v/>
      </c>
      <c r="H43" s="38" t="str">
        <f>IF(ISNUMBER(INDEX(Backlog!$AT$2:$AT$188,MATCH($D43,Backlog!$A$2:$A$188,0))),INDEX(Backlog!$AT$2:$AT$188,MATCH($D43,Backlog!$A$2:$A$188,0)),"")</f>
        <v/>
      </c>
      <c r="I43" s="38" t="str">
        <f>IF(INDEX(Backlog!$M$2:$M$188,MATCH($D43,Backlog!$A$2:$A$188,0))="","",INDEX(Backlog!$M$2:$M$188,MATCH($D43,Backlog!$A$2:$A$188,0)))</f>
        <v>T-090; T-095; T-099; T-261</v>
      </c>
      <c r="J43" s="38" t="str">
        <f>IF(INDEX(Backlog!$T$2:$T$188,MATCH($D43,Backlog!$A$2:$A$188,0))="","",INDEX(Backlog!$T$2:$T$188,MATCH($D43,Backlog!$A$2:$A$188,0)))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T-090 canonical versioned mapping definitions + T-095 relationship authority ...</v>
      </c>
      <c r="K43" s="38" t="str">
        <f>IF(INDEX(Backlog!$U$2:$U$188,MATCH($D43,Backlog!$A$2:$A$188,0))="","",INDEX(Backlog!$U$2:$U$188,MATCH($D43,Backlog!$A$2:$A$188,0)))</f>
        <v>Own canonical DB/backend/security/API/infra. No W2-owned UI/admin task files and no W3 ML/Assistant runtime.</v>
      </c>
      <c r="L43" s="38" t="str">
        <f>IF(INDEX(Backlog!$V$2:$V$188,MATCH($D43,Backlog!$A$2:$A$188,0))="","",INDEX(Backlog!$V$2:$V$188,MATCH($D43,Backlog!$A$2:$A$188,0)))</f>
        <v>Commit before downstream consumer starts; consumer must use the contract, not redesign producer-owned semantics.</v>
      </c>
      <c r="M43" s="32" t="str">
        <f>IF(INDEX(Backlog!$AO$2:$AO$188,MATCH($D43,Backlog!$A$2:$A$188,0))="","",INDEX(Backlog!$AO$2:$AO$188,MATCH($D43,Backlog!$A$2:$A$188,0)))</f>
        <v>Not started — no completion claimed</v>
      </c>
      <c r="N43" s="32" t="str">
        <f>IF(INDEX(Backlog!$AN$2:$AN$188,MATCH($D43,Backlog!$A$2:$A$188,0))="","",INDEX(Backlog!$AN$2:$AN$188,MATCH($D43,Backlog!$A$2:$A$188,0)))</f>
        <v/>
      </c>
    </row>
    <row r="44" spans="1:14" ht="26.1" customHeight="1">
      <c r="A44" s="38" t="str">
        <f>IF(INDEX(Backlog!$L$2:$L$188,MATCH($D44,Backlog!$A$2:$A$188,0))="","",INDEX(Backlog!$L$2:$L$188,MATCH($D44,Backlog!$A$2:$A$188,0)))</f>
        <v>Worker 1</v>
      </c>
      <c r="B44" s="38" t="str">
        <f>IF(INDEX(Backlog!$B$2:$B$188,MATCH($D44,Backlog!$A$2:$A$188,0))="","",INDEX(Backlog!$B$2:$B$188,MATCH($D44,Backlog!$A$2:$A$188,0)))</f>
        <v>M2</v>
      </c>
      <c r="C44" s="38" t="str">
        <f>IF(INDEX(Backlog!$C$2:$C$188,MATCH($D44,Backlog!$A$2:$A$188,0))="","",INDEX(Backlog!$C$2:$C$188,MATCH($D44,Backlog!$A$2:$A$188,0)))</f>
        <v>P2</v>
      </c>
      <c r="D44" s="38" t="s">
        <v>548</v>
      </c>
      <c r="E44" s="38" t="str">
        <f>IF(INDEX(Backlog!$D$2:$D$188,MATCH($D44,Backlog!$A$2:$A$188,0))="","",INDEX(Backlog!$D$2:$D$188,MATCH($D44,Backlog!$A$2:$A$188,0)))</f>
        <v>End-to-end delta correctness: source cursor, load protection, replay and projection watermark</v>
      </c>
      <c r="F44" s="70" t="str">
        <f>IF(INDEX(Backlog!$K$2:$K$188,MATCH($D44,Backlog!$A$2:$A$188,0))="","",INDEX(Backlog!$K$2:$K$188,MATCH($D44,Backlog!$A$2:$A$188,0)))</f>
        <v>Not Started</v>
      </c>
      <c r="G44" s="38" t="str">
        <f>IF(ISNUMBER(INDEX(Backlog!$AS$2:$AS$188,MATCH($D44,Backlog!$A$2:$A$188,0))),INDEX(Backlog!$AS$2:$AS$188,MATCH($D44,Backlog!$A$2:$A$188,0)),"")</f>
        <v/>
      </c>
      <c r="H44" s="38" t="str">
        <f>IF(ISNUMBER(INDEX(Backlog!$AT$2:$AT$188,MATCH($D44,Backlog!$A$2:$A$188,0))),INDEX(Backlog!$AT$2:$AT$188,MATCH($D44,Backlog!$A$2:$A$188,0)),"")</f>
        <v/>
      </c>
      <c r="I44" s="38" t="str">
        <f>IF(INDEX(Backlog!$M$2:$M$188,MATCH($D44,Backlog!$A$2:$A$188,0))="","",INDEX(Backlog!$M$2:$M$188,MATCH($D44,Backlog!$A$2:$A$188,0)))</f>
        <v>T-099; T-104</v>
      </c>
      <c r="J44" s="38" t="str">
        <f>IF(INDEX(Backlog!$T$2:$T$188,MATCH($D44,Backlog!$A$2:$A$188,0))="","",INDEX(Backlog!$T$2:$T$188,MATCH($D44,Backlog!$A$2:$A$188,0)))</f>
        <v>Consume accepted producer contracts; remaining dependencies: T-099; T-104. No private scheduler/definition authority. Source-present is not closure proof.</v>
      </c>
      <c r="K44" s="38" t="str">
        <f>IF(INDEX(Backlog!$U$2:$U$188,MATCH($D44,Backlog!$A$2:$A$188,0))="","",INDEX(Backlog!$U$2:$U$188,MATCH($D44,Backlog!$A$2:$A$188,0)))</f>
        <v>Own canonical DB/backend/security/API/infra. No W2-owned UI/admin task files and no W3 ML/Assistant runtime.</v>
      </c>
      <c r="L44" s="38" t="str">
        <f>IF(INDEX(Backlog!$V$2:$V$188,MATCH($D44,Backlog!$A$2:$A$188,0))="","",INDEX(Backlog!$V$2:$V$188,MATCH($D44,Backlog!$A$2:$A$188,0)))</f>
        <v>Commit before downstream consumer starts; consumer must use the contract, not redesign producer-owned semantics.</v>
      </c>
      <c r="M44" s="32" t="str">
        <f>IF(INDEX(Backlog!$AO$2:$AO$188,MATCH($D44,Backlog!$A$2:$A$188,0))="","",INDEX(Backlog!$AO$2:$AO$188,MATCH($D44,Backlog!$A$2:$A$188,0)))</f>
        <v>Not started — no completion claimed</v>
      </c>
      <c r="N44" s="32" t="str">
        <f>IF(INDEX(Backlog!$AN$2:$AN$188,MATCH($D44,Backlog!$A$2:$A$188,0))="","",INDEX(Backlog!$AN$2:$AN$188,MATCH($D44,Backlog!$A$2:$A$188,0)))</f>
        <v/>
      </c>
    </row>
    <row r="45" spans="1:14" ht="26.1" customHeight="1">
      <c r="A45" s="38" t="str">
        <f>IF(INDEX(Backlog!$L$2:$L$188,MATCH($D45,Backlog!$A$2:$A$188,0))="","",INDEX(Backlog!$L$2:$L$188,MATCH($D45,Backlog!$A$2:$A$188,0)))</f>
        <v>Worker 1</v>
      </c>
      <c r="B45" s="38" t="str">
        <f>IF(INDEX(Backlog!$B$2:$B$188,MATCH($D45,Backlog!$A$2:$A$188,0))="","",INDEX(Backlog!$B$2:$B$188,MATCH($D45,Backlog!$A$2:$A$188,0)))</f>
        <v>M2</v>
      </c>
      <c r="C45" s="38" t="str">
        <f>IF(INDEX(Backlog!$C$2:$C$188,MATCH($D45,Backlog!$A$2:$A$188,0))="","",INDEX(Backlog!$C$2:$C$188,MATCH($D45,Backlog!$A$2:$A$188,0)))</f>
        <v>P2</v>
      </c>
      <c r="D45" s="38" t="s">
        <v>567</v>
      </c>
      <c r="E45" s="38" t="str">
        <f>IF(INDEX(Backlog!$D$2:$D$188,MATCH($D45,Backlog!$A$2:$A$188,0))="","",INDEX(Backlog!$D$2:$D$188,MATCH($D45,Backlog!$A$2:$A$188,0)))</f>
        <v>Connector capability truth: stop advertising unimplemented browse/read/subscription</v>
      </c>
      <c r="F45" s="70" t="str">
        <f>IF(INDEX(Backlog!$K$2:$K$188,MATCH($D45,Backlog!$A$2:$A$188,0))="","",INDEX(Backlog!$K$2:$K$188,MATCH($D45,Backlog!$A$2:$A$188,0)))</f>
        <v>Done</v>
      </c>
      <c r="G45" s="38">
        <f>IF(ISNUMBER(INDEX(Backlog!$AS$2:$AS$188,MATCH($D45,Backlog!$A$2:$A$188,0))),INDEX(Backlog!$AS$2:$AS$188,MATCH($D45,Backlog!$A$2:$A$188,0)),"")</f>
        <v>6</v>
      </c>
      <c r="H45" s="38">
        <f>IF(ISNUMBER(INDEX(Backlog!$AT$2:$AT$188,MATCH($D45,Backlog!$A$2:$A$188,0))),INDEX(Backlog!$AT$2:$AT$188,MATCH($D45,Backlog!$A$2:$A$188,0)),"")</f>
        <v>2.25</v>
      </c>
      <c r="I45" s="38" t="str">
        <f>IF(INDEX(Backlog!$M$2:$M$188,MATCH($D45,Backlog!$A$2:$A$188,0))="","",INDEX(Backlog!$M$2:$M$188,MATCH($D45,Backlog!$A$2:$A$188,0)))</f>
        <v>T-201</v>
      </c>
      <c r="J45" s="38" t="str">
        <f>IF(INDEX(Backlog!$T$2:$T$188,MATCH($D45,Backlog!$A$2:$A$188,0))="","",INDEX(Backlog!$T$2:$T$188,MATCH($D45,Backlog!$A$2:$A$188,0)))</f>
        <v>CLOSED BASELINE — no new start gate and no re-execution implied. Preserve accepted closure and clean owned scope; reopen only on a concrete, separately recorded regression. Downstream consumes the frozen contract.</v>
      </c>
      <c r="K45" s="38" t="str">
        <f>IF(INDEX(Backlog!$U$2:$U$188,MATCH($D45,Backlog!$A$2:$A$188,0))="","",INDEX(Backlog!$U$2:$U$188,MATCH($D45,Backlog!$A$2:$A$188,0)))</f>
        <v>Connector metadata/API contract and tests.</v>
      </c>
      <c r="L45" s="38" t="str">
        <f>IF(INDEX(Backlog!$V$2:$V$188,MATCH($D45,Backlog!$A$2:$A$188,0))="","",INDEX(Backlog!$V$2:$V$188,MATCH($D45,Backlog!$A$2:$A$188,0)))</f>
        <v>T-224..T-226 later may flip capabilities to true only by passing this contract.</v>
      </c>
      <c r="M45" s="32" t="str">
        <f>IF(INDEX(Backlog!$AO$2:$AO$188,MATCH($D45,Backlog!$A$2:$A$188,0))="","",INDEX(Backlog!$AO$2:$AO$188,MATCH($D45,Backlog!$A$2:$A$188,0)))</f>
        <v>Recorded closed — inherited evidence</v>
      </c>
      <c r="N45" s="32" t="str">
        <f>IF(INDEX(Backlog!$AN$2:$AN$188,MATCH($D45,Backlog!$A$2:$A$188,0))="","",INDEX(Backlog!$AN$2:$AN$188,MATCH($D45,Backlog!$A$2:$A$188,0)))</f>
        <v/>
      </c>
    </row>
    <row r="46" spans="1:14" ht="26.1" customHeight="1">
      <c r="A46" s="38" t="str">
        <f>IF(INDEX(Backlog!$L$2:$L$188,MATCH($D46,Backlog!$A$2:$A$188,0))="","",INDEX(Backlog!$L$2:$L$188,MATCH($D46,Backlog!$A$2:$A$188,0)))</f>
        <v>Worker 3</v>
      </c>
      <c r="B46" s="38" t="str">
        <f>IF(INDEX(Backlog!$B$2:$B$188,MATCH($D46,Backlog!$A$2:$A$188,0))="","",INDEX(Backlog!$B$2:$B$188,MATCH($D46,Backlog!$A$2:$A$188,0)))</f>
        <v>M2</v>
      </c>
      <c r="C46" s="38" t="str">
        <f>IF(INDEX(Backlog!$C$2:$C$188,MATCH($D46,Backlog!$A$2:$A$188,0))="","",INDEX(Backlog!$C$2:$C$188,MATCH($D46,Backlog!$A$2:$A$188,0)))</f>
        <v>P2</v>
      </c>
      <c r="D46" s="38" t="s">
        <v>610</v>
      </c>
      <c r="E46" s="38" t="str">
        <f>IF(INDEX(Backlog!$D$2:$D$188,MATCH($D46,Backlog!$A$2:$A$188,0))="","",INDEX(Backlog!$D$2:$D$188,MATCH($D46,Backlog!$A$2:$A$188,0)))</f>
        <v>Production OPC UA edge runtime: endpoint security, certificates and session lifecycle</v>
      </c>
      <c r="F46" s="70" t="str">
        <f>IF(INDEX(Backlog!$K$2:$K$188,MATCH($D46,Backlog!$A$2:$A$188,0))="","",INDEX(Backlog!$K$2:$K$188,MATCH($D46,Backlog!$A$2:$A$188,0)))</f>
        <v>Not Started</v>
      </c>
      <c r="G46" s="38" t="str">
        <f>IF(ISNUMBER(INDEX(Backlog!$AS$2:$AS$188,MATCH($D46,Backlog!$A$2:$A$188,0))),INDEX(Backlog!$AS$2:$AS$188,MATCH($D46,Backlog!$A$2:$A$188,0)),"")</f>
        <v/>
      </c>
      <c r="H46" s="38" t="str">
        <f>IF(ISNUMBER(INDEX(Backlog!$AT$2:$AT$188,MATCH($D46,Backlog!$A$2:$A$188,0))),INDEX(Backlog!$AT$2:$AT$188,MATCH($D46,Backlog!$A$2:$A$188,0)),"")</f>
        <v/>
      </c>
      <c r="I46" s="38" t="str">
        <f>IF(INDEX(Backlog!$M$2:$M$188,MATCH($D46,Backlog!$A$2:$A$188,0))="","",INDEX(Backlog!$M$2:$M$188,MATCH($D46,Backlog!$A$2:$A$188,0)))</f>
        <v>T-207</v>
      </c>
      <c r="J46" s="38" t="str">
        <f>IF(INDEX(Backlog!$T$2:$T$188,MATCH($D46,Backlog!$A$2:$A$188,0))="","",INDEX(Backlog!$T$2:$T$188,MATCH($D46,Backlog!$A$2:$A$188,0)))</f>
        <v>Release 1 MUST — start after T-207 connector-truth authority. Site/customer OT certification may require customer access, but the executable production OPC UA runtime itself cannot be deferred past M2.</v>
      </c>
      <c r="K46" s="38" t="str">
        <f>IF(INDEX(Backlog!$U$2:$U$188,MATCH($D46,Backlog!$A$2:$A$188,0))="","",INDEX(Backlog!$U$2:$U$188,MATCH($D46,Backlog!$A$2:$A$188,0)))</f>
        <v>Customer-side edge agent/OPC adapter only.</v>
      </c>
      <c r="L46" s="38" t="str">
        <f>IF(INDEX(Backlog!$V$2:$V$188,MATCH($D46,Backlog!$A$2:$A$188,0))="","",INDEX(Backlog!$V$2:$V$188,MATCH($D46,Backlog!$A$2:$A$188,0)))</f>
        <v>T-225 consumes session adapter; site certification remains T-153/T-227-like acceptance, not hidden in code.</v>
      </c>
      <c r="M46" s="32" t="str">
        <f>IF(INDEX(Backlog!$AO$2:$AO$188,MATCH($D46,Backlog!$A$2:$A$188,0))="","",INDEX(Backlog!$AO$2:$AO$188,MATCH($D46,Backlog!$A$2:$A$188,0)))</f>
        <v>Not started — no completion claimed</v>
      </c>
      <c r="N46" s="32" t="str">
        <f>IF(INDEX(Backlog!$AN$2:$AN$188,MATCH($D46,Backlog!$A$2:$A$188,0))="","",INDEX(Backlog!$AN$2:$AN$188,MATCH($D46,Backlog!$A$2:$A$188,0)))</f>
        <v/>
      </c>
    </row>
    <row r="47" spans="1:14" ht="26.1" customHeight="1">
      <c r="A47" s="38" t="str">
        <f>IF(INDEX(Backlog!$L$2:$L$188,MATCH($D47,Backlog!$A$2:$A$188,0))="","",INDEX(Backlog!$L$2:$L$188,MATCH($D47,Backlog!$A$2:$A$188,0)))</f>
        <v>Worker 3</v>
      </c>
      <c r="B47" s="38" t="str">
        <f>IF(INDEX(Backlog!$B$2:$B$188,MATCH($D47,Backlog!$A$2:$A$188,0))="","",INDEX(Backlog!$B$2:$B$188,MATCH($D47,Backlog!$A$2:$A$188,0)))</f>
        <v>M2</v>
      </c>
      <c r="C47" s="38" t="str">
        <f>IF(INDEX(Backlog!$C$2:$C$188,MATCH($D47,Backlog!$A$2:$A$188,0))="","",INDEX(Backlog!$C$2:$C$188,MATCH($D47,Backlog!$A$2:$A$188,0)))</f>
        <v>P2</v>
      </c>
      <c r="D47" s="38" t="s">
        <v>622</v>
      </c>
      <c r="E47" s="38" t="str">
        <f>IF(INDEX(Backlog!$D$2:$D$188,MATCH($D47,Backlog!$A$2:$A$188,0))="","",INDEX(Backlog!$D$2:$D$188,MATCH($D47,Backlog!$A$2:$A$188,0)))</f>
        <v>Production OPC UA edge runtime: browse, tag registration, subscription and monitored items</v>
      </c>
      <c r="F47" s="70" t="str">
        <f>IF(INDEX(Backlog!$K$2:$K$188,MATCH($D47,Backlog!$A$2:$A$188,0))="","",INDEX(Backlog!$K$2:$K$188,MATCH($D47,Backlog!$A$2:$A$188,0)))</f>
        <v>Not Started</v>
      </c>
      <c r="G47" s="38" t="str">
        <f>IF(ISNUMBER(INDEX(Backlog!$AS$2:$AS$188,MATCH($D47,Backlog!$A$2:$A$188,0))),INDEX(Backlog!$AS$2:$AS$188,MATCH($D47,Backlog!$A$2:$A$188,0)),"")</f>
        <v/>
      </c>
      <c r="H47" s="38" t="str">
        <f>IF(ISNUMBER(INDEX(Backlog!$AT$2:$AT$188,MATCH($D47,Backlog!$A$2:$A$188,0))),INDEX(Backlog!$AT$2:$AT$188,MATCH($D47,Backlog!$A$2:$A$188,0)),"")</f>
        <v/>
      </c>
      <c r="I47" s="38" t="str">
        <f>IF(INDEX(Backlog!$M$2:$M$188,MATCH($D47,Backlog!$A$2:$A$188,0))="","",INDEX(Backlog!$M$2:$M$188,MATCH($D47,Backlog!$A$2:$A$188,0)))</f>
        <v>T-224</v>
      </c>
      <c r="J47" s="38" t="str">
        <f>IF(INDEX(Backlog!$T$2:$T$188,MATCH($D47,Backlog!$A$2:$A$188,0))="","",INDEX(Backlog!$T$2:$T$188,MATCH($D47,Backlog!$A$2:$A$188,0)))</f>
        <v>T-224.</v>
      </c>
      <c r="K47" s="38" t="str">
        <f>IF(INDEX(Backlog!$U$2:$U$188,MATCH($D47,Backlog!$A$2:$A$188,0))="","",INDEX(Backlog!$U$2:$U$188,MATCH($D47,Backlog!$A$2:$A$188,0)))</f>
        <v>Edge OPC adapter + tag registry integration.</v>
      </c>
      <c r="L47" s="38" t="str">
        <f>IF(INDEX(Backlog!$V$2:$V$188,MATCH($D47,Backlog!$A$2:$A$188,0))="","",INDEX(Backlog!$V$2:$V$188,MATCH($D47,Backlog!$A$2:$A$188,0)))</f>
        <v>T-226 consumes typed acquired values; no core API direct OPC connection.</v>
      </c>
      <c r="M47" s="32" t="str">
        <f>IF(INDEX(Backlog!$AO$2:$AO$188,MATCH($D47,Backlog!$A$2:$A$188,0))="","",INDEX(Backlog!$AO$2:$AO$188,MATCH($D47,Backlog!$A$2:$A$188,0)))</f>
        <v>Not started — no completion claimed</v>
      </c>
      <c r="N47" s="32" t="str">
        <f>IF(INDEX(Backlog!$AN$2:$AN$188,MATCH($D47,Backlog!$A$2:$A$188,0))="","",INDEX(Backlog!$AN$2:$AN$188,MATCH($D47,Backlog!$A$2:$A$188,0)))</f>
        <v/>
      </c>
    </row>
    <row r="48" spans="1:14" ht="26.1" customHeight="1">
      <c r="A48" s="38" t="str">
        <f>IF(INDEX(Backlog!$L$2:$L$188,MATCH($D48,Backlog!$A$2:$A$188,0))="","",INDEX(Backlog!$L$2:$L$188,MATCH($D48,Backlog!$A$2:$A$188,0)))</f>
        <v>Worker 3</v>
      </c>
      <c r="B48" s="38" t="str">
        <f>IF(INDEX(Backlog!$B$2:$B$188,MATCH($D48,Backlog!$A$2:$A$188,0))="","",INDEX(Backlog!$B$2:$B$188,MATCH($D48,Backlog!$A$2:$A$188,0)))</f>
        <v>M2</v>
      </c>
      <c r="C48" s="38" t="str">
        <f>IF(INDEX(Backlog!$C$2:$C$188,MATCH($D48,Backlog!$A$2:$A$188,0))="","",INDEX(Backlog!$C$2:$C$188,MATCH($D48,Backlog!$A$2:$A$188,0)))</f>
        <v>P2</v>
      </c>
      <c r="D48" s="38" t="s">
        <v>629</v>
      </c>
      <c r="E48" s="38" t="str">
        <f>IF(INDEX(Backlog!$D$2:$D$188,MATCH($D48,Backlog!$A$2:$A$188,0))="","",INDEX(Backlog!$D$2:$D$188,MATCH($D48,Backlog!$A$2:$A$188,0)))</f>
        <v>Production OPC UA edge runtime: quality/timestamps, recovery and spool-to-canonical proof</v>
      </c>
      <c r="F48" s="70" t="str">
        <f>IF(INDEX(Backlog!$K$2:$K$188,MATCH($D48,Backlog!$A$2:$A$188,0))="","",INDEX(Backlog!$K$2:$K$188,MATCH($D48,Backlog!$A$2:$A$188,0)))</f>
        <v>Not Started</v>
      </c>
      <c r="G48" s="38" t="str">
        <f>IF(ISNUMBER(INDEX(Backlog!$AS$2:$AS$188,MATCH($D48,Backlog!$A$2:$A$188,0))),INDEX(Backlog!$AS$2:$AS$188,MATCH($D48,Backlog!$A$2:$A$188,0)),"")</f>
        <v/>
      </c>
      <c r="H48" s="38" t="str">
        <f>IF(ISNUMBER(INDEX(Backlog!$AT$2:$AT$188,MATCH($D48,Backlog!$A$2:$A$188,0))),INDEX(Backlog!$AT$2:$AT$188,MATCH($D48,Backlog!$A$2:$A$188,0)),"")</f>
        <v/>
      </c>
      <c r="I48" s="38" t="str">
        <f>IF(INDEX(Backlog!$M$2:$M$188,MATCH($D48,Backlog!$A$2:$A$188,0))="","",INDEX(Backlog!$M$2:$M$188,MATCH($D48,Backlog!$A$2:$A$188,0)))</f>
        <v>T-225; T-233; T-270; T-272; T-275</v>
      </c>
      <c r="J48" s="38" t="str">
        <f>IF(INDEX(Backlog!$T$2:$T$188,MATCH($D48,Backlog!$A$2:$A$188,0))="","",INDEX(Backlog!$T$2:$T$188,MATCH($D48,Backlog!$A$2:$A$188,0)))</f>
        <v>T-225 + T-216 Source Time Authority.</v>
      </c>
      <c r="K48" s="38" t="str">
        <f>IF(INDEX(Backlog!$U$2:$U$188,MATCH($D48,Backlog!$A$2:$A$188,0))="","",INDEX(Backlog!$U$2:$U$188,MATCH($D48,Backlog!$A$2:$A$188,0)))</f>
        <v>Edge spool/acquisition mapper + canonical ingest contract.</v>
      </c>
      <c r="L48" s="38" t="str">
        <f>IF(INDEX(Backlog!$V$2:$V$188,MATCH($D48,Backlog!$A$2:$A$188,0))="","",INDEX(Backlog!$V$2:$V$188,MATCH($D48,Backlog!$A$2:$A$188,0)))</f>
        <v>T-153 real-source connector certification consumes this implementation; do not call implementation itself site-certified.</v>
      </c>
      <c r="M48" s="32" t="str">
        <f>IF(INDEX(Backlog!$AO$2:$AO$188,MATCH($D48,Backlog!$A$2:$A$188,0))="","",INDEX(Backlog!$AO$2:$AO$188,MATCH($D48,Backlog!$A$2:$A$188,0)))</f>
        <v>Not started — no completion claimed</v>
      </c>
      <c r="N48" s="32" t="str">
        <f>IF(INDEX(Backlog!$AN$2:$AN$188,MATCH($D48,Backlog!$A$2:$A$188,0))="","",INDEX(Backlog!$AN$2:$AN$188,MATCH($D48,Backlog!$A$2:$A$188,0)))</f>
        <v/>
      </c>
    </row>
    <row r="49" spans="1:14" ht="26.1" customHeight="1">
      <c r="A49" s="38" t="str">
        <f>IF(INDEX(Backlog!$L$2:$L$188,MATCH($D49,Backlog!$A$2:$A$188,0))="","",INDEX(Backlog!$L$2:$L$188,MATCH($D49,Backlog!$A$2:$A$188,0)))</f>
        <v>Worker 1</v>
      </c>
      <c r="B49" s="38" t="str">
        <f>IF(INDEX(Backlog!$B$2:$B$188,MATCH($D49,Backlog!$A$2:$A$188,0))="","",INDEX(Backlog!$B$2:$B$188,MATCH($D49,Backlog!$A$2:$A$188,0)))</f>
        <v>M2</v>
      </c>
      <c r="C49" s="38" t="str">
        <f>IF(INDEX(Backlog!$C$2:$C$188,MATCH($D49,Backlog!$A$2:$A$188,0))="","",INDEX(Backlog!$C$2:$C$188,MATCH($D49,Backlog!$A$2:$A$188,0)))</f>
        <v>P2</v>
      </c>
      <c r="D49" s="38" t="s">
        <v>636</v>
      </c>
      <c r="E49" s="38" t="str">
        <f>IF(INDEX(Backlog!$D$2:$D$188,MATCH($D49,Backlog!$A$2:$A$188,0))="","",INDEX(Backlog!$D$2:$D$188,MATCH($D49,Backlog!$A$2:$A$188,0)))</f>
        <v>Persist Performance Reference authority and projections</v>
      </c>
      <c r="F49" s="70" t="str">
        <f>IF(INDEX(Backlog!$K$2:$K$188,MATCH($D49,Backlog!$A$2:$A$188,0))="","",INDEX(Backlog!$K$2:$K$188,MATCH($D49,Backlog!$A$2:$A$188,0)))</f>
        <v>Not Started</v>
      </c>
      <c r="G49" s="38">
        <f>IF(ISNUMBER(INDEX(Backlog!$AS$2:$AS$188,MATCH($D49,Backlog!$A$2:$A$188,0))),INDEX(Backlog!$AS$2:$AS$188,MATCH($D49,Backlog!$A$2:$A$188,0)),"")</f>
        <v>6</v>
      </c>
      <c r="H49" s="38">
        <f>IF(ISNUMBER(INDEX(Backlog!$AT$2:$AT$188,MATCH($D49,Backlog!$A$2:$A$188,0))),INDEX(Backlog!$AT$2:$AT$188,MATCH($D49,Backlog!$A$2:$A$188,0)),"")</f>
        <v>2.5499999999999998</v>
      </c>
      <c r="I49" s="38" t="str">
        <f>IF(INDEX(Backlog!$M$2:$M$188,MATCH($D49,Backlog!$A$2:$A$188,0))="","",INDEX(Backlog!$M$2:$M$188,MATCH($D49,Backlog!$A$2:$A$188,0)))</f>
        <v>T-090; T-231; T-214</v>
      </c>
      <c r="J49" s="38" t="str">
        <f>IF(INDEX(Backlog!$T$2:$T$188,MATCH($D49,Backlog!$A$2:$A$188,0))="","",INDEX(Backlog!$T$2:$T$188,MATCH($D49,Backlog!$A$2:$A$188,0)))</f>
        <v>T-090 + T-231 + committed T-214 contract.</v>
      </c>
      <c r="K49" s="38" t="str">
        <f>IF(INDEX(Backlog!$U$2:$U$188,MATCH($D49,Backlog!$A$2:$A$188,0))="","",INDEX(Backlog!$U$2:$U$188,MATCH($D49,Backlog!$A$2:$A$188,0)))</f>
        <v>performance reference tables/projections/API.</v>
      </c>
      <c r="L49" s="38" t="str">
        <f>IF(INDEX(Backlog!$V$2:$V$188,MATCH($D49,Backlog!$A$2:$A$188,0))="","",INDEX(Backlog!$V$2:$V$188,MATCH($D49,Backlog!$A$2:$A$188,0)))</f>
        <v>T-215 consumes persistence; no local reference math.</v>
      </c>
      <c r="M49" s="32" t="str">
        <f>IF(INDEX(Backlog!$AO$2:$AO$188,MATCH($D49,Backlog!$A$2:$A$188,0))="","",INDEX(Backlog!$AO$2:$AO$188,MATCH($D49,Backlog!$A$2:$A$188,0)))</f>
        <v>Not started — no completion claimed</v>
      </c>
      <c r="N49" s="32" t="str">
        <f>IF(INDEX(Backlog!$AN$2:$AN$188,MATCH($D49,Backlog!$A$2:$A$188,0))="","",INDEX(Backlog!$AN$2:$AN$188,MATCH($D49,Backlog!$A$2:$A$188,0)))</f>
        <v/>
      </c>
    </row>
    <row r="50" spans="1:14" ht="26.1" customHeight="1">
      <c r="A50" s="38" t="str">
        <f>IF(INDEX(Backlog!$L$2:$L$188,MATCH($D50,Backlog!$A$2:$A$188,0))="","",INDEX(Backlog!$L$2:$L$188,MATCH($D50,Backlog!$A$2:$A$188,0)))</f>
        <v>Worker 1</v>
      </c>
      <c r="B50" s="38" t="str">
        <f>IF(INDEX(Backlog!$B$2:$B$188,MATCH($D50,Backlog!$A$2:$A$188,0))="","",INDEX(Backlog!$B$2:$B$188,MATCH($D50,Backlog!$A$2:$A$188,0)))</f>
        <v>M2</v>
      </c>
      <c r="C50" s="38" t="str">
        <f>IF(INDEX(Backlog!$C$2:$C$188,MATCH($D50,Backlog!$A$2:$A$188,0))="","",INDEX(Backlog!$C$2:$C$188,MATCH($D50,Backlog!$A$2:$A$188,0)))</f>
        <v>P2</v>
      </c>
      <c r="D50" s="38" t="s">
        <v>648</v>
      </c>
      <c r="E50" s="38" t="str">
        <f>IF(INDEX(Backlog!$D$2:$D$188,MATCH($D50,Backlog!$A$2:$A$188,0))="","",INDEX(Backlog!$D$2:$D$188,MATCH($D50,Backlog!$A$2:$A$188,0)))</f>
        <v>Persist Source Time Authority and observation timestamp provenance</v>
      </c>
      <c r="F50" s="70" t="str">
        <f>IF(INDEX(Backlog!$K$2:$K$188,MATCH($D50,Backlog!$A$2:$A$188,0))="","",INDEX(Backlog!$K$2:$K$188,MATCH($D50,Backlog!$A$2:$A$188,0)))</f>
        <v>In Progress</v>
      </c>
      <c r="G50" s="38">
        <f>IF(ISNUMBER(INDEX(Backlog!$AS$2:$AS$188,MATCH($D50,Backlog!$A$2:$A$188,0))),INDEX(Backlog!$AS$2:$AS$188,MATCH($D50,Backlog!$A$2:$A$188,0)),"")</f>
        <v>5</v>
      </c>
      <c r="H50" s="38">
        <f>IF(ISNUMBER(INDEX(Backlog!$AT$2:$AT$188,MATCH($D50,Backlog!$A$2:$A$188,0))),INDEX(Backlog!$AT$2:$AT$188,MATCH($D50,Backlog!$A$2:$A$188,0)),"")</f>
        <v>2.125</v>
      </c>
      <c r="I50" s="38" t="str">
        <f>IF(INDEX(Backlog!$M$2:$M$188,MATCH($D50,Backlog!$A$2:$A$188,0))="","",INDEX(Backlog!$M$2:$M$188,MATCH($D50,Backlog!$A$2:$A$188,0)))</f>
        <v>T-087; T-090; T-216</v>
      </c>
      <c r="J50" s="38" t="str">
        <f>IF(INDEX(Backlog!$T$2:$T$188,MATCH($D50,Backlog!$A$2:$A$188,0))="","",INDEX(Backlog!$T$2:$T$188,MATCH($D50,Backlog!$A$2:$A$188,0)))</f>
        <v>T-087 + T-090 + committed T-216 contract.</v>
      </c>
      <c r="K50" s="38" t="str">
        <f>IF(INDEX(Backlog!$U$2:$U$188,MATCH($D50,Backlog!$A$2:$A$188,0))="","",INDEX(Backlog!$U$2:$U$188,MATCH($D50,Backlog!$A$2:$A$188,0)))</f>
        <v>source_time_authorities/observation timestamp provenance/API.</v>
      </c>
      <c r="L50" s="38" t="str">
        <f>IF(INDEX(Backlog!$V$2:$V$188,MATCH($D50,Backlog!$A$2:$A$188,0))="","",INDEX(Backlog!$V$2:$V$188,MATCH($D50,Backlog!$A$2:$A$188,0)))</f>
        <v>T-221/T-226 consume canonical persistence; T-217 kernel does not wait.</v>
      </c>
      <c r="M50" s="32" t="str">
        <f>IF(INDEX(Backlog!$AO$2:$AO$188,MATCH($D50,Backlog!$A$2:$A$188,0))="","",INDEX(Backlog!$AO$2:$AO$188,MATCH($D50,Backlog!$A$2:$A$188,0)))</f>
        <v>Not started — no completion claimed</v>
      </c>
      <c r="N50" s="32" t="str">
        <f>IF(INDEX(Backlog!$AN$2:$AN$188,MATCH($D50,Backlog!$A$2:$A$188,0))="","",INDEX(Backlog!$AN$2:$AN$188,MATCH($D50,Backlog!$A$2:$A$188,0)))</f>
        <v/>
      </c>
    </row>
    <row r="51" spans="1:14" ht="26.1" customHeight="1">
      <c r="A51" s="38" t="str">
        <f>IF(INDEX(Backlog!$L$2:$L$188,MATCH($D51,Backlog!$A$2:$A$188,0))="","",INDEX(Backlog!$L$2:$L$188,MATCH($D51,Backlog!$A$2:$A$188,0)))</f>
        <v>Worker 1</v>
      </c>
      <c r="B51" s="38" t="str">
        <f>IF(INDEX(Backlog!$B$2:$B$188,MATCH($D51,Backlog!$A$2:$A$188,0))="","",INDEX(Backlog!$B$2:$B$188,MATCH($D51,Backlog!$A$2:$A$188,0)))</f>
        <v>M2</v>
      </c>
      <c r="C51" s="38" t="str">
        <f>IF(INDEX(Backlog!$C$2:$C$188,MATCH($D51,Backlog!$A$2:$A$188,0))="","",INDEX(Backlog!$C$2:$C$188,MATCH($D51,Backlog!$A$2:$A$188,0)))</f>
        <v>P2</v>
      </c>
      <c r="D51" s="38" t="s">
        <v>659</v>
      </c>
      <c r="E51" s="38" t="str">
        <f>IF(INDEX(Backlog!$D$2:$D$188,MATCH($D51,Backlog!$A$2:$A$188,0))="","",INDEX(Backlog!$D$2:$D$188,MATCH($D51,Backlog!$A$2:$A$188,0)))</f>
        <v>Persist transition/stabilisation authority and regime context</v>
      </c>
      <c r="F51" s="70" t="str">
        <f>IF(INDEX(Backlog!$K$2:$K$188,MATCH($D51,Backlog!$A$2:$A$188,0))="","",INDEX(Backlog!$K$2:$K$188,MATCH($D51,Backlog!$A$2:$A$188,0)))</f>
        <v>Not Started</v>
      </c>
      <c r="G51" s="38" t="str">
        <f>IF(ISNUMBER(INDEX(Backlog!$AS$2:$AS$188,MATCH($D51,Backlog!$A$2:$A$188,0))),INDEX(Backlog!$AS$2:$AS$188,MATCH($D51,Backlog!$A$2:$A$188,0)),"")</f>
        <v/>
      </c>
      <c r="H51" s="38" t="str">
        <f>IF(ISNUMBER(INDEX(Backlog!$AT$2:$AT$188,MATCH($D51,Backlog!$A$2:$A$188,0))),INDEX(Backlog!$AT$2:$AT$188,MATCH($D51,Backlog!$A$2:$A$188,0)),"")</f>
        <v/>
      </c>
      <c r="I51" s="38" t="str">
        <f>IF(INDEX(Backlog!$M$2:$M$188,MATCH($D51,Backlog!$A$2:$A$188,0))="","",INDEX(Backlog!$M$2:$M$188,MATCH($D51,Backlog!$A$2:$A$188,0)))</f>
        <v>T-090; T-231; T-234</v>
      </c>
      <c r="J51" s="38" t="str">
        <f>IF(INDEX(Backlog!$T$2:$T$188,MATCH($D51,Backlog!$A$2:$A$188,0))="","",INDEX(Backlog!$T$2:$T$188,MATCH($D51,Backlog!$A$2:$A$188,0)))</f>
        <v>T-090 + T-231 + committed T-234 contract.</v>
      </c>
      <c r="K51" s="38" t="str">
        <f>IF(INDEX(Backlog!$U$2:$U$188,MATCH($D51,Backlog!$A$2:$A$188,0))="","",INDEX(Backlog!$U$2:$U$188,MATCH($D51,Backlog!$A$2:$A$188,0)))</f>
        <v>process transition tables/API/migrations.</v>
      </c>
      <c r="L51" s="38" t="str">
        <f>IF(INDEX(Backlog!$V$2:$V$188,MATCH($D51,Backlog!$A$2:$A$188,0))="","",INDEX(Backlog!$V$2:$V$188,MATCH($D51,Backlog!$A$2:$A$188,0)))</f>
        <v>T-237/customer onboarding consume committed persistence; do not redesign contract.</v>
      </c>
      <c r="M51" s="32" t="str">
        <f>IF(INDEX(Backlog!$AO$2:$AO$188,MATCH($D51,Backlog!$A$2:$A$188,0))="","",INDEX(Backlog!$AO$2:$AO$188,MATCH($D51,Backlog!$A$2:$A$188,0)))</f>
        <v>Not started — no completion claimed</v>
      </c>
      <c r="N51" s="32" t="str">
        <f>IF(INDEX(Backlog!$AN$2:$AN$188,MATCH($D51,Backlog!$A$2:$A$188,0))="","",INDEX(Backlog!$AN$2:$AN$188,MATCH($D51,Backlog!$A$2:$A$188,0)))</f>
        <v/>
      </c>
    </row>
    <row r="52" spans="1:14" ht="26.1" customHeight="1">
      <c r="A52" s="38" t="str">
        <f>IF(INDEX(Backlog!$L$2:$L$188,MATCH($D52,Backlog!$A$2:$A$188,0))="","",INDEX(Backlog!$L$2:$L$188,MATCH($D52,Backlog!$A$2:$A$188,0)))</f>
        <v>Worker 1</v>
      </c>
      <c r="B52" s="38" t="str">
        <f>IF(INDEX(Backlog!$B$2:$B$188,MATCH($D52,Backlog!$A$2:$A$188,0))="","",INDEX(Backlog!$B$2:$B$188,MATCH($D52,Backlog!$A$2:$A$188,0)))</f>
        <v>M2</v>
      </c>
      <c r="C52" s="38" t="str">
        <f>IF(INDEX(Backlog!$C$2:$C$188,MATCH($D52,Backlog!$A$2:$A$188,0))="","",INDEX(Backlog!$C$2:$C$188,MATCH($D52,Backlog!$A$2:$A$188,0)))</f>
        <v>P5</v>
      </c>
      <c r="D52" s="38" t="s">
        <v>1102</v>
      </c>
      <c r="E52" s="38" t="str">
        <f>IF(INDEX(Backlog!$D$2:$D$188,MATCH($D52,Backlog!$A$2:$A$188,0))="","",INDEX(Backlog!$D$2:$D$188,MATCH($D52,Backlog!$A$2:$A$188,0)))</f>
        <v>Force RLS on every tenant-owned table with an architecture test</v>
      </c>
      <c r="F52" s="70" t="str">
        <f>IF(INDEX(Backlog!$K$2:$K$188,MATCH($D52,Backlog!$A$2:$A$188,0))="","",INDEX(Backlog!$K$2:$K$188,MATCH($D52,Backlog!$A$2:$A$188,0)))</f>
        <v>Not Started</v>
      </c>
      <c r="G52" s="38">
        <f>IF(ISNUMBER(INDEX(Backlog!$AS$2:$AS$188,MATCH($D52,Backlog!$A$2:$A$188,0))),INDEX(Backlog!$AS$2:$AS$188,MATCH($D52,Backlog!$A$2:$A$188,0)),"")</f>
        <v>12</v>
      </c>
      <c r="H52" s="38">
        <f>IF(ISNUMBER(INDEX(Backlog!$AT$2:$AT$188,MATCH($D52,Backlog!$A$2:$A$188,0))),INDEX(Backlog!$AT$2:$AT$188,MATCH($D52,Backlog!$A$2:$A$188,0)),"")</f>
        <v>2.3250000000000002</v>
      </c>
      <c r="I52" s="38" t="str">
        <f>IF(INDEX(Backlog!$M$2:$M$188,MATCH($D52,Backlog!$A$2:$A$188,0))="","",INDEX(Backlog!$M$2:$M$188,MATCH($D52,Backlog!$A$2:$A$188,0)))</f>
        <v>T-087; T-088; T-251; T-252</v>
      </c>
      <c r="J52" s="38" t="str">
        <f>IF(INDEX(Backlog!$T$2:$T$188,MATCH($D52,Backlog!$A$2:$A$188,0))="","",INDEX(Backlog!$T$2:$T$188,MATCH($D52,Backlog!$A$2:$A$188,0)))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T-087/T-088 canonical migration authority available; establish FORCE RLS guar...</v>
      </c>
      <c r="K52" s="38" t="str">
        <f>IF(INDEX(Backlog!$U$2:$U$188,MATCH($D52,Backlog!$A$2:$A$188,0))="","",INDEX(Backlog!$U$2:$U$188,MATCH($D52,Backlog!$A$2:$A$188,0)))</f>
        <v>Own canonical DB/backend/security/API/infra. No W2-owned UI/admin task files and no W3 ML/Assistant runtime.</v>
      </c>
      <c r="L52" s="38" t="str">
        <f>IF(INDEX(Backlog!$V$2:$V$188,MATCH($D52,Backlog!$A$2:$A$188,0))="","",INDEX(Backlog!$V$2:$V$188,MATCH($D52,Backlog!$A$2:$A$188,0)))</f>
        <v>Critical hand-off: after T-089..T-105 + T-112/T-114 are committed, W3 may open T-183/T-195/T-128 lane.</v>
      </c>
      <c r="M52" s="32" t="str">
        <f>IF(INDEX(Backlog!$AO$2:$AO$188,MATCH($D52,Backlog!$A$2:$A$188,0))="","",INDEX(Backlog!$AO$2:$AO$188,MATCH($D52,Backlog!$A$2:$A$188,0)))</f>
        <v>Not started — no completion claimed</v>
      </c>
      <c r="N52" s="32" t="str">
        <f>IF(INDEX(Backlog!$AN$2:$AN$188,MATCH($D52,Backlog!$A$2:$A$188,0))="","",INDEX(Backlog!$AN$2:$AN$188,MATCH($D52,Backlog!$A$2:$A$188,0)))</f>
        <v/>
      </c>
    </row>
    <row r="53" spans="1:14" ht="26.1" customHeight="1">
      <c r="A53" s="38" t="str">
        <f>IF(INDEX(Backlog!$L$2:$L$188,MATCH($D53,Backlog!$A$2:$A$188,0))="","",INDEX(Backlog!$L$2:$L$188,MATCH($D53,Backlog!$A$2:$A$188,0)))</f>
        <v>Worker 1</v>
      </c>
      <c r="B53" s="38" t="str">
        <f>IF(INDEX(Backlog!$B$2:$B$188,MATCH($D53,Backlog!$A$2:$A$188,0))="","",INDEX(Backlog!$B$2:$B$188,MATCH($D53,Backlog!$A$2:$A$188,0)))</f>
        <v>M2</v>
      </c>
      <c r="C53" s="38" t="str">
        <f>IF(INDEX(Backlog!$C$2:$C$188,MATCH($D53,Backlog!$A$2:$A$188,0))="","",INDEX(Backlog!$C$2:$C$188,MATCH($D53,Backlog!$A$2:$A$188,0)))</f>
        <v>P5</v>
      </c>
      <c r="D53" s="38" t="s">
        <v>1117</v>
      </c>
      <c r="E53" s="38" t="str">
        <f>IF(INDEX(Backlog!$D$2:$D$188,MATCH($D53,Backlog!$A$2:$A$188,0))="","",INDEX(Backlog!$D$2:$D$188,MATCH($D53,Backlog!$A$2:$A$188,0)))</f>
        <v>Secret and configuration hygiene</v>
      </c>
      <c r="F53" s="70" t="str">
        <f>IF(INDEX(Backlog!$K$2:$K$188,MATCH($D53,Backlog!$A$2:$A$188,0))="","",INDEX(Backlog!$K$2:$K$188,MATCH($D53,Backlog!$A$2:$A$188,0)))</f>
        <v>Not Started</v>
      </c>
      <c r="G53" s="38" t="str">
        <f>IF(ISNUMBER(INDEX(Backlog!$AS$2:$AS$188,MATCH($D53,Backlog!$A$2:$A$188,0))),INDEX(Backlog!$AS$2:$AS$188,MATCH($D53,Backlog!$A$2:$A$188,0)),"")</f>
        <v/>
      </c>
      <c r="H53" s="38" t="str">
        <f>IF(ISNUMBER(INDEX(Backlog!$AT$2:$AT$188,MATCH($D53,Backlog!$A$2:$A$188,0))),INDEX(Backlog!$AT$2:$AT$188,MATCH($D53,Backlog!$A$2:$A$188,0)),"")</f>
        <v/>
      </c>
      <c r="I53" s="38" t="str">
        <f>IF(INDEX(Backlog!$M$2:$M$188,MATCH($D53,Backlog!$A$2:$A$188,0))="","",INDEX(Backlog!$M$2:$M$188,MATCH($D53,Backlog!$A$2:$A$188,0)))</f>
        <v/>
      </c>
      <c r="J53" s="38" t="str">
        <f>IF(INDEX(Backlog!$T$2:$T$188,MATCH($D53,Backlog!$A$2:$A$188,0))="","",INDEX(Backlog!$T$2:$T$188,MATCH($D53,Backlog!$A$2:$A$188,0)))</f>
        <v>Use the accepted M1 regression baseline; require empty index and clean owned paths, preserving unrelated user work. Then: Release 1 dependency order</v>
      </c>
      <c r="K53" s="38" t="str">
        <f>IF(INDEX(Backlog!$U$2:$U$188,MATCH($D53,Backlog!$A$2:$A$188,0))="","",INDEX(Backlog!$U$2:$U$188,MATCH($D53,Backlog!$A$2:$A$188,0)))</f>
        <v>Own canonical DB/backend/security/API/infra. No W2-owned UI/admin task files and no W3 ML/Assistant runtime.</v>
      </c>
      <c r="L53" s="38" t="str">
        <f>IF(INDEX(Backlog!$V$2:$V$188,MATCH($D53,Backlog!$A$2:$A$188,0))="","",INDEX(Backlog!$V$2:$V$188,MATCH($D53,Backlog!$A$2:$A$188,0)))</f>
        <v>Commit before downstream consumer starts; consumer must use the contract, not redesign producer-owned semantics.</v>
      </c>
      <c r="M53" s="32" t="str">
        <f>IF(INDEX(Backlog!$AO$2:$AO$188,MATCH($D53,Backlog!$A$2:$A$188,0))="","",INDEX(Backlog!$AO$2:$AO$188,MATCH($D53,Backlog!$A$2:$A$188,0)))</f>
        <v>Not started — no completion claimed</v>
      </c>
      <c r="N53" s="32" t="str">
        <f>IF(INDEX(Backlog!$AN$2:$AN$188,MATCH($D53,Backlog!$A$2:$A$188,0))="","",INDEX(Backlog!$AN$2:$AN$188,MATCH($D53,Backlog!$A$2:$A$188,0)))</f>
        <v/>
      </c>
    </row>
    <row r="54" spans="1:14" ht="26.1" customHeight="1">
      <c r="A54" s="38" t="str">
        <f>IF(INDEX(Backlog!$L$2:$L$188,MATCH($D54,Backlog!$A$2:$A$188,0))="","",INDEX(Backlog!$L$2:$L$188,MATCH($D54,Backlog!$A$2:$A$188,0)))</f>
        <v>Worker 1</v>
      </c>
      <c r="B54" s="38" t="str">
        <f>IF(INDEX(Backlog!$B$2:$B$188,MATCH($D54,Backlog!$A$2:$A$188,0))="","",INDEX(Backlog!$B$2:$B$188,MATCH($D54,Backlog!$A$2:$A$188,0)))</f>
        <v>M2</v>
      </c>
      <c r="C54" s="38" t="str">
        <f>IF(INDEX(Backlog!$C$2:$C$188,MATCH($D54,Backlog!$A$2:$A$188,0))="","",INDEX(Backlog!$C$2:$C$188,MATCH($D54,Backlog!$A$2:$A$188,0)))</f>
        <v>P5</v>
      </c>
      <c r="D54" s="38" t="s">
        <v>1125</v>
      </c>
      <c r="E54" s="38" t="str">
        <f>IF(INDEX(Backlog!$D$2:$D$188,MATCH($D54,Backlog!$A$2:$A$188,0))="","",INDEX(Backlog!$D$2:$D$188,MATCH($D54,Backlog!$A$2:$A$188,0)))</f>
        <v>Tenant keys, tenant-aware uniqueness and canonical namespace on new APIs</v>
      </c>
      <c r="F54" s="70" t="str">
        <f>IF(INDEX(Backlog!$K$2:$K$188,MATCH($D54,Backlog!$A$2:$A$188,0))="","",INDEX(Backlog!$K$2:$K$188,MATCH($D54,Backlog!$A$2:$A$188,0)))</f>
        <v>Not Started</v>
      </c>
      <c r="G54" s="38">
        <f>IF(ISNUMBER(INDEX(Backlog!$AS$2:$AS$188,MATCH($D54,Backlog!$A$2:$A$188,0))),INDEX(Backlog!$AS$2:$AS$188,MATCH($D54,Backlog!$A$2:$A$188,0)),"")</f>
        <v>6</v>
      </c>
      <c r="H54" s="38">
        <f>IF(ISNUMBER(INDEX(Backlog!$AT$2:$AT$188,MATCH($D54,Backlog!$A$2:$A$188,0))),INDEX(Backlog!$AT$2:$AT$188,MATCH($D54,Backlog!$A$2:$A$188,0)),"")</f>
        <v>0.89999999999999991</v>
      </c>
      <c r="I54" s="38" t="str">
        <f>IF(INDEX(Backlog!$M$2:$M$188,MATCH($D54,Backlog!$A$2:$A$188,0))="","",INDEX(Backlog!$M$2:$M$188,MATCH($D54,Backlog!$A$2:$A$188,0)))</f>
        <v>T-087; T-089; T-090; T-095; T-099</v>
      </c>
      <c r="J54" s="38" t="str">
        <f>IF(INDEX(Backlog!$T$2:$T$188,MATCH($D54,Backlog!$A$2:$A$188,0))="","",INDEX(Backlog!$T$2:$T$188,MATCH($D54,Backlog!$A$2:$A$188,0)))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T-087 + T-089/T-090 + T-095/T-099 canonical Release 1 tables available; establish t...</v>
      </c>
      <c r="K54" s="38" t="str">
        <f>IF(INDEX(Backlog!$U$2:$U$188,MATCH($D54,Backlog!$A$2:$A$188,0))="","",INDEX(Backlog!$U$2:$U$188,MATCH($D54,Backlog!$A$2:$A$188,0)))</f>
        <v>Own canonical DB/backend/security/API/infra. No W2-owned UI/admin task files and no W3 ML/Assistant runtime.</v>
      </c>
      <c r="L54" s="38" t="str">
        <f>IF(INDEX(Backlog!$V$2:$V$188,MATCH($D54,Backlog!$A$2:$A$188,0))="","",INDEX(Backlog!$V$2:$V$188,MATCH($D54,Backlog!$A$2:$A$188,0)))</f>
        <v>Critical hand-off: after T-089..T-105 + T-112/T-114 are committed, W3 may open T-183/T-195/T-128 lane.</v>
      </c>
      <c r="M54" s="32" t="str">
        <f>IF(INDEX(Backlog!$AO$2:$AO$188,MATCH($D54,Backlog!$A$2:$A$188,0))="","",INDEX(Backlog!$AO$2:$AO$188,MATCH($D54,Backlog!$A$2:$A$188,0)))</f>
        <v>Not started — no completion claimed</v>
      </c>
      <c r="N54" s="32" t="str">
        <f>IF(INDEX(Backlog!$AN$2:$AN$188,MATCH($D54,Backlog!$A$2:$A$188,0))="","",INDEX(Backlog!$AN$2:$AN$188,MATCH($D54,Backlog!$A$2:$A$188,0)))</f>
        <v/>
      </c>
    </row>
    <row r="55" spans="1:14" ht="26.1" customHeight="1">
      <c r="A55" s="38" t="str">
        <f>IF(INDEX(Backlog!$L$2:$L$188,MATCH($D55,Backlog!$A$2:$A$188,0))="","",INDEX(Backlog!$L$2:$L$188,MATCH($D55,Backlog!$A$2:$A$188,0)))</f>
        <v>Worker 1</v>
      </c>
      <c r="B55" s="38" t="str">
        <f>IF(INDEX(Backlog!$B$2:$B$188,MATCH($D55,Backlog!$A$2:$A$188,0))="","",INDEX(Backlog!$B$2:$B$188,MATCH($D55,Backlog!$A$2:$A$188,0)))</f>
        <v>M2</v>
      </c>
      <c r="C55" s="38" t="str">
        <f>IF(INDEX(Backlog!$C$2:$C$188,MATCH($D55,Backlog!$A$2:$A$188,0))="","",INDEX(Backlog!$C$2:$C$188,MATCH($D55,Backlog!$A$2:$A$188,0)))</f>
        <v>P5</v>
      </c>
      <c r="D55" s="38" t="s">
        <v>1131</v>
      </c>
      <c r="E55" s="38" t="str">
        <f>IF(INDEX(Backlog!$D$2:$D$188,MATCH($D55,Backlog!$A$2:$A$188,0))="","",INDEX(Backlog!$D$2:$D$188,MATCH($D55,Backlog!$A$2:$A$188,0)))</f>
        <v>Fresh-install Rule 2 acceptance test, ephemeral</v>
      </c>
      <c r="F55" s="70" t="str">
        <f>IF(INDEX(Backlog!$K$2:$K$188,MATCH($D55,Backlog!$A$2:$A$188,0))="","",INDEX(Backlog!$K$2:$K$188,MATCH($D55,Backlog!$A$2:$A$188,0)))</f>
        <v>Not Started</v>
      </c>
      <c r="G55" s="38">
        <f>IF(ISNUMBER(INDEX(Backlog!$AS$2:$AS$188,MATCH($D55,Backlog!$A$2:$A$188,0))),INDEX(Backlog!$AS$2:$AS$188,MATCH($D55,Backlog!$A$2:$A$188,0)),"")</f>
        <v>4</v>
      </c>
      <c r="H55" s="38">
        <f>IF(ISNUMBER(INDEX(Backlog!$AT$2:$AT$188,MATCH($D55,Backlog!$A$2:$A$188,0))),INDEX(Backlog!$AT$2:$AT$188,MATCH($D55,Backlog!$A$2:$A$188,0)),"")</f>
        <v>0.77500000000000002</v>
      </c>
      <c r="I55" s="38" t="str">
        <f>IF(INDEX(Backlog!$M$2:$M$188,MATCH($D55,Backlog!$A$2:$A$188,0))="","",INDEX(Backlog!$M$2:$M$188,MATCH($D55,Backlog!$A$2:$A$188,0)))</f>
        <v/>
      </c>
      <c r="J55" s="38" t="str">
        <f>IF(INDEX(Backlog!$T$2:$T$188,MATCH($D55,Backlog!$A$2:$A$188,0))="","",INDEX(Backlog!$T$2:$T$188,MATCH($D55,Backlog!$A$2:$A$188,0)))</f>
        <v>Use the accepted M1 regression baseline; require empty index and clean owned paths, preserving unrelated user work. Then: Release 1 dependency order</v>
      </c>
      <c r="K55" s="38" t="str">
        <f>IF(INDEX(Backlog!$U$2:$U$188,MATCH($D55,Backlog!$A$2:$A$188,0))="","",INDEX(Backlog!$U$2:$U$188,MATCH($D55,Backlog!$A$2:$A$188,0)))</f>
        <v>Own canonical DB/backend/security/API/infra. No W2-owned UI/admin task files and no W3 ML/Assistant runtime.</v>
      </c>
      <c r="L55" s="38" t="str">
        <f>IF(INDEX(Backlog!$V$2:$V$188,MATCH($D55,Backlog!$A$2:$A$188,0))="","",INDEX(Backlog!$V$2:$V$188,MATCH($D55,Backlog!$A$2:$A$188,0)))</f>
        <v>Commit before downstream consumer starts; consumer must use the contract, not redesign producer-owned semantics.</v>
      </c>
      <c r="M55" s="32" t="str">
        <f>IF(INDEX(Backlog!$AO$2:$AO$188,MATCH($D55,Backlog!$A$2:$A$188,0))="","",INDEX(Backlog!$AO$2:$AO$188,MATCH($D55,Backlog!$A$2:$A$188,0)))</f>
        <v>Not started — no completion claimed</v>
      </c>
      <c r="N55" s="32" t="str">
        <f>IF(INDEX(Backlog!$AN$2:$AN$188,MATCH($D55,Backlog!$A$2:$A$188,0))="","",INDEX(Backlog!$AN$2:$AN$188,MATCH($D55,Backlog!$A$2:$A$188,0)))</f>
        <v/>
      </c>
    </row>
    <row r="56" spans="1:14" ht="26.1" customHeight="1">
      <c r="A56" s="38" t="str">
        <f>IF(INDEX(Backlog!$L$2:$L$188,MATCH($D56,Backlog!$A$2:$A$188,0))="","",INDEX(Backlog!$L$2:$L$188,MATCH($D56,Backlog!$A$2:$A$188,0)))</f>
        <v>Worker 1</v>
      </c>
      <c r="B56" s="38" t="str">
        <f>IF(INDEX(Backlog!$B$2:$B$188,MATCH($D56,Backlog!$A$2:$A$188,0))="","",INDEX(Backlog!$B$2:$B$188,MATCH($D56,Backlog!$A$2:$A$188,0)))</f>
        <v>M2</v>
      </c>
      <c r="C56" s="38" t="str">
        <f>IF(INDEX(Backlog!$C$2:$C$188,MATCH($D56,Backlog!$A$2:$A$188,0))="","",INDEX(Backlog!$C$2:$C$188,MATCH($D56,Backlog!$A$2:$A$188,0)))</f>
        <v>P5</v>
      </c>
      <c r="D56" s="38" t="s">
        <v>1136</v>
      </c>
      <c r="E56" s="38" t="str">
        <f>IF(INDEX(Backlog!$D$2:$D$188,MATCH($D56,Backlog!$A$2:$A$188,0))="","",INDEX(Backlog!$D$2:$D$188,MATCH($D56,Backlog!$A$2:$A$188,0)))</f>
        <v>Eight-role catalogue convergence, one-to-one wire mapping and three enforcement layers</v>
      </c>
      <c r="F56" s="70" t="str">
        <f>IF(INDEX(Backlog!$K$2:$K$188,MATCH($D56,Backlog!$A$2:$A$188,0))="","",INDEX(Backlog!$K$2:$K$188,MATCH($D56,Backlog!$A$2:$A$188,0)))</f>
        <v>Not Started</v>
      </c>
      <c r="G56" s="38">
        <f>IF(ISNUMBER(INDEX(Backlog!$AS$2:$AS$188,MATCH($D56,Backlog!$A$2:$A$188,0))),INDEX(Backlog!$AS$2:$AS$188,MATCH($D56,Backlog!$A$2:$A$188,0)),"")</f>
        <v>12</v>
      </c>
      <c r="H56" s="38">
        <f>IF(ISNUMBER(INDEX(Backlog!$AT$2:$AT$188,MATCH($D56,Backlog!$A$2:$A$188,0))),INDEX(Backlog!$AT$2:$AT$188,MATCH($D56,Backlog!$A$2:$A$188,0)),"")</f>
        <v>1.7999999999999998</v>
      </c>
      <c r="I56" s="38" t="str">
        <f>IF(INDEX(Backlog!$M$2:$M$188,MATCH($D56,Backlog!$A$2:$A$188,0))="","",INDEX(Backlog!$M$2:$M$188,MATCH($D56,Backlog!$A$2:$A$188,0)))</f>
        <v/>
      </c>
      <c r="J56" s="38" t="str">
        <f>IF(INDEX(Backlog!$T$2:$T$188,MATCH($D56,Backlog!$A$2:$A$188,0))="","",INDEX(Backlog!$T$2:$T$188,MATCH($D56,Backlog!$A$2:$A$188,0)))</f>
        <v>Use the accepted M1 regression baseline; require empty index and clean owned paths, preserving unrelated user work. Then: Release 1 dependency order</v>
      </c>
      <c r="K56" s="38" t="str">
        <f>IF(INDEX(Backlog!$U$2:$U$188,MATCH($D56,Backlog!$A$2:$A$188,0))="","",INDEX(Backlog!$U$2:$U$188,MATCH($D56,Backlog!$A$2:$A$188,0)))</f>
        <v>Own canonical DB/backend/security/API/infra. No W2-owned UI/admin task files and no W3 ML/Assistant runtime.</v>
      </c>
      <c r="L56" s="38" t="str">
        <f>IF(INDEX(Backlog!$V$2:$V$188,MATCH($D56,Backlog!$A$2:$A$188,0))="","",INDEX(Backlog!$V$2:$V$188,MATCH($D56,Backlog!$A$2:$A$188,0)))</f>
        <v>Commit before downstream consumer starts; consumer must use the contract, not redesign producer-owned semantics.</v>
      </c>
      <c r="M56" s="32" t="str">
        <f>IF(INDEX(Backlog!$AO$2:$AO$188,MATCH($D56,Backlog!$A$2:$A$188,0))="","",INDEX(Backlog!$AO$2:$AO$188,MATCH($D56,Backlog!$A$2:$A$188,0)))</f>
        <v>Not started — no completion claimed</v>
      </c>
      <c r="N56" s="32" t="str">
        <f>IF(INDEX(Backlog!$AN$2:$AN$188,MATCH($D56,Backlog!$A$2:$A$188,0))="","",INDEX(Backlog!$AN$2:$AN$188,MATCH($D56,Backlog!$A$2:$A$188,0)))</f>
        <v/>
      </c>
    </row>
    <row r="57" spans="1:14" ht="26.1" customHeight="1">
      <c r="A57" s="38" t="str">
        <f>IF(INDEX(Backlog!$L$2:$L$188,MATCH($D57,Backlog!$A$2:$A$188,0))="","",INDEX(Backlog!$L$2:$L$188,MATCH($D57,Backlog!$A$2:$A$188,0)))</f>
        <v>Worker 1</v>
      </c>
      <c r="B57" s="38" t="str">
        <f>IF(INDEX(Backlog!$B$2:$B$188,MATCH($D57,Backlog!$A$2:$A$188,0))="","",INDEX(Backlog!$B$2:$B$188,MATCH($D57,Backlog!$A$2:$A$188,0)))</f>
        <v>M2</v>
      </c>
      <c r="C57" s="38" t="str">
        <f>IF(INDEX(Backlog!$C$2:$C$188,MATCH($D57,Backlog!$A$2:$A$188,0))="","",INDEX(Backlog!$C$2:$C$188,MATCH($D57,Backlog!$A$2:$A$188,0)))</f>
        <v>P5</v>
      </c>
      <c r="D57" s="38" t="s">
        <v>1149</v>
      </c>
      <c r="E57" s="38" t="str">
        <f>IF(INDEX(Backlog!$D$2:$D$188,MATCH($D57,Backlog!$A$2:$A$188,0))="","",INDEX(Backlog!$D$2:$D$188,MATCH($D57,Backlog!$A$2:$A$188,0)))</f>
        <v>Licence and entitlement enforcement</v>
      </c>
      <c r="F57" s="70" t="str">
        <f>IF(INDEX(Backlog!$K$2:$K$188,MATCH($D57,Backlog!$A$2:$A$188,0))="","",INDEX(Backlog!$K$2:$K$188,MATCH($D57,Backlog!$A$2:$A$188,0)))</f>
        <v>Not Started</v>
      </c>
      <c r="G57" s="38" t="str">
        <f>IF(ISNUMBER(INDEX(Backlog!$AS$2:$AS$188,MATCH($D57,Backlog!$A$2:$A$188,0))),INDEX(Backlog!$AS$2:$AS$188,MATCH($D57,Backlog!$A$2:$A$188,0)),"")</f>
        <v/>
      </c>
      <c r="H57" s="38" t="str">
        <f>IF(ISNUMBER(INDEX(Backlog!$AT$2:$AT$188,MATCH($D57,Backlog!$A$2:$A$188,0))),INDEX(Backlog!$AT$2:$AT$188,MATCH($D57,Backlog!$A$2:$A$188,0)),"")</f>
        <v/>
      </c>
      <c r="I57" s="38" t="str">
        <f>IF(INDEX(Backlog!$M$2:$M$188,MATCH($D57,Backlog!$A$2:$A$188,0))="","",INDEX(Backlog!$M$2:$M$188,MATCH($D57,Backlog!$A$2:$A$188,0)))</f>
        <v>T-119</v>
      </c>
      <c r="J57" s="38" t="str">
        <f>IF(INDEX(Backlog!$T$2:$T$188,MATCH($D57,Backlog!$A$2:$A$188,0))="","",INDEX(Backlog!$T$2:$T$188,MATCH($D57,Backlog!$A$2:$A$188,0)))</f>
        <v>Use the accepted M1 regression baseline; require empty index and clean owned paths, preserving unrelated user work. Then: T-119 role catalogue/enforcement + licence authority.</v>
      </c>
      <c r="K57" s="38" t="str">
        <f>IF(INDEX(Backlog!$U$2:$U$188,MATCH($D57,Backlog!$A$2:$A$188,0))="","",INDEX(Backlog!$U$2:$U$188,MATCH($D57,Backlog!$A$2:$A$188,0)))</f>
        <v>Own canonical DB/backend/security/API/infra. No W2-owned UI/admin task files and no W3 ML/Assistant runtime.</v>
      </c>
      <c r="L57" s="38" t="str">
        <f>IF(INDEX(Backlog!$V$2:$V$188,MATCH($D57,Backlog!$A$2:$A$188,0))="","",INDEX(Backlog!$V$2:$V$188,MATCH($D57,Backlog!$A$2:$A$188,0)))</f>
        <v>Commit before downstream consumer starts; consumer must use the contract, not redesign producer-owned semantics.</v>
      </c>
      <c r="M57" s="32" t="str">
        <f>IF(INDEX(Backlog!$AO$2:$AO$188,MATCH($D57,Backlog!$A$2:$A$188,0))="","",INDEX(Backlog!$AO$2:$AO$188,MATCH($D57,Backlog!$A$2:$A$188,0)))</f>
        <v>Not started — no completion claimed</v>
      </c>
      <c r="N57" s="32" t="str">
        <f>IF(INDEX(Backlog!$AN$2:$AN$188,MATCH($D57,Backlog!$A$2:$A$188,0))="","",INDEX(Backlog!$AN$2:$AN$188,MATCH($D57,Backlog!$A$2:$A$188,0)))</f>
        <v/>
      </c>
    </row>
    <row r="58" spans="1:14" ht="26.1" customHeight="1">
      <c r="A58" s="38" t="str">
        <f>IF(INDEX(Backlog!$L$2:$L$188,MATCH($D58,Backlog!$A$2:$A$188,0))="","",INDEX(Backlog!$L$2:$L$188,MATCH($D58,Backlog!$A$2:$A$188,0)))</f>
        <v>Worker 1</v>
      </c>
      <c r="B58" s="38" t="str">
        <f>IF(INDEX(Backlog!$B$2:$B$188,MATCH($D58,Backlog!$A$2:$A$188,0))="","",INDEX(Backlog!$B$2:$B$188,MATCH($D58,Backlog!$A$2:$A$188,0)))</f>
        <v>M2</v>
      </c>
      <c r="C58" s="38" t="str">
        <f>IF(INDEX(Backlog!$C$2:$C$188,MATCH($D58,Backlog!$A$2:$A$188,0))="","",INDEX(Backlog!$C$2:$C$188,MATCH($D58,Backlog!$A$2:$A$188,0)))</f>
        <v>P5</v>
      </c>
      <c r="D58" s="38" t="s">
        <v>1160</v>
      </c>
      <c r="E58" s="38" t="str">
        <f>IF(INDEX(Backlog!$D$2:$D$188,MATCH($D58,Backlog!$A$2:$A$188,0))="","",INDEX(Backlog!$D$2:$D$188,MATCH($D58,Backlog!$A$2:$A$188,0)))</f>
        <v>Install package, migration runner, upgrade and rollback</v>
      </c>
      <c r="F58" s="70" t="str">
        <f>IF(INDEX(Backlog!$K$2:$K$188,MATCH($D58,Backlog!$A$2:$A$188,0))="","",INDEX(Backlog!$K$2:$K$188,MATCH($D58,Backlog!$A$2:$A$188,0)))</f>
        <v>Not Started</v>
      </c>
      <c r="G58" s="38" t="str">
        <f>IF(ISNUMBER(INDEX(Backlog!$AS$2:$AS$188,MATCH($D58,Backlog!$A$2:$A$188,0))),INDEX(Backlog!$AS$2:$AS$188,MATCH($D58,Backlog!$A$2:$A$188,0)),"")</f>
        <v/>
      </c>
      <c r="H58" s="38" t="str">
        <f>IF(ISNUMBER(INDEX(Backlog!$AT$2:$AT$188,MATCH($D58,Backlog!$A$2:$A$188,0))),INDEX(Backlog!$AT$2:$AT$188,MATCH($D58,Backlog!$A$2:$A$188,0)),"")</f>
        <v/>
      </c>
      <c r="I58" s="38" t="str">
        <f>IF(INDEX(Backlog!$M$2:$M$188,MATCH($D58,Backlog!$A$2:$A$188,0))="","",INDEX(Backlog!$M$2:$M$188,MATCH($D58,Backlog!$A$2:$A$188,0)))</f>
        <v/>
      </c>
      <c r="J58" s="38" t="str">
        <f>IF(INDEX(Backlog!$T$2:$T$188,MATCH($D58,Backlog!$A$2:$A$188,0))="","",INDEX(Backlog!$T$2:$T$188,MATCH($D58,Backlog!$A$2:$A$188,0)))</f>
        <v>Use the accepted M1 regression baseline; require empty index and clean owned paths, preserving unrelated user work. Then: Release 1 dependency order</v>
      </c>
      <c r="K58" s="38" t="str">
        <f>IF(INDEX(Backlog!$U$2:$U$188,MATCH($D58,Backlog!$A$2:$A$188,0))="","",INDEX(Backlog!$U$2:$U$188,MATCH($D58,Backlog!$A$2:$A$188,0)))</f>
        <v>Own canonical DB/backend/security/API/infra. No W2-owned UI/admin task files and no W3 ML/Assistant runtime.</v>
      </c>
      <c r="L58" s="38" t="str">
        <f>IF(INDEX(Backlog!$V$2:$V$188,MATCH($D58,Backlog!$A$2:$A$188,0))="","",INDEX(Backlog!$V$2:$V$188,MATCH($D58,Backlog!$A$2:$A$188,0)))</f>
        <v>Commit before downstream consumer starts; consumer must use the contract, not redesign producer-owned semantics.</v>
      </c>
      <c r="M58" s="32" t="str">
        <f>IF(INDEX(Backlog!$AO$2:$AO$188,MATCH($D58,Backlog!$A$2:$A$188,0))="","",INDEX(Backlog!$AO$2:$AO$188,MATCH($D58,Backlog!$A$2:$A$188,0)))</f>
        <v>Not started — no completion claimed</v>
      </c>
      <c r="N58" s="32" t="str">
        <f>IF(INDEX(Backlog!$AN$2:$AN$188,MATCH($D58,Backlog!$A$2:$A$188,0))="","",INDEX(Backlog!$AN$2:$AN$188,MATCH($D58,Backlog!$A$2:$A$188,0)))</f>
        <v/>
      </c>
    </row>
    <row r="59" spans="1:14" ht="26.1" customHeight="1">
      <c r="A59" s="38" t="str">
        <f>IF(INDEX(Backlog!$L$2:$L$188,MATCH($D59,Backlog!$A$2:$A$188,0))="","",INDEX(Backlog!$L$2:$L$188,MATCH($D59,Backlog!$A$2:$A$188,0)))</f>
        <v>Worker 1</v>
      </c>
      <c r="B59" s="38" t="str">
        <f>IF(INDEX(Backlog!$B$2:$B$188,MATCH($D59,Backlog!$A$2:$A$188,0))="","",INDEX(Backlog!$B$2:$B$188,MATCH($D59,Backlog!$A$2:$A$188,0)))</f>
        <v>M2</v>
      </c>
      <c r="C59" s="38" t="str">
        <f>IF(INDEX(Backlog!$C$2:$C$188,MATCH($D59,Backlog!$A$2:$A$188,0))="","",INDEX(Backlog!$C$2:$C$188,MATCH($D59,Backlog!$A$2:$A$188,0)))</f>
        <v>P5</v>
      </c>
      <c r="D59" s="38" t="s">
        <v>1169</v>
      </c>
      <c r="E59" s="38" t="str">
        <f>IF(INDEX(Backlog!$D$2:$D$188,MATCH($D59,Backlog!$A$2:$A$188,0))="","",INDEX(Backlog!$D$2:$D$188,MATCH($D59,Backlog!$A$2:$A$188,0)))</f>
        <v>Backup with a tested restore acceptance procedure</v>
      </c>
      <c r="F59" s="70" t="str">
        <f>IF(INDEX(Backlog!$K$2:$K$188,MATCH($D59,Backlog!$A$2:$A$188,0))="","",INDEX(Backlog!$K$2:$K$188,MATCH($D59,Backlog!$A$2:$A$188,0)))</f>
        <v>Not Started</v>
      </c>
      <c r="G59" s="38">
        <f>IF(ISNUMBER(INDEX(Backlog!$AS$2:$AS$188,MATCH($D59,Backlog!$A$2:$A$188,0))),INDEX(Backlog!$AS$2:$AS$188,MATCH($D59,Backlog!$A$2:$A$188,0)),"")</f>
        <v>12</v>
      </c>
      <c r="H59" s="38">
        <f>IF(ISNUMBER(INDEX(Backlog!$AT$2:$AT$188,MATCH($D59,Backlog!$A$2:$A$188,0))),INDEX(Backlog!$AT$2:$AT$188,MATCH($D59,Backlog!$A$2:$A$188,0)),"")</f>
        <v>3.2</v>
      </c>
      <c r="I59" s="38" t="str">
        <f>IF(INDEX(Backlog!$M$2:$M$188,MATCH($D59,Backlog!$A$2:$A$188,0))="","",INDEX(Backlog!$M$2:$M$188,MATCH($D59,Backlog!$A$2:$A$188,0)))</f>
        <v/>
      </c>
      <c r="J59" s="38" t="str">
        <f>IF(INDEX(Backlog!$T$2:$T$188,MATCH($D59,Backlog!$A$2:$A$188,0))="","",INDEX(Backlog!$T$2:$T$188,MATCH($D59,Backlog!$A$2:$A$188,0)))</f>
        <v>Use the accepted M1 regression baseline; require empty index and clean owned paths, preserving unrelated user work. Then: Release 1 dependency order</v>
      </c>
      <c r="K59" s="38" t="str">
        <f>IF(INDEX(Backlog!$U$2:$U$188,MATCH($D59,Backlog!$A$2:$A$188,0))="","",INDEX(Backlog!$U$2:$U$188,MATCH($D59,Backlog!$A$2:$A$188,0)))</f>
        <v>Own canonical DB/backend/security/API/infra. No W2-owned UI/admin task files and no W3 ML/Assistant runtime.</v>
      </c>
      <c r="L59" s="38" t="str">
        <f>IF(INDEX(Backlog!$V$2:$V$188,MATCH($D59,Backlog!$A$2:$A$188,0))="","",INDEX(Backlog!$V$2:$V$188,MATCH($D59,Backlog!$A$2:$A$188,0)))</f>
        <v>Commit before downstream consumer starts; consumer must use the contract, not redesign producer-owned semantics.</v>
      </c>
      <c r="M59" s="32" t="str">
        <f>IF(INDEX(Backlog!$AO$2:$AO$188,MATCH($D59,Backlog!$A$2:$A$188,0))="","",INDEX(Backlog!$AO$2:$AO$188,MATCH($D59,Backlog!$A$2:$A$188,0)))</f>
        <v>Not started — no completion claimed</v>
      </c>
      <c r="N59" s="32" t="str">
        <f>IF(INDEX(Backlog!$AN$2:$AN$188,MATCH($D59,Backlog!$A$2:$A$188,0))="","",INDEX(Backlog!$AN$2:$AN$188,MATCH($D59,Backlog!$A$2:$A$188,0)))</f>
        <v/>
      </c>
    </row>
    <row r="60" spans="1:14" ht="26.1" customHeight="1">
      <c r="A60" s="38" t="str">
        <f>IF(INDEX(Backlog!$L$2:$L$188,MATCH($D60,Backlog!$A$2:$A$188,0))="","",INDEX(Backlog!$L$2:$L$188,MATCH($D60,Backlog!$A$2:$A$188,0)))</f>
        <v>Worker 1</v>
      </c>
      <c r="B60" s="38" t="str">
        <f>IF(INDEX(Backlog!$B$2:$B$188,MATCH($D60,Backlog!$A$2:$A$188,0))="","",INDEX(Backlog!$B$2:$B$188,MATCH($D60,Backlog!$A$2:$A$188,0)))</f>
        <v>M2</v>
      </c>
      <c r="C60" s="38" t="str">
        <f>IF(INDEX(Backlog!$C$2:$C$188,MATCH($D60,Backlog!$A$2:$A$188,0))="","",INDEX(Backlog!$C$2:$C$188,MATCH($D60,Backlog!$A$2:$A$188,0)))</f>
        <v>P5</v>
      </c>
      <c r="D60" s="38" t="s">
        <v>1177</v>
      </c>
      <c r="E60" s="38" t="str">
        <f>IF(INDEX(Backlog!$D$2:$D$188,MATCH($D60,Backlog!$A$2:$A$188,0))="","",INDEX(Backlog!$D$2:$D$188,MATCH($D60,Backlog!$A$2:$A$188,0)))</f>
        <v>Minimum monitoring, health and alerting</v>
      </c>
      <c r="F60" s="70" t="str">
        <f>IF(INDEX(Backlog!$K$2:$K$188,MATCH($D60,Backlog!$A$2:$A$188,0))="","",INDEX(Backlog!$K$2:$K$188,MATCH($D60,Backlog!$A$2:$A$188,0)))</f>
        <v>Not Started</v>
      </c>
      <c r="G60" s="38">
        <f>IF(ISNUMBER(INDEX(Backlog!$AS$2:$AS$188,MATCH($D60,Backlog!$A$2:$A$188,0))),INDEX(Backlog!$AS$2:$AS$188,MATCH($D60,Backlog!$A$2:$A$188,0)),"")</f>
        <v>14</v>
      </c>
      <c r="H60" s="38">
        <f>IF(ISNUMBER(INDEX(Backlog!$AT$2:$AT$188,MATCH($D60,Backlog!$A$2:$A$188,0))),INDEX(Backlog!$AT$2:$AT$188,MATCH($D60,Backlog!$A$2:$A$188,0)),"")</f>
        <v>3.2</v>
      </c>
      <c r="I60" s="38" t="str">
        <f>IF(INDEX(Backlog!$M$2:$M$188,MATCH($D60,Backlog!$A$2:$A$188,0))="","",INDEX(Backlog!$M$2:$M$188,MATCH($D60,Backlog!$A$2:$A$188,0)))</f>
        <v>T-106; T-107</v>
      </c>
      <c r="J60" s="38" t="str">
        <f>IF(INDEX(Backlog!$T$2:$T$188,MATCH($D60,Backlog!$A$2:$A$188,0))="","",INDEX(Backlog!$T$2:$T$188,MATCH($D60,Backlog!$A$2:$A$188,0)))</f>
        <v>Use the accepted M1 regression baseline; require empty index and clean owned paths, preserving unrelated user work. Then: Release 1 dependency order</v>
      </c>
      <c r="K60" s="38" t="str">
        <f>IF(INDEX(Backlog!$U$2:$U$188,MATCH($D60,Backlog!$A$2:$A$188,0))="","",INDEX(Backlog!$U$2:$U$188,MATCH($D60,Backlog!$A$2:$A$188,0)))</f>
        <v>Own canonical DB/backend/security/API/infra. No W2-owned UI/admin task files and no W3 ML/Assistant runtime.</v>
      </c>
      <c r="L60" s="38" t="str">
        <f>IF(INDEX(Backlog!$V$2:$V$188,MATCH($D60,Backlog!$A$2:$A$188,0))="","",INDEX(Backlog!$V$2:$V$188,MATCH($D60,Backlog!$A$2:$A$188,0)))</f>
        <v>Commit before downstream consumer starts; consumer must use the contract, not redesign producer-owned semantics.</v>
      </c>
      <c r="M60" s="32" t="str">
        <f>IF(INDEX(Backlog!$AO$2:$AO$188,MATCH($D60,Backlog!$A$2:$A$188,0))="","",INDEX(Backlog!$AO$2:$AO$188,MATCH($D60,Backlog!$A$2:$A$188,0)))</f>
        <v>Not started — no completion claimed</v>
      </c>
      <c r="N60" s="32" t="str">
        <f>IF(INDEX(Backlog!$AN$2:$AN$188,MATCH($D60,Backlog!$A$2:$A$188,0))="","",INDEX(Backlog!$AN$2:$AN$188,MATCH($D60,Backlog!$A$2:$A$188,0)))</f>
        <v/>
      </c>
    </row>
    <row r="61" spans="1:14" ht="26.1" customHeight="1">
      <c r="A61" s="38" t="str">
        <f>IF(INDEX(Backlog!$L$2:$L$188,MATCH($D61,Backlog!$A$2:$A$188,0))="","",INDEX(Backlog!$L$2:$L$188,MATCH($D61,Backlog!$A$2:$A$188,0)))</f>
        <v>Worker 1</v>
      </c>
      <c r="B61" s="38" t="str">
        <f>IF(INDEX(Backlog!$B$2:$B$188,MATCH($D61,Backlog!$A$2:$A$188,0))="","",INDEX(Backlog!$B$2:$B$188,MATCH($D61,Backlog!$A$2:$A$188,0)))</f>
        <v>M2</v>
      </c>
      <c r="C61" s="38" t="str">
        <f>IF(INDEX(Backlog!$C$2:$C$188,MATCH($D61,Backlog!$A$2:$A$188,0))="","",INDEX(Backlog!$C$2:$C$188,MATCH($D61,Backlog!$A$2:$A$188,0)))</f>
        <v>P5</v>
      </c>
      <c r="D61" s="38" t="s">
        <v>1187</v>
      </c>
      <c r="E61" s="38" t="str">
        <f>IF(INDEX(Backlog!$D$2:$D$188,MATCH($D61,Backlog!$A$2:$A$188,0))="","",INDEX(Backlog!$D$2:$D$188,MATCH($D61,Backlog!$A$2:$A$188,0)))</f>
        <v>Support runbook and UAT dataset and configuration import</v>
      </c>
      <c r="F61" s="70" t="str">
        <f>IF(INDEX(Backlog!$K$2:$K$188,MATCH($D61,Backlog!$A$2:$A$188,0))="","",INDEX(Backlog!$K$2:$K$188,MATCH($D61,Backlog!$A$2:$A$188,0)))</f>
        <v>Not Started</v>
      </c>
      <c r="G61" s="38">
        <f>IF(ISNUMBER(INDEX(Backlog!$AS$2:$AS$188,MATCH($D61,Backlog!$A$2:$A$188,0))),INDEX(Backlog!$AS$2:$AS$188,MATCH($D61,Backlog!$A$2:$A$188,0)),"")</f>
        <v>12</v>
      </c>
      <c r="H61" s="38">
        <f>IF(ISNUMBER(INDEX(Backlog!$AT$2:$AT$188,MATCH($D61,Backlog!$A$2:$A$188,0))),INDEX(Backlog!$AT$2:$AT$188,MATCH($D61,Backlog!$A$2:$A$188,0)),"")</f>
        <v>0.9</v>
      </c>
      <c r="I61" s="38" t="str">
        <f>IF(INDEX(Backlog!$M$2:$M$188,MATCH($D61,Backlog!$A$2:$A$188,0))="","",INDEX(Backlog!$M$2:$M$188,MATCH($D61,Backlog!$A$2:$A$188,0)))</f>
        <v/>
      </c>
      <c r="J61" s="38" t="str">
        <f>IF(INDEX(Backlog!$T$2:$T$188,MATCH($D61,Backlog!$A$2:$A$188,0))="","",INDEX(Backlog!$T$2:$T$188,MATCH($D61,Backlog!$A$2:$A$188,0)))</f>
        <v>Use the accepted M1 regression baseline; require empty index and clean owned paths, preserving unrelated user work. Then: Release 1 dependency order</v>
      </c>
      <c r="K61" s="38" t="str">
        <f>IF(INDEX(Backlog!$U$2:$U$188,MATCH($D61,Backlog!$A$2:$A$188,0))="","",INDEX(Backlog!$U$2:$U$188,MATCH($D61,Backlog!$A$2:$A$188,0)))</f>
        <v>Own canonical DB/backend/security/API/infra. No W2-owned UI/admin task files and no W3 ML/Assistant runtime.</v>
      </c>
      <c r="L61" s="38" t="str">
        <f>IF(INDEX(Backlog!$V$2:$V$188,MATCH($D61,Backlog!$A$2:$A$188,0))="","",INDEX(Backlog!$V$2:$V$188,MATCH($D61,Backlog!$A$2:$A$188,0)))</f>
        <v>Commit before downstream consumer starts; consumer must use the contract, not redesign producer-owned semantics.</v>
      </c>
      <c r="M61" s="32" t="str">
        <f>IF(INDEX(Backlog!$AO$2:$AO$188,MATCH($D61,Backlog!$A$2:$A$188,0))="","",INDEX(Backlog!$AO$2:$AO$188,MATCH($D61,Backlog!$A$2:$A$188,0)))</f>
        <v>Not started — no completion claimed</v>
      </c>
      <c r="N61" s="32" t="str">
        <f>IF(INDEX(Backlog!$AN$2:$AN$188,MATCH($D61,Backlog!$A$2:$A$188,0))="","",INDEX(Backlog!$AN$2:$AN$188,MATCH($D61,Backlog!$A$2:$A$188,0)))</f>
        <v/>
      </c>
    </row>
    <row r="62" spans="1:14" ht="26.1" customHeight="1">
      <c r="A62" s="38" t="str">
        <f>IF(INDEX(Backlog!$L$2:$L$188,MATCH($D62,Backlog!$A$2:$A$188,0))="","",INDEX(Backlog!$L$2:$L$188,MATCH($D62,Backlog!$A$2:$A$188,0)))</f>
        <v>Worker 1</v>
      </c>
      <c r="B62" s="38" t="str">
        <f>IF(INDEX(Backlog!$B$2:$B$188,MATCH($D62,Backlog!$A$2:$A$188,0))="","",INDEX(Backlog!$B$2:$B$188,MATCH($D62,Backlog!$A$2:$A$188,0)))</f>
        <v>M2</v>
      </c>
      <c r="C62" s="38" t="str">
        <f>IF(INDEX(Backlog!$C$2:$C$188,MATCH($D62,Backlog!$A$2:$A$188,0))="","",INDEX(Backlog!$C$2:$C$188,MATCH($D62,Backlog!$A$2:$A$188,0)))</f>
        <v>P5</v>
      </c>
      <c r="D62" s="38" t="s">
        <v>743</v>
      </c>
      <c r="E62" s="38" t="str">
        <f>IF(INDEX(Backlog!$D$2:$D$188,MATCH($D62,Backlog!$A$2:$A$188,0))="","",INDEX(Backlog!$D$2:$D$188,MATCH($D62,Backlog!$A$2:$A$188,0)))</f>
        <v>Release 1 final production gate: Day-1 workbench, BI, OPC, intelligence and hardening</v>
      </c>
      <c r="F62" s="70" t="str">
        <f>IF(INDEX(Backlog!$K$2:$K$188,MATCH($D62,Backlog!$A$2:$A$188,0))="","",INDEX(Backlog!$K$2:$K$188,MATCH($D62,Backlog!$A$2:$A$188,0)))</f>
        <v>Not Started</v>
      </c>
      <c r="G62" s="38">
        <f>IF(ISNUMBER(INDEX(Backlog!$AS$2:$AS$188,MATCH($D62,Backlog!$A$2:$A$188,0))),INDEX(Backlog!$AS$2:$AS$188,MATCH($D62,Backlog!$A$2:$A$188,0)),"")</f>
        <v>12</v>
      </c>
      <c r="H62" s="38">
        <f>IF(ISNUMBER(INDEX(Backlog!$AT$2:$AT$188,MATCH($D62,Backlog!$A$2:$A$188,0))),INDEX(Backlog!$AT$2:$AT$188,MATCH($D62,Backlog!$A$2:$A$188,0)),"")</f>
        <v>4.08</v>
      </c>
      <c r="I62" s="38" t="str">
        <f>IF(INDEX(Backlog!$M$2:$M$188,MATCH($D62,Backlog!$A$2:$A$188,0))="","",INDEX(Backlog!$M$2:$M$188,MATCH($D62,Backlog!$A$2:$A$188,0)))</f>
        <v>T-115; T-123; T-124; T-125; T-126; T-205; T-207; T-212; T-215; T-222; T-223; T-226; T-227; T-247; T-250; T-251; T-252; T-253; T-254; T-255; T-256; T-257; T-258; T-259</v>
      </c>
      <c r="J62" s="38" t="str">
        <f>IF(INDEX(Backlog!$T$2:$T$188,MATCH($D62,Backlog!$A$2:$A$188,0))="","",INDEX(Backlog!$T$2:$T$188,MATCH($D62,Backlog!$A$2:$A$188,0)))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T-192 + T-148 exact route/shell inventory + T-194 API-alias retirement + all ...</v>
      </c>
      <c r="K62" s="38" t="str">
        <f>IF(INDEX(Backlog!$U$2:$U$188,MATCH($D62,Backlog!$A$2:$A$188,0))="","",INDEX(Backlog!$U$2:$U$188,MATCH($D62,Backlog!$A$2:$A$188,0)))</f>
        <v>T-150 only after W2/W3 component freeze; route failures back to owning agent.</v>
      </c>
      <c r="L62" s="38" t="str">
        <f>IF(INDEX(Backlog!$V$2:$V$188,MATCH($D62,Backlog!$A$2:$A$188,0))="","",INDEX(Backlog!$V$2:$V$188,MATCH($D62,Backlog!$A$2:$A$188,0)))</f>
        <v>Final Release 1 gate. Fixes go back to the exclusive owning task/agent; T-150 owner does not edit other agents' feature files.</v>
      </c>
      <c r="M62" s="32" t="str">
        <f>IF(INDEX(Backlog!$AO$2:$AO$188,MATCH($D62,Backlog!$A$2:$A$188,0))="","",INDEX(Backlog!$AO$2:$AO$188,MATCH($D62,Backlog!$A$2:$A$188,0)))</f>
        <v>Not started — no completion claimed</v>
      </c>
      <c r="N62" s="32" t="str">
        <f>IF(INDEX(Backlog!$AN$2:$AN$188,MATCH($D62,Backlog!$A$2:$A$188,0))="","",INDEX(Backlog!$AN$2:$AN$188,MATCH($D62,Backlog!$A$2:$A$188,0)))</f>
        <v/>
      </c>
    </row>
    <row r="63" spans="1:14" ht="26.1" customHeight="1">
      <c r="A63" s="38" t="str">
        <f>IF(INDEX(Backlog!$L$2:$L$188,MATCH($D63,Backlog!$A$2:$A$188,0))="","",INDEX(Backlog!$L$2:$L$188,MATCH($D63,Backlog!$A$2:$A$188,0)))</f>
        <v>Worker 1</v>
      </c>
      <c r="B63" s="38" t="str">
        <f>IF(INDEX(Backlog!$B$2:$B$188,MATCH($D63,Backlog!$A$2:$A$188,0))="","",INDEX(Backlog!$B$2:$B$188,MATCH($D63,Backlog!$A$2:$A$188,0)))</f>
        <v>M2</v>
      </c>
      <c r="C63" s="38" t="str">
        <f>IF(INDEX(Backlog!$C$2:$C$188,MATCH($D63,Backlog!$A$2:$A$188,0))="","",INDEX(Backlog!$C$2:$C$188,MATCH($D63,Backlog!$A$2:$A$188,0)))</f>
        <v>P5</v>
      </c>
      <c r="D63" s="38" t="s">
        <v>1206</v>
      </c>
      <c r="E63" s="38" t="str">
        <f>IF(INDEX(Backlog!$D$2:$D$188,MATCH($D63,Backlog!$A$2:$A$188,0))="","",INDEX(Backlog!$D$2:$D$188,MATCH($D63,Backlog!$A$2:$A$188,0)))</f>
        <v>Release 1 production acceptance scorecard and evidence policy</v>
      </c>
      <c r="F63" s="70" t="str">
        <f>IF(INDEX(Backlog!$K$2:$K$188,MATCH($D63,Backlog!$A$2:$A$188,0))="","",INDEX(Backlog!$K$2:$K$188,MATCH($D63,Backlog!$A$2:$A$188,0)))</f>
        <v>Not Started</v>
      </c>
      <c r="G63" s="38">
        <f>IF(ISNUMBER(INDEX(Backlog!$AS$2:$AS$188,MATCH($D63,Backlog!$A$2:$A$188,0))),INDEX(Backlog!$AS$2:$AS$188,MATCH($D63,Backlog!$A$2:$A$188,0)),"")</f>
        <v>6</v>
      </c>
      <c r="H63" s="38">
        <f>IF(ISNUMBER(INDEX(Backlog!$AT$2:$AT$188,MATCH($D63,Backlog!$A$2:$A$188,0))),INDEX(Backlog!$AT$2:$AT$188,MATCH($D63,Backlog!$A$2:$A$188,0)),"")</f>
        <v>2.25</v>
      </c>
      <c r="I63" s="38" t="str">
        <f>IF(INDEX(Backlog!$M$2:$M$188,MATCH($D63,Backlog!$A$2:$A$188,0))="","",INDEX(Backlog!$M$2:$M$188,MATCH($D63,Backlog!$A$2:$A$188,0)))</f>
        <v>T-213; T-259</v>
      </c>
      <c r="J63" s="38" t="str">
        <f>IF(INDEX(Backlog!$T$2:$T$188,MATCH($D63,Backlog!$A$2:$A$188,0))="","",INDEX(Backlog!$T$2:$T$188,MATCH($D63,Backlog!$A$2:$A$188,0)))</f>
        <v>Prepare before installation; can start after customer data assessment T-213.</v>
      </c>
      <c r="K63" s="38" t="str">
        <f>IF(INDEX(Backlog!$U$2:$U$188,MATCH($D63,Backlog!$A$2:$A$188,0))="","",INDEX(Backlog!$U$2:$U$188,MATCH($D63,Backlog!$A$2:$A$188,0)))</f>
        <v>Pilot documentation/evidence scorecard only.</v>
      </c>
      <c r="L63" s="38" t="str">
        <f>IF(INDEX(Backlog!$V$2:$V$188,MATCH($D63,Backlog!$A$2:$A$188,0))="","",INDEX(Backlog!$V$2:$V$188,MATCH($D63,Backlog!$A$2:$A$188,0)))</f>
        <v>Site/engineering teams later fill measured values; criteria are not rewritten after results are known without an audited amendment.</v>
      </c>
      <c r="M63" s="32" t="str">
        <f>IF(INDEX(Backlog!$AO$2:$AO$188,MATCH($D63,Backlog!$A$2:$A$188,0))="","",INDEX(Backlog!$AO$2:$AO$188,MATCH($D63,Backlog!$A$2:$A$188,0)))</f>
        <v>Not started — no completion claimed</v>
      </c>
      <c r="N63" s="32" t="str">
        <f>IF(INDEX(Backlog!$AN$2:$AN$188,MATCH($D63,Backlog!$A$2:$A$188,0))="","",INDEX(Backlog!$AN$2:$AN$188,MATCH($D63,Backlog!$A$2:$A$188,0)))</f>
        <v/>
      </c>
    </row>
    <row r="64" spans="1:14" ht="26.1" customHeight="1">
      <c r="A64" s="38" t="str">
        <f>IF(INDEX(Backlog!$L$2:$L$188,MATCH($D64,Backlog!$A$2:$A$188,0))="","",INDEX(Backlog!$L$2:$L$188,MATCH($D64,Backlog!$A$2:$A$188,0)))</f>
        <v>Worker 1</v>
      </c>
      <c r="B64" s="38" t="str">
        <f>IF(INDEX(Backlog!$B$2:$B$188,MATCH($D64,Backlog!$A$2:$A$188,0))="","",INDEX(Backlog!$B$2:$B$188,MATCH($D64,Backlog!$A$2:$A$188,0)))</f>
        <v>M3</v>
      </c>
      <c r="C64" s="38" t="str">
        <f>IF(INDEX(Backlog!$C$2:$C$188,MATCH($D64,Backlog!$A$2:$A$188,0))="","",INDEX(Backlog!$C$2:$C$188,MATCH($D64,Backlog!$A$2:$A$188,0)))</f>
        <v>P1</v>
      </c>
      <c r="D64" s="38" t="s">
        <v>1242</v>
      </c>
      <c r="E64" s="38" t="str">
        <f>IF(INDEX(Backlog!$D$2:$D$188,MATCH($D64,Backlog!$A$2:$A$188,0))="","",INDEX(Backlog!$D$2:$D$188,MATCH($D64,Backlog!$A$2:$A$188,0)))</f>
        <v>Bounded delta execution: chunks, resume, deterministic merge and scan budgets</v>
      </c>
      <c r="F64" s="70" t="str">
        <f>IF(INDEX(Backlog!$K$2:$K$188,MATCH($D64,Backlog!$A$2:$A$188,0))="","",INDEX(Backlog!$K$2:$K$188,MATCH($D64,Backlog!$A$2:$A$188,0)))</f>
        <v>Not Started</v>
      </c>
      <c r="G64" s="38" t="str">
        <f>IF(ISNUMBER(INDEX(Backlog!$AS$2:$AS$188,MATCH($D64,Backlog!$A$2:$A$188,0))),INDEX(Backlog!$AS$2:$AS$188,MATCH($D64,Backlog!$A$2:$A$188,0)),"")</f>
        <v/>
      </c>
      <c r="H64" s="38" t="str">
        <f>IF(ISNUMBER(INDEX(Backlog!$AT$2:$AT$188,MATCH($D64,Backlog!$A$2:$A$188,0))),INDEX(Backlog!$AT$2:$AT$188,MATCH($D64,Backlog!$A$2:$A$188,0)),"")</f>
        <v/>
      </c>
      <c r="I64" s="38" t="str">
        <f>IF(INDEX(Backlog!$M$2:$M$188,MATCH($D64,Backlog!$A$2:$A$188,0))="","",INDEX(Backlog!$M$2:$M$188,MATCH($D64,Backlog!$A$2:$A$188,0)))</f>
        <v>T-108; T-109</v>
      </c>
      <c r="J64" s="38" t="str">
        <f>IF(INDEX(Backlog!$T$2:$T$188,MATCH($D64,Backlog!$A$2:$A$188,0))="","",INDEX(Backlog!$T$2:$T$188,MATCH($D64,Backlog!$A$2:$A$188,0)))</f>
        <v>Consume accepted producer contracts; remaining dependencies: T-108; T-109. No private scheduler/definition authority. Source-present is not closure proof.</v>
      </c>
      <c r="K64" s="38" t="str">
        <f>IF(INDEX(Backlog!$U$2:$U$188,MATCH($D64,Backlog!$A$2:$A$188,0))="","",INDEX(Backlog!$U$2:$U$188,MATCH($D64,Backlog!$A$2:$A$188,0)))</f>
        <v>Own canonical DB/backend/security/API/infra. No W2-owned UI/admin task files and no W3 ML/Assistant runtime.</v>
      </c>
      <c r="L64" s="38" t="str">
        <f>IF(INDEX(Backlog!$V$2:$V$188,MATCH($D64,Backlog!$A$2:$A$188,0))="","",INDEX(Backlog!$V$2:$V$188,MATCH($D64,Backlog!$A$2:$A$188,0)))</f>
        <v>Commit before downstream consumer starts; consumer must use the contract, not redesign producer-owned semantics.</v>
      </c>
      <c r="M64" s="32" t="str">
        <f>IF(INDEX(Backlog!$AO$2:$AO$188,MATCH($D64,Backlog!$A$2:$A$188,0))="","",INDEX(Backlog!$AO$2:$AO$188,MATCH($D64,Backlog!$A$2:$A$188,0)))</f>
        <v>Not started — no completion claimed</v>
      </c>
      <c r="N64" s="32" t="str">
        <f>IF(INDEX(Backlog!$AN$2:$AN$188,MATCH($D64,Backlog!$A$2:$A$188,0))="","",INDEX(Backlog!$AN$2:$AN$188,MATCH($D64,Backlog!$A$2:$A$188,0)))</f>
        <v/>
      </c>
    </row>
    <row r="65" spans="1:14" ht="26.1" customHeight="1">
      <c r="A65" s="38" t="str">
        <f>IF(INDEX(Backlog!$L$2:$L$188,MATCH($D65,Backlog!$A$2:$A$188,0))="","",INDEX(Backlog!$L$2:$L$188,MATCH($D65,Backlog!$A$2:$A$188,0)))</f>
        <v>Worker 1</v>
      </c>
      <c r="B65" s="38" t="str">
        <f>IF(INDEX(Backlog!$B$2:$B$188,MATCH($D65,Backlog!$A$2:$A$188,0))="","",INDEX(Backlog!$B$2:$B$188,MATCH($D65,Backlog!$A$2:$A$188,0)))</f>
        <v>M3</v>
      </c>
      <c r="C65" s="38" t="str">
        <f>IF(INDEX(Backlog!$C$2:$C$188,MATCH($D65,Backlog!$A$2:$A$188,0))="","",INDEX(Backlog!$C$2:$C$188,MATCH($D65,Backlog!$A$2:$A$188,0)))</f>
        <v>P1</v>
      </c>
      <c r="D65" s="38" t="s">
        <v>1255</v>
      </c>
      <c r="E65" s="38" t="str">
        <f>IF(INDEX(Backlog!$D$2:$D$188,MATCH($D65,Backlog!$A$2:$A$188,0))="","",INDEX(Backlog!$D$2:$D$188,MATCH($D65,Backlog!$A$2:$A$188,0)))</f>
        <v>Container architecture and configuration profiles, including isolated ML runtimes</v>
      </c>
      <c r="F65" s="70" t="str">
        <f>IF(INDEX(Backlog!$K$2:$K$188,MATCH($D65,Backlog!$A$2:$A$188,0))="","",INDEX(Backlog!$K$2:$K$188,MATCH($D65,Backlog!$A$2:$A$188,0)))</f>
        <v>Not Started</v>
      </c>
      <c r="G65" s="38">
        <f>IF(ISNUMBER(INDEX(Backlog!$AS$2:$AS$188,MATCH($D65,Backlog!$A$2:$A$188,0))),INDEX(Backlog!$AS$2:$AS$188,MATCH($D65,Backlog!$A$2:$A$188,0)),"")</f>
        <v>12</v>
      </c>
      <c r="H65" s="38">
        <f>IF(ISNUMBER(INDEX(Backlog!$AT$2:$AT$188,MATCH($D65,Backlog!$A$2:$A$188,0))),INDEX(Backlog!$AT$2:$AT$188,MATCH($D65,Backlog!$A$2:$A$188,0)),"")</f>
        <v>3.2</v>
      </c>
      <c r="I65" s="38" t="str">
        <f>IF(INDEX(Backlog!$M$2:$M$188,MATCH($D65,Backlog!$A$2:$A$188,0))="","",INDEX(Backlog!$M$2:$M$188,MATCH($D65,Backlog!$A$2:$A$188,0)))</f>
        <v>T-106; T-107; T-112; T-113; T-114; T-117; T-137; T-168; T-123</v>
      </c>
      <c r="J65" s="38" t="str">
        <f>IF(INDEX(Backlog!$T$2:$T$188,MATCH($D65,Backlog!$A$2:$A$188,0))="","",INDEX(Backlog!$T$2:$T$188,MATCH($D65,Backlog!$A$2:$A$188,0)))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T-106 + T-107 + T-112 + T-113 + T-114 + T-117; T-137/T-168 runtime contracts ...</v>
      </c>
      <c r="K65" s="38" t="str">
        <f>IF(INDEX(Backlog!$U$2:$U$188,MATCH($D65,Backlog!$A$2:$A$188,0))="","",INDEX(Backlog!$U$2:$U$188,MATCH($D65,Backlog!$A$2:$A$188,0)))</f>
        <v>Own canonical DB/backend/security/API/infra. No W2-owned UI/admin task files and no W3 ML/Assistant runtime.</v>
      </c>
      <c r="L65" s="38" t="str">
        <f>IF(INDEX(Backlog!$V$2:$V$188,MATCH($D65,Backlog!$A$2:$A$188,0))="","",INDEX(Backlog!$V$2:$V$188,MATCH($D65,Backlog!$A$2:$A$188,0)))</f>
        <v>Commit before downstream consumer starts; consumer must use the contract, not redesign producer-owned semantics.</v>
      </c>
      <c r="M65" s="32" t="str">
        <f>IF(INDEX(Backlog!$AO$2:$AO$188,MATCH($D65,Backlog!$A$2:$A$188,0))="","",INDEX(Backlog!$AO$2:$AO$188,MATCH($D65,Backlog!$A$2:$A$188,0)))</f>
        <v>Not started — no completion claimed</v>
      </c>
      <c r="N65" s="32" t="str">
        <f>IF(INDEX(Backlog!$AN$2:$AN$188,MATCH($D65,Backlog!$A$2:$A$188,0))="","",INDEX(Backlog!$AN$2:$AN$188,MATCH($D65,Backlog!$A$2:$A$188,0)))</f>
        <v/>
      </c>
    </row>
    <row r="66" spans="1:14" ht="26.1" customHeight="1">
      <c r="A66" s="38" t="str">
        <f>IF(INDEX(Backlog!$L$2:$L$188,MATCH($D66,Backlog!$A$2:$A$188,0))="","",INDEX(Backlog!$L$2:$L$188,MATCH($D66,Backlog!$A$2:$A$188,0)))</f>
        <v>Worker 1</v>
      </c>
      <c r="B66" s="38" t="str">
        <f>IF(INDEX(Backlog!$B$2:$B$188,MATCH($D66,Backlog!$A$2:$A$188,0))="","",INDEX(Backlog!$B$2:$B$188,MATCH($D66,Backlog!$A$2:$A$188,0)))</f>
        <v>M3</v>
      </c>
      <c r="C66" s="38" t="str">
        <f>IF(INDEX(Backlog!$C$2:$C$188,MATCH($D66,Backlog!$A$2:$A$188,0))="","",INDEX(Backlog!$C$2:$C$188,MATCH($D66,Backlog!$A$2:$A$188,0)))</f>
        <v>P1</v>
      </c>
      <c r="D66" s="38" t="s">
        <v>1264</v>
      </c>
      <c r="E66" s="38" t="str">
        <f>IF(INDEX(Backlog!$D$2:$D$188,MATCH($D66,Backlog!$A$2:$A$188,0))="","",INDEX(Backlog!$D$2:$D$188,MATCH($D66,Backlog!$A$2:$A$188,0)))</f>
        <v>Site defect burn-down</v>
      </c>
      <c r="F66" s="70" t="str">
        <f>IF(INDEX(Backlog!$K$2:$K$188,MATCH($D66,Backlog!$A$2:$A$188,0))="","",INDEX(Backlog!$K$2:$K$188,MATCH($D66,Backlog!$A$2:$A$188,0)))</f>
        <v>Not Started</v>
      </c>
      <c r="G66" s="38">
        <f>IF(ISNUMBER(INDEX(Backlog!$AS$2:$AS$188,MATCH($D66,Backlog!$A$2:$A$188,0))),INDEX(Backlog!$AS$2:$AS$188,MATCH($D66,Backlog!$A$2:$A$188,0)),"")</f>
        <v>12</v>
      </c>
      <c r="H66" s="38">
        <f>IF(ISNUMBER(INDEX(Backlog!$AT$2:$AT$188,MATCH($D66,Backlog!$A$2:$A$188,0))),INDEX(Backlog!$AT$2:$AT$188,MATCH($D66,Backlog!$A$2:$A$188,0)),"")</f>
        <v>7.2</v>
      </c>
      <c r="I66" s="38" t="str">
        <f>IF(INDEX(Backlog!$M$2:$M$188,MATCH($D66,Backlog!$A$2:$A$188,0))="","",INDEX(Backlog!$M$2:$M$188,MATCH($D66,Backlog!$A$2:$A$188,0)))</f>
        <v/>
      </c>
      <c r="J66" s="38" t="str">
        <f>IF(INDEX(Backlog!$T$2:$T$188,MATCH($D66,Backlog!$A$2:$A$188,0))="","",INDEX(Backlog!$T$2:$T$188,MATCH($D66,Backlog!$A$2:$A$188,0)))</f>
        <v>WAIT for deployed Release 1 + real customer/site evidence. M3 sequence</v>
      </c>
      <c r="K66" s="38" t="str">
        <f>IF(INDEX(Backlog!$U$2:$U$188,MATCH($D66,Backlog!$A$2:$A$188,0))="","",INDEX(Backlog!$U$2:$U$188,MATCH($D66,Backlog!$A$2:$A$188,0)))</f>
        <v>Own site/platform/backend/infra. No AI/ML calibration or customer UX docs.</v>
      </c>
      <c r="L66" s="38" t="str">
        <f>IF(INDEX(Backlog!$V$2:$V$188,MATCH($D66,Backlog!$A$2:$A$188,0))="","",INDEX(Backlog!$V$2:$V$188,MATCH($D66,Backlog!$A$2:$A$188,0)))</f>
        <v>Commit before downstream consumer starts; consumer must use the contract, not redesign producer-owned semantics.</v>
      </c>
      <c r="M66" s="32" t="str">
        <f>IF(INDEX(Backlog!$AO$2:$AO$188,MATCH($D66,Backlog!$A$2:$A$188,0))="","",INDEX(Backlog!$AO$2:$AO$188,MATCH($D66,Backlog!$A$2:$A$188,0)))</f>
        <v>Not started — no completion claimed</v>
      </c>
      <c r="N66" s="32" t="str">
        <f>IF(INDEX(Backlog!$AN$2:$AN$188,MATCH($D66,Backlog!$A$2:$A$188,0))="","",INDEX(Backlog!$AN$2:$AN$188,MATCH($D66,Backlog!$A$2:$A$188,0)))</f>
        <v/>
      </c>
    </row>
    <row r="67" spans="1:14" ht="26.1" customHeight="1">
      <c r="A67" s="38" t="str">
        <f>IF(INDEX(Backlog!$L$2:$L$188,MATCH($D67,Backlog!$A$2:$A$188,0))="","",INDEX(Backlog!$L$2:$L$188,MATCH($D67,Backlog!$A$2:$A$188,0)))</f>
        <v>Worker 1</v>
      </c>
      <c r="B67" s="38" t="str">
        <f>IF(INDEX(Backlog!$B$2:$B$188,MATCH($D67,Backlog!$A$2:$A$188,0))="","",INDEX(Backlog!$B$2:$B$188,MATCH($D67,Backlog!$A$2:$A$188,0)))</f>
        <v>M3</v>
      </c>
      <c r="C67" s="38" t="str">
        <f>IF(INDEX(Backlog!$C$2:$C$188,MATCH($D67,Backlog!$A$2:$A$188,0))="","",INDEX(Backlog!$C$2:$C$188,MATCH($D67,Backlog!$A$2:$A$188,0)))</f>
        <v>P1</v>
      </c>
      <c r="D67" s="38" t="s">
        <v>1272</v>
      </c>
      <c r="E67" s="38" t="str">
        <f>IF(INDEX(Backlog!$D$2:$D$188,MATCH($D67,Backlog!$A$2:$A$188,0))="","",INDEX(Backlog!$D$2:$D$188,MATCH($D67,Backlog!$A$2:$A$188,0)))</f>
        <v>Customer data edge cases</v>
      </c>
      <c r="F67" s="70" t="str">
        <f>IF(INDEX(Backlog!$K$2:$K$188,MATCH($D67,Backlog!$A$2:$A$188,0))="","",INDEX(Backlog!$K$2:$K$188,MATCH($D67,Backlog!$A$2:$A$188,0)))</f>
        <v>Not Started</v>
      </c>
      <c r="G67" s="38">
        <f>IF(ISNUMBER(INDEX(Backlog!$AS$2:$AS$188,MATCH($D67,Backlog!$A$2:$A$188,0))),INDEX(Backlog!$AS$2:$AS$188,MATCH($D67,Backlog!$A$2:$A$188,0)),"")</f>
        <v>12</v>
      </c>
      <c r="H67" s="38">
        <f>IF(ISNUMBER(INDEX(Backlog!$AT$2:$AT$188,MATCH($D67,Backlog!$A$2:$A$188,0))),INDEX(Backlog!$AT$2:$AT$188,MATCH($D67,Backlog!$A$2:$A$188,0)),"")</f>
        <v>7.2</v>
      </c>
      <c r="I67" s="38" t="str">
        <f>IF(INDEX(Backlog!$M$2:$M$188,MATCH($D67,Backlog!$A$2:$A$188,0))="","",INDEX(Backlog!$M$2:$M$188,MATCH($D67,Backlog!$A$2:$A$188,0)))</f>
        <v/>
      </c>
      <c r="J67" s="38" t="str">
        <f>IF(INDEX(Backlog!$T$2:$T$188,MATCH($D67,Backlog!$A$2:$A$188,0))="","",INDEX(Backlog!$T$2:$T$188,MATCH($D67,Backlog!$A$2:$A$188,0)))</f>
        <v>WAIT for deployed Release 1 + real customer/site evidence. M3 sequence</v>
      </c>
      <c r="K67" s="38" t="str">
        <f>IF(INDEX(Backlog!$U$2:$U$188,MATCH($D67,Backlog!$A$2:$A$188,0))="","",INDEX(Backlog!$U$2:$U$188,MATCH($D67,Backlog!$A$2:$A$188,0)))</f>
        <v>Own site/platform/backend/infra. No AI/ML calibration or customer UX docs.</v>
      </c>
      <c r="L67" s="38" t="str">
        <f>IF(INDEX(Backlog!$V$2:$V$188,MATCH($D67,Backlog!$A$2:$A$188,0))="","",INDEX(Backlog!$V$2:$V$188,MATCH($D67,Backlog!$A$2:$A$188,0)))</f>
        <v>Commit before downstream consumer starts; consumer must use the contract, not redesign producer-owned semantics.</v>
      </c>
      <c r="M67" s="32" t="str">
        <f>IF(INDEX(Backlog!$AO$2:$AO$188,MATCH($D67,Backlog!$A$2:$A$188,0))="","",INDEX(Backlog!$AO$2:$AO$188,MATCH($D67,Backlog!$A$2:$A$188,0)))</f>
        <v>Not started — no completion claimed</v>
      </c>
      <c r="N67" s="32" t="str">
        <f>IF(INDEX(Backlog!$AN$2:$AN$188,MATCH($D67,Backlog!$A$2:$A$188,0))="","",INDEX(Backlog!$AN$2:$AN$188,MATCH($D67,Backlog!$A$2:$A$188,0)))</f>
        <v/>
      </c>
    </row>
    <row r="68" spans="1:14" ht="26.1" customHeight="1">
      <c r="A68" s="38" t="str">
        <f>IF(INDEX(Backlog!$L$2:$L$188,MATCH($D68,Backlog!$A$2:$A$188,0))="","",INDEX(Backlog!$L$2:$L$188,MATCH($D68,Backlog!$A$2:$A$188,0)))</f>
        <v>Worker 1</v>
      </c>
      <c r="B68" s="38" t="str">
        <f>IF(INDEX(Backlog!$B$2:$B$188,MATCH($D68,Backlog!$A$2:$A$188,0))="","",INDEX(Backlog!$B$2:$B$188,MATCH($D68,Backlog!$A$2:$A$188,0)))</f>
        <v>M3</v>
      </c>
      <c r="C68" s="38" t="str">
        <f>IF(INDEX(Backlog!$C$2:$C$188,MATCH($D68,Backlog!$A$2:$A$188,0))="","",INDEX(Backlog!$C$2:$C$188,MATCH($D68,Backlog!$A$2:$A$188,0)))</f>
        <v>P1</v>
      </c>
      <c r="D68" s="38" t="s">
        <v>1276</v>
      </c>
      <c r="E68" s="38" t="str">
        <f>IF(INDEX(Backlog!$D$2:$D$188,MATCH($D68,Backlog!$A$2:$A$188,0))="","",INDEX(Backlog!$D$2:$D$188,MATCH($D68,Backlog!$A$2:$A$188,0)))</f>
        <v>Connector certification against real sources</v>
      </c>
      <c r="F68" s="70" t="str">
        <f>IF(INDEX(Backlog!$K$2:$K$188,MATCH($D68,Backlog!$A$2:$A$188,0))="","",INDEX(Backlog!$K$2:$K$188,MATCH($D68,Backlog!$A$2:$A$188,0)))</f>
        <v>Not Started</v>
      </c>
      <c r="G68" s="38">
        <f>IF(ISNUMBER(INDEX(Backlog!$AS$2:$AS$188,MATCH($D68,Backlog!$A$2:$A$188,0))),INDEX(Backlog!$AS$2:$AS$188,MATCH($D68,Backlog!$A$2:$A$188,0)),"")</f>
        <v>12</v>
      </c>
      <c r="H68" s="38">
        <f>IF(ISNUMBER(INDEX(Backlog!$AT$2:$AT$188,MATCH($D68,Backlog!$A$2:$A$188,0))),INDEX(Backlog!$AT$2:$AT$188,MATCH($D68,Backlog!$A$2:$A$188,0)),"")</f>
        <v>7.2</v>
      </c>
      <c r="I68" s="38" t="str">
        <f>IF(INDEX(Backlog!$M$2:$M$188,MATCH($D68,Backlog!$A$2:$A$188,0))="","",INDEX(Backlog!$M$2:$M$188,MATCH($D68,Backlog!$A$2:$A$188,0)))</f>
        <v>T-224; T-225; T-226; T-254</v>
      </c>
      <c r="J68" s="38" t="str">
        <f>IF(INDEX(Backlog!$T$2:$T$188,MATCH($D68,Backlog!$A$2:$A$188,0))="","",INDEX(Backlog!$T$2:$T$188,MATCH($D68,Backlog!$A$2:$A$188,0)))</f>
        <v>WAIT for deployed Release 1 + real customer/site evidence. M3 sequence</v>
      </c>
      <c r="K68" s="38" t="str">
        <f>IF(INDEX(Backlog!$U$2:$U$188,MATCH($D68,Backlog!$A$2:$A$188,0))="","",INDEX(Backlog!$U$2:$U$188,MATCH($D68,Backlog!$A$2:$A$188,0)))</f>
        <v>Own site/platform/backend/infra. No AI/ML calibration or customer UX docs.</v>
      </c>
      <c r="L68" s="38" t="str">
        <f>IF(INDEX(Backlog!$V$2:$V$188,MATCH($D68,Backlog!$A$2:$A$188,0))="","",INDEX(Backlog!$V$2:$V$188,MATCH($D68,Backlog!$A$2:$A$188,0)))</f>
        <v>Commit before downstream consumer starts; consumer must use the contract, not redesign producer-owned semantics.</v>
      </c>
      <c r="M68" s="32" t="str">
        <f>IF(INDEX(Backlog!$AO$2:$AO$188,MATCH($D68,Backlog!$A$2:$A$188,0))="","",INDEX(Backlog!$AO$2:$AO$188,MATCH($D68,Backlog!$A$2:$A$188,0)))</f>
        <v>Not started — no completion claimed</v>
      </c>
      <c r="N68" s="32" t="str">
        <f>IF(INDEX(Backlog!$AN$2:$AN$188,MATCH($D68,Backlog!$A$2:$A$188,0))="","",INDEX(Backlog!$AN$2:$AN$188,MATCH($D68,Backlog!$A$2:$A$188,0)))</f>
        <v/>
      </c>
    </row>
    <row r="69" spans="1:14" ht="26.1" customHeight="1">
      <c r="A69" s="38" t="str">
        <f>IF(INDEX(Backlog!$L$2:$L$188,MATCH($D69,Backlog!$A$2:$A$188,0))="","",INDEX(Backlog!$L$2:$L$188,MATCH($D69,Backlog!$A$2:$A$188,0)))</f>
        <v>Worker 1</v>
      </c>
      <c r="B69" s="38" t="str">
        <f>IF(INDEX(Backlog!$B$2:$B$188,MATCH($D69,Backlog!$A$2:$A$188,0))="","",INDEX(Backlog!$B$2:$B$188,MATCH($D69,Backlog!$A$2:$A$188,0)))</f>
        <v>M3</v>
      </c>
      <c r="C69" s="38" t="str">
        <f>IF(INDEX(Backlog!$C$2:$C$188,MATCH($D69,Backlog!$A$2:$A$188,0))="","",INDEX(Backlog!$C$2:$C$188,MATCH($D69,Backlog!$A$2:$A$188,0)))</f>
        <v>P1</v>
      </c>
      <c r="D69" s="38" t="s">
        <v>1284</v>
      </c>
      <c r="E69" s="38" t="str">
        <f>IF(INDEX(Backlog!$D$2:$D$188,MATCH($D69,Backlog!$A$2:$A$188,0))="","",INDEX(Backlog!$D$2:$D$188,MATCH($D69,Backlog!$A$2:$A$188,0)))</f>
        <v>Query plans, indexes and partition boundaries</v>
      </c>
      <c r="F69" s="70" t="str">
        <f>IF(INDEX(Backlog!$K$2:$K$188,MATCH($D69,Backlog!$A$2:$A$188,0))="","",INDEX(Backlog!$K$2:$K$188,MATCH($D69,Backlog!$A$2:$A$188,0)))</f>
        <v>Not Started</v>
      </c>
      <c r="G69" s="38">
        <f>IF(ISNUMBER(INDEX(Backlog!$AS$2:$AS$188,MATCH($D69,Backlog!$A$2:$A$188,0))),INDEX(Backlog!$AS$2:$AS$188,MATCH($D69,Backlog!$A$2:$A$188,0)),"")</f>
        <v>12</v>
      </c>
      <c r="H69" s="38">
        <f>IF(ISNUMBER(INDEX(Backlog!$AT$2:$AT$188,MATCH($D69,Backlog!$A$2:$A$188,0))),INDEX(Backlog!$AT$2:$AT$188,MATCH($D69,Backlog!$A$2:$A$188,0)),"")</f>
        <v>7.2</v>
      </c>
      <c r="I69" s="38" t="str">
        <f>IF(INDEX(Backlog!$M$2:$M$188,MATCH($D69,Backlog!$A$2:$A$188,0))="","",INDEX(Backlog!$M$2:$M$188,MATCH($D69,Backlog!$A$2:$A$188,0)))</f>
        <v/>
      </c>
      <c r="J69" s="38" t="str">
        <f>IF(INDEX(Backlog!$T$2:$T$188,MATCH($D69,Backlog!$A$2:$A$188,0))="","",INDEX(Backlog!$T$2:$T$188,MATCH($D69,Backlog!$A$2:$A$188,0)))</f>
        <v>WAIT for deployed Release 1 + real customer/site evidence. M3 sequence</v>
      </c>
      <c r="K69" s="38" t="str">
        <f>IF(INDEX(Backlog!$U$2:$U$188,MATCH($D69,Backlog!$A$2:$A$188,0))="","",INDEX(Backlog!$U$2:$U$188,MATCH($D69,Backlog!$A$2:$A$188,0)))</f>
        <v>Own site/platform/backend/infra. No AI/ML calibration or customer UX docs.</v>
      </c>
      <c r="L69" s="38" t="str">
        <f>IF(INDEX(Backlog!$V$2:$V$188,MATCH($D69,Backlog!$A$2:$A$188,0))="","",INDEX(Backlog!$V$2:$V$188,MATCH($D69,Backlog!$A$2:$A$188,0)))</f>
        <v>Commit before downstream consumer starts; consumer must use the contract, not redesign producer-owned semantics.</v>
      </c>
      <c r="M69" s="32" t="str">
        <f>IF(INDEX(Backlog!$AO$2:$AO$188,MATCH($D69,Backlog!$A$2:$A$188,0))="","",INDEX(Backlog!$AO$2:$AO$188,MATCH($D69,Backlog!$A$2:$A$188,0)))</f>
        <v>Not started — no completion claimed</v>
      </c>
      <c r="N69" s="32" t="str">
        <f>IF(INDEX(Backlog!$AN$2:$AN$188,MATCH($D69,Backlog!$A$2:$A$188,0))="","",INDEX(Backlog!$AN$2:$AN$188,MATCH($D69,Backlog!$A$2:$A$188,0)))</f>
        <v/>
      </c>
    </row>
    <row r="70" spans="1:14" ht="26.1" customHeight="1">
      <c r="A70" s="38" t="str">
        <f>IF(INDEX(Backlog!$L$2:$L$188,MATCH($D70,Backlog!$A$2:$A$188,0))="","",INDEX(Backlog!$L$2:$L$188,MATCH($D70,Backlog!$A$2:$A$188,0)))</f>
        <v>Worker 1</v>
      </c>
      <c r="B70" s="38" t="str">
        <f>IF(INDEX(Backlog!$B$2:$B$188,MATCH($D70,Backlog!$A$2:$A$188,0))="","",INDEX(Backlog!$B$2:$B$188,MATCH($D70,Backlog!$A$2:$A$188,0)))</f>
        <v>M3</v>
      </c>
      <c r="C70" s="38" t="str">
        <f>IF(INDEX(Backlog!$C$2:$C$188,MATCH($D70,Backlog!$A$2:$A$188,0))="","",INDEX(Backlog!$C$2:$C$188,MATCH($D70,Backlog!$A$2:$A$188,0)))</f>
        <v>P1</v>
      </c>
      <c r="D70" s="38" t="s">
        <v>1301</v>
      </c>
      <c r="E70" s="38" t="str">
        <f>IF(INDEX(Backlog!$D$2:$D$188,MATCH($D70,Backlog!$A$2:$A$188,0))="","",INDEX(Backlog!$D$2:$D$188,MATCH($D70,Backlog!$A$2:$A$188,0)))</f>
        <v>HA, DR and restore rehearsal</v>
      </c>
      <c r="F70" s="70" t="str">
        <f>IF(INDEX(Backlog!$K$2:$K$188,MATCH($D70,Backlog!$A$2:$A$188,0))="","",INDEX(Backlog!$K$2:$K$188,MATCH($D70,Backlog!$A$2:$A$188,0)))</f>
        <v>Not Started</v>
      </c>
      <c r="G70" s="38">
        <f>IF(ISNUMBER(INDEX(Backlog!$AS$2:$AS$188,MATCH($D70,Backlog!$A$2:$A$188,0))),INDEX(Backlog!$AS$2:$AS$188,MATCH($D70,Backlog!$A$2:$A$188,0)),"")</f>
        <v>12</v>
      </c>
      <c r="H70" s="38">
        <f>IF(ISNUMBER(INDEX(Backlog!$AT$2:$AT$188,MATCH($D70,Backlog!$A$2:$A$188,0))),INDEX(Backlog!$AT$2:$AT$188,MATCH($D70,Backlog!$A$2:$A$188,0)),"")</f>
        <v>7.2</v>
      </c>
      <c r="I70" s="38" t="str">
        <f>IF(INDEX(Backlog!$M$2:$M$188,MATCH($D70,Backlog!$A$2:$A$188,0))="","",INDEX(Backlog!$M$2:$M$188,MATCH($D70,Backlog!$A$2:$A$188,0)))</f>
        <v/>
      </c>
      <c r="J70" s="38" t="str">
        <f>IF(INDEX(Backlog!$T$2:$T$188,MATCH($D70,Backlog!$A$2:$A$188,0))="","",INDEX(Backlog!$T$2:$T$188,MATCH($D70,Backlog!$A$2:$A$188,0)))</f>
        <v>WAIT for deployed Release 1 + real customer/site evidence. M3 sequence</v>
      </c>
      <c r="K70" s="38" t="str">
        <f>IF(INDEX(Backlog!$U$2:$U$188,MATCH($D70,Backlog!$A$2:$A$188,0))="","",INDEX(Backlog!$U$2:$U$188,MATCH($D70,Backlog!$A$2:$A$188,0)))</f>
        <v>Own site/platform/backend/infra. No AI/ML calibration or customer UX docs.</v>
      </c>
      <c r="L70" s="38" t="str">
        <f>IF(INDEX(Backlog!$V$2:$V$188,MATCH($D70,Backlog!$A$2:$A$188,0))="","",INDEX(Backlog!$V$2:$V$188,MATCH($D70,Backlog!$A$2:$A$188,0)))</f>
        <v>Commit before downstream consumer starts; consumer must use the contract, not redesign producer-owned semantics.</v>
      </c>
      <c r="M70" s="32" t="str">
        <f>IF(INDEX(Backlog!$AO$2:$AO$188,MATCH($D70,Backlog!$A$2:$A$188,0))="","",INDEX(Backlog!$AO$2:$AO$188,MATCH($D70,Backlog!$A$2:$A$188,0)))</f>
        <v>Not started — no completion claimed</v>
      </c>
      <c r="N70" s="32" t="str">
        <f>IF(INDEX(Backlog!$AN$2:$AN$188,MATCH($D70,Backlog!$A$2:$A$188,0))="","",INDEX(Backlog!$AN$2:$AN$188,MATCH($D70,Backlog!$A$2:$A$188,0)))</f>
        <v/>
      </c>
    </row>
    <row r="71" spans="1:14" ht="26.1" customHeight="1">
      <c r="A71" s="38" t="str">
        <f>IF(INDEX(Backlog!$L$2:$L$188,MATCH($D71,Backlog!$A$2:$A$188,0))="","",INDEX(Backlog!$L$2:$L$188,MATCH($D71,Backlog!$A$2:$A$188,0)))</f>
        <v>Worker 1</v>
      </c>
      <c r="B71" s="38" t="str">
        <f>IF(INDEX(Backlog!$B$2:$B$188,MATCH($D71,Backlog!$A$2:$A$188,0))="","",INDEX(Backlog!$B$2:$B$188,MATCH($D71,Backlog!$A$2:$A$188,0)))</f>
        <v>M3</v>
      </c>
      <c r="C71" s="38" t="str">
        <f>IF(INDEX(Backlog!$C$2:$C$188,MATCH($D71,Backlog!$A$2:$A$188,0))="","",INDEX(Backlog!$C$2:$C$188,MATCH($D71,Backlog!$A$2:$A$188,0)))</f>
        <v>P1</v>
      </c>
      <c r="D71" s="38" t="s">
        <v>1306</v>
      </c>
      <c r="E71" s="38" t="str">
        <f>IF(INDEX(Backlog!$D$2:$D$188,MATCH($D71,Backlog!$A$2:$A$188,0))="","",INDEX(Backlog!$D$2:$D$188,MATCH($D71,Backlog!$A$2:$A$188,0)))</f>
        <v>Monitoring, SLOs and support escalation</v>
      </c>
      <c r="F71" s="70" t="str">
        <f>IF(INDEX(Backlog!$K$2:$K$188,MATCH($D71,Backlog!$A$2:$A$188,0))="","",INDEX(Backlog!$K$2:$K$188,MATCH($D71,Backlog!$A$2:$A$188,0)))</f>
        <v>Not Started</v>
      </c>
      <c r="G71" s="38">
        <f>IF(ISNUMBER(INDEX(Backlog!$AS$2:$AS$188,MATCH($D71,Backlog!$A$2:$A$188,0))),INDEX(Backlog!$AS$2:$AS$188,MATCH($D71,Backlog!$A$2:$A$188,0)),"")</f>
        <v>12</v>
      </c>
      <c r="H71" s="38">
        <f>IF(ISNUMBER(INDEX(Backlog!$AT$2:$AT$188,MATCH($D71,Backlog!$A$2:$A$188,0))),INDEX(Backlog!$AT$2:$AT$188,MATCH($D71,Backlog!$A$2:$A$188,0)),"")</f>
        <v>7.2</v>
      </c>
      <c r="I71" s="38" t="str">
        <f>IF(INDEX(Backlog!$M$2:$M$188,MATCH($D71,Backlog!$A$2:$A$188,0))="","",INDEX(Backlog!$M$2:$M$188,MATCH($D71,Backlog!$A$2:$A$188,0)))</f>
        <v/>
      </c>
      <c r="J71" s="38" t="str">
        <f>IF(INDEX(Backlog!$T$2:$T$188,MATCH($D71,Backlog!$A$2:$A$188,0))="","",INDEX(Backlog!$T$2:$T$188,MATCH($D71,Backlog!$A$2:$A$188,0)))</f>
        <v>WAIT for deployed Release 1 + real customer/site evidence. M3 sequence</v>
      </c>
      <c r="K71" s="38" t="str">
        <f>IF(INDEX(Backlog!$U$2:$U$188,MATCH($D71,Backlog!$A$2:$A$188,0))="","",INDEX(Backlog!$U$2:$U$188,MATCH($D71,Backlog!$A$2:$A$188,0)))</f>
        <v>Own site/platform/backend/infra. No AI/ML calibration or customer UX docs.</v>
      </c>
      <c r="L71" s="38" t="str">
        <f>IF(INDEX(Backlog!$V$2:$V$188,MATCH($D71,Backlog!$A$2:$A$188,0))="","",INDEX(Backlog!$V$2:$V$188,MATCH($D71,Backlog!$A$2:$A$188,0)))</f>
        <v>Commit before downstream consumer starts; consumer must use the contract, not redesign producer-owned semantics.</v>
      </c>
      <c r="M71" s="32" t="str">
        <f>IF(INDEX(Backlog!$AO$2:$AO$188,MATCH($D71,Backlog!$A$2:$A$188,0))="","",INDEX(Backlog!$AO$2:$AO$188,MATCH($D71,Backlog!$A$2:$A$188,0)))</f>
        <v>Not started — no completion claimed</v>
      </c>
      <c r="N71" s="32" t="str">
        <f>IF(INDEX(Backlog!$AN$2:$AN$188,MATCH($D71,Backlog!$A$2:$A$188,0))="","",INDEX(Backlog!$AN$2:$AN$188,MATCH($D71,Backlog!$A$2:$A$188,0)))</f>
        <v/>
      </c>
    </row>
    <row r="72" spans="1:14" ht="26.1" customHeight="1">
      <c r="A72" s="38" t="str">
        <f>IF(INDEX(Backlog!$L$2:$L$188,MATCH($D72,Backlog!$A$2:$A$188,0))="","",INDEX(Backlog!$L$2:$L$188,MATCH($D72,Backlog!$A$2:$A$188,0)))</f>
        <v>Worker 1</v>
      </c>
      <c r="B72" s="38" t="str">
        <f>IF(INDEX(Backlog!$B$2:$B$188,MATCH($D72,Backlog!$A$2:$A$188,0))="","",INDEX(Backlog!$B$2:$B$188,MATCH($D72,Backlog!$A$2:$A$188,0)))</f>
        <v>M3</v>
      </c>
      <c r="C72" s="38" t="str">
        <f>IF(INDEX(Backlog!$C$2:$C$188,MATCH($D72,Backlog!$A$2:$A$188,0))="","",INDEX(Backlog!$C$2:$C$188,MATCH($D72,Backlog!$A$2:$A$188,0)))</f>
        <v>P2</v>
      </c>
      <c r="D72" s="38" t="s">
        <v>1310</v>
      </c>
      <c r="E72" s="38" t="str">
        <f>IF(INDEX(Backlog!$D$2:$D$188,MATCH($D72,Backlog!$A$2:$A$188,0))="","",INDEX(Backlog!$D$2:$D$188,MATCH($D72,Backlog!$A$2:$A$188,0)))</f>
        <v>API namespace migration, part 1: map the 92 prefixes onto the 27 domains and stand up dual-serve</v>
      </c>
      <c r="F72" s="70" t="str">
        <f>IF(INDEX(Backlog!$K$2:$K$188,MATCH($D72,Backlog!$A$2:$A$188,0))="","",INDEX(Backlog!$K$2:$K$188,MATCH($D72,Backlog!$A$2:$A$188,0)))</f>
        <v>Not Started</v>
      </c>
      <c r="G72" s="38" t="str">
        <f>IF(ISNUMBER(INDEX(Backlog!$AS$2:$AS$188,MATCH($D72,Backlog!$A$2:$A$188,0))),INDEX(Backlog!$AS$2:$AS$188,MATCH($D72,Backlog!$A$2:$A$188,0)),"")</f>
        <v/>
      </c>
      <c r="H72" s="38" t="str">
        <f>IF(ISNUMBER(INDEX(Backlog!$AT$2:$AT$188,MATCH($D72,Backlog!$A$2:$A$188,0))),INDEX(Backlog!$AT$2:$AT$188,MATCH($D72,Backlog!$A$2:$A$188,0)),"")</f>
        <v/>
      </c>
      <c r="I72" s="38" t="str">
        <f>IF(INDEX(Backlog!$M$2:$M$188,MATCH($D72,Backlog!$A$2:$A$188,0))="","",INDEX(Backlog!$M$2:$M$188,MATCH($D72,Backlog!$A$2:$A$188,0)))</f>
        <v>T-256</v>
      </c>
      <c r="J72" s="38" t="str">
        <f>IF(INDEX(Backlog!$T$2:$T$188,MATCH($D72,Backlog!$A$2:$A$188,0))="","",INDEX(Backlog!$T$2:$T$188,MATCH($D72,Backlog!$A$2:$A$188,0)))</f>
        <v>Use the accepted M1 regression baseline; require empty index and clean owned paths, preserving unrelated user work. Then: Release 1 dependency order</v>
      </c>
      <c r="K72" s="38" t="str">
        <f>IF(INDEX(Backlog!$U$2:$U$188,MATCH($D72,Backlog!$A$2:$A$188,0))="","",INDEX(Backlog!$U$2:$U$188,MATCH($D72,Backlog!$A$2:$A$188,0)))</f>
        <v>Own canonical DB/backend/security/API/infra. No W2-owned UI/admin task files and no W3 ML/Assistant runtime.</v>
      </c>
      <c r="L72" s="38" t="str">
        <f>IF(INDEX(Backlog!$V$2:$V$188,MATCH($D72,Backlog!$A$2:$A$188,0))="","",INDEX(Backlog!$V$2:$V$188,MATCH($D72,Backlog!$A$2:$A$188,0)))</f>
        <v>Commit before downstream consumer starts; consumer must use the contract, not redesign producer-owned semantics.</v>
      </c>
      <c r="M72" s="32" t="str">
        <f>IF(INDEX(Backlog!$AO$2:$AO$188,MATCH($D72,Backlog!$A$2:$A$188,0))="","",INDEX(Backlog!$AO$2:$AO$188,MATCH($D72,Backlog!$A$2:$A$188,0)))</f>
        <v>Not started — no completion claimed</v>
      </c>
      <c r="N72" s="32" t="str">
        <f>IF(INDEX(Backlog!$AN$2:$AN$188,MATCH($D72,Backlog!$A$2:$A$188,0))="","",INDEX(Backlog!$AN$2:$AN$188,MATCH($D72,Backlog!$A$2:$A$188,0)))</f>
        <v/>
      </c>
    </row>
    <row r="73" spans="1:14" ht="26.1" customHeight="1">
      <c r="A73" s="38" t="str">
        <f>IF(INDEX(Backlog!$L$2:$L$188,MATCH($D73,Backlog!$A$2:$A$188,0))="","",INDEX(Backlog!$L$2:$L$188,MATCH($D73,Backlog!$A$2:$A$188,0)))</f>
        <v>Worker 1</v>
      </c>
      <c r="B73" s="38" t="str">
        <f>IF(INDEX(Backlog!$B$2:$B$188,MATCH($D73,Backlog!$A$2:$A$188,0))="","",INDEX(Backlog!$B$2:$B$188,MATCH($D73,Backlog!$A$2:$A$188,0)))</f>
        <v>M3</v>
      </c>
      <c r="C73" s="38" t="str">
        <f>IF(INDEX(Backlog!$C$2:$C$188,MATCH($D73,Backlog!$A$2:$A$188,0))="","",INDEX(Backlog!$C$2:$C$188,MATCH($D73,Backlog!$A$2:$A$188,0)))</f>
        <v>P2</v>
      </c>
      <c r="D73" s="38" t="s">
        <v>1317</v>
      </c>
      <c r="E73" s="38" t="str">
        <f>IF(INDEX(Backlog!$D$2:$D$188,MATCH($D73,Backlog!$A$2:$A$188,0))="","",INDEX(Backlog!$D$2:$D$188,MATCH($D73,Backlog!$A$2:$A$188,0)))</f>
        <v>API namespace migration, part 2: migrate the clients and add the token gate</v>
      </c>
      <c r="F73" s="70" t="str">
        <f>IF(INDEX(Backlog!$K$2:$K$188,MATCH($D73,Backlog!$A$2:$A$188,0))="","",INDEX(Backlog!$K$2:$K$188,MATCH($D73,Backlog!$A$2:$A$188,0)))</f>
        <v>Not Started</v>
      </c>
      <c r="G73" s="38">
        <f>IF(ISNUMBER(INDEX(Backlog!$AS$2:$AS$188,MATCH($D73,Backlog!$A$2:$A$188,0))),INDEX(Backlog!$AS$2:$AS$188,MATCH($D73,Backlog!$A$2:$A$188,0)),"")</f>
        <v>6</v>
      </c>
      <c r="H73" s="38">
        <f>IF(ISNUMBER(INDEX(Backlog!$AT$2:$AT$188,MATCH($D73,Backlog!$A$2:$A$188,0))),INDEX(Backlog!$AT$2:$AT$188,MATCH($D73,Backlog!$A$2:$A$188,0)),"")</f>
        <v>0.89999999999999991</v>
      </c>
      <c r="I73" s="38" t="str">
        <f>IF(INDEX(Backlog!$M$2:$M$188,MATCH($D73,Backlog!$A$2:$A$188,0))="","",INDEX(Backlog!$M$2:$M$188,MATCH($D73,Backlog!$A$2:$A$188,0)))</f>
        <v/>
      </c>
      <c r="J73" s="38" t="str">
        <f>IF(INDEX(Backlog!$T$2:$T$188,MATCH($D73,Backlog!$A$2:$A$188,0))="","",INDEX(Backlog!$T$2:$T$188,MATCH($D73,Backlog!$A$2:$A$188,0)))</f>
        <v>Use the accepted M1 regression baseline; require empty index and clean owned paths, preserving unrelated user work. Then: Release 1 dependency order</v>
      </c>
      <c r="K73" s="38" t="str">
        <f>IF(INDEX(Backlog!$U$2:$U$188,MATCH($D73,Backlog!$A$2:$A$188,0))="","",INDEX(Backlog!$U$2:$U$188,MATCH($D73,Backlog!$A$2:$A$188,0)))</f>
        <v>Own canonical DB/backend/security/API/infra. No W2-owned UI/admin task files and no W3 ML/Assistant runtime.</v>
      </c>
      <c r="L73" s="38" t="str">
        <f>IF(INDEX(Backlog!$V$2:$V$188,MATCH($D73,Backlog!$A$2:$A$188,0))="","",INDEX(Backlog!$V$2:$V$188,MATCH($D73,Backlog!$A$2:$A$188,0)))</f>
        <v>Commit before downstream consumer starts; consumer must use the contract, not redesign producer-owned semantics.</v>
      </c>
      <c r="M73" s="32" t="str">
        <f>IF(INDEX(Backlog!$AO$2:$AO$188,MATCH($D73,Backlog!$A$2:$A$188,0))="","",INDEX(Backlog!$AO$2:$AO$188,MATCH($D73,Backlog!$A$2:$A$188,0)))</f>
        <v>Not started — no completion claimed</v>
      </c>
      <c r="N73" s="32" t="str">
        <f>IF(INDEX(Backlog!$AN$2:$AN$188,MATCH($D73,Backlog!$A$2:$A$188,0))="","",INDEX(Backlog!$AN$2:$AN$188,MATCH($D73,Backlog!$A$2:$A$188,0)))</f>
        <v/>
      </c>
    </row>
    <row r="74" spans="1:14" ht="26.1" customHeight="1">
      <c r="A74" s="38" t="str">
        <f>IF(INDEX(Backlog!$L$2:$L$188,MATCH($D74,Backlog!$A$2:$A$188,0))="","",INDEX(Backlog!$L$2:$L$188,MATCH($D74,Backlog!$A$2:$A$188,0)))</f>
        <v>Worker 1</v>
      </c>
      <c r="B74" s="38" t="str">
        <f>IF(INDEX(Backlog!$B$2:$B$188,MATCH($D74,Backlog!$A$2:$A$188,0))="","",INDEX(Backlog!$B$2:$B$188,MATCH($D74,Backlog!$A$2:$A$188,0)))</f>
        <v>M3</v>
      </c>
      <c r="C74" s="38" t="str">
        <f>IF(INDEX(Backlog!$C$2:$C$188,MATCH($D74,Backlog!$A$2:$A$188,0))="","",INDEX(Backlog!$C$2:$C$188,MATCH($D74,Backlog!$A$2:$A$188,0)))</f>
        <v>P2</v>
      </c>
      <c r="D74" s="38" t="s">
        <v>1335</v>
      </c>
      <c r="E74" s="38" t="str">
        <f>IF(INDEX(Backlog!$D$2:$D$188,MATCH($D74,Backlog!$A$2:$A$188,0))="","",INDEX(Backlog!$D$2:$D$188,MATCH($D74,Backlog!$A$2:$A$188,0)))</f>
        <v>SSO and identity integration</v>
      </c>
      <c r="F74" s="70" t="str">
        <f>IF(INDEX(Backlog!$K$2:$K$188,MATCH($D74,Backlog!$A$2:$A$188,0))="","",INDEX(Backlog!$K$2:$K$188,MATCH($D74,Backlog!$A$2:$A$188,0)))</f>
        <v>Not Started</v>
      </c>
      <c r="G74" s="38">
        <f>IF(ISNUMBER(INDEX(Backlog!$AS$2:$AS$188,MATCH($D74,Backlog!$A$2:$A$188,0))),INDEX(Backlog!$AS$2:$AS$188,MATCH($D74,Backlog!$A$2:$A$188,0)),"")</f>
        <v>12</v>
      </c>
      <c r="H74" s="38">
        <f>IF(ISNUMBER(INDEX(Backlog!$AT$2:$AT$188,MATCH($D74,Backlog!$A$2:$A$188,0))),INDEX(Backlog!$AT$2:$AT$188,MATCH($D74,Backlog!$A$2:$A$188,0)),"")</f>
        <v>7.2</v>
      </c>
      <c r="I74" s="38" t="str">
        <f>IF(INDEX(Backlog!$M$2:$M$188,MATCH($D74,Backlog!$A$2:$A$188,0))="","",INDEX(Backlog!$M$2:$M$188,MATCH($D74,Backlog!$A$2:$A$188,0)))</f>
        <v/>
      </c>
      <c r="J74" s="38" t="str">
        <f>IF(INDEX(Backlog!$T$2:$T$188,MATCH($D74,Backlog!$A$2:$A$188,0))="","",INDEX(Backlog!$T$2:$T$188,MATCH($D74,Backlog!$A$2:$A$188,0)))</f>
        <v>WAIT for deployed Release 1 + real customer/site evidence. M3 sequence</v>
      </c>
      <c r="K74" s="38" t="str">
        <f>IF(INDEX(Backlog!$U$2:$U$188,MATCH($D74,Backlog!$A$2:$A$188,0))="","",INDEX(Backlog!$U$2:$U$188,MATCH($D74,Backlog!$A$2:$A$188,0)))</f>
        <v>Own site/platform/backend/infra. No AI/ML calibration or customer UX docs.</v>
      </c>
      <c r="L74" s="38" t="str">
        <f>IF(INDEX(Backlog!$V$2:$V$188,MATCH($D74,Backlog!$A$2:$A$188,0))="","",INDEX(Backlog!$V$2:$V$188,MATCH($D74,Backlog!$A$2:$A$188,0)))</f>
        <v>Commit before downstream consumer starts; consumer must use the contract, not redesign producer-owned semantics.</v>
      </c>
      <c r="M74" s="32" t="str">
        <f>IF(INDEX(Backlog!$AO$2:$AO$188,MATCH($D74,Backlog!$A$2:$A$188,0))="","",INDEX(Backlog!$AO$2:$AO$188,MATCH($D74,Backlog!$A$2:$A$188,0)))</f>
        <v>Not started — no completion claimed</v>
      </c>
      <c r="N74" s="32" t="str">
        <f>IF(INDEX(Backlog!$AN$2:$AN$188,MATCH($D74,Backlog!$A$2:$A$188,0))="","",INDEX(Backlog!$AN$2:$AN$188,MATCH($D74,Backlog!$A$2:$A$188,0)))</f>
        <v/>
      </c>
    </row>
    <row r="75" spans="1:14" ht="26.1" customHeight="1">
      <c r="A75" s="38" t="str">
        <f>IF(INDEX(Backlog!$L$2:$L$188,MATCH($D75,Backlog!$A$2:$A$188,0))="","",INDEX(Backlog!$L$2:$L$188,MATCH($D75,Backlog!$A$2:$A$188,0)))</f>
        <v>Worker 1</v>
      </c>
      <c r="B75" s="38" t="str">
        <f>IF(INDEX(Backlog!$B$2:$B$188,MATCH($D75,Backlog!$A$2:$A$188,0))="","",INDEX(Backlog!$B$2:$B$188,MATCH($D75,Backlog!$A$2:$A$188,0)))</f>
        <v>M3</v>
      </c>
      <c r="C75" s="38" t="str">
        <f>IF(INDEX(Backlog!$C$2:$C$188,MATCH($D75,Backlog!$A$2:$A$188,0))="","",INDEX(Backlog!$C$2:$C$188,MATCH($D75,Backlog!$A$2:$A$188,0)))</f>
        <v>P2</v>
      </c>
      <c r="D75" s="38" t="s">
        <v>1339</v>
      </c>
      <c r="E75" s="38" t="str">
        <f>IF(INDEX(Backlog!$D$2:$D$188,MATCH($D75,Backlog!$A$2:$A$188,0))="","",INDEX(Backlog!$D$2:$D$188,MATCH($D75,Backlog!$A$2:$A$188,0)))</f>
        <v>Site security hardening and sign-off</v>
      </c>
      <c r="F75" s="70" t="str">
        <f>IF(INDEX(Backlog!$K$2:$K$188,MATCH($D75,Backlog!$A$2:$A$188,0))="","",INDEX(Backlog!$K$2:$K$188,MATCH($D75,Backlog!$A$2:$A$188,0)))</f>
        <v>Not Started</v>
      </c>
      <c r="G75" s="38">
        <f>IF(ISNUMBER(INDEX(Backlog!$AS$2:$AS$188,MATCH($D75,Backlog!$A$2:$A$188,0))),INDEX(Backlog!$AS$2:$AS$188,MATCH($D75,Backlog!$A$2:$A$188,0)),"")</f>
        <v>12</v>
      </c>
      <c r="H75" s="38">
        <f>IF(ISNUMBER(INDEX(Backlog!$AT$2:$AT$188,MATCH($D75,Backlog!$A$2:$A$188,0))),INDEX(Backlog!$AT$2:$AT$188,MATCH($D75,Backlog!$A$2:$A$188,0)),"")</f>
        <v>7.2</v>
      </c>
      <c r="I75" s="38" t="str">
        <f>IF(INDEX(Backlog!$M$2:$M$188,MATCH($D75,Backlog!$A$2:$A$188,0))="","",INDEX(Backlog!$M$2:$M$188,MATCH($D75,Backlog!$A$2:$A$188,0)))</f>
        <v/>
      </c>
      <c r="J75" s="38" t="str">
        <f>IF(INDEX(Backlog!$T$2:$T$188,MATCH($D75,Backlog!$A$2:$A$188,0))="","",INDEX(Backlog!$T$2:$T$188,MATCH($D75,Backlog!$A$2:$A$188,0)))</f>
        <v>WAIT for deployed Release 1 + real customer/site evidence. M3 sequence</v>
      </c>
      <c r="K75" s="38" t="str">
        <f>IF(INDEX(Backlog!$U$2:$U$188,MATCH($D75,Backlog!$A$2:$A$188,0))="","",INDEX(Backlog!$U$2:$U$188,MATCH($D75,Backlog!$A$2:$A$188,0)))</f>
        <v>Own site/platform/backend/infra. No AI/ML calibration or customer UX docs.</v>
      </c>
      <c r="L75" s="38" t="str">
        <f>IF(INDEX(Backlog!$V$2:$V$188,MATCH($D75,Backlog!$A$2:$A$188,0))="","",INDEX(Backlog!$V$2:$V$188,MATCH($D75,Backlog!$A$2:$A$188,0)))</f>
        <v>Commit before downstream consumer starts; consumer must use the contract, not redesign producer-owned semantics.</v>
      </c>
      <c r="M75" s="32" t="str">
        <f>IF(INDEX(Backlog!$AO$2:$AO$188,MATCH($D75,Backlog!$A$2:$A$188,0))="","",INDEX(Backlog!$AO$2:$AO$188,MATCH($D75,Backlog!$A$2:$A$188,0)))</f>
        <v>Not started — no completion claimed</v>
      </c>
      <c r="N75" s="32" t="str">
        <f>IF(INDEX(Backlog!$AN$2:$AN$188,MATCH($D75,Backlog!$A$2:$A$188,0))="","",INDEX(Backlog!$AN$2:$AN$188,MATCH($D75,Backlog!$A$2:$A$188,0)))</f>
        <v/>
      </c>
    </row>
    <row r="76" spans="1:14" ht="26.1" customHeight="1">
      <c r="A76" s="38" t="str">
        <f>IF(INDEX(Backlog!$L$2:$L$188,MATCH($D76,Backlog!$A$2:$A$188,0))="","",INDEX(Backlog!$L$2:$L$188,MATCH($D76,Backlog!$A$2:$A$188,0)))</f>
        <v>Worker 1</v>
      </c>
      <c r="B76" s="38" t="str">
        <f>IF(INDEX(Backlog!$B$2:$B$188,MATCH($D76,Backlog!$A$2:$A$188,0))="","",INDEX(Backlog!$B$2:$B$188,MATCH($D76,Backlog!$A$2:$A$188,0)))</f>
        <v>M3</v>
      </c>
      <c r="C76" s="38" t="str">
        <f>IF(INDEX(Backlog!$C$2:$C$188,MATCH($D76,Backlog!$A$2:$A$188,0))="","",INDEX(Backlog!$C$2:$C$188,MATCH($D76,Backlog!$A$2:$A$188,0)))</f>
        <v>P2</v>
      </c>
      <c r="D76" s="38" t="s">
        <v>1327</v>
      </c>
      <c r="E76" s="38" t="str">
        <f>IF(INDEX(Backlog!$D$2:$D$188,MATCH($D76,Backlog!$A$2:$A$188,0))="","",INDEX(Backlog!$D$2:$D$188,MATCH($D76,Backlog!$A$2:$A$188,0)))</f>
        <v>Retire legacy API dual-serve aliases after canonical-client continuity proof</v>
      </c>
      <c r="F76" s="70" t="str">
        <f>IF(INDEX(Backlog!$K$2:$K$188,MATCH($D76,Backlog!$A$2:$A$188,0))="","",INDEX(Backlog!$K$2:$K$188,MATCH($D76,Backlog!$A$2:$A$188,0)))</f>
        <v>Not Started</v>
      </c>
      <c r="G76" s="38">
        <f>IF(ISNUMBER(INDEX(Backlog!$AS$2:$AS$188,MATCH($D76,Backlog!$A$2:$A$188,0))),INDEX(Backlog!$AS$2:$AS$188,MATCH($D76,Backlog!$A$2:$A$188,0)),"")</f>
        <v>6</v>
      </c>
      <c r="H76" s="38">
        <f>IF(ISNUMBER(INDEX(Backlog!$AT$2:$AT$188,MATCH($D76,Backlog!$A$2:$A$188,0))),INDEX(Backlog!$AT$2:$AT$188,MATCH($D76,Backlog!$A$2:$A$188,0)),"")</f>
        <v>0.89999999999999991</v>
      </c>
      <c r="I76" s="38" t="str">
        <f>IF(INDEX(Backlog!$M$2:$M$188,MATCH($D76,Backlog!$A$2:$A$188,0))="","",INDEX(Backlog!$M$2:$M$188,MATCH($D76,Backlog!$A$2:$A$188,0)))</f>
        <v>T-117; T-127</v>
      </c>
      <c r="J76" s="38" t="str">
        <f>IF(INDEX(Backlog!$T$2:$T$188,MATCH($D76,Backlog!$A$2:$A$188,0))="","",INDEX(Backlog!$T$2:$T$188,MATCH($D76,Backlog!$A$2:$A$188,0)))</f>
        <v>Use the accepted M1 regression baseline; require empty index and clean owned paths, preserving unrelated user work. Then: T-117 + T-127</v>
      </c>
      <c r="K76" s="38" t="str">
        <f>IF(INDEX(Backlog!$U$2:$U$188,MATCH($D76,Backlog!$A$2:$A$188,0))="","",INDEX(Backlog!$U$2:$U$188,MATCH($D76,Backlog!$A$2:$A$188,0)))</f>
        <v>Own canonical DB/backend/security/API/infra. No W2-owned UI/admin task files and no W3 ML/Assistant runtime.</v>
      </c>
      <c r="L76" s="38" t="str">
        <f>IF(INDEX(Backlog!$V$2:$V$188,MATCH($D76,Backlog!$A$2:$A$188,0))="","",INDEX(Backlog!$V$2:$V$188,MATCH($D76,Backlog!$A$2:$A$188,0)))</f>
        <v>Commit before downstream consumer starts; consumer must use the contract, not redesign producer-owned semantics.</v>
      </c>
      <c r="M76" s="32" t="str">
        <f>IF(INDEX(Backlog!$AO$2:$AO$188,MATCH($D76,Backlog!$A$2:$A$188,0))="","",INDEX(Backlog!$AO$2:$AO$188,MATCH($D76,Backlog!$A$2:$A$188,0)))</f>
        <v>Not started — no completion claimed</v>
      </c>
      <c r="N76" s="32" t="str">
        <f>IF(INDEX(Backlog!$AN$2:$AN$188,MATCH($D76,Backlog!$A$2:$A$188,0))="","",INDEX(Backlog!$AN$2:$AN$188,MATCH($D76,Backlog!$A$2:$A$188,0)))</f>
        <v/>
      </c>
    </row>
    <row r="77" spans="1:14" ht="26.1" customHeight="1">
      <c r="A77" s="38" t="str">
        <f>IF(INDEX(Backlog!$L$2:$L$188,MATCH($D77,Backlog!$A$2:$A$188,0))="","",INDEX(Backlog!$L$2:$L$188,MATCH($D77,Backlog!$A$2:$A$188,0)))</f>
        <v>Worker 1</v>
      </c>
      <c r="B77" s="38" t="str">
        <f>IF(INDEX(Backlog!$B$2:$B$188,MATCH($D77,Backlog!$A$2:$A$188,0))="","",INDEX(Backlog!$B$2:$B$188,MATCH($D77,Backlog!$A$2:$A$188,0)))</f>
        <v>M3</v>
      </c>
      <c r="C77" s="38" t="str">
        <f>IF(INDEX(Backlog!$C$2:$C$188,MATCH($D77,Backlog!$A$2:$A$188,0))="","",INDEX(Backlog!$C$2:$C$188,MATCH($D77,Backlog!$A$2:$A$188,0)))</f>
        <v>P4</v>
      </c>
      <c r="D77" s="38" t="s">
        <v>1095</v>
      </c>
      <c r="E77" s="38" t="str">
        <f>IF(INDEX(Backlog!$D$2:$D$188,MATCH($D77,Backlog!$A$2:$A$188,0))="","",INDEX(Backlog!$D$2:$D$188,MATCH($D77,Backlog!$A$2:$A$188,0)))</f>
        <v>The Value Engine</v>
      </c>
      <c r="F77" s="70" t="str">
        <f>IF(INDEX(Backlog!$K$2:$K$188,MATCH($D77,Backlog!$A$2:$A$188,0))="","",INDEX(Backlog!$K$2:$K$188,MATCH($D77,Backlog!$A$2:$A$188,0)))</f>
        <v>Not Started</v>
      </c>
      <c r="G77" s="38">
        <f>IF(ISNUMBER(INDEX(Backlog!$AS$2:$AS$188,MATCH($D77,Backlog!$A$2:$A$188,0))),INDEX(Backlog!$AS$2:$AS$188,MATCH($D77,Backlog!$A$2:$A$188,0)),"")</f>
        <v>12</v>
      </c>
      <c r="H77" s="38">
        <f>IF(ISNUMBER(INDEX(Backlog!$AT$2:$AT$188,MATCH($D77,Backlog!$A$2:$A$188,0))),INDEX(Backlog!$AT$2:$AT$188,MATCH($D77,Backlog!$A$2:$A$188,0)),"")</f>
        <v>7.2</v>
      </c>
      <c r="I77" s="38" t="str">
        <f>IF(INDEX(Backlog!$M$2:$M$188,MATCH($D77,Backlog!$A$2:$A$188,0))="","",INDEX(Backlog!$M$2:$M$188,MATCH($D77,Backlog!$A$2:$A$188,0)))</f>
        <v>T-237; T-235</v>
      </c>
      <c r="J77" s="38" t="str">
        <f>IF(INDEX(Backlog!$T$2:$T$188,MATCH($D77,Backlog!$A$2:$A$188,0))="","",INDEX(Backlog!$T$2:$T$188,MATCH($D77,Backlog!$A$2:$A$188,0)))</f>
        <v>WAIT for deployed Release 1 + real customer/site evidence. M3 sequence</v>
      </c>
      <c r="K77" s="38" t="str">
        <f>IF(INDEX(Backlog!$U$2:$U$188,MATCH($D77,Backlog!$A$2:$A$188,0))="","",INDEX(Backlog!$U$2:$U$188,MATCH($D77,Backlog!$A$2:$A$188,0)))</f>
        <v>Own site/platform/backend/infra. No AI/ML calibration or customer UX docs.</v>
      </c>
      <c r="L77" s="38" t="str">
        <f>IF(INDEX(Backlog!$V$2:$V$188,MATCH($D77,Backlog!$A$2:$A$188,0))="","",INDEX(Backlog!$V$2:$V$188,MATCH($D77,Backlog!$A$2:$A$188,0)))</f>
        <v>Commit before downstream consumer starts; consumer must use the contract, not redesign producer-owned semantics.</v>
      </c>
      <c r="M77" s="32" t="str">
        <f>IF(INDEX(Backlog!$AO$2:$AO$188,MATCH($D77,Backlog!$A$2:$A$188,0))="","",INDEX(Backlog!$AO$2:$AO$188,MATCH($D77,Backlog!$A$2:$A$188,0)))</f>
        <v>Not started — no completion claimed</v>
      </c>
      <c r="N77" s="32" t="str">
        <f>IF(INDEX(Backlog!$AN$2:$AN$188,MATCH($D77,Backlog!$A$2:$A$188,0))="","",INDEX(Backlog!$AN$2:$AN$188,MATCH($D77,Backlog!$A$2:$A$188,0)))</f>
        <v/>
      </c>
    </row>
    <row r="78" spans="1:14" ht="26.1" customHeight="1">
      <c r="A78" s="38" t="str">
        <f>IF(INDEX(Backlog!$L$2:$L$188,MATCH($D78,Backlog!$A$2:$A$188,0))="","",INDEX(Backlog!$L$2:$L$188,MATCH($D78,Backlog!$A$2:$A$188,0)))</f>
        <v>Worker 1</v>
      </c>
      <c r="B78" s="38" t="str">
        <f>IF(INDEX(Backlog!$B$2:$B$188,MATCH($D78,Backlog!$A$2:$A$188,0))="","",INDEX(Backlog!$B$2:$B$188,MATCH($D78,Backlog!$A$2:$A$188,0)))</f>
        <v>M3</v>
      </c>
      <c r="C78" s="38" t="str">
        <f>IF(INDEX(Backlog!$C$2:$C$188,MATCH($D78,Backlog!$A$2:$A$188,0))="","",INDEX(Backlog!$C$2:$C$188,MATCH($D78,Backlog!$A$2:$A$188,0)))</f>
        <v>P4</v>
      </c>
      <c r="D78" s="38" t="s">
        <v>1625</v>
      </c>
      <c r="E78" s="38" t="str">
        <f>IF(INDEX(Backlog!$D$2:$D$188,MATCH($D78,Backlog!$A$2:$A$188,0))="","",INDEX(Backlog!$D$2:$D$188,MATCH($D78,Backlog!$A$2:$A$188,0)))</f>
        <v>Commercial capacity finalisation and the sales calculator</v>
      </c>
      <c r="F78" s="70" t="str">
        <f>IF(INDEX(Backlog!$K$2:$K$188,MATCH($D78,Backlog!$A$2:$A$188,0))="","",INDEX(Backlog!$K$2:$K$188,MATCH($D78,Backlog!$A$2:$A$188,0)))</f>
        <v>Not Started</v>
      </c>
      <c r="G78" s="38" t="str">
        <f>IF(ISNUMBER(INDEX(Backlog!$AS$2:$AS$188,MATCH($D78,Backlog!$A$2:$A$188,0))),INDEX(Backlog!$AS$2:$AS$188,MATCH($D78,Backlog!$A$2:$A$188,0)),"")</f>
        <v/>
      </c>
      <c r="H78" s="38" t="str">
        <f>IF(ISNUMBER(INDEX(Backlog!$AT$2:$AT$188,MATCH($D78,Backlog!$A$2:$A$188,0))),INDEX(Backlog!$AT$2:$AT$188,MATCH($D78,Backlog!$A$2:$A$188,0)),"")</f>
        <v/>
      </c>
      <c r="I78" s="38" t="str">
        <f>IF(INDEX(Backlog!$M$2:$M$188,MATCH($D78,Backlog!$A$2:$A$188,0))="","",INDEX(Backlog!$M$2:$M$188,MATCH($D78,Backlog!$A$2:$A$188,0)))</f>
        <v/>
      </c>
      <c r="J78" s="38" t="str">
        <f>IF(INDEX(Backlog!$T$2:$T$188,MATCH($D78,Backlog!$A$2:$A$188,0))="","",INDEX(Backlog!$T$2:$T$188,MATCH($D78,Backlog!$A$2:$A$188,0)))</f>
        <v>WAIT for deployed Release 1 + real customer/site evidence. M3 sequence</v>
      </c>
      <c r="K78" s="38" t="str">
        <f>IF(INDEX(Backlog!$U$2:$U$188,MATCH($D78,Backlog!$A$2:$A$188,0))="","",INDEX(Backlog!$U$2:$U$188,MATCH($D78,Backlog!$A$2:$A$188,0)))</f>
        <v>Own site/platform/backend/infra. No AI/ML calibration or customer UX docs.</v>
      </c>
      <c r="L78" s="38" t="str">
        <f>IF(INDEX(Backlog!$V$2:$V$188,MATCH($D78,Backlog!$A$2:$A$188,0))="","",INDEX(Backlog!$V$2:$V$188,MATCH($D78,Backlog!$A$2:$A$188,0)))</f>
        <v>Commit before downstream consumer starts; consumer must use the contract, not redesign producer-owned semantics.</v>
      </c>
      <c r="M78" s="32" t="str">
        <f>IF(INDEX(Backlog!$AO$2:$AO$188,MATCH($D78,Backlog!$A$2:$A$188,0))="","",INDEX(Backlog!$AO$2:$AO$188,MATCH($D78,Backlog!$A$2:$A$188,0)))</f>
        <v>Not started — no completion claimed</v>
      </c>
      <c r="N78" s="32" t="str">
        <f>IF(INDEX(Backlog!$AN$2:$AN$188,MATCH($D78,Backlog!$A$2:$A$188,0))="","",INDEX(Backlog!$AN$2:$AN$188,MATCH($D78,Backlog!$A$2:$A$188,0)))</f>
        <v/>
      </c>
    </row>
    <row r="79" spans="1:14" ht="26.1" customHeight="1">
      <c r="A79" s="38" t="str">
        <f>IF(INDEX(Backlog!$L$2:$L$188,MATCH($D79,Backlog!$A$2:$A$188,0))="","",INDEX(Backlog!$L$2:$L$188,MATCH($D79,Backlog!$A$2:$A$188,0)))</f>
        <v>Worker 1</v>
      </c>
      <c r="B79" s="38" t="str">
        <f>IF(INDEX(Backlog!$B$2:$B$188,MATCH($D79,Backlog!$A$2:$A$188,0))="","",INDEX(Backlog!$B$2:$B$188,MATCH($D79,Backlog!$A$2:$A$188,0)))</f>
        <v>M3</v>
      </c>
      <c r="C79" s="38" t="str">
        <f>IF(INDEX(Backlog!$C$2:$C$188,MATCH($D79,Backlog!$A$2:$A$188,0))="","",INDEX(Backlog!$C$2:$C$188,MATCH($D79,Backlog!$A$2:$A$188,0)))</f>
        <v>P4</v>
      </c>
      <c r="D79" s="38" t="s">
        <v>1737</v>
      </c>
      <c r="E79" s="38" t="str">
        <f>IF(INDEX(Backlog!$D$2:$D$188,MATCH($D79,Backlog!$A$2:$A$188,0))="","",INDEX(Backlog!$D$2:$D$188,MATCH($D79,Backlog!$A$2:$A$188,0)))</f>
        <v>Persist Objective Set and preference authority</v>
      </c>
      <c r="F79" s="70" t="str">
        <f>IF(INDEX(Backlog!$K$2:$K$188,MATCH($D79,Backlog!$A$2:$A$188,0))="","",INDEX(Backlog!$K$2:$K$188,MATCH($D79,Backlog!$A$2:$A$188,0)))</f>
        <v>Not Started</v>
      </c>
      <c r="G79" s="38">
        <f>IF(ISNUMBER(INDEX(Backlog!$AS$2:$AS$188,MATCH($D79,Backlog!$A$2:$A$188,0))),INDEX(Backlog!$AS$2:$AS$188,MATCH($D79,Backlog!$A$2:$A$188,0)),"")</f>
        <v>8</v>
      </c>
      <c r="H79" s="38">
        <f>IF(ISNUMBER(INDEX(Backlog!$AT$2:$AT$188,MATCH($D79,Backlog!$A$2:$A$188,0))),INDEX(Backlog!$AT$2:$AT$188,MATCH($D79,Backlog!$A$2:$A$188,0)),"")</f>
        <v>3.4</v>
      </c>
      <c r="I79" s="38" t="str">
        <f>IF(INDEX(Backlog!$M$2:$M$188,MATCH($D79,Backlog!$A$2:$A$188,0))="","",INDEX(Backlog!$M$2:$M$188,MATCH($D79,Backlog!$A$2:$A$188,0)))</f>
        <v>T-090; T-214; T-238</v>
      </c>
      <c r="J79" s="38" t="str">
        <f>IF(INDEX(Backlog!$T$2:$T$188,MATCH($D79,Backlog!$A$2:$A$188,0))="","",INDEX(Backlog!$T$2:$T$188,MATCH($D79,Backlog!$A$2:$A$188,0)))</f>
        <v>After T-090 + frozen T-214/T-238 contracts.</v>
      </c>
      <c r="K79" s="38" t="str">
        <f>IF(INDEX(Backlog!$U$2:$U$188,MATCH($D79,Backlog!$A$2:$A$188,0))="","",INDEX(Backlog!$U$2:$U$188,MATCH($D79,Backlog!$A$2:$A$188,0)))</f>
        <v>objective-set tables/API/migrations.</v>
      </c>
      <c r="L79" s="38" t="str">
        <f>IF(INDEX(Backlog!$V$2:$V$188,MATCH($D79,Backlog!$A$2:$A$188,0))="","",INDEX(Backlog!$V$2:$V$188,MATCH($D79,Backlog!$A$2:$A$188,0)))</f>
        <v>T-240 consumes committed persistence.</v>
      </c>
      <c r="M79" s="32" t="str">
        <f>IF(INDEX(Backlog!$AO$2:$AO$188,MATCH($D79,Backlog!$A$2:$A$188,0))="","",INDEX(Backlog!$AO$2:$AO$188,MATCH($D79,Backlog!$A$2:$A$188,0)))</f>
        <v>Not started — no completion claimed</v>
      </c>
      <c r="N79" s="32" t="str">
        <f>IF(INDEX(Backlog!$AN$2:$AN$188,MATCH($D79,Backlog!$A$2:$A$188,0))="","",INDEX(Backlog!$AN$2:$AN$188,MATCH($D79,Backlog!$A$2:$A$188,0)))</f>
        <v/>
      </c>
    </row>
    <row r="80" spans="1:14" ht="26.1" customHeight="1">
      <c r="A80" s="38" t="str">
        <f>IF(INDEX(Backlog!$L$2:$L$188,MATCH($D80,Backlog!$A$2:$A$188,0))="","",INDEX(Backlog!$L$2:$L$188,MATCH($D80,Backlog!$A$2:$A$188,0)))</f>
        <v>Worker 1</v>
      </c>
      <c r="B80" s="38" t="str">
        <f>IF(INDEX(Backlog!$B$2:$B$188,MATCH($D80,Backlog!$A$2:$A$188,0))="","",INDEX(Backlog!$B$2:$B$188,MATCH($D80,Backlog!$A$2:$A$188,0)))</f>
        <v>M3</v>
      </c>
      <c r="C80" s="38" t="str">
        <f>IF(INDEX(Backlog!$C$2:$C$188,MATCH($D80,Backlog!$A$2:$A$188,0))="","",INDEX(Backlog!$C$2:$C$188,MATCH($D80,Backlog!$A$2:$A$188,0)))</f>
        <v>P5</v>
      </c>
      <c r="D80" s="38" t="s">
        <v>1248</v>
      </c>
      <c r="E80" s="38" t="str">
        <f>IF(INDEX(Backlog!$D$2:$D$188,MATCH($D80,Backlog!$A$2:$A$188,0))="","",INDEX(Backlog!$D$2:$D$188,MATCH($D80,Backlog!$A$2:$A$188,0)))</f>
        <v>Release 2 heavy-production final certification gate</v>
      </c>
      <c r="F80" s="70" t="str">
        <f>IF(INDEX(Backlog!$K$2:$K$188,MATCH($D80,Backlog!$A$2:$A$188,0))="","",INDEX(Backlog!$K$2:$K$188,MATCH($D80,Backlog!$A$2:$A$188,0)))</f>
        <v>Not Started</v>
      </c>
      <c r="G80" s="38">
        <f>IF(ISNUMBER(INDEX(Backlog!$AS$2:$AS$188,MATCH($D80,Backlog!$A$2:$A$188,0))),INDEX(Backlog!$AS$2:$AS$188,MATCH($D80,Backlog!$A$2:$A$188,0)),"")</f>
        <v>12</v>
      </c>
      <c r="H80" s="38">
        <f>IF(ISNUMBER(INDEX(Backlog!$AT$2:$AT$188,MATCH($D80,Backlog!$A$2:$A$188,0))),INDEX(Backlog!$AT$2:$AT$188,MATCH($D80,Backlog!$A$2:$A$188,0)),"")</f>
        <v>6</v>
      </c>
      <c r="I80" s="38" t="str">
        <f>IF(INDEX(Backlog!$M$2:$M$188,MATCH($D80,Backlog!$A$2:$A$188,0))="","",INDEX(Backlog!$M$2:$M$188,MATCH($D80,Backlog!$A$2:$A$188,0)))</f>
        <v>T-153; T-159; T-160; T-161; T-162; T-163; T-164; T-167; T-193; T-230; T-240; T-248; T-263; T-264; T-246; T-110; T-267</v>
      </c>
      <c r="J80" s="38" t="str">
        <f>IF(INDEX(Backlog!$T$2:$T$188,MATCH($D80,Backlog!$A$2:$A$188,0))="","",INDEX(Backlog!$T$2:$T$188,MATCH($D80,Backlog!$A$2:$A$188,0)))</f>
        <v>After all M3 MUST gates</v>
      </c>
      <c r="K80" s="38" t="str">
        <f>IF(INDEX(Backlog!$U$2:$U$188,MATCH($D80,Backlog!$A$2:$A$188,0))="","",INDEX(Backlog!$U$2:$U$188,MATCH($D80,Backlog!$A$2:$A$188,0)))</f>
        <v>Cross-stack release evidence; exact staging only</v>
      </c>
      <c r="L80" s="38" t="str">
        <f>IF(INDEX(Backlog!$V$2:$V$188,MATCH($D80,Backlog!$A$2:$A$188,0))="","",INDEX(Backlog!$V$2:$V$188,MATCH($D80,Backlog!$A$2:$A$188,0)))</f>
        <v>Certification task only. Defects go back to the owning task/worker; do not patch features inside the gate.</v>
      </c>
      <c r="M80" s="32" t="str">
        <f>IF(INDEX(Backlog!$AO$2:$AO$188,MATCH($D80,Backlog!$A$2:$A$188,0))="","",INDEX(Backlog!$AO$2:$AO$188,MATCH($D80,Backlog!$A$2:$A$188,0)))</f>
        <v>Not started — no completion claimed</v>
      </c>
      <c r="N80" s="32" t="str">
        <f>IF(INDEX(Backlog!$AN$2:$AN$188,MATCH($D80,Backlog!$A$2:$A$188,0))="","",INDEX(Backlog!$AN$2:$AN$188,MATCH($D80,Backlog!$A$2:$A$188,0)))</f>
        <v/>
      </c>
    </row>
    <row r="81" spans="1:14" ht="26.1" customHeight="1">
      <c r="A81" s="38" t="str">
        <f>IF(INDEX(Backlog!$L$2:$L$188,MATCH($D81,Backlog!$A$2:$A$188,0))="","",INDEX(Backlog!$L$2:$L$188,MATCH($D81,Backlog!$A$2:$A$188,0)))</f>
        <v>Worker 2</v>
      </c>
      <c r="B81" s="38" t="str">
        <f>IF(INDEX(Backlog!$B$2:$B$188,MATCH($D81,Backlog!$A$2:$A$188,0))="","",INDEX(Backlog!$B$2:$B$188,MATCH($D81,Backlog!$A$2:$A$188,0)))</f>
        <v>M2</v>
      </c>
      <c r="C81" s="38" t="str">
        <f>IF(INDEX(Backlog!$C$2:$C$188,MATCH($D81,Backlog!$A$2:$A$188,0))="","",INDEX(Backlog!$C$2:$C$188,MATCH($D81,Backlog!$A$2:$A$188,0)))</f>
        <v>P1</v>
      </c>
      <c r="D81" s="38" t="s">
        <v>239</v>
      </c>
      <c r="E81" s="38" t="str">
        <f>IF(INDEX(Backlog!$D$2:$D$188,MATCH($D81,Backlog!$A$2:$A$188,0))="","",INDEX(Backlog!$D$2:$D$188,MATCH($D81,Backlog!$A$2:$A$188,0)))</f>
        <v>Persisted page/widget definition replay gate</v>
      </c>
      <c r="F81" s="70" t="str">
        <f>IF(INDEX(Backlog!$K$2:$K$188,MATCH($D81,Backlog!$A$2:$A$188,0))="","",INDEX(Backlog!$K$2:$K$188,MATCH($D81,Backlog!$A$2:$A$188,0)))</f>
        <v>Done</v>
      </c>
      <c r="G81" s="38">
        <f>IF(ISNUMBER(INDEX(Backlog!$AS$2:$AS$188,MATCH($D81,Backlog!$A$2:$A$188,0))),INDEX(Backlog!$AS$2:$AS$188,MATCH($D81,Backlog!$A$2:$A$188,0)),"")</f>
        <v>10</v>
      </c>
      <c r="H81" s="38">
        <f>IF(ISNUMBER(INDEX(Backlog!$AT$2:$AT$188,MATCH($D81,Backlog!$A$2:$A$188,0))),INDEX(Backlog!$AT$2:$AT$188,MATCH($D81,Backlog!$A$2:$A$188,0)),"")</f>
        <v>4</v>
      </c>
      <c r="I81" s="38" t="str">
        <f>IF(INDEX(Backlog!$M$2:$M$188,MATCH($D81,Backlog!$A$2:$A$188,0))="","",INDEX(Backlog!$M$2:$M$188,MATCH($D81,Backlog!$A$2:$A$188,0)))</f>
        <v>T-201</v>
      </c>
      <c r="J81" s="38" t="str">
        <f>IF(INDEX(Backlog!$T$2:$T$188,MATCH($D81,Backlog!$A$2:$A$188,0))="","",INDEX(Backlog!$T$2:$T$188,MATCH($D81,Backlog!$A$2:$A$188,0)))</f>
        <v>CLOSED BASELINE — no new start gate and no re-execution implied. Preserve accepted closure and clean owned scope; reopen only on a concrete, separately recorded regression. Downstream consumes the frozen contract.</v>
      </c>
      <c r="K81" s="38" t="str">
        <f>IF(INDEX(Backlog!$U$2:$U$188,MATCH($D81,Backlog!$A$2:$A$188,0))="","",INDEX(Backlog!$U$2:$U$188,MATCH($D81,Backlog!$A$2:$A$188,0)))</f>
        <v>Frontend E2E + dashboard query test harness; no canonical schema edits.</v>
      </c>
      <c r="L81" s="38" t="str">
        <f>IF(INDEX(Backlog!$V$2:$V$188,MATCH($D81,Backlog!$A$2:$A$188,0))="","",INDEX(Backlog!$V$2:$V$188,MATCH($D81,Backlog!$A$2:$A$188,0)))</f>
        <v>T-150 later consumes this gate; it does not redesign it.</v>
      </c>
      <c r="M81" s="32" t="str">
        <f>IF(INDEX(Backlog!$AO$2:$AO$188,MATCH($D81,Backlog!$A$2:$A$188,0))="","",INDEX(Backlog!$AO$2:$AO$188,MATCH($D81,Backlog!$A$2:$A$188,0)))</f>
        <v>Recorded closed — inherited evidence</v>
      </c>
      <c r="N81" s="32" t="str">
        <f>IF(INDEX(Backlog!$AN$2:$AN$188,MATCH($D81,Backlog!$A$2:$A$188,0))="","",INDEX(Backlog!$AN$2:$AN$188,MATCH($D81,Backlog!$A$2:$A$188,0)))</f>
        <v/>
      </c>
    </row>
    <row r="82" spans="1:14" ht="26.1" customHeight="1">
      <c r="A82" s="38" t="str">
        <f>IF(INDEX(Backlog!$L$2:$L$188,MATCH($D82,Backlog!$A$2:$A$188,0))="","",INDEX(Backlog!$L$2:$L$188,MATCH($D82,Backlog!$A$2:$A$188,0)))</f>
        <v>Worker 2</v>
      </c>
      <c r="B82" s="38" t="str">
        <f>IF(INDEX(Backlog!$B$2:$B$188,MATCH($D82,Backlog!$A$2:$A$188,0))="","",INDEX(Backlog!$B$2:$B$188,MATCH($D82,Backlog!$A$2:$A$188,0)))</f>
        <v>M2</v>
      </c>
      <c r="C82" s="38" t="str">
        <f>IF(INDEX(Backlog!$C$2:$C$188,MATCH($D82,Backlog!$A$2:$A$188,0))="","",INDEX(Backlog!$C$2:$C$188,MATCH($D82,Backlog!$A$2:$A$188,0)))</f>
        <v>P1</v>
      </c>
      <c r="D82" s="38" t="s">
        <v>252</v>
      </c>
      <c r="E82" s="38" t="str">
        <f>IF(INDEX(Backlog!$D$2:$D$188,MATCH($D82,Backlog!$A$2:$A$188,0))="","",INDEX(Backlog!$D$2:$D$188,MATCH($D82,Backlog!$A$2:$A$188,0)))</f>
        <v>Customer-route network, console and widget-state invariant</v>
      </c>
      <c r="F82" s="70" t="str">
        <f>IF(INDEX(Backlog!$K$2:$K$188,MATCH($D82,Backlog!$A$2:$A$188,0))="","",INDEX(Backlog!$K$2:$K$188,MATCH($D82,Backlog!$A$2:$A$188,0)))</f>
        <v>Done</v>
      </c>
      <c r="G82" s="38">
        <f>IF(ISNUMBER(INDEX(Backlog!$AS$2:$AS$188,MATCH($D82,Backlog!$A$2:$A$188,0))),INDEX(Backlog!$AS$2:$AS$188,MATCH($D82,Backlog!$A$2:$A$188,0)),"")</f>
        <v>10</v>
      </c>
      <c r="H82" s="38">
        <f>IF(ISNUMBER(INDEX(Backlog!$AT$2:$AT$188,MATCH($D82,Backlog!$A$2:$A$188,0))),INDEX(Backlog!$AT$2:$AT$188,MATCH($D82,Backlog!$A$2:$A$188,0)),"")</f>
        <v>4</v>
      </c>
      <c r="I82" s="38" t="str">
        <f>IF(INDEX(Backlog!$M$2:$M$188,MATCH($D82,Backlog!$A$2:$A$188,0))="","",INDEX(Backlog!$M$2:$M$188,MATCH($D82,Backlog!$A$2:$A$188,0)))</f>
        <v>T-201</v>
      </c>
      <c r="J82" s="38" t="str">
        <f>IF(INDEX(Backlog!$T$2:$T$188,MATCH($D82,Backlog!$A$2:$A$188,0))="","",INDEX(Backlog!$T$2:$T$188,MATCH($D82,Backlog!$A$2:$A$188,0)))</f>
        <v>CLOSED BASELINE — no new start gate and no re-execution implied. Preserve accepted closure and clean owned scope; reopen only on a concrete, separately recorded regression. Downstream consumes the frozen contract.</v>
      </c>
      <c r="K82" s="38" t="str">
        <f>IF(INDEX(Backlog!$U$2:$U$188,MATCH($D82,Backlog!$A$2:$A$188,0))="","",INDEX(Backlog!$U$2:$U$188,MATCH($D82,Backlog!$A$2:$A$188,0)))</f>
        <v>Frontend E2E/session harness.</v>
      </c>
      <c r="L82" s="38" t="str">
        <f>IF(INDEX(Backlog!$V$2:$V$188,MATCH($D82,Backlog!$A$2:$A$188,0))="","",INDEX(Backlog!$V$2:$V$188,MATCH($D82,Backlog!$A$2:$A$188,0)))</f>
        <v>All later customer-facing feature tasks must add their route to this gate before close.</v>
      </c>
      <c r="M82" s="32" t="str">
        <f>IF(INDEX(Backlog!$AO$2:$AO$188,MATCH($D82,Backlog!$A$2:$A$188,0))="","",INDEX(Backlog!$AO$2:$AO$188,MATCH($D82,Backlog!$A$2:$A$188,0)))</f>
        <v>Recorded closed — inherited evidence</v>
      </c>
      <c r="N82" s="32" t="str">
        <f>IF(INDEX(Backlog!$AN$2:$AN$188,MATCH($D82,Backlog!$A$2:$A$188,0))="","",INDEX(Backlog!$AN$2:$AN$188,MATCH($D82,Backlog!$A$2:$A$188,0)))</f>
        <v/>
      </c>
    </row>
    <row r="83" spans="1:14" ht="26.1" customHeight="1">
      <c r="A83" s="38" t="str">
        <f>IF(INDEX(Backlog!$L$2:$L$188,MATCH($D83,Backlog!$A$2:$A$188,0))="","",INDEX(Backlog!$L$2:$L$188,MATCH($D83,Backlog!$A$2:$A$188,0)))</f>
        <v>Worker 2</v>
      </c>
      <c r="B83" s="38" t="str">
        <f>IF(INDEX(Backlog!$B$2:$B$188,MATCH($D83,Backlog!$A$2:$A$188,0))="","",INDEX(Backlog!$B$2:$B$188,MATCH($D83,Backlog!$A$2:$A$188,0)))</f>
        <v>M2</v>
      </c>
      <c r="C83" s="38" t="str">
        <f>IF(INDEX(Backlog!$C$2:$C$188,MATCH($D83,Backlog!$A$2:$A$188,0))="","",INDEX(Backlog!$C$2:$C$188,MATCH($D83,Backlog!$A$2:$A$188,0)))</f>
        <v>P1</v>
      </c>
      <c r="D83" s="38" t="s">
        <v>262</v>
      </c>
      <c r="E83" s="38" t="str">
        <f>IF(INDEX(Backlog!$D$2:$D$188,MATCH($D83,Backlog!$A$2:$A$188,0))="","",INDEX(Backlog!$D$2:$D$188,MATCH($D83,Backlog!$A$2:$A$188,0)))</f>
        <v>Associative cross-filter state-machine certification</v>
      </c>
      <c r="F83" s="70" t="str">
        <f>IF(INDEX(Backlog!$K$2:$K$188,MATCH($D83,Backlog!$A$2:$A$188,0))="","",INDEX(Backlog!$K$2:$K$188,MATCH($D83,Backlog!$A$2:$A$188,0)))</f>
        <v>Done</v>
      </c>
      <c r="G83" s="38">
        <f>IF(ISNUMBER(INDEX(Backlog!$AS$2:$AS$188,MATCH($D83,Backlog!$A$2:$A$188,0))),INDEX(Backlog!$AS$2:$AS$188,MATCH($D83,Backlog!$A$2:$A$188,0)),"")</f>
        <v>10</v>
      </c>
      <c r="H83" s="38">
        <f>IF(ISNUMBER(INDEX(Backlog!$AT$2:$AT$188,MATCH($D83,Backlog!$A$2:$A$188,0))),INDEX(Backlog!$AT$2:$AT$188,MATCH($D83,Backlog!$A$2:$A$188,0)),"")</f>
        <v>4.25</v>
      </c>
      <c r="I83" s="38" t="str">
        <f>IF(INDEX(Backlog!$M$2:$M$188,MATCH($D83,Backlog!$A$2:$A$188,0))="","",INDEX(Backlog!$M$2:$M$188,MATCH($D83,Backlog!$A$2:$A$188,0)))</f>
        <v>T-201</v>
      </c>
      <c r="J83" s="38" t="str">
        <f>IF(INDEX(Backlog!$T$2:$T$188,MATCH($D83,Backlog!$A$2:$A$188,0))="","",INDEX(Backlog!$T$2:$T$188,MATCH($D83,Backlog!$A$2:$A$188,0)))</f>
        <v>CLOSED BASELINE — no new start gate and no re-execution implied. Preserve accepted closure and clean owned scope; reopen only on a concrete, separately recorded regression. Downstream consumes the frozen contract.</v>
      </c>
      <c r="K83" s="38" t="str">
        <f>IF(INDEX(Backlog!$U$2:$U$188,MATCH($D83,Backlog!$A$2:$A$188,0))="","",INDEX(Backlog!$U$2:$U$188,MATCH($D83,Backlog!$A$2:$A$188,0)))</f>
        <v>AssociativeContext/filter bridge + E2E tests; no unrelated chart redesign.</v>
      </c>
      <c r="L83" s="38" t="str">
        <f>IF(INDEX(Backlog!$V$2:$V$188,MATCH($D83,Backlog!$A$2:$A$188,0))="","",INDEX(Backlog!$V$2:$V$188,MATCH($D83,Backlog!$A$2:$A$188,0)))</f>
        <v>This task supersedes using browser walking as the acceptance of cross-filtering.</v>
      </c>
      <c r="M83" s="32" t="str">
        <f>IF(INDEX(Backlog!$AO$2:$AO$188,MATCH($D83,Backlog!$A$2:$A$188,0))="","",INDEX(Backlog!$AO$2:$AO$188,MATCH($D83,Backlog!$A$2:$A$188,0)))</f>
        <v>Recorded closed — inherited evidence</v>
      </c>
      <c r="N83" s="32" t="str">
        <f>IF(INDEX(Backlog!$AN$2:$AN$188,MATCH($D83,Backlog!$A$2:$A$188,0))="","",INDEX(Backlog!$AN$2:$AN$188,MATCH($D83,Backlog!$A$2:$A$188,0)))</f>
        <v/>
      </c>
    </row>
    <row r="84" spans="1:14" ht="26.1" customHeight="1">
      <c r="A84" s="38" t="str">
        <f>IF(INDEX(Backlog!$L$2:$L$188,MATCH($D84,Backlog!$A$2:$A$188,0))="","",INDEX(Backlog!$L$2:$L$188,MATCH($D84,Backlog!$A$2:$A$188,0)))</f>
        <v>Worker 2</v>
      </c>
      <c r="B84" s="38" t="str">
        <f>IF(INDEX(Backlog!$B$2:$B$188,MATCH($D84,Backlog!$A$2:$A$188,0))="","",INDEX(Backlog!$B$2:$B$188,MATCH($D84,Backlog!$A$2:$A$188,0)))</f>
        <v>M2</v>
      </c>
      <c r="C84" s="38" t="str">
        <f>IF(INDEX(Backlog!$C$2:$C$188,MATCH($D84,Backlog!$A$2:$A$188,0))="","",INDEX(Backlog!$C$2:$C$188,MATCH($D84,Backlog!$A$2:$A$188,0)))</f>
        <v>P1</v>
      </c>
      <c r="D84" s="38" t="s">
        <v>274</v>
      </c>
      <c r="E84" s="38" t="str">
        <f>IF(INDEX(Backlog!$D$2:$D$188,MATCH($D84,Backlog!$A$2:$A$188,0))="","",INDEX(Backlog!$D$2:$D$188,MATCH($D84,Backlog!$A$2:$A$188,0)))</f>
        <v>Frontend global suite termination and machine-readable gate</v>
      </c>
      <c r="F84" s="70" t="str">
        <f>IF(INDEX(Backlog!$K$2:$K$188,MATCH($D84,Backlog!$A$2:$A$188,0))="","",INDEX(Backlog!$K$2:$K$188,MATCH($D84,Backlog!$A$2:$A$188,0)))</f>
        <v>Done</v>
      </c>
      <c r="G84" s="38">
        <f>IF(ISNUMBER(INDEX(Backlog!$AS$2:$AS$188,MATCH($D84,Backlog!$A$2:$A$188,0))),INDEX(Backlog!$AS$2:$AS$188,MATCH($D84,Backlog!$A$2:$A$188,0)),"")</f>
        <v>8</v>
      </c>
      <c r="H84" s="38">
        <f>IF(ISNUMBER(INDEX(Backlog!$AT$2:$AT$188,MATCH($D84,Backlog!$A$2:$A$188,0))),INDEX(Backlog!$AT$2:$AT$188,MATCH($D84,Backlog!$A$2:$A$188,0)),"")</f>
        <v>3.2</v>
      </c>
      <c r="I84" s="38" t="str">
        <f>IF(INDEX(Backlog!$M$2:$M$188,MATCH($D84,Backlog!$A$2:$A$188,0))="","",INDEX(Backlog!$M$2:$M$188,MATCH($D84,Backlog!$A$2:$A$188,0)))</f>
        <v>T-201</v>
      </c>
      <c r="J84" s="38" t="str">
        <f>IF(INDEX(Backlog!$T$2:$T$188,MATCH($D84,Backlog!$A$2:$A$188,0))="","",INDEX(Backlog!$T$2:$T$188,MATCH($D84,Backlog!$A$2:$A$188,0)))</f>
        <v>CLOSED BASELINE — no new start gate and no re-execution implied. Preserve accepted closure and clean owned scope; reopen only on a concrete, separately recorded regression. Downstream consumes the frozen contract.</v>
      </c>
      <c r="K84" s="38" t="str">
        <f>IF(INDEX(Backlog!$U$2:$U$188,MATCH($D84,Backlog!$A$2:$A$188,0))="","",INDEX(Backlog!$U$2:$U$188,MATCH($D84,Backlog!$A$2:$A$188,0)))</f>
        <v>Frontend test runner/config only.</v>
      </c>
      <c r="L84" s="38" t="str">
        <f>IF(INDEX(Backlog!$V$2:$V$188,MATCH($D84,Backlog!$A$2:$A$188,0))="","",INDEX(Backlog!$V$2:$V$188,MATCH($D84,Backlog!$A$2:$A$188,0)))</f>
        <v>T-205 remains closed. Deterministic suite-truth mutations are owned by T-250; do not amend or reopen T-205 for product/test corrections.</v>
      </c>
      <c r="M84" s="32" t="str">
        <f>IF(INDEX(Backlog!$AO$2:$AO$188,MATCH($D84,Backlog!$A$2:$A$188,0))="","",INDEX(Backlog!$AO$2:$AO$188,MATCH($D84,Backlog!$A$2:$A$188,0)))</f>
        <v>Recorded closed — inherited evidence</v>
      </c>
      <c r="N84" s="32" t="str">
        <f>IF(INDEX(Backlog!$AN$2:$AN$188,MATCH($D84,Backlog!$A$2:$A$188,0))="","",INDEX(Backlog!$AN$2:$AN$188,MATCH($D84,Backlog!$A$2:$A$188,0)))</f>
        <v/>
      </c>
    </row>
    <row r="85" spans="1:14" ht="26.1" customHeight="1">
      <c r="A85" s="38" t="str">
        <f>IF(INDEX(Backlog!$L$2:$L$188,MATCH($D85,Backlog!$A$2:$A$188,0))="","",INDEX(Backlog!$L$2:$L$188,MATCH($D85,Backlog!$A$2:$A$188,0)))</f>
        <v>Worker 2</v>
      </c>
      <c r="B85" s="38" t="str">
        <f>IF(INDEX(Backlog!$B$2:$B$188,MATCH($D85,Backlog!$A$2:$A$188,0))="","",INDEX(Backlog!$B$2:$B$188,MATCH($D85,Backlog!$A$2:$A$188,0)))</f>
        <v>M2</v>
      </c>
      <c r="C85" s="38" t="str">
        <f>IF(INDEX(Backlog!$C$2:$C$188,MATCH($D85,Backlog!$A$2:$A$188,0))="","",INDEX(Backlog!$C$2:$C$188,MATCH($D85,Backlog!$A$2:$A$188,0)))</f>
        <v>P1</v>
      </c>
      <c r="D85" s="38" t="s">
        <v>356</v>
      </c>
      <c r="E85" s="38" t="str">
        <f>IF(INDEX(Backlog!$D$2:$D$188,MATCH($D85,Backlog!$A$2:$A$188,0))="","",INDEX(Backlog!$D$2:$D$188,MATCH($D85,Backlog!$A$2:$A$188,0)))</f>
        <v>Frontend suite truth convergence: Journey routing and design-system corrections</v>
      </c>
      <c r="F85" s="70" t="str">
        <f>IF(INDEX(Backlog!$K$2:$K$188,MATCH($D85,Backlog!$A$2:$A$188,0))="","",INDEX(Backlog!$K$2:$K$188,MATCH($D85,Backlog!$A$2:$A$188,0)))</f>
        <v>Done</v>
      </c>
      <c r="G85" s="38">
        <f>IF(ISNUMBER(INDEX(Backlog!$AS$2:$AS$188,MATCH($D85,Backlog!$A$2:$A$188,0))),INDEX(Backlog!$AS$2:$AS$188,MATCH($D85,Backlog!$A$2:$A$188,0)),"")</f>
        <v>6</v>
      </c>
      <c r="H85" s="38">
        <f>IF(ISNUMBER(INDEX(Backlog!$AT$2:$AT$188,MATCH($D85,Backlog!$A$2:$A$188,0))),INDEX(Backlog!$AT$2:$AT$188,MATCH($D85,Backlog!$A$2:$A$188,0)),"")</f>
        <v>2.5</v>
      </c>
      <c r="I85" s="38" t="str">
        <f>IF(INDEX(Backlog!$M$2:$M$188,MATCH($D85,Backlog!$A$2:$A$188,0))="","",INDEX(Backlog!$M$2:$M$188,MATCH($D85,Backlog!$A$2:$A$188,0)))</f>
        <v>T-205</v>
      </c>
      <c r="J85" s="38" t="str">
        <f>IF(INDEX(Backlog!$T$2:$T$188,MATCH($D85,Backlog!$A$2:$A$188,0))="","",INDEX(Backlog!$T$2:$T$188,MATCH($D85,Backlog!$A$2:$A$188,0)))</f>
        <v>CLOSED BASELINE — no new start gate and no re-execution implied. Preserve accepted closure and clean owned scope; reopen only on a concrete, separately recorded regression. Downstream consumes the frozen contract.</v>
      </c>
      <c r="K85" s="38" t="str">
        <f>IF(INDEX(Backlog!$U$2:$U$188,MATCH($D85,Backlog!$A$2:$A$188,0))="","",INDEX(Backlog!$U$2:$U$188,MATCH($D85,Backlog!$A$2:$A$188,0)))</f>
        <v>Own only the bounded JourneyRail/Journey tests, MetricCard styling, exact Heatmap architecture exception and SpecificationTable convergence. No edits to T-205 runner/validator and no unrelated frontend cleanup.</v>
      </c>
      <c r="L85" s="38" t="str">
        <f>IF(INDEX(Backlog!$V$2:$V$188,MATCH($D85,Backlog!$A$2:$A$188,0))="","",INDEX(Backlog!$V$2:$V$188,MATCH($D85,Backlog!$A$2:$A$188,0)))</f>
        <v>T-205 remains closed. After T-250 GREEN, move directly to the next eligible existing Worker-2 task. No unnamed corrective work and no repeated expensive certification loop.</v>
      </c>
      <c r="M85" s="32" t="str">
        <f>IF(INDEX(Backlog!$AO$2:$AO$188,MATCH($D85,Backlog!$A$2:$A$188,0))="","",INDEX(Backlog!$AO$2:$AO$188,MATCH($D85,Backlog!$A$2:$A$188,0)))</f>
        <v>Recorded closed — inherited evidence</v>
      </c>
      <c r="N85" s="32" t="str">
        <f>IF(INDEX(Backlog!$AN$2:$AN$188,MATCH($D85,Backlog!$A$2:$A$188,0))="","",INDEX(Backlog!$AN$2:$AN$188,MATCH($D85,Backlog!$A$2:$A$188,0)))</f>
        <v/>
      </c>
    </row>
    <row r="86" spans="1:14" ht="26.1" customHeight="1">
      <c r="A86" s="38" t="str">
        <f>IF(INDEX(Backlog!$L$2:$L$188,MATCH($D86,Backlog!$A$2:$A$188,0))="","",INDEX(Backlog!$L$2:$L$188,MATCH($D86,Backlog!$A$2:$A$188,0)))</f>
        <v>Worker 2</v>
      </c>
      <c r="B86" s="38" t="str">
        <f>IF(INDEX(Backlog!$B$2:$B$188,MATCH($D86,Backlog!$A$2:$A$188,0))="","",INDEX(Backlog!$B$2:$B$188,MATCH($D86,Backlog!$A$2:$A$188,0)))</f>
        <v>M2</v>
      </c>
      <c r="C86" s="38" t="str">
        <f>IF(INDEX(Backlog!$C$2:$C$188,MATCH($D86,Backlog!$A$2:$A$188,0))="","",INDEX(Backlog!$C$2:$C$188,MATCH($D86,Backlog!$A$2:$A$188,0)))</f>
        <v>P2</v>
      </c>
      <c r="D86" s="38" t="s">
        <v>451</v>
      </c>
      <c r="E86" s="38" t="str">
        <f>IF(INDEX(Backlog!$D$2:$D$188,MATCH($D86,Backlog!$A$2:$A$188,0))="","",INDEX(Backlog!$D$2:$D$188,MATCH($D86,Backlog!$A$2:$A$188,0)))</f>
        <v>Relationship Browser page and path evidence</v>
      </c>
      <c r="F86" s="70" t="str">
        <f>IF(INDEX(Backlog!$K$2:$K$188,MATCH($D86,Backlog!$A$2:$A$188,0))="","",INDEX(Backlog!$K$2:$K$188,MATCH($D86,Backlog!$A$2:$A$188,0)))</f>
        <v>Not Started</v>
      </c>
      <c r="G86" s="38">
        <f>IF(ISNUMBER(INDEX(Backlog!$AS$2:$AS$188,MATCH($D86,Backlog!$A$2:$A$188,0))),INDEX(Backlog!$AS$2:$AS$188,MATCH($D86,Backlog!$A$2:$A$188,0)),"")</f>
        <v>12</v>
      </c>
      <c r="H86" s="38">
        <f>IF(ISNUMBER(INDEX(Backlog!$AT$2:$AT$188,MATCH($D86,Backlog!$A$2:$A$188,0))),INDEX(Backlog!$AT$2:$AT$188,MATCH($D86,Backlog!$A$2:$A$188,0)),"")</f>
        <v>2</v>
      </c>
      <c r="I86" s="38" t="str">
        <f>IF(INDEX(Backlog!$M$2:$M$188,MATCH($D86,Backlog!$A$2:$A$188,0))="","",INDEX(Backlog!$M$2:$M$188,MATCH($D86,Backlog!$A$2:$A$188,0)))</f>
        <v>T-095; T-096; T-097</v>
      </c>
      <c r="J86" s="38" t="str">
        <f>IF(INDEX(Backlog!$T$2:$T$188,MATCH($D86,Backlog!$A$2:$A$188,0))="","",INDEX(Backlog!$T$2:$T$188,MATCH($D86,Backlog!$A$2:$A$188,0)))</f>
        <v>Use the accepted M1 regression baseline; require empty index and clean owned paths, preserving unrelated user work. Then: T-060 M1 C6 surface + T-095 + T-096 + T-097.</v>
      </c>
      <c r="K86" s="38" t="str">
        <f>IF(INDEX(Backlog!$U$2:$U$188,MATCH($D86,Backlog!$A$2:$A$188,0))="","",INDEX(Backlog!$U$2:$U$188,MATCH($D86,Backlog!$A$2:$A$188,0)))</f>
        <v>Own named UI/admin task end-to-end only after producer APIs/security are committed.</v>
      </c>
      <c r="L86" s="38" t="str">
        <f>IF(INDEX(Backlog!$V$2:$V$188,MATCH($D86,Backlog!$A$2:$A$188,0))="","",INDEX(Backlog!$V$2:$V$188,MATCH($D86,Backlog!$A$2:$A$188,0)))</f>
        <v>Commit before downstream consumer starts; consumer must use the contract, not redesign producer-owned semantics.</v>
      </c>
      <c r="M86" s="32" t="str">
        <f>IF(INDEX(Backlog!$AO$2:$AO$188,MATCH($D86,Backlog!$A$2:$A$188,0))="","",INDEX(Backlog!$AO$2:$AO$188,MATCH($D86,Backlog!$A$2:$A$188,0)))</f>
        <v>Not started — no completion claimed</v>
      </c>
      <c r="N86" s="32" t="str">
        <f>IF(INDEX(Backlog!$AN$2:$AN$188,MATCH($D86,Backlog!$A$2:$A$188,0))="","",INDEX(Backlog!$AN$2:$AN$188,MATCH($D86,Backlog!$A$2:$A$188,0)))</f>
        <v/>
      </c>
    </row>
    <row r="87" spans="1:14" ht="26.1" customHeight="1">
      <c r="A87" s="38" t="str">
        <f>IF(INDEX(Backlog!$L$2:$L$188,MATCH($D87,Backlog!$A$2:$A$188,0))="","",INDEX(Backlog!$L$2:$L$188,MATCH($D87,Backlog!$A$2:$A$188,0)))</f>
        <v>Worker 2</v>
      </c>
      <c r="B87" s="38" t="str">
        <f>IF(INDEX(Backlog!$B$2:$B$188,MATCH($D87,Backlog!$A$2:$A$188,0))="","",INDEX(Backlog!$B$2:$B$188,MATCH($D87,Backlog!$A$2:$A$188,0)))</f>
        <v>M2</v>
      </c>
      <c r="C87" s="38" t="str">
        <f>IF(INDEX(Backlog!$C$2:$C$188,MATCH($D87,Backlog!$A$2:$A$188,0))="","",INDEX(Backlog!$C$2:$C$188,MATCH($D87,Backlog!$A$2:$A$188,0)))</f>
        <v>P2</v>
      </c>
      <c r="D87" s="38" t="s">
        <v>489</v>
      </c>
      <c r="E87" s="38" t="str">
        <f>IF(INDEX(Backlog!$D$2:$D$188,MATCH($D87,Backlog!$A$2:$A$188,0))="","",INDEX(Backlog!$D$2:$D$188,MATCH($D87,Backlog!$A$2:$A$188,0)))</f>
        <v>Quarantine retry, reprocess and Mapping Health completion</v>
      </c>
      <c r="F87" s="70" t="str">
        <f>IF(INDEX(Backlog!$K$2:$K$188,MATCH($D87,Backlog!$A$2:$A$188,0))="","",INDEX(Backlog!$K$2:$K$188,MATCH($D87,Backlog!$A$2:$A$188,0)))</f>
        <v>Not Started</v>
      </c>
      <c r="G87" s="38" t="str">
        <f>IF(ISNUMBER(INDEX(Backlog!$AS$2:$AS$188,MATCH($D87,Backlog!$A$2:$A$188,0))),INDEX(Backlog!$AS$2:$AS$188,MATCH($D87,Backlog!$A$2:$A$188,0)),"")</f>
        <v/>
      </c>
      <c r="H87" s="38" t="str">
        <f>IF(ISNUMBER(INDEX(Backlog!$AT$2:$AT$188,MATCH($D87,Backlog!$A$2:$A$188,0))),INDEX(Backlog!$AT$2:$AT$188,MATCH($D87,Backlog!$A$2:$A$188,0)),"")</f>
        <v/>
      </c>
      <c r="I87" s="38" t="str">
        <f>IF(INDEX(Backlog!$M$2:$M$188,MATCH($D87,Backlog!$A$2:$A$188,0))="","",INDEX(Backlog!$M$2:$M$188,MATCH($D87,Backlog!$A$2:$A$188,0)))</f>
        <v>T-099; T-100</v>
      </c>
      <c r="J87" s="38" t="str">
        <f>IF(INDEX(Backlog!$T$2:$T$188,MATCH($D87,Backlog!$A$2:$A$188,0))="","",INDEX(Backlog!$T$2:$T$188,MATCH($D87,Backlog!$A$2:$A$188,0)))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T-061 final M1 API/page contract + T-099 + T-100 canonical quarantine impleme...</v>
      </c>
      <c r="K87" s="38" t="str">
        <f>IF(INDEX(Backlog!$U$2:$U$188,MATCH($D87,Backlog!$A$2:$A$188,0))="","",INDEX(Backlog!$U$2:$U$188,MATCH($D87,Backlog!$A$2:$A$188,0)))</f>
        <v>Own named UI/admin task end-to-end only after producer APIs/security are committed.</v>
      </c>
      <c r="L87" s="38" t="str">
        <f>IF(INDEX(Backlog!$V$2:$V$188,MATCH($D87,Backlog!$A$2:$A$188,0))="","",INDEX(Backlog!$V$2:$V$188,MATCH($D87,Backlog!$A$2:$A$188,0)))</f>
        <v>Commit before downstream consumer starts; consumer must use the contract, not redesign producer-owned semantics.</v>
      </c>
      <c r="M87" s="32" t="str">
        <f>IF(INDEX(Backlog!$AO$2:$AO$188,MATCH($D87,Backlog!$A$2:$A$188,0))="","",INDEX(Backlog!$AO$2:$AO$188,MATCH($D87,Backlog!$A$2:$A$188,0)))</f>
        <v>Not started — no completion claimed</v>
      </c>
      <c r="N87" s="32" t="str">
        <f>IF(INDEX(Backlog!$AN$2:$AN$188,MATCH($D87,Backlog!$A$2:$A$188,0))="","",INDEX(Backlog!$AN$2:$AN$188,MATCH($D87,Backlog!$A$2:$A$188,0)))</f>
        <v/>
      </c>
    </row>
    <row r="88" spans="1:14" ht="26.1" customHeight="1">
      <c r="A88" s="38" t="str">
        <f>IF(INDEX(Backlog!$L$2:$L$188,MATCH($D88,Backlog!$A$2:$A$188,0))="","",INDEX(Backlog!$L$2:$L$188,MATCH($D88,Backlog!$A$2:$A$188,0)))</f>
        <v>Worker 2</v>
      </c>
      <c r="B88" s="38" t="str">
        <f>IF(INDEX(Backlog!$B$2:$B$188,MATCH($D88,Backlog!$A$2:$A$188,0))="","",INDEX(Backlog!$B$2:$B$188,MATCH($D88,Backlog!$A$2:$A$188,0)))</f>
        <v>M2</v>
      </c>
      <c r="C88" s="38" t="str">
        <f>IF(INDEX(Backlog!$C$2:$C$188,MATCH($D88,Backlog!$A$2:$A$188,0))="","",INDEX(Backlog!$C$2:$C$188,MATCH($D88,Backlog!$A$2:$A$188,0)))</f>
        <v>P2</v>
      </c>
      <c r="D88" s="38" t="s">
        <v>579</v>
      </c>
      <c r="E88" s="38" t="str">
        <f>IF(INDEX(Backlog!$D$2:$D$188,MATCH($D88,Backlog!$A$2:$A$188,0))="","",INDEX(Backlog!$D$2:$D$188,MATCH($D88,Backlog!$A$2:$A$188,0)))</f>
        <v>Integrate aggregation semantics into Layer-A widget/query execution</v>
      </c>
      <c r="F88" s="70" t="str">
        <f>IF(INDEX(Backlog!$K$2:$K$188,MATCH($D88,Backlog!$A$2:$A$188,0))="","",INDEX(Backlog!$K$2:$K$188,MATCH($D88,Backlog!$A$2:$A$188,0)))</f>
        <v>Not Started</v>
      </c>
      <c r="G88" s="38">
        <f>IF(ISNUMBER(INDEX(Backlog!$AS$2:$AS$188,MATCH($D88,Backlog!$A$2:$A$188,0))),INDEX(Backlog!$AS$2:$AS$188,MATCH($D88,Backlog!$A$2:$A$188,0)),"")</f>
        <v>10</v>
      </c>
      <c r="H88" s="38">
        <f>IF(ISNUMBER(INDEX(Backlog!$AT$2:$AT$188,MATCH($D88,Backlog!$A$2:$A$188,0))),INDEX(Backlog!$AT$2:$AT$188,MATCH($D88,Backlog!$A$2:$A$188,0)),"")</f>
        <v>5.1428571428571432</v>
      </c>
      <c r="I88" s="38" t="str">
        <f>IF(INDEX(Backlog!$M$2:$M$188,MATCH($D88,Backlog!$A$2:$A$188,0))="","",INDEX(Backlog!$M$2:$M$188,MATCH($D88,Backlog!$A$2:$A$188,0)))</f>
        <v>T-202; T-210; T-211; T-092; T-234; T-235; T-236</v>
      </c>
      <c r="J88" s="38" t="str">
        <f>IF(INDEX(Backlog!$T$2:$T$188,MATCH($D88,Backlog!$A$2:$A$188,0))="","",INDEX(Backlog!$T$2:$T$188,MATCH($D88,Backlog!$A$2:$A$188,0)))</f>
        <v>T-202 + T-210/T-211 + T-092 + committed T-234/T-235/T-236.</v>
      </c>
      <c r="K88" s="38" t="str">
        <f>IF(INDEX(Backlog!$U$2:$U$188,MATCH($D88,Backlog!$A$2:$A$188,0))="","",INDEX(Backlog!$U$2:$U$188,MATCH($D88,Backlog!$A$2:$A$188,0)))</f>
        <v>Dashboard query service/executor + focused frontend state mapping.</v>
      </c>
      <c r="L88" s="38" t="str">
        <f>IF(INDEX(Backlog!$V$2:$V$188,MATCH($D88,Backlog!$A$2:$A$188,0))="","",INDEX(Backlog!$V$2:$V$188,MATCH($D88,Backlog!$A$2:$A$188,0)))</f>
        <v>Consumes W1 semantics and W3 kernel; no independent aggregation rules.</v>
      </c>
      <c r="M88" s="32" t="str">
        <f>IF(INDEX(Backlog!$AO$2:$AO$188,MATCH($D88,Backlog!$A$2:$A$188,0))="","",INDEX(Backlog!$AO$2:$AO$188,MATCH($D88,Backlog!$A$2:$A$188,0)))</f>
        <v>Not started — no completion claimed</v>
      </c>
      <c r="N88" s="32" t="str">
        <f>IF(INDEX(Backlog!$AN$2:$AN$188,MATCH($D88,Backlog!$A$2:$A$188,0))="","",INDEX(Backlog!$AN$2:$AN$188,MATCH($D88,Backlog!$A$2:$A$188,0)))</f>
        <v/>
      </c>
    </row>
    <row r="89" spans="1:14" ht="26.1" customHeight="1">
      <c r="A89" s="38" t="str">
        <f>IF(INDEX(Backlog!$L$2:$L$188,MATCH($D89,Backlog!$A$2:$A$188,0))="","",INDEX(Backlog!$L$2:$L$188,MATCH($D89,Backlog!$A$2:$A$188,0)))</f>
        <v>Worker 2</v>
      </c>
      <c r="B89" s="38" t="str">
        <f>IF(INDEX(Backlog!$B$2:$B$188,MATCH($D89,Backlog!$A$2:$A$188,0))="","",INDEX(Backlog!$B$2:$B$188,MATCH($D89,Backlog!$A$2:$A$188,0)))</f>
        <v>M2</v>
      </c>
      <c r="C89" s="38" t="str">
        <f>IF(INDEX(Backlog!$C$2:$C$188,MATCH($D89,Backlog!$A$2:$A$188,0))="","",INDEX(Backlog!$C$2:$C$188,MATCH($D89,Backlog!$A$2:$A$188,0)))</f>
        <v>P2</v>
      </c>
      <c r="D89" s="38" t="s">
        <v>595</v>
      </c>
      <c r="E89" s="38" t="str">
        <f>IF(INDEX(Backlog!$D$2:$D$188,MATCH($D89,Backlog!$A$2:$A$188,0))="","",INDEX(Backlog!$D$2:$D$188,MATCH($D89,Backlog!$A$2:$A$188,0)))</f>
        <v>Customer Data Intake and Capability Assessment authority</v>
      </c>
      <c r="F89" s="70" t="str">
        <f>IF(INDEX(Backlog!$K$2:$K$188,MATCH($D89,Backlog!$A$2:$A$188,0))="","",INDEX(Backlog!$K$2:$K$188,MATCH($D89,Backlog!$A$2:$A$188,0)))</f>
        <v>Done</v>
      </c>
      <c r="G89" s="38">
        <f>IF(ISNUMBER(INDEX(Backlog!$AS$2:$AS$188,MATCH($D89,Backlog!$A$2:$A$188,0))),INDEX(Backlog!$AS$2:$AS$188,MATCH($D89,Backlog!$A$2:$A$188,0)),"")</f>
        <v>8</v>
      </c>
      <c r="H89" s="38">
        <f>IF(ISNUMBER(INDEX(Backlog!$AT$2:$AT$188,MATCH($D89,Backlog!$A$2:$A$188,0))),INDEX(Backlog!$AT$2:$AT$188,MATCH($D89,Backlog!$A$2:$A$188,0)),"")</f>
        <v>3.2</v>
      </c>
      <c r="I89" s="38" t="str">
        <f>IF(INDEX(Backlog!$M$2:$M$188,MATCH($D89,Backlog!$A$2:$A$188,0))="","",INDEX(Backlog!$M$2:$M$188,MATCH($D89,Backlog!$A$2:$A$188,0)))</f>
        <v>T-201; T-206</v>
      </c>
      <c r="J89" s="38" t="str">
        <f>IF(INDEX(Backlog!$T$2:$T$188,MATCH($D89,Backlog!$A$2:$A$188,0))="","",INDEX(Backlog!$T$2:$T$188,MATCH($D89,Backlog!$A$2:$A$188,0)))</f>
        <v>CLOSED BASELINE — no new start gate and no re-execution implied. Preserve accepted closure and clean owned scope; reopen only on a concrete, separately recorded regression. Downstream consumes the frozen contract.</v>
      </c>
      <c r="K89" s="38" t="str">
        <f>IF(INDEX(Backlog!$U$2:$U$188,MATCH($D89,Backlog!$A$2:$A$188,0))="","",INDEX(Backlog!$U$2:$U$188,MATCH($D89,Backlog!$A$2:$A$188,0)))</f>
        <v>Onboarding assessment service/report; no customer-specific schema code.</v>
      </c>
      <c r="L89" s="38" t="str">
        <f>IF(INDEX(Backlog!$V$2:$V$188,MATCH($D89,Backlog!$A$2:$A$188,0))="","",INDEX(Backlog!$V$2:$V$188,MATCH($D89,Backlog!$A$2:$A$188,0)))</f>
        <v>Mappings/definitions become canonical through existing authorities; report does not become a shadow registry.</v>
      </c>
      <c r="M89" s="32" t="str">
        <f>IF(INDEX(Backlog!$AO$2:$AO$188,MATCH($D89,Backlog!$A$2:$A$188,0))="","",INDEX(Backlog!$AO$2:$AO$188,MATCH($D89,Backlog!$A$2:$A$188,0)))</f>
        <v>Recorded closed — inherited evidence</v>
      </c>
      <c r="N89" s="32" t="str">
        <f>IF(INDEX(Backlog!$AN$2:$AN$188,MATCH($D89,Backlog!$A$2:$A$188,0))="","",INDEX(Backlog!$AN$2:$AN$188,MATCH($D89,Backlog!$A$2:$A$188,0)))</f>
        <v/>
      </c>
    </row>
    <row r="90" spans="1:14" ht="26.1" customHeight="1">
      <c r="A90" s="38" t="str">
        <f>IF(INDEX(Backlog!$L$2:$L$188,MATCH($D90,Backlog!$A$2:$A$188,0))="","",INDEX(Backlog!$L$2:$L$188,MATCH($D90,Backlog!$A$2:$A$188,0)))</f>
        <v>Worker 2</v>
      </c>
      <c r="B90" s="38" t="str">
        <f>IF(INDEX(Backlog!$B$2:$B$188,MATCH($D90,Backlog!$A$2:$A$188,0))="","",INDEX(Backlog!$B$2:$B$188,MATCH($D90,Backlog!$A$2:$A$188,0)))</f>
        <v>M2</v>
      </c>
      <c r="C90" s="38" t="str">
        <f>IF(INDEX(Backlog!$C$2:$C$188,MATCH($D90,Backlog!$A$2:$A$188,0))="","",INDEX(Backlog!$C$2:$C$188,MATCH($D90,Backlog!$A$2:$A$188,0)))</f>
        <v>P2</v>
      </c>
      <c r="D90" s="38" t="s">
        <v>671</v>
      </c>
      <c r="E90" s="38" t="str">
        <f>IF(INDEX(Backlog!$D$2:$D$188,MATCH($D90,Backlog!$A$2:$A$188,0))="","",INDEX(Backlog!$D$2:$D$188,MATCH($D90,Backlog!$A$2:$A$188,0)))</f>
        <v>Canvas executable block contract, typed ports and graph validation</v>
      </c>
      <c r="F90" s="70" t="str">
        <f>IF(INDEX(Backlog!$K$2:$K$188,MATCH($D90,Backlog!$A$2:$A$188,0))="","",INDEX(Backlog!$K$2:$K$188,MATCH($D90,Backlog!$A$2:$A$188,0)))</f>
        <v>Done</v>
      </c>
      <c r="G90" s="38">
        <f>IF(ISNUMBER(INDEX(Backlog!$AS$2:$AS$188,MATCH($D90,Backlog!$A$2:$A$188,0))),INDEX(Backlog!$AS$2:$AS$188,MATCH($D90,Backlog!$A$2:$A$188,0)),"")</f>
        <v>10</v>
      </c>
      <c r="H90" s="38" t="str">
        <f>IF(ISNUMBER(INDEX(Backlog!$AT$2:$AT$188,MATCH($D90,Backlog!$A$2:$A$188,0))),INDEX(Backlog!$AT$2:$AT$188,MATCH($D90,Backlog!$A$2:$A$188,0)),"")</f>
        <v/>
      </c>
      <c r="I90" s="38" t="str">
        <f>IF(INDEX(Backlog!$M$2:$M$188,MATCH($D90,Backlog!$A$2:$A$188,0))="","",INDEX(Backlog!$M$2:$M$188,MATCH($D90,Backlog!$A$2:$A$188,0)))</f>
        <v>T-032; T-201</v>
      </c>
      <c r="J90" s="38" t="str">
        <f>IF(INDEX(Backlog!$T$2:$T$188,MATCH($D90,Backlog!$A$2:$A$188,0))="","",INDEX(Backlog!$T$2:$T$188,MATCH($D90,Backlog!$A$2:$A$188,0)))</f>
        <v>CLOSED BASELINE — no new start gate and no re-execution implied. Preserve accepted closure and clean owned scope; reopen only on a concrete, separately recorded regression. Downstream consumes the frozen contract.</v>
      </c>
      <c r="K90" s="38" t="str">
        <f>IF(INDEX(Backlog!$U$2:$U$188,MATCH($D90,Backlog!$A$2:$A$188,0))="","",INDEX(Backlog!$U$2:$U$188,MATCH($D90,Backlog!$A$2:$A$188,0)))</f>
        <v>Frontend shared authoring shell, canvas graph/ports only.</v>
      </c>
      <c r="L90" s="38" t="str">
        <f>IF(INDEX(Backlog!$V$2:$V$188,MATCH($D90,Backlog!$A$2:$A$188,0))="","",INDEX(Backlog!$V$2:$V$188,MATCH($D90,Backlog!$A$2:$A$188,0)))</f>
        <v>Reuse M1 SharedAuthoringShell and existing typed-port assets. No second canvas component.</v>
      </c>
      <c r="M90" s="32" t="str">
        <f>IF(INDEX(Backlog!$AO$2:$AO$188,MATCH($D90,Backlog!$A$2:$A$188,0))="","",INDEX(Backlog!$AO$2:$AO$188,MATCH($D90,Backlog!$A$2:$A$188,0)))</f>
        <v>Recorded closed — inherited evidence</v>
      </c>
      <c r="N90" s="32" t="str">
        <f>IF(INDEX(Backlog!$AN$2:$AN$188,MATCH($D90,Backlog!$A$2:$A$188,0))="","",INDEX(Backlog!$AN$2:$AN$188,MATCH($D90,Backlog!$A$2:$A$188,0)))</f>
        <v/>
      </c>
    </row>
    <row r="91" spans="1:14" ht="26.1" customHeight="1">
      <c r="A91" s="38" t="str">
        <f>IF(INDEX(Backlog!$L$2:$L$188,MATCH($D91,Backlog!$A$2:$A$188,0))="","",INDEX(Backlog!$L$2:$L$188,MATCH($D91,Backlog!$A$2:$A$188,0)))</f>
        <v>Worker 2</v>
      </c>
      <c r="B91" s="38" t="str">
        <f>IF(INDEX(Backlog!$B$2:$B$188,MATCH($D91,Backlog!$A$2:$A$188,0))="","",INDEX(Backlog!$B$2:$B$188,MATCH($D91,Backlog!$A$2:$A$188,0)))</f>
        <v>M2</v>
      </c>
      <c r="C91" s="38" t="str">
        <f>IF(INDEX(Backlog!$C$2:$C$188,MATCH($D91,Backlog!$A$2:$A$188,0))="","",INDEX(Backlog!$C$2:$C$188,MATCH($D91,Backlog!$A$2:$A$188,0)))</f>
        <v>P2</v>
      </c>
      <c r="D91" s="38" t="s">
        <v>686</v>
      </c>
      <c r="E91" s="38" t="str">
        <f>IF(INDEX(Backlog!$D$2:$D$188,MATCH($D91,Backlog!$A$2:$A$188,0))="","",INDEX(Backlog!$D$2:$D$188,MATCH($D91,Backlog!$A$2:$A$188,0)))</f>
        <v>Canvas production block library: relational, arithmetic, logic, window and governed aggregate</v>
      </c>
      <c r="F91" s="70" t="str">
        <f>IF(INDEX(Backlog!$K$2:$K$188,MATCH($D91,Backlog!$A$2:$A$188,0))="","",INDEX(Backlog!$K$2:$K$188,MATCH($D91,Backlog!$A$2:$A$188,0)))</f>
        <v>Done</v>
      </c>
      <c r="G91" s="38">
        <f>IF(ISNUMBER(INDEX(Backlog!$AS$2:$AS$188,MATCH($D91,Backlog!$A$2:$A$188,0))),INDEX(Backlog!$AS$2:$AS$188,MATCH($D91,Backlog!$A$2:$A$188,0)),"")</f>
        <v>16</v>
      </c>
      <c r="H91" s="38" t="str">
        <f>IF(ISNUMBER(INDEX(Backlog!$AT$2:$AT$188,MATCH($D91,Backlog!$A$2:$A$188,0))),INDEX(Backlog!$AT$2:$AT$188,MATCH($D91,Backlog!$A$2:$A$188,0)),"")</f>
        <v/>
      </c>
      <c r="I91" s="38" t="str">
        <f>IF(INDEX(Backlog!$M$2:$M$188,MATCH($D91,Backlog!$A$2:$A$188,0))="","",INDEX(Backlog!$M$2:$M$188,MATCH($D91,Backlog!$A$2:$A$188,0)))</f>
        <v>T-241; T-210</v>
      </c>
      <c r="J91" s="38" t="str">
        <f>IF(INDEX(Backlog!$T$2:$T$188,MATCH($D91,Backlog!$A$2:$A$188,0))="","",INDEX(Backlog!$T$2:$T$188,MATCH($D91,Backlog!$A$2:$A$188,0)))</f>
        <v>CLOSED BASELINE — no new start gate and no re-execution implied. Preserve accepted closure and clean owned scope; reopen only on a concrete, separately recorded regression. Downstream consumes the frozen contract.</v>
      </c>
      <c r="K91" s="38" t="str">
        <f>IF(INDEX(Backlog!$U$2:$U$188,MATCH($D91,Backlog!$A$2:$A$188,0))="","",INDEX(Backlog!$U$2:$U$188,MATCH($D91,Backlog!$A$2:$A$188,0)))</f>
        <v>Canvas block registry and executable block nodes.</v>
      </c>
      <c r="L91" s="38" t="str">
        <f>IF(INDEX(Backlog!$V$2:$V$188,MATCH($D91,Backlog!$A$2:$A$188,0))="","",INDEX(Backlog!$V$2:$V$188,MATCH($D91,Backlog!$A$2:$A$188,0)))</f>
        <v>Do not duplicate analytics kernels; blocks call governed Layer-A/Layer-B contracts.</v>
      </c>
      <c r="M91" s="32" t="str">
        <f>IF(INDEX(Backlog!$AO$2:$AO$188,MATCH($D91,Backlog!$A$2:$A$188,0))="","",INDEX(Backlog!$AO$2:$AO$188,MATCH($D91,Backlog!$A$2:$A$188,0)))</f>
        <v>Recorded closed — inherited evidence</v>
      </c>
      <c r="N91" s="32" t="str">
        <f>IF(INDEX(Backlog!$AN$2:$AN$188,MATCH($D91,Backlog!$A$2:$A$188,0))="","",INDEX(Backlog!$AN$2:$AN$188,MATCH($D91,Backlog!$A$2:$A$188,0)))</f>
        <v/>
      </c>
    </row>
    <row r="92" spans="1:14" ht="26.1" customHeight="1">
      <c r="A92" s="38" t="str">
        <f>IF(INDEX(Backlog!$L$2:$L$188,MATCH($D92,Backlog!$A$2:$A$188,0))="","",INDEX(Backlog!$L$2:$L$188,MATCH($D92,Backlog!$A$2:$A$188,0)))</f>
        <v>Worker 2</v>
      </c>
      <c r="B92" s="38" t="str">
        <f>IF(INDEX(Backlog!$B$2:$B$188,MATCH($D92,Backlog!$A$2:$A$188,0))="","",INDEX(Backlog!$B$2:$B$188,MATCH($D92,Backlog!$A$2:$A$188,0)))</f>
        <v>M2</v>
      </c>
      <c r="C92" s="38" t="str">
        <f>IF(INDEX(Backlog!$C$2:$C$188,MATCH($D92,Backlog!$A$2:$A$188,0))="","",INDEX(Backlog!$C$2:$C$188,MATCH($D92,Backlog!$A$2:$A$188,0)))</f>
        <v>P2</v>
      </c>
      <c r="D92" s="38" t="s">
        <v>696</v>
      </c>
      <c r="E92" s="38" t="str">
        <f>IF(INDEX(Backlog!$D$2:$D$188,MATCH($D92,Backlog!$A$2:$A$188,0))="","",INDEX(Backlog!$D$2:$D$188,MATCH($D92,Backlog!$A$2:$A$188,0)))</f>
        <v>Canvas persistence, immutable versioning and reopen/edit round-trip</v>
      </c>
      <c r="F92" s="70" t="str">
        <f>IF(INDEX(Backlog!$K$2:$K$188,MATCH($D92,Backlog!$A$2:$A$188,0))="","",INDEX(Backlog!$K$2:$K$188,MATCH($D92,Backlog!$A$2:$A$188,0)))</f>
        <v>Done</v>
      </c>
      <c r="G92" s="38" t="str">
        <f>IF(ISNUMBER(INDEX(Backlog!$AS$2:$AS$188,MATCH($D92,Backlog!$A$2:$A$188,0))),INDEX(Backlog!$AS$2:$AS$188,MATCH($D92,Backlog!$A$2:$A$188,0)),"")</f>
        <v/>
      </c>
      <c r="H92" s="38" t="str">
        <f>IF(ISNUMBER(INDEX(Backlog!$AT$2:$AT$188,MATCH($D92,Backlog!$A$2:$A$188,0))),INDEX(Backlog!$AT$2:$AT$188,MATCH($D92,Backlog!$A$2:$A$188,0)),"")</f>
        <v/>
      </c>
      <c r="I92" s="38" t="str">
        <f>IF(INDEX(Backlog!$M$2:$M$188,MATCH($D92,Backlog!$A$2:$A$188,0))="","",INDEX(Backlog!$M$2:$M$188,MATCH($D92,Backlog!$A$2:$A$188,0)))</f>
        <v>T-241; T-242; T-089; T-090; T-253</v>
      </c>
      <c r="J92" s="38" t="str">
        <f>IF(INDEX(Backlog!$T$2:$T$188,MATCH($D92,Backlog!$A$2:$A$188,0))="","",INDEX(Backlog!$T$2:$T$188,MATCH($D92,Backlog!$A$2:$A$188,0)))</f>
        <v>Consume accepted producer contracts; remaining dependencies: T-241; T-242; T-089; T-090; T-253. No private scheduler/definition authority. Source-present is not closure proof.</v>
      </c>
      <c r="K92" s="38" t="str">
        <f>IF(INDEX(Backlog!$U$2:$U$188,MATCH($D92,Backlog!$A$2:$A$188,0))="","",INDEX(Backlog!$U$2:$U$188,MATCH($D92,Backlog!$A$2:$A$188,0)))</f>
        <v>Frontend canvas persistence + definition-store client contracts.</v>
      </c>
      <c r="L92" s="38" t="str">
        <f>IF(INDEX(Backlog!$V$2:$V$188,MATCH($D92,Backlog!$A$2:$A$188,0))="","",INDEX(Backlog!$V$2:$V$188,MATCH($D92,Backlog!$A$2:$A$188,0)))</f>
        <v>No canvas-specific persistence schema.</v>
      </c>
      <c r="M92" s="32" t="str">
        <f>IF(INDEX(Backlog!$AO$2:$AO$188,MATCH($D92,Backlog!$A$2:$A$188,0))="","",INDEX(Backlog!$AO$2:$AO$188,MATCH($D92,Backlog!$A$2:$A$188,0)))</f>
        <v>BASELINE CLOSED; RELATIONSHIP-PUBLICATION EXTENSION UNPROVEN</v>
      </c>
      <c r="N92" s="32" t="str">
        <f>IF(INDEX(Backlog!$AN$2:$AN$188,MATCH($D92,Backlog!$A$2:$A$188,0))="","",INDEX(Backlog!$AN$2:$AN$188,MATCH($D92,Backlog!$A$2:$A$188,0)))</f>
        <v/>
      </c>
    </row>
    <row r="93" spans="1:14" ht="26.1" customHeight="1">
      <c r="A93" s="38" t="str">
        <f>IF(INDEX(Backlog!$L$2:$L$188,MATCH($D93,Backlog!$A$2:$A$188,0))="","",INDEX(Backlog!$L$2:$L$188,MATCH($D93,Backlog!$A$2:$A$188,0)))</f>
        <v>Worker 2</v>
      </c>
      <c r="B93" s="38" t="str">
        <f>IF(INDEX(Backlog!$B$2:$B$188,MATCH($D93,Backlog!$A$2:$A$188,0))="","",INDEX(Backlog!$B$2:$B$188,MATCH($D93,Backlog!$A$2:$A$188,0)))</f>
        <v>M2</v>
      </c>
      <c r="C93" s="38" t="str">
        <f>IF(INDEX(Backlog!$C$2:$C$188,MATCH($D93,Backlog!$A$2:$A$188,0))="","",INDEX(Backlog!$C$2:$C$188,MATCH($D93,Backlog!$A$2:$A$188,0)))</f>
        <v>P2</v>
      </c>
      <c r="D93" s="38" t="s">
        <v>710</v>
      </c>
      <c r="E93" s="38" t="str">
        <f>IF(INDEX(Backlog!$D$2:$D$188,MATCH($D93,Backlog!$A$2:$A$188,0))="","",INDEX(Backlog!$D$2:$D$188,MATCH($D93,Backlog!$A$2:$A$188,0)))</f>
        <v>SQL-mode production convergence: compile, validate, bounded dry-run and definition persistence</v>
      </c>
      <c r="F93" s="70" t="str">
        <f>IF(INDEX(Backlog!$K$2:$K$188,MATCH($D93,Backlog!$A$2:$A$188,0))="","",INDEX(Backlog!$K$2:$K$188,MATCH($D93,Backlog!$A$2:$A$188,0)))</f>
        <v>Done</v>
      </c>
      <c r="G93" s="38">
        <f>IF(ISNUMBER(INDEX(Backlog!$AS$2:$AS$188,MATCH($D93,Backlog!$A$2:$A$188,0))),INDEX(Backlog!$AS$2:$AS$188,MATCH($D93,Backlog!$A$2:$A$188,0)),"")</f>
        <v>14</v>
      </c>
      <c r="H93" s="38" t="str">
        <f>IF(ISNUMBER(INDEX(Backlog!$AT$2:$AT$188,MATCH($D93,Backlog!$A$2:$A$188,0))),INDEX(Backlog!$AT$2:$AT$188,MATCH($D93,Backlog!$A$2:$A$188,0)),"")</f>
        <v/>
      </c>
      <c r="I93" s="38" t="str">
        <f>IF(INDEX(Backlog!$M$2:$M$188,MATCH($D93,Backlog!$A$2:$A$188,0))="","",INDEX(Backlog!$M$2:$M$188,MATCH($D93,Backlog!$A$2:$A$188,0)))</f>
        <v>T-035; T-036; T-089; T-090</v>
      </c>
      <c r="J93" s="38" t="str">
        <f>IF(INDEX(Backlog!$T$2:$T$188,MATCH($D93,Backlog!$A$2:$A$188,0))="","",INDEX(Backlog!$T$2:$T$188,MATCH($D93,Backlog!$A$2:$A$188,0)))</f>
        <v>CLOSED BASELINE — no new start gate and no re-execution implied. Preserve accepted closure and clean owned scope; reopen only on a concrete, separately recorded regression. Downstream consumes the frozen contract.</v>
      </c>
      <c r="K93" s="38" t="str">
        <f>IF(INDEX(Backlog!$U$2:$U$188,MATCH($D93,Backlog!$A$2:$A$188,0))="","",INDEX(Backlog!$U$2:$U$188,MATCH($D93,Backlog!$A$2:$A$188,0)))</f>
        <v>SharedAuthoringShell SQL mode + canonical definition API.</v>
      </c>
      <c r="L93" s="38" t="str">
        <f>IF(INDEX(Backlog!$V$2:$V$188,MATCH($D93,Backlog!$A$2:$A$188,0))="","",INDEX(Backlog!$V$2:$V$188,MATCH($D93,Backlog!$A$2:$A$188,0)))</f>
        <v>Preserve SafeSqlValidator/editor behaviour and tests.</v>
      </c>
      <c r="M93" s="32" t="str">
        <f>IF(INDEX(Backlog!$AO$2:$AO$188,MATCH($D93,Backlog!$A$2:$A$188,0))="","",INDEX(Backlog!$AO$2:$AO$188,MATCH($D93,Backlog!$A$2:$A$188,0)))</f>
        <v>Recorded closed — inherited evidence</v>
      </c>
      <c r="N93" s="32" t="str">
        <f>IF(INDEX(Backlog!$AN$2:$AN$188,MATCH($D93,Backlog!$A$2:$A$188,0))="","",INDEX(Backlog!$AN$2:$AN$188,MATCH($D93,Backlog!$A$2:$A$188,0)))</f>
        <v/>
      </c>
    </row>
    <row r="94" spans="1:14" ht="26.1" customHeight="1">
      <c r="A94" s="38" t="str">
        <f>IF(INDEX(Backlog!$L$2:$L$188,MATCH($D94,Backlog!$A$2:$A$188,0))="","",INDEX(Backlog!$L$2:$L$188,MATCH($D94,Backlog!$A$2:$A$188,0)))</f>
        <v>Worker 2</v>
      </c>
      <c r="B94" s="38" t="str">
        <f>IF(INDEX(Backlog!$B$2:$B$188,MATCH($D94,Backlog!$A$2:$A$188,0))="","",INDEX(Backlog!$B$2:$B$188,MATCH($D94,Backlog!$A$2:$A$188,0)))</f>
        <v>M2</v>
      </c>
      <c r="C94" s="38" t="str">
        <f>IF(INDEX(Backlog!$C$2:$C$188,MATCH($D94,Backlog!$A$2:$A$188,0))="","",INDEX(Backlog!$C$2:$C$188,MATCH($D94,Backlog!$A$2:$A$188,0)))</f>
        <v>P2</v>
      </c>
      <c r="D94" s="38" t="s">
        <v>723</v>
      </c>
      <c r="E94" s="38" t="str">
        <f>IF(INDEX(Backlog!$D$2:$D$188,MATCH($D94,Backlog!$A$2:$A$188,0))="","",INDEX(Backlog!$D$2:$D$188,MATCH($D94,Backlog!$A$2:$A$188,0)))</f>
        <v>Canvas-to-job compilation, binding, run monitor and per-block evidence</v>
      </c>
      <c r="F94" s="70" t="str">
        <f>IF(INDEX(Backlog!$K$2:$K$188,MATCH($D94,Backlog!$A$2:$A$188,0))="","",INDEX(Backlog!$K$2:$K$188,MATCH($D94,Backlog!$A$2:$A$188,0)))</f>
        <v>Not Started</v>
      </c>
      <c r="G94" s="38">
        <f>IF(ISNUMBER(INDEX(Backlog!$AS$2:$AS$188,MATCH($D94,Backlog!$A$2:$A$188,0))),INDEX(Backlog!$AS$2:$AS$188,MATCH($D94,Backlog!$A$2:$A$188,0)),"")</f>
        <v>12</v>
      </c>
      <c r="H94" s="38">
        <f>IF(ISNUMBER(INDEX(Backlog!$AT$2:$AT$188,MATCH($D94,Backlog!$A$2:$A$188,0))),INDEX(Backlog!$AT$2:$AT$188,MATCH($D94,Backlog!$A$2:$A$188,0)),"")</f>
        <v>5.0999999999999996</v>
      </c>
      <c r="I94" s="38" t="str">
        <f>IF(INDEX(Backlog!$M$2:$M$188,MATCH($D94,Backlog!$A$2:$A$188,0))="","",INDEX(Backlog!$M$2:$M$188,MATCH($D94,Backlog!$A$2:$A$188,0)))</f>
        <v>T-243; T-244; T-106; T-261; T-262</v>
      </c>
      <c r="J94" s="38" t="str">
        <f>IF(INDEX(Backlog!$T$2:$T$188,MATCH($D94,Backlog!$A$2:$A$188,0))="","",INDEX(Backlog!$T$2:$T$188,MATCH($D94,Backlog!$A$2:$A$188,0)))</f>
        <v>QUEUED after T-261 closure; current mutation sequence is T-099 → T-100 → T-261 → T-245. T-245 consumes the proven executor/runtime and per-block evidence, never recreates them. Retain all listed canonical prerequisite contracts.</v>
      </c>
      <c r="K94" s="38" t="str">
        <f>IF(INDEX(Backlog!$U$2:$U$188,MATCH($D94,Backlog!$A$2:$A$188,0))="","",INDEX(Backlog!$U$2:$U$188,MATCH($D94,Backlog!$A$2:$A$188,0)))</f>
        <v>Canvas compiler/job binding + run monitor only.</v>
      </c>
      <c r="L94" s="38" t="str">
        <f>IF(INDEX(Backlog!$V$2:$V$188,MATCH($D94,Backlog!$A$2:$A$188,0))="","",INDEX(Backlog!$V$2:$V$188,MATCH($D94,Backlog!$A$2:$A$188,0)))</f>
        <v>T-106 remains job policy authority.</v>
      </c>
      <c r="M94" s="32" t="str">
        <f>IF(INDEX(Backlog!$AO$2:$AO$188,MATCH($D94,Backlog!$A$2:$A$188,0))="","",INDEX(Backlog!$AO$2:$AO$188,MATCH($D94,Backlog!$A$2:$A$188,0)))</f>
        <v>QUEUED — T-261 NOT CLOSED; NO NEW IMPLEMENTATION OR LIVE RUN CLAIM</v>
      </c>
      <c r="N94" s="32" t="str">
        <f>IF(INDEX(Backlog!$AN$2:$AN$188,MATCH($D94,Backlog!$A$2:$A$188,0))="","",INDEX(Backlog!$AN$2:$AN$188,MATCH($D94,Backlog!$A$2:$A$188,0)))</f>
        <v/>
      </c>
    </row>
    <row r="95" spans="1:14" ht="26.1" customHeight="1">
      <c r="A95" s="38" t="str">
        <f>IF(INDEX(Backlog!$L$2:$L$188,MATCH($D95,Backlog!$A$2:$A$188,0))="","",INDEX(Backlog!$L$2:$L$188,MATCH($D95,Backlog!$A$2:$A$188,0)))</f>
        <v>Worker 2</v>
      </c>
      <c r="B95" s="38" t="str">
        <f>IF(INDEX(Backlog!$B$2:$B$188,MATCH($D95,Backlog!$A$2:$A$188,0))="","",INDEX(Backlog!$B$2:$B$188,MATCH($D95,Backlog!$A$2:$A$188,0)))</f>
        <v>M2</v>
      </c>
      <c r="C95" s="38" t="str">
        <f>IF(INDEX(Backlog!$C$2:$C$188,MATCH($D95,Backlog!$A$2:$A$188,0))="","",INDEX(Backlog!$C$2:$C$188,MATCH($D95,Backlog!$A$2:$A$188,0)))</f>
        <v>P2</v>
      </c>
      <c r="D95" s="38" t="s">
        <v>737</v>
      </c>
      <c r="E95" s="38" t="str">
        <f>IF(INDEX(Backlog!$D$2:$D$188,MATCH($D95,Backlog!$A$2:$A$188,0))="","",INDEX(Backlog!$D$2:$D$188,MATCH($D95,Backlog!$A$2:$A$188,0)))</f>
        <v>First-customer Day-1 Golden Journey and same-binary onboarding proof</v>
      </c>
      <c r="F95" s="70" t="str">
        <f>IF(INDEX(Backlog!$K$2:$K$188,MATCH($D95,Backlog!$A$2:$A$188,0))="","",INDEX(Backlog!$K$2:$K$188,MATCH($D95,Backlog!$A$2:$A$188,0)))</f>
        <v>Not Started</v>
      </c>
      <c r="G95" s="38">
        <f>IF(ISNUMBER(INDEX(Backlog!$AS$2:$AS$188,MATCH($D95,Backlog!$A$2:$A$188,0))),INDEX(Backlog!$AS$2:$AS$188,MATCH($D95,Backlog!$A$2:$A$188,0)),"")</f>
        <v>12</v>
      </c>
      <c r="H95" s="38">
        <f>IF(ISNUMBER(INDEX(Backlog!$AT$2:$AT$188,MATCH($D95,Backlog!$A$2:$A$188,0))),INDEX(Backlog!$AT$2:$AT$188,MATCH($D95,Backlog!$A$2:$A$188,0)),"")</f>
        <v>5.0999999999999996</v>
      </c>
      <c r="I95" s="38" t="str">
        <f>IF(INDEX(Backlog!$M$2:$M$188,MATCH($D95,Backlog!$A$2:$A$188,0))="","",INDEX(Backlog!$M$2:$M$188,MATCH($D95,Backlog!$A$2:$A$188,0)))</f>
        <v>T-092; T-207; T-212; T-213; T-241; T-242; T-243; T-244; T-245; T-253; T-254; T-256; T-258; T-104; T-108; T-211; T-235; T-262; T-125; T-265; T-266; T-274</v>
      </c>
      <c r="J95" s="38" t="str">
        <f>IF(INDEX(Backlog!$T$2:$T$188,MATCH($D95,Backlog!$A$2:$A$188,0))="","",INDEX(Backlog!$T$2:$T$188,MATCH($D95,Backlog!$A$2:$A$188,0)))</f>
        <v>T-213 complete + T-092 green.
v2.22.1 — Completion prerequisites are the task IDs in column M; contract-only predecessors, if any, are exclusively in column AN. Do not use the rejected v2.22.0 positional columns.</v>
      </c>
      <c r="K95" s="38" t="str">
        <f>IF(INDEX(Backlog!$U$2:$U$188,MATCH($D95,Backlog!$A$2:$A$188,0))="","",INDEX(Backlog!$U$2:$U$188,MATCH($D95,Backlog!$A$2:$A$188,0)))</f>
        <v>Configuration/mapping/registry definitions and customer-shaped demo profile; no product source files unless a generic defect is found.</v>
      </c>
      <c r="L95" s="38" t="str">
        <f>IF(INDEX(Backlog!$V$2:$V$188,MATCH($D95,Backlog!$A$2:$A$188,0))="","",INDEX(Backlog!$V$2:$V$188,MATCH($D95,Backlog!$A$2:$A$188,0)))</f>
        <v>If onboarding requires C#/TypeScript/product-SQL changes, stop and raise a generic product gap; do not patch around it.</v>
      </c>
      <c r="M95" s="32" t="str">
        <f>IF(INDEX(Backlog!$AO$2:$AO$188,MATCH($D95,Backlog!$A$2:$A$188,0))="","",INDEX(Backlog!$AO$2:$AO$188,MATCH($D95,Backlog!$A$2:$A$188,0)))</f>
        <v>Not started — no completion claimed</v>
      </c>
      <c r="N95" s="32" t="str">
        <f>IF(INDEX(Backlog!$AN$2:$AN$188,MATCH($D95,Backlog!$A$2:$A$188,0))="","",INDEX(Backlog!$AN$2:$AN$188,MATCH($D95,Backlog!$A$2:$A$188,0)))</f>
        <v/>
      </c>
    </row>
    <row r="96" spans="1:14" ht="26.1" customHeight="1">
      <c r="A96" s="38" t="str">
        <f>IF(INDEX(Backlog!$L$2:$L$188,MATCH($D96,Backlog!$A$2:$A$188,0))="","",INDEX(Backlog!$L$2:$L$188,MATCH($D96,Backlog!$A$2:$A$188,0)))</f>
        <v>Worker 2</v>
      </c>
      <c r="B96" s="38" t="str">
        <f>IF(INDEX(Backlog!$B$2:$B$188,MATCH($D96,Backlog!$A$2:$A$188,0))="","",INDEX(Backlog!$B$2:$B$188,MATCH($D96,Backlog!$A$2:$A$188,0)))</f>
        <v>M2</v>
      </c>
      <c r="C96" s="38" t="str">
        <f>IF(INDEX(Backlog!$C$2:$C$188,MATCH($D96,Backlog!$A$2:$A$188,0))="","",INDEX(Backlog!$C$2:$C$188,MATCH($D96,Backlog!$A$2:$A$188,0)))</f>
        <v>P2</v>
      </c>
      <c r="D96" s="38" t="s">
        <v>749</v>
      </c>
      <c r="E96" s="38" t="str">
        <f>IF(INDEX(Backlog!$D$2:$D$188,MATCH($D96,Backlog!$A$2:$A$188,0))="","",INDEX(Backlog!$D$2:$D$188,MATCH($D96,Backlog!$A$2:$A$188,0)))</f>
        <v>Shared authoring governed output-target canonical-content contract</v>
      </c>
      <c r="F96" s="70" t="str">
        <f>IF(INDEX(Backlog!$K$2:$K$188,MATCH($D96,Backlog!$A$2:$A$188,0))="","",INDEX(Backlog!$K$2:$K$188,MATCH($D96,Backlog!$A$2:$A$188,0)))</f>
        <v>Done</v>
      </c>
      <c r="G96" s="38">
        <f>IF(ISNUMBER(INDEX(Backlog!$AS$2:$AS$188,MATCH($D96,Backlog!$A$2:$A$188,0))),INDEX(Backlog!$AS$2:$AS$188,MATCH($D96,Backlog!$A$2:$A$188,0)),"")</f>
        <v>12</v>
      </c>
      <c r="H96" s="38">
        <f>IF(ISNUMBER(INDEX(Backlog!$AT$2:$AT$188,MATCH($D96,Backlog!$A$2:$A$188,0))),INDEX(Backlog!$AT$2:$AT$188,MATCH($D96,Backlog!$A$2:$A$188,0)),"")</f>
        <v>4.8</v>
      </c>
      <c r="I96" s="38" t="str">
        <f>IF(INDEX(Backlog!$M$2:$M$188,MATCH($D96,Backlog!$A$2:$A$188,0))="","",INDEX(Backlog!$M$2:$M$188,MATCH($D96,Backlog!$A$2:$A$188,0)))</f>
        <v>T-094; T-209; T-241; T-244</v>
      </c>
      <c r="J96" s="38" t="str">
        <f>IF(INDEX(Backlog!$T$2:$T$188,MATCH($D96,Backlog!$A$2:$A$188,0))="","",INDEX(Backlog!$T$2:$T$188,MATCH($D96,Backlog!$A$2:$A$188,0)))</f>
        <v>CLOSED BASELINE — no new start gate and no re-execution implied. Preserve accepted closure and clean owned scope; reopen only on a concrete, separately recorded regression. Downstream consumes the frozen contract.</v>
      </c>
      <c r="K96" s="38" t="str">
        <f>IF(INDEX(Backlog!$U$2:$U$188,MATCH($D96,Backlog!$A$2:$A$188,0))="","",INDEX(Backlog!$U$2:$U$188,MATCH($D96,Backlog!$A$2:$A$188,0)))</f>
        <v>Owned T-253 surfaces only: Frontend shared authoring shell + canvas API adapter + focused authoring tests; Backend CanvasDefinitionContent / Canvas lifecycle contracts+implementation/response path; ICanonicalEntityCatalog interface+implementation; the semantic `ICanonicalProjectionTarget` marker interface and the minimum existing canonical entity declarations needed to mark current legitimate targets; existing AuthoringSupport read endpoint group; focused backend/architecture tests. No DB topology/migrations, no MappingDefinitionService.AllowedTargetEntities edit, no Analysis Subject redesign, no Job runtime, no chart/page styling.</v>
      </c>
      <c r="L96" s="38" t="str">
        <f>IF(INDEX(Backlog!$V$2:$V$188,MATCH($D96,Backlog!$A$2:$A$188,0))="","",INDEX(Backlog!$V$2:$V$188,MATCH($D96,Backlog!$A$2:$A$188,0)))</f>
        <v>Canonical outputTarget namespace is canonical entity name, but picker eligibility is a separate explicit model-sourced capability. Root outputTarget is hashed representation-independent authority; graph.targetEntity is compatibility data and must agree on new writes. Do not expose all mapped entities and do not use schema as the sole eligibility predicate. T-243 consumes this contract; T-256 later removes the old MappingDefinitionService string allowlist by consuming the same capability.</v>
      </c>
      <c r="M96" s="32" t="str">
        <f>IF(INDEX(Backlog!$AO$2:$AO$188,MATCH($D96,Backlog!$A$2:$A$188,0))="","",INDEX(Backlog!$AO$2:$AO$188,MATCH($D96,Backlog!$A$2:$A$188,0)))</f>
        <v>Recorded closed — inherited evidence</v>
      </c>
      <c r="N96" s="32" t="str">
        <f>IF(INDEX(Backlog!$AN$2:$AN$188,MATCH($D96,Backlog!$A$2:$A$188,0))="","",INDEX(Backlog!$AN$2:$AN$188,MATCH($D96,Backlog!$A$2:$A$188,0)))</f>
        <v/>
      </c>
    </row>
    <row r="97" spans="1:14" ht="26.1" customHeight="1">
      <c r="A97" s="38" t="str">
        <f>IF(INDEX(Backlog!$L$2:$L$188,MATCH($D97,Backlog!$A$2:$A$188,0))="","",INDEX(Backlog!$L$2:$L$188,MATCH($D97,Backlog!$A$2:$A$188,0)))</f>
        <v>Worker 2</v>
      </c>
      <c r="B97" s="38" t="str">
        <f>IF(INDEX(Backlog!$B$2:$B$188,MATCH($D97,Backlog!$A$2:$A$188,0))="","",INDEX(Backlog!$B$2:$B$188,MATCH($D97,Backlog!$A$2:$A$188,0)))</f>
        <v>M2</v>
      </c>
      <c r="C97" s="38" t="str">
        <f>IF(INDEX(Backlog!$C$2:$C$188,MATCH($D97,Backlog!$A$2:$A$188,0))="","",INDEX(Backlog!$C$2:$C$188,MATCH($D97,Backlog!$A$2:$A$188,0)))</f>
        <v>P2</v>
      </c>
      <c r="D97" s="38" t="s">
        <v>759</v>
      </c>
      <c r="E97" s="38" t="str">
        <f>IF(INDEX(Backlog!$D$2:$D$188,MATCH($D97,Backlog!$A$2:$A$188,0))="","",INDEX(Backlog!$D$2:$D$188,MATCH($D97,Backlog!$A$2:$A$188,0)))</f>
        <v>Customer-facing connector capability truth convergence</v>
      </c>
      <c r="F97" s="70" t="str">
        <f>IF(INDEX(Backlog!$K$2:$K$188,MATCH($D97,Backlog!$A$2:$A$188,0))="","",INDEX(Backlog!$K$2:$K$188,MATCH($D97,Backlog!$A$2:$A$188,0)))</f>
        <v>In Progress</v>
      </c>
      <c r="G97" s="38" t="str">
        <f>IF(ISNUMBER(INDEX(Backlog!$AS$2:$AS$188,MATCH($D97,Backlog!$A$2:$A$188,0))),INDEX(Backlog!$AS$2:$AS$188,MATCH($D97,Backlog!$A$2:$A$188,0)),"")</f>
        <v/>
      </c>
      <c r="H97" s="38" t="str">
        <f>IF(ISNUMBER(INDEX(Backlog!$AT$2:$AT$188,MATCH($D97,Backlog!$A$2:$A$188,0))),INDEX(Backlog!$AT$2:$AT$188,MATCH($D97,Backlog!$A$2:$A$188,0)),"")</f>
        <v/>
      </c>
      <c r="I97" s="38" t="str">
        <f>IF(INDEX(Backlog!$M$2:$M$188,MATCH($D97,Backlog!$A$2:$A$188,0))="","",INDEX(Backlog!$M$2:$M$188,MATCH($D97,Backlog!$A$2:$A$188,0)))</f>
        <v>T-207</v>
      </c>
      <c r="J97" s="38" t="str">
        <f>IF(INDEX(Backlog!$T$2:$T$188,MATCH($D97,Backlog!$A$2:$A$188,0))="","",INDEX(Backlog!$T$2:$T$188,MATCH($D97,Backlog!$A$2:$A$188,0)))</f>
        <v>Original UI/website convergence is frozen at f8a35725. Only the v2.22 backend-provider-authority delta is outstanding. Consume T-207 and existing contracts on disjoint paths; column M remains the completion-prerequisite list. This is not permission to redo the closed UI/website scope.</v>
      </c>
      <c r="K97" s="38" t="str">
        <f>IF(INDEX(Backlog!$U$2:$U$188,MATCH($D97,Backlog!$A$2:$A$188,0))="","",INDEX(Backlog!$U$2:$U$188,MATCH($D97,Backlog!$A$2:$A$188,0)))</f>
        <v>Frontend DB configuration capability rendering + generated website proof adapter/content only. No connector protocol implementation.</v>
      </c>
      <c r="L97" s="38" t="str">
        <f>IF(INDEX(Backlog!$V$2:$V$188,MATCH($D97,Backlog!$A$2:$A$188,0))="","",INDEX(Backlog!$V$2:$V$188,MATCH($D97,Backlog!$A$2:$A$188,0)))</f>
        <v>T-153 later changes certification state by executed real-source evidence; UI/website consume the same truth automatically.</v>
      </c>
      <c r="M97" s="32" t="str">
        <f>IF(INDEX(Backlog!$AO$2:$AO$188,MATCH($D97,Backlog!$A$2:$A$188,0))="","",INDEX(Backlog!$AO$2:$AO$188,MATCH($D97,Backlog!$A$2:$A$188,0)))</f>
        <v>BASELINE CLOSED GREEN / FROZEN; LATER BACKEND EXTENSION UNPROVEN</v>
      </c>
      <c r="N97" s="32" t="str">
        <f>IF(INDEX(Backlog!$AN$2:$AN$188,MATCH($D97,Backlog!$A$2:$A$188,0))="","",INDEX(Backlog!$AN$2:$AN$188,MATCH($D97,Backlog!$A$2:$A$188,0)))</f>
        <v/>
      </c>
    </row>
    <row r="98" spans="1:14" ht="26.1" customHeight="1">
      <c r="A98" s="38" t="str">
        <f>IF(INDEX(Backlog!$L$2:$L$188,MATCH($D98,Backlog!$A$2:$A$188,0))="","",INDEX(Backlog!$L$2:$L$188,MATCH($D98,Backlog!$A$2:$A$188,0)))</f>
        <v>Worker 2</v>
      </c>
      <c r="B98" s="38" t="str">
        <f>IF(INDEX(Backlog!$B$2:$B$188,MATCH($D98,Backlog!$A$2:$A$188,0))="","",INDEX(Backlog!$B$2:$B$188,MATCH($D98,Backlog!$A$2:$A$188,0)))</f>
        <v>M2</v>
      </c>
      <c r="C98" s="38" t="str">
        <f>IF(INDEX(Backlog!$C$2:$C$188,MATCH($D98,Backlog!$A$2:$A$188,0))="","",INDEX(Backlog!$C$2:$C$188,MATCH($D98,Backlog!$A$2:$A$188,0)))</f>
        <v>P2</v>
      </c>
      <c r="D98" s="38" t="s">
        <v>772</v>
      </c>
      <c r="E98" s="38" t="str">
        <f>IF(INDEX(Backlog!$D$2:$D$188,MATCH($D98,Backlog!$A$2:$A$188,0))="","",INDEX(Backlog!$D$2:$D$188,MATCH($D98,Backlog!$A$2:$A$188,0)))</f>
        <v>Governed Transformation/Projection job executor and per-block runtime evidence seam</v>
      </c>
      <c r="F98" s="70" t="str">
        <f>IF(INDEX(Backlog!$K$2:$K$188,MATCH($D98,Backlog!$A$2:$A$188,0))="","",INDEX(Backlog!$K$2:$K$188,MATCH($D98,Backlog!$A$2:$A$188,0)))</f>
        <v>In Progress</v>
      </c>
      <c r="G98" s="38">
        <f>IF(ISNUMBER(INDEX(Backlog!$AS$2:$AS$188,MATCH($D98,Backlog!$A$2:$A$188,0))),INDEX(Backlog!$AS$2:$AS$188,MATCH($D98,Backlog!$A$2:$A$188,0)),"")</f>
        <v>12</v>
      </c>
      <c r="H98" s="38">
        <f>IF(ISNUMBER(INDEX(Backlog!$AT$2:$AT$188,MATCH($D98,Backlog!$A$2:$A$188,0))),INDEX(Backlog!$AT$2:$AT$188,MATCH($D98,Backlog!$A$2:$A$188,0)),"")</f>
        <v>5.0999999999999996</v>
      </c>
      <c r="I98" s="38" t="str">
        <f>IF(INDEX(Backlog!$M$2:$M$188,MATCH($D98,Backlog!$A$2:$A$188,0))="","",INDEX(Backlog!$M$2:$M$188,MATCH($D98,Backlog!$A$2:$A$188,0)))</f>
        <v>T-106; T-241; T-242; T-243; T-099; T-262; T-100</v>
      </c>
      <c r="J98" s="38" t="str">
        <f>IF(INDEX(Backlog!$T$2:$T$188,MATCH($D98,Backlog!$A$2:$A$188,0))="","",INDEX(Backlog!$T$2:$T$188,MATCH($D98,Backlog!$A$2:$A$188,0)))</f>
        <v>HELD PENDING T-100 COMMIT. Latest CENTRAL reset supersedes T-099→T-261→T-100. Current mutation order: T-099 → T-100 → T-261 → T-245. T-099 is closed frozen ancestry at ca02b40ea1b69050a45cb35a3e1d64f15b1f66af. No Worker-2 host mutation, staging, commit, final preimage hashes, final migration number, census, interim runner or re-anchoring before CENTRAL supplies the final T-100 SHA. After it arrives, one bounded delta over changed owned paths, shared DI/DbContext/topology/manifest, committed projection-validation contracts, current runtime surfaces and actual migration frontier; then re-anchor T-261. Other prerequisite acceptance remains applicable; receipt of the SHA does not itself prove runtime acceptance.</v>
      </c>
      <c r="K98" s="38" t="str">
        <f>IF(INDEX(Backlog!$U$2:$U$188,MATCH($D98,Backlog!$A$2:$A$188,0))="","",INDEX(Backlog!$U$2:$U$188,MATCH($D98,Backlog!$A$2:$A$188,0)))</f>
        <v>Worker 2 owns executor/runtime work, but holds no mutation permission until T-100 commits. Preserve the shared producer frontier; one bounded delta only after the final SHA.</v>
      </c>
      <c r="L98" s="38" t="str">
        <f>IF(INDEX(Backlog!$V$2:$V$188,MATCH($D98,Backlog!$A$2:$A$188,0))="","",INDEX(Backlog!$V$2:$V$188,MATCH($D98,Backlog!$A$2:$A$188,0)))</f>
        <v>After T-100 commits: one bounded delta, then T-261 Runner 1/2; after T-261 closes proceed to T-245. No second compiler, capability policy, run store or block-evidence authority.</v>
      </c>
      <c r="M98" s="32" t="str">
        <f>IF(INDEX(Backlog!$AO$2:$AO$188,MATCH($D98,Backlog!$A$2:$A$188,0))="","",INDEX(Backlog!$AO$2:$AO$188,MATCH($D98,Backlog!$A$2:$A$188,0)))</f>
        <v>SEMANTIC CONTRACT/PACKAGE IN PROGRESS; HOST MUTATION HELD PENDING T-100 COMMIT</v>
      </c>
      <c r="N98" s="32" t="str">
        <f>IF(INDEX(Backlog!$AN$2:$AN$188,MATCH($D98,Backlog!$A$2:$A$188,0))="","",INDEX(Backlog!$AN$2:$AN$188,MATCH($D98,Backlog!$A$2:$A$188,0)))</f>
        <v/>
      </c>
    </row>
    <row r="99" spans="1:14" ht="26.1" customHeight="1">
      <c r="A99" s="38" t="str">
        <f>IF(INDEX(Backlog!$L$2:$L$188,MATCH($D99,Backlog!$A$2:$A$188,0))="","",INDEX(Backlog!$L$2:$L$188,MATCH($D99,Backlog!$A$2:$A$188,0)))</f>
        <v>Worker 2</v>
      </c>
      <c r="B99" s="38" t="str">
        <f>IF(INDEX(Backlog!$B$2:$B$188,MATCH($D99,Backlog!$A$2:$A$188,0))="","",INDEX(Backlog!$B$2:$B$188,MATCH($D99,Backlog!$A$2:$A$188,0)))</f>
        <v>M2</v>
      </c>
      <c r="C99" s="38" t="str">
        <f>IF(INDEX(Backlog!$C$2:$C$188,MATCH($D99,Backlog!$A$2:$A$188,0))="","",INDEX(Backlog!$C$2:$C$188,MATCH($D99,Backlog!$A$2:$A$188,0)))</f>
        <v>P2</v>
      </c>
      <c r="D99" s="38" t="s">
        <v>787</v>
      </c>
      <c r="E99" s="38" t="str">
        <f>IF(INDEX(Backlog!$D$2:$D$188,MATCH($D99,Backlog!$A$2:$A$188,0))="","",INDEX(Backlog!$D$2:$D$188,MATCH($D99,Backlog!$A$2:$A$188,0)))</f>
        <v>Governed projection declaration and canonical field-binding contract</v>
      </c>
      <c r="F99" s="70" t="str">
        <f>IF(INDEX(Backlog!$K$2:$K$188,MATCH($D99,Backlog!$A$2:$A$188,0))="","",INDEX(Backlog!$K$2:$K$188,MATCH($D99,Backlog!$A$2:$A$188,0)))</f>
        <v>Done</v>
      </c>
      <c r="G99" s="38" t="str">
        <f>IF(ISNUMBER(INDEX(Backlog!$AS$2:$AS$188,MATCH($D99,Backlog!$A$2:$A$188,0))),INDEX(Backlog!$AS$2:$AS$188,MATCH($D99,Backlog!$A$2:$A$188,0)),"")</f>
        <v/>
      </c>
      <c r="H99" s="38" t="str">
        <f>IF(ISNUMBER(INDEX(Backlog!$AT$2:$AT$188,MATCH($D99,Backlog!$A$2:$A$188,0))),INDEX(Backlog!$AT$2:$AT$188,MATCH($D99,Backlog!$A$2:$A$188,0)),"")</f>
        <v/>
      </c>
      <c r="I99" s="38" t="str">
        <f>IF(INDEX(Backlog!$M$2:$M$188,MATCH($D99,Backlog!$A$2:$A$188,0))="","",INDEX(Backlog!$M$2:$M$188,MATCH($D99,Backlog!$A$2:$A$188,0)))</f>
        <v>T-253; T-243</v>
      </c>
      <c r="J99" s="38" t="str">
        <f>IF(INDEX(Backlog!$T$2:$T$188,MATCH($D99,Backlog!$A$2:$A$188,0))="","",INDEX(Backlog!$T$2:$T$188,MATCH($D99,Backlog!$A$2:$A$188,0)))</f>
        <v>Consume accepted producer contracts; remaining dependencies: T-253; T-243. No private scheduler/definition authority. Source-present is not closure proof.
v2.22.1 — Completion prerequisites are the task IDs in column M; contract-only predecessors, if any, are exclusively in column AN. Do not use the rejected v2.22.0 positional columns.</v>
      </c>
      <c r="K99" s="38" t="str">
        <f>IF(INDEX(Backlog!$U$2:$U$188,MATCH($D99,Backlog!$A$2:$A$188,0))="","",INDEX(Backlog!$U$2:$U$188,MATCH($D99,Backlog!$A$2:$A$188,0)))</f>
        <v>Semantic product filenames only. CENTRAL assigns shared file locks before overlapping worker writes.</v>
      </c>
      <c r="L99" s="38" t="str">
        <f>IF(INDEX(Backlog!$V$2:$V$188,MATCH($D99,Backlog!$A$2:$A$188,0))="","",INDEX(Backlog!$V$2:$V$188,MATCH($D99,Backlog!$A$2:$A$188,0)))</f>
        <v>Reuse current canonical authorities; no shadow lifecycle/registry/scheduler.</v>
      </c>
      <c r="M99" s="32" t="str">
        <f>IF(INDEX(Backlog!$AO$2:$AO$188,MATCH($D99,Backlog!$A$2:$A$188,0))="","",INDEX(Backlog!$AO$2:$AO$188,MATCH($D99,Backlog!$A$2:$A$188,0)))</f>
        <v>COMMITTED CONTRACT GREEN; CURRENT INTEGRATION ACCEPTANCE UNVERIFIED</v>
      </c>
      <c r="N99" s="32" t="str">
        <f>IF(INDEX(Backlog!$AN$2:$AN$188,MATCH($D99,Backlog!$A$2:$A$188,0))="","",INDEX(Backlog!$AN$2:$AN$188,MATCH($D99,Backlog!$A$2:$A$188,0)))</f>
        <v/>
      </c>
    </row>
    <row r="100" spans="1:14" ht="26.1" customHeight="1">
      <c r="A100" s="38" t="str">
        <f>IF(INDEX(Backlog!$L$2:$L$188,MATCH($D100,Backlog!$A$2:$A$188,0))="","",INDEX(Backlog!$L$2:$L$188,MATCH($D100,Backlog!$A$2:$A$188,0)))</f>
        <v>Worker 2</v>
      </c>
      <c r="B100" s="38" t="str">
        <f>IF(INDEX(Backlog!$B$2:$B$188,MATCH($D100,Backlog!$A$2:$A$188,0))="","",INDEX(Backlog!$B$2:$B$188,MATCH($D100,Backlog!$A$2:$A$188,0)))</f>
        <v>M2</v>
      </c>
      <c r="C100" s="38" t="str">
        <f>IF(INDEX(Backlog!$C$2:$C$188,MATCH($D100,Backlog!$A$2:$A$188,0))="","",INDEX(Backlog!$C$2:$C$188,MATCH($D100,Backlog!$A$2:$A$188,0)))</f>
        <v>P2</v>
      </c>
      <c r="D100" s="38" t="s">
        <v>1817</v>
      </c>
      <c r="E100" s="38" t="str">
        <f>IF(INDEX(Backlog!$D$2:$D$188,MATCH($D100,Backlog!$A$2:$A$188,0))="","",INDEX(Backlog!$D$2:$D$188,MATCH($D100,Backlog!$A$2:$A$188,0)))</f>
        <v>Release-1 Industrial Integration / OPC UI workflows and capability-truth visual handoff</v>
      </c>
      <c r="F100" s="70" t="str">
        <f>IF(INDEX(Backlog!$K$2:$K$188,MATCH($D100,Backlog!$A$2:$A$188,0))="","",INDEX(Backlog!$K$2:$K$188,MATCH($D100,Backlog!$A$2:$A$188,0)))</f>
        <v>Not Started</v>
      </c>
      <c r="G100" s="38" t="str">
        <f>IF(ISNUMBER(INDEX(Backlog!$AS$2:$AS$188,MATCH($D100,Backlog!$A$2:$A$188,0))),INDEX(Backlog!$AS$2:$AS$188,MATCH($D100,Backlog!$A$2:$A$188,0)),"")</f>
        <v/>
      </c>
      <c r="H100" s="38" t="str">
        <f>IF(ISNUMBER(INDEX(Backlog!$AT$2:$AT$188,MATCH($D100,Backlog!$A$2:$A$188,0))),INDEX(Backlog!$AT$2:$AT$188,MATCH($D100,Backlog!$A$2:$A$188,0)),"")</f>
        <v/>
      </c>
      <c r="I100" s="38" t="str">
        <f>IF(INDEX(Backlog!$M$2:$M$188,MATCH($D100,Backlog!$A$2:$A$188,0))="","",INDEX(Backlog!$M$2:$M$188,MATCH($D100,Backlog!$A$2:$A$188,0)))</f>
        <v>T-207</v>
      </c>
      <c r="J100" s="38" t="str">
        <f>IF(INDEX(Backlog!$T$2:$T$188,MATCH($D100,Backlog!$A$2:$A$188,0))="","",INDEX(Backlog!$T$2:$T$188,MATCH($D100,Backlog!$A$2:$A$188,0)))</f>
        <v>Read v4.10.3 and frozen producer contracts. Contract-ready does not require producer completion; final design acceptance requires recorded walkthrough evidence.</v>
      </c>
      <c r="K100" s="38" t="str">
        <f>IF(INDEX(Backlog!$U$2:$U$188,MATCH($D100,Backlog!$A$2:$A$188,0))="","",INDEX(Backlog!$U$2:$U$188,MATCH($D100,Backlog!$A$2:$A$188,0)))</f>
        <v>UI companion OPC scene subset only; Worker 1 reviews endpoint/security/time/spool contracts; CENTRAL merges shared UI data.</v>
      </c>
      <c r="L100" s="38" t="str">
        <f>IF(INDEX(Backlog!$V$2:$V$188,MATCH($D100,Backlog!$A$2:$A$188,0))="","",INDEX(Backlog!$V$2:$V$188,MATCH($D100,Backlog!$A$2:$A$188,0)))</f>
        <v>UI design completion is not product implementation completion. Reuse the current authorities/components; use per-surface handoffs and no shared-file concurrent writes.</v>
      </c>
      <c r="M100" s="32" t="str">
        <f>IF(INDEX(Backlog!$AO$2:$AO$188,MATCH($D100,Backlog!$A$2:$A$188,0))="","",INDEX(Backlog!$AO$2:$AO$188,MATCH($D100,Backlog!$A$2:$A$188,0)))</f>
        <v>NOT STARTED — DESIGN DELIVERY</v>
      </c>
      <c r="N100" s="32" t="str">
        <f>IF(INDEX(Backlog!$AN$2:$AN$188,MATCH($D100,Backlog!$A$2:$A$188,0))="","",INDEX(Backlog!$AN$2:$AN$188,MATCH($D100,Backlog!$A$2:$A$188,0)))</f>
        <v>T-224; T-225; T-226; T-233</v>
      </c>
    </row>
    <row r="101" spans="1:14" ht="26.1" customHeight="1">
      <c r="A101" s="38" t="str">
        <f>IF(INDEX(Backlog!$L$2:$L$188,MATCH($D101,Backlog!$A$2:$A$188,0))="","",INDEX(Backlog!$L$2:$L$188,MATCH($D101,Backlog!$A$2:$A$188,0)))</f>
        <v>Worker 2</v>
      </c>
      <c r="B101" s="38" t="str">
        <f>IF(INDEX(Backlog!$B$2:$B$188,MATCH($D101,Backlog!$A$2:$A$188,0))="","",INDEX(Backlog!$B$2:$B$188,MATCH($D101,Backlog!$A$2:$A$188,0)))</f>
        <v>M2</v>
      </c>
      <c r="C101" s="38" t="str">
        <f>IF(INDEX(Backlog!$C$2:$C$188,MATCH($D101,Backlog!$A$2:$A$188,0))="","",INDEX(Backlog!$C$2:$C$188,MATCH($D101,Backlog!$A$2:$A$188,0)))</f>
        <v>P3</v>
      </c>
      <c r="D101" s="38" t="s">
        <v>806</v>
      </c>
      <c r="E101" s="38" t="str">
        <f>IF(INDEX(Backlog!$D$2:$D$188,MATCH($D101,Backlog!$A$2:$A$188,0))="","",INDEX(Backlog!$D$2:$D$188,MATCH($D101,Backlog!$A$2:$A$188,0)))</f>
        <v>Map the 108 page files onto the 40 target pages</v>
      </c>
      <c r="F101" s="70" t="str">
        <f>IF(INDEX(Backlog!$K$2:$K$188,MATCH($D101,Backlog!$A$2:$A$188,0))="","",INDEX(Backlog!$K$2:$K$188,MATCH($D101,Backlog!$A$2:$A$188,0)))</f>
        <v>Not Started</v>
      </c>
      <c r="G101" s="38">
        <f>IF(ISNUMBER(INDEX(Backlog!$AS$2:$AS$188,MATCH($D101,Backlog!$A$2:$A$188,0))),INDEX(Backlog!$AS$2:$AS$188,MATCH($D101,Backlog!$A$2:$A$188,0)),"")</f>
        <v>8</v>
      </c>
      <c r="H101" s="38">
        <f>IF(ISNUMBER(INDEX(Backlog!$AT$2:$AT$188,MATCH($D101,Backlog!$A$2:$A$188,0))),INDEX(Backlog!$AT$2:$AT$188,MATCH($D101,Backlog!$A$2:$A$188,0)),"")</f>
        <v>1.3333333333333333</v>
      </c>
      <c r="I101" s="38" t="str">
        <f>IF(INDEX(Backlog!$M$2:$M$188,MATCH($D101,Backlog!$A$2:$A$188,0))="","",INDEX(Backlog!$M$2:$M$188,MATCH($D101,Backlog!$A$2:$A$188,0)))</f>
        <v/>
      </c>
      <c r="J101" s="38" t="str">
        <f>IF(INDEX(Backlog!$T$2:$T$188,MATCH($D101,Backlog!$A$2:$A$188,0))="","",INDEX(Backlog!$T$2:$T$188,MATCH($D101,Backlog!$A$2:$A$188,0)))</f>
        <v>R1 route inventory and six shell contracts frozen. Contract-ready handoffs from T-196/T-197/T-198/T-199/T-200 are recorded separately in column AN. Do not wait for the entire M3 implementation or ship a simulated M3 page.</v>
      </c>
      <c r="K101" s="38" t="str">
        <f>IF(INDEX(Backlog!$U$2:$U$188,MATCH($D101,Backlog!$A$2:$A$188,0))="","",INDEX(Backlog!$U$2:$U$188,MATCH($D101,Backlog!$A$2:$A$188,0)))</f>
        <v>Own route inventory/redirect cleanup only; do not touch W3 intelligence surfaces.</v>
      </c>
      <c r="L101" s="38" t="str">
        <f>IF(INDEX(Backlog!$V$2:$V$188,MATCH($D101,Backlog!$A$2:$A$188,0))="","",INDEX(Backlog!$V$2:$V$188,MATCH($D101,Backlog!$A$2:$A$188,0)))</f>
        <v>Commit before downstream consumer starts; consumer must use the contract, not redesign producer-owned semantics.
v2.22.0 dependency-kind clarification: T-196/T-197/T-198/T-199/T-200 are CONTRACT_READY predecessors for canonical route identity, permissions and unavailable-state interfaces, not full-M3-completion prerequisites for M2. Every one of the 40 target route identities remains in the inventory. M2 active surfaces must work; a deferred M3 surface must not promise executable functionality. Its implementation and runtime acceptance remain owned by the original M3 task. No M3 functionality is marked complete by T-148.</v>
      </c>
      <c r="M101" s="32" t="str">
        <f>IF(INDEX(Backlog!$AO$2:$AO$188,MATCH($D101,Backlog!$A$2:$A$188,0))="","",INDEX(Backlog!$AO$2:$AO$188,MATCH($D101,Backlog!$A$2:$A$188,0)))</f>
        <v>Not started — no completion claimed</v>
      </c>
      <c r="N101" s="32" t="str">
        <f>IF(INDEX(Backlog!$AN$2:$AN$188,MATCH($D101,Backlog!$A$2:$A$188,0))="","",INDEX(Backlog!$AN$2:$AN$188,MATCH($D101,Backlog!$A$2:$A$188,0)))</f>
        <v>T-196; T-197; T-198; T-199; T-200; T-265; T-266</v>
      </c>
    </row>
    <row r="102" spans="1:14" ht="26.1" customHeight="1">
      <c r="A102" s="38" t="str">
        <f>IF(INDEX(Backlog!$L$2:$L$188,MATCH($D102,Backlog!$A$2:$A$188,0))="","",INDEX(Backlog!$L$2:$L$188,MATCH($D102,Backlog!$A$2:$A$188,0)))</f>
        <v>Worker 2</v>
      </c>
      <c r="B102" s="38" t="str">
        <f>IF(INDEX(Backlog!$B$2:$B$188,MATCH($D102,Backlog!$A$2:$A$188,0))="","",INDEX(Backlog!$B$2:$B$188,MATCH($D102,Backlog!$A$2:$A$188,0)))</f>
        <v>M2</v>
      </c>
      <c r="C102" s="38" t="str">
        <f>IF(INDEX(Backlog!$C$2:$C$188,MATCH($D102,Backlog!$A$2:$A$188,0))="","",INDEX(Backlog!$C$2:$C$188,MATCH($D102,Backlog!$A$2:$A$188,0)))</f>
        <v>P3</v>
      </c>
      <c r="D102" s="38" t="s">
        <v>642</v>
      </c>
      <c r="E102" s="38" t="str">
        <f>IF(INDEX(Backlog!$D$2:$D$188,MATCH($D102,Backlog!$A$2:$A$188,0))="","",INDEX(Backlog!$D$2:$D$188,MATCH($D102,Backlog!$A$2:$A$188,0)))</f>
        <v>Reference gap, attainment and envelope measures in registry/BI</v>
      </c>
      <c r="F102" s="70" t="str">
        <f>IF(INDEX(Backlog!$K$2:$K$188,MATCH($D102,Backlog!$A$2:$A$188,0))="","",INDEX(Backlog!$K$2:$K$188,MATCH($D102,Backlog!$A$2:$A$188,0)))</f>
        <v>Not Started</v>
      </c>
      <c r="G102" s="38">
        <f>IF(ISNUMBER(INDEX(Backlog!$AS$2:$AS$188,MATCH($D102,Backlog!$A$2:$A$188,0))),INDEX(Backlog!$AS$2:$AS$188,MATCH($D102,Backlog!$A$2:$A$188,0)),"")</f>
        <v>10</v>
      </c>
      <c r="H102" s="38">
        <f>IF(ISNUMBER(INDEX(Backlog!$AT$2:$AT$188,MATCH($D102,Backlog!$A$2:$A$188,0))),INDEX(Backlog!$AT$2:$AT$188,MATCH($D102,Backlog!$A$2:$A$188,0)),"")</f>
        <v>4</v>
      </c>
      <c r="I102" s="38" t="str">
        <f>IF(INDEX(Backlog!$M$2:$M$188,MATCH($D102,Backlog!$A$2:$A$188,0))="","",INDEX(Backlog!$M$2:$M$188,MATCH($D102,Backlog!$A$2:$A$188,0)))</f>
        <v>T-092; T-214; T-232</v>
      </c>
      <c r="J102" s="38" t="str">
        <f>IF(INDEX(Backlog!$T$2:$T$188,MATCH($D102,Backlog!$A$2:$A$188,0))="","",INDEX(Backlog!$T$2:$T$188,MATCH($D102,Backlog!$A$2:$A$188,0)))</f>
        <v>T-092 + T-214.</v>
      </c>
      <c r="K102" s="38" t="str">
        <f>IF(INDEX(Backlog!$U$2:$U$188,MATCH($D102,Backlog!$A$2:$A$188,0))="","",INDEX(Backlog!$U$2:$U$188,MATCH($D102,Backlog!$A$2:$A$188,0)))</f>
        <v>Registry projection + query measures + widget labels.</v>
      </c>
      <c r="L102" s="38" t="str">
        <f>IF(INDEX(Backlog!$V$2:$V$188,MATCH($D102,Backlog!$A$2:$A$188,0))="","",INDEX(Backlog!$V$2:$V$188,MATCH($D102,Backlog!$A$2:$A$188,0)))</f>
        <v>Consume reference ID/version and scoring semantics; no local UI formula.</v>
      </c>
      <c r="M102" s="32" t="str">
        <f>IF(INDEX(Backlog!$AO$2:$AO$188,MATCH($D102,Backlog!$A$2:$A$188,0))="","",INDEX(Backlog!$AO$2:$AO$188,MATCH($D102,Backlog!$A$2:$A$188,0)))</f>
        <v>Not started — no completion claimed</v>
      </c>
      <c r="N102" s="32" t="str">
        <f>IF(INDEX(Backlog!$AN$2:$AN$188,MATCH($D102,Backlog!$A$2:$A$188,0))="","",INDEX(Backlog!$AN$2:$AN$188,MATCH($D102,Backlog!$A$2:$A$188,0)))</f>
        <v/>
      </c>
    </row>
    <row r="103" spans="1:14" ht="26.1" customHeight="1">
      <c r="A103" s="38" t="str">
        <f>IF(INDEX(Backlog!$L$2:$L$188,MATCH($D103,Backlog!$A$2:$A$188,0))="","",INDEX(Backlog!$L$2:$L$188,MATCH($D103,Backlog!$A$2:$A$188,0)))</f>
        <v>Worker 2</v>
      </c>
      <c r="B103" s="38" t="str">
        <f>IF(INDEX(Backlog!$B$2:$B$188,MATCH($D103,Backlog!$A$2:$A$188,0))="","",INDEX(Backlog!$B$2:$B$188,MATCH($D103,Backlog!$A$2:$A$188,0)))</f>
        <v>M2</v>
      </c>
      <c r="C103" s="38" t="str">
        <f>IF(INDEX(Backlog!$C$2:$C$188,MATCH($D103,Backlog!$A$2:$A$188,0))="","",INDEX(Backlog!$C$2:$C$188,MATCH($D103,Backlog!$A$2:$A$188,0)))</f>
        <v>P3</v>
      </c>
      <c r="D103" s="38" t="s">
        <v>833</v>
      </c>
      <c r="E103" s="38" t="str">
        <f>IF(INDEX(Backlog!$D$2:$D$188,MATCH($D103,Backlog!$A$2:$A$188,0))="","",INDEX(Backlog!$D$2:$D$188,MATCH($D103,Backlog!$A$2:$A$188,0)))</f>
        <v>D1/D4 reconciliation evidence surface and reference overlay</v>
      </c>
      <c r="F103" s="70" t="str">
        <f>IF(INDEX(Backlog!$K$2:$K$188,MATCH($D103,Backlog!$A$2:$A$188,0))="","",INDEX(Backlog!$K$2:$K$188,MATCH($D103,Backlog!$A$2:$A$188,0)))</f>
        <v>Not Started</v>
      </c>
      <c r="G103" s="38">
        <f>IF(ISNUMBER(INDEX(Backlog!$AS$2:$AS$188,MATCH($D103,Backlog!$A$2:$A$188,0))),INDEX(Backlog!$AS$2:$AS$188,MATCH($D103,Backlog!$A$2:$A$188,0)),"")</f>
        <v>10</v>
      </c>
      <c r="H103" s="38">
        <f>IF(ISNUMBER(INDEX(Backlog!$AT$2:$AT$188,MATCH($D103,Backlog!$A$2:$A$188,0))),INDEX(Backlog!$AT$2:$AT$188,MATCH($D103,Backlog!$A$2:$A$188,0)),"")</f>
        <v>4.25</v>
      </c>
      <c r="I103" s="38" t="str">
        <f>IF(INDEX(Backlog!$M$2:$M$188,MATCH($D103,Backlog!$A$2:$A$188,0))="","",INDEX(Backlog!$M$2:$M$188,MATCH($D103,Backlog!$A$2:$A$188,0)))</f>
        <v>T-219; T-220; T-215; T-203; T-204</v>
      </c>
      <c r="J103" s="38" t="str">
        <f>IF(INDEX(Backlog!$T$2:$T$188,MATCH($D103,Backlog!$A$2:$A$188,0))="","",INDEX(Backlog!$T$2:$T$188,MATCH($D103,Backlog!$A$2:$A$188,0)))</f>
        <v>T-219/T-220 result contract + T-215 + T-203/T-204. Do not create a demo-only store.</v>
      </c>
      <c r="K103" s="38" t="str">
        <f>IF(INDEX(Backlog!$U$2:$U$188,MATCH($D103,Backlog!$A$2:$A$188,0))="","",INDEX(Backlog!$U$2:$U$188,MATCH($D103,Backlog!$A$2:$A$188,0)))</f>
        <v>D1/D4 generic components only; no new oil route.</v>
      </c>
      <c r="L103" s="38" t="str">
        <f>IF(INDEX(Backlog!$V$2:$V$188,MATCH($D103,Backlog!$A$2:$A$188,0))="","",INDEX(Backlog!$V$2:$V$188,MATCH($D103,Backlog!$A$2:$A$188,0)))</f>
        <v>Use existing governed evidence/result contract. T-221 later changes persistence behind the contract without UI redesign.</v>
      </c>
      <c r="M103" s="32" t="str">
        <f>IF(INDEX(Backlog!$AO$2:$AO$188,MATCH($D103,Backlog!$A$2:$A$188,0))="","",INDEX(Backlog!$AO$2:$AO$188,MATCH($D103,Backlog!$A$2:$A$188,0)))</f>
        <v>Not started — no completion claimed</v>
      </c>
      <c r="N103" s="32" t="str">
        <f>IF(INDEX(Backlog!$AN$2:$AN$188,MATCH($D103,Backlog!$A$2:$A$188,0))="","",INDEX(Backlog!$AN$2:$AN$188,MATCH($D103,Backlog!$A$2:$A$188,0)))</f>
        <v/>
      </c>
    </row>
    <row r="104" spans="1:14" ht="26.1" customHeight="1">
      <c r="A104" s="38" t="str">
        <f>IF(INDEX(Backlog!$L$2:$L$188,MATCH($D104,Backlog!$A$2:$A$188,0))="","",INDEX(Backlog!$L$2:$L$188,MATCH($D104,Backlog!$A$2:$A$188,0)))</f>
        <v>Worker 2</v>
      </c>
      <c r="B104" s="38" t="str">
        <f>IF(INDEX(Backlog!$B$2:$B$188,MATCH($D104,Backlog!$A$2:$A$188,0))="","",INDEX(Backlog!$B$2:$B$188,MATCH($D104,Backlog!$A$2:$A$188,0)))</f>
        <v>M2</v>
      </c>
      <c r="C104" s="38" t="str">
        <f>IF(INDEX(Backlog!$C$2:$C$188,MATCH($D104,Backlog!$A$2:$A$188,0))="","",INDEX(Backlog!$C$2:$C$188,MATCH($D104,Backlog!$A$2:$A$188,0)))</f>
        <v>P3</v>
      </c>
      <c r="D104" s="38" t="s">
        <v>847</v>
      </c>
      <c r="E104" s="38" t="str">
        <f>IF(INDEX(Backlog!$D$2:$D$188,MATCH($D104,Backlog!$A$2:$A$188,0))="","",INDEX(Backlog!$D$2:$D$188,MATCH($D104,Backlog!$A$2:$A$188,0)))</f>
        <v>Frontend material-surface genericity convergence and presentation compatibility</v>
      </c>
      <c r="F104" s="70" t="str">
        <f>IF(INDEX(Backlog!$K$2:$K$188,MATCH($D104,Backlog!$A$2:$A$188,0))="","",INDEX(Backlog!$K$2:$K$188,MATCH($D104,Backlog!$A$2:$A$188,0)))</f>
        <v>Not Started</v>
      </c>
      <c r="G104" s="38">
        <f>IF(ISNUMBER(INDEX(Backlog!$AS$2:$AS$188,MATCH($D104,Backlog!$A$2:$A$188,0))),INDEX(Backlog!$AS$2:$AS$188,MATCH($D104,Backlog!$A$2:$A$188,0)),"")</f>
        <v>8</v>
      </c>
      <c r="H104" s="38">
        <f>IF(ISNUMBER(INDEX(Backlog!$AT$2:$AT$188,MATCH($D104,Backlog!$A$2:$A$188,0))),INDEX(Backlog!$AT$2:$AT$188,MATCH($D104,Backlog!$A$2:$A$188,0)),"")</f>
        <v>3.4</v>
      </c>
      <c r="I104" s="38" t="str">
        <f>IF(INDEX(Backlog!$M$2:$M$188,MATCH($D104,Backlog!$A$2:$A$188,0))="","",INDEX(Backlog!$M$2:$M$188,MATCH($D104,Backlog!$A$2:$A$188,0)))</f>
        <v>T-094; T-250; T-256</v>
      </c>
      <c r="J104" s="38" t="str">
        <f>IF(INDEX(Backlog!$T$2:$T$188,MATCH($D104,Backlog!$A$2:$A$188,0))="","",INDEX(Backlog!$T$2:$T$188,MATCH($D104,Backlog!$A$2:$A$188,0)))</f>
        <v>WAIT for T-256 CLOSED and its frontend-consumer handoff manifest. Then perform bounded frontend-only convergence; do not re-investigate backend genericity.</v>
      </c>
      <c r="K104" s="38" t="str">
        <f>IF(INDEX(Backlog!$U$2:$U$188,MATCH($D104,Backlog!$A$2:$A$188,0))="","",INDEX(Backlog!$U$2:$U$188,MATCH($D104,Backlog!$A$2:$A$188,0)))</f>
        <v>Frontend MaterialAnalytics/generic navigation/types/tests only. No Backend/API/DB mutation and no Canvas/Job implementation.</v>
      </c>
      <c r="L104" s="38" t="str">
        <f>IF(INDEX(Backlog!$V$2:$V$188,MATCH($D104,Backlog!$A$2:$A$188,0))="","",INDEX(Backlog!$V$2:$V$188,MATCH($D104,Backlog!$A$2:$A$188,0)))</f>
        <v>T-256 defines backend semantic/compatibility truth; T-258 consumes it. T-247 validates the same-binary customer journey and does not redesign either side.</v>
      </c>
      <c r="M104" s="32" t="str">
        <f>IF(INDEX(Backlog!$AO$2:$AO$188,MATCH($D104,Backlog!$A$2:$A$188,0))="","",INDEX(Backlog!$AO$2:$AO$188,MATCH($D104,Backlog!$A$2:$A$188,0)))</f>
        <v>Not started — no completion claimed</v>
      </c>
      <c r="N104" s="32" t="str">
        <f>IF(INDEX(Backlog!$AN$2:$AN$188,MATCH($D104,Backlog!$A$2:$A$188,0))="","",INDEX(Backlog!$AN$2:$AN$188,MATCH($D104,Backlog!$A$2:$A$188,0)))</f>
        <v/>
      </c>
    </row>
    <row r="105" spans="1:14" ht="26.1" customHeight="1">
      <c r="A105" s="38" t="str">
        <f>IF(INDEX(Backlog!$L$2:$L$188,MATCH($D105,Backlog!$A$2:$A$188,0))="","",INDEX(Backlog!$L$2:$L$188,MATCH($D105,Backlog!$A$2:$A$188,0)))</f>
        <v>Worker 2</v>
      </c>
      <c r="B105" s="38" t="str">
        <f>IF(INDEX(Backlog!$B$2:$B$188,MATCH($D105,Backlog!$A$2:$A$188,0))="","",INDEX(Backlog!$B$2:$B$188,MATCH($D105,Backlog!$A$2:$A$188,0)))</f>
        <v>M2</v>
      </c>
      <c r="C105" s="38" t="str">
        <f>IF(INDEX(Backlog!$C$2:$C$188,MATCH($D105,Backlog!$A$2:$A$188,0))="","",INDEX(Backlog!$C$2:$C$188,MATCH($D105,Backlog!$A$2:$A$188,0)))</f>
        <v>P3</v>
      </c>
      <c r="D105" s="38" t="s">
        <v>1791</v>
      </c>
      <c r="E105" s="38" t="str">
        <f>IF(INDEX(Backlog!$D$2:$D$188,MATCH($D105,Backlog!$A$2:$A$188,0))="","",INDEX(Backlog!$D$2:$D$188,MATCH($D105,Backlog!$A$2:$A$188,0)))</f>
        <v>Release-1 UI design depth, workflow and illustrated-companion convergence</v>
      </c>
      <c r="F105" s="70" t="str">
        <f>IF(INDEX(Backlog!$K$2:$K$188,MATCH($D105,Backlog!$A$2:$A$188,0))="","",INDEX(Backlog!$K$2:$K$188,MATCH($D105,Backlog!$A$2:$A$188,0)))</f>
        <v>Not Started</v>
      </c>
      <c r="G105" s="38" t="str">
        <f>IF(ISNUMBER(INDEX(Backlog!$AS$2:$AS$188,MATCH($D105,Backlog!$A$2:$A$188,0))),INDEX(Backlog!$AS$2:$AS$188,MATCH($D105,Backlog!$A$2:$A$188,0)),"")</f>
        <v/>
      </c>
      <c r="H105" s="38" t="str">
        <f>IF(ISNUMBER(INDEX(Backlog!$AT$2:$AT$188,MATCH($D105,Backlog!$A$2:$A$188,0))),INDEX(Backlog!$AT$2:$AT$188,MATCH($D105,Backlog!$A$2:$A$188,0)),"")</f>
        <v/>
      </c>
      <c r="I105" s="38" t="str">
        <f>IF(INDEX(Backlog!$M$2:$M$188,MATCH($D105,Backlog!$A$2:$A$188,0))="","",INDEX(Backlog!$M$2:$M$188,MATCH($D105,Backlog!$A$2:$A$188,0)))</f>
        <v/>
      </c>
      <c r="J105" s="38" t="str">
        <f>IF(INDEX(Backlog!$T$2:$T$188,MATCH($D105,Backlog!$A$2:$A$188,0))="","",INDEX(Backlog!$T$2:$T$188,MATCH($D105,Backlog!$A$2:$A$188,0)))</f>
        <v>Read v4.10.3 and frozen producer contracts. Contract-ready does not require producer completion; final design acceptance requires recorded walkthrough evidence.</v>
      </c>
      <c r="K105" s="38" t="str">
        <f>IF(INDEX(Backlog!$U$2:$U$188,MATCH($D105,Backlog!$A$2:$A$188,0))="","",INDEX(Backlog!$U$2:$U$188,MATCH($D105,Backlog!$A$2:$A$188,0)))</f>
        <v>UI companion: non-OPC M2 scenes + Chapter 3/4 reading-edition assets. CENTRAL alone merges shared tokens/data/atlas; no product source lock.</v>
      </c>
      <c r="L105" s="38" t="str">
        <f>IF(INDEX(Backlog!$V$2:$V$188,MATCH($D105,Backlog!$A$2:$A$188,0))="","",INDEX(Backlog!$V$2:$V$188,MATCH($D105,Backlog!$A$2:$A$188,0)))</f>
        <v>UI design completion is not product implementation completion. Reuse the current authorities/components; use per-surface handoffs and no shared-file concurrent writes.</v>
      </c>
      <c r="M105" s="32" t="str">
        <f>IF(INDEX(Backlog!$AO$2:$AO$188,MATCH($D105,Backlog!$A$2:$A$188,0))="","",INDEX(Backlog!$AO$2:$AO$188,MATCH($D105,Backlog!$A$2:$A$188,0)))</f>
        <v>NOT STARTED — DESIGN DELIVERY</v>
      </c>
      <c r="N105" s="32" t="str">
        <f>IF(INDEX(Backlog!$AN$2:$AN$188,MATCH($D105,Backlog!$A$2:$A$188,0))="","",INDEX(Backlog!$AN$2:$AN$188,MATCH($D105,Backlog!$A$2:$A$188,0)))</f>
        <v>T-099; T-106; T-253; T-262; T-101; T-125</v>
      </c>
    </row>
    <row r="106" spans="1:14" ht="26.1" customHeight="1">
      <c r="A106" s="38" t="str">
        <f>IF(INDEX(Backlog!$L$2:$L$188,MATCH($D106,Backlog!$A$2:$A$188,0))="","",INDEX(Backlog!$L$2:$L$188,MATCH($D106,Backlog!$A$2:$A$188,0)))</f>
        <v>Worker 2</v>
      </c>
      <c r="B106" s="38" t="str">
        <f>IF(INDEX(Backlog!$B$2:$B$188,MATCH($D106,Backlog!$A$2:$A$188,0))="","",INDEX(Backlog!$B$2:$B$188,MATCH($D106,Backlog!$A$2:$A$188,0)))</f>
        <v>M2</v>
      </c>
      <c r="C106" s="38" t="str">
        <f>IF(INDEX(Backlog!$C$2:$C$188,MATCH($D106,Backlog!$A$2:$A$188,0))="","",INDEX(Backlog!$C$2:$C$188,MATCH($D106,Backlog!$A$2:$A$188,0)))</f>
        <v>P4</v>
      </c>
      <c r="D106" s="38" t="s">
        <v>1088</v>
      </c>
      <c r="E106" s="38" t="str">
        <f>IF(INDEX(Backlog!$D$2:$D$188,MATCH($D106,Backlog!$A$2:$A$188,0))="","",INDEX(Backlog!$D$2:$D$188,MATCH($D106,Backlog!$A$2:$A$188,0)))</f>
        <v>Operational Period Driver Decomposition exact API and evidence tool</v>
      </c>
      <c r="F106" s="70" t="str">
        <f>IF(INDEX(Backlog!$K$2:$K$188,MATCH($D106,Backlog!$A$2:$A$188,0))="","",INDEX(Backlog!$K$2:$K$188,MATCH($D106,Backlog!$A$2:$A$188,0)))</f>
        <v>Not Started</v>
      </c>
      <c r="G106" s="38">
        <f>IF(ISNUMBER(INDEX(Backlog!$AS$2:$AS$188,MATCH($D106,Backlog!$A$2:$A$188,0))),INDEX(Backlog!$AS$2:$AS$188,MATCH($D106,Backlog!$A$2:$A$188,0)),"")</f>
        <v>10</v>
      </c>
      <c r="H106" s="38">
        <f>IF(ISNUMBER(INDEX(Backlog!$AT$2:$AT$188,MATCH($D106,Backlog!$A$2:$A$188,0))),INDEX(Backlog!$AT$2:$AT$188,MATCH($D106,Backlog!$A$2:$A$188,0)),"")</f>
        <v>4.25</v>
      </c>
      <c r="I106" s="38" t="str">
        <f>IF(INDEX(Backlog!$M$2:$M$188,MATCH($D106,Backlog!$A$2:$A$188,0))="","",INDEX(Backlog!$M$2:$M$188,MATCH($D106,Backlog!$A$2:$A$188,0)))</f>
        <v>T-092; T-235</v>
      </c>
      <c r="J106" s="38" t="str">
        <f>IF(INDEX(Backlog!$T$2:$T$188,MATCH($D106,Backlog!$A$2:$A$188,0))="","",INDEX(Backlog!$T$2:$T$188,MATCH($D106,Backlog!$A$2:$A$188,0)))</f>
        <v>T-092 + T-235; can run in parallel with T-222 on separate files.</v>
      </c>
      <c r="K106" s="38" t="str">
        <f>IF(INDEX(Backlog!$U$2:$U$188,MATCH($D106,Backlog!$A$2:$A$188,0))="","",INDEX(Backlog!$U$2:$U$188,MATCH($D106,Backlog!$A$2:$A$188,0)))</f>
        <v>Layer-A period comparison API/evidence only.</v>
      </c>
      <c r="L106" s="38" t="str">
        <f>IF(INDEX(Backlog!$V$2:$V$188,MATCH($D106,Backlog!$A$2:$A$188,0))="","",INDEX(Backlog!$V$2:$V$188,MATCH($D106,Backlog!$A$2:$A$188,0)))</f>
        <v>T-138/T-164 may consume the stable contract; neither may duplicate calculations.</v>
      </c>
      <c r="M106" s="32" t="str">
        <f>IF(INDEX(Backlog!$AO$2:$AO$188,MATCH($D106,Backlog!$A$2:$A$188,0))="","",INDEX(Backlog!$AO$2:$AO$188,MATCH($D106,Backlog!$A$2:$A$188,0)))</f>
        <v>Not started — no completion claimed</v>
      </c>
      <c r="N106" s="32" t="str">
        <f>IF(INDEX(Backlog!$AN$2:$AN$188,MATCH($D106,Backlog!$A$2:$A$188,0))="","",INDEX(Backlog!$AN$2:$AN$188,MATCH($D106,Backlog!$A$2:$A$188,0)))</f>
        <v/>
      </c>
    </row>
    <row r="107" spans="1:14" ht="26.1" customHeight="1">
      <c r="A107" s="38" t="str">
        <f>IF(INDEX(Backlog!$L$2:$L$188,MATCH($D107,Backlog!$A$2:$A$188,0))="","",INDEX(Backlog!$L$2:$L$188,MATCH($D107,Backlog!$A$2:$A$188,0)))</f>
        <v>Worker 2</v>
      </c>
      <c r="B107" s="38" t="str">
        <f>IF(INDEX(Backlog!$B$2:$B$188,MATCH($D107,Backlog!$A$2:$A$188,0))="","",INDEX(Backlog!$B$2:$B$188,MATCH($D107,Backlog!$A$2:$A$188,0)))</f>
        <v>M2</v>
      </c>
      <c r="C107" s="38" t="str">
        <f>IF(INDEX(Backlog!$C$2:$C$188,MATCH($D107,Backlog!$A$2:$A$188,0))="","",INDEX(Backlog!$C$2:$C$188,MATCH($D107,Backlog!$A$2:$A$188,0)))</f>
        <v>P5</v>
      </c>
      <c r="D107" s="38" t="s">
        <v>1144</v>
      </c>
      <c r="E107" s="38" t="str">
        <f>IF(INDEX(Backlog!$D$2:$D$188,MATCH($D107,Backlog!$A$2:$A$188,0))="","",INDEX(Backlog!$D$2:$D$188,MATCH($D107,Backlog!$A$2:$A$188,0)))</f>
        <v>Users and Roles administration surface</v>
      </c>
      <c r="F107" s="70" t="str">
        <f>IF(INDEX(Backlog!$K$2:$K$188,MATCH($D107,Backlog!$A$2:$A$188,0))="","",INDEX(Backlog!$K$2:$K$188,MATCH($D107,Backlog!$A$2:$A$188,0)))</f>
        <v>Not Started</v>
      </c>
      <c r="G107" s="38">
        <f>IF(ISNUMBER(INDEX(Backlog!$AS$2:$AS$188,MATCH($D107,Backlog!$A$2:$A$188,0))),INDEX(Backlog!$AS$2:$AS$188,MATCH($D107,Backlog!$A$2:$A$188,0)),"")</f>
        <v>12</v>
      </c>
      <c r="H107" s="38">
        <f>IF(ISNUMBER(INDEX(Backlog!$AT$2:$AT$188,MATCH($D107,Backlog!$A$2:$A$188,0))),INDEX(Backlog!$AT$2:$AT$188,MATCH($D107,Backlog!$A$2:$A$188,0)),"")</f>
        <v>2</v>
      </c>
      <c r="I107" s="38" t="str">
        <f>IF(INDEX(Backlog!$M$2:$M$188,MATCH($D107,Backlog!$A$2:$A$188,0))="","",INDEX(Backlog!$M$2:$M$188,MATCH($D107,Backlog!$A$2:$A$188,0)))</f>
        <v/>
      </c>
      <c r="J107" s="38" t="str">
        <f>IF(INDEX(Backlog!$T$2:$T$188,MATCH($D107,Backlog!$A$2:$A$188,0))="","",INDEX(Backlog!$T$2:$T$188,MATCH($D107,Backlog!$A$2:$A$188,0)))</f>
        <v>Use the accepted M1 regression baseline; require empty index and clean owned paths, preserving unrelated user work. Then: Release 1 dependency order</v>
      </c>
      <c r="K107" s="38" t="str">
        <f>IF(INDEX(Backlog!$U$2:$U$188,MATCH($D107,Backlog!$A$2:$A$188,0))="","",INDEX(Backlog!$U$2:$U$188,MATCH($D107,Backlog!$A$2:$A$188,0)))</f>
        <v>Own named UI/admin task end-to-end only after producer APIs/security are committed.</v>
      </c>
      <c r="L107" s="38" t="str">
        <f>IF(INDEX(Backlog!$V$2:$V$188,MATCH($D107,Backlog!$A$2:$A$188,0))="","",INDEX(Backlog!$V$2:$V$188,MATCH($D107,Backlog!$A$2:$A$188,0)))</f>
        <v>Commit before downstream consumer starts; consumer must use the contract, not redesign producer-owned semantics.</v>
      </c>
      <c r="M107" s="32" t="str">
        <f>IF(INDEX(Backlog!$AO$2:$AO$188,MATCH($D107,Backlog!$A$2:$A$188,0))="","",INDEX(Backlog!$AO$2:$AO$188,MATCH($D107,Backlog!$A$2:$A$188,0)))</f>
        <v>Not started — no completion claimed</v>
      </c>
      <c r="N107" s="32" t="str">
        <f>IF(INDEX(Backlog!$AN$2:$AN$188,MATCH($D107,Backlog!$A$2:$A$188,0))="","",INDEX(Backlog!$AN$2:$AN$188,MATCH($D107,Backlog!$A$2:$A$188,0)))</f>
        <v/>
      </c>
    </row>
    <row r="108" spans="1:14" ht="26.1" customHeight="1">
      <c r="A108" s="38" t="str">
        <f>IF(INDEX(Backlog!$L$2:$L$188,MATCH($D108,Backlog!$A$2:$A$188,0))="","",INDEX(Backlog!$L$2:$L$188,MATCH($D108,Backlog!$A$2:$A$188,0)))</f>
        <v>Worker 2</v>
      </c>
      <c r="B108" s="38" t="str">
        <f>IF(INDEX(Backlog!$B$2:$B$188,MATCH($D108,Backlog!$A$2:$A$188,0))="","",INDEX(Backlog!$B$2:$B$188,MATCH($D108,Backlog!$A$2:$A$188,0)))</f>
        <v>M2</v>
      </c>
      <c r="C108" s="38" t="str">
        <f>IF(INDEX(Backlog!$C$2:$C$188,MATCH($D108,Backlog!$A$2:$A$188,0))="","",INDEX(Backlog!$C$2:$C$188,MATCH($D108,Backlog!$A$2:$A$188,0)))</f>
        <v>P5</v>
      </c>
      <c r="D108" s="38" t="s">
        <v>1231</v>
      </c>
      <c r="E108" s="38" t="str">
        <f>IF(INDEX(Backlog!$D$2:$D$188,MATCH($D108,Backlog!$A$2:$A$188,0))="","",INDEX(Backlog!$D$2:$D$188,MATCH($D108,Backlog!$A$2:$A$188,0)))</f>
        <v>Frontend execution-truth and release-profile skip-zero gate</v>
      </c>
      <c r="F108" s="70" t="str">
        <f>IF(INDEX(Backlog!$K$2:$K$188,MATCH($D108,Backlog!$A$2:$A$188,0))="","",INDEX(Backlog!$K$2:$K$188,MATCH($D108,Backlog!$A$2:$A$188,0)))</f>
        <v>Not Started</v>
      </c>
      <c r="G108" s="38">
        <f>IF(ISNUMBER(INDEX(Backlog!$AS$2:$AS$188,MATCH($D108,Backlog!$A$2:$A$188,0))),INDEX(Backlog!$AS$2:$AS$188,MATCH($D108,Backlog!$A$2:$A$188,0)),"")</f>
        <v>6</v>
      </c>
      <c r="H108" s="38">
        <f>IF(ISNUMBER(INDEX(Backlog!$AT$2:$AT$188,MATCH($D108,Backlog!$A$2:$A$188,0))),INDEX(Backlog!$AT$2:$AT$188,MATCH($D108,Backlog!$A$2:$A$188,0)),"")</f>
        <v>2.5499999999999998</v>
      </c>
      <c r="I108" s="38" t="str">
        <f>IF(INDEX(Backlog!$M$2:$M$188,MATCH($D108,Backlog!$A$2:$A$188,0))="","",INDEX(Backlog!$M$2:$M$188,MATCH($D108,Backlog!$A$2:$A$188,0)))</f>
        <v>T-205; T-250; T-259</v>
      </c>
      <c r="J108" s="38" t="str">
        <f>IF(INDEX(Backlog!$T$2:$T$188,MATCH($D108,Backlog!$A$2:$A$188,0))="","",INDEX(Backlog!$T$2:$T$188,MATCH($D108,Backlog!$A$2:$A$188,0)))</f>
        <v>Run on frontend test/config/report files only after current authoring lane reaches a clean handoff; no product feature scope.</v>
      </c>
      <c r="K108" s="38" t="str">
        <f>IF(INDEX(Backlog!$U$2:$U$188,MATCH($D108,Backlog!$A$2:$A$188,0))="","",INDEX(Backlog!$U$2:$U$188,MATCH($D108,Backlog!$A$2:$A$188,0)))</f>
        <v>Frontend package/test configs/gate scripts/generated-report hygiene only.</v>
      </c>
      <c r="L108" s="38" t="str">
        <f>IF(INDEX(Backlog!$V$2:$V$188,MATCH($D108,Backlog!$A$2:$A$188,0))="","",INDEX(Backlog!$V$2:$V$188,MATCH($D108,Backlog!$A$2:$A$188,0)))</f>
        <v>T-150 consumes this machine-readable release truth; T-248 later extends enterprise visual parity, not test-runner semantics.</v>
      </c>
      <c r="M108" s="32" t="str">
        <f>IF(INDEX(Backlog!$AO$2:$AO$188,MATCH($D108,Backlog!$A$2:$A$188,0))="","",INDEX(Backlog!$AO$2:$AO$188,MATCH($D108,Backlog!$A$2:$A$188,0)))</f>
        <v>Not started — no completion claimed</v>
      </c>
      <c r="N108" s="32" t="str">
        <f>IF(INDEX(Backlog!$AN$2:$AN$188,MATCH($D108,Backlog!$A$2:$A$188,0))="","",INDEX(Backlog!$AN$2:$AN$188,MATCH($D108,Backlog!$A$2:$A$188,0)))</f>
        <v/>
      </c>
    </row>
    <row r="109" spans="1:14" ht="26.1" customHeight="1">
      <c r="A109" s="38" t="str">
        <f>IF(INDEX(Backlog!$L$2:$L$188,MATCH($D109,Backlog!$A$2:$A$188,0))="","",INDEX(Backlog!$L$2:$L$188,MATCH($D109,Backlog!$A$2:$A$188,0)))</f>
        <v>Worker 2</v>
      </c>
      <c r="B109" s="38" t="str">
        <f>IF(INDEX(Backlog!$B$2:$B$188,MATCH($D109,Backlog!$A$2:$A$188,0))="","",INDEX(Backlog!$B$2:$B$188,MATCH($D109,Backlog!$A$2:$A$188,0)))</f>
        <v>M3</v>
      </c>
      <c r="C109" s="38" t="str">
        <f>IF(INDEX(Backlog!$C$2:$C$188,MATCH($D109,Backlog!$A$2:$A$188,0))="","",INDEX(Backlog!$C$2:$C$188,MATCH($D109,Backlog!$A$2:$A$188,0)))</f>
        <v>P2</v>
      </c>
      <c r="D109" s="38" t="s">
        <v>1154</v>
      </c>
      <c r="E109" s="38" t="str">
        <f>IF(INDEX(Backlog!$D$2:$D$188,MATCH($D109,Backlog!$A$2:$A$188,0))="","",INDEX(Backlog!$D$2:$D$188,MATCH($D109,Backlog!$A$2:$A$188,0)))</f>
        <v>Canonical journey regression and the Continuity comparison</v>
      </c>
      <c r="F109" s="70" t="str">
        <f>IF(INDEX(Backlog!$K$2:$K$188,MATCH($D109,Backlog!$A$2:$A$188,0))="","",INDEX(Backlog!$K$2:$K$188,MATCH($D109,Backlog!$A$2:$A$188,0)))</f>
        <v>Not Started</v>
      </c>
      <c r="G109" s="38">
        <f>IF(ISNUMBER(INDEX(Backlog!$AS$2:$AS$188,MATCH($D109,Backlog!$A$2:$A$188,0))),INDEX(Backlog!$AS$2:$AS$188,MATCH($D109,Backlog!$A$2:$A$188,0)),"")</f>
        <v>12</v>
      </c>
      <c r="H109" s="38">
        <f>IF(ISNUMBER(INDEX(Backlog!$AT$2:$AT$188,MATCH($D109,Backlog!$A$2:$A$188,0))),INDEX(Backlog!$AT$2:$AT$188,MATCH($D109,Backlog!$A$2:$A$188,0)),"")</f>
        <v>4.08</v>
      </c>
      <c r="I109" s="38" t="str">
        <f>IF(INDEX(Backlog!$M$2:$M$188,MATCH($D109,Backlog!$A$2:$A$188,0))="","",INDEX(Backlog!$M$2:$M$188,MATCH($D109,Backlog!$A$2:$A$188,0)))</f>
        <v>T-196; T-197; T-198; T-199; T-200; T-121</v>
      </c>
      <c r="J109" s="38" t="str">
        <f>IF(INDEX(Backlog!$T$2:$T$188,MATCH($D109,Backlog!$A$2:$A$188,0))="","",INDEX(Backlog!$T$2:$T$188,MATCH($D109,Backlog!$A$2:$A$188,0)))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All Release 1 canonical-core/user-visible owners complete, including T-196/T-197/T-...</v>
      </c>
      <c r="K109" s="38" t="str">
        <f>IF(INDEX(Backlog!$U$2:$U$188,MATCH($D109,Backlog!$A$2:$A$188,0))="","",INDEX(Backlog!$U$2:$U$188,MATCH($D109,Backlog!$A$2:$A$188,0)))</f>
        <v>Own named UI/admin task end-to-end only after producer APIs/security are committed.</v>
      </c>
      <c r="L109" s="38" t="str">
        <f>IF(INDEX(Backlog!$V$2:$V$188,MATCH($D109,Backlog!$A$2:$A$188,0))="","",INDEX(Backlog!$V$2:$V$188,MATCH($D109,Backlog!$A$2:$A$188,0)))</f>
        <v>Continuity green → W1 executes T-194; Release 1 release gate may close.</v>
      </c>
      <c r="M109" s="32" t="str">
        <f>IF(INDEX(Backlog!$AO$2:$AO$188,MATCH($D109,Backlog!$A$2:$A$188,0))="","",INDEX(Backlog!$AO$2:$AO$188,MATCH($D109,Backlog!$A$2:$A$188,0)))</f>
        <v>Not started — no completion claimed</v>
      </c>
      <c r="N109" s="32" t="str">
        <f>IF(INDEX(Backlog!$AN$2:$AN$188,MATCH($D109,Backlog!$A$2:$A$188,0))="","",INDEX(Backlog!$AN$2:$AN$188,MATCH($D109,Backlog!$A$2:$A$188,0)))</f>
        <v/>
      </c>
    </row>
    <row r="110" spans="1:14" ht="26.1" customHeight="1">
      <c r="A110" s="38" t="str">
        <f>IF(INDEX(Backlog!$L$2:$L$188,MATCH($D110,Backlog!$A$2:$A$188,0))="","",INDEX(Backlog!$L$2:$L$188,MATCH($D110,Backlog!$A$2:$A$188,0)))</f>
        <v>Worker 2</v>
      </c>
      <c r="B110" s="38" t="str">
        <f>IF(INDEX(Backlog!$B$2:$B$188,MATCH($D110,Backlog!$A$2:$A$188,0))="","",INDEX(Backlog!$B$2:$B$188,MATCH($D110,Backlog!$A$2:$A$188,0)))</f>
        <v>M3</v>
      </c>
      <c r="C110" s="38" t="str">
        <f>IF(INDEX(Backlog!$C$2:$C$188,MATCH($D110,Backlog!$A$2:$A$188,0))="","",INDEX(Backlog!$C$2:$C$188,MATCH($D110,Backlog!$A$2:$A$188,0)))</f>
        <v>P2</v>
      </c>
      <c r="D110" s="38" t="s">
        <v>1330</v>
      </c>
      <c r="E110" s="38" t="str">
        <f>IF(INDEX(Backlog!$D$2:$D$188,MATCH($D110,Backlog!$A$2:$A$188,0))="","",INDEX(Backlog!$D$2:$D$188,MATCH($D110,Backlog!$A$2:$A$188,0)))</f>
        <v>Delete the legacy redirects and re-verify continuity</v>
      </c>
      <c r="F110" s="70" t="str">
        <f>IF(INDEX(Backlog!$K$2:$K$188,MATCH($D110,Backlog!$A$2:$A$188,0))="","",INDEX(Backlog!$K$2:$K$188,MATCH($D110,Backlog!$A$2:$A$188,0)))</f>
        <v>Not Started</v>
      </c>
      <c r="G110" s="38">
        <f>IF(ISNUMBER(INDEX(Backlog!$AS$2:$AS$188,MATCH($D110,Backlog!$A$2:$A$188,0))),INDEX(Backlog!$AS$2:$AS$188,MATCH($D110,Backlog!$A$2:$A$188,0)),"")</f>
        <v>6</v>
      </c>
      <c r="H110" s="38">
        <f>IF(ISNUMBER(INDEX(Backlog!$AT$2:$AT$188,MATCH($D110,Backlog!$A$2:$A$188,0))),INDEX(Backlog!$AT$2:$AT$188,MATCH($D110,Backlog!$A$2:$A$188,0)),"")</f>
        <v>1</v>
      </c>
      <c r="I110" s="38" t="str">
        <f>IF(INDEX(Backlog!$M$2:$M$188,MATCH($D110,Backlog!$A$2:$A$188,0))="","",INDEX(Backlog!$M$2:$M$188,MATCH($D110,Backlog!$A$2:$A$188,0)))</f>
        <v/>
      </c>
      <c r="J110" s="38" t="str">
        <f>IF(INDEX(Backlog!$T$2:$T$188,MATCH($D110,Backlog!$A$2:$A$188,0))="","",INDEX(Backlog!$T$2:$T$188,MATCH($D110,Backlog!$A$2:$A$188,0)))</f>
        <v>M1 continuity frozen</v>
      </c>
      <c r="K110" s="38" t="str">
        <f>IF(INDEX(Backlog!$U$2:$U$188,MATCH($D110,Backlog!$A$2:$A$188,0))="","",INDEX(Backlog!$U$2:$U$188,MATCH($D110,Backlog!$A$2:$A$188,0)))</f>
        <v>Own route inventory/redirect cleanup only; do not touch W3 intelligence surfaces.</v>
      </c>
      <c r="L110" s="38" t="str">
        <f>IF(INDEX(Backlog!$V$2:$V$188,MATCH($D110,Backlog!$A$2:$A$188,0))="","",INDEX(Backlog!$V$2:$V$188,MATCH($D110,Backlog!$A$2:$A$188,0)))</f>
        <v>Commit before downstream consumer starts; consumer must use the contract, not redesign producer-owned semantics.</v>
      </c>
      <c r="M110" s="32" t="str">
        <f>IF(INDEX(Backlog!$AO$2:$AO$188,MATCH($D110,Backlog!$A$2:$A$188,0))="","",INDEX(Backlog!$AO$2:$AO$188,MATCH($D110,Backlog!$A$2:$A$188,0)))</f>
        <v>Not started — no completion claimed</v>
      </c>
      <c r="N110" s="32" t="str">
        <f>IF(INDEX(Backlog!$AN$2:$AN$188,MATCH($D110,Backlog!$A$2:$A$188,0))="","",INDEX(Backlog!$AN$2:$AN$188,MATCH($D110,Backlog!$A$2:$A$188,0)))</f>
        <v/>
      </c>
    </row>
    <row r="111" spans="1:14" ht="26.1" customHeight="1">
      <c r="A111" s="38" t="str">
        <f>IF(INDEX(Backlog!$L$2:$L$188,MATCH($D111,Backlog!$A$2:$A$188,0))="","",INDEX(Backlog!$L$2:$L$188,MATCH($D111,Backlog!$A$2:$A$188,0)))</f>
        <v>Worker 2</v>
      </c>
      <c r="B111" s="38" t="str">
        <f>IF(INDEX(Backlog!$B$2:$B$188,MATCH($D111,Backlog!$A$2:$A$188,0))="","",INDEX(Backlog!$B$2:$B$188,MATCH($D111,Backlog!$A$2:$A$188,0)))</f>
        <v>M3</v>
      </c>
      <c r="C111" s="38" t="str">
        <f>IF(INDEX(Backlog!$C$2:$C$188,MATCH($D111,Backlog!$A$2:$A$188,0))="","",INDEX(Backlog!$C$2:$C$188,MATCH($D111,Backlog!$A$2:$A$188,0)))</f>
        <v>P2</v>
      </c>
      <c r="D111" s="38" t="s">
        <v>1349</v>
      </c>
      <c r="E111" s="38" t="str">
        <f>IF(INDEX(Backlog!$D$2:$D$188,MATCH($D111,Backlog!$A$2:$A$188,0))="","",INDEX(Backlog!$D$2:$D$188,MATCH($D111,Backlog!$A$2:$A$188,0)))</f>
        <v>C4 Plant Model Explorer canonical route and structural evidence surface</v>
      </c>
      <c r="F111" s="70" t="str">
        <f>IF(INDEX(Backlog!$K$2:$K$188,MATCH($D111,Backlog!$A$2:$A$188,0))="","",INDEX(Backlog!$K$2:$K$188,MATCH($D111,Backlog!$A$2:$A$188,0)))</f>
        <v>Not Started</v>
      </c>
      <c r="G111" s="38">
        <f>IF(ISNUMBER(INDEX(Backlog!$AS$2:$AS$188,MATCH($D111,Backlog!$A$2:$A$188,0))),INDEX(Backlog!$AS$2:$AS$188,MATCH($D111,Backlog!$A$2:$A$188,0)),"")</f>
        <v>8</v>
      </c>
      <c r="H111" s="38">
        <f>IF(ISNUMBER(INDEX(Backlog!$AT$2:$AT$188,MATCH($D111,Backlog!$A$2:$A$188,0))),INDEX(Backlog!$AT$2:$AT$188,MATCH($D111,Backlog!$A$2:$A$188,0)),"")</f>
        <v>1.3333333333333333</v>
      </c>
      <c r="I111" s="38" t="str">
        <f>IF(INDEX(Backlog!$M$2:$M$188,MATCH($D111,Backlog!$A$2:$A$188,0))="","",INDEX(Backlog!$M$2:$M$188,MATCH($D111,Backlog!$A$2:$A$188,0)))</f>
        <v>T-087; T-094; T-095</v>
      </c>
      <c r="J111" s="38" t="str">
        <f>IF(INDEX(Backlog!$T$2:$T$188,MATCH($D111,Backlog!$A$2:$A$188,0))="","",INDEX(Backlog!$T$2:$T$188,MATCH($D111,Backlog!$A$2:$A$188,0)))</f>
        <v>Use the accepted M1 regression baseline; require empty index and clean owned paths, preserving unrelated user work. Then: T-087 + T-094 + T-095</v>
      </c>
      <c r="K111" s="38" t="str">
        <f>IF(INDEX(Backlog!$U$2:$U$188,MATCH($D111,Backlog!$A$2:$A$188,0))="","",INDEX(Backlog!$U$2:$U$188,MATCH($D111,Backlog!$A$2:$A$188,0)))</f>
        <v>Own named UI/admin task end-to-end only after producer APIs/security are committed.</v>
      </c>
      <c r="L111" s="38" t="str">
        <f>IF(INDEX(Backlog!$V$2:$V$188,MATCH($D111,Backlog!$A$2:$A$188,0))="","",INDEX(Backlog!$V$2:$V$188,MATCH($D111,Backlog!$A$2:$A$188,0)))</f>
        <v>Commit before downstream consumer starts; consumer must use the contract, not redesign producer-owned semantics.</v>
      </c>
      <c r="M111" s="32" t="str">
        <f>IF(INDEX(Backlog!$AO$2:$AO$188,MATCH($D111,Backlog!$A$2:$A$188,0))="","",INDEX(Backlog!$AO$2:$AO$188,MATCH($D111,Backlog!$A$2:$A$188,0)))</f>
        <v>Not started — no completion claimed</v>
      </c>
      <c r="N111" s="32" t="str">
        <f>IF(INDEX(Backlog!$AN$2:$AN$188,MATCH($D111,Backlog!$A$2:$A$188,0))="","",INDEX(Backlog!$AN$2:$AN$188,MATCH($D111,Backlog!$A$2:$A$188,0)))</f>
        <v/>
      </c>
    </row>
    <row r="112" spans="1:14" ht="26.1" customHeight="1">
      <c r="A112" s="38" t="str">
        <f>IF(INDEX(Backlog!$L$2:$L$188,MATCH($D112,Backlog!$A$2:$A$188,0))="","",INDEX(Backlog!$L$2:$L$188,MATCH($D112,Backlog!$A$2:$A$188,0)))</f>
        <v>Worker 2</v>
      </c>
      <c r="B112" s="38" t="str">
        <f>IF(INDEX(Backlog!$B$2:$B$188,MATCH($D112,Backlog!$A$2:$A$188,0))="","",INDEX(Backlog!$B$2:$B$188,MATCH($D112,Backlog!$A$2:$A$188,0)))</f>
        <v>M3</v>
      </c>
      <c r="C112" s="38" t="str">
        <f>IF(INDEX(Backlog!$C$2:$C$188,MATCH($D112,Backlog!$A$2:$A$188,0))="","",INDEX(Backlog!$C$2:$C$188,MATCH($D112,Backlog!$A$2:$A$188,0)))</f>
        <v>P2</v>
      </c>
      <c r="D112" s="38" t="s">
        <v>1356</v>
      </c>
      <c r="E112" s="38" t="str">
        <f>IF(INDEX(Backlog!$D$2:$D$188,MATCH($D112,Backlog!$A$2:$A$188,0))="","",INDEX(Backlog!$D$2:$D$188,MATCH($D112,Backlog!$A$2:$A$188,0)))</f>
        <v>E6 Alert Routing and Escalation with delivery, retry and dead-letter evidence</v>
      </c>
      <c r="F112" s="70" t="str">
        <f>IF(INDEX(Backlog!$K$2:$K$188,MATCH($D112,Backlog!$A$2:$A$188,0))="","",INDEX(Backlog!$K$2:$K$188,MATCH($D112,Backlog!$A$2:$A$188,0)))</f>
        <v>Not Started</v>
      </c>
      <c r="G112" s="38">
        <f>IF(ISNUMBER(INDEX(Backlog!$AS$2:$AS$188,MATCH($D112,Backlog!$A$2:$A$188,0))),INDEX(Backlog!$AS$2:$AS$188,MATCH($D112,Backlog!$A$2:$A$188,0)),"")</f>
        <v>10</v>
      </c>
      <c r="H112" s="38">
        <f>IF(ISNUMBER(INDEX(Backlog!$AT$2:$AT$188,MATCH($D112,Backlog!$A$2:$A$188,0))),INDEX(Backlog!$AT$2:$AT$188,MATCH($D112,Backlog!$A$2:$A$188,0)),"")</f>
        <v>2.285714285714286</v>
      </c>
      <c r="I112" s="38" t="str">
        <f>IF(INDEX(Backlog!$M$2:$M$188,MATCH($D112,Backlog!$A$2:$A$188,0))="","",INDEX(Backlog!$M$2:$M$188,MATCH($D112,Backlog!$A$2:$A$188,0)))</f>
        <v>T-119; T-198</v>
      </c>
      <c r="J112" s="38" t="str">
        <f>IF(INDEX(Backlog!$T$2:$T$188,MATCH($D112,Backlog!$A$2:$A$188,0))="","",INDEX(Backlog!$T$2:$T$188,MATCH($D112,Backlog!$A$2:$A$188,0)))</f>
        <v>Use the accepted M1 regression baseline; require empty index and clean owned paths, preserving unrelated user work. Then: T-119 + T-198</v>
      </c>
      <c r="K112" s="38" t="str">
        <f>IF(INDEX(Backlog!$U$2:$U$188,MATCH($D112,Backlog!$A$2:$A$188,0))="","",INDEX(Backlog!$U$2:$U$188,MATCH($D112,Backlog!$A$2:$A$188,0)))</f>
        <v>Own named UI/admin task end-to-end only after producer APIs/security are committed.</v>
      </c>
      <c r="L112" s="38" t="str">
        <f>IF(INDEX(Backlog!$V$2:$V$188,MATCH($D112,Backlog!$A$2:$A$188,0))="","",INDEX(Backlog!$V$2:$V$188,MATCH($D112,Backlog!$A$2:$A$188,0)))</f>
        <v>Commit before downstream consumer starts; consumer must use the contract, not redesign producer-owned semantics.</v>
      </c>
      <c r="M112" s="32" t="str">
        <f>IF(INDEX(Backlog!$AO$2:$AO$188,MATCH($D112,Backlog!$A$2:$A$188,0))="","",INDEX(Backlog!$AO$2:$AO$188,MATCH($D112,Backlog!$A$2:$A$188,0)))</f>
        <v>Not started — no completion claimed</v>
      </c>
      <c r="N112" s="32" t="str">
        <f>IF(INDEX(Backlog!$AN$2:$AN$188,MATCH($D112,Backlog!$A$2:$A$188,0))="","",INDEX(Backlog!$AN$2:$AN$188,MATCH($D112,Backlog!$A$2:$A$188,0)))</f>
        <v/>
      </c>
    </row>
    <row r="113" spans="1:14" ht="26.1" customHeight="1">
      <c r="A113" s="38" t="str">
        <f>IF(INDEX(Backlog!$L$2:$L$188,MATCH($D113,Backlog!$A$2:$A$188,0))="","",INDEX(Backlog!$L$2:$L$188,MATCH($D113,Backlog!$A$2:$A$188,0)))</f>
        <v>Worker 2</v>
      </c>
      <c r="B113" s="38" t="str">
        <f>IF(INDEX(Backlog!$B$2:$B$188,MATCH($D113,Backlog!$A$2:$A$188,0))="","",INDEX(Backlog!$B$2:$B$188,MATCH($D113,Backlog!$A$2:$A$188,0)))</f>
        <v>M3</v>
      </c>
      <c r="C113" s="38" t="str">
        <f>IF(INDEX(Backlog!$C$2:$C$188,MATCH($D113,Backlog!$A$2:$A$188,0))="","",INDEX(Backlog!$C$2:$C$188,MATCH($D113,Backlog!$A$2:$A$188,0)))</f>
        <v>P2</v>
      </c>
      <c r="D113" s="38" t="s">
        <v>1367</v>
      </c>
      <c r="E113" s="38" t="str">
        <f>IF(INDEX(Backlog!$D$2:$D$188,MATCH($D113,Backlog!$A$2:$A$188,0))="","",INDEX(Backlog!$D$2:$D$188,MATCH($D113,Backlog!$A$2:$A$188,0)))</f>
        <v>F5 Logging and Audit plus F6 Log Channel Configuration</v>
      </c>
      <c r="F113" s="70" t="str">
        <f>IF(INDEX(Backlog!$K$2:$K$188,MATCH($D113,Backlog!$A$2:$A$188,0))="","",INDEX(Backlog!$K$2:$K$188,MATCH($D113,Backlog!$A$2:$A$188,0)))</f>
        <v>Not Started</v>
      </c>
      <c r="G113" s="38">
        <f>IF(ISNUMBER(INDEX(Backlog!$AS$2:$AS$188,MATCH($D113,Backlog!$A$2:$A$188,0))),INDEX(Backlog!$AS$2:$AS$188,MATCH($D113,Backlog!$A$2:$A$188,0)),"")</f>
        <v>12</v>
      </c>
      <c r="H113" s="38">
        <f>IF(ISNUMBER(INDEX(Backlog!$AT$2:$AT$188,MATCH($D113,Backlog!$A$2:$A$188,0))),INDEX(Backlog!$AT$2:$AT$188,MATCH($D113,Backlog!$A$2:$A$188,0)),"")</f>
        <v>2.7428571428571429</v>
      </c>
      <c r="I113" s="38" t="str">
        <f>IF(INDEX(Backlog!$M$2:$M$188,MATCH($D113,Backlog!$A$2:$A$188,0))="","",INDEX(Backlog!$M$2:$M$188,MATCH($D113,Backlog!$A$2:$A$188,0)))</f>
        <v>T-112; T-114; T-119</v>
      </c>
      <c r="J113" s="38" t="str">
        <f>IF(INDEX(Backlog!$T$2:$T$188,MATCH($D113,Backlog!$A$2:$A$188,0))="","",INDEX(Backlog!$T$2:$T$188,MATCH($D113,Backlog!$A$2:$A$188,0)))</f>
        <v>Use the accepted M1 regression baseline; require empty index and clean owned paths, preserving unrelated user work. Then: T-112 + T-114 + T-119</v>
      </c>
      <c r="K113" s="38" t="str">
        <f>IF(INDEX(Backlog!$U$2:$U$188,MATCH($D113,Backlog!$A$2:$A$188,0))="","",INDEX(Backlog!$U$2:$U$188,MATCH($D113,Backlog!$A$2:$A$188,0)))</f>
        <v>Own named UI/admin task end-to-end only after producer APIs/security are committed.</v>
      </c>
      <c r="L113" s="38" t="str">
        <f>IF(INDEX(Backlog!$V$2:$V$188,MATCH($D113,Backlog!$A$2:$A$188,0))="","",INDEX(Backlog!$V$2:$V$188,MATCH($D113,Backlog!$A$2:$A$188,0)))</f>
        <v>Commit before downstream consumer starts; consumer must use the contract, not redesign producer-owned semantics.</v>
      </c>
      <c r="M113" s="32" t="str">
        <f>IF(INDEX(Backlog!$AO$2:$AO$188,MATCH($D113,Backlog!$A$2:$A$188,0))="","",INDEX(Backlog!$AO$2:$AO$188,MATCH($D113,Backlog!$A$2:$A$188,0)))</f>
        <v>Not started — no completion claimed</v>
      </c>
      <c r="N113" s="32" t="str">
        <f>IF(INDEX(Backlog!$AN$2:$AN$188,MATCH($D113,Backlog!$A$2:$A$188,0))="","",INDEX(Backlog!$AN$2:$AN$188,MATCH($D113,Backlog!$A$2:$A$188,0)))</f>
        <v/>
      </c>
    </row>
    <row r="114" spans="1:14" ht="26.1" customHeight="1">
      <c r="A114" s="38" t="str">
        <f>IF(INDEX(Backlog!$L$2:$L$188,MATCH($D114,Backlog!$A$2:$A$188,0))="","",INDEX(Backlog!$L$2:$L$188,MATCH($D114,Backlog!$A$2:$A$188,0)))</f>
        <v>Worker 2</v>
      </c>
      <c r="B114" s="38" t="str">
        <f>IF(INDEX(Backlog!$B$2:$B$188,MATCH($D114,Backlog!$A$2:$A$188,0))="","",INDEX(Backlog!$B$2:$B$188,MATCH($D114,Backlog!$A$2:$A$188,0)))</f>
        <v>M3</v>
      </c>
      <c r="C114" s="38" t="str">
        <f>IF(INDEX(Backlog!$C$2:$C$188,MATCH($D114,Backlog!$A$2:$A$188,0))="","",INDEX(Backlog!$C$2:$C$188,MATCH($D114,Backlog!$A$2:$A$188,0)))</f>
        <v>P2</v>
      </c>
      <c r="D114" s="38" t="s">
        <v>1377</v>
      </c>
      <c r="E114" s="38" t="str">
        <f>IF(INDEX(Backlog!$D$2:$D$188,MATCH($D114,Backlog!$A$2:$A$188,0))="","",INDEX(Backlog!$D$2:$D$188,MATCH($D114,Backlog!$A$2:$A$188,0)))</f>
        <v>F9 Log Retention and Archival with dry-run, legal hold and no-delete-on-archive-failure</v>
      </c>
      <c r="F114" s="70" t="str">
        <f>IF(INDEX(Backlog!$K$2:$K$188,MATCH($D114,Backlog!$A$2:$A$188,0))="","",INDEX(Backlog!$K$2:$K$188,MATCH($D114,Backlog!$A$2:$A$188,0)))</f>
        <v>Not Started</v>
      </c>
      <c r="G114" s="38">
        <f>IF(ISNUMBER(INDEX(Backlog!$AS$2:$AS$188,MATCH($D114,Backlog!$A$2:$A$188,0))),INDEX(Backlog!$AS$2:$AS$188,MATCH($D114,Backlog!$A$2:$A$188,0)),"")</f>
        <v>12</v>
      </c>
      <c r="H114" s="38">
        <f>IF(ISNUMBER(INDEX(Backlog!$AT$2:$AT$188,MATCH($D114,Backlog!$A$2:$A$188,0))),INDEX(Backlog!$AT$2:$AT$188,MATCH($D114,Backlog!$A$2:$A$188,0)),"")</f>
        <v>2.7428571428571429</v>
      </c>
      <c r="I114" s="38" t="str">
        <f>IF(INDEX(Backlog!$M$2:$M$188,MATCH($D114,Backlog!$A$2:$A$188,0))="","",INDEX(Backlog!$M$2:$M$188,MATCH($D114,Backlog!$A$2:$A$188,0)))</f>
        <v>T-124; T-198</v>
      </c>
      <c r="J114" s="38" t="str">
        <f>IF(INDEX(Backlog!$T$2:$T$188,MATCH($D114,Backlog!$A$2:$A$188,0))="","",INDEX(Backlog!$T$2:$T$188,MATCH($D114,Backlog!$A$2:$A$188,0)))</f>
        <v>Use the accepted M1 regression baseline; require empty index and clean owned paths, preserving unrelated user work. Then: T-124 + T-198</v>
      </c>
      <c r="K114" s="38" t="str">
        <f>IF(INDEX(Backlog!$U$2:$U$188,MATCH($D114,Backlog!$A$2:$A$188,0))="","",INDEX(Backlog!$U$2:$U$188,MATCH($D114,Backlog!$A$2:$A$188,0)))</f>
        <v>Own named UI/admin task end-to-end only after producer APIs/security are committed.</v>
      </c>
      <c r="L114" s="38" t="str">
        <f>IF(INDEX(Backlog!$V$2:$V$188,MATCH($D114,Backlog!$A$2:$A$188,0))="","",INDEX(Backlog!$V$2:$V$188,MATCH($D114,Backlog!$A$2:$A$188,0)))</f>
        <v>Commit before downstream consumer starts; consumer must use the contract, not redesign producer-owned semantics.</v>
      </c>
      <c r="M114" s="32" t="str">
        <f>IF(INDEX(Backlog!$AO$2:$AO$188,MATCH($D114,Backlog!$A$2:$A$188,0))="","",INDEX(Backlog!$AO$2:$AO$188,MATCH($D114,Backlog!$A$2:$A$188,0)))</f>
        <v>Not started — no completion claimed</v>
      </c>
      <c r="N114" s="32" t="str">
        <f>IF(INDEX(Backlog!$AN$2:$AN$188,MATCH($D114,Backlog!$A$2:$A$188,0))="","",INDEX(Backlog!$AN$2:$AN$188,MATCH($D114,Backlog!$A$2:$A$188,0)))</f>
        <v/>
      </c>
    </row>
    <row r="115" spans="1:14" ht="26.1" customHeight="1">
      <c r="A115" s="38" t="str">
        <f>IF(INDEX(Backlog!$L$2:$L$188,MATCH($D115,Backlog!$A$2:$A$188,0))="","",INDEX(Backlog!$L$2:$L$188,MATCH($D115,Backlog!$A$2:$A$188,0)))</f>
        <v>Worker 2</v>
      </c>
      <c r="B115" s="38" t="str">
        <f>IF(INDEX(Backlog!$B$2:$B$188,MATCH($D115,Backlog!$A$2:$A$188,0))="","",INDEX(Backlog!$B$2:$B$188,MATCH($D115,Backlog!$A$2:$A$188,0)))</f>
        <v>M3</v>
      </c>
      <c r="C115" s="38" t="str">
        <f>IF(INDEX(Backlog!$C$2:$C$188,MATCH($D115,Backlog!$A$2:$A$188,0))="","",INDEX(Backlog!$C$2:$C$188,MATCH($D115,Backlog!$A$2:$A$188,0)))</f>
        <v>P2</v>
      </c>
      <c r="D115" s="38" t="s">
        <v>1384</v>
      </c>
      <c r="E115" s="38" t="str">
        <f>IF(INDEX(Backlog!$D$2:$D$188,MATCH($D115,Backlog!$A$2:$A$188,0))="","",INDEX(Backlog!$D$2:$D$188,MATCH($D115,Backlog!$A$2:$A$188,0)))</f>
        <v>F7 System Settings and F8 Translation/Language canonical administration</v>
      </c>
      <c r="F115" s="70" t="str">
        <f>IF(INDEX(Backlog!$K$2:$K$188,MATCH($D115,Backlog!$A$2:$A$188,0))="","",INDEX(Backlog!$K$2:$K$188,MATCH($D115,Backlog!$A$2:$A$188,0)))</f>
        <v>Not Started</v>
      </c>
      <c r="G115" s="38">
        <f>IF(ISNUMBER(INDEX(Backlog!$AS$2:$AS$188,MATCH($D115,Backlog!$A$2:$A$188,0))),INDEX(Backlog!$AS$2:$AS$188,MATCH($D115,Backlog!$A$2:$A$188,0)),"")</f>
        <v>10</v>
      </c>
      <c r="H115" s="38">
        <f>IF(ISNUMBER(INDEX(Backlog!$AT$2:$AT$188,MATCH($D115,Backlog!$A$2:$A$188,0))),INDEX(Backlog!$AT$2:$AT$188,MATCH($D115,Backlog!$A$2:$A$188,0)),"")</f>
        <v>2.285714285714286</v>
      </c>
      <c r="I115" s="38" t="str">
        <f>IF(INDEX(Backlog!$M$2:$M$188,MATCH($D115,Backlog!$A$2:$A$188,0))="","",INDEX(Backlog!$M$2:$M$188,MATCH($D115,Backlog!$A$2:$A$188,0)))</f>
        <v>T-113; T-119; T-216</v>
      </c>
      <c r="J115" s="38" t="str">
        <f>IF(INDEX(Backlog!$T$2:$T$188,MATCH($D115,Backlog!$A$2:$A$188,0))="","",INDEX(Backlog!$T$2:$T$188,MATCH($D115,Backlog!$A$2:$A$188,0)))</f>
        <v>Use the accepted M1 regression baseline; require empty index and clean owned paths, preserving unrelated user work. Then: T-113 + T-119</v>
      </c>
      <c r="K115" s="38" t="str">
        <f>IF(INDEX(Backlog!$U$2:$U$188,MATCH($D115,Backlog!$A$2:$A$188,0))="","",INDEX(Backlog!$U$2:$U$188,MATCH($D115,Backlog!$A$2:$A$188,0)))</f>
        <v>Own named UI/admin task end-to-end only after producer APIs/security are committed.</v>
      </c>
      <c r="L115" s="38" t="str">
        <f>IF(INDEX(Backlog!$V$2:$V$188,MATCH($D115,Backlog!$A$2:$A$188,0))="","",INDEX(Backlog!$V$2:$V$188,MATCH($D115,Backlog!$A$2:$A$188,0)))</f>
        <v>Commit before downstream consumer starts; consumer must use the contract, not redesign producer-owned semantics.</v>
      </c>
      <c r="M115" s="32" t="str">
        <f>IF(INDEX(Backlog!$AO$2:$AO$188,MATCH($D115,Backlog!$A$2:$A$188,0))="","",INDEX(Backlog!$AO$2:$AO$188,MATCH($D115,Backlog!$A$2:$A$188,0)))</f>
        <v>Not started — no completion claimed</v>
      </c>
      <c r="N115" s="32" t="str">
        <f>IF(INDEX(Backlog!$AN$2:$AN$188,MATCH($D115,Backlog!$A$2:$A$188,0))="","",INDEX(Backlog!$AN$2:$AN$188,MATCH($D115,Backlog!$A$2:$A$188,0)))</f>
        <v/>
      </c>
    </row>
    <row r="116" spans="1:14" ht="26.1" customHeight="1">
      <c r="A116" s="38" t="str">
        <f>IF(INDEX(Backlog!$L$2:$L$188,MATCH($D116,Backlog!$A$2:$A$188,0))="","",INDEX(Backlog!$L$2:$L$188,MATCH($D116,Backlog!$A$2:$A$188,0)))</f>
        <v>Worker 2</v>
      </c>
      <c r="B116" s="38" t="str">
        <f>IF(INDEX(Backlog!$B$2:$B$188,MATCH($D116,Backlog!$A$2:$A$188,0))="","",INDEX(Backlog!$B$2:$B$188,MATCH($D116,Backlog!$A$2:$A$188,0)))</f>
        <v>M3</v>
      </c>
      <c r="C116" s="38" t="str">
        <f>IF(INDEX(Backlog!$C$2:$C$188,MATCH($D116,Backlog!$A$2:$A$188,0))="","",INDEX(Backlog!$C$2:$C$188,MATCH($D116,Backlog!$A$2:$A$188,0)))</f>
        <v>P3</v>
      </c>
      <c r="D116" s="38" t="s">
        <v>1393</v>
      </c>
      <c r="E116" s="38" t="str">
        <f>IF(INDEX(Backlog!$D$2:$D$188,MATCH($D116,Backlog!$A$2:$A$188,0))="","",INDEX(Backlog!$D$2:$D$188,MATCH($D116,Backlog!$A$2:$A$188,0)))</f>
        <v>Customer definitions built through the product</v>
      </c>
      <c r="F116" s="70" t="str">
        <f>IF(INDEX(Backlog!$K$2:$K$188,MATCH($D116,Backlog!$A$2:$A$188,0))="","",INDEX(Backlog!$K$2:$K$188,MATCH($D116,Backlog!$A$2:$A$188,0)))</f>
        <v>Not Started</v>
      </c>
      <c r="G116" s="38">
        <f>IF(ISNUMBER(INDEX(Backlog!$AS$2:$AS$188,MATCH($D116,Backlog!$A$2:$A$188,0))),INDEX(Backlog!$AS$2:$AS$188,MATCH($D116,Backlog!$A$2:$A$188,0)),"")</f>
        <v>12</v>
      </c>
      <c r="H116" s="38">
        <f>IF(ISNUMBER(INDEX(Backlog!$AT$2:$AT$188,MATCH($D116,Backlog!$A$2:$A$188,0))),INDEX(Backlog!$AT$2:$AT$188,MATCH($D116,Backlog!$A$2:$A$188,0)),"")</f>
        <v>7.2</v>
      </c>
      <c r="I116" s="38" t="str">
        <f>IF(INDEX(Backlog!$M$2:$M$188,MATCH($D116,Backlog!$A$2:$A$188,0))="","",INDEX(Backlog!$M$2:$M$188,MATCH($D116,Backlog!$A$2:$A$188,0)))</f>
        <v/>
      </c>
      <c r="J116" s="38" t="str">
        <f>IF(INDEX(Backlog!$T$2:$T$188,MATCH($D116,Backlog!$A$2:$A$188,0))="","",INDEX(Backlog!$T$2:$T$188,MATCH($D116,Backlog!$A$2:$A$188,0)))</f>
        <v>WAIT for deployed Release 1 + real customer/site evidence. M3 sequence</v>
      </c>
      <c r="K116" s="38" t="str">
        <f>IF(INDEX(Backlog!$U$2:$U$188,MATCH($D116,Backlog!$A$2:$A$188,0))="","",INDEX(Backlog!$U$2:$U$188,MATCH($D116,Backlog!$A$2:$A$188,0)))</f>
        <v>Own customer-facing UX/docs/website only.</v>
      </c>
      <c r="L116" s="38" t="str">
        <f>IF(INDEX(Backlog!$V$2:$V$188,MATCH($D116,Backlog!$A$2:$A$188,0))="","",INDEX(Backlog!$V$2:$V$188,MATCH($D116,Backlog!$A$2:$A$188,0)))</f>
        <v>Commit before downstream consumer starts; consumer must use the contract, not redesign producer-owned semantics.</v>
      </c>
      <c r="M116" s="32" t="str">
        <f>IF(INDEX(Backlog!$AO$2:$AO$188,MATCH($D116,Backlog!$A$2:$A$188,0))="","",INDEX(Backlog!$AO$2:$AO$188,MATCH($D116,Backlog!$A$2:$A$188,0)))</f>
        <v>Not started — no completion claimed</v>
      </c>
      <c r="N116" s="32" t="str">
        <f>IF(INDEX(Backlog!$AN$2:$AN$188,MATCH($D116,Backlog!$A$2:$A$188,0))="","",INDEX(Backlog!$AN$2:$AN$188,MATCH($D116,Backlog!$A$2:$A$188,0)))</f>
        <v/>
      </c>
    </row>
    <row r="117" spans="1:14" ht="26.1" customHeight="1">
      <c r="A117" s="38" t="str">
        <f>IF(INDEX(Backlog!$L$2:$L$188,MATCH($D117,Backlog!$A$2:$A$188,0))="","",INDEX(Backlog!$L$2:$L$188,MATCH($D117,Backlog!$A$2:$A$188,0)))</f>
        <v>Worker 2</v>
      </c>
      <c r="B117" s="38" t="str">
        <f>IF(INDEX(Backlog!$B$2:$B$188,MATCH($D117,Backlog!$A$2:$A$188,0))="","",INDEX(Backlog!$B$2:$B$188,MATCH($D117,Backlog!$A$2:$A$188,0)))</f>
        <v>M3</v>
      </c>
      <c r="C117" s="38" t="str">
        <f>IF(INDEX(Backlog!$C$2:$C$188,MATCH($D117,Backlog!$A$2:$A$188,0))="","",INDEX(Backlog!$C$2:$C$188,MATCH($D117,Backlog!$A$2:$A$188,0)))</f>
        <v>P3</v>
      </c>
      <c r="D117" s="38" t="s">
        <v>1402</v>
      </c>
      <c r="E117" s="38" t="str">
        <f>IF(INDEX(Backlog!$D$2:$D$188,MATCH($D117,Backlog!$A$2:$A$188,0))="","",INDEX(Backlog!$D$2:$D$188,MATCH($D117,Backlog!$A$2:$A$188,0)))</f>
        <v>Five-product website production completion</v>
      </c>
      <c r="F117" s="70" t="str">
        <f>IF(INDEX(Backlog!$K$2:$K$188,MATCH($D117,Backlog!$A$2:$A$188,0))="","",INDEX(Backlog!$K$2:$K$188,MATCH($D117,Backlog!$A$2:$A$188,0)))</f>
        <v>Not Started</v>
      </c>
      <c r="G117" s="38">
        <f>IF(ISNUMBER(INDEX(Backlog!$AS$2:$AS$188,MATCH($D117,Backlog!$A$2:$A$188,0))),INDEX(Backlog!$AS$2:$AS$188,MATCH($D117,Backlog!$A$2:$A$188,0)),"")</f>
        <v>12</v>
      </c>
      <c r="H117" s="38">
        <f>IF(ISNUMBER(INDEX(Backlog!$AT$2:$AT$188,MATCH($D117,Backlog!$A$2:$A$188,0))),INDEX(Backlog!$AT$2:$AT$188,MATCH($D117,Backlog!$A$2:$A$188,0)),"")</f>
        <v>7.2</v>
      </c>
      <c r="I117" s="38" t="str">
        <f>IF(INDEX(Backlog!$M$2:$M$188,MATCH($D117,Backlog!$A$2:$A$188,0))="","",INDEX(Backlog!$M$2:$M$188,MATCH($D117,Backlog!$A$2:$A$188,0)))</f>
        <v/>
      </c>
      <c r="J117" s="38" t="str">
        <f>IF(INDEX(Backlog!$T$2:$T$188,MATCH($D117,Backlog!$A$2:$A$188,0))="","",INDEX(Backlog!$T$2:$T$188,MATCH($D117,Backlog!$A$2:$A$188,0)))</f>
        <v>WAIT for deployed Release 1 + real customer/site evidence. M3 sequence</v>
      </c>
      <c r="K117" s="38" t="str">
        <f>IF(INDEX(Backlog!$U$2:$U$188,MATCH($D117,Backlog!$A$2:$A$188,0))="","",INDEX(Backlog!$U$2:$U$188,MATCH($D117,Backlog!$A$2:$A$188,0)))</f>
        <v>Own customer-facing UX/docs/website only.</v>
      </c>
      <c r="L117" s="38" t="str">
        <f>IF(INDEX(Backlog!$V$2:$V$188,MATCH($D117,Backlog!$A$2:$A$188,0))="","",INDEX(Backlog!$V$2:$V$188,MATCH($D117,Backlog!$A$2:$A$188,0)))</f>
        <v>Commit before downstream consumer starts; consumer must use the contract, not redesign producer-owned semantics.</v>
      </c>
      <c r="M117" s="32" t="str">
        <f>IF(INDEX(Backlog!$AO$2:$AO$188,MATCH($D117,Backlog!$A$2:$A$188,0))="","",INDEX(Backlog!$AO$2:$AO$188,MATCH($D117,Backlog!$A$2:$A$188,0)))</f>
        <v>Not started — no completion claimed</v>
      </c>
      <c r="N117" s="32" t="str">
        <f>IF(INDEX(Backlog!$AN$2:$AN$188,MATCH($D117,Backlog!$A$2:$A$188,0))="","",INDEX(Backlog!$AN$2:$AN$188,MATCH($D117,Backlog!$A$2:$A$188,0)))</f>
        <v/>
      </c>
    </row>
    <row r="118" spans="1:14" ht="26.1" customHeight="1">
      <c r="A118" s="38" t="str">
        <f>IF(INDEX(Backlog!$L$2:$L$188,MATCH($D118,Backlog!$A$2:$A$188,0))="","",INDEX(Backlog!$L$2:$L$188,MATCH($D118,Backlog!$A$2:$A$188,0)))</f>
        <v>Worker 2</v>
      </c>
      <c r="B118" s="38" t="str">
        <f>IF(INDEX(Backlog!$B$2:$B$188,MATCH($D118,Backlog!$A$2:$A$188,0))="","",INDEX(Backlog!$B$2:$B$188,MATCH($D118,Backlog!$A$2:$A$188,0)))</f>
        <v>M3</v>
      </c>
      <c r="C118" s="38" t="str">
        <f>IF(INDEX(Backlog!$C$2:$C$188,MATCH($D118,Backlog!$A$2:$A$188,0))="","",INDEX(Backlog!$C$2:$C$188,MATCH($D118,Backlog!$A$2:$A$188,0)))</f>
        <v>P3</v>
      </c>
      <c r="D118" s="38" t="s">
        <v>812</v>
      </c>
      <c r="E118" s="38" t="str">
        <f>IF(INDEX(Backlog!$D$2:$D$188,MATCH($D118,Backlog!$A$2:$A$188,0))="","",INDEX(Backlog!$D$2:$D$188,MATCH($D118,Backlog!$A$2:$A$188,0)))</f>
        <v>Advanced enterprise BI and authoring parity closure against the 75-item outcome matrix</v>
      </c>
      <c r="F118" s="70" t="str">
        <f>IF(INDEX(Backlog!$K$2:$K$188,MATCH($D118,Backlog!$A$2:$A$188,0))="","",INDEX(Backlog!$K$2:$K$188,MATCH($D118,Backlog!$A$2:$A$188,0)))</f>
        <v>Not Started</v>
      </c>
      <c r="G118" s="38" t="str">
        <f>IF(ISNUMBER(INDEX(Backlog!$AS$2:$AS$188,MATCH($D118,Backlog!$A$2:$A$188,0))),INDEX(Backlog!$AS$2:$AS$188,MATCH($D118,Backlog!$A$2:$A$188,0)),"")</f>
        <v/>
      </c>
      <c r="H118" s="38" t="str">
        <f>IF(ISNUMBER(INDEX(Backlog!$AT$2:$AT$188,MATCH($D118,Backlog!$A$2:$A$188,0))),INDEX(Backlog!$AT$2:$AT$188,MATCH($D118,Backlog!$A$2:$A$188,0)),"")</f>
        <v/>
      </c>
      <c r="I118" s="38" t="str">
        <f>IF(INDEX(Backlog!$M$2:$M$188,MATCH($D118,Backlog!$A$2:$A$188,0))="","",INDEX(Backlog!$M$2:$M$188,MATCH($D118,Backlog!$A$2:$A$188,0)))</f>
        <v>T-148; T-202; T-203; T-204; T-205; T-228; T-241; T-243; T-244; T-245; T-257; T-267</v>
      </c>
      <c r="J118" s="38" t="str">
        <f>IF(INDEX(Backlog!$T$2:$T$188,MATCH($D118,Backlog!$A$2:$A$188,0))="","",INDEX(Backlog!$T$2:$T$188,MATCH($D118,Backlog!$A$2:$A$188,0)))</f>
        <v>After M2 Release 1 and InsightBoard authoring base</v>
      </c>
      <c r="K118" s="38" t="str">
        <f>IF(INDEX(Backlog!$U$2:$U$188,MATCH($D118,Backlog!$A$2:$A$188,0))="","",INDEX(Backlog!$U$2:$U$188,MATCH($D118,Backlog!$A$2:$A$188,0)))</f>
        <v>Frontend BI / authoring only</v>
      </c>
      <c r="L118" s="38" t="str">
        <f>IF(INDEX(Backlog!$V$2:$V$188,MATCH($D118,Backlog!$A$2:$A$188,0))="","",INDEX(Backlog!$V$2:$V$188,MATCH($D118,Backlog!$A$2:$A$188,0)))</f>
        <v>Reuse the existing BI engine, Page Builder, Canvas, export and selection contracts; do not build a second dashboard engine.</v>
      </c>
      <c r="M118" s="32" t="str">
        <f>IF(INDEX(Backlog!$AO$2:$AO$188,MATCH($D118,Backlog!$A$2:$A$188,0))="","",INDEX(Backlog!$AO$2:$AO$188,MATCH($D118,Backlog!$A$2:$A$188,0)))</f>
        <v>Not started — no completion claimed</v>
      </c>
      <c r="N118" s="32" t="str">
        <f>IF(INDEX(Backlog!$AN$2:$AN$188,MATCH($D118,Backlog!$A$2:$A$188,0))="","",INDEX(Backlog!$AN$2:$AN$188,MATCH($D118,Backlog!$A$2:$A$188,0)))</f>
        <v/>
      </c>
    </row>
    <row r="119" spans="1:14" ht="26.1" customHeight="1">
      <c r="A119" s="38" t="str">
        <f>IF(INDEX(Backlog!$L$2:$L$188,MATCH($D119,Backlog!$A$2:$A$188,0))="","",INDEX(Backlog!$L$2:$L$188,MATCH($D119,Backlog!$A$2:$A$188,0)))</f>
        <v>Worker 2</v>
      </c>
      <c r="B119" s="38" t="str">
        <f>IF(INDEX(Backlog!$B$2:$B$188,MATCH($D119,Backlog!$A$2:$A$188,0))="","",INDEX(Backlog!$B$2:$B$188,MATCH($D119,Backlog!$A$2:$A$188,0)))</f>
        <v>M3</v>
      </c>
      <c r="C119" s="38" t="str">
        <f>IF(INDEX(Backlog!$C$2:$C$188,MATCH($D119,Backlog!$A$2:$A$188,0))="","",INDEX(Backlog!$C$2:$C$188,MATCH($D119,Backlog!$A$2:$A$188,0)))</f>
        <v>P3</v>
      </c>
      <c r="D119" s="38" t="s">
        <v>1455</v>
      </c>
      <c r="E119" s="38" t="str">
        <f>IF(INDEX(Backlog!$D$2:$D$188,MATCH($D119,Backlog!$A$2:$A$188,0))="","",INDEX(Backlog!$D$2:$D$188,MATCH($D119,Backlog!$A$2:$A$188,0)))</f>
        <v>Governed reports, export and scheduled delivery</v>
      </c>
      <c r="F119" s="70" t="str">
        <f>IF(INDEX(Backlog!$K$2:$K$188,MATCH($D119,Backlog!$A$2:$A$188,0))="","",INDEX(Backlog!$K$2:$K$188,MATCH($D119,Backlog!$A$2:$A$188,0)))</f>
        <v>Not Started</v>
      </c>
      <c r="G119" s="38" t="str">
        <f>IF(ISNUMBER(INDEX(Backlog!$AS$2:$AS$188,MATCH($D119,Backlog!$A$2:$A$188,0))),INDEX(Backlog!$AS$2:$AS$188,MATCH($D119,Backlog!$A$2:$A$188,0)),"")</f>
        <v/>
      </c>
      <c r="H119" s="38" t="str">
        <f>IF(ISNUMBER(INDEX(Backlog!$AT$2:$AT$188,MATCH($D119,Backlog!$A$2:$A$188,0))),INDEX(Backlog!$AT$2:$AT$188,MATCH($D119,Backlog!$A$2:$A$188,0)),"")</f>
        <v/>
      </c>
      <c r="I119" s="38" t="str">
        <f>IF(INDEX(Backlog!$M$2:$M$188,MATCH($D119,Backlog!$A$2:$A$188,0))="","",INDEX(Backlog!$M$2:$M$188,MATCH($D119,Backlog!$A$2:$A$188,0)))</f>
        <v>T-106; T-248</v>
      </c>
      <c r="J119" s="38" t="str">
        <f>IF(INDEX(Backlog!$T$2:$T$188,MATCH($D119,Backlog!$A$2:$A$188,0))="","",INDEX(Backlog!$T$2:$T$188,MATCH($D119,Backlog!$A$2:$A$188,0)))</f>
        <v>Consume accepted producer contracts; remaining dependencies: T-106; T-248. No private scheduler/definition authority. Source-present is not closure proof.</v>
      </c>
      <c r="K119" s="38" t="str">
        <f>IF(INDEX(Backlog!$U$2:$U$188,MATCH($D119,Backlog!$A$2:$A$188,0))="","",INDEX(Backlog!$U$2:$U$188,MATCH($D119,Backlog!$A$2:$A$188,0)))</f>
        <v>Semantic product filenames only. CENTRAL assigns shared file locks before overlapping worker writes.</v>
      </c>
      <c r="L119" s="38" t="str">
        <f>IF(INDEX(Backlog!$V$2:$V$188,MATCH($D119,Backlog!$A$2:$A$188,0))="","",INDEX(Backlog!$V$2:$V$188,MATCH($D119,Backlog!$A$2:$A$188,0)))</f>
        <v>Reuse current canonical authorities; no shadow lifecycle/registry/scheduler.</v>
      </c>
      <c r="M119" s="32" t="str">
        <f>IF(INDEX(Backlog!$AO$2:$AO$188,MATCH($D119,Backlog!$A$2:$A$188,0))="","",INDEX(Backlog!$AO$2:$AO$188,MATCH($D119,Backlog!$A$2:$A$188,0)))</f>
        <v>Not started — no completion claimed</v>
      </c>
      <c r="N119" s="32" t="str">
        <f>IF(INDEX(Backlog!$AN$2:$AN$188,MATCH($D119,Backlog!$A$2:$A$188,0))="","",INDEX(Backlog!$AN$2:$AN$188,MATCH($D119,Backlog!$A$2:$A$188,0)))</f>
        <v/>
      </c>
    </row>
    <row r="120" spans="1:14" ht="26.1" customHeight="1">
      <c r="A120" s="38" t="str">
        <f>IF(INDEX(Backlog!$L$2:$L$188,MATCH($D120,Backlog!$A$2:$A$188,0))="","",INDEX(Backlog!$L$2:$L$188,MATCH($D120,Backlog!$A$2:$A$188,0)))</f>
        <v>Worker 2</v>
      </c>
      <c r="B120" s="38" t="str">
        <f>IF(INDEX(Backlog!$B$2:$B$188,MATCH($D120,Backlog!$A$2:$A$188,0))="","",INDEX(Backlog!$B$2:$B$188,MATCH($D120,Backlog!$A$2:$A$188,0)))</f>
        <v>M3</v>
      </c>
      <c r="C120" s="38" t="str">
        <f>IF(INDEX(Backlog!$C$2:$C$188,MATCH($D120,Backlog!$A$2:$A$188,0))="","",INDEX(Backlog!$C$2:$C$188,MATCH($D120,Backlog!$A$2:$A$188,0)))</f>
        <v>P3</v>
      </c>
      <c r="D120" s="38" t="s">
        <v>1821</v>
      </c>
      <c r="E120" s="38" t="str">
        <f>IF(INDEX(Backlog!$D$2:$D$188,MATCH($D120,Backlog!$A$2:$A$188,0))="","",INDEX(Backlog!$D$2:$D$188,MATCH($D120,Backlog!$A$2:$A$188,0)))</f>
        <v>Release-2 interface depth and enterprise BI/authoring parity design</v>
      </c>
      <c r="F120" s="70" t="str">
        <f>IF(INDEX(Backlog!$K$2:$K$188,MATCH($D120,Backlog!$A$2:$A$188,0))="","",INDEX(Backlog!$K$2:$K$188,MATCH($D120,Backlog!$A$2:$A$188,0)))</f>
        <v>Not Started</v>
      </c>
      <c r="G120" s="38" t="str">
        <f>IF(ISNUMBER(INDEX(Backlog!$AS$2:$AS$188,MATCH($D120,Backlog!$A$2:$A$188,0))),INDEX(Backlog!$AS$2:$AS$188,MATCH($D120,Backlog!$A$2:$A$188,0)),"")</f>
        <v/>
      </c>
      <c r="H120" s="38" t="str">
        <f>IF(ISNUMBER(INDEX(Backlog!$AT$2:$AT$188,MATCH($D120,Backlog!$A$2:$A$188,0))),INDEX(Backlog!$AT$2:$AT$188,MATCH($D120,Backlog!$A$2:$A$188,0)),"")</f>
        <v/>
      </c>
      <c r="I120" s="38" t="str">
        <f>IF(INDEX(Backlog!$M$2:$M$188,MATCH($D120,Backlog!$A$2:$A$188,0))="","",INDEX(Backlog!$M$2:$M$188,MATCH($D120,Backlog!$A$2:$A$188,0)))</f>
        <v>T-265</v>
      </c>
      <c r="J120" s="38" t="str">
        <f>IF(INDEX(Backlog!$T$2:$T$188,MATCH($D120,Backlog!$A$2:$A$188,0))="","",INDEX(Backlog!$T$2:$T$188,MATCH($D120,Backlog!$A$2:$A$188,0)))</f>
        <v>Read v4.10.3 and frozen producer contracts. Contract-ready does not require producer completion; final design acceptance requires recorded walkthrough evidence.</v>
      </c>
      <c r="K120" s="38" t="str">
        <f>IF(INDEX(Backlog!$U$2:$U$188,MATCH($D120,Backlog!$A$2:$A$188,0))="","",INDEX(Backlog!$U$2:$U$188,MATCH($D120,Backlog!$A$2:$A$188,0)))</f>
        <v>UI companion M3 subset; shared token/atlas/Word merge owned by CENTRAL; no duplicate functional authority.</v>
      </c>
      <c r="L120" s="38" t="str">
        <f>IF(INDEX(Backlog!$V$2:$V$188,MATCH($D120,Backlog!$A$2:$A$188,0))="","",INDEX(Backlog!$V$2:$V$188,MATCH($D120,Backlog!$A$2:$A$188,0)))</f>
        <v>UI design completion is not product implementation completion. Reuse the current authorities/components; use per-surface handoffs and no shared-file concurrent writes.</v>
      </c>
      <c r="M120" s="32" t="str">
        <f>IF(INDEX(Backlog!$AO$2:$AO$188,MATCH($D120,Backlog!$A$2:$A$188,0))="","",INDEX(Backlog!$AO$2:$AO$188,MATCH($D120,Backlog!$A$2:$A$188,0)))</f>
        <v>NOT STARTED — DESIGN DELIVERY</v>
      </c>
      <c r="N120" s="32" t="str">
        <f>IF(INDEX(Backlog!$AN$2:$AN$188,MATCH($D120,Backlog!$A$2:$A$188,0))="","",INDEX(Backlog!$AN$2:$AN$188,MATCH($D120,Backlog!$A$2:$A$188,0)))</f>
        <v>T-248; T-263; T-264; T-196; T-197; T-198; T-199; T-200</v>
      </c>
    </row>
    <row r="121" spans="1:14" ht="26.1" customHeight="1">
      <c r="A121" s="38" t="str">
        <f>IF(INDEX(Backlog!$L$2:$L$188,MATCH($D121,Backlog!$A$2:$A$188,0))="","",INDEX(Backlog!$L$2:$L$188,MATCH($D121,Backlog!$A$2:$A$188,0)))</f>
        <v>Worker 2</v>
      </c>
      <c r="B121" s="38" t="str">
        <f>IF(INDEX(Backlog!$B$2:$B$188,MATCH($D121,Backlog!$A$2:$A$188,0))="","",INDEX(Backlog!$B$2:$B$188,MATCH($D121,Backlog!$A$2:$A$188,0)))</f>
        <v>M3</v>
      </c>
      <c r="C121" s="38" t="str">
        <f>IF(INDEX(Backlog!$C$2:$C$188,MATCH($D121,Backlog!$A$2:$A$188,0))="","",INDEX(Backlog!$C$2:$C$188,MATCH($D121,Backlog!$A$2:$A$188,0)))</f>
        <v>P4</v>
      </c>
      <c r="D121" s="38" t="s">
        <v>1757</v>
      </c>
      <c r="E121" s="38" t="str">
        <f>IF(INDEX(Backlog!$D$2:$D$188,MATCH($D121,Backlog!$A$2:$A$188,0))="","",INDEX(Backlog!$D$2:$D$188,MATCH($D121,Backlog!$A$2:$A$188,0)))</f>
        <v>Canvas governed model/intelligence block invocation</v>
      </c>
      <c r="F121" s="70" t="str">
        <f>IF(INDEX(Backlog!$K$2:$K$188,MATCH($D121,Backlog!$A$2:$A$188,0))="","",INDEX(Backlog!$K$2:$K$188,MATCH($D121,Backlog!$A$2:$A$188,0)))</f>
        <v>Not Started</v>
      </c>
      <c r="G121" s="38">
        <f>IF(ISNUMBER(INDEX(Backlog!$AS$2:$AS$188,MATCH($D121,Backlog!$A$2:$A$188,0))),INDEX(Backlog!$AS$2:$AS$188,MATCH($D121,Backlog!$A$2:$A$188,0)),"")</f>
        <v>11</v>
      </c>
      <c r="H121" s="38">
        <f>IF(ISNUMBER(INDEX(Backlog!$AT$2:$AT$188,MATCH($D121,Backlog!$A$2:$A$188,0))),INDEX(Backlog!$AT$2:$AT$188,MATCH($D121,Backlog!$A$2:$A$188,0)),"")</f>
        <v>4.7</v>
      </c>
      <c r="I121" s="38" t="str">
        <f>IF(INDEX(Backlog!$M$2:$M$188,MATCH($D121,Backlog!$A$2:$A$188,0))="","",INDEX(Backlog!$M$2:$M$188,MATCH($D121,Backlog!$A$2:$A$188,0)))</f>
        <v>T-243; T-130; T-137; T-187</v>
      </c>
      <c r="J121" s="38" t="str">
        <f>IF(INDEX(Backlog!$T$2:$T$188,MATCH($D121,Backlog!$A$2:$A$188,0))="","",INDEX(Backlog!$T$2:$T$188,MATCH($D121,Backlog!$A$2:$A$188,0)))</f>
        <v>Consume accepted producer contracts; remaining dependencies: T-243; T-130; T-137; T-187. No private scheduler/definition authority. Source-present is not closure proof.</v>
      </c>
      <c r="K121" s="38" t="str">
        <f>IF(INDEX(Backlog!$U$2:$U$188,MATCH($D121,Backlog!$A$2:$A$188,0))="","",INDEX(Backlog!$U$2:$U$188,MATCH($D121,Backlog!$A$2:$A$188,0)))</f>
        <v>Canvas model/intelligence block adapters only.</v>
      </c>
      <c r="L121" s="38" t="str">
        <f>IF(INDEX(Backlog!$V$2:$V$188,MATCH($D121,Backlog!$A$2:$A$188,0))="","",INDEX(Backlog!$V$2:$V$188,MATCH($D121,Backlog!$A$2:$A$188,0)))</f>
        <v>T-130/model registry and T-137 serving runtime remain authorities.</v>
      </c>
      <c r="M121" s="32" t="str">
        <f>IF(INDEX(Backlog!$AO$2:$AO$188,MATCH($D121,Backlog!$A$2:$A$188,0))="","",INDEX(Backlog!$AO$2:$AO$188,MATCH($D121,Backlog!$A$2:$A$188,0)))</f>
        <v>Not started — no completion claimed</v>
      </c>
      <c r="N121" s="32" t="str">
        <f>IF(INDEX(Backlog!$AN$2:$AN$188,MATCH($D121,Backlog!$A$2:$A$188,0))="","",INDEX(Backlog!$AN$2:$AN$188,MATCH($D121,Backlog!$A$2:$A$188,0)))</f>
        <v/>
      </c>
    </row>
    <row r="122" spans="1:14" ht="26.1" customHeight="1">
      <c r="A122" s="38" t="str">
        <f>IF(INDEX(Backlog!$L$2:$L$188,MATCH($D122,Backlog!$A$2:$A$188,0))="","",INDEX(Backlog!$L$2:$L$188,MATCH($D122,Backlog!$A$2:$A$188,0)))</f>
        <v>Worker 2</v>
      </c>
      <c r="B122" s="38" t="str">
        <f>IF(INDEX(Backlog!$B$2:$B$188,MATCH($D122,Backlog!$A$2:$A$188,0))="","",INDEX(Backlog!$B$2:$B$188,MATCH($D122,Backlog!$A$2:$A$188,0)))</f>
        <v>M3</v>
      </c>
      <c r="C122" s="38" t="str">
        <f>IF(INDEX(Backlog!$C$2:$C$188,MATCH($D122,Backlog!$A$2:$A$188,0))="","",INDEX(Backlog!$C$2:$C$188,MATCH($D122,Backlog!$A$2:$A$188,0)))</f>
        <v>P5</v>
      </c>
      <c r="D122" s="38" t="s">
        <v>1775</v>
      </c>
      <c r="E122" s="38" t="str">
        <f>IF(INDEX(Backlog!$D$2:$D$188,MATCH($D122,Backlog!$A$2:$A$188,0))="","",INDEX(Backlog!$D$2:$D$188,MATCH($D122,Backlog!$A$2:$A$188,0)))</f>
        <v>Documentation, training and production acceptance</v>
      </c>
      <c r="F122" s="70" t="str">
        <f>IF(INDEX(Backlog!$K$2:$K$188,MATCH($D122,Backlog!$A$2:$A$188,0))="","",INDEX(Backlog!$K$2:$K$188,MATCH($D122,Backlog!$A$2:$A$188,0)))</f>
        <v>Not Started</v>
      </c>
      <c r="G122" s="38">
        <f>IF(ISNUMBER(INDEX(Backlog!$AS$2:$AS$188,MATCH($D122,Backlog!$A$2:$A$188,0))),INDEX(Backlog!$AS$2:$AS$188,MATCH($D122,Backlog!$A$2:$A$188,0)),"")</f>
        <v>12</v>
      </c>
      <c r="H122" s="38">
        <f>IF(ISNUMBER(INDEX(Backlog!$AT$2:$AT$188,MATCH($D122,Backlog!$A$2:$A$188,0))),INDEX(Backlog!$AT$2:$AT$188,MATCH($D122,Backlog!$A$2:$A$188,0)),"")</f>
        <v>7.2</v>
      </c>
      <c r="I122" s="38" t="str">
        <f>IF(INDEX(Backlog!$M$2:$M$188,MATCH($D122,Backlog!$A$2:$A$188,0))="","",INDEX(Backlog!$M$2:$M$188,MATCH($D122,Backlog!$A$2:$A$188,0)))</f>
        <v/>
      </c>
      <c r="J122" s="38" t="str">
        <f>IF(INDEX(Backlog!$T$2:$T$188,MATCH($D122,Backlog!$A$2:$A$188,0))="","",INDEX(Backlog!$T$2:$T$188,MATCH($D122,Backlog!$A$2:$A$188,0)))</f>
        <v>WAIT for deployed Release 1 + real customer/site evidence. M3 sequence</v>
      </c>
      <c r="K122" s="38" t="str">
        <f>IF(INDEX(Backlog!$U$2:$U$188,MATCH($D122,Backlog!$A$2:$A$188,0))="","",INDEX(Backlog!$U$2:$U$188,MATCH($D122,Backlog!$A$2:$A$188,0)))</f>
        <v>Own customer-facing UX/docs/website only.</v>
      </c>
      <c r="L122" s="38" t="str">
        <f>IF(INDEX(Backlog!$V$2:$V$188,MATCH($D122,Backlog!$A$2:$A$188,0))="","",INDEX(Backlog!$V$2:$V$188,MATCH($D122,Backlog!$A$2:$A$188,0)))</f>
        <v>Commit before downstream consumer starts; consumer must use the contract, not redesign producer-owned semantics.</v>
      </c>
      <c r="M122" s="32" t="str">
        <f>IF(INDEX(Backlog!$AO$2:$AO$188,MATCH($D122,Backlog!$A$2:$A$188,0))="","",INDEX(Backlog!$AO$2:$AO$188,MATCH($D122,Backlog!$A$2:$A$188,0)))</f>
        <v>Not started — no completion claimed</v>
      </c>
      <c r="N122" s="32" t="str">
        <f>IF(INDEX(Backlog!$AN$2:$AN$188,MATCH($D122,Backlog!$A$2:$A$188,0))="","",INDEX(Backlog!$AN$2:$AN$188,MATCH($D122,Backlog!$A$2:$A$188,0)))</f>
        <v/>
      </c>
    </row>
    <row r="123" spans="1:14" ht="26.1" customHeight="1">
      <c r="A123" s="38" t="str">
        <f>IF(INDEX(Backlog!$L$2:$L$188,MATCH($D123,Backlog!$A$2:$A$188,0))="","",INDEX(Backlog!$L$2:$L$188,MATCH($D123,Backlog!$A$2:$A$188,0)))</f>
        <v>Worker 3</v>
      </c>
      <c r="B123" s="38" t="str">
        <f>IF(INDEX(Backlog!$B$2:$B$188,MATCH($D123,Backlog!$A$2:$A$188,0))="","",INDEX(Backlog!$B$2:$B$188,MATCH($D123,Backlog!$A$2:$A$188,0)))</f>
        <v>M2</v>
      </c>
      <c r="C123" s="38" t="str">
        <f>IF(INDEX(Backlog!$C$2:$C$188,MATCH($D123,Backlog!$A$2:$A$188,0))="","",INDEX(Backlog!$C$2:$C$188,MATCH($D123,Backlog!$A$2:$A$188,0)))</f>
        <v>P1</v>
      </c>
      <c r="D123" s="38" t="s">
        <v>287</v>
      </c>
      <c r="E123" s="38" t="str">
        <f>IF(INDEX(Backlog!$D$2:$D$188,MATCH($D123,Backlog!$A$2:$A$188,0))="","",INDEX(Backlog!$D$2:$D$188,MATCH($D123,Backlog!$A$2:$A$188,0)))</f>
        <v>Scope-aware genericity architecture gate</v>
      </c>
      <c r="F123" s="70" t="str">
        <f>IF(INDEX(Backlog!$K$2:$K$188,MATCH($D123,Backlog!$A$2:$A$188,0))="","",INDEX(Backlog!$K$2:$K$188,MATCH($D123,Backlog!$A$2:$A$188,0)))</f>
        <v>Done</v>
      </c>
      <c r="G123" s="38">
        <f>IF(ISNUMBER(INDEX(Backlog!$AS$2:$AS$188,MATCH($D123,Backlog!$A$2:$A$188,0))),INDEX(Backlog!$AS$2:$AS$188,MATCH($D123,Backlog!$A$2:$A$188,0)),"")</f>
        <v>8</v>
      </c>
      <c r="H123" s="38">
        <f>IF(ISNUMBER(INDEX(Backlog!$AT$2:$AT$188,MATCH($D123,Backlog!$A$2:$A$188,0))),INDEX(Backlog!$AT$2:$AT$188,MATCH($D123,Backlog!$A$2:$A$188,0)),"")</f>
        <v>2</v>
      </c>
      <c r="I123" s="38" t="str">
        <f>IF(INDEX(Backlog!$M$2:$M$188,MATCH($D123,Backlog!$A$2:$A$188,0))="","",INDEX(Backlog!$M$2:$M$188,MATCH($D123,Backlog!$A$2:$A$188,0)))</f>
        <v>T-201</v>
      </c>
      <c r="J123" s="38" t="str">
        <f>IF(INDEX(Backlog!$T$2:$T$188,MATCH($D123,Backlog!$A$2:$A$188,0))="","",INDEX(Backlog!$T$2:$T$188,MATCH($D123,Backlog!$A$2:$A$188,0)))</f>
        <v>CLOSED BASELINE — no new start gate and no re-execution implied. Preserve accepted closure and clean owned scope; reopen only on a concrete, separately recorded regression. Downstream consumes the frozen contract.</v>
      </c>
      <c r="K123" s="38" t="str">
        <f>IF(INDEX(Backlog!$U$2:$U$188,MATCH($D123,Backlog!$A$2:$A$188,0))="","",INDEX(Backlog!$U$2:$U$188,MATCH($D123,Backlog!$A$2:$A$188,0)))</f>
        <v>Architecture/genericity tests only; no W1 schema or W2 UI mutation.</v>
      </c>
      <c r="L123" s="38" t="str">
        <f>IF(INDEX(Backlog!$V$2:$V$188,MATCH($D123,Backlog!$A$2:$A$188,0))="","",INDEX(Backlog!$V$2:$V$188,MATCH($D123,Backlog!$A$2:$A$188,0)))</f>
        <v>Violations are routed to the owning task/file; Worker 3 does not fix foreign files.</v>
      </c>
      <c r="M123" s="32" t="str">
        <f>IF(INDEX(Backlog!$AO$2:$AO$188,MATCH($D123,Backlog!$A$2:$A$188,0))="","",INDEX(Backlog!$AO$2:$AO$188,MATCH($D123,Backlog!$A$2:$A$188,0)))</f>
        <v>Recorded closed — inherited evidence</v>
      </c>
      <c r="N123" s="32" t="str">
        <f>IF(INDEX(Backlog!$AN$2:$AN$188,MATCH($D123,Backlog!$A$2:$A$188,0))="","",INDEX(Backlog!$AN$2:$AN$188,MATCH($D123,Backlog!$A$2:$A$188,0)))</f>
        <v/>
      </c>
    </row>
    <row r="124" spans="1:14" ht="26.1" customHeight="1">
      <c r="A124" s="38" t="str">
        <f>IF(INDEX(Backlog!$L$2:$L$188,MATCH($D124,Backlog!$A$2:$A$188,0))="","",INDEX(Backlog!$L$2:$L$188,MATCH($D124,Backlog!$A$2:$A$188,0)))</f>
        <v>Worker 3</v>
      </c>
      <c r="B124" s="38" t="str">
        <f>IF(INDEX(Backlog!$B$2:$B$188,MATCH($D124,Backlog!$A$2:$A$188,0))="","",INDEX(Backlog!$B$2:$B$188,MATCH($D124,Backlog!$A$2:$A$188,0)))</f>
        <v>M2</v>
      </c>
      <c r="C124" s="38" t="str">
        <f>IF(INDEX(Backlog!$C$2:$C$188,MATCH($D124,Backlog!$A$2:$A$188,0))="","",INDEX(Backlog!$C$2:$C$188,MATCH($D124,Backlog!$A$2:$A$188,0)))</f>
        <v>P1</v>
      </c>
      <c r="D124" s="38" t="s">
        <v>299</v>
      </c>
      <c r="E124" s="38" t="str">
        <f>IF(INDEX(Backlog!$D$2:$D$188,MATCH($D124,Backlog!$A$2:$A$188,0))="","",INDEX(Backlog!$D$2:$D$188,MATCH($D124,Backlog!$A$2:$A$188,0)))</f>
        <v>Generic controlled validation fixture authority and continuous-process known-answer pack</v>
      </c>
      <c r="F124" s="70" t="str">
        <f>IF(INDEX(Backlog!$K$2:$K$188,MATCH($D124,Backlog!$A$2:$A$188,0))="","",INDEX(Backlog!$K$2:$K$188,MATCH($D124,Backlog!$A$2:$A$188,0)))</f>
        <v>Done</v>
      </c>
      <c r="G124" s="38">
        <f>IF(ISNUMBER(INDEX(Backlog!$AS$2:$AS$188,MATCH($D124,Backlog!$A$2:$A$188,0))),INDEX(Backlog!$AS$2:$AS$188,MATCH($D124,Backlog!$A$2:$A$188,0)),"")</f>
        <v>10</v>
      </c>
      <c r="H124" s="38">
        <f>IF(ISNUMBER(INDEX(Backlog!$AT$2:$AT$188,MATCH($D124,Backlog!$A$2:$A$188,0))),INDEX(Backlog!$AT$2:$AT$188,MATCH($D124,Backlog!$A$2:$A$188,0)),"")</f>
        <v>2.5</v>
      </c>
      <c r="I124" s="38" t="str">
        <f>IF(INDEX(Backlog!$M$2:$M$188,MATCH($D124,Backlog!$A$2:$A$188,0))="","",INDEX(Backlog!$M$2:$M$188,MATCH($D124,Backlog!$A$2:$A$188,0)))</f>
        <v>T-201</v>
      </c>
      <c r="J124" s="38" t="str">
        <f>IF(INDEX(Backlog!$T$2:$T$188,MATCH($D124,Backlog!$A$2:$A$188,0))="","",INDEX(Backlog!$T$2:$T$188,MATCH($D124,Backlog!$A$2:$A$188,0)))</f>
        <v>CLOSED BASELINE — no new start gate and no re-execution implied. Preserve accepted closure and clean owned scope; reopen only on a concrete, separately recorded regression. Downstream consumes the frozen contract.</v>
      </c>
      <c r="K124" s="38" t="str">
        <f>IF(INDEX(Backlog!$U$2:$U$188,MATCH($D124,Backlog!$A$2:$A$188,0))="","",INDEX(Backlog!$U$2:$U$188,MATCH($D124,Backlog!$A$2:$A$188,0)))</f>
        <v>New generic fixture/test assets only.</v>
      </c>
      <c r="L124" s="38" t="str">
        <f>IF(INDEX(Backlog!$V$2:$V$188,MATCH($D124,Backlog!$A$2:$A$188,0))="","",INDEX(Backlog!$V$2:$V$188,MATCH($D124,Backlog!$A$2:$A$188,0)))</f>
        <v>T-211/T-217/T-219 consume this fixture; they never read planted expected answers at runtime.</v>
      </c>
      <c r="M124" s="32" t="str">
        <f>IF(INDEX(Backlog!$AO$2:$AO$188,MATCH($D124,Backlog!$A$2:$A$188,0))="","",INDEX(Backlog!$AO$2:$AO$188,MATCH($D124,Backlog!$A$2:$A$188,0)))</f>
        <v>Recorded closed — inherited evidence</v>
      </c>
      <c r="N124" s="32" t="str">
        <f>IF(INDEX(Backlog!$AN$2:$AN$188,MATCH($D124,Backlog!$A$2:$A$188,0))="","",INDEX(Backlog!$AN$2:$AN$188,MATCH($D124,Backlog!$A$2:$A$188,0)))</f>
        <v/>
      </c>
    </row>
    <row r="125" spans="1:14" ht="26.1" customHeight="1">
      <c r="A125" s="38" t="str">
        <f>IF(INDEX(Backlog!$L$2:$L$188,MATCH($D125,Backlog!$A$2:$A$188,0))="","",INDEX(Backlog!$L$2:$L$188,MATCH($D125,Backlog!$A$2:$A$188,0)))</f>
        <v>Worker 3</v>
      </c>
      <c r="B125" s="38" t="str">
        <f>IF(INDEX(Backlog!$B$2:$B$188,MATCH($D125,Backlog!$A$2:$A$188,0))="","",INDEX(Backlog!$B$2:$B$188,MATCH($D125,Backlog!$A$2:$A$188,0)))</f>
        <v>M2</v>
      </c>
      <c r="C125" s="38" t="str">
        <f>IF(INDEX(Backlog!$C$2:$C$188,MATCH($D125,Backlog!$A$2:$A$188,0))="","",INDEX(Backlog!$C$2:$C$188,MATCH($D125,Backlog!$A$2:$A$188,0)))</f>
        <v>P1</v>
      </c>
      <c r="D125" s="38" t="s">
        <v>309</v>
      </c>
      <c r="E125" s="38" t="str">
        <f>IF(INDEX(Backlog!$D$2:$D$188,MATCH($D125,Backlog!$A$2:$A$188,0))="","",INDEX(Backlog!$D$2:$D$188,MATCH($D125,Backlog!$A$2:$A$188,0)))</f>
        <v>Analysis Subject and Grain contract + schema-independent resolution kernel</v>
      </c>
      <c r="F125" s="70" t="str">
        <f>IF(INDEX(Backlog!$K$2:$K$188,MATCH($D125,Backlog!$A$2:$A$188,0))="","",INDEX(Backlog!$K$2:$K$188,MATCH($D125,Backlog!$A$2:$A$188,0)))</f>
        <v>Done</v>
      </c>
      <c r="G125" s="38">
        <f>IF(ISNUMBER(INDEX(Backlog!$AS$2:$AS$188,MATCH($D125,Backlog!$A$2:$A$188,0))),INDEX(Backlog!$AS$2:$AS$188,MATCH($D125,Backlog!$A$2:$A$188,0)),"")</f>
        <v>6</v>
      </c>
      <c r="H125" s="38">
        <f>IF(ISNUMBER(INDEX(Backlog!$AT$2:$AT$188,MATCH($D125,Backlog!$A$2:$A$188,0))),INDEX(Backlog!$AT$2:$AT$188,MATCH($D125,Backlog!$A$2:$A$188,0)),"")</f>
        <v>1.5</v>
      </c>
      <c r="I125" s="38" t="str">
        <f>IF(INDEX(Backlog!$M$2:$M$188,MATCH($D125,Backlog!$A$2:$A$188,0))="","",INDEX(Backlog!$M$2:$M$188,MATCH($D125,Backlog!$A$2:$A$188,0)))</f>
        <v>T-208</v>
      </c>
      <c r="J125" s="38" t="str">
        <f>IF(INDEX(Backlog!$T$2:$T$188,MATCH($D125,Backlog!$A$2:$A$188,0))="","",INDEX(Backlog!$T$2:$T$188,MATCH($D125,Backlog!$A$2:$A$188,0)))</f>
        <v>CLOSED BASELINE — no new start gate and no re-execution implied. Preserve accepted closure and clean owned scope; reopen only on a concrete, separately recorded regression. Downstream consumes the frozen contract.</v>
      </c>
      <c r="K125" s="38" t="str">
        <f>IF(INDEX(Backlog!$U$2:$U$188,MATCH($D125,Backlog!$A$2:$A$188,0))="","",INDEX(Backlog!$U$2:$U$188,MATCH($D125,Backlog!$A$2:$A$188,0)))</f>
        <v>New generic contract/kernel/tests only.</v>
      </c>
      <c r="L125" s="38" t="str">
        <f>IF(INDEX(Backlog!$V$2:$V$188,MATCH($D125,Backlog!$A$2:$A$188,0))="","",INDEX(Backlog!$V$2:$V$188,MATCH($D125,Backlog!$A$2:$A$188,0)))</f>
        <v>T-231 persists this contract; downstream consumers bind to contract, not table shape.</v>
      </c>
      <c r="M125" s="32" t="str">
        <f>IF(INDEX(Backlog!$AO$2:$AO$188,MATCH($D125,Backlog!$A$2:$A$188,0))="","",INDEX(Backlog!$AO$2:$AO$188,MATCH($D125,Backlog!$A$2:$A$188,0)))</f>
        <v>Recorded closed — inherited evidence</v>
      </c>
      <c r="N125" s="32" t="str">
        <f>IF(INDEX(Backlog!$AN$2:$AN$188,MATCH($D125,Backlog!$A$2:$A$188,0))="","",INDEX(Backlog!$AN$2:$AN$188,MATCH($D125,Backlog!$A$2:$A$188,0)))</f>
        <v/>
      </c>
    </row>
    <row r="126" spans="1:14" ht="26.1" customHeight="1">
      <c r="A126" s="38" t="str">
        <f>IF(INDEX(Backlog!$L$2:$L$188,MATCH($D126,Backlog!$A$2:$A$188,0))="","",INDEX(Backlog!$L$2:$L$188,MATCH($D126,Backlog!$A$2:$A$188,0)))</f>
        <v>Worker 3</v>
      </c>
      <c r="B126" s="38" t="str">
        <f>IF(INDEX(Backlog!$B$2:$B$188,MATCH($D126,Backlog!$A$2:$A$188,0))="","",INDEX(Backlog!$B$2:$B$188,MATCH($D126,Backlog!$A$2:$A$188,0)))</f>
        <v>M2</v>
      </c>
      <c r="C126" s="38" t="str">
        <f>IF(INDEX(Backlog!$C$2:$C$188,MATCH($D126,Backlog!$A$2:$A$188,0))="","",INDEX(Backlog!$C$2:$C$188,MATCH($D126,Backlog!$A$2:$A$188,0)))</f>
        <v>P1</v>
      </c>
      <c r="D126" s="38" t="s">
        <v>334</v>
      </c>
      <c r="E126" s="38" t="str">
        <f>IF(INDEX(Backlog!$D$2:$D$188,MATCH($D126,Backlog!$A$2:$A$188,0))="","",INDEX(Backlog!$D$2:$D$188,MATCH($D126,Backlog!$A$2:$A$188,0)))</f>
        <v>Source Time Authority contract and timestamp-semantics kernel</v>
      </c>
      <c r="F126" s="70" t="str">
        <f>IF(INDEX(Backlog!$K$2:$K$188,MATCH($D126,Backlog!$A$2:$A$188,0))="","",INDEX(Backlog!$K$2:$K$188,MATCH($D126,Backlog!$A$2:$A$188,0)))</f>
        <v>Done</v>
      </c>
      <c r="G126" s="38">
        <f>IF(ISNUMBER(INDEX(Backlog!$AS$2:$AS$188,MATCH($D126,Backlog!$A$2:$A$188,0))),INDEX(Backlog!$AS$2:$AS$188,MATCH($D126,Backlog!$A$2:$A$188,0)),"")</f>
        <v>5</v>
      </c>
      <c r="H126" s="38">
        <f>IF(ISNUMBER(INDEX(Backlog!$AT$2:$AT$188,MATCH($D126,Backlog!$A$2:$A$188,0))),INDEX(Backlog!$AT$2:$AT$188,MATCH($D126,Backlog!$A$2:$A$188,0)),"")</f>
        <v>1.25</v>
      </c>
      <c r="I126" s="38" t="str">
        <f>IF(INDEX(Backlog!$M$2:$M$188,MATCH($D126,Backlog!$A$2:$A$188,0))="","",INDEX(Backlog!$M$2:$M$188,MATCH($D126,Backlog!$A$2:$A$188,0)))</f>
        <v>T-208</v>
      </c>
      <c r="J126" s="38" t="str">
        <f>IF(INDEX(Backlog!$T$2:$T$188,MATCH($D126,Backlog!$A$2:$A$188,0))="","",INDEX(Backlog!$T$2:$T$188,MATCH($D126,Backlog!$A$2:$A$188,0)))</f>
        <v>CLOSED BASELINE — no new start gate and no re-execution implied. Preserve accepted closure and clean owned scope; reopen only on a concrete, separately recorded regression. Downstream consumes the frozen contract.</v>
      </c>
      <c r="K126" s="38" t="str">
        <f>IF(INDEX(Backlog!$U$2:$U$188,MATCH($D126,Backlog!$A$2:$A$188,0))="","",INDEX(Backlog!$U$2:$U$188,MATCH($D126,Backlog!$A$2:$A$188,0)))</f>
        <v>Temporal contract/tests only.</v>
      </c>
      <c r="L126" s="38" t="str">
        <f>IF(INDEX(Backlog!$V$2:$V$188,MATCH($D126,Backlog!$A$2:$A$188,0))="","",INDEX(Backlog!$V$2:$V$188,MATCH($D126,Backlog!$A$2:$A$188,0)))</f>
        <v>T-233 persists source-time authority; T-217 consumes contract without waiting for persistence.</v>
      </c>
      <c r="M126" s="32" t="str">
        <f>IF(INDEX(Backlog!$AO$2:$AO$188,MATCH($D126,Backlog!$A$2:$A$188,0))="","",INDEX(Backlog!$AO$2:$AO$188,MATCH($D126,Backlog!$A$2:$A$188,0)))</f>
        <v>Recorded closed — inherited evidence</v>
      </c>
      <c r="N126" s="32" t="str">
        <f>IF(INDEX(Backlog!$AN$2:$AN$188,MATCH($D126,Backlog!$A$2:$A$188,0))="","",INDEX(Backlog!$AN$2:$AN$188,MATCH($D126,Backlog!$A$2:$A$188,0)))</f>
        <v/>
      </c>
    </row>
    <row r="127" spans="1:14" ht="26.1" customHeight="1">
      <c r="A127" s="38" t="str">
        <f>IF(INDEX(Backlog!$L$2:$L$188,MATCH($D127,Backlog!$A$2:$A$188,0))="","",INDEX(Backlog!$L$2:$L$188,MATCH($D127,Backlog!$A$2:$A$188,0)))</f>
        <v>Worker 3</v>
      </c>
      <c r="B127" s="38" t="str">
        <f>IF(INDEX(Backlog!$B$2:$B$188,MATCH($D127,Backlog!$A$2:$A$188,0))="","",INDEX(Backlog!$B$2:$B$188,MATCH($D127,Backlog!$A$2:$A$188,0)))</f>
        <v>M2</v>
      </c>
      <c r="C127" s="38" t="str">
        <f>IF(INDEX(Backlog!$C$2:$C$188,MATCH($D127,Backlog!$A$2:$A$188,0))="","",INDEX(Backlog!$C$2:$C$188,MATCH($D127,Backlog!$A$2:$A$188,0)))</f>
        <v>P2</v>
      </c>
      <c r="D127" s="38" t="s">
        <v>522</v>
      </c>
      <c r="E127" s="38" t="str">
        <f>IF(INDEX(Backlog!$D$2:$D$188,MATCH($D127,Backlog!$A$2:$A$188,0))="","",INDEX(Backlog!$D$2:$D$188,MATCH($D127,Backlog!$A$2:$A$188,0)))</f>
        <v>Canonical jobs: target/version, scheduling, dependencies, cancellation and outcome truth</v>
      </c>
      <c r="F127" s="70" t="str">
        <f>IF(INDEX(Backlog!$K$2:$K$188,MATCH($D127,Backlog!$A$2:$A$188,0))="","",INDEX(Backlog!$K$2:$K$188,MATCH($D127,Backlog!$A$2:$A$188,0)))</f>
        <v>Done</v>
      </c>
      <c r="G127" s="38" t="str">
        <f>IF(ISNUMBER(INDEX(Backlog!$AS$2:$AS$188,MATCH($D127,Backlog!$A$2:$A$188,0))),INDEX(Backlog!$AS$2:$AS$188,MATCH($D127,Backlog!$A$2:$A$188,0)),"")</f>
        <v/>
      </c>
      <c r="H127" s="38" t="str">
        <f>IF(ISNUMBER(INDEX(Backlog!$AT$2:$AT$188,MATCH($D127,Backlog!$A$2:$A$188,0))),INDEX(Backlog!$AT$2:$AT$188,MATCH($D127,Backlog!$A$2:$A$188,0)),"")</f>
        <v/>
      </c>
      <c r="I127" s="38" t="str">
        <f>IF(INDEX(Backlog!$M$2:$M$188,MATCH($D127,Backlog!$A$2:$A$188,0))="","",INDEX(Backlog!$M$2:$M$188,MATCH($D127,Backlog!$A$2:$A$188,0)))</f>
        <v>T-064; T-089; T-090; T-252</v>
      </c>
      <c r="J127" s="38" t="str">
        <f>IF(INDEX(Backlog!$T$2:$T$188,MATCH($D127,Backlog!$A$2:$A$188,0))="","",INDEX(Backlog!$T$2:$T$188,MATCH($D127,Backlog!$A$2:$A$188,0)))</f>
        <v>Consume accepted producer contracts; remaining dependencies: T-064; T-089; T-090; T-252. No private scheduler/definition authority. Source-present is not closure proof.</v>
      </c>
      <c r="K127" s="38" t="str">
        <f>IF(INDEX(Backlog!$U$2:$U$188,MATCH($D127,Backlog!$A$2:$A$188,0))="","",INDEX(Backlog!$U$2:$U$188,MATCH($D127,Backlog!$A$2:$A$188,0)))</f>
        <v>Own T-106/T-107/T-109 only after W1 producer contracts; no schema authority rewrites.</v>
      </c>
      <c r="L127" s="38" t="str">
        <f>IF(INDEX(Backlog!$V$2:$V$188,MATCH($D127,Backlog!$A$2:$A$188,0))="","",INDEX(Backlog!$V$2:$V$188,MATCH($D127,Backlog!$A$2:$A$188,0)))</f>
        <v>Commit before downstream consumer starts; consumer must use the contract, not redesign producer-owned semantics.</v>
      </c>
      <c r="M127" s="32" t="str">
        <f>IF(INDEX(Backlog!$AO$2:$AO$188,MATCH($D127,Backlog!$A$2:$A$188,0))="","",INDEX(Backlog!$AO$2:$AO$188,MATCH($D127,Backlog!$A$2:$A$188,0)))</f>
        <v>BASELINE COMMITS PROVEN; CURRENT WIDENED ACCEPTANCE OPEN</v>
      </c>
      <c r="N127" s="32" t="str">
        <f>IF(INDEX(Backlog!$AN$2:$AN$188,MATCH($D127,Backlog!$A$2:$A$188,0))="","",INDEX(Backlog!$AN$2:$AN$188,MATCH($D127,Backlog!$A$2:$A$188,0)))</f>
        <v/>
      </c>
    </row>
    <row r="128" spans="1:14" ht="26.1" customHeight="1">
      <c r="A128" s="38" t="str">
        <f>IF(INDEX(Backlog!$L$2:$L$188,MATCH($D128,Backlog!$A$2:$A$188,0))="","",INDEX(Backlog!$L$2:$L$188,MATCH($D128,Backlog!$A$2:$A$188,0)))</f>
        <v>Worker 3</v>
      </c>
      <c r="B128" s="38" t="str">
        <f>IF(INDEX(Backlog!$B$2:$B$188,MATCH($D128,Backlog!$A$2:$A$188,0))="","",INDEX(Backlog!$B$2:$B$188,MATCH($D128,Backlog!$A$2:$A$188,0)))</f>
        <v>M2</v>
      </c>
      <c r="C128" s="38" t="str">
        <f>IF(INDEX(Backlog!$C$2:$C$188,MATCH($D128,Backlog!$A$2:$A$188,0))="","",INDEX(Backlog!$C$2:$C$188,MATCH($D128,Backlog!$A$2:$A$188,0)))</f>
        <v>P2</v>
      </c>
      <c r="D128" s="38" t="s">
        <v>539</v>
      </c>
      <c r="E128" s="38" t="str">
        <f>IF(INDEX(Backlog!$D$2:$D$188,MATCH($D128,Backlog!$A$2:$A$188,0))="","",INDEX(Backlog!$D$2:$D$188,MATCH($D128,Backlog!$A$2:$A$188,0)))</f>
        <v>Dual-predicate admission, bounded worker pools and the three ML execution lanes</v>
      </c>
      <c r="F128" s="70" t="str">
        <f>IF(INDEX(Backlog!$K$2:$K$188,MATCH($D128,Backlog!$A$2:$A$188,0))="","",INDEX(Backlog!$K$2:$K$188,MATCH($D128,Backlog!$A$2:$A$188,0)))</f>
        <v>Not Started</v>
      </c>
      <c r="G128" s="38">
        <f>IF(ISNUMBER(INDEX(Backlog!$AS$2:$AS$188,MATCH($D128,Backlog!$A$2:$A$188,0))),INDEX(Backlog!$AS$2:$AS$188,MATCH($D128,Backlog!$A$2:$A$188,0)),"")</f>
        <v>16</v>
      </c>
      <c r="H128" s="38">
        <f>IF(ISNUMBER(INDEX(Backlog!$AT$2:$AT$188,MATCH($D128,Backlog!$A$2:$A$188,0))),INDEX(Backlog!$AT$2:$AT$188,MATCH($D128,Backlog!$A$2:$A$188,0)),"")</f>
        <v>1.7999999999999998</v>
      </c>
      <c r="I128" s="38" t="str">
        <f>IF(INDEX(Backlog!$M$2:$M$188,MATCH($D128,Backlog!$A$2:$A$188,0))="","",INDEX(Backlog!$M$2:$M$188,MATCH($D128,Backlog!$A$2:$A$188,0)))</f>
        <v>T-095; T-096; T-097; T-098; T-099; T-100; T-101; T-102; T-103; T-104; T-106</v>
      </c>
      <c r="J128" s="38" t="str">
        <f>IF(INDEX(Backlog!$T$2:$T$188,MATCH($D128,Backlog!$A$2:$A$188,0))="","",INDEX(Backlog!$T$2:$T$188,MATCH($D128,Backlog!$A$2:$A$188,0)))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T-106 canonical job contract + T-095..T-105 canonical data/relationship path;...</v>
      </c>
      <c r="K128" s="38" t="str">
        <f>IF(INDEX(Backlog!$U$2:$U$188,MATCH($D128,Backlog!$A$2:$A$188,0))="","",INDEX(Backlog!$U$2:$U$188,MATCH($D128,Backlog!$A$2:$A$188,0)))</f>
        <v>Own T-106/T-107/T-109 only after W1 producer contracts; no schema authority rewrites.</v>
      </c>
      <c r="L128" s="38" t="str">
        <f>IF(INDEX(Backlog!$V$2:$V$188,MATCH($D128,Backlog!$A$2:$A$188,0))="","",INDEX(Backlog!$V$2:$V$188,MATCH($D128,Backlog!$A$2:$A$188,0)))</f>
        <v>Commit before downstream consumer starts; consumer must use the contract, not redesign producer-owned semantics.</v>
      </c>
      <c r="M128" s="32" t="str">
        <f>IF(INDEX(Backlog!$AO$2:$AO$188,MATCH($D128,Backlog!$A$2:$A$188,0))="","",INDEX(Backlog!$AO$2:$AO$188,MATCH($D128,Backlog!$A$2:$A$188,0)))</f>
        <v>Not started — no completion claimed</v>
      </c>
      <c r="N128" s="32" t="str">
        <f>IF(INDEX(Backlog!$AN$2:$AN$188,MATCH($D128,Backlog!$A$2:$A$188,0))="","",INDEX(Backlog!$AN$2:$AN$188,MATCH($D128,Backlog!$A$2:$A$188,0)))</f>
        <v/>
      </c>
    </row>
    <row r="129" spans="1:14" ht="26.1" customHeight="1">
      <c r="A129" s="38" t="str">
        <f>IF(INDEX(Backlog!$L$2:$L$188,MATCH($D129,Backlog!$A$2:$A$188,0))="","",INDEX(Backlog!$L$2:$L$188,MATCH($D129,Backlog!$A$2:$A$188,0)))</f>
        <v>Worker 3</v>
      </c>
      <c r="B129" s="38" t="str">
        <f>IF(INDEX(Backlog!$B$2:$B$188,MATCH($D129,Backlog!$A$2:$A$188,0))="","",INDEX(Backlog!$B$2:$B$188,MATCH($D129,Backlog!$A$2:$A$188,0)))</f>
        <v>M2</v>
      </c>
      <c r="C129" s="38" t="str">
        <f>IF(INDEX(Backlog!$C$2:$C$188,MATCH($D129,Backlog!$A$2:$A$188,0))="","",INDEX(Backlog!$C$2:$C$188,MATCH($D129,Backlog!$A$2:$A$188,0)))</f>
        <v>P2</v>
      </c>
      <c r="D129" s="38" t="s">
        <v>559</v>
      </c>
      <c r="E129" s="38" t="str">
        <f>IF(INDEX(Backlog!$D$2:$D$188,MATCH($D129,Backlog!$A$2:$A$188,0))="","",INDEX(Backlog!$D$2:$D$188,MATCH($D129,Backlog!$A$2:$A$188,0)))</f>
        <v>Delta-scoped feature refresh and analysis, with telemetry and ML hand-off</v>
      </c>
      <c r="F129" s="70" t="str">
        <f>IF(INDEX(Backlog!$K$2:$K$188,MATCH($D129,Backlog!$A$2:$A$188,0))="","",INDEX(Backlog!$K$2:$K$188,MATCH($D129,Backlog!$A$2:$A$188,0)))</f>
        <v>Not Started</v>
      </c>
      <c r="G129" s="38">
        <f>IF(ISNUMBER(INDEX(Backlog!$AS$2:$AS$188,MATCH($D129,Backlog!$A$2:$A$188,0))),INDEX(Backlog!$AS$2:$AS$188,MATCH($D129,Backlog!$A$2:$A$188,0)),"")</f>
        <v>6</v>
      </c>
      <c r="H129" s="38">
        <f>IF(ISNUMBER(INDEX(Backlog!$AT$2:$AT$188,MATCH($D129,Backlog!$A$2:$A$188,0))),INDEX(Backlog!$AT$2:$AT$188,MATCH($D129,Backlog!$A$2:$A$188,0)),"")</f>
        <v>0.89999999999999991</v>
      </c>
      <c r="I129" s="38" t="str">
        <f>IF(INDEX(Backlog!$M$2:$M$188,MATCH($D129,Backlog!$A$2:$A$188,0))="","",INDEX(Backlog!$M$2:$M$188,MATCH($D129,Backlog!$A$2:$A$188,0)))</f>
        <v>T-095; T-096; T-097; T-098; T-099; T-100; T-101; T-102; T-103; T-104; T-108</v>
      </c>
      <c r="J129" s="38" t="str">
        <f>IF(INDEX(Backlog!$T$2:$T$188,MATCH($D129,Backlog!$A$2:$A$188,0))="","",INDEX(Backlog!$T$2:$T$188,MATCH($D129,Backlog!$A$2:$A$188,0)))</f>
        <v>Use the accepted M1 regression baseline; require empty index and clean owned paths, preserving unrelated user work. Then: T-095..T-105; T-108</v>
      </c>
      <c r="K129" s="38" t="str">
        <f>IF(INDEX(Backlog!$U$2:$U$188,MATCH($D129,Backlog!$A$2:$A$188,0))="","",INDEX(Backlog!$U$2:$U$188,MATCH($D129,Backlog!$A$2:$A$188,0)))</f>
        <v>Own T-106/T-107/T-109 only after W1 producer contracts; no schema authority rewrites.</v>
      </c>
      <c r="L129" s="38" t="str">
        <f>IF(INDEX(Backlog!$V$2:$V$188,MATCH($D129,Backlog!$A$2:$A$188,0))="","",INDEX(Backlog!$V$2:$V$188,MATCH($D129,Backlog!$A$2:$A$188,0)))</f>
        <v>Commit before downstream consumer starts; consumer must use the contract, not redesign producer-owned semantics.</v>
      </c>
      <c r="M129" s="32" t="str">
        <f>IF(INDEX(Backlog!$AO$2:$AO$188,MATCH($D129,Backlog!$A$2:$A$188,0))="","",INDEX(Backlog!$AO$2:$AO$188,MATCH($D129,Backlog!$A$2:$A$188,0)))</f>
        <v>Not started — no completion claimed</v>
      </c>
      <c r="N129" s="32" t="str">
        <f>IF(INDEX(Backlog!$AN$2:$AN$188,MATCH($D129,Backlog!$A$2:$A$188,0))="","",INDEX(Backlog!$AN$2:$AN$188,MATCH($D129,Backlog!$A$2:$A$188,0)))</f>
        <v/>
      </c>
    </row>
    <row r="130" spans="1:14" ht="26.1" customHeight="1">
      <c r="A130" s="38" t="str">
        <f>IF(INDEX(Backlog!$L$2:$L$188,MATCH($D130,Backlog!$A$2:$A$188,0))="","",INDEX(Backlog!$L$2:$L$188,MATCH($D130,Backlog!$A$2:$A$188,0)))</f>
        <v>Worker 3</v>
      </c>
      <c r="B130" s="38" t="str">
        <f>IF(INDEX(Backlog!$B$2:$B$188,MATCH($D130,Backlog!$A$2:$A$188,0))="","",INDEX(Backlog!$B$2:$B$188,MATCH($D130,Backlog!$A$2:$A$188,0)))</f>
        <v>M2</v>
      </c>
      <c r="C130" s="38" t="str">
        <f>IF(INDEX(Backlog!$C$2:$C$188,MATCH($D130,Backlog!$A$2:$A$188,0))="","",INDEX(Backlog!$C$2:$C$188,MATCH($D130,Backlog!$A$2:$A$188,0)))</f>
        <v>P4</v>
      </c>
      <c r="D130" s="38" t="s">
        <v>990</v>
      </c>
      <c r="E130" s="38" t="str">
        <f>IF(INDEX(Backlog!$D$2:$D$188,MATCH($D130,Backlog!$A$2:$A$188,0))="","",INDEX(Backlog!$D$2:$D$188,MATCH($D130,Backlog!$A$2:$A$188,0)))</f>
        <v>Aggregation semantics execution kernel with continuous known answers</v>
      </c>
      <c r="F130" s="70" t="str">
        <f>IF(INDEX(Backlog!$K$2:$K$188,MATCH($D130,Backlog!$A$2:$A$188,0))="","",INDEX(Backlog!$K$2:$K$188,MATCH($D130,Backlog!$A$2:$A$188,0)))</f>
        <v>Not Started</v>
      </c>
      <c r="G130" s="38">
        <f>IF(ISNUMBER(INDEX(Backlog!$AS$2:$AS$188,MATCH($D130,Backlog!$A$2:$A$188,0))),INDEX(Backlog!$AS$2:$AS$188,MATCH($D130,Backlog!$A$2:$A$188,0)),"")</f>
        <v>10</v>
      </c>
      <c r="H130" s="38">
        <f>IF(ISNUMBER(INDEX(Backlog!$AT$2:$AT$188,MATCH($D130,Backlog!$A$2:$A$188,0))),INDEX(Backlog!$AT$2:$AT$188,MATCH($D130,Backlog!$A$2:$A$188,0)),"")</f>
        <v>2.5</v>
      </c>
      <c r="I130" s="38" t="str">
        <f>IF(INDEX(Backlog!$M$2:$M$188,MATCH($D130,Backlog!$A$2:$A$188,0))="","",INDEX(Backlog!$M$2:$M$188,MATCH($D130,Backlog!$A$2:$A$188,0)))</f>
        <v>T-208; T-210</v>
      </c>
      <c r="J130" s="38" t="str">
        <f>IF(INDEX(Backlog!$T$2:$T$188,MATCH($D130,Backlog!$A$2:$A$188,0))="","",INDEX(Backlog!$T$2:$T$188,MATCH($D130,Backlog!$A$2:$A$188,0)))</f>
        <v>T-208 fixture + T-210 frozen contract. No production DI/persistence until consumer hand-off.</v>
      </c>
      <c r="K130" s="38" t="str">
        <f>IF(INDEX(Backlog!$U$2:$U$188,MATCH($D130,Backlog!$A$2:$A$188,0))="","",INDEX(Backlog!$U$2:$U$188,MATCH($D130,Backlog!$A$2:$A$188,0)))</f>
        <v>New analytics kernel/tests only.</v>
      </c>
      <c r="L130" s="38" t="str">
        <f>IF(INDEX(Backlog!$V$2:$V$188,MATCH($D130,Backlog!$A$2:$A$188,0))="","",INDEX(Backlog!$V$2:$V$188,MATCH($D130,Backlog!$A$2:$A$188,0)))</f>
        <v>T-212 consumes this kernel unchanged; W3 does not edit dashboard query files.</v>
      </c>
      <c r="M130" s="32" t="str">
        <f>IF(INDEX(Backlog!$AO$2:$AO$188,MATCH($D130,Backlog!$A$2:$A$188,0))="","",INDEX(Backlog!$AO$2:$AO$188,MATCH($D130,Backlog!$A$2:$A$188,0)))</f>
        <v>Not started — no completion claimed</v>
      </c>
      <c r="N130" s="32" t="str">
        <f>IF(INDEX(Backlog!$AN$2:$AN$188,MATCH($D130,Backlog!$A$2:$A$188,0))="","",INDEX(Backlog!$AN$2:$AN$188,MATCH($D130,Backlog!$A$2:$A$188,0)))</f>
        <v/>
      </c>
    </row>
    <row r="131" spans="1:14" ht="26.1" customHeight="1">
      <c r="A131" s="38" t="str">
        <f>IF(INDEX(Backlog!$L$2:$L$188,MATCH($D131,Backlog!$A$2:$A$188,0))="","",INDEX(Backlog!$L$2:$L$188,MATCH($D131,Backlog!$A$2:$A$188,0)))</f>
        <v>Worker 3</v>
      </c>
      <c r="B131" s="38" t="str">
        <f>IF(INDEX(Backlog!$B$2:$B$188,MATCH($D131,Backlog!$A$2:$A$188,0))="","",INDEX(Backlog!$B$2:$B$188,MATCH($D131,Backlog!$A$2:$A$188,0)))</f>
        <v>M2</v>
      </c>
      <c r="C131" s="38" t="str">
        <f>IF(INDEX(Backlog!$C$2:$C$188,MATCH($D131,Backlog!$A$2:$A$188,0))="","",INDEX(Backlog!$C$2:$C$188,MATCH($D131,Backlog!$A$2:$A$188,0)))</f>
        <v>P4</v>
      </c>
      <c r="D131" s="38" t="s">
        <v>1002</v>
      </c>
      <c r="E131" s="38" t="str">
        <f>IF(INDEX(Backlog!$D$2:$D$188,MATCH($D131,Backlog!$A$2:$A$188,0))="","",INDEX(Backlog!$D$2:$D$188,MATCH($D131,Backlog!$A$2:$A$188,0)))</f>
        <v>Performance Reference contract, precedence and scoring-semantics kernel</v>
      </c>
      <c r="F131" s="70" t="str">
        <f>IF(INDEX(Backlog!$K$2:$K$188,MATCH($D131,Backlog!$A$2:$A$188,0))="","",INDEX(Backlog!$K$2:$K$188,MATCH($D131,Backlog!$A$2:$A$188,0)))</f>
        <v>Not Started</v>
      </c>
      <c r="G131" s="38">
        <f>IF(ISNUMBER(INDEX(Backlog!$AS$2:$AS$188,MATCH($D131,Backlog!$A$2:$A$188,0))),INDEX(Backlog!$AS$2:$AS$188,MATCH($D131,Backlog!$A$2:$A$188,0)),"")</f>
        <v>6</v>
      </c>
      <c r="H131" s="38">
        <f>IF(ISNUMBER(INDEX(Backlog!$AT$2:$AT$188,MATCH($D131,Backlog!$A$2:$A$188,0))),INDEX(Backlog!$AT$2:$AT$188,MATCH($D131,Backlog!$A$2:$A$188,0)),"")</f>
        <v>1.5</v>
      </c>
      <c r="I131" s="38" t="str">
        <f>IF(INDEX(Backlog!$M$2:$M$188,MATCH($D131,Backlog!$A$2:$A$188,0))="","",INDEX(Backlog!$M$2:$M$188,MATCH($D131,Backlog!$A$2:$A$188,0)))</f>
        <v>T-209</v>
      </c>
      <c r="J131" s="38" t="str">
        <f>IF(INDEX(Backlog!$T$2:$T$188,MATCH($D131,Backlog!$A$2:$A$188,0))="","",INDEX(Backlog!$T$2:$T$188,MATCH($D131,Backlog!$A$2:$A$188,0)))</f>
        <v>T-209 frozen generic subject contract.</v>
      </c>
      <c r="K131" s="38" t="str">
        <f>IF(INDEX(Backlog!$U$2:$U$188,MATCH($D131,Backlog!$A$2:$A$188,0))="","",INDEX(Backlog!$U$2:$U$188,MATCH($D131,Backlog!$A$2:$A$188,0)))</f>
        <v>Reference contract/resolver tests only.</v>
      </c>
      <c r="L131" s="38" t="str">
        <f>IF(INDEX(Backlog!$V$2:$V$188,MATCH($D131,Backlog!$A$2:$A$188,0))="","",INDEX(Backlog!$V$2:$V$188,MATCH($D131,Backlog!$A$2:$A$188,0)))</f>
        <v>T-232 persists reference authority; consumers do not redefine scoring semantics.</v>
      </c>
      <c r="M131" s="32" t="str">
        <f>IF(INDEX(Backlog!$AO$2:$AO$188,MATCH($D131,Backlog!$A$2:$A$188,0))="","",INDEX(Backlog!$AO$2:$AO$188,MATCH($D131,Backlog!$A$2:$A$188,0)))</f>
        <v>Not started — no completion claimed</v>
      </c>
      <c r="N131" s="32" t="str">
        <f>IF(INDEX(Backlog!$AN$2:$AN$188,MATCH($D131,Backlog!$A$2:$A$188,0))="","",INDEX(Backlog!$AN$2:$AN$188,MATCH($D131,Backlog!$A$2:$A$188,0)))</f>
        <v/>
      </c>
    </row>
    <row r="132" spans="1:14" ht="26.1" customHeight="1">
      <c r="A132" s="38" t="str">
        <f>IF(INDEX(Backlog!$L$2:$L$188,MATCH($D132,Backlog!$A$2:$A$188,0))="","",INDEX(Backlog!$L$2:$L$188,MATCH($D132,Backlog!$A$2:$A$188,0)))</f>
        <v>Worker 3</v>
      </c>
      <c r="B132" s="38" t="str">
        <f>IF(INDEX(Backlog!$B$2:$B$188,MATCH($D132,Backlog!$A$2:$A$188,0))="","",INDEX(Backlog!$B$2:$B$188,MATCH($D132,Backlog!$A$2:$A$188,0)))</f>
        <v>M2</v>
      </c>
      <c r="C132" s="38" t="str">
        <f>IF(INDEX(Backlog!$C$2:$C$188,MATCH($D132,Backlog!$A$2:$A$188,0))="","",INDEX(Backlog!$C$2:$C$188,MATCH($D132,Backlog!$A$2:$A$188,0)))</f>
        <v>P4</v>
      </c>
      <c r="D132" s="38" t="s">
        <v>1011</v>
      </c>
      <c r="E132" s="38" t="str">
        <f>IF(INDEX(Backlog!$D$2:$D$188,MATCH($D132,Backlog!$A$2:$A$188,0))="","",INDEX(Backlog!$D$2:$D$188,MATCH($D132,Backlog!$A$2:$A$188,0)))</f>
        <v>Temporal evidence alignment kernel</v>
      </c>
      <c r="F132" s="70" t="str">
        <f>IF(INDEX(Backlog!$K$2:$K$188,MATCH($D132,Backlog!$A$2:$A$188,0))="","",INDEX(Backlog!$K$2:$K$188,MATCH($D132,Backlog!$A$2:$A$188,0)))</f>
        <v>Done</v>
      </c>
      <c r="G132" s="38">
        <f>IF(ISNUMBER(INDEX(Backlog!$AS$2:$AS$188,MATCH($D132,Backlog!$A$2:$A$188,0))),INDEX(Backlog!$AS$2:$AS$188,MATCH($D132,Backlog!$A$2:$A$188,0)),"")</f>
        <v>10</v>
      </c>
      <c r="H132" s="38">
        <f>IF(ISNUMBER(INDEX(Backlog!$AT$2:$AT$188,MATCH($D132,Backlog!$A$2:$A$188,0))),INDEX(Backlog!$AT$2:$AT$188,MATCH($D132,Backlog!$A$2:$A$188,0)),"")</f>
        <v>2.5</v>
      </c>
      <c r="I132" s="38" t="str">
        <f>IF(INDEX(Backlog!$M$2:$M$188,MATCH($D132,Backlog!$A$2:$A$188,0))="","",INDEX(Backlog!$M$2:$M$188,MATCH($D132,Backlog!$A$2:$A$188,0)))</f>
        <v>T-208; T-216</v>
      </c>
      <c r="J132" s="38" t="str">
        <f>IF(INDEX(Backlog!$T$2:$T$188,MATCH($D132,Backlog!$A$2:$A$188,0))="","",INDEX(Backlog!$T$2:$T$188,MATCH($D132,Backlog!$A$2:$A$188,0)))</f>
        <v>CLOSED BASELINE — no new start gate and no re-execution implied. Preserve accepted closure and clean owned scope; reopen only on a concrete, separately recorded regression. Downstream consumes the frozen contract.</v>
      </c>
      <c r="K132" s="38" t="str">
        <f>IF(INDEX(Backlog!$U$2:$U$188,MATCH($D132,Backlog!$A$2:$A$188,0))="","",INDEX(Backlog!$U$2:$U$188,MATCH($D132,Backlog!$A$2:$A$188,0)))</f>
        <v>New temporal kernel/tests only.</v>
      </c>
      <c r="L132" s="38" t="str">
        <f>IF(INDEX(Backlog!$V$2:$V$188,MATCH($D132,Backlog!$A$2:$A$188,0))="","",INDEX(Backlog!$V$2:$V$188,MATCH($D132,Backlog!$A$2:$A$188,0)))</f>
        <v>T-219 consumes alignment output; does not reimplement clock logic.</v>
      </c>
      <c r="M132" s="32" t="str">
        <f>IF(INDEX(Backlog!$AO$2:$AO$188,MATCH($D132,Backlog!$A$2:$A$188,0))="","",INDEX(Backlog!$AO$2:$AO$188,MATCH($D132,Backlog!$A$2:$A$188,0)))</f>
        <v>Recorded closed — inherited evidence</v>
      </c>
      <c r="N132" s="32" t="str">
        <f>IF(INDEX(Backlog!$AN$2:$AN$188,MATCH($D132,Backlog!$A$2:$A$188,0))="","",INDEX(Backlog!$AN$2:$AN$188,MATCH($D132,Backlog!$A$2:$A$188,0)))</f>
        <v/>
      </c>
    </row>
    <row r="133" spans="1:14" ht="26.1" customHeight="1">
      <c r="A133" s="38" t="str">
        <f>IF(INDEX(Backlog!$L$2:$L$188,MATCH($D133,Backlog!$A$2:$A$188,0))="","",INDEX(Backlog!$L$2:$L$188,MATCH($D133,Backlog!$A$2:$A$188,0)))</f>
        <v>Worker 3</v>
      </c>
      <c r="B133" s="38" t="str">
        <f>IF(INDEX(Backlog!$B$2:$B$188,MATCH($D133,Backlog!$A$2:$A$188,0))="","",INDEX(Backlog!$B$2:$B$188,MATCH($D133,Backlog!$A$2:$A$188,0)))</f>
        <v>M2</v>
      </c>
      <c r="C133" s="38" t="str">
        <f>IF(INDEX(Backlog!$C$2:$C$188,MATCH($D133,Backlog!$A$2:$A$188,0))="","",INDEX(Backlog!$C$2:$C$188,MATCH($D133,Backlog!$A$2:$A$188,0)))</f>
        <v>P4</v>
      </c>
      <c r="D133" s="38" t="s">
        <v>1021</v>
      </c>
      <c r="E133" s="38" t="str">
        <f>IF(INDEX(Backlog!$D$2:$D$188,MATCH($D133,Backlog!$A$2:$A$188,0))="","",INDEX(Backlog!$D$2:$D$188,MATCH($D133,Backlog!$A$2:$A$188,0)))</f>
        <v>Fact Evidence Authority resolution kernel</v>
      </c>
      <c r="F133" s="70" t="str">
        <f>IF(INDEX(Backlog!$K$2:$K$188,MATCH($D133,Backlog!$A$2:$A$188,0))="","",INDEX(Backlog!$K$2:$K$188,MATCH($D133,Backlog!$A$2:$A$188,0)))</f>
        <v>Done</v>
      </c>
      <c r="G133" s="38">
        <f>IF(ISNUMBER(INDEX(Backlog!$AS$2:$AS$188,MATCH($D133,Backlog!$A$2:$A$188,0))),INDEX(Backlog!$AS$2:$AS$188,MATCH($D133,Backlog!$A$2:$A$188,0)),"")</f>
        <v>8</v>
      </c>
      <c r="H133" s="38">
        <f>IF(ISNUMBER(INDEX(Backlog!$AT$2:$AT$188,MATCH($D133,Backlog!$A$2:$A$188,0))),INDEX(Backlog!$AT$2:$AT$188,MATCH($D133,Backlog!$A$2:$A$188,0)),"")</f>
        <v>2</v>
      </c>
      <c r="I133" s="38" t="str">
        <f>IF(INDEX(Backlog!$M$2:$M$188,MATCH($D133,Backlog!$A$2:$A$188,0))="","",INDEX(Backlog!$M$2:$M$188,MATCH($D133,Backlog!$A$2:$A$188,0)))</f>
        <v>T-208</v>
      </c>
      <c r="J133" s="38" t="str">
        <f>IF(INDEX(Backlog!$T$2:$T$188,MATCH($D133,Backlog!$A$2:$A$188,0))="","",INDEX(Backlog!$T$2:$T$188,MATCH($D133,Backlog!$A$2:$A$188,0)))</f>
        <v>CLOSED BASELINE — no new start gate and no re-execution implied. Preserve accepted closure and clean owned scope; reopen only on a concrete, separately recorded regression. Downstream consumes the frozen contract.</v>
      </c>
      <c r="K133" s="38" t="str">
        <f>IF(INDEX(Backlog!$U$2:$U$188,MATCH($D133,Backlog!$A$2:$A$188,0))="","",INDEX(Backlog!$U$2:$U$188,MATCH($D133,Backlog!$A$2:$A$188,0)))</f>
        <v>New evidence-authority contracts/kernel/tests.</v>
      </c>
      <c r="L133" s="38" t="str">
        <f>IF(INDEX(Backlog!$V$2:$V$188,MATCH($D133,Backlog!$A$2:$A$188,0))="","",INDEX(Backlog!$V$2:$V$188,MATCH($D133,Backlog!$A$2:$A$188,0)))</f>
        <v>T-219 consumes authority result; no source priority duplicated elsewhere.</v>
      </c>
      <c r="M133" s="32" t="str">
        <f>IF(INDEX(Backlog!$AO$2:$AO$188,MATCH($D133,Backlog!$A$2:$A$188,0))="","",INDEX(Backlog!$AO$2:$AO$188,MATCH($D133,Backlog!$A$2:$A$188,0)))</f>
        <v>Recorded closed — inherited evidence</v>
      </c>
      <c r="N133" s="32" t="str">
        <f>IF(INDEX(Backlog!$AN$2:$AN$188,MATCH($D133,Backlog!$A$2:$A$188,0))="","",INDEX(Backlog!$AN$2:$AN$188,MATCH($D133,Backlog!$A$2:$A$188,0)))</f>
        <v/>
      </c>
    </row>
    <row r="134" spans="1:14" ht="26.1" customHeight="1">
      <c r="A134" s="38" t="str">
        <f>IF(INDEX(Backlog!$L$2:$L$188,MATCH($D134,Backlog!$A$2:$A$188,0))="","",INDEX(Backlog!$L$2:$L$188,MATCH($D134,Backlog!$A$2:$A$188,0)))</f>
        <v>Worker 3</v>
      </c>
      <c r="B134" s="38" t="str">
        <f>IF(INDEX(Backlog!$B$2:$B$188,MATCH($D134,Backlog!$A$2:$A$188,0))="","",INDEX(Backlog!$B$2:$B$188,MATCH($D134,Backlog!$A$2:$A$188,0)))</f>
        <v>M2</v>
      </c>
      <c r="C134" s="38" t="str">
        <f>IF(INDEX(Backlog!$C$2:$C$188,MATCH($D134,Backlog!$A$2:$A$188,0))="","",INDEX(Backlog!$C$2:$C$188,MATCH($D134,Backlog!$A$2:$A$188,0)))</f>
        <v>P4</v>
      </c>
      <c r="D134" s="38" t="s">
        <v>1026</v>
      </c>
      <c r="E134" s="38" t="str">
        <f>IF(INDEX(Backlog!$D$2:$D$188,MATCH($D134,Backlog!$A$2:$A$188,0))="","",INDEX(Backlog!$D$2:$D$188,MATCH($D134,Backlog!$A$2:$A$188,0)))</f>
        <v>Operational Evidence Reconciliation kernel and seven-state taxonomy</v>
      </c>
      <c r="F134" s="70" t="str">
        <f>IF(INDEX(Backlog!$K$2:$K$188,MATCH($D134,Backlog!$A$2:$A$188,0))="","",INDEX(Backlog!$K$2:$K$188,MATCH($D134,Backlog!$A$2:$A$188,0)))</f>
        <v>Done</v>
      </c>
      <c r="G134" s="38">
        <f>IF(ISNUMBER(INDEX(Backlog!$AS$2:$AS$188,MATCH($D134,Backlog!$A$2:$A$188,0))),INDEX(Backlog!$AS$2:$AS$188,MATCH($D134,Backlog!$A$2:$A$188,0)),"")</f>
        <v>12</v>
      </c>
      <c r="H134" s="38">
        <f>IF(ISNUMBER(INDEX(Backlog!$AT$2:$AT$188,MATCH($D134,Backlog!$A$2:$A$188,0))),INDEX(Backlog!$AT$2:$AT$188,MATCH($D134,Backlog!$A$2:$A$188,0)),"")</f>
        <v>3.2</v>
      </c>
      <c r="I134" s="38" t="str">
        <f>IF(INDEX(Backlog!$M$2:$M$188,MATCH($D134,Backlog!$A$2:$A$188,0))="","",INDEX(Backlog!$M$2:$M$188,MATCH($D134,Backlog!$A$2:$A$188,0)))</f>
        <v>T-217; T-218; T-236</v>
      </c>
      <c r="J134" s="38" t="str">
        <f>IF(INDEX(Backlog!$T$2:$T$188,MATCH($D134,Backlog!$A$2:$A$188,0))="","",INDEX(Backlog!$T$2:$T$188,MATCH($D134,Backlog!$A$2:$A$188,0)))</f>
        <v>CLOSED BASELINE — no new start gate and no re-execution implied. Preserve accepted closure and clean owned scope; reopen only on a concrete, separately recorded regression. Downstream consumes the frozen contract.</v>
      </c>
      <c r="K134" s="38" t="str">
        <f>IF(INDEX(Backlog!$U$2:$U$188,MATCH($D134,Backlog!$A$2:$A$188,0))="","",INDEX(Backlog!$U$2:$U$188,MATCH($D134,Backlog!$A$2:$A$188,0)))</f>
        <v>New reconciliation kernel/tests only.</v>
      </c>
      <c r="L134" s="38" t="str">
        <f>IF(INDEX(Backlog!$V$2:$V$188,MATCH($D134,Backlog!$A$2:$A$188,0))="","",INDEX(Backlog!$V$2:$V$188,MATCH($D134,Backlog!$A$2:$A$188,0)))</f>
        <v>T-220 adds claim confidence; T-221 persists output after canonical/security hand-off.</v>
      </c>
      <c r="M134" s="32" t="str">
        <f>IF(INDEX(Backlog!$AO$2:$AO$188,MATCH($D134,Backlog!$A$2:$A$188,0))="","",INDEX(Backlog!$AO$2:$AO$188,MATCH($D134,Backlog!$A$2:$A$188,0)))</f>
        <v>Recorded closed — inherited evidence</v>
      </c>
      <c r="N134" s="32" t="str">
        <f>IF(INDEX(Backlog!$AN$2:$AN$188,MATCH($D134,Backlog!$A$2:$A$188,0))="","",INDEX(Backlog!$AN$2:$AN$188,MATCH($D134,Backlog!$A$2:$A$188,0)))</f>
        <v/>
      </c>
    </row>
    <row r="135" spans="1:14" ht="26.1" customHeight="1">
      <c r="A135" s="38" t="str">
        <f>IF(INDEX(Backlog!$L$2:$L$188,MATCH($D135,Backlog!$A$2:$A$188,0))="","",INDEX(Backlog!$L$2:$L$188,MATCH($D135,Backlog!$A$2:$A$188,0)))</f>
        <v>Worker 3</v>
      </c>
      <c r="B135" s="38" t="str">
        <f>IF(INDEX(Backlog!$B$2:$B$188,MATCH($D135,Backlog!$A$2:$A$188,0))="","",INDEX(Backlog!$B$2:$B$188,MATCH($D135,Backlog!$A$2:$A$188,0)))</f>
        <v>M2</v>
      </c>
      <c r="C135" s="38" t="str">
        <f>IF(INDEX(Backlog!$C$2:$C$188,MATCH($D135,Backlog!$A$2:$A$188,0))="","",INDEX(Backlog!$C$2:$C$188,MATCH($D135,Backlog!$A$2:$A$188,0)))</f>
        <v>P4</v>
      </c>
      <c r="D135" s="38" t="s">
        <v>1037</v>
      </c>
      <c r="E135" s="38" t="str">
        <f>IF(INDEX(Backlog!$D$2:$D$188,MATCH($D135,Backlog!$A$2:$A$188,0))="","",INDEX(Backlog!$D$2:$D$188,MATCH($D135,Backlog!$A$2:$A$188,0)))</f>
        <v>Causal Confidence Ladder and root-cause hypothesis evaluator</v>
      </c>
      <c r="F135" s="70" t="str">
        <f>IF(INDEX(Backlog!$K$2:$K$188,MATCH($D135,Backlog!$A$2:$A$188,0))="","",INDEX(Backlog!$K$2:$K$188,MATCH($D135,Backlog!$A$2:$A$188,0)))</f>
        <v>Done</v>
      </c>
      <c r="G135" s="38">
        <f>IF(ISNUMBER(INDEX(Backlog!$AS$2:$AS$188,MATCH($D135,Backlog!$A$2:$A$188,0))),INDEX(Backlog!$AS$2:$AS$188,MATCH($D135,Backlog!$A$2:$A$188,0)),"")</f>
        <v>8</v>
      </c>
      <c r="H135" s="38">
        <f>IF(ISNUMBER(INDEX(Backlog!$AT$2:$AT$188,MATCH($D135,Backlog!$A$2:$A$188,0))),INDEX(Backlog!$AT$2:$AT$188,MATCH($D135,Backlog!$A$2:$A$188,0)),"")</f>
        <v>2</v>
      </c>
      <c r="I135" s="38" t="str">
        <f>IF(INDEX(Backlog!$M$2:$M$188,MATCH($D135,Backlog!$A$2:$A$188,0))="","",INDEX(Backlog!$M$2:$M$188,MATCH($D135,Backlog!$A$2:$A$188,0)))</f>
        <v>T-219</v>
      </c>
      <c r="J135" s="38" t="str">
        <f>IF(INDEX(Backlog!$T$2:$T$188,MATCH($D135,Backlog!$A$2:$A$188,0))="","",INDEX(Backlog!$T$2:$T$188,MATCH($D135,Backlog!$A$2:$A$188,0)))</f>
        <v>CLOSED BASELINE — no new start gate and no re-execution implied. Preserve accepted closure and clean owned scope; reopen only on a concrete, separately recorded regression. Downstream consumes the frozen contract.</v>
      </c>
      <c r="K135" s="38" t="str">
        <f>IF(INDEX(Backlog!$U$2:$U$188,MATCH($D135,Backlog!$A$2:$A$188,0))="","",INDEX(Backlog!$U$2:$U$188,MATCH($D135,Backlog!$A$2:$A$188,0)))</f>
        <v>Claim-confidence kernel/tests only.</v>
      </c>
      <c r="L135" s="38" t="str">
        <f>IF(INDEX(Backlog!$V$2:$V$188,MATCH($D135,Backlog!$A$2:$A$188,0))="","",INDEX(Backlog!$V$2:$V$188,MATCH($D135,Backlog!$A$2:$A$188,0)))</f>
        <v>T-221/T-223 consume stored level; UI/LLM never re-derive it.</v>
      </c>
      <c r="M135" s="32" t="str">
        <f>IF(INDEX(Backlog!$AO$2:$AO$188,MATCH($D135,Backlog!$A$2:$A$188,0))="","",INDEX(Backlog!$AO$2:$AO$188,MATCH($D135,Backlog!$A$2:$A$188,0)))</f>
        <v>Recorded closed — inherited evidence</v>
      </c>
      <c r="N135" s="32" t="str">
        <f>IF(INDEX(Backlog!$AN$2:$AN$188,MATCH($D135,Backlog!$A$2:$A$188,0))="","",INDEX(Backlog!$AN$2:$AN$188,MATCH($D135,Backlog!$A$2:$A$188,0)))</f>
        <v/>
      </c>
    </row>
    <row r="136" spans="1:14" ht="26.1" customHeight="1">
      <c r="A136" s="38" t="str">
        <f>IF(INDEX(Backlog!$L$2:$L$188,MATCH($D136,Backlog!$A$2:$A$188,0))="","",INDEX(Backlog!$L$2:$L$188,MATCH($D136,Backlog!$A$2:$A$188,0)))</f>
        <v>Worker 3</v>
      </c>
      <c r="B136" s="38" t="str">
        <f>IF(INDEX(Backlog!$B$2:$B$188,MATCH($D136,Backlog!$A$2:$A$188,0))="","",INDEX(Backlog!$B$2:$B$188,MATCH($D136,Backlog!$A$2:$A$188,0)))</f>
        <v>M2</v>
      </c>
      <c r="C136" s="38" t="str">
        <f>IF(INDEX(Backlog!$C$2:$C$188,MATCH($D136,Backlog!$A$2:$A$188,0))="","",INDEX(Backlog!$C$2:$C$188,MATCH($D136,Backlog!$A$2:$A$188,0)))</f>
        <v>P4</v>
      </c>
      <c r="D136" s="38" t="s">
        <v>1046</v>
      </c>
      <c r="E136" s="38" t="str">
        <f>IF(INDEX(Backlog!$D$2:$D$188,MATCH($D136,Backlog!$A$2:$A$188,0))="","",INDEX(Backlog!$D$2:$D$188,MATCH($D136,Backlog!$A$2:$A$188,0)))</f>
        <v>Canonical reconciliation persistence, evidence handles and bindable source</v>
      </c>
      <c r="F136" s="70" t="str">
        <f>IF(INDEX(Backlog!$K$2:$K$188,MATCH($D136,Backlog!$A$2:$A$188,0))="","",INDEX(Backlog!$K$2:$K$188,MATCH($D136,Backlog!$A$2:$A$188,0)))</f>
        <v>Not Started</v>
      </c>
      <c r="G136" s="38">
        <f>IF(ISNUMBER(INDEX(Backlog!$AS$2:$AS$188,MATCH($D136,Backlog!$A$2:$A$188,0))),INDEX(Backlog!$AS$2:$AS$188,MATCH($D136,Backlog!$A$2:$A$188,0)),"")</f>
        <v>12</v>
      </c>
      <c r="H136" s="38">
        <f>IF(ISNUMBER(INDEX(Backlog!$AT$2:$AT$188,MATCH($D136,Backlog!$A$2:$A$188,0))),INDEX(Backlog!$AT$2:$AT$188,MATCH($D136,Backlog!$A$2:$A$188,0)),"")</f>
        <v>5.4</v>
      </c>
      <c r="I136" s="38" t="str">
        <f>IF(INDEX(Backlog!$M$2:$M$188,MATCH($D136,Backlog!$A$2:$A$188,0))="","",INDEX(Backlog!$M$2:$M$188,MATCH($D136,Backlog!$A$2:$A$188,0)))</f>
        <v>T-112; T-114; T-090; T-095; T-096; T-219; T-220; T-233</v>
      </c>
      <c r="J136" s="38" t="str">
        <f>IF(INDEX(Backlog!$T$2:$T$188,MATCH($D136,Backlog!$A$2:$A$188,0))="","",INDEX(Backlog!$T$2:$T$188,MATCH($D136,Backlog!$A$2:$A$188,0)))</f>
        <v>T-112 + T-114 + T-090 + T-095/T-096 + T-219 + T-220. If security hand-off is not green, remain on pure-kernel evidence and do not create insecure tables.</v>
      </c>
      <c r="K136" s="38" t="str">
        <f>IF(INDEX(Backlog!$U$2:$U$188,MATCH($D136,Backlog!$A$2:$A$188,0))="","",INDEX(Backlog!$U$2:$U$188,MATCH($D136,Backlog!$A$2:$A$188,0)))</f>
        <v>Reconciliation persistence/registry/evidence only.</v>
      </c>
      <c r="L136" s="38" t="str">
        <f>IF(INDEX(Backlog!$V$2:$V$188,MATCH($D136,Backlog!$A$2:$A$188,0))="","",INDEX(Backlog!$V$2:$V$188,MATCH($D136,Backlog!$A$2:$A$188,0)))</f>
        <v>Post-demo canonical convergence. T-222/T-223 must not wait for this table and must not invent a temporary persistence schema.</v>
      </c>
      <c r="M136" s="32" t="str">
        <f>IF(INDEX(Backlog!$AO$2:$AO$188,MATCH($D136,Backlog!$A$2:$A$188,0))="","",INDEX(Backlog!$AO$2:$AO$188,MATCH($D136,Backlog!$A$2:$A$188,0)))</f>
        <v>Not started — no completion claimed</v>
      </c>
      <c r="N136" s="32" t="str">
        <f>IF(INDEX(Backlog!$AN$2:$AN$188,MATCH($D136,Backlog!$A$2:$A$188,0))="","",INDEX(Backlog!$AN$2:$AN$188,MATCH($D136,Backlog!$A$2:$A$188,0)))</f>
        <v/>
      </c>
    </row>
    <row r="137" spans="1:14" ht="26.1" customHeight="1">
      <c r="A137" s="38" t="str">
        <f>IF(INDEX(Backlog!$L$2:$L$188,MATCH($D137,Backlog!$A$2:$A$188,0))="","",INDEX(Backlog!$L$2:$L$188,MATCH($D137,Backlog!$A$2:$A$188,0)))</f>
        <v>Worker 3</v>
      </c>
      <c r="B137" s="38" t="str">
        <f>IF(INDEX(Backlog!$B$2:$B$188,MATCH($D137,Backlog!$A$2:$A$188,0))="","",INDEX(Backlog!$B$2:$B$188,MATCH($D137,Backlog!$A$2:$A$188,0)))</f>
        <v>M2</v>
      </c>
      <c r="C137" s="38" t="str">
        <f>IF(INDEX(Backlog!$C$2:$C$188,MATCH($D137,Backlog!$A$2:$A$188,0))="","",INDEX(Backlog!$C$2:$C$188,MATCH($D137,Backlog!$A$2:$A$188,0)))</f>
        <v>P4</v>
      </c>
      <c r="D137" s="38" t="s">
        <v>1056</v>
      </c>
      <c r="E137" s="38" t="str">
        <f>IF(INDEX(Backlog!$D$2:$D$188,MATCH($D137,Backlog!$A$2:$A$188,0))="","",INDEX(Backlog!$D$2:$D$188,MATCH($D137,Backlog!$A$2:$A$188,0)))</f>
        <v>Grounded Assistant tool for reconciliation and Performance Reference explanation</v>
      </c>
      <c r="F137" s="70" t="str">
        <f>IF(INDEX(Backlog!$K$2:$K$188,MATCH($D137,Backlog!$A$2:$A$188,0))="","",INDEX(Backlog!$K$2:$K$188,MATCH($D137,Backlog!$A$2:$A$188,0)))</f>
        <v>Not Started</v>
      </c>
      <c r="G137" s="38">
        <f>IF(ISNUMBER(INDEX(Backlog!$AS$2:$AS$188,MATCH($D137,Backlog!$A$2:$A$188,0))),INDEX(Backlog!$AS$2:$AS$188,MATCH($D137,Backlog!$A$2:$A$188,0)),"")</f>
        <v>10</v>
      </c>
      <c r="H137" s="38">
        <f>IF(ISNUMBER(INDEX(Backlog!$AT$2:$AT$188,MATCH($D137,Backlog!$A$2:$A$188,0))),INDEX(Backlog!$AT$2:$AT$188,MATCH($D137,Backlog!$A$2:$A$188,0)),"")</f>
        <v>4.25</v>
      </c>
      <c r="I137" s="38" t="str">
        <f>IF(INDEX(Backlog!$M$2:$M$188,MATCH($D137,Backlog!$A$2:$A$188,0))="","",INDEX(Backlog!$M$2:$M$188,MATCH($D137,Backlog!$A$2:$A$188,0)))</f>
        <v>T-179; T-180; T-181; T-214; T-219; T-220</v>
      </c>
      <c r="J137" s="38" t="str">
        <f>IF(INDEX(Backlog!$T$2:$T$188,MATCH($D137,Backlog!$A$2:$A$188,0))="","",INDEX(Backlog!$T$2:$T$188,MATCH($D137,Backlog!$A$2:$A$188,0)))</f>
        <v>T-179/T-180/T-181 CLOSED + T-214 + T-219/T-220. No canonical persistence dependency for September explanation.</v>
      </c>
      <c r="K137" s="38" t="str">
        <f>IF(INDEX(Backlog!$U$2:$U$188,MATCH($D137,Backlog!$A$2:$A$188,0))="","",INDEX(Backlog!$U$2:$U$188,MATCH($D137,Backlog!$A$2:$A$188,0)))</f>
        <v>Assistant tool/evidence pack/verifier only; current dock UI remains Worker-2 owned.</v>
      </c>
      <c r="L137" s="38" t="str">
        <f>IF(INDEX(Backlog!$V$2:$V$188,MATCH($D137,Backlog!$A$2:$A$188,0))="","",INDEX(Backlog!$V$2:$V$188,MATCH($D137,Backlog!$A$2:$A$188,0)))</f>
        <v>T-221 later swaps persistence behind the same evidence contract; Assistant tool does not redesign.</v>
      </c>
      <c r="M137" s="32" t="str">
        <f>IF(INDEX(Backlog!$AO$2:$AO$188,MATCH($D137,Backlog!$A$2:$A$188,0))="","",INDEX(Backlog!$AO$2:$AO$188,MATCH($D137,Backlog!$A$2:$A$188,0)))</f>
        <v>Not started — no completion claimed</v>
      </c>
      <c r="N137" s="32" t="str">
        <f>IF(INDEX(Backlog!$AN$2:$AN$188,MATCH($D137,Backlog!$A$2:$A$188,0))="","",INDEX(Backlog!$AN$2:$AN$188,MATCH($D137,Backlog!$A$2:$A$188,0)))</f>
        <v/>
      </c>
    </row>
    <row r="138" spans="1:14" ht="26.1" customHeight="1">
      <c r="A138" s="38" t="str">
        <f>IF(INDEX(Backlog!$L$2:$L$188,MATCH($D138,Backlog!$A$2:$A$188,0))="","",INDEX(Backlog!$L$2:$L$188,MATCH($D138,Backlog!$A$2:$A$188,0)))</f>
        <v>Worker 3</v>
      </c>
      <c r="B138" s="38" t="str">
        <f>IF(INDEX(Backlog!$B$2:$B$188,MATCH($D138,Backlog!$A$2:$A$188,0))="","",INDEX(Backlog!$B$2:$B$188,MATCH($D138,Backlog!$A$2:$A$188,0)))</f>
        <v>M2</v>
      </c>
      <c r="C138" s="38" t="str">
        <f>IF(INDEX(Backlog!$C$2:$C$188,MATCH($D138,Backlog!$A$2:$A$188,0))="","",INDEX(Backlog!$C$2:$C$188,MATCH($D138,Backlog!$A$2:$A$188,0)))</f>
        <v>P4</v>
      </c>
      <c r="D138" s="38" t="s">
        <v>1068</v>
      </c>
      <c r="E138" s="38" t="str">
        <f>IF(INDEX(Backlog!$D$2:$D$188,MATCH($D138,Backlog!$A$2:$A$188,0))="","",INDEX(Backlog!$D$2:$D$188,MATCH($D138,Backlog!$A$2:$A$188,0)))</f>
        <v>Operational Transition and Stabilisation contract/kernel</v>
      </c>
      <c r="F138" s="70" t="str">
        <f>IF(INDEX(Backlog!$K$2:$K$188,MATCH($D138,Backlog!$A$2:$A$188,0))="","",INDEX(Backlog!$K$2:$K$188,MATCH($D138,Backlog!$A$2:$A$188,0)))</f>
        <v>Done</v>
      </c>
      <c r="G138" s="38">
        <f>IF(ISNUMBER(INDEX(Backlog!$AS$2:$AS$188,MATCH($D138,Backlog!$A$2:$A$188,0))),INDEX(Backlog!$AS$2:$AS$188,MATCH($D138,Backlog!$A$2:$A$188,0)),"")</f>
        <v>8</v>
      </c>
      <c r="H138" s="38">
        <f>IF(ISNUMBER(INDEX(Backlog!$AT$2:$AT$188,MATCH($D138,Backlog!$A$2:$A$188,0))),INDEX(Backlog!$AT$2:$AT$188,MATCH($D138,Backlog!$A$2:$A$188,0)),"")</f>
        <v>2</v>
      </c>
      <c r="I138" s="38" t="str">
        <f>IF(INDEX(Backlog!$M$2:$M$188,MATCH($D138,Backlog!$A$2:$A$188,0))="","",INDEX(Backlog!$M$2:$M$188,MATCH($D138,Backlog!$A$2:$A$188,0)))</f>
        <v>T-208; T-209</v>
      </c>
      <c r="J138" s="38" t="str">
        <f>IF(INDEX(Backlog!$T$2:$T$188,MATCH($D138,Backlog!$A$2:$A$188,0))="","",INDEX(Backlog!$T$2:$T$188,MATCH($D138,Backlog!$A$2:$A$188,0)))</f>
        <v>CLOSED BASELINE — no new start gate and no re-execution implied. Preserve accepted closure and clean owned scope; reopen only on a concrete, separately recorded regression. Downstream consumes the frozen contract.</v>
      </c>
      <c r="K138" s="38" t="str">
        <f>IF(INDEX(Backlog!$U$2:$U$188,MATCH($D138,Backlog!$A$2:$A$188,0))="","",INDEX(Backlog!$U$2:$U$188,MATCH($D138,Backlog!$A$2:$A$188,0)))</f>
        <v>New generic transition/stabilisation contract/tests only.</v>
      </c>
      <c r="L138" s="38" t="str">
        <f>IF(INDEX(Backlog!$V$2:$V$188,MATCH($D138,Backlog!$A$2:$A$188,0))="","",INDEX(Backlog!$V$2:$V$188,MATCH($D138,Backlog!$A$2:$A$188,0)))</f>
        <v>T-235 persists unchanged contract; T-236 consumes it without redefining semantics.</v>
      </c>
      <c r="M138" s="32" t="str">
        <f>IF(INDEX(Backlog!$AO$2:$AO$188,MATCH($D138,Backlog!$A$2:$A$188,0))="","",INDEX(Backlog!$AO$2:$AO$188,MATCH($D138,Backlog!$A$2:$A$188,0)))</f>
        <v>Recorded closed — inherited evidence</v>
      </c>
      <c r="N138" s="32" t="str">
        <f>IF(INDEX(Backlog!$AN$2:$AN$188,MATCH($D138,Backlog!$A$2:$A$188,0))="","",INDEX(Backlog!$AN$2:$AN$188,MATCH($D138,Backlog!$A$2:$A$188,0)))</f>
        <v/>
      </c>
    </row>
    <row r="139" spans="1:14" ht="26.1" customHeight="1">
      <c r="A139" s="38" t="str">
        <f>IF(INDEX(Backlog!$L$2:$L$188,MATCH($D139,Backlog!$A$2:$A$188,0))="","",INDEX(Backlog!$L$2:$L$188,MATCH($D139,Backlog!$A$2:$A$188,0)))</f>
        <v>Worker 3</v>
      </c>
      <c r="B139" s="38" t="str">
        <f>IF(INDEX(Backlog!$B$2:$B$188,MATCH($D139,Backlog!$A$2:$A$188,0))="","",INDEX(Backlog!$B$2:$B$188,MATCH($D139,Backlog!$A$2:$A$188,0)))</f>
        <v>M2</v>
      </c>
      <c r="C139" s="38" t="str">
        <f>IF(INDEX(Backlog!$C$2:$C$188,MATCH($D139,Backlog!$A$2:$A$188,0))="","",INDEX(Backlog!$C$2:$C$188,MATCH($D139,Backlog!$A$2:$A$188,0)))</f>
        <v>P4</v>
      </c>
      <c r="D139" s="38" t="s">
        <v>1078</v>
      </c>
      <c r="E139" s="38" t="str">
        <f>IF(INDEX(Backlog!$D$2:$D$188,MATCH($D139,Backlog!$A$2:$A$188,0))="","",INDEX(Backlog!$D$2:$D$188,MATCH($D139,Backlog!$A$2:$A$188,0)))</f>
        <v>Transition-aware aggregation, statistics and reconciliation guard</v>
      </c>
      <c r="F139" s="70" t="str">
        <f>IF(INDEX(Backlog!$K$2:$K$188,MATCH($D139,Backlog!$A$2:$A$188,0))="","",INDEX(Backlog!$K$2:$K$188,MATCH($D139,Backlog!$A$2:$A$188,0)))</f>
        <v>Done</v>
      </c>
      <c r="G139" s="38">
        <f>IF(ISNUMBER(INDEX(Backlog!$AS$2:$AS$188,MATCH($D139,Backlog!$A$2:$A$188,0))),INDEX(Backlog!$AS$2:$AS$188,MATCH($D139,Backlog!$A$2:$A$188,0)),"")</f>
        <v>10</v>
      </c>
      <c r="H139" s="38">
        <f>IF(ISNUMBER(INDEX(Backlog!$AT$2:$AT$188,MATCH($D139,Backlog!$A$2:$A$188,0))),INDEX(Backlog!$AT$2:$AT$188,MATCH($D139,Backlog!$A$2:$A$188,0)),"")</f>
        <v>2.666666666666667</v>
      </c>
      <c r="I139" s="38" t="str">
        <f>IF(INDEX(Backlog!$M$2:$M$188,MATCH($D139,Backlog!$A$2:$A$188,0))="","",INDEX(Backlog!$M$2:$M$188,MATCH($D139,Backlog!$A$2:$A$188,0)))</f>
        <v>T-217; T-234</v>
      </c>
      <c r="J139" s="38" t="str">
        <f>IF(INDEX(Backlog!$T$2:$T$188,MATCH($D139,Backlog!$A$2:$A$188,0))="","",INDEX(Backlog!$T$2:$T$188,MATCH($D139,Backlog!$A$2:$A$188,0)))</f>
        <v>CLOSED BASELINE — no new start gate and no re-execution implied. Preserve accepted closure and clean owned scope; reopen only on a concrete, separately recorded regression. Downstream consumes the frozen contract.</v>
      </c>
      <c r="K139" s="38" t="str">
        <f>IF(INDEX(Backlog!$U$2:$U$188,MATCH($D139,Backlog!$A$2:$A$188,0))="","",INDEX(Backlog!$U$2:$U$188,MATCH($D139,Backlog!$A$2:$A$188,0)))</f>
        <v>Analytics/reconciliation kernels only.</v>
      </c>
      <c r="L139" s="38" t="str">
        <f>IF(INDEX(Backlog!$V$2:$V$188,MATCH($D139,Backlog!$A$2:$A$188,0))="","",INDEX(Backlog!$V$2:$V$188,MATCH($D139,Backlog!$A$2:$A$188,0)))</f>
        <v>T-219 consumes the guard; consumers must not bypass RG01.</v>
      </c>
      <c r="M139" s="32" t="str">
        <f>IF(INDEX(Backlog!$AO$2:$AO$188,MATCH($D139,Backlog!$A$2:$A$188,0))="","",INDEX(Backlog!$AO$2:$AO$188,MATCH($D139,Backlog!$A$2:$A$188,0)))</f>
        <v>Recorded closed — inherited evidence</v>
      </c>
      <c r="N139" s="32" t="str">
        <f>IF(INDEX(Backlog!$AN$2:$AN$188,MATCH($D139,Backlog!$A$2:$A$188,0))="","",INDEX(Backlog!$AN$2:$AN$188,MATCH($D139,Backlog!$A$2:$A$188,0)))</f>
        <v/>
      </c>
    </row>
    <row r="140" spans="1:14" ht="26.1" customHeight="1">
      <c r="A140" s="38" t="str">
        <f>IF(INDEX(Backlog!$L$2:$L$188,MATCH($D140,Backlog!$A$2:$A$188,0))="","",INDEX(Backlog!$L$2:$L$188,MATCH($D140,Backlog!$A$2:$A$188,0)))</f>
        <v>Worker 3</v>
      </c>
      <c r="B140" s="38" t="str">
        <f>IF(INDEX(Backlog!$B$2:$B$188,MATCH($D140,Backlog!$A$2:$A$188,0))="","",INDEX(Backlog!$B$2:$B$188,MATCH($D140,Backlog!$A$2:$A$188,0)))</f>
        <v>M2</v>
      </c>
      <c r="C140" s="38" t="str">
        <f>IF(INDEX(Backlog!$C$2:$C$188,MATCH($D140,Backlog!$A$2:$A$188,0))="","",INDEX(Backlog!$C$2:$C$188,MATCH($D140,Backlog!$A$2:$A$188,0)))</f>
        <v>P5</v>
      </c>
      <c r="D140" s="38" t="s">
        <v>1216</v>
      </c>
      <c r="E140" s="38" t="str">
        <f>IF(INDEX(Backlog!$D$2:$D$188,MATCH($D140,Backlog!$A$2:$A$188,0))="","",INDEX(Backlog!$D$2:$D$188,MATCH($D140,Backlog!$A$2:$A$188,0)))</f>
        <v>Repository authority and audit-truth hygiene ratchet</v>
      </c>
      <c r="F140" s="70" t="str">
        <f>IF(INDEX(Backlog!$K$2:$K$188,MATCH($D140,Backlog!$A$2:$A$188,0))="","",INDEX(Backlog!$K$2:$K$188,MATCH($D140,Backlog!$A$2:$A$188,0)))</f>
        <v>Not Started</v>
      </c>
      <c r="G140" s="38">
        <f>IF(ISNUMBER(INDEX(Backlog!$AS$2:$AS$188,MATCH($D140,Backlog!$A$2:$A$188,0))),INDEX(Backlog!$AS$2:$AS$188,MATCH($D140,Backlog!$A$2:$A$188,0)),"")</f>
        <v>8</v>
      </c>
      <c r="H140" s="38">
        <f>IF(ISNUMBER(INDEX(Backlog!$AT$2:$AT$188,MATCH($D140,Backlog!$A$2:$A$188,0))),INDEX(Backlog!$AT$2:$AT$188,MATCH($D140,Backlog!$A$2:$A$188,0)),"")</f>
        <v>1.2</v>
      </c>
      <c r="I140" s="38" t="str">
        <f>IF(INDEX(Backlog!$M$2:$M$188,MATCH($D140,Backlog!$A$2:$A$188,0))="","",INDEX(Backlog!$M$2:$M$188,MATCH($D140,Backlog!$A$2:$A$188,0)))</f>
        <v>T-205; T-250</v>
      </c>
      <c r="J140" s="38" t="str">
        <f>IF(INDEX(Backlog!$T$2:$T$188,MATCH($D140,Backlog!$A$2:$A$188,0))="","",INDEX(Backlog!$T$2:$T$188,MATCH($D140,Backlog!$A$2:$A$188,0)))</f>
        <v>Run after T-106 or on a disjoint tooling-only lane; no runtime feature mutation.</v>
      </c>
      <c r="K140" s="38" t="str">
        <f>IF(INDEX(Backlog!$U$2:$U$188,MATCH($D140,Backlog!$A$2:$A$188,0))="","",INDEX(Backlog!$U$2:$U$188,MATCH($D140,Backlog!$A$2:$A$188,0)))</f>
        <v>Root/tooling/audit generator/architecture hygiene tests only. Do not rename or edit Worker-1/2 runtime feature files.</v>
      </c>
      <c r="L140" s="38" t="str">
        <f>IF(INDEX(Backlog!$V$2:$V$188,MATCH($D140,Backlog!$A$2:$A$188,0))="","",INDEX(Backlog!$V$2:$V$188,MATCH($D140,Backlog!$A$2:$A$188,0)))</f>
        <v>Legacy task-ID filenames are grandfathered, not mass-renamed. Future tasks consume the forward gate.</v>
      </c>
      <c r="M140" s="32" t="str">
        <f>IF(INDEX(Backlog!$AO$2:$AO$188,MATCH($D140,Backlog!$A$2:$A$188,0))="","",INDEX(Backlog!$AO$2:$AO$188,MATCH($D140,Backlog!$A$2:$A$188,0)))</f>
        <v>Not started — no completion claimed</v>
      </c>
      <c r="N140" s="32" t="str">
        <f>IF(INDEX(Backlog!$AN$2:$AN$188,MATCH($D140,Backlog!$A$2:$A$188,0))="","",INDEX(Backlog!$AN$2:$AN$188,MATCH($D140,Backlog!$A$2:$A$188,0)))</f>
        <v/>
      </c>
    </row>
    <row r="141" spans="1:14" ht="26.1" customHeight="1">
      <c r="A141" s="38" t="str">
        <f>IF(INDEX(Backlog!$L$2:$L$188,MATCH($D141,Backlog!$A$2:$A$188,0))="","",INDEX(Backlog!$L$2:$L$188,MATCH($D141,Backlog!$A$2:$A$188,0)))</f>
        <v>Worker 3</v>
      </c>
      <c r="B141" s="38" t="str">
        <f>IF(INDEX(Backlog!$B$2:$B$188,MATCH($D141,Backlog!$A$2:$A$188,0))="","",INDEX(Backlog!$B$2:$B$188,MATCH($D141,Backlog!$A$2:$A$188,0)))</f>
        <v>M3</v>
      </c>
      <c r="C141" s="38" t="str">
        <f>IF(INDEX(Backlog!$C$2:$C$188,MATCH($D141,Backlog!$A$2:$A$188,0))="","",INDEX(Backlog!$C$2:$C$188,MATCH($D141,Backlog!$A$2:$A$188,0)))</f>
        <v>P1</v>
      </c>
      <c r="D141" s="38" t="s">
        <v>1289</v>
      </c>
      <c r="E141" s="38" t="str">
        <f>IF(INDEX(Backlog!$D$2:$D$188,MATCH($D141,Backlog!$A$2:$A$188,0))="","",INDEX(Backlog!$D$2:$D$188,MATCH($D141,Backlog!$A$2:$A$188,0)))</f>
        <v>B-01/B-02 capacity tuning, scan amplification and model-serving memory</v>
      </c>
      <c r="F141" s="70" t="str">
        <f>IF(INDEX(Backlog!$K$2:$K$188,MATCH($D141,Backlog!$A$2:$A$188,0))="","",INDEX(Backlog!$K$2:$K$188,MATCH($D141,Backlog!$A$2:$A$188,0)))</f>
        <v>Not Started</v>
      </c>
      <c r="G141" s="38" t="str">
        <f>IF(ISNUMBER(INDEX(Backlog!$AS$2:$AS$188,MATCH($D141,Backlog!$A$2:$A$188,0))),INDEX(Backlog!$AS$2:$AS$188,MATCH($D141,Backlog!$A$2:$A$188,0)),"")</f>
        <v/>
      </c>
      <c r="H141" s="38" t="str">
        <f>IF(ISNUMBER(INDEX(Backlog!$AT$2:$AT$188,MATCH($D141,Backlog!$A$2:$A$188,0))),INDEX(Backlog!$AT$2:$AT$188,MATCH($D141,Backlog!$A$2:$A$188,0)),"")</f>
        <v/>
      </c>
      <c r="I141" s="38" t="str">
        <f>IF(INDEX(Backlog!$M$2:$M$188,MATCH($D141,Backlog!$A$2:$A$188,0))="","",INDEX(Backlog!$M$2:$M$188,MATCH($D141,Backlog!$A$2:$A$188,0)))</f>
        <v/>
      </c>
      <c r="J141" s="38" t="str">
        <f>IF(INDEX(Backlog!$T$2:$T$188,MATCH($D141,Backlog!$A$2:$A$188,0))="","",INDEX(Backlog!$T$2:$T$188,MATCH($D141,Backlog!$A$2:$A$188,0)))</f>
        <v>WAIT for deployed Release 1 + real customer/site evidence. Release 2 accepted + site hardware</v>
      </c>
      <c r="K141" s="38" t="str">
        <f>IF(INDEX(Backlog!$U$2:$U$188,MATCH($D141,Backlog!$A$2:$A$188,0))="","",INDEX(Backlog!$U$2:$U$188,MATCH($D141,Backlog!$A$2:$A$188,0)))</f>
        <v>Own AI/ML calibration/capacity evidence only.</v>
      </c>
      <c r="L141" s="38" t="str">
        <f>IF(INDEX(Backlog!$V$2:$V$188,MATCH($D141,Backlog!$A$2:$A$188,0))="","",INDEX(Backlog!$V$2:$V$188,MATCH($D141,Backlog!$A$2:$A$188,0)))</f>
        <v>Commit before downstream consumer starts; consumer must use the contract, not redesign producer-owned semantics.</v>
      </c>
      <c r="M141" s="32" t="str">
        <f>IF(INDEX(Backlog!$AO$2:$AO$188,MATCH($D141,Backlog!$A$2:$A$188,0))="","",INDEX(Backlog!$AO$2:$AO$188,MATCH($D141,Backlog!$A$2:$A$188,0)))</f>
        <v>Not started — no completion claimed</v>
      </c>
      <c r="N141" s="32" t="str">
        <f>IF(INDEX(Backlog!$AN$2:$AN$188,MATCH($D141,Backlog!$A$2:$A$188,0))="","",INDEX(Backlog!$AN$2:$AN$188,MATCH($D141,Backlog!$A$2:$A$188,0)))</f>
        <v/>
      </c>
    </row>
    <row r="142" spans="1:14" ht="26.1" customHeight="1">
      <c r="A142" s="38" t="str">
        <f>IF(INDEX(Backlog!$L$2:$L$188,MATCH($D142,Backlog!$A$2:$A$188,0))="","",INDEX(Backlog!$L$2:$L$188,MATCH($D142,Backlog!$A$2:$A$188,0)))</f>
        <v>Worker 3</v>
      </c>
      <c r="B142" s="38" t="str">
        <f>IF(INDEX(Backlog!$B$2:$B$188,MATCH($D142,Backlog!$A$2:$A$188,0))="","",INDEX(Backlog!$B$2:$B$188,MATCH($D142,Backlog!$A$2:$A$188,0)))</f>
        <v>M3</v>
      </c>
      <c r="C142" s="38" t="str">
        <f>IF(INDEX(Backlog!$C$2:$C$188,MATCH($D142,Backlog!$A$2:$A$188,0))="","",INDEX(Backlog!$C$2:$C$188,MATCH($D142,Backlog!$A$2:$A$188,0)))</f>
        <v>P1</v>
      </c>
      <c r="D142" s="38" t="s">
        <v>1296</v>
      </c>
      <c r="E142" s="38" t="str">
        <f>IF(INDEX(Backlog!$D$2:$D$188,MATCH($D142,Backlog!$A$2:$A$188,0))="","",INDEX(Backlog!$D$2:$D$188,MATCH($D142,Backlog!$A$2:$A$188,0)))</f>
        <v>C1 to C4 capacity certification</v>
      </c>
      <c r="F142" s="70" t="str">
        <f>IF(INDEX(Backlog!$K$2:$K$188,MATCH($D142,Backlog!$A$2:$A$188,0))="","",INDEX(Backlog!$K$2:$K$188,MATCH($D142,Backlog!$A$2:$A$188,0)))</f>
        <v>Not Started</v>
      </c>
      <c r="G142" s="38" t="str">
        <f>IF(ISNUMBER(INDEX(Backlog!$AS$2:$AS$188,MATCH($D142,Backlog!$A$2:$A$188,0))),INDEX(Backlog!$AS$2:$AS$188,MATCH($D142,Backlog!$A$2:$A$188,0)),"")</f>
        <v/>
      </c>
      <c r="H142" s="38" t="str">
        <f>IF(ISNUMBER(INDEX(Backlog!$AT$2:$AT$188,MATCH($D142,Backlog!$A$2:$A$188,0))),INDEX(Backlog!$AT$2:$AT$188,MATCH($D142,Backlog!$A$2:$A$188,0)),"")</f>
        <v/>
      </c>
      <c r="I142" s="38" t="str">
        <f>IF(INDEX(Backlog!$M$2:$M$188,MATCH($D142,Backlog!$A$2:$A$188,0))="","",INDEX(Backlog!$M$2:$M$188,MATCH($D142,Backlog!$A$2:$A$188,0)))</f>
        <v/>
      </c>
      <c r="J142" s="38" t="str">
        <f>IF(INDEX(Backlog!$T$2:$T$188,MATCH($D142,Backlog!$A$2:$A$188,0))="","",INDEX(Backlog!$T$2:$T$188,MATCH($D142,Backlog!$A$2:$A$188,0)))</f>
        <v>WAIT for deployed Release 1 + real customer/site evidence. Release 2 accepted + site hardware</v>
      </c>
      <c r="K142" s="38" t="str">
        <f>IF(INDEX(Backlog!$U$2:$U$188,MATCH($D142,Backlog!$A$2:$A$188,0))="","",INDEX(Backlog!$U$2:$U$188,MATCH($D142,Backlog!$A$2:$A$188,0)))</f>
        <v>Own AI/ML calibration/capacity evidence only.</v>
      </c>
      <c r="L142" s="38" t="str">
        <f>IF(INDEX(Backlog!$V$2:$V$188,MATCH($D142,Backlog!$A$2:$A$188,0))="","",INDEX(Backlog!$V$2:$V$188,MATCH($D142,Backlog!$A$2:$A$188,0)))</f>
        <v>Commit before downstream consumer starts; consumer must use the contract, not redesign producer-owned semantics.</v>
      </c>
      <c r="M142" s="32" t="str">
        <f>IF(INDEX(Backlog!$AO$2:$AO$188,MATCH($D142,Backlog!$A$2:$A$188,0))="","",INDEX(Backlog!$AO$2:$AO$188,MATCH($D142,Backlog!$A$2:$A$188,0)))</f>
        <v>Not started — no completion claimed</v>
      </c>
      <c r="N142" s="32" t="str">
        <f>IF(INDEX(Backlog!$AN$2:$AN$188,MATCH($D142,Backlog!$A$2:$A$188,0))="","",INDEX(Backlog!$AN$2:$AN$188,MATCH($D142,Backlog!$A$2:$A$188,0)))</f>
        <v/>
      </c>
    </row>
    <row r="143" spans="1:14" ht="26.1" customHeight="1">
      <c r="A143" s="38" t="str">
        <f>IF(INDEX(Backlog!$L$2:$L$188,MATCH($D143,Backlog!$A$2:$A$188,0))="","",INDEX(Backlog!$L$2:$L$188,MATCH($D143,Backlog!$A$2:$A$188,0)))</f>
        <v>Worker 3</v>
      </c>
      <c r="B143" s="38" t="str">
        <f>IF(INDEX(Backlog!$B$2:$B$188,MATCH($D143,Backlog!$A$2:$A$188,0))="","",INDEX(Backlog!$B$2:$B$188,MATCH($D143,Backlog!$A$2:$A$188,0)))</f>
        <v>M3</v>
      </c>
      <c r="C143" s="38" t="str">
        <f>IF(INDEX(Backlog!$C$2:$C$188,MATCH($D143,Backlog!$A$2:$A$188,0))="","",INDEX(Backlog!$C$2:$C$188,MATCH($D143,Backlog!$A$2:$A$188,0)))</f>
        <v>P3</v>
      </c>
      <c r="D143" s="38" t="s">
        <v>1411</v>
      </c>
      <c r="E143" s="38" t="str">
        <f>IF(INDEX(Backlog!$D$2:$D$188,MATCH($D143,Backlog!$A$2:$A$188,0))="","",INDEX(Backlog!$D$2:$D$188,MATCH($D143,Backlog!$A$2:$A$188,0)))</f>
        <v>Versioned InsightBoardPlan contract and deterministic validator</v>
      </c>
      <c r="F143" s="70" t="str">
        <f>IF(INDEX(Backlog!$K$2:$K$188,MATCH($D143,Backlog!$A$2:$A$188,0))="","",INDEX(Backlog!$K$2:$K$188,MATCH($D143,Backlog!$A$2:$A$188,0)))</f>
        <v>Not Started</v>
      </c>
      <c r="G143" s="38">
        <f>IF(ISNUMBER(INDEX(Backlog!$AS$2:$AS$188,MATCH($D143,Backlog!$A$2:$A$188,0))),INDEX(Backlog!$AS$2:$AS$188,MATCH($D143,Backlog!$A$2:$A$188,0)),"")</f>
        <v>10</v>
      </c>
      <c r="H143" s="38">
        <f>IF(ISNUMBER(INDEX(Backlog!$AT$2:$AT$188,MATCH($D143,Backlog!$A$2:$A$188,0))),INDEX(Backlog!$AT$2:$AT$188,MATCH($D143,Backlog!$A$2:$A$188,0)),"")</f>
        <v>3.2</v>
      </c>
      <c r="I143" s="38" t="str">
        <f>IF(INDEX(Backlog!$M$2:$M$188,MATCH($D143,Backlog!$A$2:$A$188,0))="","",INDEX(Backlog!$M$2:$M$188,MATCH($D143,Backlog!$A$2:$A$188,0)))</f>
        <v>T-090; T-092; T-134; T-179; T-180; T-181</v>
      </c>
      <c r="J143" s="38" t="str">
        <f>IF(INDEX(Backlog!$T$2:$T$188,MATCH($D143,Backlog!$A$2:$A$188,0))="","",INDEX(Backlog!$T$2:$T$188,MATCH($D143,Backlog!$A$2:$A$188,0)))</f>
        <v>After September customer RC; T-090/T-092 + T-134 + T-179..181.</v>
      </c>
      <c r="K143" s="38" t="str">
        <f>IF(INDEX(Backlog!$U$2:$U$188,MATCH($D143,Backlog!$A$2:$A$188,0))="","",INDEX(Backlog!$U$2:$U$188,MATCH($D143,Backlog!$A$2:$A$188,0)))</f>
        <v>New Assistant plan contract/tests only.</v>
      </c>
      <c r="L143" s="38" t="str">
        <f>IF(INDEX(Backlog!$V$2:$V$188,MATCH($D143,Backlog!$A$2:$A$188,0))="","",INDEX(Backlog!$V$2:$V$188,MATCH($D143,Backlog!$A$2:$A$188,0)))</f>
        <v>T-229 consumes validator; no direct UI generation.</v>
      </c>
      <c r="M143" s="32" t="str">
        <f>IF(INDEX(Backlog!$AO$2:$AO$188,MATCH($D143,Backlog!$A$2:$A$188,0))="","",INDEX(Backlog!$AO$2:$AO$188,MATCH($D143,Backlog!$A$2:$A$188,0)))</f>
        <v>Not started — no completion claimed</v>
      </c>
      <c r="N143" s="32" t="str">
        <f>IF(INDEX(Backlog!$AN$2:$AN$188,MATCH($D143,Backlog!$A$2:$A$188,0))="","",INDEX(Backlog!$AN$2:$AN$188,MATCH($D143,Backlog!$A$2:$A$188,0)))</f>
        <v/>
      </c>
    </row>
    <row r="144" spans="1:14" ht="26.1" customHeight="1">
      <c r="A144" s="38" t="str">
        <f>IF(INDEX(Backlog!$L$2:$L$188,MATCH($D144,Backlog!$A$2:$A$188,0))="","",INDEX(Backlog!$L$2:$L$188,MATCH($D144,Backlog!$A$2:$A$188,0)))</f>
        <v>Worker 3</v>
      </c>
      <c r="B144" s="38" t="str">
        <f>IF(INDEX(Backlog!$B$2:$B$188,MATCH($D144,Backlog!$A$2:$A$188,0))="","",INDEX(Backlog!$B$2:$B$188,MATCH($D144,Backlog!$A$2:$A$188,0)))</f>
        <v>M3</v>
      </c>
      <c r="C144" s="38" t="str">
        <f>IF(INDEX(Backlog!$C$2:$C$188,MATCH($D144,Backlog!$A$2:$A$188,0))="","",INDEX(Backlog!$C$2:$C$188,MATCH($D144,Backlog!$A$2:$A$188,0)))</f>
        <v>P3</v>
      </c>
      <c r="D144" s="38" t="s">
        <v>1423</v>
      </c>
      <c r="E144" s="38" t="str">
        <f>IF(INDEX(Backlog!$D$2:$D$188,MATCH($D144,Backlog!$A$2:$A$188,0))="","",INDEX(Backlog!$D$2:$D$188,MATCH($D144,Backlog!$A$2:$A$188,0)))</f>
        <v>Governed Assistant plan-to-widget Investigation Board composition</v>
      </c>
      <c r="F144" s="70" t="str">
        <f>IF(INDEX(Backlog!$K$2:$K$188,MATCH($D144,Backlog!$A$2:$A$188,0))="","",INDEX(Backlog!$K$2:$K$188,MATCH($D144,Backlog!$A$2:$A$188,0)))</f>
        <v>Not Started</v>
      </c>
      <c r="G144" s="38">
        <f>IF(ISNUMBER(INDEX(Backlog!$AS$2:$AS$188,MATCH($D144,Backlog!$A$2:$A$188,0))),INDEX(Backlog!$AS$2:$AS$188,MATCH($D144,Backlog!$A$2:$A$188,0)),"")</f>
        <v>12</v>
      </c>
      <c r="H144" s="38">
        <f>IF(ISNUMBER(INDEX(Backlog!$AT$2:$AT$188,MATCH($D144,Backlog!$A$2:$A$188,0))),INDEX(Backlog!$AT$2:$AT$188,MATCH($D144,Backlog!$A$2:$A$188,0)),"")</f>
        <v>6.1714285714285708</v>
      </c>
      <c r="I144" s="38" t="str">
        <f>IF(INDEX(Backlog!$M$2:$M$188,MATCH($D144,Backlog!$A$2:$A$188,0))="","",INDEX(Backlog!$M$2:$M$188,MATCH($D144,Backlog!$A$2:$A$188,0)))</f>
        <v>T-228; T-134</v>
      </c>
      <c r="J144" s="38" t="str">
        <f>IF(INDEX(Backlog!$T$2:$T$188,MATCH($D144,Backlog!$A$2:$A$188,0))="","",INDEX(Backlog!$T$2:$T$188,MATCH($D144,Backlog!$A$2:$A$188,0)))</f>
        <v>T-228 + T-134 + stable Page Builder contract; coordinate UI consumption with Worker 2.</v>
      </c>
      <c r="K144" s="38" t="str">
        <f>IF(INDEX(Backlog!$U$2:$U$188,MATCH($D144,Backlog!$A$2:$A$188,0))="","",INDEX(Backlog!$U$2:$U$188,MATCH($D144,Backlog!$A$2:$A$188,0)))</f>
        <v>Assistant composition service; UI host changes require explicit W2 hand-off.</v>
      </c>
      <c r="L144" s="38" t="str">
        <f>IF(INDEX(Backlog!$V$2:$V$188,MATCH($D144,Backlog!$A$2:$A$188,0))="","",INDEX(Backlog!$V$2:$V$188,MATCH($D144,Backlog!$A$2:$A$188,0)))</f>
        <v>T-230 adds persistence; no separate rendering engine.</v>
      </c>
      <c r="M144" s="32" t="str">
        <f>IF(INDEX(Backlog!$AO$2:$AO$188,MATCH($D144,Backlog!$A$2:$A$188,0))="","",INDEX(Backlog!$AO$2:$AO$188,MATCH($D144,Backlog!$A$2:$A$188,0)))</f>
        <v>Not started — no completion claimed</v>
      </c>
      <c r="N144" s="32" t="str">
        <f>IF(INDEX(Backlog!$AN$2:$AN$188,MATCH($D144,Backlog!$A$2:$A$188,0))="","",INDEX(Backlog!$AN$2:$AN$188,MATCH($D144,Backlog!$A$2:$A$188,0)))</f>
        <v/>
      </c>
    </row>
    <row r="145" spans="1:14" ht="26.1" customHeight="1">
      <c r="A145" s="38" t="str">
        <f>IF(INDEX(Backlog!$L$2:$L$188,MATCH($D145,Backlog!$A$2:$A$188,0))="","",INDEX(Backlog!$L$2:$L$188,MATCH($D145,Backlog!$A$2:$A$188,0)))</f>
        <v>Worker 3</v>
      </c>
      <c r="B145" s="38" t="str">
        <f>IF(INDEX(Backlog!$B$2:$B$188,MATCH($D145,Backlog!$A$2:$A$188,0))="","",INDEX(Backlog!$B$2:$B$188,MATCH($D145,Backlog!$A$2:$A$188,0)))</f>
        <v>M3</v>
      </c>
      <c r="C145" s="38" t="str">
        <f>IF(INDEX(Backlog!$C$2:$C$188,MATCH($D145,Backlog!$A$2:$A$188,0))="","",INDEX(Backlog!$C$2:$C$188,MATCH($D145,Backlog!$A$2:$A$188,0)))</f>
        <v>P3</v>
      </c>
      <c r="D145" s="38" t="s">
        <v>1429</v>
      </c>
      <c r="E145" s="38" t="str">
        <f>IF(INDEX(Backlog!$D$2:$D$188,MATCH($D145,Backlog!$A$2:$A$188,0))="","",INDEX(Backlog!$D$2:$D$188,MATCH($D145,Backlog!$A$2:$A$188,0)))</f>
        <v>Persisted Investigation Board version, replay and Save-as-Page handoff</v>
      </c>
      <c r="F145" s="70" t="str">
        <f>IF(INDEX(Backlog!$K$2:$K$188,MATCH($D145,Backlog!$A$2:$A$188,0))="","",INDEX(Backlog!$K$2:$K$188,MATCH($D145,Backlog!$A$2:$A$188,0)))</f>
        <v>Not Started</v>
      </c>
      <c r="G145" s="38">
        <f>IF(ISNUMBER(INDEX(Backlog!$AS$2:$AS$188,MATCH($D145,Backlog!$A$2:$A$188,0))),INDEX(Backlog!$AS$2:$AS$188,MATCH($D145,Backlog!$A$2:$A$188,0)),"")</f>
        <v>12</v>
      </c>
      <c r="H145" s="38">
        <f>IF(ISNUMBER(INDEX(Backlog!$AT$2:$AT$188,MATCH($D145,Backlog!$A$2:$A$188,0))),INDEX(Backlog!$AT$2:$AT$188,MATCH($D145,Backlog!$A$2:$A$188,0)),"")</f>
        <v>5.0999999999999996</v>
      </c>
      <c r="I145" s="38" t="str">
        <f>IF(INDEX(Backlog!$M$2:$M$188,MATCH($D145,Backlog!$A$2:$A$188,0))="","",INDEX(Backlog!$M$2:$M$188,MATCH($D145,Backlog!$A$2:$A$188,0)))</f>
        <v>T-229; T-112; T-114</v>
      </c>
      <c r="J145" s="38" t="str">
        <f>IF(INDEX(Backlog!$T$2:$T$188,MATCH($D145,Backlog!$A$2:$A$188,0))="","",INDEX(Backlog!$T$2:$T$188,MATCH($D145,Backlog!$A$2:$A$188,0)))</f>
        <v>T-229 + canonical definition/evidence persistence + T-112/T-114.</v>
      </c>
      <c r="K145" s="38" t="str">
        <f>IF(INDEX(Backlog!$U$2:$U$188,MATCH($D145,Backlog!$A$2:$A$188,0))="","",INDEX(Backlog!$U$2:$U$188,MATCH($D145,Backlog!$A$2:$A$188,0)))</f>
        <v>Investigation board persistence and conversion contract.</v>
      </c>
      <c r="L145" s="38" t="str">
        <f>IF(INDEX(Backlog!$V$2:$V$188,MATCH($D145,Backlog!$A$2:$A$188,0))="","",INDEX(Backlog!$V$2:$V$188,MATCH($D145,Backlog!$A$2:$A$188,0)))</f>
        <v>Page Builder owns resulting page definitions; Assistant owns historical investigation artifact only.</v>
      </c>
      <c r="M145" s="32" t="str">
        <f>IF(INDEX(Backlog!$AO$2:$AO$188,MATCH($D145,Backlog!$A$2:$A$188,0))="","",INDEX(Backlog!$AO$2:$AO$188,MATCH($D145,Backlog!$A$2:$A$188,0)))</f>
        <v>Not started — no completion claimed</v>
      </c>
      <c r="N145" s="32" t="str">
        <f>IF(INDEX(Backlog!$AN$2:$AN$188,MATCH($D145,Backlog!$A$2:$A$188,0))="","",INDEX(Backlog!$AN$2:$AN$188,MATCH($D145,Backlog!$A$2:$A$188,0)))</f>
        <v/>
      </c>
    </row>
    <row r="146" spans="1:14" ht="26.1" customHeight="1">
      <c r="A146" s="38" t="str">
        <f>IF(INDEX(Backlog!$L$2:$L$188,MATCH($D146,Backlog!$A$2:$A$188,0))="","",INDEX(Backlog!$L$2:$L$188,MATCH($D146,Backlog!$A$2:$A$188,0)))</f>
        <v>Worker 3</v>
      </c>
      <c r="B146" s="38" t="str">
        <f>IF(INDEX(Backlog!$B$2:$B$188,MATCH($D146,Backlog!$A$2:$A$188,0))="","",INDEX(Backlog!$B$2:$B$188,MATCH($D146,Backlog!$A$2:$A$188,0)))</f>
        <v>M3</v>
      </c>
      <c r="C146" s="38" t="str">
        <f>IF(INDEX(Backlog!$C$2:$C$188,MATCH($D146,Backlog!$A$2:$A$188,0))="","",INDEX(Backlog!$C$2:$C$188,MATCH($D146,Backlog!$A$2:$A$188,0)))</f>
        <v>P4</v>
      </c>
      <c r="D146" s="38" t="s">
        <v>1465</v>
      </c>
      <c r="E146" s="38" t="str">
        <f>IF(INDEX(Backlog!$D$2:$D$188,MATCH($D146,Backlog!$A$2:$A$188,0))="","",INDEX(Backlog!$D$2:$D$188,MATCH($D146,Backlog!$A$2:$A$188,0)))</f>
        <v>Feature store, outcome store and immutable snapshot metadata</v>
      </c>
      <c r="F146" s="70" t="str">
        <f>IF(INDEX(Backlog!$K$2:$K$188,MATCH($D146,Backlog!$A$2:$A$188,0))="","",INDEX(Backlog!$K$2:$K$188,MATCH($D146,Backlog!$A$2:$A$188,0)))</f>
        <v>Not Started</v>
      </c>
      <c r="G146" s="38">
        <f>IF(ISNUMBER(INDEX(Backlog!$AS$2:$AS$188,MATCH($D146,Backlog!$A$2:$A$188,0))),INDEX(Backlog!$AS$2:$AS$188,MATCH($D146,Backlog!$A$2:$A$188,0)),"")</f>
        <v>10</v>
      </c>
      <c r="H146" s="38">
        <f>IF(ISNUMBER(INDEX(Backlog!$AT$2:$AT$188,MATCH($D146,Backlog!$A$2:$A$188,0))),INDEX(Backlog!$AT$2:$AT$188,MATCH($D146,Backlog!$A$2:$A$188,0)),"")</f>
        <v>1.5</v>
      </c>
      <c r="I146" s="38" t="str">
        <f>IF(INDEX(Backlog!$M$2:$M$188,MATCH($D146,Backlog!$A$2:$A$188,0))="","",INDEX(Backlog!$M$2:$M$188,MATCH($D146,Backlog!$A$2:$A$188,0)))</f>
        <v>T-087; T-088; T-089; T-090; T-091; T-092; T-093; T-094; T-095; T-096; T-097; T-098; T-099; T-100; T-101; T-102; T-103; T-104; T-112; T-114; T-231; T-210</v>
      </c>
      <c r="J146" s="38" t="str">
        <f>IF(INDEX(Backlog!$T$2:$T$188,MATCH($D146,Backlog!$A$2:$A$188,0))="","",INDEX(Backlog!$T$2:$T$188,MATCH($D146,Backlog!$A$2:$A$188,0)))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T-087..T-105 + T-112 + T-114 security/tenant hand-off. Outcome semantics from...</v>
      </c>
      <c r="K146" s="38" t="str">
        <f>IF(INDEX(Backlog!$U$2:$U$188,MATCH($D146,Backlog!$A$2:$A$188,0))="","",INDEX(Backlog!$U$2:$U$188,MATCH($D146,Backlog!$A$2:$A$188,0)))</f>
        <v>Own intelligence/ML/Assistant and named intelligence surfaces. W1/W2 forbidden after hand-off.</v>
      </c>
      <c r="L146" s="38" t="str">
        <f>IF(INDEX(Backlog!$V$2:$V$188,MATCH($D146,Backlog!$A$2:$A$188,0))="","",INDEX(Backlog!$V$2:$V$188,MATCH($D146,Backlog!$A$2:$A$188,0)))</f>
        <v>Commit before downstream consumer starts; consumer must use the contract, not redesign producer-owned semantics.</v>
      </c>
      <c r="M146" s="32" t="str">
        <f>IF(INDEX(Backlog!$AO$2:$AO$188,MATCH($D146,Backlog!$A$2:$A$188,0))="","",INDEX(Backlog!$AO$2:$AO$188,MATCH($D146,Backlog!$A$2:$A$188,0)))</f>
        <v>Not started — no completion claimed</v>
      </c>
      <c r="N146" s="32" t="str">
        <f>IF(INDEX(Backlog!$AN$2:$AN$188,MATCH($D146,Backlog!$A$2:$A$188,0))="","",INDEX(Backlog!$AN$2:$AN$188,MATCH($D146,Backlog!$A$2:$A$188,0)))</f>
        <v/>
      </c>
    </row>
    <row r="147" spans="1:14" ht="26.1" customHeight="1">
      <c r="A147" s="38" t="str">
        <f>IF(INDEX(Backlog!$L$2:$L$188,MATCH($D147,Backlog!$A$2:$A$188,0))="","",INDEX(Backlog!$L$2:$L$188,MATCH($D147,Backlog!$A$2:$A$188,0)))</f>
        <v>Worker 3</v>
      </c>
      <c r="B147" s="38" t="str">
        <f>IF(INDEX(Backlog!$B$2:$B$188,MATCH($D147,Backlog!$A$2:$A$188,0))="","",INDEX(Backlog!$B$2:$B$188,MATCH($D147,Backlog!$A$2:$A$188,0)))</f>
        <v>M3</v>
      </c>
      <c r="C147" s="38" t="str">
        <f>IF(INDEX(Backlog!$C$2:$C$188,MATCH($D147,Backlog!$A$2:$A$188,0))="","",INDEX(Backlog!$C$2:$C$188,MATCH($D147,Backlog!$A$2:$A$188,0)))</f>
        <v>P4</v>
      </c>
      <c r="D147" s="38" t="s">
        <v>1479</v>
      </c>
      <c r="E147" s="38" t="str">
        <f>IF(INDEX(Backlog!$D$2:$D$188,MATCH($D147,Backlog!$A$2:$A$188,0))="","",INDEX(Backlog!$D$2:$D$188,MATCH($D147,Backlog!$A$2:$A$188,0)))</f>
        <v>Compute runs, findings and common evidence persistence</v>
      </c>
      <c r="F147" s="70" t="str">
        <f>IF(INDEX(Backlog!$K$2:$K$188,MATCH($D147,Backlog!$A$2:$A$188,0))="","",INDEX(Backlog!$K$2:$K$188,MATCH($D147,Backlog!$A$2:$A$188,0)))</f>
        <v>Not Started</v>
      </c>
      <c r="G147" s="38">
        <f>IF(ISNUMBER(INDEX(Backlog!$AS$2:$AS$188,MATCH($D147,Backlog!$A$2:$A$188,0))),INDEX(Backlog!$AS$2:$AS$188,MATCH($D147,Backlog!$A$2:$A$188,0)),"")</f>
        <v>12</v>
      </c>
      <c r="H147" s="38">
        <f>IF(ISNUMBER(INDEX(Backlog!$AT$2:$AT$188,MATCH($D147,Backlog!$A$2:$A$188,0))),INDEX(Backlog!$AT$2:$AT$188,MATCH($D147,Backlog!$A$2:$A$188,0)),"")</f>
        <v>1.7999999999999998</v>
      </c>
      <c r="I147" s="38" t="str">
        <f>IF(INDEX(Backlog!$M$2:$M$188,MATCH($D147,Backlog!$A$2:$A$188,0))="","",INDEX(Backlog!$M$2:$M$188,MATCH($D147,Backlog!$A$2:$A$188,0)))</f>
        <v>T-128; T-183; T-112; T-114</v>
      </c>
      <c r="J147" s="38" t="str">
        <f>IF(INDEX(Backlog!$T$2:$T$188,MATCH($D147,Backlog!$A$2:$A$188,0))="","",INDEX(Backlog!$T$2:$T$188,MATCH($D147,Backlog!$A$2:$A$188,0)))</f>
        <v>T-128 + T-183 + T-112 + T-114.</v>
      </c>
      <c r="K147" s="38" t="str">
        <f>IF(INDEX(Backlog!$U$2:$U$188,MATCH($D147,Backlog!$A$2:$A$188,0))="","",INDEX(Backlog!$U$2:$U$188,MATCH($D147,Backlog!$A$2:$A$188,0)))</f>
        <v>Own intelligence/ML/Assistant and named intelligence surfaces. W1/W2 forbidden after hand-off.</v>
      </c>
      <c r="L147" s="38" t="str">
        <f>IF(INDEX(Backlog!$V$2:$V$188,MATCH($D147,Backlog!$A$2:$A$188,0))="","",INDEX(Backlog!$V$2:$V$188,MATCH($D147,Backlog!$A$2:$A$188,0)))</f>
        <v>Commit before downstream consumer starts; consumer must use the contract, not redesign producer-owned semantics.</v>
      </c>
      <c r="M147" s="32" t="str">
        <f>IF(INDEX(Backlog!$AO$2:$AO$188,MATCH($D147,Backlog!$A$2:$A$188,0))="","",INDEX(Backlog!$AO$2:$AO$188,MATCH($D147,Backlog!$A$2:$A$188,0)))</f>
        <v>Not started — no completion claimed</v>
      </c>
      <c r="N147" s="32" t="str">
        <f>IF(INDEX(Backlog!$AN$2:$AN$188,MATCH($D147,Backlog!$A$2:$A$188,0))="","",INDEX(Backlog!$AN$2:$AN$188,MATCH($D147,Backlog!$A$2:$A$188,0)))</f>
        <v/>
      </c>
    </row>
    <row r="148" spans="1:14" ht="26.1" customHeight="1">
      <c r="A148" s="38" t="str">
        <f>IF(INDEX(Backlog!$L$2:$L$188,MATCH($D148,Backlog!$A$2:$A$188,0))="","",INDEX(Backlog!$L$2:$L$188,MATCH($D148,Backlog!$A$2:$A$188,0)))</f>
        <v>Worker 3</v>
      </c>
      <c r="B148" s="38" t="str">
        <f>IF(INDEX(Backlog!$B$2:$B$188,MATCH($D148,Backlog!$A$2:$A$188,0))="","",INDEX(Backlog!$B$2:$B$188,MATCH($D148,Backlog!$A$2:$A$188,0)))</f>
        <v>M3</v>
      </c>
      <c r="C148" s="38" t="str">
        <f>IF(INDEX(Backlog!$C$2:$C$188,MATCH($D148,Backlog!$A$2:$A$188,0))="","",INDEX(Backlog!$C$2:$C$188,MATCH($D148,Backlog!$A$2:$A$188,0)))</f>
        <v>P4</v>
      </c>
      <c r="D148" s="38" t="s">
        <v>1487</v>
      </c>
      <c r="E148" s="38" t="str">
        <f>IF(INDEX(Backlog!$D$2:$D$188,MATCH($D148,Backlog!$A$2:$A$188,0))="","",INDEX(Backlog!$D$2:$D$188,MATCH($D148,Backlog!$A$2:$A$188,0)))</f>
        <v>Model registry, serving identity, activation and fallback</v>
      </c>
      <c r="F148" s="70" t="str">
        <f>IF(INDEX(Backlog!$K$2:$K$188,MATCH($D148,Backlog!$A$2:$A$188,0))="","",INDEX(Backlog!$K$2:$K$188,MATCH($D148,Backlog!$A$2:$A$188,0)))</f>
        <v>Not Started</v>
      </c>
      <c r="G148" s="38">
        <f>IF(ISNUMBER(INDEX(Backlog!$AS$2:$AS$188,MATCH($D148,Backlog!$A$2:$A$188,0))),INDEX(Backlog!$AS$2:$AS$188,MATCH($D148,Backlog!$A$2:$A$188,0)),"")</f>
        <v>12</v>
      </c>
      <c r="H148" s="38">
        <f>IF(ISNUMBER(INDEX(Backlog!$AT$2:$AT$188,MATCH($D148,Backlog!$A$2:$A$188,0))),INDEX(Backlog!$AT$2:$AT$188,MATCH($D148,Backlog!$A$2:$A$188,0)),"")</f>
        <v>1.7999999999999998</v>
      </c>
      <c r="I148" s="38" t="str">
        <f>IF(INDEX(Backlog!$M$2:$M$188,MATCH($D148,Backlog!$A$2:$A$188,0))="","",INDEX(Backlog!$M$2:$M$188,MATCH($D148,Backlog!$A$2:$A$188,0)))</f>
        <v>T-128; T-183; T-112; T-114</v>
      </c>
      <c r="J148" s="38" t="str">
        <f>IF(INDEX(Backlog!$T$2:$T$188,MATCH($D148,Backlog!$A$2:$A$188,0))="","",INDEX(Backlog!$T$2:$T$188,MATCH($D148,Backlog!$A$2:$A$188,0)))</f>
        <v>T-128 + T-183 + T-112 + T-114.</v>
      </c>
      <c r="K148" s="38" t="str">
        <f>IF(INDEX(Backlog!$U$2:$U$188,MATCH($D148,Backlog!$A$2:$A$188,0))="","",INDEX(Backlog!$U$2:$U$188,MATCH($D148,Backlog!$A$2:$A$188,0)))</f>
        <v>Own intelligence/ML/Assistant and named intelligence surfaces. W1/W2 forbidden after hand-off.</v>
      </c>
      <c r="L148" s="38" t="str">
        <f>IF(INDEX(Backlog!$V$2:$V$188,MATCH($D148,Backlog!$A$2:$A$188,0))="","",INDEX(Backlog!$V$2:$V$188,MATCH($D148,Backlog!$A$2:$A$188,0)))</f>
        <v>Commit before downstream consumer starts; consumer must use the contract, not redesign producer-owned semantics.</v>
      </c>
      <c r="M148" s="32" t="str">
        <f>IF(INDEX(Backlog!$AO$2:$AO$188,MATCH($D148,Backlog!$A$2:$A$188,0))="","",INDEX(Backlog!$AO$2:$AO$188,MATCH($D148,Backlog!$A$2:$A$188,0)))</f>
        <v>Not started — no completion claimed</v>
      </c>
      <c r="N148" s="32" t="str">
        <f>IF(INDEX(Backlog!$AN$2:$AN$188,MATCH($D148,Backlog!$A$2:$A$188,0))="","",INDEX(Backlog!$AN$2:$AN$188,MATCH($D148,Backlog!$A$2:$A$188,0)))</f>
        <v/>
      </c>
    </row>
    <row r="149" spans="1:14" ht="26.1" customHeight="1">
      <c r="A149" s="38" t="str">
        <f>IF(INDEX(Backlog!$L$2:$L$188,MATCH($D149,Backlog!$A$2:$A$188,0))="","",INDEX(Backlog!$L$2:$L$188,MATCH($D149,Backlog!$A$2:$A$188,0)))</f>
        <v>Worker 3</v>
      </c>
      <c r="B149" s="38" t="str">
        <f>IF(INDEX(Backlog!$B$2:$B$188,MATCH($D149,Backlog!$A$2:$A$188,0))="","",INDEX(Backlog!$B$2:$B$188,MATCH($D149,Backlog!$A$2:$A$188,0)))</f>
        <v>M3</v>
      </c>
      <c r="C149" s="38" t="str">
        <f>IF(INDEX(Backlog!$C$2:$C$188,MATCH($D149,Backlog!$A$2:$A$188,0))="","",INDEX(Backlog!$C$2:$C$188,MATCH($D149,Backlog!$A$2:$A$188,0)))</f>
        <v>P4</v>
      </c>
      <c r="D149" s="38" t="s">
        <v>1493</v>
      </c>
      <c r="E149" s="38" t="str">
        <f>IF(INDEX(Backlog!$D$2:$D$188,MATCH($D149,Backlog!$A$2:$A$188,0))="","",INDEX(Backlog!$D$2:$D$188,MATCH($D149,Backlog!$A$2:$A$188,0)))</f>
        <v>Practice signature, windowing, context and cohorts</v>
      </c>
      <c r="F149" s="70" t="str">
        <f>IF(INDEX(Backlog!$K$2:$K$188,MATCH($D149,Backlog!$A$2:$A$188,0))="","",INDEX(Backlog!$K$2:$K$188,MATCH($D149,Backlog!$A$2:$A$188,0)))</f>
        <v>Not Started</v>
      </c>
      <c r="G149" s="38">
        <f>IF(ISNUMBER(INDEX(Backlog!$AS$2:$AS$188,MATCH($D149,Backlog!$A$2:$A$188,0))),INDEX(Backlog!$AS$2:$AS$188,MATCH($D149,Backlog!$A$2:$A$188,0)),"")</f>
        <v>12</v>
      </c>
      <c r="H149" s="38">
        <f>IF(ISNUMBER(INDEX(Backlog!$AT$2:$AT$188,MATCH($D149,Backlog!$A$2:$A$188,0))),INDEX(Backlog!$AT$2:$AT$188,MATCH($D149,Backlog!$A$2:$A$188,0)),"")</f>
        <v>1.7999999999999998</v>
      </c>
      <c r="I149" s="38" t="str">
        <f>IF(INDEX(Backlog!$M$2:$M$188,MATCH($D149,Backlog!$A$2:$A$188,0))="","",INDEX(Backlog!$M$2:$M$188,MATCH($D149,Backlog!$A$2:$A$188,0)))</f>
        <v>T-086; T-128; T-171</v>
      </c>
      <c r="J149" s="38" t="str">
        <f>IF(INDEX(Backlog!$T$2:$T$188,MATCH($D149,Backlog!$A$2:$A$188,0))="","",INDEX(Backlog!$T$2:$T$188,MATCH($D149,Backlog!$A$2:$A$188,0)))</f>
        <v>T-086 + T-128 + T-171</v>
      </c>
      <c r="K149" s="38" t="str">
        <f>IF(INDEX(Backlog!$U$2:$U$188,MATCH($D149,Backlog!$A$2:$A$188,0))="","",INDEX(Backlog!$U$2:$U$188,MATCH($D149,Backlog!$A$2:$A$188,0)))</f>
        <v>Own intelligence/ML/Assistant and named intelligence surfaces. W1/W2 forbidden after hand-off.</v>
      </c>
      <c r="L149" s="38" t="str">
        <f>IF(INDEX(Backlog!$V$2:$V$188,MATCH($D149,Backlog!$A$2:$A$188,0))="","",INDEX(Backlog!$V$2:$V$188,MATCH($D149,Backlog!$A$2:$A$188,0)))</f>
        <v>Commit before downstream consumer starts; consumer must use the contract, not redesign producer-owned semantics.</v>
      </c>
      <c r="M149" s="32" t="str">
        <f>IF(INDEX(Backlog!$AO$2:$AO$188,MATCH($D149,Backlog!$A$2:$A$188,0))="","",INDEX(Backlog!$AO$2:$AO$188,MATCH($D149,Backlog!$A$2:$A$188,0)))</f>
        <v>Not started — no completion claimed</v>
      </c>
      <c r="N149" s="32" t="str">
        <f>IF(INDEX(Backlog!$AN$2:$AN$188,MATCH($D149,Backlog!$A$2:$A$188,0))="","",INDEX(Backlog!$AN$2:$AN$188,MATCH($D149,Backlog!$A$2:$A$188,0)))</f>
        <v/>
      </c>
    </row>
    <row r="150" spans="1:14" ht="26.1" customHeight="1">
      <c r="A150" s="38" t="str">
        <f>IF(INDEX(Backlog!$L$2:$L$188,MATCH($D150,Backlog!$A$2:$A$188,0))="","",INDEX(Backlog!$L$2:$L$188,MATCH($D150,Backlog!$A$2:$A$188,0)))</f>
        <v>Worker 3</v>
      </c>
      <c r="B150" s="38" t="str">
        <f>IF(INDEX(Backlog!$B$2:$B$188,MATCH($D150,Backlog!$A$2:$A$188,0))="","",INDEX(Backlog!$B$2:$B$188,MATCH($D150,Backlog!$A$2:$A$188,0)))</f>
        <v>M3</v>
      </c>
      <c r="C150" s="38" t="str">
        <f>IF(INDEX(Backlog!$C$2:$C$188,MATCH($D150,Backlog!$A$2:$A$188,0))="","",INDEX(Backlog!$C$2:$C$188,MATCH($D150,Backlog!$A$2:$A$188,0)))</f>
        <v>P4</v>
      </c>
      <c r="D150" s="38" t="s">
        <v>1503</v>
      </c>
      <c r="E150" s="38" t="str">
        <f>IF(INDEX(Backlog!$D$2:$D$188,MATCH($D150,Backlog!$A$2:$A$188,0))="","",INDEX(Backlog!$D$2:$D$188,MATCH($D150,Backlog!$A$2:$A$188,0)))</f>
        <v>Support, confidence, back-off ladder and tolerance sensitivity</v>
      </c>
      <c r="F150" s="70" t="str">
        <f>IF(INDEX(Backlog!$K$2:$K$188,MATCH($D150,Backlog!$A$2:$A$188,0))="","",INDEX(Backlog!$K$2:$K$188,MATCH($D150,Backlog!$A$2:$A$188,0)))</f>
        <v>Not Started</v>
      </c>
      <c r="G150" s="38">
        <f>IF(ISNUMBER(INDEX(Backlog!$AS$2:$AS$188,MATCH($D150,Backlog!$A$2:$A$188,0))),INDEX(Backlog!$AS$2:$AS$188,MATCH($D150,Backlog!$A$2:$A$188,0)),"")</f>
        <v>12</v>
      </c>
      <c r="H150" s="38">
        <f>IF(ISNUMBER(INDEX(Backlog!$AT$2:$AT$188,MATCH($D150,Backlog!$A$2:$A$188,0))),INDEX(Backlog!$AT$2:$AT$188,MATCH($D150,Backlog!$A$2:$A$188,0)),"")</f>
        <v>1.7999999999999998</v>
      </c>
      <c r="I150" s="38" t="str">
        <f>IF(INDEX(Backlog!$M$2:$M$188,MATCH($D150,Backlog!$A$2:$A$188,0))="","",INDEX(Backlog!$M$2:$M$188,MATCH($D150,Backlog!$A$2:$A$188,0)))</f>
        <v>T-131</v>
      </c>
      <c r="J150" s="38" t="str">
        <f>IF(INDEX(Backlog!$T$2:$T$188,MATCH($D150,Backlog!$A$2:$A$188,0))="","",INDEX(Backlog!$T$2:$T$188,MATCH($D150,Backlog!$A$2:$A$188,0)))</f>
        <v>T-131</v>
      </c>
      <c r="K150" s="38" t="str">
        <f>IF(INDEX(Backlog!$U$2:$U$188,MATCH($D150,Backlog!$A$2:$A$188,0))="","",INDEX(Backlog!$U$2:$U$188,MATCH($D150,Backlog!$A$2:$A$188,0)))</f>
        <v>Own intelligence/ML/Assistant and named intelligence surfaces. W1/W2 forbidden after hand-off.</v>
      </c>
      <c r="L150" s="38" t="str">
        <f>IF(INDEX(Backlog!$V$2:$V$188,MATCH($D150,Backlog!$A$2:$A$188,0))="","",INDEX(Backlog!$V$2:$V$188,MATCH($D150,Backlog!$A$2:$A$188,0)))</f>
        <v>Commit before downstream consumer starts; consumer must use the contract, not redesign producer-owned semantics.</v>
      </c>
      <c r="M150" s="32" t="str">
        <f>IF(INDEX(Backlog!$AO$2:$AO$188,MATCH($D150,Backlog!$A$2:$A$188,0))="","",INDEX(Backlog!$AO$2:$AO$188,MATCH($D150,Backlog!$A$2:$A$188,0)))</f>
        <v>Not started — no completion claimed</v>
      </c>
      <c r="N150" s="32" t="str">
        <f>IF(INDEX(Backlog!$AN$2:$AN$188,MATCH($D150,Backlog!$A$2:$A$188,0))="","",INDEX(Backlog!$AN$2:$AN$188,MATCH($D150,Backlog!$A$2:$A$188,0)))</f>
        <v/>
      </c>
    </row>
    <row r="151" spans="1:14" ht="26.1" customHeight="1">
      <c r="A151" s="38" t="str">
        <f>IF(INDEX(Backlog!$L$2:$L$188,MATCH($D151,Backlog!$A$2:$A$188,0))="","",INDEX(Backlog!$L$2:$L$188,MATCH($D151,Backlog!$A$2:$A$188,0)))</f>
        <v>Worker 3</v>
      </c>
      <c r="B151" s="38" t="str">
        <f>IF(INDEX(Backlog!$B$2:$B$188,MATCH($D151,Backlog!$A$2:$A$188,0))="","",INDEX(Backlog!$B$2:$B$188,MATCH($D151,Backlog!$A$2:$A$188,0)))</f>
        <v>M3</v>
      </c>
      <c r="C151" s="38" t="str">
        <f>IF(INDEX(Backlog!$C$2:$C$188,MATCH($D151,Backlog!$A$2:$A$188,0))="","",INDEX(Backlog!$C$2:$C$188,MATCH($D151,Backlog!$A$2:$A$188,0)))</f>
        <v>P4</v>
      </c>
      <c r="D151" s="38" t="s">
        <v>1508</v>
      </c>
      <c r="E151" s="38" t="str">
        <f>IF(INDEX(Backlog!$D$2:$D$188,MATCH($D151,Backlog!$A$2:$A$188,0))="","",INDEX(Backlog!$D$2:$D$188,MATCH($D151,Backlog!$A$2:$A$188,0)))</f>
        <v>Practice persistence, drift and canonical D10 Practice Insights</v>
      </c>
      <c r="F151" s="70" t="str">
        <f>IF(INDEX(Backlog!$K$2:$K$188,MATCH($D151,Backlog!$A$2:$A$188,0))="","",INDEX(Backlog!$K$2:$K$188,MATCH($D151,Backlog!$A$2:$A$188,0)))</f>
        <v>Not Started</v>
      </c>
      <c r="G151" s="38">
        <f>IF(ISNUMBER(INDEX(Backlog!$AS$2:$AS$188,MATCH($D151,Backlog!$A$2:$A$188,0))),INDEX(Backlog!$AS$2:$AS$188,MATCH($D151,Backlog!$A$2:$A$188,0)),"")</f>
        <v>12</v>
      </c>
      <c r="H151" s="38">
        <f>IF(ISNUMBER(INDEX(Backlog!$AT$2:$AT$188,MATCH($D151,Backlog!$A$2:$A$188,0))),INDEX(Backlog!$AT$2:$AT$188,MATCH($D151,Backlog!$A$2:$A$188,0)),"")</f>
        <v>1.7999999999999998</v>
      </c>
      <c r="I151" s="38" t="str">
        <f>IF(INDEX(Backlog!$M$2:$M$188,MATCH($D151,Backlog!$A$2:$A$188,0))="","",INDEX(Backlog!$M$2:$M$188,MATCH($D151,Backlog!$A$2:$A$188,0)))</f>
        <v>T-131; T-132; T-183</v>
      </c>
      <c r="J151" s="38" t="str">
        <f>IF(INDEX(Backlog!$T$2:$T$188,MATCH($D151,Backlog!$A$2:$A$188,0))="","",INDEX(Backlog!$T$2:$T$188,MATCH($D151,Backlog!$A$2:$A$188,0)))</f>
        <v>T-131 + T-132 + T-183</v>
      </c>
      <c r="K151" s="38" t="str">
        <f>IF(INDEX(Backlog!$U$2:$U$188,MATCH($D151,Backlog!$A$2:$A$188,0))="","",INDEX(Backlog!$U$2:$U$188,MATCH($D151,Backlog!$A$2:$A$188,0)))</f>
        <v>Own intelligence/ML/Assistant and named intelligence surfaces. W1/W2 forbidden after hand-off.</v>
      </c>
      <c r="L151" s="38" t="str">
        <f>IF(INDEX(Backlog!$V$2:$V$188,MATCH($D151,Backlog!$A$2:$A$188,0))="","",INDEX(Backlog!$V$2:$V$188,MATCH($D151,Backlog!$A$2:$A$188,0)))</f>
        <v>Commit before downstream consumer starts; consumer must use the contract, not redesign producer-owned semantics.</v>
      </c>
      <c r="M151" s="32" t="str">
        <f>IF(INDEX(Backlog!$AO$2:$AO$188,MATCH($D151,Backlog!$A$2:$A$188,0))="","",INDEX(Backlog!$AO$2:$AO$188,MATCH($D151,Backlog!$A$2:$A$188,0)))</f>
        <v>Not started — no completion claimed</v>
      </c>
      <c r="N151" s="32" t="str">
        <f>IF(INDEX(Backlog!$AN$2:$AN$188,MATCH($D151,Backlog!$A$2:$A$188,0))="","",INDEX(Backlog!$AN$2:$AN$188,MATCH($D151,Backlog!$A$2:$A$188,0)))</f>
        <v/>
      </c>
    </row>
    <row r="152" spans="1:14" ht="26.1" customHeight="1">
      <c r="A152" s="38" t="str">
        <f>IF(INDEX(Backlog!$L$2:$L$188,MATCH($D152,Backlog!$A$2:$A$188,0))="","",INDEX(Backlog!$L$2:$L$188,MATCH($D152,Backlog!$A$2:$A$188,0)))</f>
        <v>Worker 3</v>
      </c>
      <c r="B152" s="38" t="str">
        <f>IF(INDEX(Backlog!$B$2:$B$188,MATCH($D152,Backlog!$A$2:$A$188,0))="","",INDEX(Backlog!$B$2:$B$188,MATCH($D152,Backlog!$A$2:$A$188,0)))</f>
        <v>M3</v>
      </c>
      <c r="C152" s="38" t="str">
        <f>IF(INDEX(Backlog!$C$2:$C$188,MATCH($D152,Backlog!$A$2:$A$188,0))="","",INDEX(Backlog!$C$2:$C$188,MATCH($D152,Backlog!$A$2:$A$188,0)))</f>
        <v>P4</v>
      </c>
      <c r="D152" s="38" t="s">
        <v>1515</v>
      </c>
      <c r="E152" s="38" t="str">
        <f>IF(INDEX(Backlog!$D$2:$D$188,MATCH($D152,Backlog!$A$2:$A$188,0))="","",INDEX(Backlog!$D$2:$D$188,MATCH($D152,Backlog!$A$2:$A$188,0)))</f>
        <v>Bindable intelligence registry and evidence handles</v>
      </c>
      <c r="F152" s="70" t="str">
        <f>IF(INDEX(Backlog!$K$2:$K$188,MATCH($D152,Backlog!$A$2:$A$188,0))="","",INDEX(Backlog!$K$2:$K$188,MATCH($D152,Backlog!$A$2:$A$188,0)))</f>
        <v>Not Started</v>
      </c>
      <c r="G152" s="38">
        <f>IF(ISNUMBER(INDEX(Backlog!$AS$2:$AS$188,MATCH($D152,Backlog!$A$2:$A$188,0))),INDEX(Backlog!$AS$2:$AS$188,MATCH($D152,Backlog!$A$2:$A$188,0)),"")</f>
        <v>12</v>
      </c>
      <c r="H152" s="38">
        <f>IF(ISNUMBER(INDEX(Backlog!$AT$2:$AT$188,MATCH($D152,Backlog!$A$2:$A$188,0))),INDEX(Backlog!$AT$2:$AT$188,MATCH($D152,Backlog!$A$2:$A$188,0)),"")</f>
        <v>1.7999999999999998</v>
      </c>
      <c r="I152" s="38" t="str">
        <f>IF(INDEX(Backlog!$M$2:$M$188,MATCH($D152,Backlog!$A$2:$A$188,0))="","",INDEX(Backlog!$M$2:$M$188,MATCH($D152,Backlog!$A$2:$A$188,0)))</f>
        <v>T-090; T-095; T-096; T-129; T-130; T-133; T-186; T-139</v>
      </c>
      <c r="J152" s="38" t="str">
        <f>IF(INDEX(Backlog!$T$2:$T$188,MATCH($D152,Backlog!$A$2:$A$188,0))="","",INDEX(Backlog!$T$2:$T$188,MATCH($D152,Backlog!$A$2:$A$188,0)))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T-090 definition authority + T-095/T-096 relationship resolver + available ca...</v>
      </c>
      <c r="K152" s="38" t="str">
        <f>IF(INDEX(Backlog!$U$2:$U$188,MATCH($D152,Backlog!$A$2:$A$188,0))="","",INDEX(Backlog!$U$2:$U$188,MATCH($D152,Backlog!$A$2:$A$188,0)))</f>
        <v>Own intelligence/ML/Assistant and named intelligence surfaces. W1/W2 forbidden after hand-off.</v>
      </c>
      <c r="L152" s="38" t="str">
        <f>IF(INDEX(Backlog!$V$2:$V$188,MATCH($D152,Backlog!$A$2:$A$188,0))="","",INDEX(Backlog!$V$2:$V$188,MATCH($D152,Backlog!$A$2:$A$188,0)))</f>
        <v>Commit before downstream consumer starts; consumer must use the contract, not redesign producer-owned semantics.</v>
      </c>
      <c r="M152" s="32" t="str">
        <f>IF(INDEX(Backlog!$AO$2:$AO$188,MATCH($D152,Backlog!$A$2:$A$188,0))="","",INDEX(Backlog!$AO$2:$AO$188,MATCH($D152,Backlog!$A$2:$A$188,0)))</f>
        <v>Not started — no completion claimed</v>
      </c>
      <c r="N152" s="32" t="str">
        <f>IF(INDEX(Backlog!$AN$2:$AN$188,MATCH($D152,Backlog!$A$2:$A$188,0))="","",INDEX(Backlog!$AN$2:$AN$188,MATCH($D152,Backlog!$A$2:$A$188,0)))</f>
        <v/>
      </c>
    </row>
    <row r="153" spans="1:14" ht="26.1" customHeight="1">
      <c r="A153" s="38" t="str">
        <f>IF(INDEX(Backlog!$L$2:$L$188,MATCH($D153,Backlog!$A$2:$A$188,0))="","",INDEX(Backlog!$L$2:$L$188,MATCH($D153,Backlog!$A$2:$A$188,0)))</f>
        <v>Worker 3</v>
      </c>
      <c r="B153" s="38" t="str">
        <f>IF(INDEX(Backlog!$B$2:$B$188,MATCH($D153,Backlog!$A$2:$A$188,0))="","",INDEX(Backlog!$B$2:$B$188,MATCH($D153,Backlog!$A$2:$A$188,0)))</f>
        <v>M3</v>
      </c>
      <c r="C153" s="38" t="str">
        <f>IF(INDEX(Backlog!$C$2:$C$188,MATCH($D153,Backlog!$A$2:$A$188,0))="","",INDEX(Backlog!$C$2:$C$188,MATCH($D153,Backlog!$A$2:$A$188,0)))</f>
        <v>P4</v>
      </c>
      <c r="D153" s="38" t="s">
        <v>1522</v>
      </c>
      <c r="E153" s="38" t="str">
        <f>IF(INDEX(Backlog!$D$2:$D$188,MATCH($D153,Backlog!$A$2:$A$188,0))="","",INDEX(Backlog!$D$2:$D$188,MATCH($D153,Backlog!$A$2:$A$188,0)))</f>
        <v>Tenant-aware uniqueness across the intelligence tables</v>
      </c>
      <c r="F153" s="70" t="str">
        <f>IF(INDEX(Backlog!$K$2:$K$188,MATCH($D153,Backlog!$A$2:$A$188,0))="","",INDEX(Backlog!$K$2:$K$188,MATCH($D153,Backlog!$A$2:$A$188,0)))</f>
        <v>Not Started</v>
      </c>
      <c r="G153" s="38">
        <f>IF(ISNUMBER(INDEX(Backlog!$AS$2:$AS$188,MATCH($D153,Backlog!$A$2:$A$188,0))),INDEX(Backlog!$AS$2:$AS$188,MATCH($D153,Backlog!$A$2:$A$188,0)),"")</f>
        <v>10</v>
      </c>
      <c r="H153" s="38">
        <f>IF(ISNUMBER(INDEX(Backlog!$AT$2:$AT$188,MATCH($D153,Backlog!$A$2:$A$188,0))),INDEX(Backlog!$AT$2:$AT$188,MATCH($D153,Backlog!$A$2:$A$188,0)),"")</f>
        <v>1.9375</v>
      </c>
      <c r="I153" s="38" t="str">
        <f>IF(INDEX(Backlog!$M$2:$M$188,MATCH($D153,Backlog!$A$2:$A$188,0))="","",INDEX(Backlog!$M$2:$M$188,MATCH($D153,Backlog!$A$2:$A$188,0)))</f>
        <v>T-112; T-114; T-128; T-129; T-130; T-183</v>
      </c>
      <c r="J153" s="38" t="str">
        <f>IF(INDEX(Backlog!$T$2:$T$188,MATCH($D153,Backlog!$A$2:$A$188,0))="","",INDEX(Backlog!$T$2:$T$188,MATCH($D153,Backlog!$A$2:$A$188,0)))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T-112 + T-114 + current Release 2 persistence tables (including T-128/T-129/T-130/T...</v>
      </c>
      <c r="K153" s="38" t="str">
        <f>IF(INDEX(Backlog!$U$2:$U$188,MATCH($D153,Backlog!$A$2:$A$188,0))="","",INDEX(Backlog!$U$2:$U$188,MATCH($D153,Backlog!$A$2:$A$188,0)))</f>
        <v>Own intelligence/ML/Assistant and named intelligence surfaces. W1/W2 forbidden after hand-off.</v>
      </c>
      <c r="L153" s="38" t="str">
        <f>IF(INDEX(Backlog!$V$2:$V$188,MATCH($D153,Backlog!$A$2:$A$188,0))="","",INDEX(Backlog!$V$2:$V$188,MATCH($D153,Backlog!$A$2:$A$188,0)))</f>
        <v>Commit before downstream consumer starts; consumer must use the contract, not redesign producer-owned semantics.</v>
      </c>
      <c r="M153" s="32" t="str">
        <f>IF(INDEX(Backlog!$AO$2:$AO$188,MATCH($D153,Backlog!$A$2:$A$188,0))="","",INDEX(Backlog!$AO$2:$AO$188,MATCH($D153,Backlog!$A$2:$A$188,0)))</f>
        <v>Not started — no completion claimed</v>
      </c>
      <c r="N153" s="32" t="str">
        <f>IF(INDEX(Backlog!$AN$2:$AN$188,MATCH($D153,Backlog!$A$2:$A$188,0))="","",INDEX(Backlog!$AN$2:$AN$188,MATCH($D153,Backlog!$A$2:$A$188,0)))</f>
        <v/>
      </c>
    </row>
    <row r="154" spans="1:14" ht="26.1" customHeight="1">
      <c r="A154" s="38" t="str">
        <f>IF(INDEX(Backlog!$L$2:$L$188,MATCH($D154,Backlog!$A$2:$A$188,0))="","",INDEX(Backlog!$L$2:$L$188,MATCH($D154,Backlog!$A$2:$A$188,0)))</f>
        <v>Worker 3</v>
      </c>
      <c r="B154" s="38" t="str">
        <f>IF(INDEX(Backlog!$B$2:$B$188,MATCH($D154,Backlog!$A$2:$A$188,0))="","",INDEX(Backlog!$B$2:$B$188,MATCH($D154,Backlog!$A$2:$A$188,0)))</f>
        <v>M3</v>
      </c>
      <c r="C154" s="38" t="str">
        <f>IF(INDEX(Backlog!$C$2:$C$188,MATCH($D154,Backlog!$A$2:$A$188,0))="","",INDEX(Backlog!$C$2:$C$188,MATCH($D154,Backlog!$A$2:$A$188,0)))</f>
        <v>P4</v>
      </c>
      <c r="D154" s="38" t="s">
        <v>1529</v>
      </c>
      <c r="E154" s="38" t="str">
        <f>IF(INDEX(Backlog!$D$2:$D$188,MATCH($D154,Backlog!$A$2:$A$188,0))="","",INDEX(Backlog!$D$2:$D$188,MATCH($D154,Backlog!$A$2:$A$188,0)))</f>
        <v>Incremental practice recomputation</v>
      </c>
      <c r="F154" s="70" t="str">
        <f>IF(INDEX(Backlog!$K$2:$K$188,MATCH($D154,Backlog!$A$2:$A$188,0))="","",INDEX(Backlog!$K$2:$K$188,MATCH($D154,Backlog!$A$2:$A$188,0)))</f>
        <v>Not Started</v>
      </c>
      <c r="G154" s="38">
        <f>IF(ISNUMBER(INDEX(Backlog!$AS$2:$AS$188,MATCH($D154,Backlog!$A$2:$A$188,0))),INDEX(Backlog!$AS$2:$AS$188,MATCH($D154,Backlog!$A$2:$A$188,0)),"")</f>
        <v>10</v>
      </c>
      <c r="H154" s="38">
        <f>IF(ISNUMBER(INDEX(Backlog!$AT$2:$AT$188,MATCH($D154,Backlog!$A$2:$A$188,0))),INDEX(Backlog!$AT$2:$AT$188,MATCH($D154,Backlog!$A$2:$A$188,0)),"")</f>
        <v>1.5</v>
      </c>
      <c r="I154" s="38" t="str">
        <f>IF(INDEX(Backlog!$M$2:$M$188,MATCH($D154,Backlog!$A$2:$A$188,0))="","",INDEX(Backlog!$M$2:$M$188,MATCH($D154,Backlog!$A$2:$A$188,0)))</f>
        <v>T-131; T-132; T-133; T-109</v>
      </c>
      <c r="J154" s="38" t="str">
        <f>IF(INDEX(Backlog!$T$2:$T$188,MATCH($D154,Backlog!$A$2:$A$188,0))="","",INDEX(Backlog!$T$2:$T$188,MATCH($D154,Backlog!$A$2:$A$188,0)))</f>
        <v>T-109 + T-131..T-133</v>
      </c>
      <c r="K154" s="38" t="str">
        <f>IF(INDEX(Backlog!$U$2:$U$188,MATCH($D154,Backlog!$A$2:$A$188,0))="","",INDEX(Backlog!$U$2:$U$188,MATCH($D154,Backlog!$A$2:$A$188,0)))</f>
        <v>Own intelligence/ML/Assistant and named intelligence surfaces. W1/W2 forbidden after hand-off.</v>
      </c>
      <c r="L154" s="38" t="str">
        <f>IF(INDEX(Backlog!$V$2:$V$188,MATCH($D154,Backlog!$A$2:$A$188,0))="","",INDEX(Backlog!$V$2:$V$188,MATCH($D154,Backlog!$A$2:$A$188,0)))</f>
        <v>Commit before downstream consumer starts; consumer must use the contract, not redesign producer-owned semantics.</v>
      </c>
      <c r="M154" s="32" t="str">
        <f>IF(INDEX(Backlog!$AO$2:$AO$188,MATCH($D154,Backlog!$A$2:$A$188,0))="","",INDEX(Backlog!$AO$2:$AO$188,MATCH($D154,Backlog!$A$2:$A$188,0)))</f>
        <v>Not started — no completion claimed</v>
      </c>
      <c r="N154" s="32" t="str">
        <f>IF(INDEX(Backlog!$AN$2:$AN$188,MATCH($D154,Backlog!$A$2:$A$188,0))="","",INDEX(Backlog!$AN$2:$AN$188,MATCH($D154,Backlog!$A$2:$A$188,0)))</f>
        <v/>
      </c>
    </row>
    <row r="155" spans="1:14" ht="26.1" customHeight="1">
      <c r="A155" s="38" t="str">
        <f>IF(INDEX(Backlog!$L$2:$L$188,MATCH($D155,Backlog!$A$2:$A$188,0))="","",INDEX(Backlog!$L$2:$L$188,MATCH($D155,Backlog!$A$2:$A$188,0)))</f>
        <v>Worker 3</v>
      </c>
      <c r="B155" s="38" t="str">
        <f>IF(INDEX(Backlog!$B$2:$B$188,MATCH($D155,Backlog!$A$2:$A$188,0))="","",INDEX(Backlog!$B$2:$B$188,MATCH($D155,Backlog!$A$2:$A$188,0)))</f>
        <v>M3</v>
      </c>
      <c r="C155" s="38" t="str">
        <f>IF(INDEX(Backlog!$C$2:$C$188,MATCH($D155,Backlog!$A$2:$A$188,0))="","",INDEX(Backlog!$C$2:$C$188,MATCH($D155,Backlog!$A$2:$A$188,0)))</f>
        <v>P4</v>
      </c>
      <c r="D155" s="38" t="s">
        <v>1535</v>
      </c>
      <c r="E155" s="38" t="str">
        <f>IF(INDEX(Backlog!$D$2:$D$188,MATCH($D155,Backlog!$A$2:$A$188,0))="","",INDEX(Backlog!$D$2:$D$188,MATCH($D155,Backlog!$A$2:$A$188,0)))</f>
        <v>Canonical Assistant runtime cutover: planner, retrieval, evidence packing, serving and verifier</v>
      </c>
      <c r="F155" s="70" t="str">
        <f>IF(INDEX(Backlog!$K$2:$K$188,MATCH($D155,Backlog!$A$2:$A$188,0))="","",INDEX(Backlog!$K$2:$K$188,MATCH($D155,Backlog!$A$2:$A$188,0)))</f>
        <v>Not Started</v>
      </c>
      <c r="G155" s="38">
        <f>IF(ISNUMBER(INDEX(Backlog!$AS$2:$AS$188,MATCH($D155,Backlog!$A$2:$A$188,0))),INDEX(Backlog!$AS$2:$AS$188,MATCH($D155,Backlog!$A$2:$A$188,0)),"")</f>
        <v>12</v>
      </c>
      <c r="H155" s="38">
        <f>IF(ISNUMBER(INDEX(Backlog!$AT$2:$AT$188,MATCH($D155,Backlog!$A$2:$A$188,0))),INDEX(Backlog!$AT$2:$AT$188,MATCH($D155,Backlog!$A$2:$A$188,0)),"")</f>
        <v>1.7999999999999998</v>
      </c>
      <c r="I155" s="38" t="str">
        <f>IF(INDEX(Backlog!$M$2:$M$188,MATCH($D155,Backlog!$A$2:$A$188,0))="","",INDEX(Backlog!$M$2:$M$188,MATCH($D155,Backlog!$A$2:$A$188,0)))</f>
        <v>T-179; T-180; T-181; T-137; T-134; T-188</v>
      </c>
      <c r="J155" s="38" t="str">
        <f>IF(INDEX(Backlog!$T$2:$T$188,MATCH($D155,Backlog!$A$2:$A$188,0))="","",INDEX(Backlog!$T$2:$T$188,MATCH($D155,Backlog!$A$2:$A$188,0)))</f>
        <v>T-137 + T-179..T-181 + T-134 + T-188</v>
      </c>
      <c r="K155" s="38" t="str">
        <f>IF(INDEX(Backlog!$U$2:$U$188,MATCH($D155,Backlog!$A$2:$A$188,0))="","",INDEX(Backlog!$U$2:$U$188,MATCH($D155,Backlog!$A$2:$A$188,0)))</f>
        <v>Own intelligence/ML/Assistant and named intelligence surfaces. W1/W2 forbidden after hand-off.</v>
      </c>
      <c r="L155" s="38" t="str">
        <f>IF(INDEX(Backlog!$V$2:$V$188,MATCH($D155,Backlog!$A$2:$A$188,0))="","",INDEX(Backlog!$V$2:$V$188,MATCH($D155,Backlog!$A$2:$A$188,0)))</f>
        <v>Commit before downstream consumer starts; consumer must use the contract, not redesign producer-owned semantics.</v>
      </c>
      <c r="M155" s="32" t="str">
        <f>IF(INDEX(Backlog!$AO$2:$AO$188,MATCH($D155,Backlog!$A$2:$A$188,0))="","",INDEX(Backlog!$AO$2:$AO$188,MATCH($D155,Backlog!$A$2:$A$188,0)))</f>
        <v>Not started — no completion claimed</v>
      </c>
      <c r="N155" s="32" t="str">
        <f>IF(INDEX(Backlog!$AN$2:$AN$188,MATCH($D155,Backlog!$A$2:$A$188,0))="","",INDEX(Backlog!$AN$2:$AN$188,MATCH($D155,Backlog!$A$2:$A$188,0)))</f>
        <v/>
      </c>
    </row>
    <row r="156" spans="1:14" ht="26.1" customHeight="1">
      <c r="A156" s="38" t="str">
        <f>IF(INDEX(Backlog!$L$2:$L$188,MATCH($D156,Backlog!$A$2:$A$188,0))="","",INDEX(Backlog!$L$2:$L$188,MATCH($D156,Backlog!$A$2:$A$188,0)))</f>
        <v>Worker 3</v>
      </c>
      <c r="B156" s="38" t="str">
        <f>IF(INDEX(Backlog!$B$2:$B$188,MATCH($D156,Backlog!$A$2:$A$188,0))="","",INDEX(Backlog!$B$2:$B$188,MATCH($D156,Backlog!$A$2:$A$188,0)))</f>
        <v>M3</v>
      </c>
      <c r="C156" s="38" t="str">
        <f>IF(INDEX(Backlog!$C$2:$C$188,MATCH($D156,Backlog!$A$2:$A$188,0))="","",INDEX(Backlog!$C$2:$C$188,MATCH($D156,Backlog!$A$2:$A$188,0)))</f>
        <v>P4</v>
      </c>
      <c r="D156" s="38" t="s">
        <v>1542</v>
      </c>
      <c r="E156" s="38" t="str">
        <f>IF(INDEX(Backlog!$D$2:$D$188,MATCH($D156,Backlog!$A$2:$A$188,0))="","",INDEX(Backlog!$D$2:$D$188,MATCH($D156,Backlog!$A$2:$A$188,0)))</f>
        <v>prediction_runs, predictions and prediction_current</v>
      </c>
      <c r="F156" s="70" t="str">
        <f>IF(INDEX(Backlog!$K$2:$K$188,MATCH($D156,Backlog!$A$2:$A$188,0))="","",INDEX(Backlog!$K$2:$K$188,MATCH($D156,Backlog!$A$2:$A$188,0)))</f>
        <v>Not Started</v>
      </c>
      <c r="G156" s="38">
        <f>IF(ISNUMBER(INDEX(Backlog!$AS$2:$AS$188,MATCH($D156,Backlog!$A$2:$A$188,0))),INDEX(Backlog!$AS$2:$AS$188,MATCH($D156,Backlog!$A$2:$A$188,0)),"")</f>
        <v>12</v>
      </c>
      <c r="H156" s="38">
        <f>IF(ISNUMBER(INDEX(Backlog!$AT$2:$AT$188,MATCH($D156,Backlog!$A$2:$A$188,0))),INDEX(Backlog!$AT$2:$AT$188,MATCH($D156,Backlog!$A$2:$A$188,0)),"")</f>
        <v>1.7999999999999998</v>
      </c>
      <c r="I156" s="38" t="str">
        <f>IF(INDEX(Backlog!$M$2:$M$188,MATCH($D156,Backlog!$A$2:$A$188,0))="","",INDEX(Backlog!$M$2:$M$188,MATCH($D156,Backlog!$A$2:$A$188,0)))</f>
        <v>T-130; T-187; T-231</v>
      </c>
      <c r="J156" s="38" t="str">
        <f>IF(INDEX(Backlog!$T$2:$T$188,MATCH($D156,Backlog!$A$2:$A$188,0))="","",INDEX(Backlog!$T$2:$T$188,MATCH($D156,Backlog!$A$2:$A$188,0)))</f>
        <v>T-130 + T-187</v>
      </c>
      <c r="K156" s="38" t="str">
        <f>IF(INDEX(Backlog!$U$2:$U$188,MATCH($D156,Backlog!$A$2:$A$188,0))="","",INDEX(Backlog!$U$2:$U$188,MATCH($D156,Backlog!$A$2:$A$188,0)))</f>
        <v>Own intelligence/ML/Assistant and named intelligence surfaces. W1/W2 forbidden after hand-off.</v>
      </c>
      <c r="L156" s="38" t="str">
        <f>IF(INDEX(Backlog!$V$2:$V$188,MATCH($D156,Backlog!$A$2:$A$188,0))="","",INDEX(Backlog!$V$2:$V$188,MATCH($D156,Backlog!$A$2:$A$188,0)))</f>
        <v>Commit before downstream consumer starts; consumer must use the contract, not redesign producer-owned semantics.</v>
      </c>
      <c r="M156" s="32" t="str">
        <f>IF(INDEX(Backlog!$AO$2:$AO$188,MATCH($D156,Backlog!$A$2:$A$188,0))="","",INDEX(Backlog!$AO$2:$AO$188,MATCH($D156,Backlog!$A$2:$A$188,0)))</f>
        <v>Not started — no completion claimed</v>
      </c>
      <c r="N156" s="32" t="str">
        <f>IF(INDEX(Backlog!$AN$2:$AN$188,MATCH($D156,Backlog!$A$2:$A$188,0))="","",INDEX(Backlog!$AN$2:$AN$188,MATCH($D156,Backlog!$A$2:$A$188,0)))</f>
        <v/>
      </c>
    </row>
    <row r="157" spans="1:14" ht="26.1" customHeight="1">
      <c r="A157" s="38" t="str">
        <f>IF(INDEX(Backlog!$L$2:$L$188,MATCH($D157,Backlog!$A$2:$A$188,0))="","",INDEX(Backlog!$L$2:$L$188,MATCH($D157,Backlog!$A$2:$A$188,0)))</f>
        <v>Worker 3</v>
      </c>
      <c r="B157" s="38" t="str">
        <f>IF(INDEX(Backlog!$B$2:$B$188,MATCH($D157,Backlog!$A$2:$A$188,0))="","",INDEX(Backlog!$B$2:$B$188,MATCH($D157,Backlog!$A$2:$A$188,0)))</f>
        <v>M3</v>
      </c>
      <c r="C157" s="38" t="str">
        <f>IF(INDEX(Backlog!$C$2:$C$188,MATCH($D157,Backlog!$A$2:$A$188,0))="","",INDEX(Backlog!$C$2:$C$188,MATCH($D157,Backlog!$A$2:$A$188,0)))</f>
        <v>P4</v>
      </c>
      <c r="D157" s="38" t="s">
        <v>1550</v>
      </c>
      <c r="E157" s="38" t="str">
        <f>IF(INDEX(Backlog!$D$2:$D$188,MATCH($D157,Backlog!$A$2:$A$188,0))="","",INDEX(Backlog!$D$2:$D$188,MATCH($D157,Backlog!$A$2:$A$188,0)))</f>
        <v>Prediction drivers and comparables, persisted</v>
      </c>
      <c r="F157" s="70" t="str">
        <f>IF(INDEX(Backlog!$K$2:$K$188,MATCH($D157,Backlog!$A$2:$A$188,0))="","",INDEX(Backlog!$K$2:$K$188,MATCH($D157,Backlog!$A$2:$A$188,0)))</f>
        <v>Not Started</v>
      </c>
      <c r="G157" s="38">
        <f>IF(ISNUMBER(INDEX(Backlog!$AS$2:$AS$188,MATCH($D157,Backlog!$A$2:$A$188,0))),INDEX(Backlog!$AS$2:$AS$188,MATCH($D157,Backlog!$A$2:$A$188,0)),"")</f>
        <v>12</v>
      </c>
      <c r="H157" s="38">
        <f>IF(ISNUMBER(INDEX(Backlog!$AT$2:$AT$188,MATCH($D157,Backlog!$A$2:$A$188,0))),INDEX(Backlog!$AT$2:$AT$188,MATCH($D157,Backlog!$A$2:$A$188,0)),"")</f>
        <v>1.7999999999999998</v>
      </c>
      <c r="I157" s="38" t="str">
        <f>IF(INDEX(Backlog!$M$2:$M$188,MATCH($D157,Backlog!$A$2:$A$188,0))="","",INDEX(Backlog!$M$2:$M$188,MATCH($D157,Backlog!$A$2:$A$188,0)))</f>
        <v>T-139; T-173; T-176</v>
      </c>
      <c r="J157" s="38" t="str">
        <f>IF(INDEX(Backlog!$T$2:$T$188,MATCH($D157,Backlog!$A$2:$A$188,0))="","",INDEX(Backlog!$T$2:$T$188,MATCH($D157,Backlog!$A$2:$A$188,0)))</f>
        <v>T-139 + T-173/T-176</v>
      </c>
      <c r="K157" s="38" t="str">
        <f>IF(INDEX(Backlog!$U$2:$U$188,MATCH($D157,Backlog!$A$2:$A$188,0))="","",INDEX(Backlog!$U$2:$U$188,MATCH($D157,Backlog!$A$2:$A$188,0)))</f>
        <v>Own intelligence/ML/Assistant and named intelligence surfaces. W1/W2 forbidden after hand-off.</v>
      </c>
      <c r="L157" s="38" t="str">
        <f>IF(INDEX(Backlog!$V$2:$V$188,MATCH($D157,Backlog!$A$2:$A$188,0))="","",INDEX(Backlog!$V$2:$V$188,MATCH($D157,Backlog!$A$2:$A$188,0)))</f>
        <v>Commit before downstream consumer starts; consumer must use the contract, not redesign producer-owned semantics.</v>
      </c>
      <c r="M157" s="32" t="str">
        <f>IF(INDEX(Backlog!$AO$2:$AO$188,MATCH($D157,Backlog!$A$2:$A$188,0))="","",INDEX(Backlog!$AO$2:$AO$188,MATCH($D157,Backlog!$A$2:$A$188,0)))</f>
        <v>Not started — no completion claimed</v>
      </c>
      <c r="N157" s="32" t="str">
        <f>IF(INDEX(Backlog!$AN$2:$AN$188,MATCH($D157,Backlog!$A$2:$A$188,0))="","",INDEX(Backlog!$AN$2:$AN$188,MATCH($D157,Backlog!$A$2:$A$188,0)))</f>
        <v/>
      </c>
    </row>
    <row r="158" spans="1:14" ht="26.1" customHeight="1">
      <c r="A158" s="38" t="str">
        <f>IF(INDEX(Backlog!$L$2:$L$188,MATCH($D158,Backlog!$A$2:$A$188,0))="","",INDEX(Backlog!$L$2:$L$188,MATCH($D158,Backlog!$A$2:$A$188,0)))</f>
        <v>Worker 3</v>
      </c>
      <c r="B158" s="38" t="str">
        <f>IF(INDEX(Backlog!$B$2:$B$188,MATCH($D158,Backlog!$A$2:$A$188,0))="","",INDEX(Backlog!$B$2:$B$188,MATCH($D158,Backlog!$A$2:$A$188,0)))</f>
        <v>M3</v>
      </c>
      <c r="C158" s="38" t="str">
        <f>IF(INDEX(Backlog!$C$2:$C$188,MATCH($D158,Backlog!$A$2:$A$188,0))="","",INDEX(Backlog!$C$2:$C$188,MATCH($D158,Backlog!$A$2:$A$188,0)))</f>
        <v>P4</v>
      </c>
      <c r="D158" s="38" t="s">
        <v>1557</v>
      </c>
      <c r="E158" s="38" t="str">
        <f>IF(INDEX(Backlog!$D$2:$D$188,MATCH($D158,Backlog!$A$2:$A$188,0))="","",INDEX(Backlog!$D$2:$D$188,MATCH($D158,Backlog!$A$2:$A$188,0)))</f>
        <v>Actionable deadline and latency health</v>
      </c>
      <c r="F158" s="70" t="str">
        <f>IF(INDEX(Backlog!$K$2:$K$188,MATCH($D158,Backlog!$A$2:$A$188,0))="","",INDEX(Backlog!$K$2:$K$188,MATCH($D158,Backlog!$A$2:$A$188,0)))</f>
        <v>Not Started</v>
      </c>
      <c r="G158" s="38">
        <f>IF(ISNUMBER(INDEX(Backlog!$AS$2:$AS$188,MATCH($D158,Backlog!$A$2:$A$188,0))),INDEX(Backlog!$AS$2:$AS$188,MATCH($D158,Backlog!$A$2:$A$188,0)),"")</f>
        <v>12</v>
      </c>
      <c r="H158" s="38">
        <f>IF(ISNUMBER(INDEX(Backlog!$AT$2:$AT$188,MATCH($D158,Backlog!$A$2:$A$188,0))),INDEX(Backlog!$AT$2:$AT$188,MATCH($D158,Backlog!$A$2:$A$188,0)),"")</f>
        <v>1.7999999999999998</v>
      </c>
      <c r="I158" s="38" t="str">
        <f>IF(INDEX(Backlog!$M$2:$M$188,MATCH($D158,Backlog!$A$2:$A$188,0))="","",INDEX(Backlog!$M$2:$M$188,MATCH($D158,Backlog!$A$2:$A$188,0)))</f>
        <v>T-107; T-122; T-139; T-187</v>
      </c>
      <c r="J158" s="38" t="str">
        <f>IF(INDEX(Backlog!$T$2:$T$188,MATCH($D158,Backlog!$A$2:$A$188,0))="","",INDEX(Backlog!$T$2:$T$188,MATCH($D158,Backlog!$A$2:$A$188,0)))</f>
        <v>T-107 + T-122 + T-139 + T-187</v>
      </c>
      <c r="K158" s="38" t="str">
        <f>IF(INDEX(Backlog!$U$2:$U$188,MATCH($D158,Backlog!$A$2:$A$188,0))="","",INDEX(Backlog!$U$2:$U$188,MATCH($D158,Backlog!$A$2:$A$188,0)))</f>
        <v>Own intelligence/ML/Assistant and named intelligence surfaces. W1/W2 forbidden after hand-off.</v>
      </c>
      <c r="L158" s="38" t="str">
        <f>IF(INDEX(Backlog!$V$2:$V$188,MATCH($D158,Backlog!$A$2:$A$188,0))="","",INDEX(Backlog!$V$2:$V$188,MATCH($D158,Backlog!$A$2:$A$188,0)))</f>
        <v>Commit before downstream consumer starts; consumer must use the contract, not redesign producer-owned semantics.</v>
      </c>
      <c r="M158" s="32" t="str">
        <f>IF(INDEX(Backlog!$AO$2:$AO$188,MATCH($D158,Backlog!$A$2:$A$188,0))="","",INDEX(Backlog!$AO$2:$AO$188,MATCH($D158,Backlog!$A$2:$A$188,0)))</f>
        <v>Not started — no completion claimed</v>
      </c>
      <c r="N158" s="32" t="str">
        <f>IF(INDEX(Backlog!$AN$2:$AN$188,MATCH($D158,Backlog!$A$2:$A$188,0))="","",INDEX(Backlog!$AN$2:$AN$188,MATCH($D158,Backlog!$A$2:$A$188,0)))</f>
        <v/>
      </c>
    </row>
    <row r="159" spans="1:14" ht="26.1" customHeight="1">
      <c r="A159" s="38" t="str">
        <f>IF(INDEX(Backlog!$L$2:$L$188,MATCH($D159,Backlog!$A$2:$A$188,0))="","",INDEX(Backlog!$L$2:$L$188,MATCH($D159,Backlog!$A$2:$A$188,0)))</f>
        <v>Worker 3</v>
      </c>
      <c r="B159" s="38" t="str">
        <f>IF(INDEX(Backlog!$B$2:$B$188,MATCH($D159,Backlog!$A$2:$A$188,0))="","",INDEX(Backlog!$B$2:$B$188,MATCH($D159,Backlog!$A$2:$A$188,0)))</f>
        <v>M3</v>
      </c>
      <c r="C159" s="38" t="str">
        <f>IF(INDEX(Backlog!$C$2:$C$188,MATCH($D159,Backlog!$A$2:$A$188,0))="","",INDEX(Backlog!$C$2:$C$188,MATCH($D159,Backlog!$A$2:$A$188,0)))</f>
        <v>P4</v>
      </c>
      <c r="D159" s="38" t="s">
        <v>1564</v>
      </c>
      <c r="E159" s="38" t="str">
        <f>IF(INDEX(Backlog!$D$2:$D$188,MATCH($D159,Backlog!$A$2:$A$188,0))="","",INDEX(Backlog!$D$2:$D$188,MATCH($D159,Backlog!$A$2:$A$188,0)))</f>
        <v>Remediation candidate generation from the customer's own history</v>
      </c>
      <c r="F159" s="70" t="str">
        <f>IF(INDEX(Backlog!$K$2:$K$188,MATCH($D159,Backlog!$A$2:$A$188,0))="","",INDEX(Backlog!$K$2:$K$188,MATCH($D159,Backlog!$A$2:$A$188,0)))</f>
        <v>Not Started</v>
      </c>
      <c r="G159" s="38">
        <f>IF(ISNUMBER(INDEX(Backlog!$AS$2:$AS$188,MATCH($D159,Backlog!$A$2:$A$188,0))),INDEX(Backlog!$AS$2:$AS$188,MATCH($D159,Backlog!$A$2:$A$188,0)),"")</f>
        <v>8</v>
      </c>
      <c r="H159" s="38">
        <f>IF(ISNUMBER(INDEX(Backlog!$AT$2:$AT$188,MATCH($D159,Backlog!$A$2:$A$188,0))),INDEX(Backlog!$AT$2:$AT$188,MATCH($D159,Backlog!$A$2:$A$188,0)),"")</f>
        <v>1.2000000000000002</v>
      </c>
      <c r="I159" s="38" t="str">
        <f>IF(INDEX(Backlog!$M$2:$M$188,MATCH($D159,Backlog!$A$2:$A$188,0))="","",INDEX(Backlog!$M$2:$M$188,MATCH($D159,Backlog!$A$2:$A$188,0)))</f>
        <v>T-131; T-132; T-139; T-140</v>
      </c>
      <c r="J159" s="38" t="str">
        <f>IF(INDEX(Backlog!$T$2:$T$188,MATCH($D159,Backlog!$A$2:$A$188,0))="","",INDEX(Backlog!$T$2:$T$188,MATCH($D159,Backlog!$A$2:$A$188,0)))</f>
        <v>T-131/T-132 + T-139/T-140</v>
      </c>
      <c r="K159" s="38" t="str">
        <f>IF(INDEX(Backlog!$U$2:$U$188,MATCH($D159,Backlog!$A$2:$A$188,0))="","",INDEX(Backlog!$U$2:$U$188,MATCH($D159,Backlog!$A$2:$A$188,0)))</f>
        <v>Own intelligence/ML/Assistant and named intelligence surfaces. W1/W2 forbidden after hand-off.</v>
      </c>
      <c r="L159" s="38" t="str">
        <f>IF(INDEX(Backlog!$V$2:$V$188,MATCH($D159,Backlog!$A$2:$A$188,0))="","",INDEX(Backlog!$V$2:$V$188,MATCH($D159,Backlog!$A$2:$A$188,0)))</f>
        <v>Commit before downstream consumer starts; consumer must use the contract, not redesign producer-owned semantics.</v>
      </c>
      <c r="M159" s="32" t="str">
        <f>IF(INDEX(Backlog!$AO$2:$AO$188,MATCH($D159,Backlog!$A$2:$A$188,0))="","",INDEX(Backlog!$AO$2:$AO$188,MATCH($D159,Backlog!$A$2:$A$188,0)))</f>
        <v>Not started — no completion claimed</v>
      </c>
      <c r="N159" s="32" t="str">
        <f>IF(INDEX(Backlog!$AN$2:$AN$188,MATCH($D159,Backlog!$A$2:$A$188,0))="","",INDEX(Backlog!$AN$2:$AN$188,MATCH($D159,Backlog!$A$2:$A$188,0)))</f>
        <v/>
      </c>
    </row>
    <row r="160" spans="1:14" ht="26.1" customHeight="1">
      <c r="A160" s="38" t="str">
        <f>IF(INDEX(Backlog!$L$2:$L$188,MATCH($D160,Backlog!$A$2:$A$188,0))="","",INDEX(Backlog!$L$2:$L$188,MATCH($D160,Backlog!$A$2:$A$188,0)))</f>
        <v>Worker 3</v>
      </c>
      <c r="B160" s="38" t="str">
        <f>IF(INDEX(Backlog!$B$2:$B$188,MATCH($D160,Backlog!$A$2:$A$188,0))="","",INDEX(Backlog!$B$2:$B$188,MATCH($D160,Backlog!$A$2:$A$188,0)))</f>
        <v>M3</v>
      </c>
      <c r="C160" s="38" t="str">
        <f>IF(INDEX(Backlog!$C$2:$C$188,MATCH($D160,Backlog!$A$2:$A$188,0))="","",INDEX(Backlog!$C$2:$C$188,MATCH($D160,Backlog!$A$2:$A$188,0)))</f>
        <v>P4</v>
      </c>
      <c r="D160" s="38" t="s">
        <v>956</v>
      </c>
      <c r="E160" s="38" t="str">
        <f>IF(INDEX(Backlog!$D$2:$D$188,MATCH($D160,Backlog!$A$2:$A$188,0))="","",INDEX(Backlog!$D$2:$D$188,MATCH($D160,Backlog!$A$2:$A$188,0)))</f>
        <v>Integrate the nine-check remediation gate, can_accept and suppression</v>
      </c>
      <c r="F160" s="70" t="str">
        <f>IF(INDEX(Backlog!$K$2:$K$188,MATCH($D160,Backlog!$A$2:$A$188,0))="","",INDEX(Backlog!$K$2:$K$188,MATCH($D160,Backlog!$A$2:$A$188,0)))</f>
        <v>Not Started</v>
      </c>
      <c r="G160" s="38">
        <f>IF(ISNUMBER(INDEX(Backlog!$AS$2:$AS$188,MATCH($D160,Backlog!$A$2:$A$188,0))),INDEX(Backlog!$AS$2:$AS$188,MATCH($D160,Backlog!$A$2:$A$188,0)),"")</f>
        <v>8</v>
      </c>
      <c r="H160" s="38">
        <f>IF(ISNUMBER(INDEX(Backlog!$AT$2:$AT$188,MATCH($D160,Backlog!$A$2:$A$188,0))),INDEX(Backlog!$AT$2:$AT$188,MATCH($D160,Backlog!$A$2:$A$188,0)),"")</f>
        <v>1.2000000000000002</v>
      </c>
      <c r="I160" s="38" t="str">
        <f>IF(INDEX(Backlog!$M$2:$M$188,MATCH($D160,Backlog!$A$2:$A$188,0))="","",INDEX(Backlog!$M$2:$M$188,MATCH($D160,Backlog!$A$2:$A$188,0)))</f>
        <v>T-178; T-142</v>
      </c>
      <c r="J160" s="38" t="str">
        <f>IF(INDEX(Backlog!$T$2:$T$188,MATCH($D160,Backlog!$A$2:$A$188,0))="","",INDEX(Backlog!$T$2:$T$188,MATCH($D160,Backlog!$A$2:$A$188,0)))</f>
        <v>T-178 + T-142</v>
      </c>
      <c r="K160" s="38" t="str">
        <f>IF(INDEX(Backlog!$U$2:$U$188,MATCH($D160,Backlog!$A$2:$A$188,0))="","",INDEX(Backlog!$U$2:$U$188,MATCH($D160,Backlog!$A$2:$A$188,0)))</f>
        <v>Own intelligence/ML/Assistant and named intelligence surfaces. W1/W2 forbidden after hand-off.</v>
      </c>
      <c r="L160" s="38" t="str">
        <f>IF(INDEX(Backlog!$V$2:$V$188,MATCH($D160,Backlog!$A$2:$A$188,0))="","",INDEX(Backlog!$V$2:$V$188,MATCH($D160,Backlog!$A$2:$A$188,0)))</f>
        <v>Commit before downstream consumer starts; consumer must use the contract, not redesign producer-owned semantics.</v>
      </c>
      <c r="M160" s="32" t="str">
        <f>IF(INDEX(Backlog!$AO$2:$AO$188,MATCH($D160,Backlog!$A$2:$A$188,0))="","",INDEX(Backlog!$AO$2:$AO$188,MATCH($D160,Backlog!$A$2:$A$188,0)))</f>
        <v>Not started — no completion claimed</v>
      </c>
      <c r="N160" s="32" t="str">
        <f>IF(INDEX(Backlog!$AN$2:$AN$188,MATCH($D160,Backlog!$A$2:$A$188,0))="","",INDEX(Backlog!$AN$2:$AN$188,MATCH($D160,Backlog!$A$2:$A$188,0)))</f>
        <v/>
      </c>
    </row>
    <row r="161" spans="1:14" ht="26.1" customHeight="1">
      <c r="A161" s="38" t="str">
        <f>IF(INDEX(Backlog!$L$2:$L$188,MATCH($D161,Backlog!$A$2:$A$188,0))="","",INDEX(Backlog!$L$2:$L$188,MATCH($D161,Backlog!$A$2:$A$188,0)))</f>
        <v>Worker 3</v>
      </c>
      <c r="B161" s="38" t="str">
        <f>IF(INDEX(Backlog!$B$2:$B$188,MATCH($D161,Backlog!$A$2:$A$188,0))="","",INDEX(Backlog!$B$2:$B$188,MATCH($D161,Backlog!$A$2:$A$188,0)))</f>
        <v>M3</v>
      </c>
      <c r="C161" s="38" t="str">
        <f>IF(INDEX(Backlog!$C$2:$C$188,MATCH($D161,Backlog!$A$2:$A$188,0))="","",INDEX(Backlog!$C$2:$C$188,MATCH($D161,Backlog!$A$2:$A$188,0)))</f>
        <v>P4</v>
      </c>
      <c r="D161" s="38" t="s">
        <v>1577</v>
      </c>
      <c r="E161" s="38" t="str">
        <f>IF(INDEX(Backlog!$D$2:$D$188,MATCH($D161,Backlog!$A$2:$A$188,0))="","",INDEX(Backlog!$D$2:$D$188,MATCH($D161,Backlog!$A$2:$A$188,0)))</f>
        <v>Accept, Reject and Defer with action recording</v>
      </c>
      <c r="F161" s="70" t="str">
        <f>IF(INDEX(Backlog!$K$2:$K$188,MATCH($D161,Backlog!$A$2:$A$188,0))="","",INDEX(Backlog!$K$2:$K$188,MATCH($D161,Backlog!$A$2:$A$188,0)))</f>
        <v>Not Started</v>
      </c>
      <c r="G161" s="38">
        <f>IF(ISNUMBER(INDEX(Backlog!$AS$2:$AS$188,MATCH($D161,Backlog!$A$2:$A$188,0))),INDEX(Backlog!$AS$2:$AS$188,MATCH($D161,Backlog!$A$2:$A$188,0)),"")</f>
        <v>8</v>
      </c>
      <c r="H161" s="38">
        <f>IF(ISNUMBER(INDEX(Backlog!$AT$2:$AT$188,MATCH($D161,Backlog!$A$2:$A$188,0))),INDEX(Backlog!$AT$2:$AT$188,MATCH($D161,Backlog!$A$2:$A$188,0)),"")</f>
        <v>1.2000000000000002</v>
      </c>
      <c r="I161" s="38" t="str">
        <f>IF(INDEX(Backlog!$M$2:$M$188,MATCH($D161,Backlog!$A$2:$A$188,0))="","",INDEX(Backlog!$M$2:$M$188,MATCH($D161,Backlog!$A$2:$A$188,0)))</f>
        <v>T-143</v>
      </c>
      <c r="J161" s="38" t="str">
        <f>IF(INDEX(Backlog!$T$2:$T$188,MATCH($D161,Backlog!$A$2:$A$188,0))="","",INDEX(Backlog!$T$2:$T$188,MATCH($D161,Backlog!$A$2:$A$188,0)))</f>
        <v>T-143</v>
      </c>
      <c r="K161" s="38" t="str">
        <f>IF(INDEX(Backlog!$U$2:$U$188,MATCH($D161,Backlog!$A$2:$A$188,0))="","",INDEX(Backlog!$U$2:$U$188,MATCH($D161,Backlog!$A$2:$A$188,0)))</f>
        <v>Own intelligence/ML/Assistant and named intelligence surfaces. W1/W2 forbidden after hand-off.</v>
      </c>
      <c r="L161" s="38" t="str">
        <f>IF(INDEX(Backlog!$V$2:$V$188,MATCH($D161,Backlog!$A$2:$A$188,0))="","",INDEX(Backlog!$V$2:$V$188,MATCH($D161,Backlog!$A$2:$A$188,0)))</f>
        <v>Commit before downstream consumer starts; consumer must use the contract, not redesign producer-owned semantics.</v>
      </c>
      <c r="M161" s="32" t="str">
        <f>IF(INDEX(Backlog!$AO$2:$AO$188,MATCH($D161,Backlog!$A$2:$A$188,0))="","",INDEX(Backlog!$AO$2:$AO$188,MATCH($D161,Backlog!$A$2:$A$188,0)))</f>
        <v>Not started — no completion claimed</v>
      </c>
      <c r="N161" s="32" t="str">
        <f>IF(INDEX(Backlog!$AN$2:$AN$188,MATCH($D161,Backlog!$A$2:$A$188,0))="","",INDEX(Backlog!$AN$2:$AN$188,MATCH($D161,Backlog!$A$2:$A$188,0)))</f>
        <v/>
      </c>
    </row>
    <row r="162" spans="1:14" ht="26.1" customHeight="1">
      <c r="A162" s="38" t="str">
        <f>IF(INDEX(Backlog!$L$2:$L$188,MATCH($D162,Backlog!$A$2:$A$188,0))="","",INDEX(Backlog!$L$2:$L$188,MATCH($D162,Backlog!$A$2:$A$188,0)))</f>
        <v>Worker 3</v>
      </c>
      <c r="B162" s="38" t="str">
        <f>IF(INDEX(Backlog!$B$2:$B$188,MATCH($D162,Backlog!$A$2:$A$188,0))="","",INDEX(Backlog!$B$2:$B$188,MATCH($D162,Backlog!$A$2:$A$188,0)))</f>
        <v>M3</v>
      </c>
      <c r="C162" s="38" t="str">
        <f>IF(INDEX(Backlog!$C$2:$C$188,MATCH($D162,Backlog!$A$2:$A$188,0))="","",INDEX(Backlog!$C$2:$C$188,MATCH($D162,Backlog!$A$2:$A$188,0)))</f>
        <v>P4</v>
      </c>
      <c r="D162" s="38" t="s">
        <v>1586</v>
      </c>
      <c r="E162" s="38" t="str">
        <f>IF(INDEX(Backlog!$D$2:$D$188,MATCH($D162,Backlog!$A$2:$A$188,0))="","",INDEX(Backlog!$D$2:$D$188,MATCH($D162,Backlog!$A$2:$A$188,0)))</f>
        <v>Outcome capture, evaluation and escalation</v>
      </c>
      <c r="F162" s="70" t="str">
        <f>IF(INDEX(Backlog!$K$2:$K$188,MATCH($D162,Backlog!$A$2:$A$188,0))="","",INDEX(Backlog!$K$2:$K$188,MATCH($D162,Backlog!$A$2:$A$188,0)))</f>
        <v>Not Started</v>
      </c>
      <c r="G162" s="38" t="str">
        <f>IF(ISNUMBER(INDEX(Backlog!$AS$2:$AS$188,MATCH($D162,Backlog!$A$2:$A$188,0))),INDEX(Backlog!$AS$2:$AS$188,MATCH($D162,Backlog!$A$2:$A$188,0)),"")</f>
        <v/>
      </c>
      <c r="H162" s="38" t="str">
        <f>IF(ISNUMBER(INDEX(Backlog!$AT$2:$AT$188,MATCH($D162,Backlog!$A$2:$A$188,0))),INDEX(Backlog!$AT$2:$AT$188,MATCH($D162,Backlog!$A$2:$A$188,0)),"")</f>
        <v/>
      </c>
      <c r="I162" s="38" t="str">
        <f>IF(INDEX(Backlog!$M$2:$M$188,MATCH($D162,Backlog!$A$2:$A$188,0))="","",INDEX(Backlog!$M$2:$M$188,MATCH($D162,Backlog!$A$2:$A$188,0)))</f>
        <v>T-144</v>
      </c>
      <c r="J162" s="38" t="str">
        <f>IF(INDEX(Backlog!$T$2:$T$188,MATCH($D162,Backlog!$A$2:$A$188,0))="","",INDEX(Backlog!$T$2:$T$188,MATCH($D162,Backlog!$A$2:$A$188,0)))</f>
        <v>T-144</v>
      </c>
      <c r="K162" s="38" t="str">
        <f>IF(INDEX(Backlog!$U$2:$U$188,MATCH($D162,Backlog!$A$2:$A$188,0))="","",INDEX(Backlog!$U$2:$U$188,MATCH($D162,Backlog!$A$2:$A$188,0)))</f>
        <v>Own intelligence/ML/Assistant and named intelligence surfaces. W1/W2 forbidden after hand-off.</v>
      </c>
      <c r="L162" s="38" t="str">
        <f>IF(INDEX(Backlog!$V$2:$V$188,MATCH($D162,Backlog!$A$2:$A$188,0))="","",INDEX(Backlog!$V$2:$V$188,MATCH($D162,Backlog!$A$2:$A$188,0)))</f>
        <v>Commit before downstream consumer starts; consumer must use the contract, not redesign producer-owned semantics.</v>
      </c>
      <c r="M162" s="32" t="str">
        <f>IF(INDEX(Backlog!$AO$2:$AO$188,MATCH($D162,Backlog!$A$2:$A$188,0))="","",INDEX(Backlog!$AO$2:$AO$188,MATCH($D162,Backlog!$A$2:$A$188,0)))</f>
        <v>Not started — no completion claimed</v>
      </c>
      <c r="N162" s="32" t="str">
        <f>IF(INDEX(Backlog!$AN$2:$AN$188,MATCH($D162,Backlog!$A$2:$A$188,0))="","",INDEX(Backlog!$AN$2:$AN$188,MATCH($D162,Backlog!$A$2:$A$188,0)))</f>
        <v/>
      </c>
    </row>
    <row r="163" spans="1:14" ht="26.1" customHeight="1">
      <c r="A163" s="38" t="str">
        <f>IF(INDEX(Backlog!$L$2:$L$188,MATCH($D163,Backlog!$A$2:$A$188,0))="","",INDEX(Backlog!$L$2:$L$188,MATCH($D163,Backlog!$A$2:$A$188,0)))</f>
        <v>Worker 3</v>
      </c>
      <c r="B163" s="38" t="str">
        <f>IF(INDEX(Backlog!$B$2:$B$188,MATCH($D163,Backlog!$A$2:$A$188,0))="","",INDEX(Backlog!$B$2:$B$188,MATCH($D163,Backlog!$A$2:$A$188,0)))</f>
        <v>M3</v>
      </c>
      <c r="C163" s="38" t="str">
        <f>IF(INDEX(Backlog!$C$2:$C$188,MATCH($D163,Backlog!$A$2:$A$188,0))="","",INDEX(Backlog!$C$2:$C$188,MATCH($D163,Backlog!$A$2:$A$188,0)))</f>
        <v>P4</v>
      </c>
      <c r="D163" s="38" t="s">
        <v>1593</v>
      </c>
      <c r="E163" s="38" t="str">
        <f>IF(INDEX(Backlog!$D$2:$D$188,MATCH($D163,Backlog!$A$2:$A$188,0))="","",INDEX(Backlog!$D$2:$D$188,MATCH($D163,Backlog!$A$2:$A$188,0)))</f>
        <v>Converge the production statistical engine onto the certified method kernel</v>
      </c>
      <c r="F163" s="70" t="str">
        <f>IF(INDEX(Backlog!$K$2:$K$188,MATCH($D163,Backlog!$A$2:$A$188,0))="","",INDEX(Backlog!$K$2:$K$188,MATCH($D163,Backlog!$A$2:$A$188,0)))</f>
        <v>Not Started</v>
      </c>
      <c r="G163" s="38" t="str">
        <f>IF(ISNUMBER(INDEX(Backlog!$AS$2:$AS$188,MATCH($D163,Backlog!$A$2:$A$188,0))),INDEX(Backlog!$AS$2:$AS$188,MATCH($D163,Backlog!$A$2:$A$188,0)),"")</f>
        <v/>
      </c>
      <c r="H163" s="38" t="str">
        <f>IF(ISNUMBER(INDEX(Backlog!$AT$2:$AT$188,MATCH($D163,Backlog!$A$2:$A$188,0))),INDEX(Backlog!$AT$2:$AT$188,MATCH($D163,Backlog!$A$2:$A$188,0)),"")</f>
        <v/>
      </c>
      <c r="I163" s="38" t="str">
        <f>IF(INDEX(Backlog!$M$2:$M$188,MATCH($D163,Backlog!$A$2:$A$188,0))="","",INDEX(Backlog!$M$2:$M$188,MATCH($D163,Backlog!$A$2:$A$188,0)))</f>
        <v>T-147; T-177; T-128; T-129</v>
      </c>
      <c r="J163" s="38" t="str">
        <f>IF(INDEX(Backlog!$T$2:$T$188,MATCH($D163,Backlog!$A$2:$A$188,0))="","",INDEX(Backlog!$T$2:$T$188,MATCH($D163,Backlog!$A$2:$A$188,0)))</f>
        <v>T-147 COMPLETE + T-177 + T-128/T-129; M1 presentation continuity frozen.</v>
      </c>
      <c r="K163" s="38" t="str">
        <f>IF(INDEX(Backlog!$U$2:$U$188,MATCH($D163,Backlog!$A$2:$A$188,0))="","",INDEX(Backlog!$U$2:$U$188,MATCH($D163,Backlog!$A$2:$A$188,0)))</f>
        <v>Own intelligence/ML/Assistant and named intelligence surfaces. W1/W2 forbidden after hand-off.</v>
      </c>
      <c r="L163" s="38" t="str">
        <f>IF(INDEX(Backlog!$V$2:$V$188,MATCH($D163,Backlog!$A$2:$A$188,0))="","",INDEX(Backlog!$V$2:$V$188,MATCH($D163,Backlog!$A$2:$A$188,0)))</f>
        <v>Commit before downstream consumer starts; consumer must use the contract, not redesign producer-owned semantics.</v>
      </c>
      <c r="M163" s="32" t="str">
        <f>IF(INDEX(Backlog!$AO$2:$AO$188,MATCH($D163,Backlog!$A$2:$A$188,0))="","",INDEX(Backlog!$AO$2:$AO$188,MATCH($D163,Backlog!$A$2:$A$188,0)))</f>
        <v>Not started — no completion claimed</v>
      </c>
      <c r="N163" s="32" t="str">
        <f>IF(INDEX(Backlog!$AN$2:$AN$188,MATCH($D163,Backlog!$A$2:$A$188,0))="","",INDEX(Backlog!$AN$2:$AN$188,MATCH($D163,Backlog!$A$2:$A$188,0)))</f>
        <v/>
      </c>
    </row>
    <row r="164" spans="1:14" ht="26.1" customHeight="1">
      <c r="A164" s="38" t="str">
        <f>IF(INDEX(Backlog!$L$2:$L$188,MATCH($D164,Backlog!$A$2:$A$188,0))="","",INDEX(Backlog!$L$2:$L$188,MATCH($D164,Backlog!$A$2:$A$188,0)))</f>
        <v>Worker 3</v>
      </c>
      <c r="B164" s="38" t="str">
        <f>IF(INDEX(Backlog!$B$2:$B$188,MATCH($D164,Backlog!$A$2:$A$188,0))="","",INDEX(Backlog!$B$2:$B$188,MATCH($D164,Backlog!$A$2:$A$188,0)))</f>
        <v>M3</v>
      </c>
      <c r="C164" s="38" t="str">
        <f>IF(INDEX(Backlog!$C$2:$C$188,MATCH($D164,Backlog!$A$2:$A$188,0))="","",INDEX(Backlog!$C$2:$C$188,MATCH($D164,Backlog!$A$2:$A$188,0)))</f>
        <v>P4</v>
      </c>
      <c r="D164" s="38" t="s">
        <v>1600</v>
      </c>
      <c r="E164" s="38" t="str">
        <f>IF(INDEX(Backlog!$D$2:$D$188,MATCH($D164,Backlog!$A$2:$A$188,0))="","",INDEX(Backlog!$D$2:$D$188,MATCH($D164,Backlog!$A$2:$A$188,0)))</f>
        <v>Fix the outcome namespace, grain assignment and ordinal loader</v>
      </c>
      <c r="F164" s="70" t="str">
        <f>IF(INDEX(Backlog!$K$2:$K$188,MATCH($D164,Backlog!$A$2:$A$188,0))="","",INDEX(Backlog!$K$2:$K$188,MATCH($D164,Backlog!$A$2:$A$188,0)))</f>
        <v>Not Started</v>
      </c>
      <c r="G164" s="38">
        <f>IF(ISNUMBER(INDEX(Backlog!$AS$2:$AS$188,MATCH($D164,Backlog!$A$2:$A$188,0))),INDEX(Backlog!$AS$2:$AS$188,MATCH($D164,Backlog!$A$2:$A$188,0)),"")</f>
        <v>12</v>
      </c>
      <c r="H164" s="38">
        <f>IF(ISNUMBER(INDEX(Backlog!$AT$2:$AT$188,MATCH($D164,Backlog!$A$2:$A$188,0))),INDEX(Backlog!$AT$2:$AT$188,MATCH($D164,Backlog!$A$2:$A$188,0)),"")</f>
        <v>1.7999999999999998</v>
      </c>
      <c r="I164" s="38" t="str">
        <f>IF(INDEX(Backlog!$M$2:$M$188,MATCH($D164,Backlog!$A$2:$A$188,0))="","",INDEX(Backlog!$M$2:$M$188,MATCH($D164,Backlog!$A$2:$A$188,0)))</f>
        <v>T-090; T-128; T-129; T-177</v>
      </c>
      <c r="J164" s="38" t="str">
        <f>IF(INDEX(Backlog!$T$2:$T$188,MATCH($D164,Backlog!$A$2:$A$188,0))="","",INDEX(Backlog!$T$2:$T$188,MATCH($D164,Backlog!$A$2:$A$188,0)))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T-090 canonical SM-06 binding + T-128/T-129 + T-177; complete BEFORE T-146 fi...</v>
      </c>
      <c r="K164" s="38" t="str">
        <f>IF(INDEX(Backlog!$U$2:$U$188,MATCH($D164,Backlog!$A$2:$A$188,0))="","",INDEX(Backlog!$U$2:$U$188,MATCH($D164,Backlog!$A$2:$A$188,0)))</f>
        <v>Own intelligence/ML/Assistant and named intelligence surfaces. W1/W2 forbidden after hand-off.</v>
      </c>
      <c r="L164" s="38" t="str">
        <f>IF(INDEX(Backlog!$V$2:$V$188,MATCH($D164,Backlog!$A$2:$A$188,0))="","",INDEX(Backlog!$V$2:$V$188,MATCH($D164,Backlog!$A$2:$A$188,0)))</f>
        <v>Commit before downstream consumer starts; consumer must use the contract, not redesign producer-owned semantics.</v>
      </c>
      <c r="M164" s="32" t="str">
        <f>IF(INDEX(Backlog!$AO$2:$AO$188,MATCH($D164,Backlog!$A$2:$A$188,0))="","",INDEX(Backlog!$AO$2:$AO$188,MATCH($D164,Backlog!$A$2:$A$188,0)))</f>
        <v>Not started — no completion claimed</v>
      </c>
      <c r="N164" s="32" t="str">
        <f>IF(INDEX(Backlog!$AN$2:$AN$188,MATCH($D164,Backlog!$A$2:$A$188,0))="","",INDEX(Backlog!$AN$2:$AN$188,MATCH($D164,Backlog!$A$2:$A$188,0)))</f>
        <v/>
      </c>
    </row>
    <row r="165" spans="1:14" ht="26.1" customHeight="1">
      <c r="A165" s="38" t="str">
        <f>IF(INDEX(Backlog!$L$2:$L$188,MATCH($D165,Backlog!$A$2:$A$188,0))="","",INDEX(Backlog!$L$2:$L$188,MATCH($D165,Backlog!$A$2:$A$188,0)))</f>
        <v>Worker 3</v>
      </c>
      <c r="B165" s="38" t="str">
        <f>IF(INDEX(Backlog!$B$2:$B$188,MATCH($D165,Backlog!$A$2:$A$188,0))="","",INDEX(Backlog!$B$2:$B$188,MATCH($D165,Backlog!$A$2:$A$188,0)))</f>
        <v>M3</v>
      </c>
      <c r="C165" s="38" t="str">
        <f>IF(INDEX(Backlog!$C$2:$C$188,MATCH($D165,Backlog!$A$2:$A$188,0))="","",INDEX(Backlog!$C$2:$C$188,MATCH($D165,Backlog!$A$2:$A$188,0)))</f>
        <v>P4</v>
      </c>
      <c r="D165" s="38" t="s">
        <v>1607</v>
      </c>
      <c r="E165" s="38" t="str">
        <f>IF(INDEX(Backlog!$D$2:$D$188,MATCH($D165,Backlog!$A$2:$A$188,0))="","",INDEX(Backlog!$D$2:$D$188,MATCH($D165,Backlog!$A$2:$A$188,0)))</f>
        <v>Practice, prediction and model calibration on real data</v>
      </c>
      <c r="F165" s="70" t="str">
        <f>IF(INDEX(Backlog!$K$2:$K$188,MATCH($D165,Backlog!$A$2:$A$188,0))="","",INDEX(Backlog!$K$2:$K$188,MATCH($D165,Backlog!$A$2:$A$188,0)))</f>
        <v>Not Started</v>
      </c>
      <c r="G165" s="38">
        <f>IF(ISNUMBER(INDEX(Backlog!$AS$2:$AS$188,MATCH($D165,Backlog!$A$2:$A$188,0))),INDEX(Backlog!$AS$2:$AS$188,MATCH($D165,Backlog!$A$2:$A$188,0)),"")</f>
        <v>12</v>
      </c>
      <c r="H165" s="38">
        <f>IF(ISNUMBER(INDEX(Backlog!$AT$2:$AT$188,MATCH($D165,Backlog!$A$2:$A$188,0))),INDEX(Backlog!$AT$2:$AT$188,MATCH($D165,Backlog!$A$2:$A$188,0)),"")</f>
        <v>4.32</v>
      </c>
      <c r="I165" s="38" t="str">
        <f>IF(INDEX(Backlog!$M$2:$M$188,MATCH($D165,Backlog!$A$2:$A$188,0))="","",INDEX(Backlog!$M$2:$M$188,MATCH($D165,Backlog!$A$2:$A$188,0)))</f>
        <v/>
      </c>
      <c r="J165" s="38" t="str">
        <f>IF(INDEX(Backlog!$T$2:$T$188,MATCH($D165,Backlog!$A$2:$A$188,0))="","",INDEX(Backlog!$T$2:$T$188,MATCH($D165,Backlog!$A$2:$A$188,0)))</f>
        <v>WAIT for deployed Release 1 + real customer/site evidence. Release 2 accepted + customer data window</v>
      </c>
      <c r="K165" s="38" t="str">
        <f>IF(INDEX(Backlog!$U$2:$U$188,MATCH($D165,Backlog!$A$2:$A$188,0))="","",INDEX(Backlog!$U$2:$U$188,MATCH($D165,Backlog!$A$2:$A$188,0)))</f>
        <v>Own AI/ML calibration/capacity evidence only.</v>
      </c>
      <c r="L165" s="38" t="str">
        <f>IF(INDEX(Backlog!$V$2:$V$188,MATCH($D165,Backlog!$A$2:$A$188,0))="","",INDEX(Backlog!$V$2:$V$188,MATCH($D165,Backlog!$A$2:$A$188,0)))</f>
        <v>Commit before downstream consumer starts; consumer must use the contract, not redesign producer-owned semantics.</v>
      </c>
      <c r="M165" s="32" t="str">
        <f>IF(INDEX(Backlog!$AO$2:$AO$188,MATCH($D165,Backlog!$A$2:$A$188,0))="","",INDEX(Backlog!$AO$2:$AO$188,MATCH($D165,Backlog!$A$2:$A$188,0)))</f>
        <v>Not started — no completion claimed</v>
      </c>
      <c r="N165" s="32" t="str">
        <f>IF(INDEX(Backlog!$AN$2:$AN$188,MATCH($D165,Backlog!$A$2:$A$188,0))="","",INDEX(Backlog!$AN$2:$AN$188,MATCH($D165,Backlog!$A$2:$A$188,0)))</f>
        <v/>
      </c>
    </row>
    <row r="166" spans="1:14" ht="26.1" customHeight="1">
      <c r="A166" s="38" t="str">
        <f>IF(INDEX(Backlog!$L$2:$L$188,MATCH($D166,Backlog!$A$2:$A$188,0))="","",INDEX(Backlog!$L$2:$L$188,MATCH($D166,Backlog!$A$2:$A$188,0)))</f>
        <v>Worker 3</v>
      </c>
      <c r="B166" s="38" t="str">
        <f>IF(INDEX(Backlog!$B$2:$B$188,MATCH($D166,Backlog!$A$2:$A$188,0))="","",INDEX(Backlog!$B$2:$B$188,MATCH($D166,Backlog!$A$2:$A$188,0)))</f>
        <v>M3</v>
      </c>
      <c r="C166" s="38" t="str">
        <f>IF(INDEX(Backlog!$C$2:$C$188,MATCH($D166,Backlog!$A$2:$A$188,0))="","",INDEX(Backlog!$C$2:$C$188,MATCH($D166,Backlog!$A$2:$A$188,0)))</f>
        <v>P4</v>
      </c>
      <c r="D166" s="38" t="s">
        <v>1614</v>
      </c>
      <c r="E166" s="38" t="str">
        <f>IF(INDEX(Backlog!$D$2:$D$188,MATCH($D166,Backlog!$A$2:$A$188,0))="","",INDEX(Backlog!$D$2:$D$188,MATCH($D166,Backlog!$A$2:$A$188,0)))</f>
        <v>Remediation validation against real process constraints</v>
      </c>
      <c r="F166" s="70" t="str">
        <f>IF(INDEX(Backlog!$K$2:$K$188,MATCH($D166,Backlog!$A$2:$A$188,0))="","",INDEX(Backlog!$K$2:$K$188,MATCH($D166,Backlog!$A$2:$A$188,0)))</f>
        <v>Not Started</v>
      </c>
      <c r="G166" s="38">
        <f>IF(ISNUMBER(INDEX(Backlog!$AS$2:$AS$188,MATCH($D166,Backlog!$A$2:$A$188,0))),INDEX(Backlog!$AS$2:$AS$188,MATCH($D166,Backlog!$A$2:$A$188,0)),"")</f>
        <v>12</v>
      </c>
      <c r="H166" s="38">
        <f>IF(ISNUMBER(INDEX(Backlog!$AT$2:$AT$188,MATCH($D166,Backlog!$A$2:$A$188,0))),INDEX(Backlog!$AT$2:$AT$188,MATCH($D166,Backlog!$A$2:$A$188,0)),"")</f>
        <v>4.32</v>
      </c>
      <c r="I166" s="38" t="str">
        <f>IF(INDEX(Backlog!$M$2:$M$188,MATCH($D166,Backlog!$A$2:$A$188,0))="","",INDEX(Backlog!$M$2:$M$188,MATCH($D166,Backlog!$A$2:$A$188,0)))</f>
        <v/>
      </c>
      <c r="J166" s="38" t="str">
        <f>IF(INDEX(Backlog!$T$2:$T$188,MATCH($D166,Backlog!$A$2:$A$188,0))="","",INDEX(Backlog!$T$2:$T$188,MATCH($D166,Backlog!$A$2:$A$188,0)))</f>
        <v>WAIT for deployed Release 1 + real customer/site evidence. Release 2 accepted + customer data window</v>
      </c>
      <c r="K166" s="38" t="str">
        <f>IF(INDEX(Backlog!$U$2:$U$188,MATCH($D166,Backlog!$A$2:$A$188,0))="","",INDEX(Backlog!$U$2:$U$188,MATCH($D166,Backlog!$A$2:$A$188,0)))</f>
        <v>Own AI/ML calibration/capacity evidence only.</v>
      </c>
      <c r="L166" s="38" t="str">
        <f>IF(INDEX(Backlog!$V$2:$V$188,MATCH($D166,Backlog!$A$2:$A$188,0))="","",INDEX(Backlog!$V$2:$V$188,MATCH($D166,Backlog!$A$2:$A$188,0)))</f>
        <v>Commit before downstream consumer starts; consumer must use the contract, not redesign producer-owned semantics.</v>
      </c>
      <c r="M166" s="32" t="str">
        <f>IF(INDEX(Backlog!$AO$2:$AO$188,MATCH($D166,Backlog!$A$2:$A$188,0))="","",INDEX(Backlog!$AO$2:$AO$188,MATCH($D166,Backlog!$A$2:$A$188,0)))</f>
        <v>Not started — no completion claimed</v>
      </c>
      <c r="N166" s="32" t="str">
        <f>IF(INDEX(Backlog!$AN$2:$AN$188,MATCH($D166,Backlog!$A$2:$A$188,0))="","",INDEX(Backlog!$AN$2:$AN$188,MATCH($D166,Backlog!$A$2:$A$188,0)))</f>
        <v/>
      </c>
    </row>
    <row r="167" spans="1:14" ht="26.1" customHeight="1">
      <c r="A167" s="38" t="str">
        <f>IF(INDEX(Backlog!$L$2:$L$188,MATCH($D167,Backlog!$A$2:$A$188,0))="","",INDEX(Backlog!$L$2:$L$188,MATCH($D167,Backlog!$A$2:$A$188,0)))</f>
        <v>Worker 3</v>
      </c>
      <c r="B167" s="38" t="str">
        <f>IF(INDEX(Backlog!$B$2:$B$188,MATCH($D167,Backlog!$A$2:$A$188,0))="","",INDEX(Backlog!$B$2:$B$188,MATCH($D167,Backlog!$A$2:$A$188,0)))</f>
        <v>M3</v>
      </c>
      <c r="C167" s="38" t="str">
        <f>IF(INDEX(Backlog!$C$2:$C$188,MATCH($D167,Backlog!$A$2:$A$188,0))="","",INDEX(Backlog!$C$2:$C$188,MATCH($D167,Backlog!$A$2:$A$188,0)))</f>
        <v>P4</v>
      </c>
      <c r="D167" s="38" t="s">
        <v>1633</v>
      </c>
      <c r="E167" s="38" t="str">
        <f>IF(INDEX(Backlog!$D$2:$D$188,MATCH($D167,Backlog!$A$2:$A$188,0))="","",INDEX(Backlog!$D$2:$D$188,MATCH($D167,Backlog!$A$2:$A$188,0)))</f>
        <v>Semantic Contract Manifest persistence, resolver and G-55 coverage</v>
      </c>
      <c r="F167" s="70" t="str">
        <f>IF(INDEX(Backlog!$K$2:$K$188,MATCH($D167,Backlog!$A$2:$A$188,0))="","",INDEX(Backlog!$K$2:$K$188,MATCH($D167,Backlog!$A$2:$A$188,0)))</f>
        <v>Not Started</v>
      </c>
      <c r="G167" s="38">
        <f>IF(ISNUMBER(INDEX(Backlog!$AS$2:$AS$188,MATCH($D167,Backlog!$A$2:$A$188,0))),INDEX(Backlog!$AS$2:$AS$188,MATCH($D167,Backlog!$A$2:$A$188,0)),"")</f>
        <v>12</v>
      </c>
      <c r="H167" s="38">
        <f>IF(ISNUMBER(INDEX(Backlog!$AT$2:$AT$188,MATCH($D167,Backlog!$A$2:$A$188,0))),INDEX(Backlog!$AT$2:$AT$188,MATCH($D167,Backlog!$A$2:$A$188,0)),"")</f>
        <v>1.7999999999999998</v>
      </c>
      <c r="I167" s="38" t="str">
        <f>IF(INDEX(Backlog!$M$2:$M$188,MATCH($D167,Backlog!$A$2:$A$188,0))="","",INDEX(Backlog!$M$2:$M$188,MATCH($D167,Backlog!$A$2:$A$188,0)))</f>
        <v>T-089; T-090; T-091; T-092; T-093; T-094; T-095; T-096; T-097; T-098; T-099; T-100; T-101; T-102; T-103; T-104; T-112; T-114</v>
      </c>
      <c r="J167" s="38" t="str">
        <f>IF(INDEX(Backlog!$T$2:$T$188,MATCH($D167,Backlog!$A$2:$A$188,0))="","",INDEX(Backlog!$T$2:$T$188,MATCH($D167,Backlog!$A$2:$A$188,0)))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T-089..T-105 canonical definition/relationship authority + T-112 + T-114 secu...</v>
      </c>
      <c r="K167" s="38" t="str">
        <f>IF(INDEX(Backlog!$U$2:$U$188,MATCH($D167,Backlog!$A$2:$A$188,0))="","",INDEX(Backlog!$U$2:$U$188,MATCH($D167,Backlog!$A$2:$A$188,0)))</f>
        <v>Own intelligence/ML/Assistant and named intelligence surfaces. W1/W2 forbidden after hand-off.</v>
      </c>
      <c r="L167" s="38" t="str">
        <f>IF(INDEX(Backlog!$V$2:$V$188,MATCH($D167,Backlog!$A$2:$A$188,0))="","",INDEX(Backlog!$V$2:$V$188,MATCH($D167,Backlog!$A$2:$A$188,0)))</f>
        <v>Commit before downstream consumer starts; consumer must use the contract, not redesign producer-owned semantics.</v>
      </c>
      <c r="M167" s="32" t="str">
        <f>IF(INDEX(Backlog!$AO$2:$AO$188,MATCH($D167,Backlog!$A$2:$A$188,0))="","",INDEX(Backlog!$AO$2:$AO$188,MATCH($D167,Backlog!$A$2:$A$188,0)))</f>
        <v>Not started — no completion claimed</v>
      </c>
      <c r="N167" s="32" t="str">
        <f>IF(INDEX(Backlog!$AN$2:$AN$188,MATCH($D167,Backlog!$A$2:$A$188,0))="","",INDEX(Backlog!$AN$2:$AN$188,MATCH($D167,Backlog!$A$2:$A$188,0)))</f>
        <v/>
      </c>
    </row>
    <row r="168" spans="1:14" ht="26.1" customHeight="1">
      <c r="A168" s="38" t="str">
        <f>IF(INDEX(Backlog!$L$2:$L$188,MATCH($D168,Backlog!$A$2:$A$188,0))="","",INDEX(Backlog!$L$2:$L$188,MATCH($D168,Backlog!$A$2:$A$188,0)))</f>
        <v>Worker 3</v>
      </c>
      <c r="B168" s="38" t="str">
        <f>IF(INDEX(Backlog!$B$2:$B$188,MATCH($D168,Backlog!$A$2:$A$188,0))="","",INDEX(Backlog!$B$2:$B$188,MATCH($D168,Backlog!$A$2:$A$188,0)))</f>
        <v>M3</v>
      </c>
      <c r="C168" s="38" t="str">
        <f>IF(INDEX(Backlog!$C$2:$C$188,MATCH($D168,Backlog!$A$2:$A$188,0))="","",INDEX(Backlog!$C$2:$C$188,MATCH($D168,Backlog!$A$2:$A$188,0)))</f>
        <v>P4</v>
      </c>
      <c r="D168" s="38" t="s">
        <v>1641</v>
      </c>
      <c r="E168" s="38" t="str">
        <f>IF(INDEX(Backlog!$D$2:$D$188,MATCH($D168,Backlog!$A$2:$A$188,0))="","",INDEX(Backlog!$D$2:$D$188,MATCH($D168,Backlog!$A$2:$A$188,0)))</f>
        <v>Snapshot Materialiser: seal feature state into typed artifacts and enforce G-48</v>
      </c>
      <c r="F168" s="70" t="str">
        <f>IF(INDEX(Backlog!$K$2:$K$188,MATCH($D168,Backlog!$A$2:$A$188,0))="","",INDEX(Backlog!$K$2:$K$188,MATCH($D168,Backlog!$A$2:$A$188,0)))</f>
        <v>Not Started</v>
      </c>
      <c r="G168" s="38">
        <f>IF(ISNUMBER(INDEX(Backlog!$AS$2:$AS$188,MATCH($D168,Backlog!$A$2:$A$188,0))),INDEX(Backlog!$AS$2:$AS$188,MATCH($D168,Backlog!$A$2:$A$188,0)),"")</f>
        <v>12</v>
      </c>
      <c r="H168" s="38">
        <f>IF(ISNUMBER(INDEX(Backlog!$AT$2:$AT$188,MATCH($D168,Backlog!$A$2:$A$188,0))),INDEX(Backlog!$AT$2:$AT$188,MATCH($D168,Backlog!$A$2:$A$188,0)),"")</f>
        <v>1.7999999999999998</v>
      </c>
      <c r="I168" s="38" t="str">
        <f>IF(INDEX(Backlog!$M$2:$M$188,MATCH($D168,Backlog!$A$2:$A$188,0))="","",INDEX(Backlog!$M$2:$M$188,MATCH($D168,Backlog!$A$2:$A$188,0)))</f>
        <v>T-128; T-169; T-183; T-112; T-114; T-135</v>
      </c>
      <c r="J168" s="38" t="str">
        <f>IF(INDEX(Backlog!$T$2:$T$188,MATCH($D168,Backlog!$A$2:$A$188,0))="","",INDEX(Backlog!$T$2:$T$188,MATCH($D168,Backlog!$A$2:$A$188,0)))</f>
        <v>T-128 + T-169 + T-183 + T-112/T-114/T-135 security ratchet.</v>
      </c>
      <c r="K168" s="38" t="str">
        <f>IF(INDEX(Backlog!$U$2:$U$188,MATCH($D168,Backlog!$A$2:$A$188,0))="","",INDEX(Backlog!$U$2:$U$188,MATCH($D168,Backlog!$A$2:$A$188,0)))</f>
        <v>Own intelligence/ML/Assistant and named intelligence surfaces. W1/W2 forbidden after hand-off.</v>
      </c>
      <c r="L168" s="38" t="str">
        <f>IF(INDEX(Backlog!$V$2:$V$188,MATCH($D168,Backlog!$A$2:$A$188,0))="","",INDEX(Backlog!$V$2:$V$188,MATCH($D168,Backlog!$A$2:$A$188,0)))</f>
        <v>Commit before downstream consumer starts; consumer must use the contract, not redesign producer-owned semantics.</v>
      </c>
      <c r="M168" s="32" t="str">
        <f>IF(INDEX(Backlog!$AO$2:$AO$188,MATCH($D168,Backlog!$A$2:$A$188,0))="","",INDEX(Backlog!$AO$2:$AO$188,MATCH($D168,Backlog!$A$2:$A$188,0)))</f>
        <v>Not started — no completion claimed</v>
      </c>
      <c r="N168" s="32" t="str">
        <f>IF(INDEX(Backlog!$AN$2:$AN$188,MATCH($D168,Backlog!$A$2:$A$188,0))="","",INDEX(Backlog!$AN$2:$AN$188,MATCH($D168,Backlog!$A$2:$A$188,0)))</f>
        <v/>
      </c>
    </row>
    <row r="169" spans="1:14" ht="26.1" customHeight="1">
      <c r="A169" s="38" t="str">
        <f>IF(INDEX(Backlog!$L$2:$L$188,MATCH($D169,Backlog!$A$2:$A$188,0))="","",INDEX(Backlog!$L$2:$L$188,MATCH($D169,Backlog!$A$2:$A$188,0)))</f>
        <v>Worker 3</v>
      </c>
      <c r="B169" s="38" t="str">
        <f>IF(INDEX(Backlog!$B$2:$B$188,MATCH($D169,Backlog!$A$2:$A$188,0))="","",INDEX(Backlog!$B$2:$B$188,MATCH($D169,Backlog!$A$2:$A$188,0)))</f>
        <v>M3</v>
      </c>
      <c r="C169" s="38" t="str">
        <f>IF(INDEX(Backlog!$C$2:$C$188,MATCH($D169,Backlog!$A$2:$A$188,0))="","",INDEX(Backlog!$C$2:$C$188,MATCH($D169,Backlog!$A$2:$A$188,0)))</f>
        <v>P4</v>
      </c>
      <c r="D169" s="38" t="s">
        <v>1649</v>
      </c>
      <c r="E169" s="38" t="str">
        <f>IF(INDEX(Backlog!$D$2:$D$188,MATCH($D169,Backlog!$A$2:$A$188,0))="","",INDEX(Backlog!$D$2:$D$188,MATCH($D169,Backlog!$A$2:$A$188,0)))</f>
        <v>sequence_manifests persistence and object-storage sequence path</v>
      </c>
      <c r="F169" s="70" t="str">
        <f>IF(INDEX(Backlog!$K$2:$K$188,MATCH($D169,Backlog!$A$2:$A$188,0))="","",INDEX(Backlog!$K$2:$K$188,MATCH($D169,Backlog!$A$2:$A$188,0)))</f>
        <v>Not Started</v>
      </c>
      <c r="G169" s="38">
        <f>IF(ISNUMBER(INDEX(Backlog!$AS$2:$AS$188,MATCH($D169,Backlog!$A$2:$A$188,0))),INDEX(Backlog!$AS$2:$AS$188,MATCH($D169,Backlog!$A$2:$A$188,0)),"")</f>
        <v>12</v>
      </c>
      <c r="H169" s="38">
        <f>IF(ISNUMBER(INDEX(Backlog!$AT$2:$AT$188,MATCH($D169,Backlog!$A$2:$A$188,0))),INDEX(Backlog!$AT$2:$AT$188,MATCH($D169,Backlog!$A$2:$A$188,0)),"")</f>
        <v>1.7999999999999998</v>
      </c>
      <c r="I169" s="38" t="str">
        <f>IF(INDEX(Backlog!$M$2:$M$188,MATCH($D169,Backlog!$A$2:$A$188,0))="","",INDEX(Backlog!$M$2:$M$188,MATCH($D169,Backlog!$A$2:$A$188,0)))</f>
        <v>T-170; T-183; T-122; T-112; T-114; T-135</v>
      </c>
      <c r="J169" s="38" t="str">
        <f>IF(INDEX(Backlog!$T$2:$T$188,MATCH($D169,Backlog!$A$2:$A$188,0))="","",INDEX(Backlog!$T$2:$T$188,MATCH($D169,Backlog!$A$2:$A$188,0)))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T-170 + T-183 + T-122 final object-storage/container path + T-112/T-114/T-135...</v>
      </c>
      <c r="K169" s="38" t="str">
        <f>IF(INDEX(Backlog!$U$2:$U$188,MATCH($D169,Backlog!$A$2:$A$188,0))="","",INDEX(Backlog!$U$2:$U$188,MATCH($D169,Backlog!$A$2:$A$188,0)))</f>
        <v>Own intelligence/ML/Assistant and named intelligence surfaces. W1/W2 forbidden after hand-off.</v>
      </c>
      <c r="L169" s="38" t="str">
        <f>IF(INDEX(Backlog!$V$2:$V$188,MATCH($D169,Backlog!$A$2:$A$188,0))="","",INDEX(Backlog!$V$2:$V$188,MATCH($D169,Backlog!$A$2:$A$188,0)))</f>
        <v>Commit before downstream consumer starts; consumer must use the contract, not redesign producer-owned semantics.</v>
      </c>
      <c r="M169" s="32" t="str">
        <f>IF(INDEX(Backlog!$AO$2:$AO$188,MATCH($D169,Backlog!$A$2:$A$188,0))="","",INDEX(Backlog!$AO$2:$AO$188,MATCH($D169,Backlog!$A$2:$A$188,0)))</f>
        <v>Not started — no completion claimed</v>
      </c>
      <c r="N169" s="32" t="str">
        <f>IF(INDEX(Backlog!$AN$2:$AN$188,MATCH($D169,Backlog!$A$2:$A$188,0))="","",INDEX(Backlog!$AN$2:$AN$188,MATCH($D169,Backlog!$A$2:$A$188,0)))</f>
        <v/>
      </c>
    </row>
    <row r="170" spans="1:14" ht="26.1" customHeight="1">
      <c r="A170" s="38" t="str">
        <f>IF(INDEX(Backlog!$L$2:$L$188,MATCH($D170,Backlog!$A$2:$A$188,0))="","",INDEX(Backlog!$L$2:$L$188,MATCH($D170,Backlog!$A$2:$A$188,0)))</f>
        <v>Worker 3</v>
      </c>
      <c r="B170" s="38" t="str">
        <f>IF(INDEX(Backlog!$B$2:$B$188,MATCH($D170,Backlog!$A$2:$A$188,0))="","",INDEX(Backlog!$B$2:$B$188,MATCH($D170,Backlog!$A$2:$A$188,0)))</f>
        <v>M3</v>
      </c>
      <c r="C170" s="38" t="str">
        <f>IF(INDEX(Backlog!$C$2:$C$188,MATCH($D170,Backlog!$A$2:$A$188,0))="","",INDEX(Backlog!$C$2:$C$188,MATCH($D170,Backlog!$A$2:$A$188,0)))</f>
        <v>P4</v>
      </c>
      <c r="D170" s="38" t="s">
        <v>1655</v>
      </c>
      <c r="E170" s="38" t="str">
        <f>IF(INDEX(Backlog!$D$2:$D$188,MATCH($D170,Backlog!$A$2:$A$188,0))="","",INDEX(Backlog!$D$2:$D$188,MATCH($D170,Backlog!$A$2:$A$188,0)))</f>
        <v>Persist capability profiles, prediction points and the model-count governor</v>
      </c>
      <c r="F170" s="70" t="str">
        <f>IF(INDEX(Backlog!$K$2:$K$188,MATCH($D170,Backlog!$A$2:$A$188,0))="","",INDEX(Backlog!$K$2:$K$188,MATCH($D170,Backlog!$A$2:$A$188,0)))</f>
        <v>Not Started</v>
      </c>
      <c r="G170" s="38" t="str">
        <f>IF(ISNUMBER(INDEX(Backlog!$AS$2:$AS$188,MATCH($D170,Backlog!$A$2:$A$188,0))),INDEX(Backlog!$AS$2:$AS$188,MATCH($D170,Backlog!$A$2:$A$188,0)),"")</f>
        <v/>
      </c>
      <c r="H170" s="38" t="str">
        <f>IF(ISNUMBER(INDEX(Backlog!$AT$2:$AT$188,MATCH($D170,Backlog!$A$2:$A$188,0))),INDEX(Backlog!$AT$2:$AT$188,MATCH($D170,Backlog!$A$2:$A$188,0)),"")</f>
        <v/>
      </c>
      <c r="I170" s="38" t="str">
        <f>IF(INDEX(Backlog!$M$2:$M$188,MATCH($D170,Backlog!$A$2:$A$188,0))="","",INDEX(Backlog!$M$2:$M$188,MATCH($D170,Backlog!$A$2:$A$188,0)))</f>
        <v>T-171; T-183; T-128; T-129; T-195; T-135</v>
      </c>
      <c r="J170" s="38" t="str">
        <f>IF(INDEX(Backlog!$T$2:$T$188,MATCH($D170,Backlog!$A$2:$A$188,0))="","",INDEX(Backlog!$T$2:$T$188,MATCH($D170,Backlog!$A$2:$A$188,0)))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T-171 + T-183 + T-128/T-129 + T-195 canonical readiness thresholds + T-135 se...</v>
      </c>
      <c r="K170" s="38" t="str">
        <f>IF(INDEX(Backlog!$U$2:$U$188,MATCH($D170,Backlog!$A$2:$A$188,0))="","",INDEX(Backlog!$U$2:$U$188,MATCH($D170,Backlog!$A$2:$A$188,0)))</f>
        <v>Own intelligence/ML/Assistant and named intelligence surfaces. W1/W2 forbidden after hand-off.</v>
      </c>
      <c r="L170" s="38" t="str">
        <f>IF(INDEX(Backlog!$V$2:$V$188,MATCH($D170,Backlog!$A$2:$A$188,0))="","",INDEX(Backlog!$V$2:$V$188,MATCH($D170,Backlog!$A$2:$A$188,0)))</f>
        <v>Commit before downstream consumer starts; consumer must use the contract, not redesign producer-owned semantics.</v>
      </c>
      <c r="M170" s="32" t="str">
        <f>IF(INDEX(Backlog!$AO$2:$AO$188,MATCH($D170,Backlog!$A$2:$A$188,0))="","",INDEX(Backlog!$AO$2:$AO$188,MATCH($D170,Backlog!$A$2:$A$188,0)))</f>
        <v>Not started — no completion claimed</v>
      </c>
      <c r="N170" s="32" t="str">
        <f>IF(INDEX(Backlog!$AN$2:$AN$188,MATCH($D170,Backlog!$A$2:$A$188,0))="","",INDEX(Backlog!$AN$2:$AN$188,MATCH($D170,Backlog!$A$2:$A$188,0)))</f>
        <v/>
      </c>
    </row>
    <row r="171" spans="1:14" ht="26.1" customHeight="1">
      <c r="A171" s="38" t="str">
        <f>IF(INDEX(Backlog!$L$2:$L$188,MATCH($D171,Backlog!$A$2:$A$188,0))="","",INDEX(Backlog!$L$2:$L$188,MATCH($D171,Backlog!$A$2:$A$188,0)))</f>
        <v>Worker 3</v>
      </c>
      <c r="B171" s="38" t="str">
        <f>IF(INDEX(Backlog!$B$2:$B$188,MATCH($D171,Backlog!$A$2:$A$188,0))="","",INDEX(Backlog!$B$2:$B$188,MATCH($D171,Backlog!$A$2:$A$188,0)))</f>
        <v>M3</v>
      </c>
      <c r="C171" s="38" t="str">
        <f>IF(INDEX(Backlog!$C$2:$C$188,MATCH($D171,Backlog!$A$2:$A$188,0))="","",INDEX(Backlog!$C$2:$C$188,MATCH($D171,Backlog!$A$2:$A$188,0)))</f>
        <v>P4</v>
      </c>
      <c r="D171" s="38" t="s">
        <v>912</v>
      </c>
      <c r="E171" s="38" t="str">
        <f>IF(INDEX(Backlog!$D$2:$D$188,MATCH($D171,Backlog!$A$2:$A$188,0))="","",INDEX(Backlog!$D$2:$D$188,MATCH($D171,Backlog!$A$2:$A$188,0)))</f>
        <v>Production training/index integration: snapshots → ML lanes → registry activation</v>
      </c>
      <c r="F171" s="70" t="str">
        <f>IF(INDEX(Backlog!$K$2:$K$188,MATCH($D171,Backlog!$A$2:$A$188,0))="","",INDEX(Backlog!$K$2:$K$188,MATCH($D171,Backlog!$A$2:$A$188,0)))</f>
        <v>Not Started</v>
      </c>
      <c r="G171" s="38">
        <f>IF(ISNUMBER(INDEX(Backlog!$AS$2:$AS$188,MATCH($D171,Backlog!$A$2:$A$188,0))),INDEX(Backlog!$AS$2:$AS$188,MATCH($D171,Backlog!$A$2:$A$188,0)),"")</f>
        <v>12</v>
      </c>
      <c r="H171" s="38">
        <f>IF(ISNUMBER(INDEX(Backlog!$AT$2:$AT$188,MATCH($D171,Backlog!$A$2:$A$188,0))),INDEX(Backlog!$AT$2:$AT$188,MATCH($D171,Backlog!$A$2:$A$188,0)),"")</f>
        <v>1.7999999999999998</v>
      </c>
      <c r="I171" s="38" t="str">
        <f>IF(INDEX(Backlog!$M$2:$M$188,MATCH($D171,Backlog!$A$2:$A$188,0))="","",INDEX(Backlog!$M$2:$M$188,MATCH($D171,Backlog!$A$2:$A$188,0)))</f>
        <v>T-168; T-169; T-170; T-171; T-172; T-173; T-174; T-175; T-176; T-183; T-184; T-185; T-186; T-107; T-109; T-112; T-114; T-135; T-195</v>
      </c>
      <c r="J171" s="38" t="str">
        <f>IF(INDEX(Backlog!$T$2:$T$188,MATCH($D171,Backlog!$A$2:$A$188,0))="","",INDEX(Backlog!$T$2:$T$188,MATCH($D171,Backlog!$A$2:$A$188,0)))</f>
        <v>T-107 + T-109 + T-168..T-176 + T-183..T-186 + T-112/T-114/T-135 + T-195.</v>
      </c>
      <c r="K171" s="38" t="str">
        <f>IF(INDEX(Backlog!$U$2:$U$188,MATCH($D171,Backlog!$A$2:$A$188,0))="","",INDEX(Backlog!$U$2:$U$188,MATCH($D171,Backlog!$A$2:$A$188,0)))</f>
        <v>Own intelligence/ML/Assistant and named intelligence surfaces. W1/W2 forbidden after hand-off.</v>
      </c>
      <c r="L171" s="38" t="str">
        <f>IF(INDEX(Backlog!$V$2:$V$188,MATCH($D171,Backlog!$A$2:$A$188,0))="","",INDEX(Backlog!$V$2:$V$188,MATCH($D171,Backlog!$A$2:$A$188,0)))</f>
        <v>Commit before downstream consumer starts; consumer must use the contract, not redesign producer-owned semantics.</v>
      </c>
      <c r="M171" s="32" t="str">
        <f>IF(INDEX(Backlog!$AO$2:$AO$188,MATCH($D171,Backlog!$A$2:$A$188,0))="","",INDEX(Backlog!$AO$2:$AO$188,MATCH($D171,Backlog!$A$2:$A$188,0)))</f>
        <v>Not started — no completion claimed</v>
      </c>
      <c r="N171" s="32" t="str">
        <f>IF(INDEX(Backlog!$AN$2:$AN$188,MATCH($D171,Backlog!$A$2:$A$188,0))="","",INDEX(Backlog!$AN$2:$AN$188,MATCH($D171,Backlog!$A$2:$A$188,0)))</f>
        <v/>
      </c>
    </row>
    <row r="172" spans="1:14" ht="26.1" customHeight="1">
      <c r="A172" s="38" t="str">
        <f>IF(INDEX(Backlog!$L$2:$L$188,MATCH($D172,Backlog!$A$2:$A$188,0))="","",INDEX(Backlog!$L$2:$L$188,MATCH($D172,Backlog!$A$2:$A$188,0)))</f>
        <v>Worker 3</v>
      </c>
      <c r="B172" s="38" t="str">
        <f>IF(INDEX(Backlog!$B$2:$B$188,MATCH($D172,Backlog!$A$2:$A$188,0))="","",INDEX(Backlog!$B$2:$B$188,MATCH($D172,Backlog!$A$2:$A$188,0)))</f>
        <v>M3</v>
      </c>
      <c r="C172" s="38" t="str">
        <f>IF(INDEX(Backlog!$C$2:$C$188,MATCH($D172,Backlog!$A$2:$A$188,0))="","",INDEX(Backlog!$C$2:$C$188,MATCH($D172,Backlog!$A$2:$A$188,0)))</f>
        <v>P4</v>
      </c>
      <c r="D172" s="38" t="s">
        <v>1669</v>
      </c>
      <c r="E172" s="38" t="str">
        <f>IF(INDEX(Backlog!$D$2:$D$188,MATCH($D172,Backlog!$A$2:$A$188,0))="","",INDEX(Backlog!$D$2:$D$188,MATCH($D172,Backlog!$A$2:$A$188,0)))</f>
        <v>Canonical D4 Findings and D8 ML Readiness/Models cutover</v>
      </c>
      <c r="F172" s="70" t="str">
        <f>IF(INDEX(Backlog!$K$2:$K$188,MATCH($D172,Backlog!$A$2:$A$188,0))="","",INDEX(Backlog!$K$2:$K$188,MATCH($D172,Backlog!$A$2:$A$188,0)))</f>
        <v>Not Started</v>
      </c>
      <c r="G172" s="38">
        <f>IF(ISNUMBER(INDEX(Backlog!$AS$2:$AS$188,MATCH($D172,Backlog!$A$2:$A$188,0))),INDEX(Backlog!$AS$2:$AS$188,MATCH($D172,Backlog!$A$2:$A$188,0)),"")</f>
        <v>10</v>
      </c>
      <c r="H172" s="38">
        <f>IF(ISNUMBER(INDEX(Backlog!$AT$2:$AT$188,MATCH($D172,Backlog!$A$2:$A$188,0))),INDEX(Backlog!$AT$2:$AT$188,MATCH($D172,Backlog!$A$2:$A$188,0)),"")</f>
        <v>1.6666666666666667</v>
      </c>
      <c r="I172" s="38" t="str">
        <f>IF(INDEX(Backlog!$M$2:$M$188,MATCH($D172,Backlog!$A$2:$A$188,0))="","",INDEX(Backlog!$M$2:$M$188,MATCH($D172,Backlog!$A$2:$A$188,0)))</f>
        <v>T-129; T-130; T-186; T-195</v>
      </c>
      <c r="J172" s="38" t="str">
        <f>IF(INDEX(Backlog!$T$2:$T$188,MATCH($D172,Backlog!$A$2:$A$188,0))="","",INDEX(Backlog!$T$2:$T$188,MATCH($D172,Backlog!$A$2:$A$188,0)))</f>
        <v>T-129 + T-130 + T-186 + T-195 + M1 continuity snapshots.</v>
      </c>
      <c r="K172" s="38" t="str">
        <f>IF(INDEX(Backlog!$U$2:$U$188,MATCH($D172,Backlog!$A$2:$A$188,0))="","",INDEX(Backlog!$U$2:$U$188,MATCH($D172,Backlog!$A$2:$A$188,0)))</f>
        <v>Own intelligence/ML/Assistant and named intelligence surfaces. W1/W2 forbidden after hand-off.</v>
      </c>
      <c r="L172" s="38" t="str">
        <f>IF(INDEX(Backlog!$V$2:$V$188,MATCH($D172,Backlog!$A$2:$A$188,0))="","",INDEX(Backlog!$V$2:$V$188,MATCH($D172,Backlog!$A$2:$A$188,0)))</f>
        <v>Commit before downstream consumer starts; consumer must use the contract, not redesign producer-owned semantics.</v>
      </c>
      <c r="M172" s="32" t="str">
        <f>IF(INDEX(Backlog!$AO$2:$AO$188,MATCH($D172,Backlog!$A$2:$A$188,0))="","",INDEX(Backlog!$AO$2:$AO$188,MATCH($D172,Backlog!$A$2:$A$188,0)))</f>
        <v>Not started — no completion claimed</v>
      </c>
      <c r="N172" s="32" t="str">
        <f>IF(INDEX(Backlog!$AN$2:$AN$188,MATCH($D172,Backlog!$A$2:$A$188,0))="","",INDEX(Backlog!$AN$2:$AN$188,MATCH($D172,Backlog!$A$2:$A$188,0)))</f>
        <v/>
      </c>
    </row>
    <row r="173" spans="1:14" ht="26.1" customHeight="1">
      <c r="A173" s="38" t="str">
        <f>IF(INDEX(Backlog!$L$2:$L$188,MATCH($D173,Backlog!$A$2:$A$188,0))="","",INDEX(Backlog!$L$2:$L$188,MATCH($D173,Backlog!$A$2:$A$188,0)))</f>
        <v>Worker 3</v>
      </c>
      <c r="B173" s="38" t="str">
        <f>IF(INDEX(Backlog!$B$2:$B$188,MATCH($D173,Backlog!$A$2:$A$188,0))="","",INDEX(Backlog!$B$2:$B$188,MATCH($D173,Backlog!$A$2:$A$188,0)))</f>
        <v>M3</v>
      </c>
      <c r="C173" s="38" t="str">
        <f>IF(INDEX(Backlog!$C$2:$C$188,MATCH($D173,Backlog!$A$2:$A$188,0))="","",INDEX(Backlog!$C$2:$C$188,MATCH($D173,Backlog!$A$2:$A$188,0)))</f>
        <v>P4</v>
      </c>
      <c r="D173" s="38" t="s">
        <v>1562</v>
      </c>
      <c r="E173" s="38" t="str">
        <f>IF(INDEX(Backlog!$D$2:$D$188,MATCH($D173,Backlog!$A$2:$A$188,0))="","",INDEX(Backlog!$D$2:$D$188,MATCH($D173,Backlog!$A$2:$A$188,0)))</f>
        <v>Canonical D5 Risk and D9 Early Warning cutover</v>
      </c>
      <c r="F173" s="70" t="str">
        <f>IF(INDEX(Backlog!$K$2:$K$188,MATCH($D173,Backlog!$A$2:$A$188,0))="","",INDEX(Backlog!$K$2:$K$188,MATCH($D173,Backlog!$A$2:$A$188,0)))</f>
        <v>Not Started</v>
      </c>
      <c r="G173" s="38">
        <f>IF(ISNUMBER(INDEX(Backlog!$AS$2:$AS$188,MATCH($D173,Backlog!$A$2:$A$188,0))),INDEX(Backlog!$AS$2:$AS$188,MATCH($D173,Backlog!$A$2:$A$188,0)),"")</f>
        <v>12</v>
      </c>
      <c r="H173" s="38">
        <f>IF(ISNUMBER(INDEX(Backlog!$AT$2:$AT$188,MATCH($D173,Backlog!$A$2:$A$188,0))),INDEX(Backlog!$AT$2:$AT$188,MATCH($D173,Backlog!$A$2:$A$188,0)),"")</f>
        <v>2</v>
      </c>
      <c r="I173" s="38" t="str">
        <f>IF(INDEX(Backlog!$M$2:$M$188,MATCH($D173,Backlog!$A$2:$A$188,0))="","",INDEX(Backlog!$M$2:$M$188,MATCH($D173,Backlog!$A$2:$A$188,0)))</f>
        <v>T-139; T-140; T-141; T-142; T-143</v>
      </c>
      <c r="J173" s="38" t="str">
        <f>IF(INDEX(Backlog!$T$2:$T$188,MATCH($D173,Backlog!$A$2:$A$188,0))="","",INDEX(Backlog!$T$2:$T$188,MATCH($D173,Backlog!$A$2:$A$188,0)))</f>
        <v>T-139..T-143 + M1 continuity snapshots</v>
      </c>
      <c r="K173" s="38" t="str">
        <f>IF(INDEX(Backlog!$U$2:$U$188,MATCH($D173,Backlog!$A$2:$A$188,0))="","",INDEX(Backlog!$U$2:$U$188,MATCH($D173,Backlog!$A$2:$A$188,0)))</f>
        <v>Own intelligence/ML/Assistant and named intelligence surfaces. W1/W2 forbidden after hand-off.</v>
      </c>
      <c r="L173" s="38" t="str">
        <f>IF(INDEX(Backlog!$V$2:$V$188,MATCH($D173,Backlog!$A$2:$A$188,0))="","",INDEX(Backlog!$V$2:$V$188,MATCH($D173,Backlog!$A$2:$A$188,0)))</f>
        <v>Commit before downstream consumer starts; consumer must use the contract, not redesign producer-owned semantics.</v>
      </c>
      <c r="M173" s="32" t="str">
        <f>IF(INDEX(Backlog!$AO$2:$AO$188,MATCH($D173,Backlog!$A$2:$A$188,0))="","",INDEX(Backlog!$AO$2:$AO$188,MATCH($D173,Backlog!$A$2:$A$188,0)))</f>
        <v>Not started — no completion claimed</v>
      </c>
      <c r="N173" s="32" t="str">
        <f>IF(INDEX(Backlog!$AN$2:$AN$188,MATCH($D173,Backlog!$A$2:$A$188,0))="","",INDEX(Backlog!$AN$2:$AN$188,MATCH($D173,Backlog!$A$2:$A$188,0)))</f>
        <v/>
      </c>
    </row>
    <row r="174" spans="1:14" ht="26.1" customHeight="1">
      <c r="A174" s="38" t="str">
        <f>IF(INDEX(Backlog!$L$2:$L$188,MATCH($D174,Backlog!$A$2:$A$188,0))="","",INDEX(Backlog!$L$2:$L$188,MATCH($D174,Backlog!$A$2:$A$188,0)))</f>
        <v>Worker 3</v>
      </c>
      <c r="B174" s="38" t="str">
        <f>IF(INDEX(Backlog!$B$2:$B$188,MATCH($D174,Backlog!$A$2:$A$188,0))="","",INDEX(Backlog!$B$2:$B$188,MATCH($D174,Backlog!$A$2:$A$188,0)))</f>
        <v>M3</v>
      </c>
      <c r="C174" s="38" t="str">
        <f>IF(INDEX(Backlog!$C$2:$C$188,MATCH($D174,Backlog!$A$2:$A$188,0))="","",INDEX(Backlog!$C$2:$C$188,MATCH($D174,Backlog!$A$2:$A$188,0)))</f>
        <v>P4</v>
      </c>
      <c r="D174" s="38" t="s">
        <v>1685</v>
      </c>
      <c r="E174" s="38" t="str">
        <f>IF(INDEX(Backlog!$D$2:$D$188,MATCH($D174,Backlog!$A$2:$A$188,0))="","",INDEX(Backlog!$D$2:$D$188,MATCH($D174,Backlog!$A$2:$A$188,0)))</f>
        <v>Canonical D6 Suggestions and decision-action cutover</v>
      </c>
      <c r="F174" s="70" t="str">
        <f>IF(INDEX(Backlog!$K$2:$K$188,MATCH($D174,Backlog!$A$2:$A$188,0))="","",INDEX(Backlog!$K$2:$K$188,MATCH($D174,Backlog!$A$2:$A$188,0)))</f>
        <v>Not Started</v>
      </c>
      <c r="G174" s="38" t="str">
        <f>IF(ISNUMBER(INDEX(Backlog!$AS$2:$AS$188,MATCH($D174,Backlog!$A$2:$A$188,0))),INDEX(Backlog!$AS$2:$AS$188,MATCH($D174,Backlog!$A$2:$A$188,0)),"")</f>
        <v/>
      </c>
      <c r="H174" s="38" t="str">
        <f>IF(ISNUMBER(INDEX(Backlog!$AT$2:$AT$188,MATCH($D174,Backlog!$A$2:$A$188,0))),INDEX(Backlog!$AT$2:$AT$188,MATCH($D174,Backlog!$A$2:$A$188,0)),"")</f>
        <v/>
      </c>
      <c r="I174" s="38" t="str">
        <f>IF(INDEX(Backlog!$M$2:$M$188,MATCH($D174,Backlog!$A$2:$A$188,0))="","",INDEX(Backlog!$M$2:$M$188,MATCH($D174,Backlog!$A$2:$A$188,0)))</f>
        <v>T-142; T-143; T-144; T-145</v>
      </c>
      <c r="J174" s="38" t="str">
        <f>IF(INDEX(Backlog!$T$2:$T$188,MATCH($D174,Backlog!$A$2:$A$188,0))="","",INDEX(Backlog!$T$2:$T$188,MATCH($D174,Backlog!$A$2:$A$188,0)))</f>
        <v>T-142..T-145 + M1 continuity snapshots</v>
      </c>
      <c r="K174" s="38" t="str">
        <f>IF(INDEX(Backlog!$U$2:$U$188,MATCH($D174,Backlog!$A$2:$A$188,0))="","",INDEX(Backlog!$U$2:$U$188,MATCH($D174,Backlog!$A$2:$A$188,0)))</f>
        <v>Own intelligence/ML/Assistant and named intelligence surfaces. W1/W2 forbidden after hand-off.</v>
      </c>
      <c r="L174" s="38" t="str">
        <f>IF(INDEX(Backlog!$V$2:$V$188,MATCH($D174,Backlog!$A$2:$A$188,0))="","",INDEX(Backlog!$V$2:$V$188,MATCH($D174,Backlog!$A$2:$A$188,0)))</f>
        <v>Commit before downstream consumer starts; consumer must use the contract, not redesign producer-owned semantics.</v>
      </c>
      <c r="M174" s="32" t="str">
        <f>IF(INDEX(Backlog!$AO$2:$AO$188,MATCH($D174,Backlog!$A$2:$A$188,0))="","",INDEX(Backlog!$AO$2:$AO$188,MATCH($D174,Backlog!$A$2:$A$188,0)))</f>
        <v>Not started — no completion claimed</v>
      </c>
      <c r="N174" s="32" t="str">
        <f>IF(INDEX(Backlog!$AN$2:$AN$188,MATCH($D174,Backlog!$A$2:$A$188,0))="","",INDEX(Backlog!$AN$2:$AN$188,MATCH($D174,Backlog!$A$2:$A$188,0)))</f>
        <v/>
      </c>
    </row>
    <row r="175" spans="1:14" ht="26.1" customHeight="1">
      <c r="A175" s="38" t="str">
        <f>IF(INDEX(Backlog!$L$2:$L$188,MATCH($D175,Backlog!$A$2:$A$188,0))="","",INDEX(Backlog!$L$2:$L$188,MATCH($D175,Backlog!$A$2:$A$188,0)))</f>
        <v>Worker 3</v>
      </c>
      <c r="B175" s="38" t="str">
        <f>IF(INDEX(Backlog!$B$2:$B$188,MATCH($D175,Backlog!$A$2:$A$188,0))="","",INDEX(Backlog!$B$2:$B$188,MATCH($D175,Backlog!$A$2:$A$188,0)))</f>
        <v>M3</v>
      </c>
      <c r="C175" s="38" t="str">
        <f>IF(INDEX(Backlog!$C$2:$C$188,MATCH($D175,Backlog!$A$2:$A$188,0))="","",INDEX(Backlog!$C$2:$C$188,MATCH($D175,Backlog!$A$2:$A$188,0)))</f>
        <v>P4</v>
      </c>
      <c r="D175" s="38" t="s">
        <v>1695</v>
      </c>
      <c r="E175" s="38" t="str">
        <f>IF(INDEX(Backlog!$D$2:$D$188,MATCH($D175,Backlog!$A$2:$A$188,0))="","",INDEX(Backlog!$D$2:$D$188,MATCH($D175,Backlog!$A$2:$A$188,0)))</f>
        <v>D11 Scenario Simulation: governed read-only modelled comparison</v>
      </c>
      <c r="F175" s="70" t="str">
        <f>IF(INDEX(Backlog!$K$2:$K$188,MATCH($D175,Backlog!$A$2:$A$188,0))="","",INDEX(Backlog!$K$2:$K$188,MATCH($D175,Backlog!$A$2:$A$188,0)))</f>
        <v>Not Started</v>
      </c>
      <c r="G175" s="38">
        <f>IF(ISNUMBER(INDEX(Backlog!$AS$2:$AS$188,MATCH($D175,Backlog!$A$2:$A$188,0))),INDEX(Backlog!$AS$2:$AS$188,MATCH($D175,Backlog!$A$2:$A$188,0)),"")</f>
        <v>12</v>
      </c>
      <c r="H175" s="38">
        <f>IF(ISNUMBER(INDEX(Backlog!$AT$2:$AT$188,MATCH($D175,Backlog!$A$2:$A$188,0))),INDEX(Backlog!$AT$2:$AT$188,MATCH($D175,Backlog!$A$2:$A$188,0)),"")</f>
        <v>1.7999999999999998</v>
      </c>
      <c r="I175" s="38" t="str">
        <f>IF(INDEX(Backlog!$M$2:$M$188,MATCH($D175,Backlog!$A$2:$A$188,0))="","",INDEX(Backlog!$M$2:$M$188,MATCH($D175,Backlog!$A$2:$A$188,0)))</f>
        <v>T-130; T-176; T-187</v>
      </c>
      <c r="J175" s="38" t="str">
        <f>IF(INDEX(Backlog!$T$2:$T$188,MATCH($D175,Backlog!$A$2:$A$188,0))="","",INDEX(Backlog!$T$2:$T$188,MATCH($D175,Backlog!$A$2:$A$188,0)))</f>
        <v>T-130 + T-176 + T-187</v>
      </c>
      <c r="K175" s="38" t="str">
        <f>IF(INDEX(Backlog!$U$2:$U$188,MATCH($D175,Backlog!$A$2:$A$188,0))="","",INDEX(Backlog!$U$2:$U$188,MATCH($D175,Backlog!$A$2:$A$188,0)))</f>
        <v>Own intelligence/ML/Assistant and named intelligence surfaces. W1/W2 forbidden after hand-off.</v>
      </c>
      <c r="L175" s="38" t="str">
        <f>IF(INDEX(Backlog!$V$2:$V$188,MATCH($D175,Backlog!$A$2:$A$188,0))="","",INDEX(Backlog!$V$2:$V$188,MATCH($D175,Backlog!$A$2:$A$188,0)))</f>
        <v>Commit before downstream consumer starts; consumer must use the contract, not redesign producer-owned semantics.</v>
      </c>
      <c r="M175" s="32" t="str">
        <f>IF(INDEX(Backlog!$AO$2:$AO$188,MATCH($D175,Backlog!$A$2:$A$188,0))="","",INDEX(Backlog!$AO$2:$AO$188,MATCH($D175,Backlog!$A$2:$A$188,0)))</f>
        <v>Not started — no completion claimed</v>
      </c>
      <c r="N175" s="32" t="str">
        <f>IF(INDEX(Backlog!$AN$2:$AN$188,MATCH($D175,Backlog!$A$2:$A$188,0))="","",INDEX(Backlog!$AN$2:$AN$188,MATCH($D175,Backlog!$A$2:$A$188,0)))</f>
        <v/>
      </c>
    </row>
    <row r="176" spans="1:14" ht="26.1" customHeight="1">
      <c r="A176" s="38" t="str">
        <f>IF(INDEX(Backlog!$L$2:$L$188,MATCH($D176,Backlog!$A$2:$A$188,0))="","",INDEX(Backlog!$L$2:$L$188,MATCH($D176,Backlog!$A$2:$A$188,0)))</f>
        <v>Worker 3</v>
      </c>
      <c r="B176" s="38" t="str">
        <f>IF(INDEX(Backlog!$B$2:$B$188,MATCH($D176,Backlog!$A$2:$A$188,0))="","",INDEX(Backlog!$B$2:$B$188,MATCH($D176,Backlog!$A$2:$A$188,0)))</f>
        <v>M3</v>
      </c>
      <c r="C176" s="38" t="str">
        <f>IF(INDEX(Backlog!$C$2:$C$188,MATCH($D176,Backlog!$A$2:$A$188,0))="","",INDEX(Backlog!$C$2:$C$188,MATCH($D176,Backlog!$A$2:$A$188,0)))</f>
        <v>P4</v>
      </c>
      <c r="D176" s="38" t="s">
        <v>1683</v>
      </c>
      <c r="E176" s="38" t="str">
        <f>IF(INDEX(Backlog!$D$2:$D$188,MATCH($D176,Backlog!$A$2:$A$188,0))="","",INDEX(Backlog!$D$2:$D$188,MATCH($D176,Backlog!$A$2:$A$188,0)))</f>
        <v>Target-architecture gate pack G-48..G-55</v>
      </c>
      <c r="F176" s="70" t="str">
        <f>IF(INDEX(Backlog!$K$2:$K$188,MATCH($D176,Backlog!$A$2:$A$188,0))="","",INDEX(Backlog!$K$2:$K$188,MATCH($D176,Backlog!$A$2:$A$188,0)))</f>
        <v>Not Started</v>
      </c>
      <c r="G176" s="38">
        <f>IF(ISNUMBER(INDEX(Backlog!$AS$2:$AS$188,MATCH($D176,Backlog!$A$2:$A$188,0))),INDEX(Backlog!$AS$2:$AS$188,MATCH($D176,Backlog!$A$2:$A$188,0)),"")</f>
        <v>10</v>
      </c>
      <c r="H176" s="38">
        <f>IF(ISNUMBER(INDEX(Backlog!$AT$2:$AT$188,MATCH($D176,Backlog!$A$2:$A$188,0))),INDEX(Backlog!$AT$2:$AT$188,MATCH($D176,Backlog!$A$2:$A$188,0)),"")</f>
        <v>1.7</v>
      </c>
      <c r="I176" s="38" t="str">
        <f>IF(INDEX(Backlog!$M$2:$M$188,MATCH($D176,Backlog!$A$2:$A$188,0))="","",INDEX(Backlog!$M$2:$M$188,MATCH($D176,Backlog!$A$2:$A$188,0)))</f>
        <v>T-183; T-184; T-185; T-186; T-187; T-188; T-189; T-190; T-191; T-107; T-122</v>
      </c>
      <c r="J176" s="38" t="str">
        <f>IF(INDEX(Backlog!$T$2:$T$188,MATCH($D176,Backlog!$A$2:$A$188,0))="","",INDEX(Backlog!$T$2:$T$188,MATCH($D176,Backlog!$A$2:$A$188,0)))</f>
        <v>T-183..T-191 + T-107/T-122 as applicable</v>
      </c>
      <c r="K176" s="38" t="str">
        <f>IF(INDEX(Backlog!$U$2:$U$188,MATCH($D176,Backlog!$A$2:$A$188,0))="","",INDEX(Backlog!$U$2:$U$188,MATCH($D176,Backlog!$A$2:$A$188,0)))</f>
        <v>Own intelligence/ML/Assistant and named intelligence surfaces. W1/W2 forbidden after hand-off.</v>
      </c>
      <c r="L176" s="38" t="str">
        <f>IF(INDEX(Backlog!$V$2:$V$188,MATCH($D176,Backlog!$A$2:$A$188,0))="","",INDEX(Backlog!$V$2:$V$188,MATCH($D176,Backlog!$A$2:$A$188,0)))</f>
        <v>Commit before downstream consumer starts; consumer must use the contract, not redesign producer-owned semantics.</v>
      </c>
      <c r="M176" s="32" t="str">
        <f>IF(INDEX(Backlog!$AO$2:$AO$188,MATCH($D176,Backlog!$A$2:$A$188,0))="","",INDEX(Backlog!$AO$2:$AO$188,MATCH($D176,Backlog!$A$2:$A$188,0)))</f>
        <v>Not started — no completion claimed</v>
      </c>
      <c r="N176" s="32" t="str">
        <f>IF(INDEX(Backlog!$AN$2:$AN$188,MATCH($D176,Backlog!$A$2:$A$188,0))="","",INDEX(Backlog!$AN$2:$AN$188,MATCH($D176,Backlog!$A$2:$A$188,0)))</f>
        <v/>
      </c>
    </row>
    <row r="177" spans="1:14" ht="26.1" customHeight="1">
      <c r="A177" s="38" t="str">
        <f>IF(INDEX(Backlog!$L$2:$L$188,MATCH($D177,Backlog!$A$2:$A$188,0))="","",INDEX(Backlog!$L$2:$L$188,MATCH($D177,Backlog!$A$2:$A$188,0)))</f>
        <v>Worker 3</v>
      </c>
      <c r="B177" s="38" t="str">
        <f>IF(INDEX(Backlog!$B$2:$B$188,MATCH($D177,Backlog!$A$2:$A$188,0))="","",INDEX(Backlog!$B$2:$B$188,MATCH($D177,Backlog!$A$2:$A$188,0)))</f>
        <v>M3</v>
      </c>
      <c r="C177" s="38" t="str">
        <f>IF(INDEX(Backlog!$C$2:$C$188,MATCH($D177,Backlog!$A$2:$A$188,0))="","",INDEX(Backlog!$C$2:$C$188,MATCH($D177,Backlog!$A$2:$A$188,0)))</f>
        <v>P4</v>
      </c>
      <c r="D177" s="38" t="s">
        <v>1710</v>
      </c>
      <c r="E177" s="38" t="str">
        <f>IF(INDEX(Backlog!$D$2:$D$188,MATCH($D177,Backlog!$A$2:$A$188,0))="","",INDEX(Backlog!$D$2:$D$188,MATCH($D177,Backlog!$A$2:$A$188,0)))</f>
        <v>Drift Supervisor and governed model-action proposals</v>
      </c>
      <c r="F177" s="70" t="str">
        <f>IF(INDEX(Backlog!$K$2:$K$188,MATCH($D177,Backlog!$A$2:$A$188,0))="","",INDEX(Backlog!$K$2:$K$188,MATCH($D177,Backlog!$A$2:$A$188,0)))</f>
        <v>Not Started</v>
      </c>
      <c r="G177" s="38">
        <f>IF(ISNUMBER(INDEX(Backlog!$AS$2:$AS$188,MATCH($D177,Backlog!$A$2:$A$188,0))),INDEX(Backlog!$AS$2:$AS$188,MATCH($D177,Backlog!$A$2:$A$188,0)),"")</f>
        <v>10</v>
      </c>
      <c r="H177" s="38">
        <f>IF(ISNUMBER(INDEX(Backlog!$AT$2:$AT$188,MATCH($D177,Backlog!$A$2:$A$188,0))),INDEX(Backlog!$AT$2:$AT$188,MATCH($D177,Backlog!$A$2:$A$188,0)),"")</f>
        <v>1.5</v>
      </c>
      <c r="I177" s="38" t="str">
        <f>IF(INDEX(Backlog!$M$2:$M$188,MATCH($D177,Backlog!$A$2:$A$188,0))="","",INDEX(Backlog!$M$2:$M$188,MATCH($D177,Backlog!$A$2:$A$188,0)))</f>
        <v>T-130; T-187; T-139; T-145</v>
      </c>
      <c r="J177" s="38" t="str">
        <f>IF(INDEX(Backlog!$T$2:$T$188,MATCH($D177,Backlog!$A$2:$A$188,0))="","",INDEX(Backlog!$T$2:$T$188,MATCH($D177,Backlog!$A$2:$A$188,0)))</f>
        <v>T-130 + T-187 + T-139/T-145</v>
      </c>
      <c r="K177" s="38" t="str">
        <f>IF(INDEX(Backlog!$U$2:$U$188,MATCH($D177,Backlog!$A$2:$A$188,0))="","",INDEX(Backlog!$U$2:$U$188,MATCH($D177,Backlog!$A$2:$A$188,0)))</f>
        <v>Own intelligence/ML/Assistant and named intelligence surfaces. W1/W2 forbidden after hand-off.</v>
      </c>
      <c r="L177" s="38" t="str">
        <f>IF(INDEX(Backlog!$V$2:$V$188,MATCH($D177,Backlog!$A$2:$A$188,0))="","",INDEX(Backlog!$V$2:$V$188,MATCH($D177,Backlog!$A$2:$A$188,0)))</f>
        <v>Commit before downstream consumer starts; consumer must use the contract, not redesign producer-owned semantics.</v>
      </c>
      <c r="M177" s="32" t="str">
        <f>IF(INDEX(Backlog!$AO$2:$AO$188,MATCH($D177,Backlog!$A$2:$A$188,0))="","",INDEX(Backlog!$AO$2:$AO$188,MATCH($D177,Backlog!$A$2:$A$188,0)))</f>
        <v>Not started — no completion claimed</v>
      </c>
      <c r="N177" s="32" t="str">
        <f>IF(INDEX(Backlog!$AN$2:$AN$188,MATCH($D177,Backlog!$A$2:$A$188,0))="","",INDEX(Backlog!$AN$2:$AN$188,MATCH($D177,Backlog!$A$2:$A$188,0)))</f>
        <v/>
      </c>
    </row>
    <row r="178" spans="1:14" ht="26.1" customHeight="1">
      <c r="A178" s="38" t="str">
        <f>IF(INDEX(Backlog!$L$2:$L$188,MATCH($D178,Backlog!$A$2:$A$188,0))="","",INDEX(Backlog!$L$2:$L$188,MATCH($D178,Backlog!$A$2:$A$188,0)))</f>
        <v>Worker 3</v>
      </c>
      <c r="B178" s="38" t="str">
        <f>IF(INDEX(Backlog!$B$2:$B$188,MATCH($D178,Backlog!$A$2:$A$188,0))="","",INDEX(Backlog!$B$2:$B$188,MATCH($D178,Backlog!$A$2:$A$188,0)))</f>
        <v>M3</v>
      </c>
      <c r="C178" s="38" t="str">
        <f>IF(INDEX(Backlog!$C$2:$C$188,MATCH($D178,Backlog!$A$2:$A$188,0))="","",INDEX(Backlog!$C$2:$C$188,MATCH($D178,Backlog!$A$2:$A$188,0)))</f>
        <v>P4</v>
      </c>
      <c r="D178" s="38" t="s">
        <v>1718</v>
      </c>
      <c r="E178" s="38" t="str">
        <f>IF(INDEX(Backlog!$D$2:$D$188,MATCH($D178,Backlog!$A$2:$A$188,0))="","",INDEX(Backlog!$D$2:$D$188,MATCH($D178,Backlog!$A$2:$A$188,0)))</f>
        <v>Canonical readiness thresholds, governed change history and fail-closed readiness API</v>
      </c>
      <c r="F178" s="70" t="str">
        <f>IF(INDEX(Backlog!$K$2:$K$188,MATCH($D178,Backlog!$A$2:$A$188,0))="","",INDEX(Backlog!$K$2:$K$188,MATCH($D178,Backlog!$A$2:$A$188,0)))</f>
        <v>Not Started</v>
      </c>
      <c r="G178" s="38">
        <f>IF(ISNUMBER(INDEX(Backlog!$AS$2:$AS$188,MATCH($D178,Backlog!$A$2:$A$188,0))),INDEX(Backlog!$AS$2:$AS$188,MATCH($D178,Backlog!$A$2:$A$188,0)),"")</f>
        <v>10</v>
      </c>
      <c r="H178" s="38">
        <f>IF(ISNUMBER(INDEX(Backlog!$AT$2:$AT$188,MATCH($D178,Backlog!$A$2:$A$188,0))),INDEX(Backlog!$AT$2:$AT$188,MATCH($D178,Backlog!$A$2:$A$188,0)),"")</f>
        <v>1.5</v>
      </c>
      <c r="I178" s="38" t="str">
        <f>IF(INDEX(Backlog!$M$2:$M$188,MATCH($D178,Backlog!$A$2:$A$188,0))="","",INDEX(Backlog!$M$2:$M$188,MATCH($D178,Backlog!$A$2:$A$188,0)))</f>
        <v>T-090; T-112; T-114</v>
      </c>
      <c r="J178" s="38" t="str">
        <f>IF(INDEX(Backlog!$T$2:$T$188,MATCH($D178,Backlog!$A$2:$A$188,0))="","",INDEX(Backlog!$T$2:$T$188,MATCH($D178,Backlog!$A$2:$A$188,0)))</f>
        <v>T-090 + T-112 + T-114</v>
      </c>
      <c r="K178" s="38" t="str">
        <f>IF(INDEX(Backlog!$U$2:$U$188,MATCH($D178,Backlog!$A$2:$A$188,0))="","",INDEX(Backlog!$U$2:$U$188,MATCH($D178,Backlog!$A$2:$A$188,0)))</f>
        <v>Own intelligence/ML/Assistant and named intelligence surfaces. W1/W2 forbidden after hand-off.</v>
      </c>
      <c r="L178" s="38" t="str">
        <f>IF(INDEX(Backlog!$V$2:$V$188,MATCH($D178,Backlog!$A$2:$A$188,0))="","",INDEX(Backlog!$V$2:$V$188,MATCH($D178,Backlog!$A$2:$A$188,0)))</f>
        <v>Commit before downstream consumer starts; consumer must use the contract, not redesign producer-owned semantics.</v>
      </c>
      <c r="M178" s="32" t="str">
        <f>IF(INDEX(Backlog!$AO$2:$AO$188,MATCH($D178,Backlog!$A$2:$A$188,0))="","",INDEX(Backlog!$AO$2:$AO$188,MATCH($D178,Backlog!$A$2:$A$188,0)))</f>
        <v>Not started — no completion claimed</v>
      </c>
      <c r="N178" s="32" t="str">
        <f>IF(INDEX(Backlog!$AN$2:$AN$188,MATCH($D178,Backlog!$A$2:$A$188,0))="","",INDEX(Backlog!$AN$2:$AN$188,MATCH($D178,Backlog!$A$2:$A$188,0)))</f>
        <v/>
      </c>
    </row>
    <row r="179" spans="1:14">
      <c r="A179" t="str">
        <f>IF(INDEX(Backlog!$L$2:$L$188,MATCH($D179,Backlog!$A$2:$A$188,0))="","",INDEX(Backlog!$L$2:$L$188,MATCH($D179,Backlog!$A$2:$A$188,0)))</f>
        <v>Worker 3</v>
      </c>
      <c r="B179" t="str">
        <f>IF(INDEX(Backlog!$B$2:$B$188,MATCH($D179,Backlog!$A$2:$A$188,0))="","",INDEX(Backlog!$B$2:$B$188,MATCH($D179,Backlog!$A$2:$A$188,0)))</f>
        <v>M3</v>
      </c>
      <c r="C179" t="str">
        <f>IF(INDEX(Backlog!$C$2:$C$188,MATCH($D179,Backlog!$A$2:$A$188,0))="","",INDEX(Backlog!$C$2:$C$188,MATCH($D179,Backlog!$A$2:$A$188,0)))</f>
        <v>P4</v>
      </c>
      <c r="D179" t="s">
        <v>1726</v>
      </c>
      <c r="E179" t="str">
        <f>IF(INDEX(Backlog!$D$2:$D$188,MATCH($D179,Backlog!$A$2:$A$188,0))="","",INDEX(Backlog!$D$2:$D$188,MATCH($D179,Backlog!$A$2:$A$188,0)))</f>
        <v>Multi-objective Objective Set and Pareto practice kernel</v>
      </c>
      <c r="F179" s="71" t="str">
        <f>IF(INDEX(Backlog!$K$2:$K$188,MATCH($D179,Backlog!$A$2:$A$188,0))="","",INDEX(Backlog!$K$2:$K$188,MATCH($D179,Backlog!$A$2:$A$188,0)))</f>
        <v>Not Started</v>
      </c>
      <c r="G179">
        <f>IF(ISNUMBER(INDEX(Backlog!$AS$2:$AS$188,MATCH($D179,Backlog!$A$2:$A$188,0))),INDEX(Backlog!$AS$2:$AS$188,MATCH($D179,Backlog!$A$2:$A$188,0)),"")</f>
        <v>12</v>
      </c>
      <c r="H179">
        <f>IF(ISNUMBER(INDEX(Backlog!$AT$2:$AT$188,MATCH($D179,Backlog!$A$2:$A$188,0))),INDEX(Backlog!$AT$2:$AT$188,MATCH($D179,Backlog!$A$2:$A$188,0)),"")</f>
        <v>3.2</v>
      </c>
      <c r="I179" t="str">
        <f>IF(INDEX(Backlog!$M$2:$M$188,MATCH($D179,Backlog!$A$2:$A$188,0))="","",INDEX(Backlog!$M$2:$M$188,MATCH($D179,Backlog!$A$2:$A$188,0)))</f>
        <v>T-208; T-214</v>
      </c>
      <c r="J179" t="str">
        <f>IF(INDEX(Backlog!$T$2:$T$188,MATCH($D179,Backlog!$A$2:$A$188,0))="","",INDEX(Backlog!$T$2:$T$188,MATCH($D179,Backlog!$A$2:$A$188,0)))</f>
        <v>May start after T-214 contract; does not block September demo.</v>
      </c>
      <c r="K179" t="str">
        <f>IF(INDEX(Backlog!$U$2:$U$188,MATCH($D179,Backlog!$A$2:$A$188,0))="","",INDEX(Backlog!$U$2:$U$188,MATCH($D179,Backlog!$A$2:$A$188,0)))</f>
        <v>New objective/Pareto kernel/tests only.</v>
      </c>
      <c r="L179" t="str">
        <f>IF(INDEX(Backlog!$V$2:$V$188,MATCH($D179,Backlog!$A$2:$A$188,0))="","",INDEX(Backlog!$V$2:$V$188,MATCH($D179,Backlog!$A$2:$A$188,0)))</f>
        <v>T-239 persists objective authority; T-240 integrates practice family.</v>
      </c>
      <c r="M179" t="str">
        <f>IF(INDEX(Backlog!$AO$2:$AO$188,MATCH($D179,Backlog!$A$2:$A$188,0))="","",INDEX(Backlog!$AO$2:$AO$188,MATCH($D179,Backlog!$A$2:$A$188,0)))</f>
        <v>Not started — no completion claimed</v>
      </c>
      <c r="N179" t="str">
        <f>IF(INDEX(Backlog!$AN$2:$AN$188,MATCH($D179,Backlog!$A$2:$A$188,0))="","",INDEX(Backlog!$AN$2:$AN$188,MATCH($D179,Backlog!$A$2:$A$188,0)))</f>
        <v/>
      </c>
    </row>
    <row r="180" spans="1:14">
      <c r="A180" t="str">
        <f>IF(INDEX(Backlog!$L$2:$L$188,MATCH($D180,Backlog!$A$2:$A$188,0))="","",INDEX(Backlog!$L$2:$L$188,MATCH($D180,Backlog!$A$2:$A$188,0)))</f>
        <v>Worker 3</v>
      </c>
      <c r="B180" t="str">
        <f>IF(INDEX(Backlog!$B$2:$B$188,MATCH($D180,Backlog!$A$2:$A$188,0))="","",INDEX(Backlog!$B$2:$B$188,MATCH($D180,Backlog!$A$2:$A$188,0)))</f>
        <v>M3</v>
      </c>
      <c r="C180" t="str">
        <f>IF(INDEX(Backlog!$C$2:$C$188,MATCH($D180,Backlog!$A$2:$A$188,0))="","",INDEX(Backlog!$C$2:$C$188,MATCH($D180,Backlog!$A$2:$A$188,0)))</f>
        <v>P4</v>
      </c>
      <c r="D180" t="s">
        <v>1743</v>
      </c>
      <c r="E180" t="str">
        <f>IF(INDEX(Backlog!$D$2:$D$188,MATCH($D180,Backlog!$A$2:$A$188,0))="","",INDEX(Backlog!$D$2:$D$188,MATCH($D180,Backlog!$A$2:$A$188,0)))</f>
        <v>Composite practice results, trade-off explanation and Assistant tool integration</v>
      </c>
      <c r="F180" s="71" t="str">
        <f>IF(INDEX(Backlog!$K$2:$K$188,MATCH($D180,Backlog!$A$2:$A$188,0))="","",INDEX(Backlog!$K$2:$K$188,MATCH($D180,Backlog!$A$2:$A$188,0)))</f>
        <v>Not Started</v>
      </c>
      <c r="G180">
        <f>IF(ISNUMBER(INDEX(Backlog!$AS$2:$AS$188,MATCH($D180,Backlog!$A$2:$A$188,0))),INDEX(Backlog!$AS$2:$AS$188,MATCH($D180,Backlog!$A$2:$A$188,0)),"")</f>
        <v>12</v>
      </c>
      <c r="H180">
        <f>IF(ISNUMBER(INDEX(Backlog!$AT$2:$AT$188,MATCH($D180,Backlog!$A$2:$A$188,0))),INDEX(Backlog!$AT$2:$AT$188,MATCH($D180,Backlog!$A$2:$A$188,0)),"")</f>
        <v>5.0999999999999996</v>
      </c>
      <c r="I180" t="str">
        <f>IF(INDEX(Backlog!$M$2:$M$188,MATCH($D180,Backlog!$A$2:$A$188,0))="","",INDEX(Backlog!$M$2:$M$188,MATCH($D180,Backlog!$A$2:$A$188,0)))</f>
        <v>T-131; T-132; T-133; T-238; T-239</v>
      </c>
      <c r="J180" t="str">
        <f>IF(INDEX(Backlog!$T$2:$T$188,MATCH($D180,Backlog!$A$2:$A$188,0))="","",INDEX(Backlog!$T$2:$T$188,MATCH($D180,Backlog!$A$2:$A$188,0)))</f>
        <v>After practice core + objective persistence.</v>
      </c>
      <c r="K180" t="str">
        <f>IF(INDEX(Backlog!$U$2:$U$188,MATCH($D180,Backlog!$A$2:$A$188,0))="","",INDEX(Backlog!$U$2:$U$188,MATCH($D180,Backlog!$A$2:$A$188,0)))</f>
        <v>Practice intelligence/Assistant tool only.</v>
      </c>
      <c r="L180" t="str">
        <f>IF(INDEX(Backlog!$V$2:$V$188,MATCH($D180,Backlog!$A$2:$A$188,0))="","",INDEX(Backlog!$V$2:$V$188,MATCH($D180,Backlog!$A$2:$A$188,0)))</f>
        <v>T-138 may expose this tool after completion; no Assistant redesign.</v>
      </c>
      <c r="M180" t="str">
        <f>IF(INDEX(Backlog!$AO$2:$AO$188,MATCH($D180,Backlog!$A$2:$A$188,0))="","",INDEX(Backlog!$AO$2:$AO$188,MATCH($D180,Backlog!$A$2:$A$188,0)))</f>
        <v>Not started — no completion claimed</v>
      </c>
      <c r="N180" t="str">
        <f>IF(INDEX(Backlog!$AN$2:$AN$188,MATCH($D180,Backlog!$A$2:$A$188,0))="","",INDEX(Backlog!$AN$2:$AN$188,MATCH($D180,Backlog!$A$2:$A$188,0)))</f>
        <v/>
      </c>
    </row>
    <row r="181" spans="1:14">
      <c r="A181" t="str">
        <f>IF(INDEX(Backlog!$L$2:$L$188,MATCH($D181,Backlog!$A$2:$A$188,0))="","",INDEX(Backlog!$L$2:$L$188,MATCH($D181,Backlog!$A$2:$A$188,0)))</f>
        <v>Worker 3</v>
      </c>
      <c r="B181" t="str">
        <f>IF(INDEX(Backlog!$B$2:$B$188,MATCH($D181,Backlog!$A$2:$A$188,0))="","",INDEX(Backlog!$B$2:$B$188,MATCH($D181,Backlog!$A$2:$A$188,0)))</f>
        <v>M3</v>
      </c>
      <c r="C181" t="str">
        <f>IF(INDEX(Backlog!$C$2:$C$188,MATCH($D181,Backlog!$A$2:$A$188,0))="","",INDEX(Backlog!$C$2:$C$188,MATCH($D181,Backlog!$A$2:$A$188,0)))</f>
        <v>P4</v>
      </c>
      <c r="D181" t="s">
        <v>1766</v>
      </c>
      <c r="E181" t="str">
        <f>IF(INDEX(Backlog!$D$2:$D$188,MATCH($D181,Backlog!$A$2:$A$188,0))="","",INDEX(Backlog!$D$2:$D$188,MATCH($D181,Backlog!$A$2:$A$188,0)))</f>
        <v>Registry-driven internal benchmarking</v>
      </c>
      <c r="F181" s="71" t="str">
        <f>IF(INDEX(Backlog!$K$2:$K$188,MATCH($D181,Backlog!$A$2:$A$188,0))="","",INDEX(Backlog!$K$2:$K$188,MATCH($D181,Backlog!$A$2:$A$188,0)))</f>
        <v>Not Started</v>
      </c>
      <c r="G181" t="str">
        <f>IF(ISNUMBER(INDEX(Backlog!$AS$2:$AS$188,MATCH($D181,Backlog!$A$2:$A$188,0))),INDEX(Backlog!$AS$2:$AS$188,MATCH($D181,Backlog!$A$2:$A$188,0)),"")</f>
        <v/>
      </c>
      <c r="H181" t="str">
        <f>IF(ISNUMBER(INDEX(Backlog!$AT$2:$AT$188,MATCH($D181,Backlog!$A$2:$A$188,0))),INDEX(Backlog!$AT$2:$AT$188,MATCH($D181,Backlog!$A$2:$A$188,0)),"")</f>
        <v/>
      </c>
      <c r="I181" t="str">
        <f>IF(INDEX(Backlog!$M$2:$M$188,MATCH($D181,Backlog!$A$2:$A$188,0))="","",INDEX(Backlog!$M$2:$M$188,MATCH($D181,Backlog!$A$2:$A$188,0)))</f>
        <v>T-214; T-240</v>
      </c>
      <c r="J181" t="str">
        <f>IF(INDEX(Backlog!$T$2:$T$188,MATCH($D181,Backlog!$A$2:$A$188,0))="","",INDEX(Backlog!$T$2:$T$188,MATCH($D181,Backlog!$A$2:$A$188,0)))</f>
        <v>Consume accepted producer contracts; remaining dependencies: T-214; T-240. No private scheduler/definition authority. Source-present is not closure proof.</v>
      </c>
      <c r="K181" t="str">
        <f>IF(INDEX(Backlog!$U$2:$U$188,MATCH($D181,Backlog!$A$2:$A$188,0))="","",INDEX(Backlog!$U$2:$U$188,MATCH($D181,Backlog!$A$2:$A$188,0)))</f>
        <v>Semantic product filenames only. CENTRAL assigns shared file locks before overlapping worker writes.</v>
      </c>
      <c r="L181" t="str">
        <f>IF(INDEX(Backlog!$V$2:$V$188,MATCH($D181,Backlog!$A$2:$A$188,0))="","",INDEX(Backlog!$V$2:$V$188,MATCH($D181,Backlog!$A$2:$A$188,0)))</f>
        <v>Reuse current canonical authorities; no shadow lifecycle/registry/scheduler.</v>
      </c>
      <c r="M181" t="str">
        <f>IF(INDEX(Backlog!$AO$2:$AO$188,MATCH($D181,Backlog!$A$2:$A$188,0))="","",INDEX(Backlog!$AO$2:$AO$188,MATCH($D181,Backlog!$A$2:$A$188,0)))</f>
        <v>Not started — no completion claimed</v>
      </c>
      <c r="N181" t="str">
        <f>IF(INDEX(Backlog!$AN$2:$AN$188,MATCH($D181,Backlog!$A$2:$A$188,0))="","",INDEX(Backlog!$AN$2:$AN$188,MATCH($D181,Backlog!$A$2:$A$188,0)))</f>
        <v/>
      </c>
    </row>
    <row r="182" spans="1:14">
      <c r="A182" t="str">
        <f>IF(INDEX(Backlog!$L$2:$L$188,MATCH($D182,Backlog!$A$2:$A$188,0))="","",INDEX(Backlog!$L$2:$L$188,MATCH($D182,Backlog!$A$2:$A$188,0)))</f>
        <v>Worker 1</v>
      </c>
      <c r="B182" t="str">
        <f>IF(INDEX(Backlog!$B$2:$B$188,MATCH($D182,Backlog!$A$2:$A$188,0))="","",INDEX(Backlog!$B$2:$B$188,MATCH($D182,Backlog!$A$2:$A$188,0)))</f>
        <v>M2</v>
      </c>
      <c r="C182" t="str">
        <f>IF(INDEX(Backlog!$C$2:$C$188,MATCH($D182,Backlog!$A$2:$A$188,0))="","",INDEX(Backlog!$C$2:$C$188,MATCH($D182,Backlog!$A$2:$A$188,0)))</f>
        <v>P2</v>
      </c>
      <c r="D182" t="s">
        <v>12510</v>
      </c>
      <c r="E182" t="str">
        <f>IF(INDEX(Backlog!$D$2:$D$188,MATCH($D182,Backlog!$A$2:$A$188,0))="","",INDEX(Backlog!$D$2:$D$188,MATCH($D182,Backlog!$A$2:$A$188,0)))</f>
        <v>Industrial acquisition configuration and stable field authority</v>
      </c>
      <c r="F182" t="str">
        <f>IF(INDEX(Backlog!$K$2:$K$188,MATCH($D182,Backlog!$A$2:$A$188,0))="","",INDEX(Backlog!$K$2:$K$188,MATCH($D182,Backlog!$A$2:$A$188,0)))</f>
        <v>Not Started</v>
      </c>
      <c r="G182" t="str">
        <f>IF(ISNUMBER(INDEX(Backlog!$AS$2:$AS$188,MATCH($D182,Backlog!$A$2:$A$188,0))),INDEX(Backlog!$AS$2:$AS$188,MATCH($D182,Backlog!$A$2:$A$188,0)),"")</f>
        <v/>
      </c>
      <c r="H182" t="str">
        <f>IF(ISNUMBER(INDEX(Backlog!$AT$2:$AT$188,MATCH($D182,Backlog!$A$2:$A$188,0))),INDEX(Backlog!$AT$2:$AT$188,MATCH($D182,Backlog!$A$2:$A$188,0)),"")</f>
        <v/>
      </c>
      <c r="I182" t="str">
        <f>IF(INDEX(Backlog!$M$2:$M$188,MATCH($D182,Backlog!$A$2:$A$188,0))="","",INDEX(Backlog!$M$2:$M$188,MATCH($D182,Backlog!$A$2:$A$188,0)))</f>
        <v>T-207</v>
      </c>
      <c r="J182" t="str">
        <f>IF(INDEX(Backlog!$T$2:$T$188,MATCH($D182,Backlog!$A$2:$A$188,0))="","",INDEX(Backlog!$T$2:$T$188,MATCH($D182,Backlog!$A$2:$A$188,0)))</f>
        <v>Consume accepted v4.11.0 contracts and listed producer contracts. Source-present is not closure proof; execute named acceptance and preserve unrelated lanes.</v>
      </c>
      <c r="K182" t="str">
        <f>IF(INDEX(Backlog!$U$2:$U$188,MATCH($D182,Backlog!$A$2:$A$188,0))="","",INDEX(Backlog!$U$2:$U$188,MATCH($D182,Backlog!$A$2:$A$188,0)))</f>
        <v>Own only the named Industrial Integration subsystem slice; no private scheduler/definition/source-time/capability authority.</v>
      </c>
      <c r="L182" t="str">
        <f>IF(INDEX(Backlog!$V$2:$V$188,MATCH($D182,Backlog!$A$2:$A$188,0))="","",INDEX(Backlog!$V$2:$V$188,MATCH($D182,Backlog!$A$2:$A$188,0)))</f>
        <v>Preserve existing closed producers and contracts. Implement the delta; do not reopen earlier tasks merely because v4.11.0 adds a new consumer/acceptance slice.</v>
      </c>
      <c r="M182" t="str">
        <f>IF(INDEX(Backlog!$AO$2:$AO$188,MATCH($D182,Backlog!$A$2:$A$188,0))="","",INDEX(Backlog!$AO$2:$AO$188,MATCH($D182,Backlog!$A$2:$A$188,0)))</f>
        <v>NOT STARTED — v4.11.0 NEW SCOPE</v>
      </c>
      <c r="N182" t="str">
        <f>IF(INDEX(Backlog!$AN$2:$AN$188,MATCH($D182,Backlog!$A$2:$A$188,0))="","",INDEX(Backlog!$AN$2:$AN$188,MATCH($D182,Backlog!$A$2:$A$188,0)))</f>
        <v/>
      </c>
    </row>
    <row r="183" spans="1:14">
      <c r="A183" t="str">
        <f>IF(INDEX(Backlog!$L$2:$L$188,MATCH($D183,Backlog!$A$2:$A$188,0))="","",INDEX(Backlog!$L$2:$L$188,MATCH($D183,Backlog!$A$2:$A$188,0)))</f>
        <v>Worker 1</v>
      </c>
      <c r="B183" t="str">
        <f>IF(INDEX(Backlog!$B$2:$B$188,MATCH($D183,Backlog!$A$2:$A$188,0))="","",INDEX(Backlog!$B$2:$B$188,MATCH($D183,Backlog!$A$2:$A$188,0)))</f>
        <v>M2</v>
      </c>
      <c r="C183" t="str">
        <f>IF(INDEX(Backlog!$C$2:$C$188,MATCH($D183,Backlog!$A$2:$A$188,0))="","",INDEX(Backlog!$C$2:$C$188,MATCH($D183,Backlog!$A$2:$A$188,0)))</f>
        <v>P2</v>
      </c>
      <c r="D183" t="s">
        <v>12535</v>
      </c>
      <c r="E183" t="str">
        <f>IF(INDEX(Backlog!$D$2:$D$188,MATCH($D183,Backlog!$A$2:$A$188,0))="","",INDEX(Backlog!$D$2:$D$188,MATCH($D183,Backlog!$A$2:$A$188,0)))</f>
        <v>Declarative DataBlock/message layout decoder and source-event identity</v>
      </c>
      <c r="F183" t="str">
        <f>IF(INDEX(Backlog!$K$2:$K$188,MATCH($D183,Backlog!$A$2:$A$188,0))="","",INDEX(Backlog!$K$2:$K$188,MATCH($D183,Backlog!$A$2:$A$188,0)))</f>
        <v>Not Started</v>
      </c>
      <c r="G183" t="str">
        <f>IF(ISNUMBER(INDEX(Backlog!$AS$2:$AS$188,MATCH($D183,Backlog!$A$2:$A$188,0))),INDEX(Backlog!$AS$2:$AS$188,MATCH($D183,Backlog!$A$2:$A$188,0)),"")</f>
        <v/>
      </c>
      <c r="H183" t="str">
        <f>IF(ISNUMBER(INDEX(Backlog!$AT$2:$AT$188,MATCH($D183,Backlog!$A$2:$A$188,0))),INDEX(Backlog!$AT$2:$AT$188,MATCH($D183,Backlog!$A$2:$A$188,0)),"")</f>
        <v/>
      </c>
      <c r="I183" t="str">
        <f>IF(INDEX(Backlog!$M$2:$M$188,MATCH($D183,Backlog!$A$2:$A$188,0))="","",INDEX(Backlog!$M$2:$M$188,MATCH($D183,Backlog!$A$2:$A$188,0)))</f>
        <v>T-268</v>
      </c>
      <c r="J183" t="str">
        <f>IF(INDEX(Backlog!$T$2:$T$188,MATCH($D183,Backlog!$A$2:$A$188,0))="","",INDEX(Backlog!$T$2:$T$188,MATCH($D183,Backlog!$A$2:$A$188,0)))</f>
        <v>Consume accepted v4.11.0 contracts and listed producer contracts. Source-present is not closure proof; execute named acceptance and preserve unrelated lanes.</v>
      </c>
      <c r="K183" t="str">
        <f>IF(INDEX(Backlog!$U$2:$U$188,MATCH($D183,Backlog!$A$2:$A$188,0))="","",INDEX(Backlog!$U$2:$U$188,MATCH($D183,Backlog!$A$2:$A$188,0)))</f>
        <v>Own only the named Industrial Integration subsystem slice; no private scheduler/definition/source-time/capability authority.</v>
      </c>
      <c r="L183" t="str">
        <f>IF(INDEX(Backlog!$V$2:$V$188,MATCH($D183,Backlog!$A$2:$A$188,0))="","",INDEX(Backlog!$V$2:$V$188,MATCH($D183,Backlog!$A$2:$A$188,0)))</f>
        <v>Preserve existing closed producers and contracts. Implement the delta; do not reopen earlier tasks merely because v4.11.0 adds a new consumer/acceptance slice.</v>
      </c>
      <c r="M183" t="str">
        <f>IF(INDEX(Backlog!$AO$2:$AO$188,MATCH($D183,Backlog!$A$2:$A$188,0))="","",INDEX(Backlog!$AO$2:$AO$188,MATCH($D183,Backlog!$A$2:$A$188,0)))</f>
        <v>NOT STARTED — v4.11.0 NEW SCOPE</v>
      </c>
      <c r="N183" t="str">
        <f>IF(INDEX(Backlog!$AN$2:$AN$188,MATCH($D183,Backlog!$A$2:$A$188,0))="","",INDEX(Backlog!$AN$2:$AN$188,MATCH($D183,Backlog!$A$2:$A$188,0)))</f>
        <v/>
      </c>
    </row>
    <row r="184" spans="1:14">
      <c r="A184" t="str">
        <f>IF(INDEX(Backlog!$L$2:$L$188,MATCH($D184,Backlog!$A$2:$A$188,0))="","",INDEX(Backlog!$L$2:$L$188,MATCH($D184,Backlog!$A$2:$A$188,0)))</f>
        <v>Worker 1</v>
      </c>
      <c r="B184" t="str">
        <f>IF(INDEX(Backlog!$B$2:$B$188,MATCH($D184,Backlog!$A$2:$A$188,0))="","",INDEX(Backlog!$B$2:$B$188,MATCH($D184,Backlog!$A$2:$A$188,0)))</f>
        <v>M2</v>
      </c>
      <c r="C184" t="str">
        <f>IF(INDEX(Backlog!$C$2:$C$188,MATCH($D184,Backlog!$A$2:$A$188,0))="","",INDEX(Backlog!$C$2:$C$188,MATCH($D184,Backlog!$A$2:$A$188,0)))</f>
        <v>P2</v>
      </c>
      <c r="D184" t="s">
        <v>12543</v>
      </c>
      <c r="E184" t="str">
        <f>IF(INDEX(Backlog!$D$2:$D$188,MATCH($D184,Backlog!$A$2:$A$188,0))="","",INDEX(Backlog!$D$2:$D$188,MATCH($D184,Backlog!$A$2:$A$188,0)))</f>
        <v>Industrial recording policy and trigger/capture state-machine executor</v>
      </c>
      <c r="F184" t="str">
        <f>IF(INDEX(Backlog!$K$2:$K$188,MATCH($D184,Backlog!$A$2:$A$188,0))="","",INDEX(Backlog!$K$2:$K$188,MATCH($D184,Backlog!$A$2:$A$188,0)))</f>
        <v>Not Started</v>
      </c>
      <c r="G184" t="str">
        <f>IF(ISNUMBER(INDEX(Backlog!$AS$2:$AS$188,MATCH($D184,Backlog!$A$2:$A$188,0))),INDEX(Backlog!$AS$2:$AS$188,MATCH($D184,Backlog!$A$2:$A$188,0)),"")</f>
        <v/>
      </c>
      <c r="H184" t="str">
        <f>IF(ISNUMBER(INDEX(Backlog!$AT$2:$AT$188,MATCH($D184,Backlog!$A$2:$A$188,0))),INDEX(Backlog!$AT$2:$AT$188,MATCH($D184,Backlog!$A$2:$A$188,0)),"")</f>
        <v/>
      </c>
      <c r="I184" t="str">
        <f>IF(INDEX(Backlog!$M$2:$M$188,MATCH($D184,Backlog!$A$2:$A$188,0))="","",INDEX(Backlog!$M$2:$M$188,MATCH($D184,Backlog!$A$2:$A$188,0)))</f>
        <v>T-268; T-269; T-225; T-233; T-275</v>
      </c>
      <c r="J184" t="str">
        <f>IF(INDEX(Backlog!$T$2:$T$188,MATCH($D184,Backlog!$A$2:$A$188,0))="","",INDEX(Backlog!$T$2:$T$188,MATCH($D184,Backlog!$A$2:$A$188,0)))</f>
        <v>Consume accepted v4.11.0 contracts and listed producer contracts. Source-present is not closure proof; execute named acceptance and preserve unrelated lanes.</v>
      </c>
      <c r="K184" t="str">
        <f>IF(INDEX(Backlog!$U$2:$U$188,MATCH($D184,Backlog!$A$2:$A$188,0))="","",INDEX(Backlog!$U$2:$U$188,MATCH($D184,Backlog!$A$2:$A$188,0)))</f>
        <v>Own only the named Industrial Integration subsystem slice; no private scheduler/definition/source-time/capability authority.</v>
      </c>
      <c r="L184" t="str">
        <f>IF(INDEX(Backlog!$V$2:$V$188,MATCH($D184,Backlog!$A$2:$A$188,0))="","",INDEX(Backlog!$V$2:$V$188,MATCH($D184,Backlog!$A$2:$A$188,0)))</f>
        <v>Preserve existing closed producers and contracts. Implement the delta; do not reopen earlier tasks merely because v4.11.0 adds a new consumer/acceptance slice.</v>
      </c>
      <c r="M184" t="str">
        <f>IF(INDEX(Backlog!$AO$2:$AO$188,MATCH($D184,Backlog!$A$2:$A$188,0))="","",INDEX(Backlog!$AO$2:$AO$188,MATCH($D184,Backlog!$A$2:$A$188,0)))</f>
        <v>NOT STARTED — v4.11.0 NEW SCOPE</v>
      </c>
      <c r="N184" t="str">
        <f>IF(INDEX(Backlog!$AN$2:$AN$188,MATCH($D184,Backlog!$A$2:$A$188,0))="","",INDEX(Backlog!$AN$2:$AN$188,MATCH($D184,Backlog!$A$2:$A$188,0)))</f>
        <v/>
      </c>
    </row>
    <row r="185" spans="1:14">
      <c r="A185" t="str">
        <f>IF(INDEX(Backlog!$L$2:$L$188,MATCH($D185,Backlog!$A$2:$A$188,0))="","",INDEX(Backlog!$L$2:$L$188,MATCH($D185,Backlog!$A$2:$A$188,0)))</f>
        <v>Worker 1</v>
      </c>
      <c r="B185" t="str">
        <f>IF(INDEX(Backlog!$B$2:$B$188,MATCH($D185,Backlog!$A$2:$A$188,0))="","",INDEX(Backlog!$B$2:$B$188,MATCH($D185,Backlog!$A$2:$A$188,0)))</f>
        <v>M2</v>
      </c>
      <c r="C185" t="str">
        <f>IF(INDEX(Backlog!$C$2:$C$188,MATCH($D185,Backlog!$A$2:$A$188,0))="","",INDEX(Backlog!$C$2:$C$188,MATCH($D185,Backlog!$A$2:$A$188,0)))</f>
        <v>P2</v>
      </c>
      <c r="D185" t="s">
        <v>12552</v>
      </c>
      <c r="E185" t="str">
        <f>IF(INDEX(Backlog!$D$2:$D$188,MATCH($D185,Backlog!$A$2:$A$188,0))="","",INDEX(Backlog!$D$2:$D$188,MATCH($D185,Backlog!$A$2:$A$188,0)))</f>
        <v>Qualified relational and file acquisition convergence</v>
      </c>
      <c r="F185" t="str">
        <f>IF(INDEX(Backlog!$K$2:$K$188,MATCH($D185,Backlog!$A$2:$A$188,0))="","",INDEX(Backlog!$K$2:$K$188,MATCH($D185,Backlog!$A$2:$A$188,0)))</f>
        <v>Not Started</v>
      </c>
      <c r="G185" t="str">
        <f>IF(ISNUMBER(INDEX(Backlog!$AS$2:$AS$188,MATCH($D185,Backlog!$A$2:$A$188,0))),INDEX(Backlog!$AS$2:$AS$188,MATCH($D185,Backlog!$A$2:$A$188,0)),"")</f>
        <v/>
      </c>
      <c r="H185" t="str">
        <f>IF(ISNUMBER(INDEX(Backlog!$AT$2:$AT$188,MATCH($D185,Backlog!$A$2:$A$188,0))),INDEX(Backlog!$AT$2:$AT$188,MATCH($D185,Backlog!$A$2:$A$188,0)),"")</f>
        <v/>
      </c>
      <c r="I185" t="str">
        <f>IF(INDEX(Backlog!$M$2:$M$188,MATCH($D185,Backlog!$A$2:$A$188,0))="","",INDEX(Backlog!$M$2:$M$188,MATCH($D185,Backlog!$A$2:$A$188,0)))</f>
        <v>T-268; T-108</v>
      </c>
      <c r="J185" t="str">
        <f>IF(INDEX(Backlog!$T$2:$T$188,MATCH($D185,Backlog!$A$2:$A$188,0))="","",INDEX(Backlog!$T$2:$T$188,MATCH($D185,Backlog!$A$2:$A$188,0)))</f>
        <v>Consume accepted v4.11.0 contracts and listed producer contracts. Source-present is not closure proof; execute named acceptance and preserve unrelated lanes.</v>
      </c>
      <c r="K185" t="str">
        <f>IF(INDEX(Backlog!$U$2:$U$188,MATCH($D185,Backlog!$A$2:$A$188,0))="","",INDEX(Backlog!$U$2:$U$188,MATCH($D185,Backlog!$A$2:$A$188,0)))</f>
        <v>Own only the named Industrial Integration subsystem slice; no private scheduler/definition/source-time/capability authority.</v>
      </c>
      <c r="L185" t="str">
        <f>IF(INDEX(Backlog!$V$2:$V$188,MATCH($D185,Backlog!$A$2:$A$188,0))="","",INDEX(Backlog!$V$2:$V$188,MATCH($D185,Backlog!$A$2:$A$188,0)))</f>
        <v>Preserve existing closed producers and contracts. Implement the delta; do not reopen earlier tasks merely because v4.11.0 adds a new consumer/acceptance slice.</v>
      </c>
      <c r="M185" t="str">
        <f>IF(INDEX(Backlog!$AO$2:$AO$188,MATCH($D185,Backlog!$A$2:$A$188,0))="","",INDEX(Backlog!$AO$2:$AO$188,MATCH($D185,Backlog!$A$2:$A$188,0)))</f>
        <v>NOT STARTED — v4.11.0 NEW SCOPE</v>
      </c>
      <c r="N185" t="str">
        <f>IF(INDEX(Backlog!$AN$2:$AN$188,MATCH($D185,Backlog!$A$2:$A$188,0))="","",INDEX(Backlog!$AN$2:$AN$188,MATCH($D185,Backlog!$A$2:$A$188,0)))</f>
        <v/>
      </c>
    </row>
    <row r="186" spans="1:14">
      <c r="A186" t="str">
        <f>IF(INDEX(Backlog!$L$2:$L$188,MATCH($D186,Backlog!$A$2:$A$188,0))="","",INDEX(Backlog!$L$2:$L$188,MATCH($D186,Backlog!$A$2:$A$188,0)))</f>
        <v>Worker 1</v>
      </c>
      <c r="B186" t="str">
        <f>IF(INDEX(Backlog!$B$2:$B$188,MATCH($D186,Backlog!$A$2:$A$188,0))="","",INDEX(Backlog!$B$2:$B$188,MATCH($D186,Backlog!$A$2:$A$188,0)))</f>
        <v>M2</v>
      </c>
      <c r="C186" t="str">
        <f>IF(INDEX(Backlog!$C$2:$C$188,MATCH($D186,Backlog!$A$2:$A$188,0))="","",INDEX(Backlog!$C$2:$C$188,MATCH($D186,Backlog!$A$2:$A$188,0)))</f>
        <v>P2</v>
      </c>
      <c r="D186" t="s">
        <v>12560</v>
      </c>
      <c r="E186" t="str">
        <f>IF(INDEX(Backlog!$D$2:$D$188,MATCH($D186,Backlog!$A$2:$A$188,0))="","",INDEX(Backlog!$D$2:$D$188,MATCH($D186,Backlog!$A$2:$A$188,0)))</f>
        <v>Dataset-oriented Dump Store accepted-record and consumer contract</v>
      </c>
      <c r="F186" t="str">
        <f>IF(INDEX(Backlog!$K$2:$K$188,MATCH($D186,Backlog!$A$2:$A$188,0))="","",INDEX(Backlog!$K$2:$K$188,MATCH($D186,Backlog!$A$2:$A$188,0)))</f>
        <v>Not Started</v>
      </c>
      <c r="G186" t="str">
        <f>IF(ISNUMBER(INDEX(Backlog!$AS$2:$AS$188,MATCH($D186,Backlog!$A$2:$A$188,0))),INDEX(Backlog!$AS$2:$AS$188,MATCH($D186,Backlog!$A$2:$A$188,0)),"")</f>
        <v/>
      </c>
      <c r="H186" t="str">
        <f>IF(ISNUMBER(INDEX(Backlog!$AT$2:$AT$188,MATCH($D186,Backlog!$A$2:$A$188,0))),INDEX(Backlog!$AT$2:$AT$188,MATCH($D186,Backlog!$A$2:$A$188,0)),"")</f>
        <v/>
      </c>
      <c r="I186" t="str">
        <f>IF(INDEX(Backlog!$M$2:$M$188,MATCH($D186,Backlog!$A$2:$A$188,0))="","",INDEX(Backlog!$M$2:$M$188,MATCH($D186,Backlog!$A$2:$A$188,0)))</f>
        <v>T-087; T-088; T-251; T-252; T-268</v>
      </c>
      <c r="J186" t="str">
        <f>IF(INDEX(Backlog!$T$2:$T$188,MATCH($D186,Backlog!$A$2:$A$188,0))="","",INDEX(Backlog!$T$2:$T$188,MATCH($D186,Backlog!$A$2:$A$188,0)))</f>
        <v>Consume accepted v4.11.0 contracts and listed producer contracts. Source-present is not closure proof; execute named acceptance and preserve unrelated lanes.</v>
      </c>
      <c r="K186" t="str">
        <f>IF(INDEX(Backlog!$U$2:$U$188,MATCH($D186,Backlog!$A$2:$A$188,0))="","",INDEX(Backlog!$U$2:$U$188,MATCH($D186,Backlog!$A$2:$A$188,0)))</f>
        <v>Own only the named Industrial Integration subsystem slice; no private scheduler/definition/source-time/capability authority.</v>
      </c>
      <c r="L186" t="str">
        <f>IF(INDEX(Backlog!$V$2:$V$188,MATCH($D186,Backlog!$A$2:$A$188,0))="","",INDEX(Backlog!$V$2:$V$188,MATCH($D186,Backlog!$A$2:$A$188,0)))</f>
        <v>Preserve existing closed producers and contracts. Implement the delta; do not reopen earlier tasks merely because v4.11.0 adds a new consumer/acceptance slice.</v>
      </c>
      <c r="M186" t="str">
        <f>IF(INDEX(Backlog!$AO$2:$AO$188,MATCH($D186,Backlog!$A$2:$A$188,0))="","",INDEX(Backlog!$AO$2:$AO$188,MATCH($D186,Backlog!$A$2:$A$188,0)))</f>
        <v>NOT STARTED — v4.11.0 NEW SCOPE</v>
      </c>
      <c r="N186" t="str">
        <f>IF(INDEX(Backlog!$AN$2:$AN$188,MATCH($D186,Backlog!$A$2:$A$188,0))="","",INDEX(Backlog!$AN$2:$AN$188,MATCH($D186,Backlog!$A$2:$A$188,0)))</f>
        <v/>
      </c>
    </row>
    <row r="187" spans="1:14">
      <c r="A187" t="str">
        <f>IF(INDEX(Backlog!$L$2:$L$188,MATCH($D187,Backlog!$A$2:$A$188,0))="","",INDEX(Backlog!$L$2:$L$188,MATCH($D187,Backlog!$A$2:$A$188,0)))</f>
        <v>Worker 1</v>
      </c>
      <c r="B187" t="str">
        <f>IF(INDEX(Backlog!$B$2:$B$188,MATCH($D187,Backlog!$A$2:$A$188,0))="","",INDEX(Backlog!$B$2:$B$188,MATCH($D187,Backlog!$A$2:$A$188,0)))</f>
        <v>M2</v>
      </c>
      <c r="C187" t="str">
        <f>IF(INDEX(Backlog!$C$2:$C$188,MATCH($D187,Backlog!$A$2:$A$188,0))="","",INDEX(Backlog!$C$2:$C$188,MATCH($D187,Backlog!$A$2:$A$188,0)))</f>
        <v>P2</v>
      </c>
      <c r="D187" t="s">
        <v>12569</v>
      </c>
      <c r="E187" t="str">
        <f>IF(INDEX(Backlog!$D$2:$D$188,MATCH($D187,Backlog!$A$2:$A$188,0))="","",INDEX(Backlog!$D$2:$D$188,MATCH($D187,Backlog!$A$2:$A$188,0)))</f>
        <v>Industrial source capacity, retention and replay lifecycle control</v>
      </c>
      <c r="F187" t="str">
        <f>IF(INDEX(Backlog!$K$2:$K$188,MATCH($D187,Backlog!$A$2:$A$188,0))="","",INDEX(Backlog!$K$2:$K$188,MATCH($D187,Backlog!$A$2:$A$188,0)))</f>
        <v>Not Started</v>
      </c>
      <c r="G187" t="str">
        <f>IF(ISNUMBER(INDEX(Backlog!$AS$2:$AS$188,MATCH($D187,Backlog!$A$2:$A$188,0))),INDEX(Backlog!$AS$2:$AS$188,MATCH($D187,Backlog!$A$2:$A$188,0)),"")</f>
        <v/>
      </c>
      <c r="H187" t="str">
        <f>IF(ISNUMBER(INDEX(Backlog!$AT$2:$AT$188,MATCH($D187,Backlog!$A$2:$A$188,0))),INDEX(Backlog!$AT$2:$AT$188,MATCH($D187,Backlog!$A$2:$A$188,0)),"")</f>
        <v/>
      </c>
      <c r="I187" t="str">
        <f>IF(INDEX(Backlog!$M$2:$M$188,MATCH($D187,Backlog!$A$2:$A$188,0))="","",INDEX(Backlog!$M$2:$M$188,MATCH($D187,Backlog!$A$2:$A$188,0)))</f>
        <v>T-272; T-124</v>
      </c>
      <c r="J187" t="str">
        <f>IF(INDEX(Backlog!$T$2:$T$188,MATCH($D187,Backlog!$A$2:$A$188,0))="","",INDEX(Backlog!$T$2:$T$188,MATCH($D187,Backlog!$A$2:$A$188,0)))</f>
        <v>Consume accepted v4.11.0 contracts and listed producer contracts. Source-present is not closure proof; execute named acceptance and preserve unrelated lanes.</v>
      </c>
      <c r="K187" t="str">
        <f>IF(INDEX(Backlog!$U$2:$U$188,MATCH($D187,Backlog!$A$2:$A$188,0))="","",INDEX(Backlog!$U$2:$U$188,MATCH($D187,Backlog!$A$2:$A$188,0)))</f>
        <v>Own only the named Industrial Integration subsystem slice; no private scheduler/definition/source-time/capability authority.</v>
      </c>
      <c r="L187" t="str">
        <f>IF(INDEX(Backlog!$V$2:$V$188,MATCH($D187,Backlog!$A$2:$A$188,0))="","",INDEX(Backlog!$V$2:$V$188,MATCH($D187,Backlog!$A$2:$A$188,0)))</f>
        <v>Preserve existing closed producers and contracts. Implement the delta; do not reopen earlier tasks merely because v4.11.0 adds a new consumer/acceptance slice.</v>
      </c>
      <c r="M187" t="str">
        <f>IF(INDEX(Backlog!$AO$2:$AO$188,MATCH($D187,Backlog!$A$2:$A$188,0))="","",INDEX(Backlog!$AO$2:$AO$188,MATCH($D187,Backlog!$A$2:$A$188,0)))</f>
        <v>NOT STARTED — v4.11.0 NEW SCOPE</v>
      </c>
      <c r="N187" t="str">
        <f>IF(INDEX(Backlog!$AN$2:$AN$188,MATCH($D187,Backlog!$A$2:$A$188,0))="","",INDEX(Backlog!$AN$2:$AN$188,MATCH($D187,Backlog!$A$2:$A$188,0)))</f>
        <v/>
      </c>
    </row>
    <row r="188" spans="1:14">
      <c r="A188" t="str">
        <f>IF(INDEX(Backlog!$L$2:$L$188,MATCH($D188,Backlog!$A$2:$A$188,0))="","",INDEX(Backlog!$L$2:$L$188,MATCH($D188,Backlog!$A$2:$A$188,0)))</f>
        <v>Worker 2</v>
      </c>
      <c r="B188" t="str">
        <f>IF(INDEX(Backlog!$B$2:$B$188,MATCH($D188,Backlog!$A$2:$A$188,0))="","",INDEX(Backlog!$B$2:$B$188,MATCH($D188,Backlog!$A$2:$A$188,0)))</f>
        <v>M2</v>
      </c>
      <c r="C188" t="str">
        <f>IF(INDEX(Backlog!$C$2:$C$188,MATCH($D188,Backlog!$A$2:$A$188,0))="","",INDEX(Backlog!$C$2:$C$188,MATCH($D188,Backlog!$A$2:$A$188,0)))</f>
        <v>P2</v>
      </c>
      <c r="D188" t="s">
        <v>12578</v>
      </c>
      <c r="E188" t="str">
        <f>IF(INDEX(Backlog!$D$2:$D$188,MATCH($D188,Backlog!$A$2:$A$188,0))="","",INDEX(Backlog!$D$2:$D$188,MATCH($D188,Backlog!$A$2:$A$188,0)))</f>
        <v>Executable unified Industrial Integration configuration UX</v>
      </c>
      <c r="F188" t="str">
        <f>IF(INDEX(Backlog!$K$2:$K$188,MATCH($D188,Backlog!$A$2:$A$188,0))="","",INDEX(Backlog!$K$2:$K$188,MATCH($D188,Backlog!$A$2:$A$188,0)))</f>
        <v>Not Started</v>
      </c>
      <c r="G188" t="str">
        <f>IF(ISNUMBER(INDEX(Backlog!$AS$2:$AS$188,MATCH($D188,Backlog!$A$2:$A$188,0))),INDEX(Backlog!$AS$2:$AS$188,MATCH($D188,Backlog!$A$2:$A$188,0)),"")</f>
        <v/>
      </c>
      <c r="H188" t="str">
        <f>IF(ISNUMBER(INDEX(Backlog!$AT$2:$AT$188,MATCH($D188,Backlog!$A$2:$A$188,0))),INDEX(Backlog!$AT$2:$AT$188,MATCH($D188,Backlog!$A$2:$A$188,0)),"")</f>
        <v/>
      </c>
      <c r="I188" t="str">
        <f>IF(INDEX(Backlog!$M$2:$M$188,MATCH($D188,Backlog!$A$2:$A$188,0))="","",INDEX(Backlog!$M$2:$M$188,MATCH($D188,Backlog!$A$2:$A$188,0)))</f>
        <v>T-254; T-266; T-268; T-269; T-270; T-271; T-272; T-273; T-275</v>
      </c>
      <c r="J188" t="str">
        <f>IF(INDEX(Backlog!$T$2:$T$188,MATCH($D188,Backlog!$A$2:$A$188,0))="","",INDEX(Backlog!$T$2:$T$188,MATCH($D188,Backlog!$A$2:$A$188,0)))</f>
        <v>Consume accepted v4.11.0 contracts and listed producer contracts. Source-present is not closure proof; execute named acceptance and preserve unrelated lanes.</v>
      </c>
      <c r="K188" t="str">
        <f>IF(INDEX(Backlog!$U$2:$U$188,MATCH($D188,Backlog!$A$2:$A$188,0))="","",INDEX(Backlog!$U$2:$U$188,MATCH($D188,Backlog!$A$2:$A$188,0)))</f>
        <v>Own only the named Industrial Integration subsystem slice; no private scheduler/definition/source-time/capability authority.</v>
      </c>
      <c r="L188" t="str">
        <f>IF(INDEX(Backlog!$V$2:$V$188,MATCH($D188,Backlog!$A$2:$A$188,0))="","",INDEX(Backlog!$V$2:$V$188,MATCH($D188,Backlog!$A$2:$A$188,0)))</f>
        <v>Preserve existing closed producers and contracts. Implement the delta; do not reopen earlier tasks merely because v4.11.0 adds a new consumer/acceptance slice.</v>
      </c>
      <c r="M188" t="str">
        <f>IF(INDEX(Backlog!$AO$2:$AO$188,MATCH($D188,Backlog!$A$2:$A$188,0))="","",INDEX(Backlog!$AO$2:$AO$188,MATCH($D188,Backlog!$A$2:$A$188,0)))</f>
        <v>NOT STARTED — v4.11.0 NEW SCOPE</v>
      </c>
      <c r="N188" t="str">
        <f>IF(INDEX(Backlog!$AN$2:$AN$188,MATCH($D188,Backlog!$A$2:$A$188,0))="","",INDEX(Backlog!$AN$2:$AN$188,MATCH($D188,Backlog!$A$2:$A$188,0)))</f>
        <v/>
      </c>
    </row>
    <row r="189" spans="1:14">
      <c r="A189" t="str">
        <f>IF(INDEX(Backlog!$L$2:$L$188,MATCH($D189,Backlog!$A$2:$A$188,0))="","",INDEX(Backlog!$L$2:$L$188,MATCH($D189,Backlog!$A$2:$A$188,0)))</f>
        <v>Worker 3</v>
      </c>
      <c r="B189" t="str">
        <f>IF(INDEX(Backlog!$B$2:$B$188,MATCH($D189,Backlog!$A$2:$A$188,0))="","",INDEX(Backlog!$B$2:$B$188,MATCH($D189,Backlog!$A$2:$A$188,0)))</f>
        <v>M2</v>
      </c>
      <c r="C189" t="str">
        <f>IF(INDEX(Backlog!$C$2:$C$188,MATCH($D189,Backlog!$A$2:$A$188,0))="","",INDEX(Backlog!$C$2:$C$188,MATCH($D189,Backlog!$A$2:$A$188,0)))</f>
        <v>P2</v>
      </c>
      <c r="D189" t="s">
        <v>12588</v>
      </c>
      <c r="E189" t="str">
        <f>IF(INDEX(Backlog!$D$2:$D$188,MATCH($D189,Backlog!$A$2:$A$188,0))="","",INDEX(Backlog!$D$2:$D$188,MATCH($D189,Backlog!$A$2:$A$188,0)))</f>
        <v>Continuous acquisition Job runtime, fencing and finite microbatch lifecycle</v>
      </c>
      <c r="F189" t="str">
        <f>IF(INDEX(Backlog!$K$2:$K$188,MATCH($D189,Backlog!$A$2:$A$188,0))="","",INDEX(Backlog!$K$2:$K$188,MATCH($D189,Backlog!$A$2:$A$188,0)))</f>
        <v>Not Started</v>
      </c>
      <c r="G189" t="str">
        <f>IF(ISNUMBER(INDEX(Backlog!$AS$2:$AS$188,MATCH($D189,Backlog!$A$2:$A$188,0))),INDEX(Backlog!$AS$2:$AS$188,MATCH($D189,Backlog!$A$2:$A$188,0)),"")</f>
        <v/>
      </c>
      <c r="H189" t="str">
        <f>IF(ISNUMBER(INDEX(Backlog!$AT$2:$AT$188,MATCH($D189,Backlog!$A$2:$A$188,0))),INDEX(Backlog!$AT$2:$AT$188,MATCH($D189,Backlog!$A$2:$A$188,0)),"")</f>
        <v/>
      </c>
      <c r="I189" t="str">
        <f>IF(INDEX(Backlog!$M$2:$M$188,MATCH($D189,Backlog!$A$2:$A$188,0))="","",INDEX(Backlog!$M$2:$M$188,MATCH($D189,Backlog!$A$2:$A$188,0)))</f>
        <v>T-106; T-107; T-268</v>
      </c>
      <c r="J189" t="str">
        <f>IF(INDEX(Backlog!$T$2:$T$188,MATCH($D189,Backlog!$A$2:$A$188,0))="","",INDEX(Backlog!$T$2:$T$188,MATCH($D189,Backlog!$A$2:$A$188,0)))</f>
        <v>Consume accepted v4.11.0 contracts and listed producer contracts. Source-present is not closure proof; execute named acceptance and preserve unrelated lanes.</v>
      </c>
      <c r="K189" t="str">
        <f>IF(INDEX(Backlog!$U$2:$U$188,MATCH($D189,Backlog!$A$2:$A$188,0))="","",INDEX(Backlog!$U$2:$U$188,MATCH($D189,Backlog!$A$2:$A$188,0)))</f>
        <v>Own only the named Industrial Integration subsystem slice; no private scheduler/definition/source-time/capability authority.</v>
      </c>
      <c r="L189" t="str">
        <f>IF(INDEX(Backlog!$V$2:$V$188,MATCH($D189,Backlog!$A$2:$A$188,0))="","",INDEX(Backlog!$V$2:$V$188,MATCH($D189,Backlog!$A$2:$A$188,0)))</f>
        <v>Preserve existing closed producers and contracts. Implement the delta; do not reopen earlier tasks merely because v4.11.0 adds a new consumer/acceptance slice.</v>
      </c>
      <c r="M189" t="str">
        <f>IF(INDEX(Backlog!$AO$2:$AO$188,MATCH($D189,Backlog!$A$2:$A$188,0))="","",INDEX(Backlog!$AO$2:$AO$188,MATCH($D189,Backlog!$A$2:$A$188,0)))</f>
        <v>NOT STARTED — v4.11.0 NEW SCOPE</v>
      </c>
      <c r="N189" t="str">
        <f>IF(INDEX(Backlog!$AN$2:$AN$188,MATCH($D189,Backlog!$A$2:$A$188,0))="","",INDEX(Backlog!$AN$2:$AN$188,MATCH($D189,Backlog!$A$2:$A$188,0)))</f>
        <v/>
      </c>
    </row>
  </sheetData>
  <mergeCells count="1">
    <mergeCell ref="A1:L1"/>
  </mergeCells>
  <conditionalFormatting sqref="F3:F181">
    <cfRule type="expression" dxfId="29" priority="1">
      <formula>$F3="Done"</formula>
    </cfRule>
    <cfRule type="expression" dxfId="28" priority="2">
      <formula>$F3="In Progress"</formula>
    </cfRule>
    <cfRule type="expression" dxfId="27" priority="3">
      <formula>$F3="Not Started"</formula>
    </cfRule>
    <cfRule type="expression" dxfId="26" priority="4">
      <formula>$F3="Blocked"</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7"/>
  <sheetViews>
    <sheetView workbookViewId="0"/>
  </sheetViews>
  <sheetFormatPr defaultRowHeight="14.25"/>
  <cols>
    <col min="1" max="1" width="25" customWidth="1"/>
    <col min="2" max="2" width="30" customWidth="1"/>
    <col min="3" max="4" width="24" customWidth="1"/>
    <col min="5" max="5" width="28" customWidth="1"/>
    <col min="6" max="7" width="52" customWidth="1"/>
    <col min="8" max="8" width="26" customWidth="1"/>
    <col min="9" max="9" width="14" customWidth="1"/>
    <col min="10" max="10" width="42" customWidth="1"/>
  </cols>
  <sheetData>
    <row r="1" spans="1:10" ht="20.25">
      <c r="A1" s="99" t="s">
        <v>1861</v>
      </c>
      <c r="B1" s="99"/>
      <c r="C1" s="99"/>
      <c r="D1" s="99"/>
      <c r="E1" s="99"/>
      <c r="F1" s="99"/>
      <c r="G1" s="99"/>
      <c r="H1" s="99"/>
      <c r="I1" s="99"/>
      <c r="J1" s="99"/>
    </row>
    <row r="2" spans="1:10">
      <c r="A2" s="2"/>
      <c r="B2" s="2"/>
      <c r="C2" s="2"/>
      <c r="D2" s="2"/>
      <c r="E2" s="2"/>
      <c r="F2" s="2"/>
      <c r="G2" s="2"/>
      <c r="H2" s="2"/>
      <c r="I2" s="2"/>
      <c r="J2" s="2"/>
    </row>
    <row r="3" spans="1:10" ht="15">
      <c r="A3" s="1" t="s">
        <v>1862</v>
      </c>
      <c r="B3" s="1" t="s">
        <v>1863</v>
      </c>
      <c r="C3" s="1" t="s">
        <v>1864</v>
      </c>
      <c r="D3" s="1" t="s">
        <v>1865</v>
      </c>
      <c r="E3" s="1" t="s">
        <v>1866</v>
      </c>
      <c r="F3" s="1" t="s">
        <v>1867</v>
      </c>
      <c r="G3" s="1" t="s">
        <v>1868</v>
      </c>
      <c r="H3" s="1" t="s">
        <v>1869</v>
      </c>
      <c r="I3" s="1" t="s">
        <v>1870</v>
      </c>
      <c r="J3" s="1" t="s">
        <v>1871</v>
      </c>
    </row>
    <row r="4" spans="1:10" ht="43.5">
      <c r="A4" s="2" t="s">
        <v>1872</v>
      </c>
      <c r="B4" s="2" t="s">
        <v>1873</v>
      </c>
      <c r="C4" s="2" t="s">
        <v>1874</v>
      </c>
      <c r="D4" s="2" t="s">
        <v>1875</v>
      </c>
      <c r="E4" s="2" t="s">
        <v>1876</v>
      </c>
      <c r="F4" s="2" t="s">
        <v>1877</v>
      </c>
      <c r="G4" s="2" t="s">
        <v>1878</v>
      </c>
      <c r="H4" s="2" t="s">
        <v>1879</v>
      </c>
      <c r="I4" s="2" t="s">
        <v>1880</v>
      </c>
      <c r="J4" s="2" t="s">
        <v>1881</v>
      </c>
    </row>
    <row r="5" spans="1:10" ht="43.5">
      <c r="A5" s="2" t="s">
        <v>1882</v>
      </c>
      <c r="B5" s="2" t="s">
        <v>1883</v>
      </c>
      <c r="C5" s="2" t="s">
        <v>1884</v>
      </c>
      <c r="D5" s="2" t="s">
        <v>1885</v>
      </c>
      <c r="E5" s="2" t="s">
        <v>1886</v>
      </c>
      <c r="F5" s="2" t="s">
        <v>1887</v>
      </c>
      <c r="G5" s="2" t="s">
        <v>1888</v>
      </c>
      <c r="H5" s="2" t="s">
        <v>1879</v>
      </c>
      <c r="I5" s="2" t="s">
        <v>1880</v>
      </c>
      <c r="J5" s="2" t="s">
        <v>1889</v>
      </c>
    </row>
    <row r="6" spans="1:10" ht="43.5">
      <c r="A6" s="2" t="s">
        <v>1890</v>
      </c>
      <c r="B6" s="2" t="s">
        <v>1891</v>
      </c>
      <c r="C6" s="2" t="s">
        <v>1892</v>
      </c>
      <c r="D6" s="2" t="s">
        <v>1893</v>
      </c>
      <c r="E6" s="2" t="s">
        <v>1894</v>
      </c>
      <c r="F6" s="2" t="s">
        <v>1895</v>
      </c>
      <c r="G6" s="2" t="s">
        <v>1896</v>
      </c>
      <c r="H6" s="2" t="s">
        <v>1879</v>
      </c>
      <c r="I6" s="2" t="s">
        <v>1880</v>
      </c>
      <c r="J6" s="2" t="s">
        <v>1897</v>
      </c>
    </row>
    <row r="7" spans="1:10" ht="57.75">
      <c r="A7" s="2" t="s">
        <v>1898</v>
      </c>
      <c r="B7" s="2" t="s">
        <v>1899</v>
      </c>
      <c r="C7" s="2" t="s">
        <v>1900</v>
      </c>
      <c r="D7" s="2" t="s">
        <v>1901</v>
      </c>
      <c r="E7" s="2" t="s">
        <v>1902</v>
      </c>
      <c r="F7" s="2" t="s">
        <v>1903</v>
      </c>
      <c r="G7" s="2" t="s">
        <v>1904</v>
      </c>
      <c r="H7" s="2" t="s">
        <v>1905</v>
      </c>
      <c r="I7" s="2" t="s">
        <v>1880</v>
      </c>
      <c r="J7" s="2" t="s">
        <v>1906</v>
      </c>
    </row>
    <row r="8" spans="1:10" ht="29.25">
      <c r="A8" s="2" t="s">
        <v>1907</v>
      </c>
      <c r="B8" s="2" t="s">
        <v>1908</v>
      </c>
      <c r="C8" s="2" t="s">
        <v>1909</v>
      </c>
      <c r="D8" s="2" t="s">
        <v>1910</v>
      </c>
      <c r="E8" s="2" t="s">
        <v>1911</v>
      </c>
      <c r="F8" s="2" t="s">
        <v>1912</v>
      </c>
      <c r="G8" s="2" t="s">
        <v>1913</v>
      </c>
      <c r="H8" s="2" t="s">
        <v>1914</v>
      </c>
      <c r="I8" s="2" t="s">
        <v>1880</v>
      </c>
      <c r="J8" s="2" t="s">
        <v>1915</v>
      </c>
    </row>
    <row r="9" spans="1:10" ht="29.25">
      <c r="A9" s="2" t="s">
        <v>647</v>
      </c>
      <c r="B9" s="2" t="s">
        <v>1916</v>
      </c>
      <c r="C9" s="2" t="s">
        <v>1917</v>
      </c>
      <c r="D9" s="2" t="s">
        <v>1918</v>
      </c>
      <c r="E9" s="2" t="s">
        <v>1919</v>
      </c>
      <c r="F9" s="2" t="s">
        <v>1920</v>
      </c>
      <c r="G9" s="2" t="s">
        <v>1921</v>
      </c>
      <c r="H9" s="2" t="s">
        <v>1922</v>
      </c>
      <c r="I9" s="2" t="s">
        <v>1880</v>
      </c>
      <c r="J9" s="2" t="s">
        <v>1923</v>
      </c>
    </row>
    <row r="10" spans="1:10" ht="29.25">
      <c r="A10" s="2" t="s">
        <v>1924</v>
      </c>
      <c r="B10" s="2" t="s">
        <v>1925</v>
      </c>
      <c r="C10" s="2" t="s">
        <v>1926</v>
      </c>
      <c r="D10" s="2" t="s">
        <v>1927</v>
      </c>
      <c r="E10" s="2" t="s">
        <v>1928</v>
      </c>
      <c r="F10" s="2" t="s">
        <v>1929</v>
      </c>
      <c r="G10" s="2" t="s">
        <v>1930</v>
      </c>
      <c r="H10" s="2" t="s">
        <v>1922</v>
      </c>
      <c r="I10" s="2" t="s">
        <v>1880</v>
      </c>
      <c r="J10" s="2" t="s">
        <v>1931</v>
      </c>
    </row>
    <row r="11" spans="1:10" ht="29.25">
      <c r="A11" s="2" t="s">
        <v>1932</v>
      </c>
      <c r="B11" s="2" t="s">
        <v>1933</v>
      </c>
      <c r="C11" s="2" t="s">
        <v>1934</v>
      </c>
      <c r="D11" s="2" t="s">
        <v>1935</v>
      </c>
      <c r="E11" s="2" t="s">
        <v>1936</v>
      </c>
      <c r="F11" s="2" t="s">
        <v>1937</v>
      </c>
      <c r="G11" s="2" t="s">
        <v>1938</v>
      </c>
      <c r="H11" s="2" t="s">
        <v>1939</v>
      </c>
      <c r="I11" s="2" t="s">
        <v>1880</v>
      </c>
      <c r="J11" s="2" t="s">
        <v>1940</v>
      </c>
    </row>
    <row r="12" spans="1:10" ht="29.25">
      <c r="A12" s="2" t="s">
        <v>1941</v>
      </c>
      <c r="B12" s="2" t="s">
        <v>1942</v>
      </c>
      <c r="C12" s="2" t="s">
        <v>1943</v>
      </c>
      <c r="D12" s="2" t="s">
        <v>1944</v>
      </c>
      <c r="E12" s="2" t="s">
        <v>1945</v>
      </c>
      <c r="F12" s="2" t="s">
        <v>1946</v>
      </c>
      <c r="G12" s="2" t="s">
        <v>1947</v>
      </c>
      <c r="H12" s="2" t="s">
        <v>1948</v>
      </c>
      <c r="I12" s="2" t="s">
        <v>1880</v>
      </c>
      <c r="J12" s="2" t="s">
        <v>1949</v>
      </c>
    </row>
    <row r="13" spans="1:10" ht="29.25">
      <c r="A13" s="2" t="s">
        <v>1950</v>
      </c>
      <c r="B13" s="2" t="s">
        <v>1951</v>
      </c>
      <c r="C13" s="2" t="s">
        <v>1952</v>
      </c>
      <c r="D13" s="2" t="s">
        <v>1953</v>
      </c>
      <c r="E13" s="2" t="s">
        <v>1954</v>
      </c>
      <c r="F13" s="2" t="s">
        <v>1955</v>
      </c>
      <c r="G13" s="2" t="s">
        <v>1956</v>
      </c>
      <c r="H13" s="2" t="s">
        <v>1922</v>
      </c>
      <c r="I13" s="2" t="s">
        <v>1880</v>
      </c>
      <c r="J13" s="2" t="s">
        <v>1957</v>
      </c>
    </row>
    <row r="14" spans="1:10" ht="43.5">
      <c r="A14" s="2" t="s">
        <v>1958</v>
      </c>
      <c r="B14" s="2" t="s">
        <v>1959</v>
      </c>
      <c r="C14" s="2" t="s">
        <v>1960</v>
      </c>
      <c r="D14" s="2" t="s">
        <v>1961</v>
      </c>
      <c r="E14" s="2" t="s">
        <v>1962</v>
      </c>
      <c r="F14" s="2" t="s">
        <v>1963</v>
      </c>
      <c r="G14" s="2" t="s">
        <v>1964</v>
      </c>
      <c r="H14" s="2" t="s">
        <v>1965</v>
      </c>
      <c r="I14" s="2" t="s">
        <v>1880</v>
      </c>
      <c r="J14" s="2" t="s">
        <v>1966</v>
      </c>
    </row>
    <row r="15" spans="1:10" ht="29.25">
      <c r="A15" s="2" t="s">
        <v>1967</v>
      </c>
      <c r="B15" s="2" t="s">
        <v>1968</v>
      </c>
      <c r="C15" s="2" t="s">
        <v>1969</v>
      </c>
      <c r="D15" s="2" t="s">
        <v>1970</v>
      </c>
      <c r="E15" s="2" t="s">
        <v>1971</v>
      </c>
      <c r="F15" s="2" t="s">
        <v>1972</v>
      </c>
      <c r="G15" s="2" t="s">
        <v>1973</v>
      </c>
      <c r="H15" s="2" t="s">
        <v>1974</v>
      </c>
      <c r="I15" s="2" t="s">
        <v>1880</v>
      </c>
      <c r="J15" s="2" t="s">
        <v>1975</v>
      </c>
    </row>
    <row r="16" spans="1:10" ht="57">
      <c r="A16" s="2" t="s">
        <v>1976</v>
      </c>
      <c r="B16" s="2" t="s">
        <v>1977</v>
      </c>
      <c r="C16" s="2" t="s">
        <v>1978</v>
      </c>
      <c r="D16" s="2" t="s">
        <v>1979</v>
      </c>
      <c r="E16" s="2" t="s">
        <v>1980</v>
      </c>
      <c r="F16" s="2" t="s">
        <v>1981</v>
      </c>
      <c r="G16" s="2" t="s">
        <v>1982</v>
      </c>
      <c r="H16" s="2" t="s">
        <v>1983</v>
      </c>
      <c r="I16" s="2" t="s">
        <v>1880</v>
      </c>
      <c r="J16" s="2" t="s">
        <v>1984</v>
      </c>
    </row>
    <row r="17" spans="1:10" ht="42.75">
      <c r="A17" s="2" t="s">
        <v>1985</v>
      </c>
      <c r="B17" s="2" t="s">
        <v>1986</v>
      </c>
      <c r="C17" s="2" t="s">
        <v>1987</v>
      </c>
      <c r="D17" s="2" t="s">
        <v>1988</v>
      </c>
      <c r="E17" s="2" t="s">
        <v>1989</v>
      </c>
      <c r="F17" s="2" t="s">
        <v>1990</v>
      </c>
      <c r="G17" s="2" t="s">
        <v>1991</v>
      </c>
      <c r="H17" s="2" t="s">
        <v>1992</v>
      </c>
      <c r="I17" s="2" t="s">
        <v>1880</v>
      </c>
      <c r="J17" s="2" t="s">
        <v>1993</v>
      </c>
    </row>
  </sheetData>
  <mergeCells count="1">
    <mergeCell ref="A1:J1"/>
  </mergeCells>
  <conditionalFormatting sqref="I4:I15">
    <cfRule type="expression" dxfId="25" priority="1">
      <formula>I4="MIRRORED"</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88"/>
  <sheetViews>
    <sheetView workbookViewId="0"/>
  </sheetViews>
  <sheetFormatPr defaultRowHeight="14.25"/>
  <cols>
    <col min="1" max="1" width="12" customWidth="1"/>
    <col min="2" max="6" width="20" customWidth="1"/>
    <col min="7" max="10" width="38" customWidth="1"/>
  </cols>
  <sheetData>
    <row r="1" spans="1:10" ht="36" customHeight="1">
      <c r="A1" s="36" t="s">
        <v>53</v>
      </c>
      <c r="B1" s="36" t="s">
        <v>1832</v>
      </c>
      <c r="C1" s="36" t="s">
        <v>1834</v>
      </c>
      <c r="D1" s="36" t="s">
        <v>1852</v>
      </c>
      <c r="E1" s="36" t="s">
        <v>63</v>
      </c>
      <c r="F1" s="36" t="s">
        <v>1854</v>
      </c>
      <c r="G1" s="36" t="s">
        <v>1855</v>
      </c>
      <c r="H1" s="36" t="s">
        <v>1994</v>
      </c>
      <c r="I1" s="36" t="s">
        <v>1995</v>
      </c>
      <c r="J1" s="37" t="s">
        <v>1860</v>
      </c>
    </row>
    <row r="2" spans="1:10" ht="26.1" customHeight="1">
      <c r="A2" s="38" t="s">
        <v>107</v>
      </c>
      <c r="B2" s="38" t="str">
        <f>IF(INDEX(Backlog!$B$2:$B$188,MATCH($A2,Backlog!$A$2:$A$188,0))="","",INDEX(Backlog!$B$2:$B$188,MATCH($A2,Backlog!$A$2:$A$188,0)))</f>
        <v>M2</v>
      </c>
      <c r="C2" s="38" t="str">
        <f>IF(INDEX(Backlog!$C$2:$C$188,MATCH($A2,Backlog!$A$2:$A$188,0))="","",INDEX(Backlog!$C$2:$C$188,MATCH($A2,Backlog!$A$2:$A$188,0)))</f>
        <v>P1</v>
      </c>
      <c r="D2" s="38" t="str">
        <f>IF(INDEX(Backlog!$L$2:$L$188,MATCH($A2,Backlog!$A$2:$A$188,0))="","",INDEX(Backlog!$L$2:$L$188,MATCH($A2,Backlog!$A$2:$A$188,0)))</f>
        <v>Worker 1</v>
      </c>
      <c r="E2" s="70" t="str">
        <f>IF(INDEX(Backlog!$K$2:$K$188,MATCH($A2,Backlog!$A$2:$A$188,0))="","",INDEX(Backlog!$K$2:$K$188,MATCH($A2,Backlog!$A$2:$A$188,0)))</f>
        <v>Done</v>
      </c>
      <c r="F2" s="38">
        <f>IF(ISNUMBER(INDEX(Backlog!$AT$2:$AT$188,MATCH($A2,Backlog!$A$2:$A$188,0))),INDEX(Backlog!$AT$2:$AT$188,MATCH($A2,Backlog!$A$2:$A$188,0)),"")</f>
        <v>2.72</v>
      </c>
      <c r="G2" s="38" t="str">
        <f>IF(INDEX(Backlog!$M$2:$M$188,MATCH($A2,Backlog!$A$2:$A$188,0))="","",INDEX(Backlog!$M$2:$M$188,MATCH($A2,Backlog!$A$2:$A$188,0)))</f>
        <v>T-201</v>
      </c>
      <c r="H2" s="38" t="str">
        <f>IF(INDEX(Backlog!$N$2:$N$188,MATCH($A2,Backlog!$A$2:$A$188,0))="","",INDEX(Backlog!$N$2:$N$188,MATCH($A2,Backlog!$A$2:$A$188,0)))</f>
        <v>T-087; T-088; T-131</v>
      </c>
      <c r="I2" s="38" t="str">
        <f>IF(INDEX(Backlog!$T$2:$T$188,MATCH($A2,Backlog!$A$2:$A$188,0))="","",INDEX(Backlog!$T$2:$T$188,MATCH($A2,Backlog!$A$2:$A$188,0)))</f>
        <v>CLOSED BASELINE — no new start gate and no re-execution implied. Preserve accepted closure and clean owned scope; reopen only on a concrete, separately recorded regression. Downstream consumes the frozen contract.</v>
      </c>
      <c r="J2" s="32" t="str">
        <f>IF(INDEX(Backlog!$AN$2:$AN$188,MATCH($A2,Backlog!$A$2:$A$188,0))="","",INDEX(Backlog!$AN$2:$AN$188,MATCH($A2,Backlog!$A$2:$A$188,0)))</f>
        <v/>
      </c>
    </row>
    <row r="3" spans="1:10" ht="26.1" customHeight="1">
      <c r="A3" s="38" t="s">
        <v>143</v>
      </c>
      <c r="B3" s="38" t="str">
        <f>IF(INDEX(Backlog!$B$2:$B$188,MATCH($A3,Backlog!$A$2:$A$188,0))="","",INDEX(Backlog!$B$2:$B$188,MATCH($A3,Backlog!$A$2:$A$188,0)))</f>
        <v>M2</v>
      </c>
      <c r="C3" s="38" t="str">
        <f>IF(INDEX(Backlog!$C$2:$C$188,MATCH($A3,Backlog!$A$2:$A$188,0))="","",INDEX(Backlog!$C$2:$C$188,MATCH($A3,Backlog!$A$2:$A$188,0)))</f>
        <v>P1</v>
      </c>
      <c r="D3" s="38" t="str">
        <f>IF(INDEX(Backlog!$L$2:$L$188,MATCH($A3,Backlog!$A$2:$A$188,0))="","",INDEX(Backlog!$L$2:$L$188,MATCH($A3,Backlog!$A$2:$A$188,0)))</f>
        <v>Worker 1</v>
      </c>
      <c r="E3" s="70" t="str">
        <f>IF(INDEX(Backlog!$K$2:$K$188,MATCH($A3,Backlog!$A$2:$A$188,0))="","",INDEX(Backlog!$K$2:$K$188,MATCH($A3,Backlog!$A$2:$A$188,0)))</f>
        <v>Done</v>
      </c>
      <c r="F3" s="38">
        <f>IF(ISNUMBER(INDEX(Backlog!$AT$2:$AT$188,MATCH($A3,Backlog!$A$2:$A$188,0))),INDEX(Backlog!$AT$2:$AT$188,MATCH($A3,Backlog!$A$2:$A$188,0)),"")</f>
        <v>2.3250000000000002</v>
      </c>
      <c r="G3" s="38" t="str">
        <f>IF(INDEX(Backlog!$M$2:$M$188,MATCH($A3,Backlog!$A$2:$A$188,0))="","",INDEX(Backlog!$M$2:$M$188,MATCH($A3,Backlog!$A$2:$A$188,0)))</f>
        <v>T-086; T-088</v>
      </c>
      <c r="H3" s="38" t="str">
        <f>IF(INDEX(Backlog!$N$2:$N$188,MATCH($A3,Backlog!$A$2:$A$188,0))="","",INDEX(Backlog!$N$2:$N$188,MATCH($A3,Backlog!$A$2:$A$188,0)))</f>
        <v>T-089; T-099; T-102; T-112; T-114; T-128; T-196; T-233; T-251; T-252</v>
      </c>
      <c r="I3" s="38" t="str">
        <f>IF(INDEX(Backlog!$T$2:$T$188,MATCH($A3,Backlog!$A$2:$A$188,0))="","",INDEX(Backlog!$T$2:$T$188,MATCH($A3,Backlog!$A$2:$A$188,0)))</f>
        <v>CLOSED BASELINE — no new start gate and no re-execution implied. Preserve accepted closure and clean owned scope; reopen only on a concrete, separately recorded regression. Downstream consumes the frozen contract.</v>
      </c>
      <c r="J3" s="32" t="str">
        <f>IF(INDEX(Backlog!$AN$2:$AN$188,MATCH($A3,Backlog!$A$2:$A$188,0))="","",INDEX(Backlog!$AN$2:$AN$188,MATCH($A3,Backlog!$A$2:$A$188,0)))</f>
        <v/>
      </c>
    </row>
    <row r="4" spans="1:10" ht="26.1" customHeight="1">
      <c r="A4" s="38" t="s">
        <v>158</v>
      </c>
      <c r="B4" s="38" t="str">
        <f>IF(INDEX(Backlog!$B$2:$B$188,MATCH($A4,Backlog!$A$2:$A$188,0))="","",INDEX(Backlog!$B$2:$B$188,MATCH($A4,Backlog!$A$2:$A$188,0)))</f>
        <v>M2</v>
      </c>
      <c r="C4" s="38" t="str">
        <f>IF(INDEX(Backlog!$C$2:$C$188,MATCH($A4,Backlog!$A$2:$A$188,0))="","",INDEX(Backlog!$C$2:$C$188,MATCH($A4,Backlog!$A$2:$A$188,0)))</f>
        <v>P1</v>
      </c>
      <c r="D4" s="38" t="str">
        <f>IF(INDEX(Backlog!$L$2:$L$188,MATCH($A4,Backlog!$A$2:$A$188,0))="","",INDEX(Backlog!$L$2:$L$188,MATCH($A4,Backlog!$A$2:$A$188,0)))</f>
        <v>Worker 1</v>
      </c>
      <c r="E4" s="70" t="str">
        <f>IF(INDEX(Backlog!$K$2:$K$188,MATCH($A4,Backlog!$A$2:$A$188,0))="","",INDEX(Backlog!$K$2:$K$188,MATCH($A4,Backlog!$A$2:$A$188,0)))</f>
        <v>Done</v>
      </c>
      <c r="F4" s="38">
        <f>IF(ISNUMBER(INDEX(Backlog!$AT$2:$AT$188,MATCH($A4,Backlog!$A$2:$A$188,0))),INDEX(Backlog!$AT$2:$AT$188,MATCH($A4,Backlog!$A$2:$A$188,0)),"")</f>
        <v>2.3250000000000002</v>
      </c>
      <c r="G4" s="38" t="str">
        <f>IF(INDEX(Backlog!$M$2:$M$188,MATCH($A4,Backlog!$A$2:$A$188,0))="","",INDEX(Backlog!$M$2:$M$188,MATCH($A4,Backlog!$A$2:$A$188,0)))</f>
        <v>T-086</v>
      </c>
      <c r="H4" s="38" t="str">
        <f>IF(INDEX(Backlog!$N$2:$N$188,MATCH($A4,Backlog!$A$2:$A$188,0))="","",INDEX(Backlog!$N$2:$N$188,MATCH($A4,Backlog!$A$2:$A$188,0)))</f>
        <v>T-087; T-089; T-112; T-128; T-251; T-252; T-256; T-260</v>
      </c>
      <c r="I4" s="38" t="str">
        <f>IF(INDEX(Backlog!$T$2:$T$188,MATCH($A4,Backlog!$A$2:$A$188,0))="","",INDEX(Backlog!$T$2:$T$188,MATCH($A4,Backlog!$A$2:$A$188,0)))</f>
        <v>CLOSED BASELINE — no new start gate and no re-execution implied. Preserve accepted closure and clean owned scope; reopen only on a concrete, separately recorded regression. Downstream consumes the frozen contract.</v>
      </c>
      <c r="J4" s="32" t="str">
        <f>IF(INDEX(Backlog!$AN$2:$AN$188,MATCH($A4,Backlog!$A$2:$A$188,0))="","",INDEX(Backlog!$AN$2:$AN$188,MATCH($A4,Backlog!$A$2:$A$188,0)))</f>
        <v/>
      </c>
    </row>
    <row r="5" spans="1:10" ht="26.1" customHeight="1">
      <c r="A5" s="38" t="s">
        <v>168</v>
      </c>
      <c r="B5" s="38" t="str">
        <f>IF(INDEX(Backlog!$B$2:$B$188,MATCH($A5,Backlog!$A$2:$A$188,0))="","",INDEX(Backlog!$B$2:$B$188,MATCH($A5,Backlog!$A$2:$A$188,0)))</f>
        <v>M2</v>
      </c>
      <c r="C5" s="38" t="str">
        <f>IF(INDEX(Backlog!$C$2:$C$188,MATCH($A5,Backlog!$A$2:$A$188,0))="","",INDEX(Backlog!$C$2:$C$188,MATCH($A5,Backlog!$A$2:$A$188,0)))</f>
        <v>P1</v>
      </c>
      <c r="D5" s="38" t="str">
        <f>IF(INDEX(Backlog!$L$2:$L$188,MATCH($A5,Backlog!$A$2:$A$188,0))="","",INDEX(Backlog!$L$2:$L$188,MATCH($A5,Backlog!$A$2:$A$188,0)))</f>
        <v>Worker 1</v>
      </c>
      <c r="E5" s="70" t="str">
        <f>IF(INDEX(Backlog!$K$2:$K$188,MATCH($A5,Backlog!$A$2:$A$188,0))="","",INDEX(Backlog!$K$2:$K$188,MATCH($A5,Backlog!$A$2:$A$188,0)))</f>
        <v>Done</v>
      </c>
      <c r="F5" s="38">
        <f>IF(ISNUMBER(INDEX(Backlog!$AT$2:$AT$188,MATCH($A5,Backlog!$A$2:$A$188,0))),INDEX(Backlog!$AT$2:$AT$188,MATCH($A5,Backlog!$A$2:$A$188,0)),"")</f>
        <v>2.3250000000000002</v>
      </c>
      <c r="G5" s="38" t="str">
        <f>IF(INDEX(Backlog!$M$2:$M$188,MATCH($A5,Backlog!$A$2:$A$188,0))="","",INDEX(Backlog!$M$2:$M$188,MATCH($A5,Backlog!$A$2:$A$188,0)))</f>
        <v>T-087; T-088</v>
      </c>
      <c r="H5" s="38" t="str">
        <f>IF(INDEX(Backlog!$N$2:$N$188,MATCH($A5,Backlog!$A$2:$A$188,0))="","",INDEX(Backlog!$N$2:$N$188,MATCH($A5,Backlog!$A$2:$A$188,0)))</f>
        <v>T-090; T-092; T-095; T-099; T-106; T-114; T-128; T-183; T-243; T-244</v>
      </c>
      <c r="I5" s="38" t="str">
        <f>IF(INDEX(Backlog!$T$2:$T$188,MATCH($A5,Backlog!$A$2:$A$188,0))="","",INDEX(Backlog!$T$2:$T$188,MATCH($A5,Backlog!$A$2:$A$188,0)))</f>
        <v>CLOSED BASELINE — no new start gate and no re-execution implied. Preserve accepted closure and clean owned scope; reopen only on a concrete, separately recorded regression. Downstream consumes the frozen contract.</v>
      </c>
      <c r="J5" s="32" t="str">
        <f>IF(INDEX(Backlog!$AN$2:$AN$188,MATCH($A5,Backlog!$A$2:$A$188,0))="","",INDEX(Backlog!$AN$2:$AN$188,MATCH($A5,Backlog!$A$2:$A$188,0)))</f>
        <v/>
      </c>
    </row>
    <row r="6" spans="1:10" ht="26.1" customHeight="1">
      <c r="A6" s="38" t="s">
        <v>180</v>
      </c>
      <c r="B6" s="38" t="str">
        <f>IF(INDEX(Backlog!$B$2:$B$188,MATCH($A6,Backlog!$A$2:$A$188,0))="","",INDEX(Backlog!$B$2:$B$188,MATCH($A6,Backlog!$A$2:$A$188,0)))</f>
        <v>M2</v>
      </c>
      <c r="C6" s="38" t="str">
        <f>IF(INDEX(Backlog!$C$2:$C$188,MATCH($A6,Backlog!$A$2:$A$188,0))="","",INDEX(Backlog!$C$2:$C$188,MATCH($A6,Backlog!$A$2:$A$188,0)))</f>
        <v>P1</v>
      </c>
      <c r="D6" s="38" t="str">
        <f>IF(INDEX(Backlog!$L$2:$L$188,MATCH($A6,Backlog!$A$2:$A$188,0))="","",INDEX(Backlog!$L$2:$L$188,MATCH($A6,Backlog!$A$2:$A$188,0)))</f>
        <v>Worker 1</v>
      </c>
      <c r="E6" s="70" t="str">
        <f>IF(INDEX(Backlog!$K$2:$K$188,MATCH($A6,Backlog!$A$2:$A$188,0))="","",INDEX(Backlog!$K$2:$K$188,MATCH($A6,Backlog!$A$2:$A$188,0)))</f>
        <v>Done</v>
      </c>
      <c r="F6" s="38">
        <f>IF(ISNUMBER(INDEX(Backlog!$AT$2:$AT$188,MATCH($A6,Backlog!$A$2:$A$188,0))),INDEX(Backlog!$AT$2:$AT$188,MATCH($A6,Backlog!$A$2:$A$188,0)),"")</f>
        <v>1.7999999999999998</v>
      </c>
      <c r="G6" s="38" t="str">
        <f>IF(INDEX(Backlog!$M$2:$M$188,MATCH($A6,Backlog!$A$2:$A$188,0))="","",INDEX(Backlog!$M$2:$M$188,MATCH($A6,Backlog!$A$2:$A$188,0)))</f>
        <v>T-089</v>
      </c>
      <c r="H6" s="38" t="str">
        <f>IF(INDEX(Backlog!$N$2:$N$188,MATCH($A6,Backlog!$A$2:$A$188,0))="","",INDEX(Backlog!$N$2:$N$188,MATCH($A6,Backlog!$A$2:$A$188,0)))</f>
        <v>T-091; T-092; T-095; T-099; T-104; T-106; T-114; T-128; T-134; T-147; T-183; T-195; T-210; T-221; T-228; T-231; T-232; T-233; T-235; T-239; T-243; T-244</v>
      </c>
      <c r="I6" s="38" t="str">
        <f>IF(INDEX(Backlog!$T$2:$T$188,MATCH($A6,Backlog!$A$2:$A$188,0))="","",INDEX(Backlog!$T$2:$T$188,MATCH($A6,Backlog!$A$2:$A$188,0)))</f>
        <v>CLOSED BASELINE — no new start gate and no re-execution implied. Preserve accepted closure and clean owned scope; reopen only on a concrete, separately recorded regression. Downstream consumes the frozen contract.</v>
      </c>
      <c r="J6" s="32" t="str">
        <f>IF(INDEX(Backlog!$AN$2:$AN$188,MATCH($A6,Backlog!$A$2:$A$188,0))="","",INDEX(Backlog!$AN$2:$AN$188,MATCH($A6,Backlog!$A$2:$A$188,0)))</f>
        <v/>
      </c>
    </row>
    <row r="7" spans="1:10" ht="26.1" customHeight="1">
      <c r="A7" s="38" t="s">
        <v>192</v>
      </c>
      <c r="B7" s="38" t="str">
        <f>IF(INDEX(Backlog!$B$2:$B$188,MATCH($A7,Backlog!$A$2:$A$188,0))="","",INDEX(Backlog!$B$2:$B$188,MATCH($A7,Backlog!$A$2:$A$188,0)))</f>
        <v>M2</v>
      </c>
      <c r="C7" s="38" t="str">
        <f>IF(INDEX(Backlog!$C$2:$C$188,MATCH($A7,Backlog!$A$2:$A$188,0))="","",INDEX(Backlog!$C$2:$C$188,MATCH($A7,Backlog!$A$2:$A$188,0)))</f>
        <v>P1</v>
      </c>
      <c r="D7" s="38" t="str">
        <f>IF(INDEX(Backlog!$L$2:$L$188,MATCH($A7,Backlog!$A$2:$A$188,0))="","",INDEX(Backlog!$L$2:$L$188,MATCH($A7,Backlog!$A$2:$A$188,0)))</f>
        <v>Worker 1</v>
      </c>
      <c r="E7" s="70" t="str">
        <f>IF(INDEX(Backlog!$K$2:$K$188,MATCH($A7,Backlog!$A$2:$A$188,0))="","",INDEX(Backlog!$K$2:$K$188,MATCH($A7,Backlog!$A$2:$A$188,0)))</f>
        <v>Done</v>
      </c>
      <c r="F7" s="38">
        <f>IF(ISNUMBER(INDEX(Backlog!$AT$2:$AT$188,MATCH($A7,Backlog!$A$2:$A$188,0))),INDEX(Backlog!$AT$2:$AT$188,MATCH($A7,Backlog!$A$2:$A$188,0)),"")</f>
        <v>1.7999999999999998</v>
      </c>
      <c r="G7" s="38" t="str">
        <f>IF(INDEX(Backlog!$M$2:$M$188,MATCH($A7,Backlog!$A$2:$A$188,0))="","",INDEX(Backlog!$M$2:$M$188,MATCH($A7,Backlog!$A$2:$A$188,0)))</f>
        <v>T-090</v>
      </c>
      <c r="H7" s="38" t="str">
        <f>IF(INDEX(Backlog!$N$2:$N$188,MATCH($A7,Backlog!$A$2:$A$188,0))="","",INDEX(Backlog!$N$2:$N$188,MATCH($A7,Backlog!$A$2:$A$188,0)))</f>
        <v>T-128; T-183</v>
      </c>
      <c r="I7" s="38" t="str">
        <f>IF(INDEX(Backlog!$T$2:$T$188,MATCH($A7,Backlog!$A$2:$A$188,0))="","",INDEX(Backlog!$T$2:$T$188,MATCH($A7,Backlog!$A$2:$A$188,0)))</f>
        <v>CLOSED BASELINE — no new start gate and no re-execution implied. Preserve accepted closure and clean owned scope; reopen only on a concrete, separately recorded regression. Downstream consumes the frozen contract.</v>
      </c>
      <c r="J7" s="32" t="str">
        <f>IF(INDEX(Backlog!$AN$2:$AN$188,MATCH($A7,Backlog!$A$2:$A$188,0))="","",INDEX(Backlog!$AN$2:$AN$188,MATCH($A7,Backlog!$A$2:$A$188,0)))</f>
        <v/>
      </c>
    </row>
    <row r="8" spans="1:10" ht="26.1" customHeight="1">
      <c r="A8" s="38" t="s">
        <v>199</v>
      </c>
      <c r="B8" s="38" t="str">
        <f>IF(INDEX(Backlog!$B$2:$B$188,MATCH($A8,Backlog!$A$2:$A$188,0))="","",INDEX(Backlog!$B$2:$B$188,MATCH($A8,Backlog!$A$2:$A$188,0)))</f>
        <v>M2</v>
      </c>
      <c r="C8" s="38" t="str">
        <f>IF(INDEX(Backlog!$C$2:$C$188,MATCH($A8,Backlog!$A$2:$A$188,0))="","",INDEX(Backlog!$C$2:$C$188,MATCH($A8,Backlog!$A$2:$A$188,0)))</f>
        <v>P1</v>
      </c>
      <c r="D8" s="38" t="str">
        <f>IF(INDEX(Backlog!$L$2:$L$188,MATCH($A8,Backlog!$A$2:$A$188,0))="","",INDEX(Backlog!$L$2:$L$188,MATCH($A8,Backlog!$A$2:$A$188,0)))</f>
        <v>Worker 1</v>
      </c>
      <c r="E8" s="70" t="str">
        <f>IF(INDEX(Backlog!$K$2:$K$188,MATCH($A8,Backlog!$A$2:$A$188,0))="","",INDEX(Backlog!$K$2:$K$188,MATCH($A8,Backlog!$A$2:$A$188,0)))</f>
        <v>Done</v>
      </c>
      <c r="F8" s="38">
        <f>IF(ISNUMBER(INDEX(Backlog!$AT$2:$AT$188,MATCH($A8,Backlog!$A$2:$A$188,0))),INDEX(Backlog!$AT$2:$AT$188,MATCH($A8,Backlog!$A$2:$A$188,0)),"")</f>
        <v>1.7999999999999998</v>
      </c>
      <c r="G8" s="38" t="str">
        <f>IF(INDEX(Backlog!$M$2:$M$188,MATCH($A8,Backlog!$A$2:$A$188,0))="","",INDEX(Backlog!$M$2:$M$188,MATCH($A8,Backlog!$A$2:$A$188,0)))</f>
        <v>T-089; T-090; T-210; T-231</v>
      </c>
      <c r="H8" s="38" t="str">
        <f>IF(INDEX(Backlog!$N$2:$N$188,MATCH($A8,Backlog!$A$2:$A$188,0))="","",INDEX(Backlog!$N$2:$N$188,MATCH($A8,Backlog!$A$2:$A$188,0)))</f>
        <v>T-093; T-094; T-128; T-183; T-212; T-215; T-228; T-237; T-247</v>
      </c>
      <c r="I8" s="38" t="str">
        <f>IF(INDEX(Backlog!$T$2:$T$188,MATCH($A8,Backlog!$A$2:$A$188,0))="","",INDEX(Backlog!$T$2:$T$188,MATCH($A8,Backlog!$A$2:$A$188,0)))</f>
        <v>CLOSED BASELINE — no new start gate and no re-execution implied. Preserve accepted closure and clean owned scope; reopen only on a concrete, separately recorded regression. Downstream consumes the frozen contract.</v>
      </c>
      <c r="J8" s="32" t="str">
        <f>IF(INDEX(Backlog!$AN$2:$AN$188,MATCH($A8,Backlog!$A$2:$A$188,0))="","",INDEX(Backlog!$AN$2:$AN$188,MATCH($A8,Backlog!$A$2:$A$188,0)))</f>
        <v/>
      </c>
    </row>
    <row r="9" spans="1:10" ht="26.1" customHeight="1">
      <c r="A9" s="38" t="s">
        <v>211</v>
      </c>
      <c r="B9" s="38" t="str">
        <f>IF(INDEX(Backlog!$B$2:$B$188,MATCH($A9,Backlog!$A$2:$A$188,0))="","",INDEX(Backlog!$B$2:$B$188,MATCH($A9,Backlog!$A$2:$A$188,0)))</f>
        <v>M2</v>
      </c>
      <c r="C9" s="38" t="str">
        <f>IF(INDEX(Backlog!$C$2:$C$188,MATCH($A9,Backlog!$A$2:$A$188,0))="","",INDEX(Backlog!$C$2:$C$188,MATCH($A9,Backlog!$A$2:$A$188,0)))</f>
        <v>P1</v>
      </c>
      <c r="D9" s="38" t="str">
        <f>IF(INDEX(Backlog!$L$2:$L$188,MATCH($A9,Backlog!$A$2:$A$188,0))="","",INDEX(Backlog!$L$2:$L$188,MATCH($A9,Backlog!$A$2:$A$188,0)))</f>
        <v>Worker 1</v>
      </c>
      <c r="E9" s="70" t="str">
        <f>IF(INDEX(Backlog!$K$2:$K$188,MATCH($A9,Backlog!$A$2:$A$188,0))="","",INDEX(Backlog!$K$2:$K$188,MATCH($A9,Backlog!$A$2:$A$188,0)))</f>
        <v>Done</v>
      </c>
      <c r="F9" s="38">
        <f>IF(ISNUMBER(INDEX(Backlog!$AT$2:$AT$188,MATCH($A9,Backlog!$A$2:$A$188,0))),INDEX(Backlog!$AT$2:$AT$188,MATCH($A9,Backlog!$A$2:$A$188,0)),"")</f>
        <v>0.89999999999999991</v>
      </c>
      <c r="G9" s="38" t="str">
        <f>IF(INDEX(Backlog!$M$2:$M$188,MATCH($A9,Backlog!$A$2:$A$188,0))="","",INDEX(Backlog!$M$2:$M$188,MATCH($A9,Backlog!$A$2:$A$188,0)))</f>
        <v>T-092; T-206</v>
      </c>
      <c r="H9" s="38" t="str">
        <f>IF(INDEX(Backlog!$N$2:$N$188,MATCH($A9,Backlog!$A$2:$A$188,0))="","",INDEX(Backlog!$N$2:$N$188,MATCH($A9,Backlog!$A$2:$A$188,0)))</f>
        <v>T-094; T-128; T-183</v>
      </c>
      <c r="I9" s="38" t="str">
        <f>IF(INDEX(Backlog!$T$2:$T$188,MATCH($A9,Backlog!$A$2:$A$188,0))="","",INDEX(Backlog!$T$2:$T$188,MATCH($A9,Backlog!$A$2:$A$188,0)))</f>
        <v>CLOSED BASELINE — no new start gate and no re-execution implied. Preserve accepted closure and clean owned scope; reopen only on a concrete, separately recorded regression. Downstream consumes the frozen contract.</v>
      </c>
      <c r="J9" s="32" t="str">
        <f>IF(INDEX(Backlog!$AN$2:$AN$188,MATCH($A9,Backlog!$A$2:$A$188,0))="","",INDEX(Backlog!$AN$2:$AN$188,MATCH($A9,Backlog!$A$2:$A$188,0)))</f>
        <v/>
      </c>
    </row>
    <row r="10" spans="1:10" ht="26.1" customHeight="1">
      <c r="A10" s="38" t="s">
        <v>219</v>
      </c>
      <c r="B10" s="38" t="str">
        <f>IF(INDEX(Backlog!$B$2:$B$188,MATCH($A10,Backlog!$A$2:$A$188,0))="","",INDEX(Backlog!$B$2:$B$188,MATCH($A10,Backlog!$A$2:$A$188,0)))</f>
        <v>M2</v>
      </c>
      <c r="C10" s="38" t="str">
        <f>IF(INDEX(Backlog!$C$2:$C$188,MATCH($A10,Backlog!$A$2:$A$188,0))="","",INDEX(Backlog!$C$2:$C$188,MATCH($A10,Backlog!$A$2:$A$188,0)))</f>
        <v>P1</v>
      </c>
      <c r="D10" s="38" t="str">
        <f>IF(INDEX(Backlog!$L$2:$L$188,MATCH($A10,Backlog!$A$2:$A$188,0))="","",INDEX(Backlog!$L$2:$L$188,MATCH($A10,Backlog!$A$2:$A$188,0)))</f>
        <v>Worker 1</v>
      </c>
      <c r="E10" s="70" t="str">
        <f>IF(INDEX(Backlog!$K$2:$K$188,MATCH($A10,Backlog!$A$2:$A$188,0))="","",INDEX(Backlog!$K$2:$K$188,MATCH($A10,Backlog!$A$2:$A$188,0)))</f>
        <v>Done</v>
      </c>
      <c r="F10" s="38">
        <f>IF(ISNUMBER(INDEX(Backlog!$AT$2:$AT$188,MATCH($A10,Backlog!$A$2:$A$188,0))),INDEX(Backlog!$AT$2:$AT$188,MATCH($A10,Backlog!$A$2:$A$188,0)),"")</f>
        <v>3.6</v>
      </c>
      <c r="G10" s="38" t="str">
        <f>IF(INDEX(Backlog!$M$2:$M$188,MATCH($A10,Backlog!$A$2:$A$188,0))="","",INDEX(Backlog!$M$2:$M$188,MATCH($A10,Backlog!$A$2:$A$188,0)))</f>
        <v>T-092; T-093; T-209</v>
      </c>
      <c r="H10" s="38" t="str">
        <f>IF(INDEX(Backlog!$N$2:$N$188,MATCH($A10,Backlog!$A$2:$A$188,0))="","",INDEX(Backlog!$N$2:$N$188,MATCH($A10,Backlog!$A$2:$A$188,0)))</f>
        <v>T-095; T-128; T-183; T-196; T-253; T-256; T-258</v>
      </c>
      <c r="I10" s="38" t="str">
        <f>IF(INDEX(Backlog!$T$2:$T$188,MATCH($A10,Backlog!$A$2:$A$188,0))="","",INDEX(Backlog!$T$2:$T$188,MATCH($A10,Backlog!$A$2:$A$188,0)))</f>
        <v>CLOSED BASELINE — no new start gate and no re-execution implied. Preserve accepted closure and clean owned scope; reopen only on a concrete, separately recorded regression. Downstream consumes the frozen contract.</v>
      </c>
      <c r="J10" s="32" t="str">
        <f>IF(INDEX(Backlog!$AN$2:$AN$188,MATCH($A10,Backlog!$A$2:$A$188,0))="","",INDEX(Backlog!$AN$2:$AN$188,MATCH($A10,Backlog!$A$2:$A$188,0)))</f>
        <v/>
      </c>
    </row>
    <row r="11" spans="1:10" ht="26.1" customHeight="1">
      <c r="A11" s="38" t="s">
        <v>118</v>
      </c>
      <c r="B11" s="38" t="str">
        <f>IF(INDEX(Backlog!$B$2:$B$188,MATCH($A11,Backlog!$A$2:$A$188,0))="","",INDEX(Backlog!$B$2:$B$188,MATCH($A11,Backlog!$A$2:$A$188,0)))</f>
        <v>M2</v>
      </c>
      <c r="C11" s="38" t="str">
        <f>IF(INDEX(Backlog!$C$2:$C$188,MATCH($A11,Backlog!$A$2:$A$188,0))="","",INDEX(Backlog!$C$2:$C$188,MATCH($A11,Backlog!$A$2:$A$188,0)))</f>
        <v>P1</v>
      </c>
      <c r="D11" s="38" t="str">
        <f>IF(INDEX(Backlog!$L$2:$L$188,MATCH($A11,Backlog!$A$2:$A$188,0))="","",INDEX(Backlog!$L$2:$L$188,MATCH($A11,Backlog!$A$2:$A$188,0)))</f>
        <v>Worker 1</v>
      </c>
      <c r="E11" s="70" t="str">
        <f>IF(INDEX(Backlog!$K$2:$K$188,MATCH($A11,Backlog!$A$2:$A$188,0))="","",INDEX(Backlog!$K$2:$K$188,MATCH($A11,Backlog!$A$2:$A$188,0)))</f>
        <v>Done</v>
      </c>
      <c r="F11" s="38">
        <f>IF(ISNUMBER(INDEX(Backlog!$AT$2:$AT$188,MATCH($A11,Backlog!$A$2:$A$188,0))),INDEX(Backlog!$AT$2:$AT$188,MATCH($A11,Backlog!$A$2:$A$188,0)),"")</f>
        <v>1.5</v>
      </c>
      <c r="G11" s="38" t="str">
        <f>IF(INDEX(Backlog!$M$2:$M$188,MATCH($A11,Backlog!$A$2:$A$188,0))="","",INDEX(Backlog!$M$2:$M$188,MATCH($A11,Backlog!$A$2:$A$188,0)))</f>
        <v/>
      </c>
      <c r="H11" s="38" t="str">
        <f>IF(INDEX(Backlog!$N$2:$N$188,MATCH($A11,Backlog!$A$2:$A$188,0))="","",INDEX(Backlog!$N$2:$N$188,MATCH($A11,Backlog!$A$2:$A$188,0)))</f>
        <v>T-086; T-202; T-203; T-204; T-205; T-206; T-207; T-208; T-213; T-241</v>
      </c>
      <c r="I11" s="38" t="str">
        <f>IF(INDEX(Backlog!$T$2:$T$188,MATCH($A11,Backlog!$A$2:$A$188,0))="","",INDEX(Backlog!$T$2:$T$188,MATCH($A11,Backlog!$A$2:$A$188,0)))</f>
        <v>CLOSED BASELINE — no new start gate and no re-execution implied. Preserve accepted closure and clean owned scope; reopen only on a concrete, separately recorded regression. Downstream consumes the frozen contract.</v>
      </c>
      <c r="J11" s="32" t="str">
        <f>IF(INDEX(Backlog!$AN$2:$AN$188,MATCH($A11,Backlog!$A$2:$A$188,0))="","",INDEX(Backlog!$AN$2:$AN$188,MATCH($A11,Backlog!$A$2:$A$188,0)))</f>
        <v/>
      </c>
    </row>
    <row r="12" spans="1:10" ht="26.1" customHeight="1">
      <c r="A12" s="38" t="s">
        <v>239</v>
      </c>
      <c r="B12" s="38" t="str">
        <f>IF(INDEX(Backlog!$B$2:$B$188,MATCH($A12,Backlog!$A$2:$A$188,0))="","",INDEX(Backlog!$B$2:$B$188,MATCH($A12,Backlog!$A$2:$A$188,0)))</f>
        <v>M2</v>
      </c>
      <c r="C12" s="38" t="str">
        <f>IF(INDEX(Backlog!$C$2:$C$188,MATCH($A12,Backlog!$A$2:$A$188,0))="","",INDEX(Backlog!$C$2:$C$188,MATCH($A12,Backlog!$A$2:$A$188,0)))</f>
        <v>P1</v>
      </c>
      <c r="D12" s="38" t="str">
        <f>IF(INDEX(Backlog!$L$2:$L$188,MATCH($A12,Backlog!$A$2:$A$188,0))="","",INDEX(Backlog!$L$2:$L$188,MATCH($A12,Backlog!$A$2:$A$188,0)))</f>
        <v>Worker 2</v>
      </c>
      <c r="E12" s="70" t="str">
        <f>IF(INDEX(Backlog!$K$2:$K$188,MATCH($A12,Backlog!$A$2:$A$188,0))="","",INDEX(Backlog!$K$2:$K$188,MATCH($A12,Backlog!$A$2:$A$188,0)))</f>
        <v>Done</v>
      </c>
      <c r="F12" s="38">
        <f>IF(ISNUMBER(INDEX(Backlog!$AT$2:$AT$188,MATCH($A12,Backlog!$A$2:$A$188,0))),INDEX(Backlog!$AT$2:$AT$188,MATCH($A12,Backlog!$A$2:$A$188,0)),"")</f>
        <v>4</v>
      </c>
      <c r="G12" s="38" t="str">
        <f>IF(INDEX(Backlog!$M$2:$M$188,MATCH($A12,Backlog!$A$2:$A$188,0))="","",INDEX(Backlog!$M$2:$M$188,MATCH($A12,Backlog!$A$2:$A$188,0)))</f>
        <v>T-201</v>
      </c>
      <c r="H12" s="38" t="str">
        <f>IF(INDEX(Backlog!$N$2:$N$188,MATCH($A12,Backlog!$A$2:$A$188,0))="","",INDEX(Backlog!$N$2:$N$188,MATCH($A12,Backlog!$A$2:$A$188,0)))</f>
        <v>T-212; T-248</v>
      </c>
      <c r="I12" s="38" t="str">
        <f>IF(INDEX(Backlog!$T$2:$T$188,MATCH($A12,Backlog!$A$2:$A$188,0))="","",INDEX(Backlog!$T$2:$T$188,MATCH($A12,Backlog!$A$2:$A$188,0)))</f>
        <v>CLOSED BASELINE — no new start gate and no re-execution implied. Preserve accepted closure and clean owned scope; reopen only on a concrete, separately recorded regression. Downstream consumes the frozen contract.</v>
      </c>
      <c r="J12" s="32" t="str">
        <f>IF(INDEX(Backlog!$AN$2:$AN$188,MATCH($A12,Backlog!$A$2:$A$188,0))="","",INDEX(Backlog!$AN$2:$AN$188,MATCH($A12,Backlog!$A$2:$A$188,0)))</f>
        <v/>
      </c>
    </row>
    <row r="13" spans="1:10" ht="26.1" customHeight="1">
      <c r="A13" s="38" t="s">
        <v>252</v>
      </c>
      <c r="B13" s="38" t="str">
        <f>IF(INDEX(Backlog!$B$2:$B$188,MATCH($A13,Backlog!$A$2:$A$188,0))="","",INDEX(Backlog!$B$2:$B$188,MATCH($A13,Backlog!$A$2:$A$188,0)))</f>
        <v>M2</v>
      </c>
      <c r="C13" s="38" t="str">
        <f>IF(INDEX(Backlog!$C$2:$C$188,MATCH($A13,Backlog!$A$2:$A$188,0))="","",INDEX(Backlog!$C$2:$C$188,MATCH($A13,Backlog!$A$2:$A$188,0)))</f>
        <v>P1</v>
      </c>
      <c r="D13" s="38" t="str">
        <f>IF(INDEX(Backlog!$L$2:$L$188,MATCH($A13,Backlog!$A$2:$A$188,0))="","",INDEX(Backlog!$L$2:$L$188,MATCH($A13,Backlog!$A$2:$A$188,0)))</f>
        <v>Worker 2</v>
      </c>
      <c r="E13" s="70" t="str">
        <f>IF(INDEX(Backlog!$K$2:$K$188,MATCH($A13,Backlog!$A$2:$A$188,0))="","",INDEX(Backlog!$K$2:$K$188,MATCH($A13,Backlog!$A$2:$A$188,0)))</f>
        <v>Done</v>
      </c>
      <c r="F13" s="38">
        <f>IF(ISNUMBER(INDEX(Backlog!$AT$2:$AT$188,MATCH($A13,Backlog!$A$2:$A$188,0))),INDEX(Backlog!$AT$2:$AT$188,MATCH($A13,Backlog!$A$2:$A$188,0)),"")</f>
        <v>4</v>
      </c>
      <c r="G13" s="38" t="str">
        <f>IF(INDEX(Backlog!$M$2:$M$188,MATCH($A13,Backlog!$A$2:$A$188,0))="","",INDEX(Backlog!$M$2:$M$188,MATCH($A13,Backlog!$A$2:$A$188,0)))</f>
        <v>T-201</v>
      </c>
      <c r="H13" s="38" t="str">
        <f>IF(INDEX(Backlog!$N$2:$N$188,MATCH($A13,Backlog!$A$2:$A$188,0))="","",INDEX(Backlog!$N$2:$N$188,MATCH($A13,Backlog!$A$2:$A$188,0)))</f>
        <v>T-222; T-248</v>
      </c>
      <c r="I13" s="38" t="str">
        <f>IF(INDEX(Backlog!$T$2:$T$188,MATCH($A13,Backlog!$A$2:$A$188,0))="","",INDEX(Backlog!$T$2:$T$188,MATCH($A13,Backlog!$A$2:$A$188,0)))</f>
        <v>CLOSED BASELINE — no new start gate and no re-execution implied. Preserve accepted closure and clean owned scope; reopen only on a concrete, separately recorded regression. Downstream consumes the frozen contract.</v>
      </c>
      <c r="J13" s="32" t="str">
        <f>IF(INDEX(Backlog!$AN$2:$AN$188,MATCH($A13,Backlog!$A$2:$A$188,0))="","",INDEX(Backlog!$AN$2:$AN$188,MATCH($A13,Backlog!$A$2:$A$188,0)))</f>
        <v/>
      </c>
    </row>
    <row r="14" spans="1:10" ht="26.1" customHeight="1">
      <c r="A14" s="38" t="s">
        <v>262</v>
      </c>
      <c r="B14" s="38" t="str">
        <f>IF(INDEX(Backlog!$B$2:$B$188,MATCH($A14,Backlog!$A$2:$A$188,0))="","",INDEX(Backlog!$B$2:$B$188,MATCH($A14,Backlog!$A$2:$A$188,0)))</f>
        <v>M2</v>
      </c>
      <c r="C14" s="38" t="str">
        <f>IF(INDEX(Backlog!$C$2:$C$188,MATCH($A14,Backlog!$A$2:$A$188,0))="","",INDEX(Backlog!$C$2:$C$188,MATCH($A14,Backlog!$A$2:$A$188,0)))</f>
        <v>P1</v>
      </c>
      <c r="D14" s="38" t="str">
        <f>IF(INDEX(Backlog!$L$2:$L$188,MATCH($A14,Backlog!$A$2:$A$188,0))="","",INDEX(Backlog!$L$2:$L$188,MATCH($A14,Backlog!$A$2:$A$188,0)))</f>
        <v>Worker 2</v>
      </c>
      <c r="E14" s="70" t="str">
        <f>IF(INDEX(Backlog!$K$2:$K$188,MATCH($A14,Backlog!$A$2:$A$188,0))="","",INDEX(Backlog!$K$2:$K$188,MATCH($A14,Backlog!$A$2:$A$188,0)))</f>
        <v>Done</v>
      </c>
      <c r="F14" s="38">
        <f>IF(ISNUMBER(INDEX(Backlog!$AT$2:$AT$188,MATCH($A14,Backlog!$A$2:$A$188,0))),INDEX(Backlog!$AT$2:$AT$188,MATCH($A14,Backlog!$A$2:$A$188,0)),"")</f>
        <v>4.25</v>
      </c>
      <c r="G14" s="38" t="str">
        <f>IF(INDEX(Backlog!$M$2:$M$188,MATCH($A14,Backlog!$A$2:$A$188,0))="","",INDEX(Backlog!$M$2:$M$188,MATCH($A14,Backlog!$A$2:$A$188,0)))</f>
        <v>T-201</v>
      </c>
      <c r="H14" s="38" t="str">
        <f>IF(INDEX(Backlog!$N$2:$N$188,MATCH($A14,Backlog!$A$2:$A$188,0))="","",INDEX(Backlog!$N$2:$N$188,MATCH($A14,Backlog!$A$2:$A$188,0)))</f>
        <v>T-222; T-248</v>
      </c>
      <c r="I14" s="38" t="str">
        <f>IF(INDEX(Backlog!$T$2:$T$188,MATCH($A14,Backlog!$A$2:$A$188,0))="","",INDEX(Backlog!$T$2:$T$188,MATCH($A14,Backlog!$A$2:$A$188,0)))</f>
        <v>CLOSED BASELINE — no new start gate and no re-execution implied. Preserve accepted closure and clean owned scope; reopen only on a concrete, separately recorded regression. Downstream consumes the frozen contract.</v>
      </c>
      <c r="J14" s="32" t="str">
        <f>IF(INDEX(Backlog!$AN$2:$AN$188,MATCH($A14,Backlog!$A$2:$A$188,0))="","",INDEX(Backlog!$AN$2:$AN$188,MATCH($A14,Backlog!$A$2:$A$188,0)))</f>
        <v/>
      </c>
    </row>
    <row r="15" spans="1:10" ht="26.1" customHeight="1">
      <c r="A15" s="38" t="s">
        <v>274</v>
      </c>
      <c r="B15" s="38" t="str">
        <f>IF(INDEX(Backlog!$B$2:$B$188,MATCH($A15,Backlog!$A$2:$A$188,0))="","",INDEX(Backlog!$B$2:$B$188,MATCH($A15,Backlog!$A$2:$A$188,0)))</f>
        <v>M2</v>
      </c>
      <c r="C15" s="38" t="str">
        <f>IF(INDEX(Backlog!$C$2:$C$188,MATCH($A15,Backlog!$A$2:$A$188,0))="","",INDEX(Backlog!$C$2:$C$188,MATCH($A15,Backlog!$A$2:$A$188,0)))</f>
        <v>P1</v>
      </c>
      <c r="D15" s="38" t="str">
        <f>IF(INDEX(Backlog!$L$2:$L$188,MATCH($A15,Backlog!$A$2:$A$188,0))="","",INDEX(Backlog!$L$2:$L$188,MATCH($A15,Backlog!$A$2:$A$188,0)))</f>
        <v>Worker 2</v>
      </c>
      <c r="E15" s="70" t="str">
        <f>IF(INDEX(Backlog!$K$2:$K$188,MATCH($A15,Backlog!$A$2:$A$188,0))="","",INDEX(Backlog!$K$2:$K$188,MATCH($A15,Backlog!$A$2:$A$188,0)))</f>
        <v>Done</v>
      </c>
      <c r="F15" s="38">
        <f>IF(ISNUMBER(INDEX(Backlog!$AT$2:$AT$188,MATCH($A15,Backlog!$A$2:$A$188,0))),INDEX(Backlog!$AT$2:$AT$188,MATCH($A15,Backlog!$A$2:$A$188,0)),"")</f>
        <v>3.2</v>
      </c>
      <c r="G15" s="38" t="str">
        <f>IF(INDEX(Backlog!$M$2:$M$188,MATCH($A15,Backlog!$A$2:$A$188,0))="","",INDEX(Backlog!$M$2:$M$188,MATCH($A15,Backlog!$A$2:$A$188,0)))</f>
        <v>T-201</v>
      </c>
      <c r="H15" s="38" t="str">
        <f>IF(INDEX(Backlog!$N$2:$N$188,MATCH($A15,Backlog!$A$2:$A$188,0))="","",INDEX(Backlog!$N$2:$N$188,MATCH($A15,Backlog!$A$2:$A$188,0)))</f>
        <v>T-150; T-248; T-250; T-255; T-257</v>
      </c>
      <c r="I15" s="38" t="str">
        <f>IF(INDEX(Backlog!$T$2:$T$188,MATCH($A15,Backlog!$A$2:$A$188,0))="","",INDEX(Backlog!$T$2:$T$188,MATCH($A15,Backlog!$A$2:$A$188,0)))</f>
        <v>CLOSED BASELINE — no new start gate and no re-execution implied. Preserve accepted closure and clean owned scope; reopen only on a concrete, separately recorded regression. Downstream consumes the frozen contract.</v>
      </c>
      <c r="J15" s="32" t="str">
        <f>IF(INDEX(Backlog!$AN$2:$AN$188,MATCH($A15,Backlog!$A$2:$A$188,0))="","",INDEX(Backlog!$AN$2:$AN$188,MATCH($A15,Backlog!$A$2:$A$188,0)))</f>
        <v/>
      </c>
    </row>
    <row r="16" spans="1:10" ht="26.1" customHeight="1">
      <c r="A16" s="38" t="s">
        <v>287</v>
      </c>
      <c r="B16" s="38" t="str">
        <f>IF(INDEX(Backlog!$B$2:$B$188,MATCH($A16,Backlog!$A$2:$A$188,0))="","",INDEX(Backlog!$B$2:$B$188,MATCH($A16,Backlog!$A$2:$A$188,0)))</f>
        <v>M2</v>
      </c>
      <c r="C16" s="38" t="str">
        <f>IF(INDEX(Backlog!$C$2:$C$188,MATCH($A16,Backlog!$A$2:$A$188,0))="","",INDEX(Backlog!$C$2:$C$188,MATCH($A16,Backlog!$A$2:$A$188,0)))</f>
        <v>P1</v>
      </c>
      <c r="D16" s="38" t="str">
        <f>IF(INDEX(Backlog!$L$2:$L$188,MATCH($A16,Backlog!$A$2:$A$188,0))="","",INDEX(Backlog!$L$2:$L$188,MATCH($A16,Backlog!$A$2:$A$188,0)))</f>
        <v>Worker 3</v>
      </c>
      <c r="E16" s="70" t="str">
        <f>IF(INDEX(Backlog!$K$2:$K$188,MATCH($A16,Backlog!$A$2:$A$188,0))="","",INDEX(Backlog!$K$2:$K$188,MATCH($A16,Backlog!$A$2:$A$188,0)))</f>
        <v>Done</v>
      </c>
      <c r="F16" s="38">
        <f>IF(ISNUMBER(INDEX(Backlog!$AT$2:$AT$188,MATCH($A16,Backlog!$A$2:$A$188,0))),INDEX(Backlog!$AT$2:$AT$188,MATCH($A16,Backlog!$A$2:$A$188,0)),"")</f>
        <v>2</v>
      </c>
      <c r="G16" s="38" t="str">
        <f>IF(INDEX(Backlog!$M$2:$M$188,MATCH($A16,Backlog!$A$2:$A$188,0))="","",INDEX(Backlog!$M$2:$M$188,MATCH($A16,Backlog!$A$2:$A$188,0)))</f>
        <v>T-201</v>
      </c>
      <c r="H16" s="38" t="str">
        <f>IF(INDEX(Backlog!$N$2:$N$188,MATCH($A16,Backlog!$A$2:$A$188,0))="","",INDEX(Backlog!$N$2:$N$188,MATCH($A16,Backlog!$A$2:$A$188,0)))</f>
        <v>T-093; T-213</v>
      </c>
      <c r="I16" s="38" t="str">
        <f>IF(INDEX(Backlog!$T$2:$T$188,MATCH($A16,Backlog!$A$2:$A$188,0))="","",INDEX(Backlog!$T$2:$T$188,MATCH($A16,Backlog!$A$2:$A$188,0)))</f>
        <v>CLOSED BASELINE — no new start gate and no re-execution implied. Preserve accepted closure and clean owned scope; reopen only on a concrete, separately recorded regression. Downstream consumes the frozen contract.</v>
      </c>
      <c r="J16" s="32" t="str">
        <f>IF(INDEX(Backlog!$AN$2:$AN$188,MATCH($A16,Backlog!$A$2:$A$188,0))="","",INDEX(Backlog!$AN$2:$AN$188,MATCH($A16,Backlog!$A$2:$A$188,0)))</f>
        <v/>
      </c>
    </row>
    <row r="17" spans="1:10" ht="26.1" customHeight="1">
      <c r="A17" s="38" t="s">
        <v>299</v>
      </c>
      <c r="B17" s="38" t="str">
        <f>IF(INDEX(Backlog!$B$2:$B$188,MATCH($A17,Backlog!$A$2:$A$188,0))="","",INDEX(Backlog!$B$2:$B$188,MATCH($A17,Backlog!$A$2:$A$188,0)))</f>
        <v>M2</v>
      </c>
      <c r="C17" s="38" t="str">
        <f>IF(INDEX(Backlog!$C$2:$C$188,MATCH($A17,Backlog!$A$2:$A$188,0))="","",INDEX(Backlog!$C$2:$C$188,MATCH($A17,Backlog!$A$2:$A$188,0)))</f>
        <v>P1</v>
      </c>
      <c r="D17" s="38" t="str">
        <f>IF(INDEX(Backlog!$L$2:$L$188,MATCH($A17,Backlog!$A$2:$A$188,0))="","",INDEX(Backlog!$L$2:$L$188,MATCH($A17,Backlog!$A$2:$A$188,0)))</f>
        <v>Worker 3</v>
      </c>
      <c r="E17" s="70" t="str">
        <f>IF(INDEX(Backlog!$K$2:$K$188,MATCH($A17,Backlog!$A$2:$A$188,0))="","",INDEX(Backlog!$K$2:$K$188,MATCH($A17,Backlog!$A$2:$A$188,0)))</f>
        <v>Done</v>
      </c>
      <c r="F17" s="38">
        <f>IF(ISNUMBER(INDEX(Backlog!$AT$2:$AT$188,MATCH($A17,Backlog!$A$2:$A$188,0))),INDEX(Backlog!$AT$2:$AT$188,MATCH($A17,Backlog!$A$2:$A$188,0)),"")</f>
        <v>2.5</v>
      </c>
      <c r="G17" s="38" t="str">
        <f>IF(INDEX(Backlog!$M$2:$M$188,MATCH($A17,Backlog!$A$2:$A$188,0))="","",INDEX(Backlog!$M$2:$M$188,MATCH($A17,Backlog!$A$2:$A$188,0)))</f>
        <v>T-201</v>
      </c>
      <c r="H17" s="38" t="str">
        <f>IF(INDEX(Backlog!$N$2:$N$188,MATCH($A17,Backlog!$A$2:$A$188,0))="","",INDEX(Backlog!$N$2:$N$188,MATCH($A17,Backlog!$A$2:$A$188,0)))</f>
        <v>T-209; T-211; T-216; T-217; T-218; T-234; T-238</v>
      </c>
      <c r="I17" s="38" t="str">
        <f>IF(INDEX(Backlog!$T$2:$T$188,MATCH($A17,Backlog!$A$2:$A$188,0))="","",INDEX(Backlog!$T$2:$T$188,MATCH($A17,Backlog!$A$2:$A$188,0)))</f>
        <v>CLOSED BASELINE — no new start gate and no re-execution implied. Preserve accepted closure and clean owned scope; reopen only on a concrete, separately recorded regression. Downstream consumes the frozen contract.</v>
      </c>
      <c r="J17" s="32" t="str">
        <f>IF(INDEX(Backlog!$AN$2:$AN$188,MATCH($A17,Backlog!$A$2:$A$188,0))="","",INDEX(Backlog!$AN$2:$AN$188,MATCH($A17,Backlog!$A$2:$A$188,0)))</f>
        <v/>
      </c>
    </row>
    <row r="18" spans="1:10" ht="26.1" customHeight="1">
      <c r="A18" s="38" t="s">
        <v>309</v>
      </c>
      <c r="B18" s="38" t="str">
        <f>IF(INDEX(Backlog!$B$2:$B$188,MATCH($A18,Backlog!$A$2:$A$188,0))="","",INDEX(Backlog!$B$2:$B$188,MATCH($A18,Backlog!$A$2:$A$188,0)))</f>
        <v>M2</v>
      </c>
      <c r="C18" s="38" t="str">
        <f>IF(INDEX(Backlog!$C$2:$C$188,MATCH($A18,Backlog!$A$2:$A$188,0))="","",INDEX(Backlog!$C$2:$C$188,MATCH($A18,Backlog!$A$2:$A$188,0)))</f>
        <v>P1</v>
      </c>
      <c r="D18" s="38" t="str">
        <f>IF(INDEX(Backlog!$L$2:$L$188,MATCH($A18,Backlog!$A$2:$A$188,0))="","",INDEX(Backlog!$L$2:$L$188,MATCH($A18,Backlog!$A$2:$A$188,0)))</f>
        <v>Worker 3</v>
      </c>
      <c r="E18" s="70" t="str">
        <f>IF(INDEX(Backlog!$K$2:$K$188,MATCH($A18,Backlog!$A$2:$A$188,0))="","",INDEX(Backlog!$K$2:$K$188,MATCH($A18,Backlog!$A$2:$A$188,0)))</f>
        <v>Done</v>
      </c>
      <c r="F18" s="38">
        <f>IF(ISNUMBER(INDEX(Backlog!$AT$2:$AT$188,MATCH($A18,Backlog!$A$2:$A$188,0))),INDEX(Backlog!$AT$2:$AT$188,MATCH($A18,Backlog!$A$2:$A$188,0)),"")</f>
        <v>1.5</v>
      </c>
      <c r="G18" s="38" t="str">
        <f>IF(INDEX(Backlog!$M$2:$M$188,MATCH($A18,Backlog!$A$2:$A$188,0))="","",INDEX(Backlog!$M$2:$M$188,MATCH($A18,Backlog!$A$2:$A$188,0)))</f>
        <v>T-208</v>
      </c>
      <c r="H18" s="38" t="str">
        <f>IF(INDEX(Backlog!$N$2:$N$188,MATCH($A18,Backlog!$A$2:$A$188,0))="","",INDEX(Backlog!$N$2:$N$188,MATCH($A18,Backlog!$A$2:$A$188,0)))</f>
        <v>T-094; T-210; T-214; T-231; T-234; T-253</v>
      </c>
      <c r="I18" s="38" t="str">
        <f>IF(INDEX(Backlog!$T$2:$T$188,MATCH($A18,Backlog!$A$2:$A$188,0))="","",INDEX(Backlog!$T$2:$T$188,MATCH($A18,Backlog!$A$2:$A$188,0)))</f>
        <v>CLOSED BASELINE — no new start gate and no re-execution implied. Preserve accepted closure and clean owned scope; reopen only on a concrete, separately recorded regression. Downstream consumes the frozen contract.</v>
      </c>
      <c r="J18" s="32" t="str">
        <f>IF(INDEX(Backlog!$AN$2:$AN$188,MATCH($A18,Backlog!$A$2:$A$188,0))="","",INDEX(Backlog!$AN$2:$AN$188,MATCH($A18,Backlog!$A$2:$A$188,0)))</f>
        <v/>
      </c>
    </row>
    <row r="19" spans="1:10" ht="26.1" customHeight="1">
      <c r="A19" s="38" t="s">
        <v>322</v>
      </c>
      <c r="B19" s="38" t="str">
        <f>IF(INDEX(Backlog!$B$2:$B$188,MATCH($A19,Backlog!$A$2:$A$188,0))="","",INDEX(Backlog!$B$2:$B$188,MATCH($A19,Backlog!$A$2:$A$188,0)))</f>
        <v>M2</v>
      </c>
      <c r="C19" s="38" t="str">
        <f>IF(INDEX(Backlog!$C$2:$C$188,MATCH($A19,Backlog!$A$2:$A$188,0))="","",INDEX(Backlog!$C$2:$C$188,MATCH($A19,Backlog!$A$2:$A$188,0)))</f>
        <v>P1</v>
      </c>
      <c r="D19" s="38" t="str">
        <f>IF(INDEX(Backlog!$L$2:$L$188,MATCH($A19,Backlog!$A$2:$A$188,0))="","",INDEX(Backlog!$L$2:$L$188,MATCH($A19,Backlog!$A$2:$A$188,0)))</f>
        <v>Worker 1</v>
      </c>
      <c r="E19" s="70" t="str">
        <f>IF(INDEX(Backlog!$K$2:$K$188,MATCH($A19,Backlog!$A$2:$A$188,0))="","",INDEX(Backlog!$K$2:$K$188,MATCH($A19,Backlog!$A$2:$A$188,0)))</f>
        <v>Done</v>
      </c>
      <c r="F19" s="38">
        <f>IF(ISNUMBER(INDEX(Backlog!$AT$2:$AT$188,MATCH($A19,Backlog!$A$2:$A$188,0))),INDEX(Backlog!$AT$2:$AT$188,MATCH($A19,Backlog!$A$2:$A$188,0)),"")</f>
        <v>5.0999999999999996</v>
      </c>
      <c r="G19" s="38" t="str">
        <f>IF(INDEX(Backlog!$M$2:$M$188,MATCH($A19,Backlog!$A$2:$A$188,0))="","",INDEX(Backlog!$M$2:$M$188,MATCH($A19,Backlog!$A$2:$A$188,0)))</f>
        <v>T-090; T-209</v>
      </c>
      <c r="H19" s="38" t="str">
        <f>IF(INDEX(Backlog!$N$2:$N$188,MATCH($A19,Backlog!$A$2:$A$188,0))="","",INDEX(Backlog!$N$2:$N$188,MATCH($A19,Backlog!$A$2:$A$188,0)))</f>
        <v>T-092; T-128; T-211; T-212; T-242</v>
      </c>
      <c r="I19" s="38" t="str">
        <f>IF(INDEX(Backlog!$T$2:$T$188,MATCH($A19,Backlog!$A$2:$A$188,0))="","",INDEX(Backlog!$T$2:$T$188,MATCH($A19,Backlog!$A$2:$A$188,0)))</f>
        <v>CLOSED BASELINE — no new start gate and no re-execution implied. Preserve accepted closure and clean owned scope; reopen only on a concrete, separately recorded regression. Downstream consumes the frozen contract.</v>
      </c>
      <c r="J19" s="32" t="str">
        <f>IF(INDEX(Backlog!$AN$2:$AN$188,MATCH($A19,Backlog!$A$2:$A$188,0))="","",INDEX(Backlog!$AN$2:$AN$188,MATCH($A19,Backlog!$A$2:$A$188,0)))</f>
        <v/>
      </c>
    </row>
    <row r="20" spans="1:10" ht="26.1" customHeight="1">
      <c r="A20" s="38" t="s">
        <v>334</v>
      </c>
      <c r="B20" s="38" t="str">
        <f>IF(INDEX(Backlog!$B$2:$B$188,MATCH($A20,Backlog!$A$2:$A$188,0))="","",INDEX(Backlog!$B$2:$B$188,MATCH($A20,Backlog!$A$2:$A$188,0)))</f>
        <v>M2</v>
      </c>
      <c r="C20" s="38" t="str">
        <f>IF(INDEX(Backlog!$C$2:$C$188,MATCH($A20,Backlog!$A$2:$A$188,0))="","",INDEX(Backlog!$C$2:$C$188,MATCH($A20,Backlog!$A$2:$A$188,0)))</f>
        <v>P1</v>
      </c>
      <c r="D20" s="38" t="str">
        <f>IF(INDEX(Backlog!$L$2:$L$188,MATCH($A20,Backlog!$A$2:$A$188,0))="","",INDEX(Backlog!$L$2:$L$188,MATCH($A20,Backlog!$A$2:$A$188,0)))</f>
        <v>Worker 3</v>
      </c>
      <c r="E20" s="70" t="str">
        <f>IF(INDEX(Backlog!$K$2:$K$188,MATCH($A20,Backlog!$A$2:$A$188,0))="","",INDEX(Backlog!$K$2:$K$188,MATCH($A20,Backlog!$A$2:$A$188,0)))</f>
        <v>Done</v>
      </c>
      <c r="F20" s="38">
        <f>IF(ISNUMBER(INDEX(Backlog!$AT$2:$AT$188,MATCH($A20,Backlog!$A$2:$A$188,0))),INDEX(Backlog!$AT$2:$AT$188,MATCH($A20,Backlog!$A$2:$A$188,0)),"")</f>
        <v>1.25</v>
      </c>
      <c r="G20" s="38" t="str">
        <f>IF(INDEX(Backlog!$M$2:$M$188,MATCH($A20,Backlog!$A$2:$A$188,0))="","",INDEX(Backlog!$M$2:$M$188,MATCH($A20,Backlog!$A$2:$A$188,0)))</f>
        <v>T-208</v>
      </c>
      <c r="H20" s="38" t="str">
        <f>IF(INDEX(Backlog!$N$2:$N$188,MATCH($A20,Backlog!$A$2:$A$188,0))="","",INDEX(Backlog!$N$2:$N$188,MATCH($A20,Backlog!$A$2:$A$188,0)))</f>
        <v>T-200; T-217; T-233</v>
      </c>
      <c r="I20" s="38" t="str">
        <f>IF(INDEX(Backlog!$T$2:$T$188,MATCH($A20,Backlog!$A$2:$A$188,0))="","",INDEX(Backlog!$T$2:$T$188,MATCH($A20,Backlog!$A$2:$A$188,0)))</f>
        <v>CLOSED BASELINE — no new start gate and no re-execution implied. Preserve accepted closure and clean owned scope; reopen only on a concrete, separately recorded regression. Downstream consumes the frozen contract.</v>
      </c>
      <c r="J20" s="32" t="str">
        <f>IF(INDEX(Backlog!$AN$2:$AN$188,MATCH($A20,Backlog!$A$2:$A$188,0))="","",INDEX(Backlog!$AN$2:$AN$188,MATCH($A20,Backlog!$A$2:$A$188,0)))</f>
        <v/>
      </c>
    </row>
    <row r="21" spans="1:10" ht="26.1" customHeight="1">
      <c r="A21" s="38" t="s">
        <v>346</v>
      </c>
      <c r="B21" s="38" t="str">
        <f>IF(INDEX(Backlog!$B$2:$B$188,MATCH($A21,Backlog!$A$2:$A$188,0))="","",INDEX(Backlog!$B$2:$B$188,MATCH($A21,Backlog!$A$2:$A$188,0)))</f>
        <v>M2</v>
      </c>
      <c r="C21" s="38" t="str">
        <f>IF(INDEX(Backlog!$C$2:$C$188,MATCH($A21,Backlog!$A$2:$A$188,0))="","",INDEX(Backlog!$C$2:$C$188,MATCH($A21,Backlog!$A$2:$A$188,0)))</f>
        <v>P1</v>
      </c>
      <c r="D21" s="38" t="str">
        <f>IF(INDEX(Backlog!$L$2:$L$188,MATCH($A21,Backlog!$A$2:$A$188,0))="","",INDEX(Backlog!$L$2:$L$188,MATCH($A21,Backlog!$A$2:$A$188,0)))</f>
        <v>Worker 1</v>
      </c>
      <c r="E21" s="70" t="str">
        <f>IF(INDEX(Backlog!$K$2:$K$188,MATCH($A21,Backlog!$A$2:$A$188,0))="","",INDEX(Backlog!$K$2:$K$188,MATCH($A21,Backlog!$A$2:$A$188,0)))</f>
        <v>Done</v>
      </c>
      <c r="F21" s="38">
        <f>IF(ISNUMBER(INDEX(Backlog!$AT$2:$AT$188,MATCH($A21,Backlog!$A$2:$A$188,0))),INDEX(Backlog!$AT$2:$AT$188,MATCH($A21,Backlog!$A$2:$A$188,0)),"")</f>
        <v>2.5499999999999998</v>
      </c>
      <c r="G21" s="38" t="str">
        <f>IF(INDEX(Backlog!$M$2:$M$188,MATCH($A21,Backlog!$A$2:$A$188,0))="","",INDEX(Backlog!$M$2:$M$188,MATCH($A21,Backlog!$A$2:$A$188,0)))</f>
        <v>T-090; T-209</v>
      </c>
      <c r="H21" s="38" t="str">
        <f>IF(INDEX(Backlog!$N$2:$N$188,MATCH($A21,Backlog!$A$2:$A$188,0))="","",INDEX(Backlog!$N$2:$N$188,MATCH($A21,Backlog!$A$2:$A$188,0)))</f>
        <v>T-092; T-128; T-139; T-232; T-235</v>
      </c>
      <c r="I21" s="38" t="str">
        <f>IF(INDEX(Backlog!$T$2:$T$188,MATCH($A21,Backlog!$A$2:$A$188,0))="","",INDEX(Backlog!$T$2:$T$188,MATCH($A21,Backlog!$A$2:$A$188,0)))</f>
        <v>CLOSED BASELINE — no new start gate and no re-execution implied. Preserve accepted closure and clean owned scope; reopen only on a concrete, separately recorded regression. Downstream consumes the frozen contract.</v>
      </c>
      <c r="J21" s="32" t="str">
        <f>IF(INDEX(Backlog!$AN$2:$AN$188,MATCH($A21,Backlog!$A$2:$A$188,0))="","",INDEX(Backlog!$AN$2:$AN$188,MATCH($A21,Backlog!$A$2:$A$188,0)))</f>
        <v/>
      </c>
    </row>
    <row r="22" spans="1:10" ht="26.1" customHeight="1">
      <c r="A22" s="38" t="s">
        <v>356</v>
      </c>
      <c r="B22" s="38" t="str">
        <f>IF(INDEX(Backlog!$B$2:$B$188,MATCH($A22,Backlog!$A$2:$A$188,0))="","",INDEX(Backlog!$B$2:$B$188,MATCH($A22,Backlog!$A$2:$A$188,0)))</f>
        <v>M2</v>
      </c>
      <c r="C22" s="38" t="str">
        <f>IF(INDEX(Backlog!$C$2:$C$188,MATCH($A22,Backlog!$A$2:$A$188,0))="","",INDEX(Backlog!$C$2:$C$188,MATCH($A22,Backlog!$A$2:$A$188,0)))</f>
        <v>P1</v>
      </c>
      <c r="D22" s="38" t="str">
        <f>IF(INDEX(Backlog!$L$2:$L$188,MATCH($A22,Backlog!$A$2:$A$188,0))="","",INDEX(Backlog!$L$2:$L$188,MATCH($A22,Backlog!$A$2:$A$188,0)))</f>
        <v>Worker 2</v>
      </c>
      <c r="E22" s="70" t="str">
        <f>IF(INDEX(Backlog!$K$2:$K$188,MATCH($A22,Backlog!$A$2:$A$188,0))="","",INDEX(Backlog!$K$2:$K$188,MATCH($A22,Backlog!$A$2:$A$188,0)))</f>
        <v>Done</v>
      </c>
      <c r="F22" s="38">
        <f>IF(ISNUMBER(INDEX(Backlog!$AT$2:$AT$188,MATCH($A22,Backlog!$A$2:$A$188,0))),INDEX(Backlog!$AT$2:$AT$188,MATCH($A22,Backlog!$A$2:$A$188,0)),"")</f>
        <v>2.5</v>
      </c>
      <c r="G22" s="38" t="str">
        <f>IF(INDEX(Backlog!$M$2:$M$188,MATCH($A22,Backlog!$A$2:$A$188,0))="","",INDEX(Backlog!$M$2:$M$188,MATCH($A22,Backlog!$A$2:$A$188,0)))</f>
        <v>T-205</v>
      </c>
      <c r="H22" s="38" t="str">
        <f>IF(INDEX(Backlog!$N$2:$N$188,MATCH($A22,Backlog!$A$2:$A$188,0))="","",INDEX(Backlog!$N$2:$N$188,MATCH($A22,Backlog!$A$2:$A$188,0)))</f>
        <v>T-150; T-255; T-257; T-258</v>
      </c>
      <c r="I22" s="38" t="str">
        <f>IF(INDEX(Backlog!$T$2:$T$188,MATCH($A22,Backlog!$A$2:$A$188,0))="","",INDEX(Backlog!$T$2:$T$188,MATCH($A22,Backlog!$A$2:$A$188,0)))</f>
        <v>CLOSED BASELINE — no new start gate and no re-execution implied. Preserve accepted closure and clean owned scope; reopen only on a concrete, separately recorded regression. Downstream consumes the frozen contract.</v>
      </c>
      <c r="J22" s="32" t="str">
        <f>IF(INDEX(Backlog!$AN$2:$AN$188,MATCH($A22,Backlog!$A$2:$A$188,0))="","",INDEX(Backlog!$AN$2:$AN$188,MATCH($A22,Backlog!$A$2:$A$188,0)))</f>
        <v/>
      </c>
    </row>
    <row r="23" spans="1:10" ht="26.1" customHeight="1">
      <c r="A23" s="38" t="s">
        <v>368</v>
      </c>
      <c r="B23" s="38" t="str">
        <f>IF(INDEX(Backlog!$B$2:$B$188,MATCH($A23,Backlog!$A$2:$A$188,0))="","",INDEX(Backlog!$B$2:$B$188,MATCH($A23,Backlog!$A$2:$A$188,0)))</f>
        <v>M2</v>
      </c>
      <c r="C23" s="38" t="str">
        <f>IF(INDEX(Backlog!$C$2:$C$188,MATCH($A23,Backlog!$A$2:$A$188,0))="","",INDEX(Backlog!$C$2:$C$188,MATCH($A23,Backlog!$A$2:$A$188,0)))</f>
        <v>P1</v>
      </c>
      <c r="D23" s="38" t="str">
        <f>IF(INDEX(Backlog!$L$2:$L$188,MATCH($A23,Backlog!$A$2:$A$188,0))="","",INDEX(Backlog!$L$2:$L$188,MATCH($A23,Backlog!$A$2:$A$188,0)))</f>
        <v>Worker 1</v>
      </c>
      <c r="E23" s="70" t="str">
        <f>IF(INDEX(Backlog!$K$2:$K$188,MATCH($A23,Backlog!$A$2:$A$188,0))="","",INDEX(Backlog!$K$2:$K$188,MATCH($A23,Backlog!$A$2:$A$188,0)))</f>
        <v>Done</v>
      </c>
      <c r="F23" s="38">
        <f>IF(ISNUMBER(INDEX(Backlog!$AT$2:$AT$188,MATCH($A23,Backlog!$A$2:$A$188,0))),INDEX(Backlog!$AT$2:$AT$188,MATCH($A23,Backlog!$A$2:$A$188,0)),"")</f>
        <v>1.8</v>
      </c>
      <c r="G23" s="38" t="str">
        <f>IF(INDEX(Backlog!$M$2:$M$188,MATCH($A23,Backlog!$A$2:$A$188,0))="","",INDEX(Backlog!$M$2:$M$188,MATCH($A23,Backlog!$A$2:$A$188,0)))</f>
        <v>T-087; T-088; T-260</v>
      </c>
      <c r="H23" s="38" t="str">
        <f>IF(INDEX(Backlog!$N$2:$N$188,MATCH($A23,Backlog!$A$2:$A$188,0))="","",INDEX(Backlog!$N$2:$N$188,MATCH($A23,Backlog!$A$2:$A$188,0)))</f>
        <v>T-112; T-150; T-252; T-256; T-259</v>
      </c>
      <c r="I23" s="38" t="str">
        <f>IF(INDEX(Backlog!$T$2:$T$188,MATCH($A23,Backlog!$A$2:$A$188,0))="","",INDEX(Backlog!$T$2:$T$188,MATCH($A23,Backlog!$A$2:$A$188,0)))</f>
        <v>CLOSED BASELINE — no new start gate and no re-execution implied. Preserve accepted closure and clean owned scope; reopen only on a concrete, separately recorded regression. Downstream consumes the frozen contract.</v>
      </c>
      <c r="J23" s="32" t="str">
        <f>IF(INDEX(Backlog!$AN$2:$AN$188,MATCH($A23,Backlog!$A$2:$A$188,0))="","",INDEX(Backlog!$AN$2:$AN$188,MATCH($A23,Backlog!$A$2:$A$188,0)))</f>
        <v/>
      </c>
    </row>
    <row r="24" spans="1:10" ht="26.1" customHeight="1">
      <c r="A24" s="38" t="s">
        <v>381</v>
      </c>
      <c r="B24" s="38" t="str">
        <f>IF(INDEX(Backlog!$B$2:$B$188,MATCH($A24,Backlog!$A$2:$A$188,0))="","",INDEX(Backlog!$B$2:$B$188,MATCH($A24,Backlog!$A$2:$A$188,0)))</f>
        <v>M2</v>
      </c>
      <c r="C24" s="38" t="str">
        <f>IF(INDEX(Backlog!$C$2:$C$188,MATCH($A24,Backlog!$A$2:$A$188,0))="","",INDEX(Backlog!$C$2:$C$188,MATCH($A24,Backlog!$A$2:$A$188,0)))</f>
        <v>P1</v>
      </c>
      <c r="D24" s="38" t="str">
        <f>IF(INDEX(Backlog!$L$2:$L$188,MATCH($A24,Backlog!$A$2:$A$188,0))="","",INDEX(Backlog!$L$2:$L$188,MATCH($A24,Backlog!$A$2:$A$188,0)))</f>
        <v>Worker 1</v>
      </c>
      <c r="E24" s="70" t="str">
        <f>IF(INDEX(Backlog!$K$2:$K$188,MATCH($A24,Backlog!$A$2:$A$188,0))="","",INDEX(Backlog!$K$2:$K$188,MATCH($A24,Backlog!$A$2:$A$188,0)))</f>
        <v>Done</v>
      </c>
      <c r="F24" s="38">
        <f>IF(ISNUMBER(INDEX(Backlog!$AT$2:$AT$188,MATCH($A24,Backlog!$A$2:$A$188,0))),INDEX(Backlog!$AT$2:$AT$188,MATCH($A24,Backlog!$A$2:$A$188,0)),"")</f>
        <v>1.2</v>
      </c>
      <c r="G24" s="38" t="str">
        <f>IF(INDEX(Backlog!$M$2:$M$188,MATCH($A24,Backlog!$A$2:$A$188,0))="","",INDEX(Backlog!$M$2:$M$188,MATCH($A24,Backlog!$A$2:$A$188,0)))</f>
        <v>T-087; T-088; T-251; T-259</v>
      </c>
      <c r="H24" s="38" t="str">
        <f>IF(INDEX(Backlog!$N$2:$N$188,MATCH($A24,Backlog!$A$2:$A$188,0))="","",INDEX(Backlog!$N$2:$N$188,MATCH($A24,Backlog!$A$2:$A$188,0)))</f>
        <v>T-106; T-112; T-150; T-256</v>
      </c>
      <c r="I24" s="38" t="str">
        <f>IF(INDEX(Backlog!$T$2:$T$188,MATCH($A24,Backlog!$A$2:$A$188,0))="","",INDEX(Backlog!$T$2:$T$188,MATCH($A24,Backlog!$A$2:$A$188,0)))</f>
        <v>CLOSED BASELINE — no new start gate and no re-execution implied. Preserve accepted closure and clean owned scope; reopen only on a concrete, separately recorded regression. Downstream consumes the frozen contract.</v>
      </c>
      <c r="J24" s="32" t="str">
        <f>IF(INDEX(Backlog!$AN$2:$AN$188,MATCH($A24,Backlog!$A$2:$A$188,0))="","",INDEX(Backlog!$AN$2:$AN$188,MATCH($A24,Backlog!$A$2:$A$188,0)))</f>
        <v/>
      </c>
    </row>
    <row r="25" spans="1:10" ht="26.1" customHeight="1">
      <c r="A25" s="38" t="s">
        <v>392</v>
      </c>
      <c r="B25" s="38" t="str">
        <f>IF(INDEX(Backlog!$B$2:$B$188,MATCH($A25,Backlog!$A$2:$A$188,0))="","",INDEX(Backlog!$B$2:$B$188,MATCH($A25,Backlog!$A$2:$A$188,0)))</f>
        <v>M2</v>
      </c>
      <c r="C25" s="38" t="str">
        <f>IF(INDEX(Backlog!$C$2:$C$188,MATCH($A25,Backlog!$A$2:$A$188,0))="","",INDEX(Backlog!$C$2:$C$188,MATCH($A25,Backlog!$A$2:$A$188,0)))</f>
        <v>P1</v>
      </c>
      <c r="D25" s="38" t="str">
        <f>IF(INDEX(Backlog!$L$2:$L$188,MATCH($A25,Backlog!$A$2:$A$188,0))="","",INDEX(Backlog!$L$2:$L$188,MATCH($A25,Backlog!$A$2:$A$188,0)))</f>
        <v>Worker 1</v>
      </c>
      <c r="E25" s="70" t="str">
        <f>IF(INDEX(Backlog!$K$2:$K$188,MATCH($A25,Backlog!$A$2:$A$188,0))="","",INDEX(Backlog!$K$2:$K$188,MATCH($A25,Backlog!$A$2:$A$188,0)))</f>
        <v>Done</v>
      </c>
      <c r="F25" s="38">
        <f>IF(ISNUMBER(INDEX(Backlog!$AT$2:$AT$188,MATCH($A25,Backlog!$A$2:$A$188,0))),INDEX(Backlog!$AT$2:$AT$188,MATCH($A25,Backlog!$A$2:$A$188,0)),"")</f>
        <v>3.2</v>
      </c>
      <c r="G25" s="38" t="str">
        <f>IF(INDEX(Backlog!$M$2:$M$188,MATCH($A25,Backlog!$A$2:$A$188,0))="","",INDEX(Backlog!$M$2:$M$188,MATCH($A25,Backlog!$A$2:$A$188,0)))</f>
        <v>T-088; T-094; T-251; T-252; T-253</v>
      </c>
      <c r="H25" s="38" t="str">
        <f>IF(INDEX(Backlog!$N$2:$N$188,MATCH($A25,Backlog!$A$2:$A$188,0))="","",INDEX(Backlog!$N$2:$N$188,MATCH($A25,Backlog!$A$2:$A$188,0)))</f>
        <v>T-116; T-150; T-247; T-258</v>
      </c>
      <c r="I25" s="38" t="str">
        <f>IF(INDEX(Backlog!$T$2:$T$188,MATCH($A25,Backlog!$A$2:$A$188,0))="","",INDEX(Backlog!$T$2:$T$188,MATCH($A25,Backlog!$A$2:$A$188,0)))</f>
        <v>CLOSED BASELINE — no new start gate and no re-execution implied. Preserve accepted closure and clean owned scope; reopen only on a concrete, separately recorded regression. Downstream consumes the frozen contract.</v>
      </c>
      <c r="J25" s="32" t="str">
        <f>IF(INDEX(Backlog!$AN$2:$AN$188,MATCH($A25,Backlog!$A$2:$A$188,0))="","",INDEX(Backlog!$AN$2:$AN$188,MATCH($A25,Backlog!$A$2:$A$188,0)))</f>
        <v/>
      </c>
    </row>
    <row r="26" spans="1:10" ht="26.1" customHeight="1">
      <c r="A26" s="38" t="s">
        <v>405</v>
      </c>
      <c r="B26" s="38" t="str">
        <f>IF(INDEX(Backlog!$B$2:$B$188,MATCH($A26,Backlog!$A$2:$A$188,0))="","",INDEX(Backlog!$B$2:$B$188,MATCH($A26,Backlog!$A$2:$A$188,0)))</f>
        <v>M2</v>
      </c>
      <c r="C26" s="38" t="str">
        <f>IF(INDEX(Backlog!$C$2:$C$188,MATCH($A26,Backlog!$A$2:$A$188,0))="","",INDEX(Backlog!$C$2:$C$188,MATCH($A26,Backlog!$A$2:$A$188,0)))</f>
        <v>P1</v>
      </c>
      <c r="D26" s="38" t="str">
        <f>IF(INDEX(Backlog!$L$2:$L$188,MATCH($A26,Backlog!$A$2:$A$188,0))="","",INDEX(Backlog!$L$2:$L$188,MATCH($A26,Backlog!$A$2:$A$188,0)))</f>
        <v>Worker 1</v>
      </c>
      <c r="E26" s="70" t="str">
        <f>IF(INDEX(Backlog!$K$2:$K$188,MATCH($A26,Backlog!$A$2:$A$188,0))="","",INDEX(Backlog!$K$2:$K$188,MATCH($A26,Backlog!$A$2:$A$188,0)))</f>
        <v>Done</v>
      </c>
      <c r="F26" s="38">
        <f>IF(ISNUMBER(INDEX(Backlog!$AT$2:$AT$188,MATCH($A26,Backlog!$A$2:$A$188,0))),INDEX(Backlog!$AT$2:$AT$188,MATCH($A26,Backlog!$A$2:$A$188,0)),"")</f>
        <v>0.3</v>
      </c>
      <c r="G26" s="38" t="str">
        <f>IF(INDEX(Backlog!$M$2:$M$188,MATCH($A26,Backlog!$A$2:$A$188,0))="","",INDEX(Backlog!$M$2:$M$188,MATCH($A26,Backlog!$A$2:$A$188,0)))</f>
        <v>T-251</v>
      </c>
      <c r="H26" s="38" t="str">
        <f>IF(INDEX(Backlog!$N$2:$N$188,MATCH($A26,Backlog!$A$2:$A$188,0))="","",INDEX(Backlog!$N$2:$N$188,MATCH($A26,Backlog!$A$2:$A$188,0)))</f>
        <v>T-150; T-227; T-252; T-257</v>
      </c>
      <c r="I26" s="38" t="str">
        <f>IF(INDEX(Backlog!$T$2:$T$188,MATCH($A26,Backlog!$A$2:$A$188,0))="","",INDEX(Backlog!$T$2:$T$188,MATCH($A26,Backlog!$A$2:$A$188,0)))</f>
        <v>CLOSED BASELINE — no new start gate and no re-execution implied. Preserve accepted closure and clean owned scope; reopen only on a concrete, separately recorded regression. Downstream consumes the frozen contract.</v>
      </c>
      <c r="J26" s="32" t="str">
        <f>IF(INDEX(Backlog!$AN$2:$AN$188,MATCH($A26,Backlog!$A$2:$A$188,0))="","",INDEX(Backlog!$AN$2:$AN$188,MATCH($A26,Backlog!$A$2:$A$188,0)))</f>
        <v/>
      </c>
    </row>
    <row r="27" spans="1:10" ht="26.1" customHeight="1">
      <c r="A27" s="38" t="s">
        <v>414</v>
      </c>
      <c r="B27" s="38" t="str">
        <f>IF(INDEX(Backlog!$B$2:$B$188,MATCH($A27,Backlog!$A$2:$A$188,0))="","",INDEX(Backlog!$B$2:$B$188,MATCH($A27,Backlog!$A$2:$A$188,0)))</f>
        <v>M2</v>
      </c>
      <c r="C27" s="38" t="str">
        <f>IF(INDEX(Backlog!$C$2:$C$188,MATCH($A27,Backlog!$A$2:$A$188,0))="","",INDEX(Backlog!$C$2:$C$188,MATCH($A27,Backlog!$A$2:$A$188,0)))</f>
        <v>P1</v>
      </c>
      <c r="D27" s="38" t="str">
        <f>IF(INDEX(Backlog!$L$2:$L$188,MATCH($A27,Backlog!$A$2:$A$188,0))="","",INDEX(Backlog!$L$2:$L$188,MATCH($A27,Backlog!$A$2:$A$188,0)))</f>
        <v>Worker 1</v>
      </c>
      <c r="E27" s="70" t="str">
        <f>IF(INDEX(Backlog!$K$2:$K$188,MATCH($A27,Backlog!$A$2:$A$188,0))="","",INDEX(Backlog!$K$2:$K$188,MATCH($A27,Backlog!$A$2:$A$188,0)))</f>
        <v>Done</v>
      </c>
      <c r="F27" s="38">
        <f>IF(ISNUMBER(INDEX(Backlog!$AT$2:$AT$188,MATCH($A27,Backlog!$A$2:$A$188,0))),INDEX(Backlog!$AT$2:$AT$188,MATCH($A27,Backlog!$A$2:$A$188,0)),"")</f>
        <v>1.8</v>
      </c>
      <c r="G27" s="38" t="str">
        <f>IF(INDEX(Backlog!$M$2:$M$188,MATCH($A27,Backlog!$A$2:$A$188,0))="","",INDEX(Backlog!$M$2:$M$188,MATCH($A27,Backlog!$A$2:$A$188,0)))</f>
        <v>T-088</v>
      </c>
      <c r="H27" s="38" t="str">
        <f>IF(INDEX(Backlog!$N$2:$N$188,MATCH($A27,Backlog!$A$2:$A$188,0))="","",INDEX(Backlog!$N$2:$N$188,MATCH($A27,Backlog!$A$2:$A$188,0)))</f>
        <v>T-251</v>
      </c>
      <c r="I27" s="38" t="str">
        <f>IF(INDEX(Backlog!$T$2:$T$188,MATCH($A27,Backlog!$A$2:$A$188,0))="","",INDEX(Backlog!$T$2:$T$188,MATCH($A27,Backlog!$A$2:$A$188,0)))</f>
        <v>CLOSED BASELINE — no new start gate and no re-execution implied. Preserve accepted closure and clean owned scope; reopen only on a concrete, separately recorded regression. Downstream consumes the frozen contract.</v>
      </c>
      <c r="J27" s="32" t="str">
        <f>IF(INDEX(Backlog!$AN$2:$AN$188,MATCH($A27,Backlog!$A$2:$A$188,0))="","",INDEX(Backlog!$AN$2:$AN$188,MATCH($A27,Backlog!$A$2:$A$188,0)))</f>
        <v/>
      </c>
    </row>
    <row r="28" spans="1:10" ht="26.1" customHeight="1">
      <c r="A28" s="38" t="s">
        <v>425</v>
      </c>
      <c r="B28" s="38" t="str">
        <f>IF(INDEX(Backlog!$B$2:$B$188,MATCH($A28,Backlog!$A$2:$A$188,0))="","",INDEX(Backlog!$B$2:$B$188,MATCH($A28,Backlog!$A$2:$A$188,0)))</f>
        <v>M2</v>
      </c>
      <c r="C28" s="38" t="str">
        <f>IF(INDEX(Backlog!$C$2:$C$188,MATCH($A28,Backlog!$A$2:$A$188,0))="","",INDEX(Backlog!$C$2:$C$188,MATCH($A28,Backlog!$A$2:$A$188,0)))</f>
        <v>P2</v>
      </c>
      <c r="D28" s="38" t="str">
        <f>IF(INDEX(Backlog!$L$2:$L$188,MATCH($A28,Backlog!$A$2:$A$188,0))="","",INDEX(Backlog!$L$2:$L$188,MATCH($A28,Backlog!$A$2:$A$188,0)))</f>
        <v>Worker 1</v>
      </c>
      <c r="E28" s="70" t="str">
        <f>IF(INDEX(Backlog!$K$2:$K$188,MATCH($A28,Backlog!$A$2:$A$188,0))="","",INDEX(Backlog!$K$2:$K$188,MATCH($A28,Backlog!$A$2:$A$188,0)))</f>
        <v>Done</v>
      </c>
      <c r="F28" s="38">
        <f>IF(ISNUMBER(INDEX(Backlog!$AT$2:$AT$188,MATCH($A28,Backlog!$A$2:$A$188,0))),INDEX(Backlog!$AT$2:$AT$188,MATCH($A28,Backlog!$A$2:$A$188,0)),"")</f>
        <v>1.7999999999999998</v>
      </c>
      <c r="G28" s="38" t="str">
        <f>IF(INDEX(Backlog!$M$2:$M$188,MATCH($A28,Backlog!$A$2:$A$188,0))="","",INDEX(Backlog!$M$2:$M$188,MATCH($A28,Backlog!$A$2:$A$188,0)))</f>
        <v>T-057; T-089; T-090; T-094</v>
      </c>
      <c r="H28" s="38" t="str">
        <f>IF(INDEX(Backlog!$N$2:$N$188,MATCH($A28,Backlog!$A$2:$A$188,0))="","",INDEX(Backlog!$N$2:$N$188,MATCH($A28,Backlog!$A$2:$A$188,0)))</f>
        <v>T-096; T-098; T-102; T-103; T-104; T-107; T-109; T-114; T-128; T-134; T-183; T-196; T-221</v>
      </c>
      <c r="I28" s="38" t="str">
        <f>IF(INDEX(Backlog!$T$2:$T$188,MATCH($A28,Backlog!$A$2:$A$188,0))="","",INDEX(Backlog!$T$2:$T$188,MATCH($A28,Backlog!$A$2:$A$188,0)))</f>
        <v>CLOSED BASELINE — no new start gate and no re-execution implied. Preserve accepted closure and clean owned scope; reopen only on a concrete, separately recorded regression. Downstream consumes the frozen contract.</v>
      </c>
      <c r="J28" s="32" t="str">
        <f>IF(INDEX(Backlog!$AN$2:$AN$188,MATCH($A28,Backlog!$A$2:$A$188,0))="","",INDEX(Backlog!$AN$2:$AN$188,MATCH($A28,Backlog!$A$2:$A$188,0)))</f>
        <v/>
      </c>
    </row>
    <row r="29" spans="1:10" ht="26.1" customHeight="1">
      <c r="A29" s="38" t="s">
        <v>439</v>
      </c>
      <c r="B29" s="38" t="str">
        <f>IF(INDEX(Backlog!$B$2:$B$188,MATCH($A29,Backlog!$A$2:$A$188,0))="","",INDEX(Backlog!$B$2:$B$188,MATCH($A29,Backlog!$A$2:$A$188,0)))</f>
        <v>M2</v>
      </c>
      <c r="C29" s="38" t="str">
        <f>IF(INDEX(Backlog!$C$2:$C$188,MATCH($A29,Backlog!$A$2:$A$188,0))="","",INDEX(Backlog!$C$2:$C$188,MATCH($A29,Backlog!$A$2:$A$188,0)))</f>
        <v>P2</v>
      </c>
      <c r="D29" s="38" t="str">
        <f>IF(INDEX(Backlog!$L$2:$L$188,MATCH($A29,Backlog!$A$2:$A$188,0))="","",INDEX(Backlog!$L$2:$L$188,MATCH($A29,Backlog!$A$2:$A$188,0)))</f>
        <v>Worker 1</v>
      </c>
      <c r="E29" s="70" t="str">
        <f>IF(INDEX(Backlog!$K$2:$K$188,MATCH($A29,Backlog!$A$2:$A$188,0))="","",INDEX(Backlog!$K$2:$K$188,MATCH($A29,Backlog!$A$2:$A$188,0)))</f>
        <v>Done</v>
      </c>
      <c r="F29" s="38">
        <f>IF(ISNUMBER(INDEX(Backlog!$AT$2:$AT$188,MATCH($A29,Backlog!$A$2:$A$188,0))),INDEX(Backlog!$AT$2:$AT$188,MATCH($A29,Backlog!$A$2:$A$188,0)),"")</f>
        <v>1.2000000000000002</v>
      </c>
      <c r="G29" s="38" t="str">
        <f>IF(INDEX(Backlog!$M$2:$M$188,MATCH($A29,Backlog!$A$2:$A$188,0))="","",INDEX(Backlog!$M$2:$M$188,MATCH($A29,Backlog!$A$2:$A$188,0)))</f>
        <v>T-095</v>
      </c>
      <c r="H29" s="38" t="str">
        <f>IF(INDEX(Backlog!$N$2:$N$188,MATCH($A29,Backlog!$A$2:$A$188,0))="","",INDEX(Backlog!$N$2:$N$188,MATCH($A29,Backlog!$A$2:$A$188,0)))</f>
        <v>T-097; T-098; T-107; T-109; T-128; T-134; T-183; T-221</v>
      </c>
      <c r="I29" s="38" t="str">
        <f>IF(INDEX(Backlog!$T$2:$T$188,MATCH($A29,Backlog!$A$2:$A$188,0))="","",INDEX(Backlog!$T$2:$T$188,MATCH($A29,Backlog!$A$2:$A$188,0)))</f>
        <v>CLOSED BASELINE — no new start gate and no re-execution implied. Preserve accepted closure and clean owned scope; reopen only on a concrete, separately recorded regression. Downstream consumes the frozen contract.</v>
      </c>
      <c r="J29" s="32" t="str">
        <f>IF(INDEX(Backlog!$AN$2:$AN$188,MATCH($A29,Backlog!$A$2:$A$188,0))="","",INDEX(Backlog!$AN$2:$AN$188,MATCH($A29,Backlog!$A$2:$A$188,0)))</f>
        <v/>
      </c>
    </row>
    <row r="30" spans="1:10" ht="26.1" customHeight="1">
      <c r="A30" s="38" t="s">
        <v>445</v>
      </c>
      <c r="B30" s="38" t="str">
        <f>IF(INDEX(Backlog!$B$2:$B$188,MATCH($A30,Backlog!$A$2:$A$188,0))="","",INDEX(Backlog!$B$2:$B$188,MATCH($A30,Backlog!$A$2:$A$188,0)))</f>
        <v>M2</v>
      </c>
      <c r="C30" s="38" t="str">
        <f>IF(INDEX(Backlog!$C$2:$C$188,MATCH($A30,Backlog!$A$2:$A$188,0))="","",INDEX(Backlog!$C$2:$C$188,MATCH($A30,Backlog!$A$2:$A$188,0)))</f>
        <v>P2</v>
      </c>
      <c r="D30" s="38" t="str">
        <f>IF(INDEX(Backlog!$L$2:$L$188,MATCH($A30,Backlog!$A$2:$A$188,0))="","",INDEX(Backlog!$L$2:$L$188,MATCH($A30,Backlog!$A$2:$A$188,0)))</f>
        <v>Worker 1</v>
      </c>
      <c r="E30" s="70" t="str">
        <f>IF(INDEX(Backlog!$K$2:$K$188,MATCH($A30,Backlog!$A$2:$A$188,0))="","",INDEX(Backlog!$K$2:$K$188,MATCH($A30,Backlog!$A$2:$A$188,0)))</f>
        <v>Done</v>
      </c>
      <c r="F30" s="38">
        <f>IF(ISNUMBER(INDEX(Backlog!$AT$2:$AT$188,MATCH($A30,Backlog!$A$2:$A$188,0))),INDEX(Backlog!$AT$2:$AT$188,MATCH($A30,Backlog!$A$2:$A$188,0)),"")</f>
        <v>0.89999999999999991</v>
      </c>
      <c r="G30" s="38" t="str">
        <f>IF(INDEX(Backlog!$M$2:$M$188,MATCH($A30,Backlog!$A$2:$A$188,0))="","",INDEX(Backlog!$M$2:$M$188,MATCH($A30,Backlog!$A$2:$A$188,0)))</f>
        <v>T-096</v>
      </c>
      <c r="H30" s="38" t="str">
        <f>IF(INDEX(Backlog!$N$2:$N$188,MATCH($A30,Backlog!$A$2:$A$188,0))="","",INDEX(Backlog!$N$2:$N$188,MATCH($A30,Backlog!$A$2:$A$188,0)))</f>
        <v>T-098; T-107; T-109; T-128; T-183</v>
      </c>
      <c r="I30" s="38" t="str">
        <f>IF(INDEX(Backlog!$T$2:$T$188,MATCH($A30,Backlog!$A$2:$A$188,0))="","",INDEX(Backlog!$T$2:$T$188,MATCH($A30,Backlog!$A$2:$A$188,0)))</f>
        <v>CLOSED BASELINE — no new start gate and no re-execution implied. Preserve accepted closure and clean owned scope; reopen only on a concrete, separately recorded regression. Downstream consumes the frozen contract.</v>
      </c>
      <c r="J30" s="32" t="str">
        <f>IF(INDEX(Backlog!$AN$2:$AN$188,MATCH($A30,Backlog!$A$2:$A$188,0))="","",INDEX(Backlog!$AN$2:$AN$188,MATCH($A30,Backlog!$A$2:$A$188,0)))</f>
        <v/>
      </c>
    </row>
    <row r="31" spans="1:10" ht="26.1" customHeight="1">
      <c r="A31" s="38" t="s">
        <v>451</v>
      </c>
      <c r="B31" s="38" t="str">
        <f>IF(INDEX(Backlog!$B$2:$B$188,MATCH($A31,Backlog!$A$2:$A$188,0))="","",INDEX(Backlog!$B$2:$B$188,MATCH($A31,Backlog!$A$2:$A$188,0)))</f>
        <v>M2</v>
      </c>
      <c r="C31" s="38" t="str">
        <f>IF(INDEX(Backlog!$C$2:$C$188,MATCH($A31,Backlog!$A$2:$A$188,0))="","",INDEX(Backlog!$C$2:$C$188,MATCH($A31,Backlog!$A$2:$A$188,0)))</f>
        <v>P2</v>
      </c>
      <c r="D31" s="38" t="str">
        <f>IF(INDEX(Backlog!$L$2:$L$188,MATCH($A31,Backlog!$A$2:$A$188,0))="","",INDEX(Backlog!$L$2:$L$188,MATCH($A31,Backlog!$A$2:$A$188,0)))</f>
        <v>Worker 2</v>
      </c>
      <c r="E31" s="70" t="str">
        <f>IF(INDEX(Backlog!$K$2:$K$188,MATCH($A31,Backlog!$A$2:$A$188,0))="","",INDEX(Backlog!$K$2:$K$188,MATCH($A31,Backlog!$A$2:$A$188,0)))</f>
        <v>Not Started</v>
      </c>
      <c r="F31" s="38">
        <f>IF(ISNUMBER(INDEX(Backlog!$AT$2:$AT$188,MATCH($A31,Backlog!$A$2:$A$188,0))),INDEX(Backlog!$AT$2:$AT$188,MATCH($A31,Backlog!$A$2:$A$188,0)),"")</f>
        <v>2</v>
      </c>
      <c r="G31" s="38" t="str">
        <f>IF(INDEX(Backlog!$M$2:$M$188,MATCH($A31,Backlog!$A$2:$A$188,0))="","",INDEX(Backlog!$M$2:$M$188,MATCH($A31,Backlog!$A$2:$A$188,0)))</f>
        <v>T-095; T-096; T-097</v>
      </c>
      <c r="H31" s="38" t="str">
        <f>IF(INDEX(Backlog!$N$2:$N$188,MATCH($A31,Backlog!$A$2:$A$188,0))="","",INDEX(Backlog!$N$2:$N$188,MATCH($A31,Backlog!$A$2:$A$188,0)))</f>
        <v>T-107; T-109; T-128; T-183</v>
      </c>
      <c r="I31" s="38" t="str">
        <f>IF(INDEX(Backlog!$T$2:$T$188,MATCH($A31,Backlog!$A$2:$A$188,0))="","",INDEX(Backlog!$T$2:$T$188,MATCH($A31,Backlog!$A$2:$A$188,0)))</f>
        <v>Use the accepted M1 regression baseline; require empty index and clean owned paths, preserving unrelated user work. Then: T-060 M1 C6 surface + T-095 + T-096 + T-097.</v>
      </c>
      <c r="J31" s="32" t="str">
        <f>IF(INDEX(Backlog!$AN$2:$AN$188,MATCH($A31,Backlog!$A$2:$A$188,0))="","",INDEX(Backlog!$AN$2:$AN$188,MATCH($A31,Backlog!$A$2:$A$188,0)))</f>
        <v/>
      </c>
    </row>
    <row r="32" spans="1:10" ht="26.1" customHeight="1">
      <c r="A32" s="38" t="s">
        <v>463</v>
      </c>
      <c r="B32" s="38" t="str">
        <f>IF(INDEX(Backlog!$B$2:$B$188,MATCH($A32,Backlog!$A$2:$A$188,0))="","",INDEX(Backlog!$B$2:$B$188,MATCH($A32,Backlog!$A$2:$A$188,0)))</f>
        <v>M2</v>
      </c>
      <c r="C32" s="38" t="str">
        <f>IF(INDEX(Backlog!$C$2:$C$188,MATCH($A32,Backlog!$A$2:$A$188,0))="","",INDEX(Backlog!$C$2:$C$188,MATCH($A32,Backlog!$A$2:$A$188,0)))</f>
        <v>P2</v>
      </c>
      <c r="D32" s="38" t="str">
        <f>IF(INDEX(Backlog!$L$2:$L$188,MATCH($A32,Backlog!$A$2:$A$188,0))="","",INDEX(Backlog!$L$2:$L$188,MATCH($A32,Backlog!$A$2:$A$188,0)))</f>
        <v>Worker 1</v>
      </c>
      <c r="E32" s="70" t="str">
        <f>IF(INDEX(Backlog!$K$2:$K$188,MATCH($A32,Backlog!$A$2:$A$188,0))="","",INDEX(Backlog!$K$2:$K$188,MATCH($A32,Backlog!$A$2:$A$188,0)))</f>
        <v>Done</v>
      </c>
      <c r="F32" s="38">
        <f>IF(ISNUMBER(INDEX(Backlog!$AT$2:$AT$188,MATCH($A32,Backlog!$A$2:$A$188,0))),INDEX(Backlog!$AT$2:$AT$188,MATCH($A32,Backlog!$A$2:$A$188,0)),"")</f>
        <v>1.2000000000000002</v>
      </c>
      <c r="G32" s="38" t="str">
        <f>IF(INDEX(Backlog!$M$2:$M$188,MATCH($A32,Backlog!$A$2:$A$188,0))="","",INDEX(Backlog!$M$2:$M$188,MATCH($A32,Backlog!$A$2:$A$188,0)))</f>
        <v>T-087; T-089; T-090</v>
      </c>
      <c r="H32" s="38" t="str">
        <f>IF(INDEX(Backlog!$N$2:$N$188,MATCH($A32,Backlog!$A$2:$A$188,0))="","",INDEX(Backlog!$N$2:$N$188,MATCH($A32,Backlog!$A$2:$A$188,0)))</f>
        <v>T-100; T-101; T-104; T-107; T-108; T-109; T-114; T-128; T-183; T-261</v>
      </c>
      <c r="I32" s="38" t="str">
        <f>IF(INDEX(Backlog!$T$2:$T$188,MATCH($A32,Backlog!$A$2:$A$188,0))="","",INDEX(Backlog!$T$2:$T$188,MATCH($A32,Backlog!$A$2:$A$188,0)))</f>
        <v>CLOSED BASELINE — no new start gate and no re-execution implied. Preserve accepted closure and clean owned scope; reopen only on a concrete, separately recorded regression. Downstream consumes the frozen contract.</v>
      </c>
      <c r="J32" s="32" t="str">
        <f>IF(INDEX(Backlog!$AN$2:$AN$188,MATCH($A32,Backlog!$A$2:$A$188,0))="","",INDEX(Backlog!$AN$2:$AN$188,MATCH($A32,Backlog!$A$2:$A$188,0)))</f>
        <v/>
      </c>
    </row>
    <row r="33" spans="1:10" ht="26.1" customHeight="1">
      <c r="A33" s="38" t="s">
        <v>476</v>
      </c>
      <c r="B33" s="38" t="str">
        <f>IF(INDEX(Backlog!$B$2:$B$188,MATCH($A33,Backlog!$A$2:$A$188,0))="","",INDEX(Backlog!$B$2:$B$188,MATCH($A33,Backlog!$A$2:$A$188,0)))</f>
        <v>M2</v>
      </c>
      <c r="C33" s="38" t="str">
        <f>IF(INDEX(Backlog!$C$2:$C$188,MATCH($A33,Backlog!$A$2:$A$188,0))="","",INDEX(Backlog!$C$2:$C$188,MATCH($A33,Backlog!$A$2:$A$188,0)))</f>
        <v>P2</v>
      </c>
      <c r="D33" s="38" t="str">
        <f>IF(INDEX(Backlog!$L$2:$L$188,MATCH($A33,Backlog!$A$2:$A$188,0))="","",INDEX(Backlog!$L$2:$L$188,MATCH($A33,Backlog!$A$2:$A$188,0)))</f>
        <v>Worker 1</v>
      </c>
      <c r="E33" s="70" t="str">
        <f>IF(INDEX(Backlog!$K$2:$K$188,MATCH($A33,Backlog!$A$2:$A$188,0))="","",INDEX(Backlog!$K$2:$K$188,MATCH($A33,Backlog!$A$2:$A$188,0)))</f>
        <v>Done</v>
      </c>
      <c r="F33" s="38" t="str">
        <f>IF(ISNUMBER(INDEX(Backlog!$AT$2:$AT$188,MATCH($A33,Backlog!$A$2:$A$188,0))),INDEX(Backlog!$AT$2:$AT$188,MATCH($A33,Backlog!$A$2:$A$188,0)),"")</f>
        <v/>
      </c>
      <c r="G33" s="38" t="str">
        <f>IF(INDEX(Backlog!$M$2:$M$188,MATCH($A33,Backlog!$A$2:$A$188,0))="","",INDEX(Backlog!$M$2:$M$188,MATCH($A33,Backlog!$A$2:$A$188,0)))</f>
        <v>T-099</v>
      </c>
      <c r="H33" s="38" t="str">
        <f>IF(INDEX(Backlog!$N$2:$N$188,MATCH($A33,Backlog!$A$2:$A$188,0))="","",INDEX(Backlog!$N$2:$N$188,MATCH($A33,Backlog!$A$2:$A$188,0)))</f>
        <v>T-101; T-107; T-109; T-128; T-183; T-261</v>
      </c>
      <c r="I33" s="38" t="str">
        <f>IF(INDEX(Backlog!$T$2:$T$188,MATCH($A33,Backlog!$A$2:$A$188,0))="","",INDEX(Backlog!$T$2:$T$188,MATCH($A33,Backlog!$A$2:$A$188,0)))</f>
        <v>RUNNER-1 CANDIDATE IS PRESENT; DO NOT RERUN RUNNER 1 or require a clean owned tree relative to HEAD. Resume from the exact handoff/postimages. Resume v1.0.1 is issued; success is not yet reported. Validate HEAD against the handoff and all owned postimage hashes before continuing. Expected parent supplied for closure is 4e0f1219ddbac3163bafe7ce510b62520683a77c; do not substitute the older T-099-only HEAD. If the exact gates fail, stop and report without manual resets, cleanup of unrelated work, or a fresh mutation pack. Worker 1/CENTRAL retains the execution lock through T-100 final commit; Worker 2 remains held.</v>
      </c>
      <c r="J33" s="32" t="str">
        <f>IF(INDEX(Backlog!$AN$2:$AN$188,MATCH($A33,Backlog!$A$2:$A$188,0))="","",INDEX(Backlog!$AN$2:$AN$188,MATCH($A33,Backlog!$A$2:$A$188,0)))</f>
        <v/>
      </c>
    </row>
    <row r="34" spans="1:10" ht="26.1" customHeight="1">
      <c r="A34" s="38" t="s">
        <v>489</v>
      </c>
      <c r="B34" s="38" t="str">
        <f>IF(INDEX(Backlog!$B$2:$B$188,MATCH($A34,Backlog!$A$2:$A$188,0))="","",INDEX(Backlog!$B$2:$B$188,MATCH($A34,Backlog!$A$2:$A$188,0)))</f>
        <v>M2</v>
      </c>
      <c r="C34" s="38" t="str">
        <f>IF(INDEX(Backlog!$C$2:$C$188,MATCH($A34,Backlog!$A$2:$A$188,0))="","",INDEX(Backlog!$C$2:$C$188,MATCH($A34,Backlog!$A$2:$A$188,0)))</f>
        <v>P2</v>
      </c>
      <c r="D34" s="38" t="str">
        <f>IF(INDEX(Backlog!$L$2:$L$188,MATCH($A34,Backlog!$A$2:$A$188,0))="","",INDEX(Backlog!$L$2:$L$188,MATCH($A34,Backlog!$A$2:$A$188,0)))</f>
        <v>Worker 2</v>
      </c>
      <c r="E34" s="70" t="str">
        <f>IF(INDEX(Backlog!$K$2:$K$188,MATCH($A34,Backlog!$A$2:$A$188,0))="","",INDEX(Backlog!$K$2:$K$188,MATCH($A34,Backlog!$A$2:$A$188,0)))</f>
        <v>Not Started</v>
      </c>
      <c r="F34" s="38" t="str">
        <f>IF(ISNUMBER(INDEX(Backlog!$AT$2:$AT$188,MATCH($A34,Backlog!$A$2:$A$188,0))),INDEX(Backlog!$AT$2:$AT$188,MATCH($A34,Backlog!$A$2:$A$188,0)),"")</f>
        <v/>
      </c>
      <c r="G34" s="38" t="str">
        <f>IF(INDEX(Backlog!$M$2:$M$188,MATCH($A34,Backlog!$A$2:$A$188,0))="","",INDEX(Backlog!$M$2:$M$188,MATCH($A34,Backlog!$A$2:$A$188,0)))</f>
        <v>T-099; T-100</v>
      </c>
      <c r="H34" s="38" t="str">
        <f>IF(INDEX(Backlog!$N$2:$N$188,MATCH($A34,Backlog!$A$2:$A$188,0))="","",INDEX(Backlog!$N$2:$N$188,MATCH($A34,Backlog!$A$2:$A$188,0)))</f>
        <v>T-107; T-109; T-128; T-183</v>
      </c>
      <c r="I34" s="38" t="str">
        <f>IF(INDEX(Backlog!$T$2:$T$188,MATCH($A34,Backlog!$A$2:$A$188,0))="","",INDEX(Backlog!$T$2:$T$188,MATCH($A34,Backlog!$A$2:$A$188,0)))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T-061 final M1 API/page contract + T-099 + T-100 canonical quarantine impleme...</v>
      </c>
      <c r="J34" s="32" t="str">
        <f>IF(INDEX(Backlog!$AN$2:$AN$188,MATCH($A34,Backlog!$A$2:$A$188,0))="","",INDEX(Backlog!$AN$2:$AN$188,MATCH($A34,Backlog!$A$2:$A$188,0)))</f>
        <v/>
      </c>
    </row>
    <row r="35" spans="1:10" ht="26.1" customHeight="1">
      <c r="A35" s="38" t="s">
        <v>498</v>
      </c>
      <c r="B35" s="38" t="str">
        <f>IF(INDEX(Backlog!$B$2:$B$188,MATCH($A35,Backlog!$A$2:$A$188,0))="","",INDEX(Backlog!$B$2:$B$188,MATCH($A35,Backlog!$A$2:$A$188,0)))</f>
        <v>M2</v>
      </c>
      <c r="C35" s="38" t="str">
        <f>IF(INDEX(Backlog!$C$2:$C$188,MATCH($A35,Backlog!$A$2:$A$188,0))="","",INDEX(Backlog!$C$2:$C$188,MATCH($A35,Backlog!$A$2:$A$188,0)))</f>
        <v>P2</v>
      </c>
      <c r="D35" s="38" t="str">
        <f>IF(INDEX(Backlog!$L$2:$L$188,MATCH($A35,Backlog!$A$2:$A$188,0))="","",INDEX(Backlog!$L$2:$L$188,MATCH($A35,Backlog!$A$2:$A$188,0)))</f>
        <v>Worker 1</v>
      </c>
      <c r="E35" s="70" t="str">
        <f>IF(INDEX(Backlog!$K$2:$K$188,MATCH($A35,Backlog!$A$2:$A$188,0))="","",INDEX(Backlog!$K$2:$K$188,MATCH($A35,Backlog!$A$2:$A$188,0)))</f>
        <v>Not Started</v>
      </c>
      <c r="F35" s="38">
        <f>IF(ISNUMBER(INDEX(Backlog!$AT$2:$AT$188,MATCH($A35,Backlog!$A$2:$A$188,0))),INDEX(Backlog!$AT$2:$AT$188,MATCH($A35,Backlog!$A$2:$A$188,0)),"")</f>
        <v>1.2000000000000002</v>
      </c>
      <c r="G35" s="38" t="str">
        <f>IF(INDEX(Backlog!$M$2:$M$188,MATCH($A35,Backlog!$A$2:$A$188,0))="","",INDEX(Backlog!$M$2:$M$188,MATCH($A35,Backlog!$A$2:$A$188,0)))</f>
        <v>T-087; T-095</v>
      </c>
      <c r="H35" s="38" t="str">
        <f>IF(INDEX(Backlog!$N$2:$N$188,MATCH($A35,Backlog!$A$2:$A$188,0))="","",INDEX(Backlog!$N$2:$N$188,MATCH($A35,Backlog!$A$2:$A$188,0)))</f>
        <v>T-103; T-107; T-109; T-128; T-183</v>
      </c>
      <c r="I35" s="38" t="str">
        <f>IF(INDEX(Backlog!$T$2:$T$188,MATCH($A35,Backlog!$A$2:$A$188,0))="","",INDEX(Backlog!$T$2:$T$188,MATCH($A35,Backlog!$A$2:$A$188,0)))</f>
        <v>Use the accepted M1 regression baseline; require empty index and clean owned paths, preserving unrelated user work. Then: T-087 canonical plant schema + T-095 relationship/material identity authority.</v>
      </c>
      <c r="J35" s="32" t="str">
        <f>IF(INDEX(Backlog!$AN$2:$AN$188,MATCH($A35,Backlog!$A$2:$A$188,0))="","",INDEX(Backlog!$AN$2:$AN$188,MATCH($A35,Backlog!$A$2:$A$188,0)))</f>
        <v/>
      </c>
    </row>
    <row r="36" spans="1:10" ht="26.1" customHeight="1">
      <c r="A36" s="38" t="s">
        <v>508</v>
      </c>
      <c r="B36" s="38" t="str">
        <f>IF(INDEX(Backlog!$B$2:$B$188,MATCH($A36,Backlog!$A$2:$A$188,0))="","",INDEX(Backlog!$B$2:$B$188,MATCH($A36,Backlog!$A$2:$A$188,0)))</f>
        <v>M2</v>
      </c>
      <c r="C36" s="38" t="str">
        <f>IF(INDEX(Backlog!$C$2:$C$188,MATCH($A36,Backlog!$A$2:$A$188,0))="","",INDEX(Backlog!$C$2:$C$188,MATCH($A36,Backlog!$A$2:$A$188,0)))</f>
        <v>P2</v>
      </c>
      <c r="D36" s="38" t="str">
        <f>IF(INDEX(Backlog!$L$2:$L$188,MATCH($A36,Backlog!$A$2:$A$188,0))="","",INDEX(Backlog!$L$2:$L$188,MATCH($A36,Backlog!$A$2:$A$188,0)))</f>
        <v>Worker 1</v>
      </c>
      <c r="E36" s="70" t="str">
        <f>IF(INDEX(Backlog!$K$2:$K$188,MATCH($A36,Backlog!$A$2:$A$188,0))="","",INDEX(Backlog!$K$2:$K$188,MATCH($A36,Backlog!$A$2:$A$188,0)))</f>
        <v>Not Started</v>
      </c>
      <c r="F36" s="38" t="str">
        <f>IF(ISNUMBER(INDEX(Backlog!$AT$2:$AT$188,MATCH($A36,Backlog!$A$2:$A$188,0))),INDEX(Backlog!$AT$2:$AT$188,MATCH($A36,Backlog!$A$2:$A$188,0)),"")</f>
        <v/>
      </c>
      <c r="G36" s="38" t="str">
        <f>IF(INDEX(Backlog!$M$2:$M$188,MATCH($A36,Backlog!$A$2:$A$188,0))="","",INDEX(Backlog!$M$2:$M$188,MATCH($A36,Backlog!$A$2:$A$188,0)))</f>
        <v>T-095; T-102</v>
      </c>
      <c r="H36" s="38" t="str">
        <f>IF(INDEX(Backlog!$N$2:$N$188,MATCH($A36,Backlog!$A$2:$A$188,0))="","",INDEX(Backlog!$N$2:$N$188,MATCH($A36,Backlog!$A$2:$A$188,0)))</f>
        <v>T-107; T-109; T-128; T-183</v>
      </c>
      <c r="I36" s="38" t="str">
        <f>IF(INDEX(Backlog!$T$2:$T$188,MATCH($A36,Backlog!$A$2:$A$188,0))="","",INDEX(Backlog!$T$2:$T$188,MATCH($A36,Backlog!$A$2:$A$188,0)))</f>
        <v>Use the accepted M1 regression baseline; require empty index and clean owned paths, preserving unrelated user work. Then: T-095 + T-102 canonical relationship/identity authority.</v>
      </c>
      <c r="J36" s="32" t="str">
        <f>IF(INDEX(Backlog!$AN$2:$AN$188,MATCH($A36,Backlog!$A$2:$A$188,0))="","",INDEX(Backlog!$AN$2:$AN$188,MATCH($A36,Backlog!$A$2:$A$188,0)))</f>
        <v/>
      </c>
    </row>
    <row r="37" spans="1:10" ht="26.1" customHeight="1">
      <c r="A37" s="38" t="s">
        <v>514</v>
      </c>
      <c r="B37" s="38" t="str">
        <f>IF(INDEX(Backlog!$B$2:$B$188,MATCH($A37,Backlog!$A$2:$A$188,0))="","",INDEX(Backlog!$B$2:$B$188,MATCH($A37,Backlog!$A$2:$A$188,0)))</f>
        <v>M2</v>
      </c>
      <c r="C37" s="38" t="str">
        <f>IF(INDEX(Backlog!$C$2:$C$188,MATCH($A37,Backlog!$A$2:$A$188,0))="","",INDEX(Backlog!$C$2:$C$188,MATCH($A37,Backlog!$A$2:$A$188,0)))</f>
        <v>P2</v>
      </c>
      <c r="D37" s="38" t="str">
        <f>IF(INDEX(Backlog!$L$2:$L$188,MATCH($A37,Backlog!$A$2:$A$188,0))="","",INDEX(Backlog!$L$2:$L$188,MATCH($A37,Backlog!$A$2:$A$188,0)))</f>
        <v>Worker 1</v>
      </c>
      <c r="E37" s="70" t="str">
        <f>IF(INDEX(Backlog!$K$2:$K$188,MATCH($A37,Backlog!$A$2:$A$188,0))="","",INDEX(Backlog!$K$2:$K$188,MATCH($A37,Backlog!$A$2:$A$188,0)))</f>
        <v>Not Started</v>
      </c>
      <c r="F37" s="38" t="str">
        <f>IF(ISNUMBER(INDEX(Backlog!$AT$2:$AT$188,MATCH($A37,Backlog!$A$2:$A$188,0))),INDEX(Backlog!$AT$2:$AT$188,MATCH($A37,Backlog!$A$2:$A$188,0)),"")</f>
        <v/>
      </c>
      <c r="G37" s="38" t="str">
        <f>IF(INDEX(Backlog!$M$2:$M$188,MATCH($A37,Backlog!$A$2:$A$188,0))="","",INDEX(Backlog!$M$2:$M$188,MATCH($A37,Backlog!$A$2:$A$188,0)))</f>
        <v>T-090; T-095; T-099; T-261</v>
      </c>
      <c r="H37" s="38" t="str">
        <f>IF(INDEX(Backlog!$N$2:$N$188,MATCH($A37,Backlog!$A$2:$A$188,0))="","",INDEX(Backlog!$N$2:$N$188,MATCH($A37,Backlog!$A$2:$A$188,0)))</f>
        <v>T-107; T-108; T-109; T-128; T-183; T-247</v>
      </c>
      <c r="I37" s="38" t="str">
        <f>IF(INDEX(Backlog!$T$2:$T$188,MATCH($A37,Backlog!$A$2:$A$188,0))="","",INDEX(Backlog!$T$2:$T$188,MATCH($A37,Backlog!$A$2:$A$188,0)))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T-090 canonical versioned mapping definitions + T-095 relationship authority ...</v>
      </c>
      <c r="J37" s="32" t="str">
        <f>IF(INDEX(Backlog!$AN$2:$AN$188,MATCH($A37,Backlog!$A$2:$A$188,0))="","",INDEX(Backlog!$AN$2:$AN$188,MATCH($A37,Backlog!$A$2:$A$188,0)))</f>
        <v/>
      </c>
    </row>
    <row r="38" spans="1:10" ht="26.1" customHeight="1">
      <c r="A38" s="38" t="s">
        <v>522</v>
      </c>
      <c r="B38" s="38" t="str">
        <f>IF(INDEX(Backlog!$B$2:$B$188,MATCH($A38,Backlog!$A$2:$A$188,0))="","",INDEX(Backlog!$B$2:$B$188,MATCH($A38,Backlog!$A$2:$A$188,0)))</f>
        <v>M2</v>
      </c>
      <c r="C38" s="38" t="str">
        <f>IF(INDEX(Backlog!$C$2:$C$188,MATCH($A38,Backlog!$A$2:$A$188,0))="","",INDEX(Backlog!$C$2:$C$188,MATCH($A38,Backlog!$A$2:$A$188,0)))</f>
        <v>P2</v>
      </c>
      <c r="D38" s="38" t="str">
        <f>IF(INDEX(Backlog!$L$2:$L$188,MATCH($A38,Backlog!$A$2:$A$188,0))="","",INDEX(Backlog!$L$2:$L$188,MATCH($A38,Backlog!$A$2:$A$188,0)))</f>
        <v>Worker 3</v>
      </c>
      <c r="E38" s="70" t="str">
        <f>IF(INDEX(Backlog!$K$2:$K$188,MATCH($A38,Backlog!$A$2:$A$188,0))="","",INDEX(Backlog!$K$2:$K$188,MATCH($A38,Backlog!$A$2:$A$188,0)))</f>
        <v>Done</v>
      </c>
      <c r="F38" s="38" t="str">
        <f>IF(ISNUMBER(INDEX(Backlog!$AT$2:$AT$188,MATCH($A38,Backlog!$A$2:$A$188,0))),INDEX(Backlog!$AT$2:$AT$188,MATCH($A38,Backlog!$A$2:$A$188,0)),"")</f>
        <v/>
      </c>
      <c r="G38" s="38" t="str">
        <f>IF(INDEX(Backlog!$M$2:$M$188,MATCH($A38,Backlog!$A$2:$A$188,0))="","",INDEX(Backlog!$M$2:$M$188,MATCH($A38,Backlog!$A$2:$A$188,0)))</f>
        <v>T-064; T-089; T-090; T-252</v>
      </c>
      <c r="H38" s="38" t="str">
        <f>IF(INDEX(Backlog!$N$2:$N$188,MATCH($A38,Backlog!$A$2:$A$188,0))="","",INDEX(Backlog!$N$2:$N$188,MATCH($A38,Backlog!$A$2:$A$188,0)))</f>
        <v>T-107; T-122; T-125; T-245; T-261; T-263</v>
      </c>
      <c r="I38" s="38" t="str">
        <f>IF(INDEX(Backlog!$T$2:$T$188,MATCH($A38,Backlog!$A$2:$A$188,0))="","",INDEX(Backlog!$T$2:$T$188,MATCH($A38,Backlog!$A$2:$A$188,0)))</f>
        <v>Consume accepted producer contracts; remaining dependencies: T-064; T-089; T-090; T-252. No private scheduler/definition authority. Source-present is not closure proof.</v>
      </c>
      <c r="J38" s="32" t="str">
        <f>IF(INDEX(Backlog!$AN$2:$AN$188,MATCH($A38,Backlog!$A$2:$A$188,0))="","",INDEX(Backlog!$AN$2:$AN$188,MATCH($A38,Backlog!$A$2:$A$188,0)))</f>
        <v/>
      </c>
    </row>
    <row r="39" spans="1:10" ht="26.1" customHeight="1">
      <c r="A39" s="38" t="s">
        <v>539</v>
      </c>
      <c r="B39" s="38" t="str">
        <f>IF(INDEX(Backlog!$B$2:$B$188,MATCH($A39,Backlog!$A$2:$A$188,0))="","",INDEX(Backlog!$B$2:$B$188,MATCH($A39,Backlog!$A$2:$A$188,0)))</f>
        <v>M2</v>
      </c>
      <c r="C39" s="38" t="str">
        <f>IF(INDEX(Backlog!$C$2:$C$188,MATCH($A39,Backlog!$A$2:$A$188,0))="","",INDEX(Backlog!$C$2:$C$188,MATCH($A39,Backlog!$A$2:$A$188,0)))</f>
        <v>P2</v>
      </c>
      <c r="D39" s="38" t="str">
        <f>IF(INDEX(Backlog!$L$2:$L$188,MATCH($A39,Backlog!$A$2:$A$188,0))="","",INDEX(Backlog!$L$2:$L$188,MATCH($A39,Backlog!$A$2:$A$188,0)))</f>
        <v>Worker 3</v>
      </c>
      <c r="E39" s="70" t="str">
        <f>IF(INDEX(Backlog!$K$2:$K$188,MATCH($A39,Backlog!$A$2:$A$188,0))="","",INDEX(Backlog!$K$2:$K$188,MATCH($A39,Backlog!$A$2:$A$188,0)))</f>
        <v>Not Started</v>
      </c>
      <c r="F39" s="38">
        <f>IF(ISNUMBER(INDEX(Backlog!$AT$2:$AT$188,MATCH($A39,Backlog!$A$2:$A$188,0))),INDEX(Backlog!$AT$2:$AT$188,MATCH($A39,Backlog!$A$2:$A$188,0)),"")</f>
        <v>1.7999999999999998</v>
      </c>
      <c r="G39" s="38" t="str">
        <f>IF(INDEX(Backlog!$M$2:$M$188,MATCH($A39,Backlog!$A$2:$A$188,0))="","",INDEX(Backlog!$M$2:$M$188,MATCH($A39,Backlog!$A$2:$A$188,0)))</f>
        <v>T-095; T-096; T-097; T-098; T-099; T-100; T-101; T-102; T-103; T-104; T-106</v>
      </c>
      <c r="H39" s="38" t="str">
        <f>IF(INDEX(Backlog!$N$2:$N$188,MATCH($A39,Backlog!$A$2:$A$188,0))="","",INDEX(Backlog!$N$2:$N$188,MATCH($A39,Backlog!$A$2:$A$188,0)))</f>
        <v>T-122; T-125; T-141; T-187; T-192</v>
      </c>
      <c r="I39" s="38" t="str">
        <f>IF(INDEX(Backlog!$T$2:$T$188,MATCH($A39,Backlog!$A$2:$A$188,0))="","",INDEX(Backlog!$T$2:$T$188,MATCH($A39,Backlog!$A$2:$A$188,0)))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T-106 canonical job contract + T-095..T-105 canonical data/relationship path;...</v>
      </c>
      <c r="J39" s="32" t="str">
        <f>IF(INDEX(Backlog!$AN$2:$AN$188,MATCH($A39,Backlog!$A$2:$A$188,0))="","",INDEX(Backlog!$AN$2:$AN$188,MATCH($A39,Backlog!$A$2:$A$188,0)))</f>
        <v/>
      </c>
    </row>
    <row r="40" spans="1:10" ht="26.1" customHeight="1">
      <c r="A40" s="38" t="s">
        <v>548</v>
      </c>
      <c r="B40" s="38" t="str">
        <f>IF(INDEX(Backlog!$B$2:$B$188,MATCH($A40,Backlog!$A$2:$A$188,0))="","",INDEX(Backlog!$B$2:$B$188,MATCH($A40,Backlog!$A$2:$A$188,0)))</f>
        <v>M2</v>
      </c>
      <c r="C40" s="38" t="str">
        <f>IF(INDEX(Backlog!$C$2:$C$188,MATCH($A40,Backlog!$A$2:$A$188,0))="","",INDEX(Backlog!$C$2:$C$188,MATCH($A40,Backlog!$A$2:$A$188,0)))</f>
        <v>P2</v>
      </c>
      <c r="D40" s="38" t="str">
        <f>IF(INDEX(Backlog!$L$2:$L$188,MATCH($A40,Backlog!$A$2:$A$188,0))="","",INDEX(Backlog!$L$2:$L$188,MATCH($A40,Backlog!$A$2:$A$188,0)))</f>
        <v>Worker 1</v>
      </c>
      <c r="E40" s="70" t="str">
        <f>IF(INDEX(Backlog!$K$2:$K$188,MATCH($A40,Backlog!$A$2:$A$188,0))="","",INDEX(Backlog!$K$2:$K$188,MATCH($A40,Backlog!$A$2:$A$188,0)))</f>
        <v>Not Started</v>
      </c>
      <c r="F40" s="38" t="str">
        <f>IF(ISNUMBER(INDEX(Backlog!$AT$2:$AT$188,MATCH($A40,Backlog!$A$2:$A$188,0))),INDEX(Backlog!$AT$2:$AT$188,MATCH($A40,Backlog!$A$2:$A$188,0)),"")</f>
        <v/>
      </c>
      <c r="G40" s="38" t="str">
        <f>IF(INDEX(Backlog!$M$2:$M$188,MATCH($A40,Backlog!$A$2:$A$188,0))="","",INDEX(Backlog!$M$2:$M$188,MATCH($A40,Backlog!$A$2:$A$188,0)))</f>
        <v>T-099; T-104</v>
      </c>
      <c r="H40" s="38" t="str">
        <f>IF(INDEX(Backlog!$N$2:$N$188,MATCH($A40,Backlog!$A$2:$A$188,0))="","",INDEX(Backlog!$N$2:$N$188,MATCH($A40,Backlog!$A$2:$A$188,0)))</f>
        <v>T-109; T-110; T-247</v>
      </c>
      <c r="I40" s="38" t="str">
        <f>IF(INDEX(Backlog!$T$2:$T$188,MATCH($A40,Backlog!$A$2:$A$188,0))="","",INDEX(Backlog!$T$2:$T$188,MATCH($A40,Backlog!$A$2:$A$188,0)))</f>
        <v>Consume accepted producer contracts; remaining dependencies: T-099; T-104. No private scheduler/definition authority. Source-present is not closure proof.</v>
      </c>
      <c r="J40" s="32" t="str">
        <f>IF(INDEX(Backlog!$AN$2:$AN$188,MATCH($A40,Backlog!$A$2:$A$188,0))="","",INDEX(Backlog!$AN$2:$AN$188,MATCH($A40,Backlog!$A$2:$A$188,0)))</f>
        <v/>
      </c>
    </row>
    <row r="41" spans="1:10" ht="26.1" customHeight="1">
      <c r="A41" s="38" t="s">
        <v>559</v>
      </c>
      <c r="B41" s="38" t="str">
        <f>IF(INDEX(Backlog!$B$2:$B$188,MATCH($A41,Backlog!$A$2:$A$188,0))="","",INDEX(Backlog!$B$2:$B$188,MATCH($A41,Backlog!$A$2:$A$188,0)))</f>
        <v>M2</v>
      </c>
      <c r="C41" s="38" t="str">
        <f>IF(INDEX(Backlog!$C$2:$C$188,MATCH($A41,Backlog!$A$2:$A$188,0))="","",INDEX(Backlog!$C$2:$C$188,MATCH($A41,Backlog!$A$2:$A$188,0)))</f>
        <v>P2</v>
      </c>
      <c r="D41" s="38" t="str">
        <f>IF(INDEX(Backlog!$L$2:$L$188,MATCH($A41,Backlog!$A$2:$A$188,0))="","",INDEX(Backlog!$L$2:$L$188,MATCH($A41,Backlog!$A$2:$A$188,0)))</f>
        <v>Worker 3</v>
      </c>
      <c r="E41" s="70" t="str">
        <f>IF(INDEX(Backlog!$K$2:$K$188,MATCH($A41,Backlog!$A$2:$A$188,0))="","",INDEX(Backlog!$K$2:$K$188,MATCH($A41,Backlog!$A$2:$A$188,0)))</f>
        <v>Not Started</v>
      </c>
      <c r="F41" s="38">
        <f>IF(ISNUMBER(INDEX(Backlog!$AT$2:$AT$188,MATCH($A41,Backlog!$A$2:$A$188,0))),INDEX(Backlog!$AT$2:$AT$188,MATCH($A41,Backlog!$A$2:$A$188,0)),"")</f>
        <v>0.89999999999999991</v>
      </c>
      <c r="G41" s="38" t="str">
        <f>IF(INDEX(Backlog!$M$2:$M$188,MATCH($A41,Backlog!$A$2:$A$188,0))="","",INDEX(Backlog!$M$2:$M$188,MATCH($A41,Backlog!$A$2:$A$188,0)))</f>
        <v>T-095; T-096; T-097; T-098; T-099; T-100; T-101; T-102; T-103; T-104; T-108</v>
      </c>
      <c r="H41" s="38" t="str">
        <f>IF(INDEX(Backlog!$N$2:$N$188,MATCH($A41,Backlog!$A$2:$A$188,0))="","",INDEX(Backlog!$N$2:$N$188,MATCH($A41,Backlog!$A$2:$A$188,0)))</f>
        <v>T-110; T-136; T-187</v>
      </c>
      <c r="I41" s="38" t="str">
        <f>IF(INDEX(Backlog!$T$2:$T$188,MATCH($A41,Backlog!$A$2:$A$188,0))="","",INDEX(Backlog!$T$2:$T$188,MATCH($A41,Backlog!$A$2:$A$188,0)))</f>
        <v>Use the accepted M1 regression baseline; require empty index and clean owned paths, preserving unrelated user work. Then: T-095..T-105; T-108</v>
      </c>
      <c r="J41" s="32" t="str">
        <f>IF(INDEX(Backlog!$AN$2:$AN$188,MATCH($A41,Backlog!$A$2:$A$188,0))="","",INDEX(Backlog!$AN$2:$AN$188,MATCH($A41,Backlog!$A$2:$A$188,0)))</f>
        <v/>
      </c>
    </row>
    <row r="42" spans="1:10" ht="26.1" customHeight="1">
      <c r="A42" s="38" t="s">
        <v>567</v>
      </c>
      <c r="B42" s="38" t="str">
        <f>IF(INDEX(Backlog!$B$2:$B$188,MATCH($A42,Backlog!$A$2:$A$188,0))="","",INDEX(Backlog!$B$2:$B$188,MATCH($A42,Backlog!$A$2:$A$188,0)))</f>
        <v>M2</v>
      </c>
      <c r="C42" s="38" t="str">
        <f>IF(INDEX(Backlog!$C$2:$C$188,MATCH($A42,Backlog!$A$2:$A$188,0))="","",INDEX(Backlog!$C$2:$C$188,MATCH($A42,Backlog!$A$2:$A$188,0)))</f>
        <v>P2</v>
      </c>
      <c r="D42" s="38" t="str">
        <f>IF(INDEX(Backlog!$L$2:$L$188,MATCH($A42,Backlog!$A$2:$A$188,0))="","",INDEX(Backlog!$L$2:$L$188,MATCH($A42,Backlog!$A$2:$A$188,0)))</f>
        <v>Worker 1</v>
      </c>
      <c r="E42" s="70" t="str">
        <f>IF(INDEX(Backlog!$K$2:$K$188,MATCH($A42,Backlog!$A$2:$A$188,0))="","",INDEX(Backlog!$K$2:$K$188,MATCH($A42,Backlog!$A$2:$A$188,0)))</f>
        <v>Done</v>
      </c>
      <c r="F42" s="38">
        <f>IF(ISNUMBER(INDEX(Backlog!$AT$2:$AT$188,MATCH($A42,Backlog!$A$2:$A$188,0))),INDEX(Backlog!$AT$2:$AT$188,MATCH($A42,Backlog!$A$2:$A$188,0)),"")</f>
        <v>2.25</v>
      </c>
      <c r="G42" s="38" t="str">
        <f>IF(INDEX(Backlog!$M$2:$M$188,MATCH($A42,Backlog!$A$2:$A$188,0))="","",INDEX(Backlog!$M$2:$M$188,MATCH($A42,Backlog!$A$2:$A$188,0)))</f>
        <v>T-201</v>
      </c>
      <c r="H42" s="38" t="str">
        <f>IF(INDEX(Backlog!$N$2:$N$188,MATCH($A42,Backlog!$A$2:$A$188,0))="","",INDEX(Backlog!$N$2:$N$188,MATCH($A42,Backlog!$A$2:$A$188,0)))</f>
        <v>T-150; T-224; T-247; T-254; T-266</v>
      </c>
      <c r="I42" s="38" t="str">
        <f>IF(INDEX(Backlog!$T$2:$T$188,MATCH($A42,Backlog!$A$2:$A$188,0))="","",INDEX(Backlog!$T$2:$T$188,MATCH($A42,Backlog!$A$2:$A$188,0)))</f>
        <v>CLOSED BASELINE — no new start gate and no re-execution implied. Preserve accepted closure and clean owned scope; reopen only on a concrete, separately recorded regression. Downstream consumes the frozen contract.</v>
      </c>
      <c r="J42" s="32" t="str">
        <f>IF(INDEX(Backlog!$AN$2:$AN$188,MATCH($A42,Backlog!$A$2:$A$188,0))="","",INDEX(Backlog!$AN$2:$AN$188,MATCH($A42,Backlog!$A$2:$A$188,0)))</f>
        <v/>
      </c>
    </row>
    <row r="43" spans="1:10" ht="26.1" customHeight="1">
      <c r="A43" s="38" t="s">
        <v>579</v>
      </c>
      <c r="B43" s="38" t="str">
        <f>IF(INDEX(Backlog!$B$2:$B$188,MATCH($A43,Backlog!$A$2:$A$188,0))="","",INDEX(Backlog!$B$2:$B$188,MATCH($A43,Backlog!$A$2:$A$188,0)))</f>
        <v>M2</v>
      </c>
      <c r="C43" s="38" t="str">
        <f>IF(INDEX(Backlog!$C$2:$C$188,MATCH($A43,Backlog!$A$2:$A$188,0))="","",INDEX(Backlog!$C$2:$C$188,MATCH($A43,Backlog!$A$2:$A$188,0)))</f>
        <v>P2</v>
      </c>
      <c r="D43" s="38" t="str">
        <f>IF(INDEX(Backlog!$L$2:$L$188,MATCH($A43,Backlog!$A$2:$A$188,0))="","",INDEX(Backlog!$L$2:$L$188,MATCH($A43,Backlog!$A$2:$A$188,0)))</f>
        <v>Worker 2</v>
      </c>
      <c r="E43" s="70" t="str">
        <f>IF(INDEX(Backlog!$K$2:$K$188,MATCH($A43,Backlog!$A$2:$A$188,0))="","",INDEX(Backlog!$K$2:$K$188,MATCH($A43,Backlog!$A$2:$A$188,0)))</f>
        <v>Not Started</v>
      </c>
      <c r="F43" s="38">
        <f>IF(ISNUMBER(INDEX(Backlog!$AT$2:$AT$188,MATCH($A43,Backlog!$A$2:$A$188,0))),INDEX(Backlog!$AT$2:$AT$188,MATCH($A43,Backlog!$A$2:$A$188,0)),"")</f>
        <v>5.1428571428571432</v>
      </c>
      <c r="G43" s="38" t="str">
        <f>IF(INDEX(Backlog!$M$2:$M$188,MATCH($A43,Backlog!$A$2:$A$188,0))="","",INDEX(Backlog!$M$2:$M$188,MATCH($A43,Backlog!$A$2:$A$188,0)))</f>
        <v>T-202; T-210; T-211; T-092; T-234; T-235; T-236</v>
      </c>
      <c r="H43" s="38" t="str">
        <f>IF(INDEX(Backlog!$N$2:$N$188,MATCH($A43,Backlog!$A$2:$A$188,0))="","",INDEX(Backlog!$N$2:$N$188,MATCH($A43,Backlog!$A$2:$A$188,0)))</f>
        <v>T-150; T-247</v>
      </c>
      <c r="I43" s="38" t="str">
        <f>IF(INDEX(Backlog!$T$2:$T$188,MATCH($A43,Backlog!$A$2:$A$188,0))="","",INDEX(Backlog!$T$2:$T$188,MATCH($A43,Backlog!$A$2:$A$188,0)))</f>
        <v>T-202 + T-210/T-211 + T-092 + committed T-234/T-235/T-236.</v>
      </c>
      <c r="J43" s="32" t="str">
        <f>IF(INDEX(Backlog!$AN$2:$AN$188,MATCH($A43,Backlog!$A$2:$A$188,0))="","",INDEX(Backlog!$AN$2:$AN$188,MATCH($A43,Backlog!$A$2:$A$188,0)))</f>
        <v/>
      </c>
    </row>
    <row r="44" spans="1:10" ht="26.1" customHeight="1">
      <c r="A44" s="38" t="s">
        <v>595</v>
      </c>
      <c r="B44" s="38" t="str">
        <f>IF(INDEX(Backlog!$B$2:$B$188,MATCH($A44,Backlog!$A$2:$A$188,0))="","",INDEX(Backlog!$B$2:$B$188,MATCH($A44,Backlog!$A$2:$A$188,0)))</f>
        <v>M2</v>
      </c>
      <c r="C44" s="38" t="str">
        <f>IF(INDEX(Backlog!$C$2:$C$188,MATCH($A44,Backlog!$A$2:$A$188,0))="","",INDEX(Backlog!$C$2:$C$188,MATCH($A44,Backlog!$A$2:$A$188,0)))</f>
        <v>P2</v>
      </c>
      <c r="D44" s="38" t="str">
        <f>IF(INDEX(Backlog!$L$2:$L$188,MATCH($A44,Backlog!$A$2:$A$188,0))="","",INDEX(Backlog!$L$2:$L$188,MATCH($A44,Backlog!$A$2:$A$188,0)))</f>
        <v>Worker 2</v>
      </c>
      <c r="E44" s="70" t="str">
        <f>IF(INDEX(Backlog!$K$2:$K$188,MATCH($A44,Backlog!$A$2:$A$188,0))="","",INDEX(Backlog!$K$2:$K$188,MATCH($A44,Backlog!$A$2:$A$188,0)))</f>
        <v>Done</v>
      </c>
      <c r="F44" s="38">
        <f>IF(ISNUMBER(INDEX(Backlog!$AT$2:$AT$188,MATCH($A44,Backlog!$A$2:$A$188,0))),INDEX(Backlog!$AT$2:$AT$188,MATCH($A44,Backlog!$A$2:$A$188,0)),"")</f>
        <v>3.2</v>
      </c>
      <c r="G44" s="38" t="str">
        <f>IF(INDEX(Backlog!$M$2:$M$188,MATCH($A44,Backlog!$A$2:$A$188,0))="","",INDEX(Backlog!$M$2:$M$188,MATCH($A44,Backlog!$A$2:$A$188,0)))</f>
        <v>T-201; T-206</v>
      </c>
      <c r="H44" s="38" t="str">
        <f>IF(INDEX(Backlog!$N$2:$N$188,MATCH($A44,Backlog!$A$2:$A$188,0))="","",INDEX(Backlog!$N$2:$N$188,MATCH($A44,Backlog!$A$2:$A$188,0)))</f>
        <v>T-227; T-247</v>
      </c>
      <c r="I44" s="38" t="str">
        <f>IF(INDEX(Backlog!$T$2:$T$188,MATCH($A44,Backlog!$A$2:$A$188,0))="","",INDEX(Backlog!$T$2:$T$188,MATCH($A44,Backlog!$A$2:$A$188,0)))</f>
        <v>CLOSED BASELINE — no new start gate and no re-execution implied. Preserve accepted closure and clean owned scope; reopen only on a concrete, separately recorded regression. Downstream consumes the frozen contract.</v>
      </c>
      <c r="J44" s="32" t="str">
        <f>IF(INDEX(Backlog!$AN$2:$AN$188,MATCH($A44,Backlog!$A$2:$A$188,0))="","",INDEX(Backlog!$AN$2:$AN$188,MATCH($A44,Backlog!$A$2:$A$188,0)))</f>
        <v/>
      </c>
    </row>
    <row r="45" spans="1:10" ht="26.1" customHeight="1">
      <c r="A45" s="38" t="s">
        <v>610</v>
      </c>
      <c r="B45" s="38" t="str">
        <f>IF(INDEX(Backlog!$B$2:$B$188,MATCH($A45,Backlog!$A$2:$A$188,0))="","",INDEX(Backlog!$B$2:$B$188,MATCH($A45,Backlog!$A$2:$A$188,0)))</f>
        <v>M2</v>
      </c>
      <c r="C45" s="38" t="str">
        <f>IF(INDEX(Backlog!$C$2:$C$188,MATCH($A45,Backlog!$A$2:$A$188,0))="","",INDEX(Backlog!$C$2:$C$188,MATCH($A45,Backlog!$A$2:$A$188,0)))</f>
        <v>P2</v>
      </c>
      <c r="D45" s="38" t="str">
        <f>IF(INDEX(Backlog!$L$2:$L$188,MATCH($A45,Backlog!$A$2:$A$188,0))="","",INDEX(Backlog!$L$2:$L$188,MATCH($A45,Backlog!$A$2:$A$188,0)))</f>
        <v>Worker 3</v>
      </c>
      <c r="E45" s="70" t="str">
        <f>IF(INDEX(Backlog!$K$2:$K$188,MATCH($A45,Backlog!$A$2:$A$188,0))="","",INDEX(Backlog!$K$2:$K$188,MATCH($A45,Backlog!$A$2:$A$188,0)))</f>
        <v>Not Started</v>
      </c>
      <c r="F45" s="38" t="str">
        <f>IF(ISNUMBER(INDEX(Backlog!$AT$2:$AT$188,MATCH($A45,Backlog!$A$2:$A$188,0))),INDEX(Backlog!$AT$2:$AT$188,MATCH($A45,Backlog!$A$2:$A$188,0)),"")</f>
        <v/>
      </c>
      <c r="G45" s="38" t="str">
        <f>IF(INDEX(Backlog!$M$2:$M$188,MATCH($A45,Backlog!$A$2:$A$188,0))="","",INDEX(Backlog!$M$2:$M$188,MATCH($A45,Backlog!$A$2:$A$188,0)))</f>
        <v>T-207</v>
      </c>
      <c r="H45" s="38" t="str">
        <f>IF(INDEX(Backlog!$N$2:$N$188,MATCH($A45,Backlog!$A$2:$A$188,0))="","",INDEX(Backlog!$N$2:$N$188,MATCH($A45,Backlog!$A$2:$A$188,0)))</f>
        <v>T-153; T-225</v>
      </c>
      <c r="I45" s="38" t="str">
        <f>IF(INDEX(Backlog!$T$2:$T$188,MATCH($A45,Backlog!$A$2:$A$188,0))="","",INDEX(Backlog!$T$2:$T$188,MATCH($A45,Backlog!$A$2:$A$188,0)))</f>
        <v>Release 1 MUST — start after T-207 connector-truth authority. Site/customer OT certification may require customer access, but the executable production OPC UA runtime itself cannot be deferred past M2.</v>
      </c>
      <c r="J45" s="32" t="str">
        <f>IF(INDEX(Backlog!$AN$2:$AN$188,MATCH($A45,Backlog!$A$2:$A$188,0))="","",INDEX(Backlog!$AN$2:$AN$188,MATCH($A45,Backlog!$A$2:$A$188,0)))</f>
        <v/>
      </c>
    </row>
    <row r="46" spans="1:10" ht="26.1" customHeight="1">
      <c r="A46" s="38" t="s">
        <v>622</v>
      </c>
      <c r="B46" s="38" t="str">
        <f>IF(INDEX(Backlog!$B$2:$B$188,MATCH($A46,Backlog!$A$2:$A$188,0))="","",INDEX(Backlog!$B$2:$B$188,MATCH($A46,Backlog!$A$2:$A$188,0)))</f>
        <v>M2</v>
      </c>
      <c r="C46" s="38" t="str">
        <f>IF(INDEX(Backlog!$C$2:$C$188,MATCH($A46,Backlog!$A$2:$A$188,0))="","",INDEX(Backlog!$C$2:$C$188,MATCH($A46,Backlog!$A$2:$A$188,0)))</f>
        <v>P2</v>
      </c>
      <c r="D46" s="38" t="str">
        <f>IF(INDEX(Backlog!$L$2:$L$188,MATCH($A46,Backlog!$A$2:$A$188,0))="","",INDEX(Backlog!$L$2:$L$188,MATCH($A46,Backlog!$A$2:$A$188,0)))</f>
        <v>Worker 3</v>
      </c>
      <c r="E46" s="70" t="str">
        <f>IF(INDEX(Backlog!$K$2:$K$188,MATCH($A46,Backlog!$A$2:$A$188,0))="","",INDEX(Backlog!$K$2:$K$188,MATCH($A46,Backlog!$A$2:$A$188,0)))</f>
        <v>Not Started</v>
      </c>
      <c r="F46" s="38" t="str">
        <f>IF(ISNUMBER(INDEX(Backlog!$AT$2:$AT$188,MATCH($A46,Backlog!$A$2:$A$188,0))),INDEX(Backlog!$AT$2:$AT$188,MATCH($A46,Backlog!$A$2:$A$188,0)),"")</f>
        <v/>
      </c>
      <c r="G46" s="38" t="str">
        <f>IF(INDEX(Backlog!$M$2:$M$188,MATCH($A46,Backlog!$A$2:$A$188,0))="","",INDEX(Backlog!$M$2:$M$188,MATCH($A46,Backlog!$A$2:$A$188,0)))</f>
        <v>T-224</v>
      </c>
      <c r="H46" s="38" t="str">
        <f>IF(INDEX(Backlog!$N$2:$N$188,MATCH($A46,Backlog!$A$2:$A$188,0))="","",INDEX(Backlog!$N$2:$N$188,MATCH($A46,Backlog!$A$2:$A$188,0)))</f>
        <v>T-153; T-226</v>
      </c>
      <c r="I46" s="38" t="str">
        <f>IF(INDEX(Backlog!$T$2:$T$188,MATCH($A46,Backlog!$A$2:$A$188,0))="","",INDEX(Backlog!$T$2:$T$188,MATCH($A46,Backlog!$A$2:$A$188,0)))</f>
        <v>T-224.</v>
      </c>
      <c r="J46" s="32" t="str">
        <f>IF(INDEX(Backlog!$AN$2:$AN$188,MATCH($A46,Backlog!$A$2:$A$188,0))="","",INDEX(Backlog!$AN$2:$AN$188,MATCH($A46,Backlog!$A$2:$A$188,0)))</f>
        <v/>
      </c>
    </row>
    <row r="47" spans="1:10" ht="26.1" customHeight="1">
      <c r="A47" s="38" t="s">
        <v>629</v>
      </c>
      <c r="B47" s="38" t="str">
        <f>IF(INDEX(Backlog!$B$2:$B$188,MATCH($A47,Backlog!$A$2:$A$188,0))="","",INDEX(Backlog!$B$2:$B$188,MATCH($A47,Backlog!$A$2:$A$188,0)))</f>
        <v>M2</v>
      </c>
      <c r="C47" s="38" t="str">
        <f>IF(INDEX(Backlog!$C$2:$C$188,MATCH($A47,Backlog!$A$2:$A$188,0))="","",INDEX(Backlog!$C$2:$C$188,MATCH($A47,Backlog!$A$2:$A$188,0)))</f>
        <v>P2</v>
      </c>
      <c r="D47" s="38" t="str">
        <f>IF(INDEX(Backlog!$L$2:$L$188,MATCH($A47,Backlog!$A$2:$A$188,0))="","",INDEX(Backlog!$L$2:$L$188,MATCH($A47,Backlog!$A$2:$A$188,0)))</f>
        <v>Worker 3</v>
      </c>
      <c r="E47" s="70" t="str">
        <f>IF(INDEX(Backlog!$K$2:$K$188,MATCH($A47,Backlog!$A$2:$A$188,0))="","",INDEX(Backlog!$K$2:$K$188,MATCH($A47,Backlog!$A$2:$A$188,0)))</f>
        <v>Not Started</v>
      </c>
      <c r="F47" s="38" t="str">
        <f>IF(ISNUMBER(INDEX(Backlog!$AT$2:$AT$188,MATCH($A47,Backlog!$A$2:$A$188,0))),INDEX(Backlog!$AT$2:$AT$188,MATCH($A47,Backlog!$A$2:$A$188,0)),"")</f>
        <v/>
      </c>
      <c r="G47" s="38" t="str">
        <f>IF(INDEX(Backlog!$M$2:$M$188,MATCH($A47,Backlog!$A$2:$A$188,0))="","",INDEX(Backlog!$M$2:$M$188,MATCH($A47,Backlog!$A$2:$A$188,0)))</f>
        <v>T-225; T-233; T-270; T-272; T-275</v>
      </c>
      <c r="H47" s="38" t="str">
        <f>IF(INDEX(Backlog!$N$2:$N$188,MATCH($A47,Backlog!$A$2:$A$188,0))="","",INDEX(Backlog!$N$2:$N$188,MATCH($A47,Backlog!$A$2:$A$188,0)))</f>
        <v>T-150; T-153</v>
      </c>
      <c r="I47" s="38" t="str">
        <f>IF(INDEX(Backlog!$T$2:$T$188,MATCH($A47,Backlog!$A$2:$A$188,0))="","",INDEX(Backlog!$T$2:$T$188,MATCH($A47,Backlog!$A$2:$A$188,0)))</f>
        <v>T-225 + T-216 Source Time Authority.</v>
      </c>
      <c r="J47" s="32" t="str">
        <f>IF(INDEX(Backlog!$AN$2:$AN$188,MATCH($A47,Backlog!$A$2:$A$188,0))="","",INDEX(Backlog!$AN$2:$AN$188,MATCH($A47,Backlog!$A$2:$A$188,0)))</f>
        <v/>
      </c>
    </row>
    <row r="48" spans="1:10" ht="26.1" customHeight="1">
      <c r="A48" s="38" t="s">
        <v>636</v>
      </c>
      <c r="B48" s="38" t="str">
        <f>IF(INDEX(Backlog!$B$2:$B$188,MATCH($A48,Backlog!$A$2:$A$188,0))="","",INDEX(Backlog!$B$2:$B$188,MATCH($A48,Backlog!$A$2:$A$188,0)))</f>
        <v>M2</v>
      </c>
      <c r="C48" s="38" t="str">
        <f>IF(INDEX(Backlog!$C$2:$C$188,MATCH($A48,Backlog!$A$2:$A$188,0))="","",INDEX(Backlog!$C$2:$C$188,MATCH($A48,Backlog!$A$2:$A$188,0)))</f>
        <v>P2</v>
      </c>
      <c r="D48" s="38" t="str">
        <f>IF(INDEX(Backlog!$L$2:$L$188,MATCH($A48,Backlog!$A$2:$A$188,0))="","",INDEX(Backlog!$L$2:$L$188,MATCH($A48,Backlog!$A$2:$A$188,0)))</f>
        <v>Worker 1</v>
      </c>
      <c r="E48" s="70" t="str">
        <f>IF(INDEX(Backlog!$K$2:$K$188,MATCH($A48,Backlog!$A$2:$A$188,0))="","",INDEX(Backlog!$K$2:$K$188,MATCH($A48,Backlog!$A$2:$A$188,0)))</f>
        <v>Not Started</v>
      </c>
      <c r="F48" s="38">
        <f>IF(ISNUMBER(INDEX(Backlog!$AT$2:$AT$188,MATCH($A48,Backlog!$A$2:$A$188,0))),INDEX(Backlog!$AT$2:$AT$188,MATCH($A48,Backlog!$A$2:$A$188,0)),"")</f>
        <v>2.5499999999999998</v>
      </c>
      <c r="G48" s="38" t="str">
        <f>IF(INDEX(Backlog!$M$2:$M$188,MATCH($A48,Backlog!$A$2:$A$188,0))="","",INDEX(Backlog!$M$2:$M$188,MATCH($A48,Backlog!$A$2:$A$188,0)))</f>
        <v>T-090; T-231; T-214</v>
      </c>
      <c r="H48" s="38" t="str">
        <f>IF(INDEX(Backlog!$N$2:$N$188,MATCH($A48,Backlog!$A$2:$A$188,0))="","",INDEX(Backlog!$N$2:$N$188,MATCH($A48,Backlog!$A$2:$A$188,0)))</f>
        <v>T-215</v>
      </c>
      <c r="I48" s="38" t="str">
        <f>IF(INDEX(Backlog!$T$2:$T$188,MATCH($A48,Backlog!$A$2:$A$188,0))="","",INDEX(Backlog!$T$2:$T$188,MATCH($A48,Backlog!$A$2:$A$188,0)))</f>
        <v>T-090 + T-231 + committed T-214 contract.</v>
      </c>
      <c r="J48" s="32" t="str">
        <f>IF(INDEX(Backlog!$AN$2:$AN$188,MATCH($A48,Backlog!$A$2:$A$188,0))="","",INDEX(Backlog!$AN$2:$AN$188,MATCH($A48,Backlog!$A$2:$A$188,0)))</f>
        <v/>
      </c>
    </row>
    <row r="49" spans="1:10" ht="26.1" customHeight="1">
      <c r="A49" s="38" t="s">
        <v>648</v>
      </c>
      <c r="B49" s="38" t="str">
        <f>IF(INDEX(Backlog!$B$2:$B$188,MATCH($A49,Backlog!$A$2:$A$188,0))="","",INDEX(Backlog!$B$2:$B$188,MATCH($A49,Backlog!$A$2:$A$188,0)))</f>
        <v>M2</v>
      </c>
      <c r="C49" s="38" t="str">
        <f>IF(INDEX(Backlog!$C$2:$C$188,MATCH($A49,Backlog!$A$2:$A$188,0))="","",INDEX(Backlog!$C$2:$C$188,MATCH($A49,Backlog!$A$2:$A$188,0)))</f>
        <v>P2</v>
      </c>
      <c r="D49" s="38" t="str">
        <f>IF(INDEX(Backlog!$L$2:$L$188,MATCH($A49,Backlog!$A$2:$A$188,0))="","",INDEX(Backlog!$L$2:$L$188,MATCH($A49,Backlog!$A$2:$A$188,0)))</f>
        <v>Worker 1</v>
      </c>
      <c r="E49" s="70" t="str">
        <f>IF(INDEX(Backlog!$K$2:$K$188,MATCH($A49,Backlog!$A$2:$A$188,0))="","",INDEX(Backlog!$K$2:$K$188,MATCH($A49,Backlog!$A$2:$A$188,0)))</f>
        <v>In Progress</v>
      </c>
      <c r="F49" s="38">
        <f>IF(ISNUMBER(INDEX(Backlog!$AT$2:$AT$188,MATCH($A49,Backlog!$A$2:$A$188,0))),INDEX(Backlog!$AT$2:$AT$188,MATCH($A49,Backlog!$A$2:$A$188,0)),"")</f>
        <v>2.125</v>
      </c>
      <c r="G49" s="38" t="str">
        <f>IF(INDEX(Backlog!$M$2:$M$188,MATCH($A49,Backlog!$A$2:$A$188,0))="","",INDEX(Backlog!$M$2:$M$188,MATCH($A49,Backlog!$A$2:$A$188,0)))</f>
        <v>T-087; T-090; T-216</v>
      </c>
      <c r="H49" s="38" t="str">
        <f>IF(INDEX(Backlog!$N$2:$N$188,MATCH($A49,Backlog!$A$2:$A$188,0))="","",INDEX(Backlog!$N$2:$N$188,MATCH($A49,Backlog!$A$2:$A$188,0)))</f>
        <v>T-221; T-226</v>
      </c>
      <c r="I49" s="38" t="str">
        <f>IF(INDEX(Backlog!$T$2:$T$188,MATCH($A49,Backlog!$A$2:$A$188,0))="","",INDEX(Backlog!$T$2:$T$188,MATCH($A49,Backlog!$A$2:$A$188,0)))</f>
        <v>T-087 + T-090 + committed T-216 contract.</v>
      </c>
      <c r="J49" s="32" t="str">
        <f>IF(INDEX(Backlog!$AN$2:$AN$188,MATCH($A49,Backlog!$A$2:$A$188,0))="","",INDEX(Backlog!$AN$2:$AN$188,MATCH($A49,Backlog!$A$2:$A$188,0)))</f>
        <v/>
      </c>
    </row>
    <row r="50" spans="1:10" ht="26.1" customHeight="1">
      <c r="A50" s="38" t="s">
        <v>659</v>
      </c>
      <c r="B50" s="38" t="str">
        <f>IF(INDEX(Backlog!$B$2:$B$188,MATCH($A50,Backlog!$A$2:$A$188,0))="","",INDEX(Backlog!$B$2:$B$188,MATCH($A50,Backlog!$A$2:$A$188,0)))</f>
        <v>M2</v>
      </c>
      <c r="C50" s="38" t="str">
        <f>IF(INDEX(Backlog!$C$2:$C$188,MATCH($A50,Backlog!$A$2:$A$188,0))="","",INDEX(Backlog!$C$2:$C$188,MATCH($A50,Backlog!$A$2:$A$188,0)))</f>
        <v>P2</v>
      </c>
      <c r="D50" s="38" t="str">
        <f>IF(INDEX(Backlog!$L$2:$L$188,MATCH($A50,Backlog!$A$2:$A$188,0))="","",INDEX(Backlog!$L$2:$L$188,MATCH($A50,Backlog!$A$2:$A$188,0)))</f>
        <v>Worker 1</v>
      </c>
      <c r="E50" s="70" t="str">
        <f>IF(INDEX(Backlog!$K$2:$K$188,MATCH($A50,Backlog!$A$2:$A$188,0))="","",INDEX(Backlog!$K$2:$K$188,MATCH($A50,Backlog!$A$2:$A$188,0)))</f>
        <v>Not Started</v>
      </c>
      <c r="F50" s="38" t="str">
        <f>IF(ISNUMBER(INDEX(Backlog!$AT$2:$AT$188,MATCH($A50,Backlog!$A$2:$A$188,0))),INDEX(Backlog!$AT$2:$AT$188,MATCH($A50,Backlog!$A$2:$A$188,0)),"")</f>
        <v/>
      </c>
      <c r="G50" s="38" t="str">
        <f>IF(INDEX(Backlog!$M$2:$M$188,MATCH($A50,Backlog!$A$2:$A$188,0))="","",INDEX(Backlog!$M$2:$M$188,MATCH($A50,Backlog!$A$2:$A$188,0)))</f>
        <v>T-090; T-231; T-234</v>
      </c>
      <c r="H50" s="38" t="str">
        <f>IF(INDEX(Backlog!$N$2:$N$188,MATCH($A50,Backlog!$A$2:$A$188,0))="","",INDEX(Backlog!$N$2:$N$188,MATCH($A50,Backlog!$A$2:$A$188,0)))</f>
        <v>T-164; T-212; T-237; T-247</v>
      </c>
      <c r="I50" s="38" t="str">
        <f>IF(INDEX(Backlog!$T$2:$T$188,MATCH($A50,Backlog!$A$2:$A$188,0))="","",INDEX(Backlog!$T$2:$T$188,MATCH($A50,Backlog!$A$2:$A$188,0)))</f>
        <v>T-090 + T-231 + committed T-234 contract.</v>
      </c>
      <c r="J50" s="32" t="str">
        <f>IF(INDEX(Backlog!$AN$2:$AN$188,MATCH($A50,Backlog!$A$2:$A$188,0))="","",INDEX(Backlog!$AN$2:$AN$188,MATCH($A50,Backlog!$A$2:$A$188,0)))</f>
        <v/>
      </c>
    </row>
    <row r="51" spans="1:10" ht="26.1" customHeight="1">
      <c r="A51" s="38" t="s">
        <v>671</v>
      </c>
      <c r="B51" s="38" t="str">
        <f>IF(INDEX(Backlog!$B$2:$B$188,MATCH($A51,Backlog!$A$2:$A$188,0))="","",INDEX(Backlog!$B$2:$B$188,MATCH($A51,Backlog!$A$2:$A$188,0)))</f>
        <v>M2</v>
      </c>
      <c r="C51" s="38" t="str">
        <f>IF(INDEX(Backlog!$C$2:$C$188,MATCH($A51,Backlog!$A$2:$A$188,0))="","",INDEX(Backlog!$C$2:$C$188,MATCH($A51,Backlog!$A$2:$A$188,0)))</f>
        <v>P2</v>
      </c>
      <c r="D51" s="38" t="str">
        <f>IF(INDEX(Backlog!$L$2:$L$188,MATCH($A51,Backlog!$A$2:$A$188,0))="","",INDEX(Backlog!$L$2:$L$188,MATCH($A51,Backlog!$A$2:$A$188,0)))</f>
        <v>Worker 2</v>
      </c>
      <c r="E51" s="70" t="str">
        <f>IF(INDEX(Backlog!$K$2:$K$188,MATCH($A51,Backlog!$A$2:$A$188,0))="","",INDEX(Backlog!$K$2:$K$188,MATCH($A51,Backlog!$A$2:$A$188,0)))</f>
        <v>Done</v>
      </c>
      <c r="F51" s="38" t="str">
        <f>IF(ISNUMBER(INDEX(Backlog!$AT$2:$AT$188,MATCH($A51,Backlog!$A$2:$A$188,0))),INDEX(Backlog!$AT$2:$AT$188,MATCH($A51,Backlog!$A$2:$A$188,0)),"")</f>
        <v/>
      </c>
      <c r="G51" s="38" t="str">
        <f>IF(INDEX(Backlog!$M$2:$M$188,MATCH($A51,Backlog!$A$2:$A$188,0))="","",INDEX(Backlog!$M$2:$M$188,MATCH($A51,Backlog!$A$2:$A$188,0)))</f>
        <v>T-032; T-201</v>
      </c>
      <c r="H51" s="38" t="str">
        <f>IF(INDEX(Backlog!$N$2:$N$188,MATCH($A51,Backlog!$A$2:$A$188,0))="","",INDEX(Backlog!$N$2:$N$188,MATCH($A51,Backlog!$A$2:$A$188,0)))</f>
        <v>T-242; T-243; T-247; T-248; T-253; T-261</v>
      </c>
      <c r="I51" s="38" t="str">
        <f>IF(INDEX(Backlog!$T$2:$T$188,MATCH($A51,Backlog!$A$2:$A$188,0))="","",INDEX(Backlog!$T$2:$T$188,MATCH($A51,Backlog!$A$2:$A$188,0)))</f>
        <v>CLOSED BASELINE — no new start gate and no re-execution implied. Preserve accepted closure and clean owned scope; reopen only on a concrete, separately recorded regression. Downstream consumes the frozen contract.</v>
      </c>
      <c r="J51" s="32" t="str">
        <f>IF(INDEX(Backlog!$AN$2:$AN$188,MATCH($A51,Backlog!$A$2:$A$188,0))="","",INDEX(Backlog!$AN$2:$AN$188,MATCH($A51,Backlog!$A$2:$A$188,0)))</f>
        <v/>
      </c>
    </row>
    <row r="52" spans="1:10" ht="26.1" customHeight="1">
      <c r="A52" s="38" t="s">
        <v>686</v>
      </c>
      <c r="B52" s="38" t="str">
        <f>IF(INDEX(Backlog!$B$2:$B$188,MATCH($A52,Backlog!$A$2:$A$188,0))="","",INDEX(Backlog!$B$2:$B$188,MATCH($A52,Backlog!$A$2:$A$188,0)))</f>
        <v>M2</v>
      </c>
      <c r="C52" s="38" t="str">
        <f>IF(INDEX(Backlog!$C$2:$C$188,MATCH($A52,Backlog!$A$2:$A$188,0))="","",INDEX(Backlog!$C$2:$C$188,MATCH($A52,Backlog!$A$2:$A$188,0)))</f>
        <v>P2</v>
      </c>
      <c r="D52" s="38" t="str">
        <f>IF(INDEX(Backlog!$L$2:$L$188,MATCH($A52,Backlog!$A$2:$A$188,0))="","",INDEX(Backlog!$L$2:$L$188,MATCH($A52,Backlog!$A$2:$A$188,0)))</f>
        <v>Worker 2</v>
      </c>
      <c r="E52" s="70" t="str">
        <f>IF(INDEX(Backlog!$K$2:$K$188,MATCH($A52,Backlog!$A$2:$A$188,0))="","",INDEX(Backlog!$K$2:$K$188,MATCH($A52,Backlog!$A$2:$A$188,0)))</f>
        <v>Done</v>
      </c>
      <c r="F52" s="38" t="str">
        <f>IF(ISNUMBER(INDEX(Backlog!$AT$2:$AT$188,MATCH($A52,Backlog!$A$2:$A$188,0))),INDEX(Backlog!$AT$2:$AT$188,MATCH($A52,Backlog!$A$2:$A$188,0)),"")</f>
        <v/>
      </c>
      <c r="G52" s="38" t="str">
        <f>IF(INDEX(Backlog!$M$2:$M$188,MATCH($A52,Backlog!$A$2:$A$188,0))="","",INDEX(Backlog!$M$2:$M$188,MATCH($A52,Backlog!$A$2:$A$188,0)))</f>
        <v>T-241; T-210</v>
      </c>
      <c r="H52" s="38" t="str">
        <f>IF(INDEX(Backlog!$N$2:$N$188,MATCH($A52,Backlog!$A$2:$A$188,0))="","",INDEX(Backlog!$N$2:$N$188,MATCH($A52,Backlog!$A$2:$A$188,0)))</f>
        <v>T-243; T-247; T-261</v>
      </c>
      <c r="I52" s="38" t="str">
        <f>IF(INDEX(Backlog!$T$2:$T$188,MATCH($A52,Backlog!$A$2:$A$188,0))="","",INDEX(Backlog!$T$2:$T$188,MATCH($A52,Backlog!$A$2:$A$188,0)))</f>
        <v>CLOSED BASELINE — no new start gate and no re-execution implied. Preserve accepted closure and clean owned scope; reopen only on a concrete, separately recorded regression. Downstream consumes the frozen contract.</v>
      </c>
      <c r="J52" s="32" t="str">
        <f>IF(INDEX(Backlog!$AN$2:$AN$188,MATCH($A52,Backlog!$A$2:$A$188,0))="","",INDEX(Backlog!$AN$2:$AN$188,MATCH($A52,Backlog!$A$2:$A$188,0)))</f>
        <v/>
      </c>
    </row>
    <row r="53" spans="1:10" ht="26.1" customHeight="1">
      <c r="A53" s="38" t="s">
        <v>696</v>
      </c>
      <c r="B53" s="38" t="str">
        <f>IF(INDEX(Backlog!$B$2:$B$188,MATCH($A53,Backlog!$A$2:$A$188,0))="","",INDEX(Backlog!$B$2:$B$188,MATCH($A53,Backlog!$A$2:$A$188,0)))</f>
        <v>M2</v>
      </c>
      <c r="C53" s="38" t="str">
        <f>IF(INDEX(Backlog!$C$2:$C$188,MATCH($A53,Backlog!$A$2:$A$188,0))="","",INDEX(Backlog!$C$2:$C$188,MATCH($A53,Backlog!$A$2:$A$188,0)))</f>
        <v>P2</v>
      </c>
      <c r="D53" s="38" t="str">
        <f>IF(INDEX(Backlog!$L$2:$L$188,MATCH($A53,Backlog!$A$2:$A$188,0))="","",INDEX(Backlog!$L$2:$L$188,MATCH($A53,Backlog!$A$2:$A$188,0)))</f>
        <v>Worker 2</v>
      </c>
      <c r="E53" s="70" t="str">
        <f>IF(INDEX(Backlog!$K$2:$K$188,MATCH($A53,Backlog!$A$2:$A$188,0))="","",INDEX(Backlog!$K$2:$K$188,MATCH($A53,Backlog!$A$2:$A$188,0)))</f>
        <v>Done</v>
      </c>
      <c r="F53" s="38" t="str">
        <f>IF(ISNUMBER(INDEX(Backlog!$AT$2:$AT$188,MATCH($A53,Backlog!$A$2:$A$188,0))),INDEX(Backlog!$AT$2:$AT$188,MATCH($A53,Backlog!$A$2:$A$188,0)),"")</f>
        <v/>
      </c>
      <c r="G53" s="38" t="str">
        <f>IF(INDEX(Backlog!$M$2:$M$188,MATCH($A53,Backlog!$A$2:$A$188,0))="","",INDEX(Backlog!$M$2:$M$188,MATCH($A53,Backlog!$A$2:$A$188,0)))</f>
        <v>T-241; T-242; T-089; T-090; T-253</v>
      </c>
      <c r="H53" s="38" t="str">
        <f>IF(INDEX(Backlog!$N$2:$N$188,MATCH($A53,Backlog!$A$2:$A$188,0))="","",INDEX(Backlog!$N$2:$N$188,MATCH($A53,Backlog!$A$2:$A$188,0)))</f>
        <v>T-245; T-246; T-247; T-248; T-261; T-262</v>
      </c>
      <c r="I53" s="38" t="str">
        <f>IF(INDEX(Backlog!$T$2:$T$188,MATCH($A53,Backlog!$A$2:$A$188,0))="","",INDEX(Backlog!$T$2:$T$188,MATCH($A53,Backlog!$A$2:$A$188,0)))</f>
        <v>Consume accepted producer contracts; remaining dependencies: T-241; T-242; T-089; T-090; T-253. No private scheduler/definition authority. Source-present is not closure proof.</v>
      </c>
      <c r="J53" s="32" t="str">
        <f>IF(INDEX(Backlog!$AN$2:$AN$188,MATCH($A53,Backlog!$A$2:$A$188,0))="","",INDEX(Backlog!$AN$2:$AN$188,MATCH($A53,Backlog!$A$2:$A$188,0)))</f>
        <v/>
      </c>
    </row>
    <row r="54" spans="1:10" ht="26.1" customHeight="1">
      <c r="A54" s="38" t="s">
        <v>710</v>
      </c>
      <c r="B54" s="38" t="str">
        <f>IF(INDEX(Backlog!$B$2:$B$188,MATCH($A54,Backlog!$A$2:$A$188,0))="","",INDEX(Backlog!$B$2:$B$188,MATCH($A54,Backlog!$A$2:$A$188,0)))</f>
        <v>M2</v>
      </c>
      <c r="C54" s="38" t="str">
        <f>IF(INDEX(Backlog!$C$2:$C$188,MATCH($A54,Backlog!$A$2:$A$188,0))="","",INDEX(Backlog!$C$2:$C$188,MATCH($A54,Backlog!$A$2:$A$188,0)))</f>
        <v>P2</v>
      </c>
      <c r="D54" s="38" t="str">
        <f>IF(INDEX(Backlog!$L$2:$L$188,MATCH($A54,Backlog!$A$2:$A$188,0))="","",INDEX(Backlog!$L$2:$L$188,MATCH($A54,Backlog!$A$2:$A$188,0)))</f>
        <v>Worker 2</v>
      </c>
      <c r="E54" s="70" t="str">
        <f>IF(INDEX(Backlog!$K$2:$K$188,MATCH($A54,Backlog!$A$2:$A$188,0))="","",INDEX(Backlog!$K$2:$K$188,MATCH($A54,Backlog!$A$2:$A$188,0)))</f>
        <v>Done</v>
      </c>
      <c r="F54" s="38" t="str">
        <f>IF(ISNUMBER(INDEX(Backlog!$AT$2:$AT$188,MATCH($A54,Backlog!$A$2:$A$188,0))),INDEX(Backlog!$AT$2:$AT$188,MATCH($A54,Backlog!$A$2:$A$188,0)),"")</f>
        <v/>
      </c>
      <c r="G54" s="38" t="str">
        <f>IF(INDEX(Backlog!$M$2:$M$188,MATCH($A54,Backlog!$A$2:$A$188,0))="","",INDEX(Backlog!$M$2:$M$188,MATCH($A54,Backlog!$A$2:$A$188,0)))</f>
        <v>T-035; T-036; T-089; T-090</v>
      </c>
      <c r="H54" s="38" t="str">
        <f>IF(INDEX(Backlog!$N$2:$N$188,MATCH($A54,Backlog!$A$2:$A$188,0))="","",INDEX(Backlog!$N$2:$N$188,MATCH($A54,Backlog!$A$2:$A$188,0)))</f>
        <v>T-245; T-247; T-248; T-253</v>
      </c>
      <c r="I54" s="38" t="str">
        <f>IF(INDEX(Backlog!$T$2:$T$188,MATCH($A54,Backlog!$A$2:$A$188,0))="","",INDEX(Backlog!$T$2:$T$188,MATCH($A54,Backlog!$A$2:$A$188,0)))</f>
        <v>CLOSED BASELINE — no new start gate and no re-execution implied. Preserve accepted closure and clean owned scope; reopen only on a concrete, separately recorded regression. Downstream consumes the frozen contract.</v>
      </c>
      <c r="J54" s="32" t="str">
        <f>IF(INDEX(Backlog!$AN$2:$AN$188,MATCH($A54,Backlog!$A$2:$A$188,0))="","",INDEX(Backlog!$AN$2:$AN$188,MATCH($A54,Backlog!$A$2:$A$188,0)))</f>
        <v/>
      </c>
    </row>
    <row r="55" spans="1:10" ht="26.1" customHeight="1">
      <c r="A55" s="38" t="s">
        <v>723</v>
      </c>
      <c r="B55" s="38" t="str">
        <f>IF(INDEX(Backlog!$B$2:$B$188,MATCH($A55,Backlog!$A$2:$A$188,0))="","",INDEX(Backlog!$B$2:$B$188,MATCH($A55,Backlog!$A$2:$A$188,0)))</f>
        <v>M2</v>
      </c>
      <c r="C55" s="38" t="str">
        <f>IF(INDEX(Backlog!$C$2:$C$188,MATCH($A55,Backlog!$A$2:$A$188,0))="","",INDEX(Backlog!$C$2:$C$188,MATCH($A55,Backlog!$A$2:$A$188,0)))</f>
        <v>P2</v>
      </c>
      <c r="D55" s="38" t="str">
        <f>IF(INDEX(Backlog!$L$2:$L$188,MATCH($A55,Backlog!$A$2:$A$188,0))="","",INDEX(Backlog!$L$2:$L$188,MATCH($A55,Backlog!$A$2:$A$188,0)))</f>
        <v>Worker 2</v>
      </c>
      <c r="E55" s="70" t="str">
        <f>IF(INDEX(Backlog!$K$2:$K$188,MATCH($A55,Backlog!$A$2:$A$188,0))="","",INDEX(Backlog!$K$2:$K$188,MATCH($A55,Backlog!$A$2:$A$188,0)))</f>
        <v>Not Started</v>
      </c>
      <c r="F55" s="38">
        <f>IF(ISNUMBER(INDEX(Backlog!$AT$2:$AT$188,MATCH($A55,Backlog!$A$2:$A$188,0))),INDEX(Backlog!$AT$2:$AT$188,MATCH($A55,Backlog!$A$2:$A$188,0)),"")</f>
        <v>5.0999999999999996</v>
      </c>
      <c r="G55" s="38" t="str">
        <f>IF(INDEX(Backlog!$M$2:$M$188,MATCH($A55,Backlog!$A$2:$A$188,0))="","",INDEX(Backlog!$M$2:$M$188,MATCH($A55,Backlog!$A$2:$A$188,0)))</f>
        <v>T-243; T-244; T-106; T-261; T-262</v>
      </c>
      <c r="H55" s="38" t="str">
        <f>IF(INDEX(Backlog!$N$2:$N$188,MATCH($A55,Backlog!$A$2:$A$188,0))="","",INDEX(Backlog!$N$2:$N$188,MATCH($A55,Backlog!$A$2:$A$188,0)))</f>
        <v>T-247; T-248</v>
      </c>
      <c r="I55" s="38" t="str">
        <f>IF(INDEX(Backlog!$T$2:$T$188,MATCH($A55,Backlog!$A$2:$A$188,0))="","",INDEX(Backlog!$T$2:$T$188,MATCH($A55,Backlog!$A$2:$A$188,0)))</f>
        <v>QUEUED after T-261 closure; current mutation sequence is T-099 → T-100 → T-261 → T-245. T-245 consumes the proven executor/runtime and per-block evidence, never recreates them. Retain all listed canonical prerequisite contracts.</v>
      </c>
      <c r="J55" s="32" t="str">
        <f>IF(INDEX(Backlog!$AN$2:$AN$188,MATCH($A55,Backlog!$A$2:$A$188,0))="","",INDEX(Backlog!$AN$2:$AN$188,MATCH($A55,Backlog!$A$2:$A$188,0)))</f>
        <v/>
      </c>
    </row>
    <row r="56" spans="1:10" ht="26.1" customHeight="1">
      <c r="A56" s="38" t="s">
        <v>737</v>
      </c>
      <c r="B56" s="38" t="str">
        <f>IF(INDEX(Backlog!$B$2:$B$188,MATCH($A56,Backlog!$A$2:$A$188,0))="","",INDEX(Backlog!$B$2:$B$188,MATCH($A56,Backlog!$A$2:$A$188,0)))</f>
        <v>M2</v>
      </c>
      <c r="C56" s="38" t="str">
        <f>IF(INDEX(Backlog!$C$2:$C$188,MATCH($A56,Backlog!$A$2:$A$188,0))="","",INDEX(Backlog!$C$2:$C$188,MATCH($A56,Backlog!$A$2:$A$188,0)))</f>
        <v>P2</v>
      </c>
      <c r="D56" s="38" t="str">
        <f>IF(INDEX(Backlog!$L$2:$L$188,MATCH($A56,Backlog!$A$2:$A$188,0))="","",INDEX(Backlog!$L$2:$L$188,MATCH($A56,Backlog!$A$2:$A$188,0)))</f>
        <v>Worker 2</v>
      </c>
      <c r="E56" s="70" t="str">
        <f>IF(INDEX(Backlog!$K$2:$K$188,MATCH($A56,Backlog!$A$2:$A$188,0))="","",INDEX(Backlog!$K$2:$K$188,MATCH($A56,Backlog!$A$2:$A$188,0)))</f>
        <v>Not Started</v>
      </c>
      <c r="F56" s="38">
        <f>IF(ISNUMBER(INDEX(Backlog!$AT$2:$AT$188,MATCH($A56,Backlog!$A$2:$A$188,0))),INDEX(Backlog!$AT$2:$AT$188,MATCH($A56,Backlog!$A$2:$A$188,0)),"")</f>
        <v>5.0999999999999996</v>
      </c>
      <c r="G56" s="38" t="str">
        <f>IF(INDEX(Backlog!$M$2:$M$188,MATCH($A56,Backlog!$A$2:$A$188,0))="","",INDEX(Backlog!$M$2:$M$188,MATCH($A56,Backlog!$A$2:$A$188,0)))</f>
        <v>T-092; T-207; T-212; T-213; T-241; T-242; T-243; T-244; T-245; T-253; T-254; T-256; T-258; T-104; T-108; T-211; T-235; T-262; T-125; T-265; T-266; T-274</v>
      </c>
      <c r="H56" s="38" t="str">
        <f>IF(INDEX(Backlog!$N$2:$N$188,MATCH($A56,Backlog!$A$2:$A$188,0))="","",INDEX(Backlog!$N$2:$N$188,MATCH($A56,Backlog!$A$2:$A$188,0)))</f>
        <v>T-150</v>
      </c>
      <c r="I56" s="38" t="str">
        <f>IF(INDEX(Backlog!$T$2:$T$188,MATCH($A56,Backlog!$A$2:$A$188,0))="","",INDEX(Backlog!$T$2:$T$188,MATCH($A56,Backlog!$A$2:$A$188,0)))</f>
        <v>T-213 complete + T-092 green.
v2.22.1 — Completion prerequisites are the task IDs in column M; contract-only predecessors, if any, are exclusively in column AN. Do not use the rejected v2.22.0 positional columns.</v>
      </c>
      <c r="J56" s="32" t="str">
        <f>IF(INDEX(Backlog!$AN$2:$AN$188,MATCH($A56,Backlog!$A$2:$A$188,0))="","",INDEX(Backlog!$AN$2:$AN$188,MATCH($A56,Backlog!$A$2:$A$188,0)))</f>
        <v/>
      </c>
    </row>
    <row r="57" spans="1:10" ht="26.1" customHeight="1">
      <c r="A57" s="38" t="s">
        <v>749</v>
      </c>
      <c r="B57" s="38" t="str">
        <f>IF(INDEX(Backlog!$B$2:$B$188,MATCH($A57,Backlog!$A$2:$A$188,0))="","",INDEX(Backlog!$B$2:$B$188,MATCH($A57,Backlog!$A$2:$A$188,0)))</f>
        <v>M2</v>
      </c>
      <c r="C57" s="38" t="str">
        <f>IF(INDEX(Backlog!$C$2:$C$188,MATCH($A57,Backlog!$A$2:$A$188,0))="","",INDEX(Backlog!$C$2:$C$188,MATCH($A57,Backlog!$A$2:$A$188,0)))</f>
        <v>P2</v>
      </c>
      <c r="D57" s="38" t="str">
        <f>IF(INDEX(Backlog!$L$2:$L$188,MATCH($A57,Backlog!$A$2:$A$188,0))="","",INDEX(Backlog!$L$2:$L$188,MATCH($A57,Backlog!$A$2:$A$188,0)))</f>
        <v>Worker 2</v>
      </c>
      <c r="E57" s="70" t="str">
        <f>IF(INDEX(Backlog!$K$2:$K$188,MATCH($A57,Backlog!$A$2:$A$188,0))="","",INDEX(Backlog!$K$2:$K$188,MATCH($A57,Backlog!$A$2:$A$188,0)))</f>
        <v>Done</v>
      </c>
      <c r="F57" s="38">
        <f>IF(ISNUMBER(INDEX(Backlog!$AT$2:$AT$188,MATCH($A57,Backlog!$A$2:$A$188,0))),INDEX(Backlog!$AT$2:$AT$188,MATCH($A57,Backlog!$A$2:$A$188,0)),"")</f>
        <v>4.8</v>
      </c>
      <c r="G57" s="38" t="str">
        <f>IF(INDEX(Backlog!$M$2:$M$188,MATCH($A57,Backlog!$A$2:$A$188,0))="","",INDEX(Backlog!$M$2:$M$188,MATCH($A57,Backlog!$A$2:$A$188,0)))</f>
        <v>T-094; T-209; T-241; T-244</v>
      </c>
      <c r="H57" s="38" t="str">
        <f>IF(INDEX(Backlog!$N$2:$N$188,MATCH($A57,Backlog!$A$2:$A$188,0))="","",INDEX(Backlog!$N$2:$N$188,MATCH($A57,Backlog!$A$2:$A$188,0)))</f>
        <v>T-150; T-243; T-247; T-256; T-262</v>
      </c>
      <c r="I57" s="38" t="str">
        <f>IF(INDEX(Backlog!$T$2:$T$188,MATCH($A57,Backlog!$A$2:$A$188,0))="","",INDEX(Backlog!$T$2:$T$188,MATCH($A57,Backlog!$A$2:$A$188,0)))</f>
        <v>CLOSED BASELINE — no new start gate and no re-execution implied. Preserve accepted closure and clean owned scope; reopen only on a concrete, separately recorded regression. Downstream consumes the frozen contract.</v>
      </c>
      <c r="J57" s="32" t="str">
        <f>IF(INDEX(Backlog!$AN$2:$AN$188,MATCH($A57,Backlog!$A$2:$A$188,0))="","",INDEX(Backlog!$AN$2:$AN$188,MATCH($A57,Backlog!$A$2:$A$188,0)))</f>
        <v/>
      </c>
    </row>
    <row r="58" spans="1:10" ht="26.1" customHeight="1">
      <c r="A58" s="38" t="s">
        <v>759</v>
      </c>
      <c r="B58" s="38" t="str">
        <f>IF(INDEX(Backlog!$B$2:$B$188,MATCH($A58,Backlog!$A$2:$A$188,0))="","",INDEX(Backlog!$B$2:$B$188,MATCH($A58,Backlog!$A$2:$A$188,0)))</f>
        <v>M2</v>
      </c>
      <c r="C58" s="38" t="str">
        <f>IF(INDEX(Backlog!$C$2:$C$188,MATCH($A58,Backlog!$A$2:$A$188,0))="","",INDEX(Backlog!$C$2:$C$188,MATCH($A58,Backlog!$A$2:$A$188,0)))</f>
        <v>P2</v>
      </c>
      <c r="D58" s="38" t="str">
        <f>IF(INDEX(Backlog!$L$2:$L$188,MATCH($A58,Backlog!$A$2:$A$188,0))="","",INDEX(Backlog!$L$2:$L$188,MATCH($A58,Backlog!$A$2:$A$188,0)))</f>
        <v>Worker 2</v>
      </c>
      <c r="E58" s="70" t="str">
        <f>IF(INDEX(Backlog!$K$2:$K$188,MATCH($A58,Backlog!$A$2:$A$188,0))="","",INDEX(Backlog!$K$2:$K$188,MATCH($A58,Backlog!$A$2:$A$188,0)))</f>
        <v>In Progress</v>
      </c>
      <c r="F58" s="38" t="str">
        <f>IF(ISNUMBER(INDEX(Backlog!$AT$2:$AT$188,MATCH($A58,Backlog!$A$2:$A$188,0))),INDEX(Backlog!$AT$2:$AT$188,MATCH($A58,Backlog!$A$2:$A$188,0)),"")</f>
        <v/>
      </c>
      <c r="G58" s="38" t="str">
        <f>IF(INDEX(Backlog!$M$2:$M$188,MATCH($A58,Backlog!$A$2:$A$188,0))="","",INDEX(Backlog!$M$2:$M$188,MATCH($A58,Backlog!$A$2:$A$188,0)))</f>
        <v>T-207</v>
      </c>
      <c r="H58" s="38" t="str">
        <f>IF(INDEX(Backlog!$N$2:$N$188,MATCH($A58,Backlog!$A$2:$A$188,0))="","",INDEX(Backlog!$N$2:$N$188,MATCH($A58,Backlog!$A$2:$A$188,0)))</f>
        <v>T-150; T-153; T-247</v>
      </c>
      <c r="I58" s="38" t="str">
        <f>IF(INDEX(Backlog!$T$2:$T$188,MATCH($A58,Backlog!$A$2:$A$188,0))="","",INDEX(Backlog!$T$2:$T$188,MATCH($A58,Backlog!$A$2:$A$188,0)))</f>
        <v>Original UI/website convergence is frozen at f8a35725. Only the v2.22 backend-provider-authority delta is outstanding. Consume T-207 and existing contracts on disjoint paths; column M remains the completion-prerequisite list. This is not permission to redo the closed UI/website scope.</v>
      </c>
      <c r="J58" s="32" t="str">
        <f>IF(INDEX(Backlog!$AN$2:$AN$188,MATCH($A58,Backlog!$A$2:$A$188,0))="","",INDEX(Backlog!$AN$2:$AN$188,MATCH($A58,Backlog!$A$2:$A$188,0)))</f>
        <v/>
      </c>
    </row>
    <row r="59" spans="1:10" ht="26.1" customHeight="1">
      <c r="A59" s="38" t="s">
        <v>772</v>
      </c>
      <c r="B59" s="38" t="str">
        <f>IF(INDEX(Backlog!$B$2:$B$188,MATCH($A59,Backlog!$A$2:$A$188,0))="","",INDEX(Backlog!$B$2:$B$188,MATCH($A59,Backlog!$A$2:$A$188,0)))</f>
        <v>M2</v>
      </c>
      <c r="C59" s="38" t="str">
        <f>IF(INDEX(Backlog!$C$2:$C$188,MATCH($A59,Backlog!$A$2:$A$188,0))="","",INDEX(Backlog!$C$2:$C$188,MATCH($A59,Backlog!$A$2:$A$188,0)))</f>
        <v>P2</v>
      </c>
      <c r="D59" s="38" t="str">
        <f>IF(INDEX(Backlog!$L$2:$L$188,MATCH($A59,Backlog!$A$2:$A$188,0))="","",INDEX(Backlog!$L$2:$L$188,MATCH($A59,Backlog!$A$2:$A$188,0)))</f>
        <v>Worker 2</v>
      </c>
      <c r="E59" s="70" t="str">
        <f>IF(INDEX(Backlog!$K$2:$K$188,MATCH($A59,Backlog!$A$2:$A$188,0))="","",INDEX(Backlog!$K$2:$K$188,MATCH($A59,Backlog!$A$2:$A$188,0)))</f>
        <v>In Progress</v>
      </c>
      <c r="F59" s="38">
        <f>IF(ISNUMBER(INDEX(Backlog!$AT$2:$AT$188,MATCH($A59,Backlog!$A$2:$A$188,0))),INDEX(Backlog!$AT$2:$AT$188,MATCH($A59,Backlog!$A$2:$A$188,0)),"")</f>
        <v>5.0999999999999996</v>
      </c>
      <c r="G59" s="38" t="str">
        <f>IF(INDEX(Backlog!$M$2:$M$188,MATCH($A59,Backlog!$A$2:$A$188,0))="","",INDEX(Backlog!$M$2:$M$188,MATCH($A59,Backlog!$A$2:$A$188,0)))</f>
        <v>T-106; T-241; T-242; T-243; T-099; T-262; T-100</v>
      </c>
      <c r="H59" s="38" t="str">
        <f>IF(INDEX(Backlog!$N$2:$N$188,MATCH($A59,Backlog!$A$2:$A$188,0))="","",INDEX(Backlog!$N$2:$N$188,MATCH($A59,Backlog!$A$2:$A$188,0)))</f>
        <v>T-104; T-245</v>
      </c>
      <c r="I59" s="38" t="str">
        <f>IF(INDEX(Backlog!$T$2:$T$188,MATCH($A59,Backlog!$A$2:$A$188,0))="","",INDEX(Backlog!$T$2:$T$188,MATCH($A59,Backlog!$A$2:$A$188,0)))</f>
        <v>HELD PENDING T-100 COMMIT. Latest CENTRAL reset supersedes T-099→T-261→T-100. Current mutation order: T-099 → T-100 → T-261 → T-245. T-099 is closed frozen ancestry at ca02b40ea1b69050a45cb35a3e1d64f15b1f66af. No Worker-2 host mutation, staging, commit, final preimage hashes, final migration number, census, interim runner or re-anchoring before CENTRAL supplies the final T-100 SHA. After it arrives, one bounded delta over changed owned paths, shared DI/DbContext/topology/manifest, committed projection-validation contracts, current runtime surfaces and actual migration frontier; then re-anchor T-261. Other prerequisite acceptance remains applicable; receipt of the SHA does not itself prove runtime acceptance.</v>
      </c>
      <c r="J59" s="32" t="str">
        <f>IF(INDEX(Backlog!$AN$2:$AN$188,MATCH($A59,Backlog!$A$2:$A$188,0))="","",INDEX(Backlog!$AN$2:$AN$188,MATCH($A59,Backlog!$A$2:$A$188,0)))</f>
        <v/>
      </c>
    </row>
    <row r="60" spans="1:10" ht="26.1" customHeight="1">
      <c r="A60" s="38" t="s">
        <v>787</v>
      </c>
      <c r="B60" s="38" t="str">
        <f>IF(INDEX(Backlog!$B$2:$B$188,MATCH($A60,Backlog!$A$2:$A$188,0))="","",INDEX(Backlog!$B$2:$B$188,MATCH($A60,Backlog!$A$2:$A$188,0)))</f>
        <v>M2</v>
      </c>
      <c r="C60" s="38" t="str">
        <f>IF(INDEX(Backlog!$C$2:$C$188,MATCH($A60,Backlog!$A$2:$A$188,0))="","",INDEX(Backlog!$C$2:$C$188,MATCH($A60,Backlog!$A$2:$A$188,0)))</f>
        <v>P2</v>
      </c>
      <c r="D60" s="38" t="str">
        <f>IF(INDEX(Backlog!$L$2:$L$188,MATCH($A60,Backlog!$A$2:$A$188,0))="","",INDEX(Backlog!$L$2:$L$188,MATCH($A60,Backlog!$A$2:$A$188,0)))</f>
        <v>Worker 2</v>
      </c>
      <c r="E60" s="70" t="str">
        <f>IF(INDEX(Backlog!$K$2:$K$188,MATCH($A60,Backlog!$A$2:$A$188,0))="","",INDEX(Backlog!$K$2:$K$188,MATCH($A60,Backlog!$A$2:$A$188,0)))</f>
        <v>Done</v>
      </c>
      <c r="F60" s="38" t="str">
        <f>IF(ISNUMBER(INDEX(Backlog!$AT$2:$AT$188,MATCH($A60,Backlog!$A$2:$A$188,0))),INDEX(Backlog!$AT$2:$AT$188,MATCH($A60,Backlog!$A$2:$A$188,0)),"")</f>
        <v/>
      </c>
      <c r="G60" s="38" t="str">
        <f>IF(INDEX(Backlog!$M$2:$M$188,MATCH($A60,Backlog!$A$2:$A$188,0))="","",INDEX(Backlog!$M$2:$M$188,MATCH($A60,Backlog!$A$2:$A$188,0)))</f>
        <v>T-253; T-243</v>
      </c>
      <c r="H60" s="38" t="str">
        <f>IF(INDEX(Backlog!$N$2:$N$188,MATCH($A60,Backlog!$A$2:$A$188,0))="","",INDEX(Backlog!$N$2:$N$188,MATCH($A60,Backlog!$A$2:$A$188,0)))</f>
        <v>T-245; T-247; T-261</v>
      </c>
      <c r="I60" s="38" t="str">
        <f>IF(INDEX(Backlog!$T$2:$T$188,MATCH($A60,Backlog!$A$2:$A$188,0))="","",INDEX(Backlog!$T$2:$T$188,MATCH($A60,Backlog!$A$2:$A$188,0)))</f>
        <v>Consume accepted producer contracts; remaining dependencies: T-253; T-243. No private scheduler/definition authority. Source-present is not closure proof.
v2.22.1 — Completion prerequisites are the task IDs in column M; contract-only predecessors, if any, are exclusively in column AN. Do not use the rejected v2.22.0 positional columns.</v>
      </c>
      <c r="J60" s="32" t="str">
        <f>IF(INDEX(Backlog!$AN$2:$AN$188,MATCH($A60,Backlog!$A$2:$A$188,0))="","",INDEX(Backlog!$AN$2:$AN$188,MATCH($A60,Backlog!$A$2:$A$188,0)))</f>
        <v/>
      </c>
    </row>
    <row r="61" spans="1:10" ht="26.1" customHeight="1">
      <c r="A61" s="38" t="s">
        <v>806</v>
      </c>
      <c r="B61" s="38" t="str">
        <f>IF(INDEX(Backlog!$B$2:$B$188,MATCH($A61,Backlog!$A$2:$A$188,0))="","",INDEX(Backlog!$B$2:$B$188,MATCH($A61,Backlog!$A$2:$A$188,0)))</f>
        <v>M2</v>
      </c>
      <c r="C61" s="38" t="str">
        <f>IF(INDEX(Backlog!$C$2:$C$188,MATCH($A61,Backlog!$A$2:$A$188,0))="","",INDEX(Backlog!$C$2:$C$188,MATCH($A61,Backlog!$A$2:$A$188,0)))</f>
        <v>P3</v>
      </c>
      <c r="D61" s="38" t="str">
        <f>IF(INDEX(Backlog!$L$2:$L$188,MATCH($A61,Backlog!$A$2:$A$188,0))="","",INDEX(Backlog!$L$2:$L$188,MATCH($A61,Backlog!$A$2:$A$188,0)))</f>
        <v>Worker 2</v>
      </c>
      <c r="E61" s="70" t="str">
        <f>IF(INDEX(Backlog!$K$2:$K$188,MATCH($A61,Backlog!$A$2:$A$188,0))="","",INDEX(Backlog!$K$2:$K$188,MATCH($A61,Backlog!$A$2:$A$188,0)))</f>
        <v>Not Started</v>
      </c>
      <c r="F61" s="38">
        <f>IF(ISNUMBER(INDEX(Backlog!$AT$2:$AT$188,MATCH($A61,Backlog!$A$2:$A$188,0))),INDEX(Backlog!$AT$2:$AT$188,MATCH($A61,Backlog!$A$2:$A$188,0)),"")</f>
        <v>1.3333333333333333</v>
      </c>
      <c r="G61" s="38" t="str">
        <f>IF(INDEX(Backlog!$M$2:$M$188,MATCH($A61,Backlog!$A$2:$A$188,0))="","",INDEX(Backlog!$M$2:$M$188,MATCH($A61,Backlog!$A$2:$A$188,0)))</f>
        <v/>
      </c>
      <c r="H61" s="38" t="str">
        <f>IF(INDEX(Backlog!$N$2:$N$188,MATCH($A61,Backlog!$A$2:$A$188,0))="","",INDEX(Backlog!$N$2:$N$188,MATCH($A61,Backlog!$A$2:$A$188,0)))</f>
        <v>T-248</v>
      </c>
      <c r="I61" s="38" t="str">
        <f>IF(INDEX(Backlog!$T$2:$T$188,MATCH($A61,Backlog!$A$2:$A$188,0))="","",INDEX(Backlog!$T$2:$T$188,MATCH($A61,Backlog!$A$2:$A$188,0)))</f>
        <v>R1 route inventory and six shell contracts frozen. Contract-ready handoffs from T-196/T-197/T-198/T-199/T-200 are recorded separately in column AN. Do not wait for the entire M3 implementation or ship a simulated M3 page.</v>
      </c>
      <c r="J61" s="32" t="str">
        <f>IF(INDEX(Backlog!$AN$2:$AN$188,MATCH($A61,Backlog!$A$2:$A$188,0))="","",INDEX(Backlog!$AN$2:$AN$188,MATCH($A61,Backlog!$A$2:$A$188,0)))</f>
        <v>T-196; T-197; T-198; T-199; T-200; T-265; T-266</v>
      </c>
    </row>
    <row r="62" spans="1:10" ht="26.1" customHeight="1">
      <c r="A62" s="38" t="s">
        <v>642</v>
      </c>
      <c r="B62" s="38" t="str">
        <f>IF(INDEX(Backlog!$B$2:$B$188,MATCH($A62,Backlog!$A$2:$A$188,0))="","",INDEX(Backlog!$B$2:$B$188,MATCH($A62,Backlog!$A$2:$A$188,0)))</f>
        <v>M2</v>
      </c>
      <c r="C62" s="38" t="str">
        <f>IF(INDEX(Backlog!$C$2:$C$188,MATCH($A62,Backlog!$A$2:$A$188,0))="","",INDEX(Backlog!$C$2:$C$188,MATCH($A62,Backlog!$A$2:$A$188,0)))</f>
        <v>P3</v>
      </c>
      <c r="D62" s="38" t="str">
        <f>IF(INDEX(Backlog!$L$2:$L$188,MATCH($A62,Backlog!$A$2:$A$188,0))="","",INDEX(Backlog!$L$2:$L$188,MATCH($A62,Backlog!$A$2:$A$188,0)))</f>
        <v>Worker 2</v>
      </c>
      <c r="E62" s="70" t="str">
        <f>IF(INDEX(Backlog!$K$2:$K$188,MATCH($A62,Backlog!$A$2:$A$188,0))="","",INDEX(Backlog!$K$2:$K$188,MATCH($A62,Backlog!$A$2:$A$188,0)))</f>
        <v>Not Started</v>
      </c>
      <c r="F62" s="38">
        <f>IF(ISNUMBER(INDEX(Backlog!$AT$2:$AT$188,MATCH($A62,Backlog!$A$2:$A$188,0))),INDEX(Backlog!$AT$2:$AT$188,MATCH($A62,Backlog!$A$2:$A$188,0)),"")</f>
        <v>4</v>
      </c>
      <c r="G62" s="38" t="str">
        <f>IF(INDEX(Backlog!$M$2:$M$188,MATCH($A62,Backlog!$A$2:$A$188,0))="","",INDEX(Backlog!$M$2:$M$188,MATCH($A62,Backlog!$A$2:$A$188,0)))</f>
        <v>T-092; T-214; T-232</v>
      </c>
      <c r="H62" s="38" t="str">
        <f>IF(INDEX(Backlog!$N$2:$N$188,MATCH($A62,Backlog!$A$2:$A$188,0))="","",INDEX(Backlog!$N$2:$N$188,MATCH($A62,Backlog!$A$2:$A$188,0)))</f>
        <v>T-150; T-222</v>
      </c>
      <c r="I62" s="38" t="str">
        <f>IF(INDEX(Backlog!$T$2:$T$188,MATCH($A62,Backlog!$A$2:$A$188,0))="","",INDEX(Backlog!$T$2:$T$188,MATCH($A62,Backlog!$A$2:$A$188,0)))</f>
        <v>T-092 + T-214.</v>
      </c>
      <c r="J62" s="32" t="str">
        <f>IF(INDEX(Backlog!$AN$2:$AN$188,MATCH($A62,Backlog!$A$2:$A$188,0))="","",INDEX(Backlog!$AN$2:$AN$188,MATCH($A62,Backlog!$A$2:$A$188,0)))</f>
        <v/>
      </c>
    </row>
    <row r="63" spans="1:10" ht="26.1" customHeight="1">
      <c r="A63" s="38" t="s">
        <v>833</v>
      </c>
      <c r="B63" s="38" t="str">
        <f>IF(INDEX(Backlog!$B$2:$B$188,MATCH($A63,Backlog!$A$2:$A$188,0))="","",INDEX(Backlog!$B$2:$B$188,MATCH($A63,Backlog!$A$2:$A$188,0)))</f>
        <v>M2</v>
      </c>
      <c r="C63" s="38" t="str">
        <f>IF(INDEX(Backlog!$C$2:$C$188,MATCH($A63,Backlog!$A$2:$A$188,0))="","",INDEX(Backlog!$C$2:$C$188,MATCH($A63,Backlog!$A$2:$A$188,0)))</f>
        <v>P3</v>
      </c>
      <c r="D63" s="38" t="str">
        <f>IF(INDEX(Backlog!$L$2:$L$188,MATCH($A63,Backlog!$A$2:$A$188,0))="","",INDEX(Backlog!$L$2:$L$188,MATCH($A63,Backlog!$A$2:$A$188,0)))</f>
        <v>Worker 2</v>
      </c>
      <c r="E63" s="70" t="str">
        <f>IF(INDEX(Backlog!$K$2:$K$188,MATCH($A63,Backlog!$A$2:$A$188,0))="","",INDEX(Backlog!$K$2:$K$188,MATCH($A63,Backlog!$A$2:$A$188,0)))</f>
        <v>Not Started</v>
      </c>
      <c r="F63" s="38">
        <f>IF(ISNUMBER(INDEX(Backlog!$AT$2:$AT$188,MATCH($A63,Backlog!$A$2:$A$188,0))),INDEX(Backlog!$AT$2:$AT$188,MATCH($A63,Backlog!$A$2:$A$188,0)),"")</f>
        <v>4.25</v>
      </c>
      <c r="G63" s="38" t="str">
        <f>IF(INDEX(Backlog!$M$2:$M$188,MATCH($A63,Backlog!$A$2:$A$188,0))="","",INDEX(Backlog!$M$2:$M$188,MATCH($A63,Backlog!$A$2:$A$188,0)))</f>
        <v>T-219; T-220; T-215; T-203; T-204</v>
      </c>
      <c r="H63" s="38" t="str">
        <f>IF(INDEX(Backlog!$N$2:$N$188,MATCH($A63,Backlog!$A$2:$A$188,0))="","",INDEX(Backlog!$N$2:$N$188,MATCH($A63,Backlog!$A$2:$A$188,0)))</f>
        <v>T-150</v>
      </c>
      <c r="I63" s="38" t="str">
        <f>IF(INDEX(Backlog!$T$2:$T$188,MATCH($A63,Backlog!$A$2:$A$188,0))="","",INDEX(Backlog!$T$2:$T$188,MATCH($A63,Backlog!$A$2:$A$188,0)))</f>
        <v>T-219/T-220 result contract + T-215 + T-203/T-204. Do not create a demo-only store.</v>
      </c>
      <c r="J63" s="32" t="str">
        <f>IF(INDEX(Backlog!$AN$2:$AN$188,MATCH($A63,Backlog!$A$2:$A$188,0))="","",INDEX(Backlog!$AN$2:$AN$188,MATCH($A63,Backlog!$A$2:$A$188,0)))</f>
        <v/>
      </c>
    </row>
    <row r="64" spans="1:10" ht="26.1" customHeight="1">
      <c r="A64" s="38" t="s">
        <v>847</v>
      </c>
      <c r="B64" s="38" t="str">
        <f>IF(INDEX(Backlog!$B$2:$B$188,MATCH($A64,Backlog!$A$2:$A$188,0))="","",INDEX(Backlog!$B$2:$B$188,MATCH($A64,Backlog!$A$2:$A$188,0)))</f>
        <v>M2</v>
      </c>
      <c r="C64" s="38" t="str">
        <f>IF(INDEX(Backlog!$C$2:$C$188,MATCH($A64,Backlog!$A$2:$A$188,0))="","",INDEX(Backlog!$C$2:$C$188,MATCH($A64,Backlog!$A$2:$A$188,0)))</f>
        <v>P3</v>
      </c>
      <c r="D64" s="38" t="str">
        <f>IF(INDEX(Backlog!$L$2:$L$188,MATCH($A64,Backlog!$A$2:$A$188,0))="","",INDEX(Backlog!$L$2:$L$188,MATCH($A64,Backlog!$A$2:$A$188,0)))</f>
        <v>Worker 2</v>
      </c>
      <c r="E64" s="70" t="str">
        <f>IF(INDEX(Backlog!$K$2:$K$188,MATCH($A64,Backlog!$A$2:$A$188,0))="","",INDEX(Backlog!$K$2:$K$188,MATCH($A64,Backlog!$A$2:$A$188,0)))</f>
        <v>Not Started</v>
      </c>
      <c r="F64" s="38">
        <f>IF(ISNUMBER(INDEX(Backlog!$AT$2:$AT$188,MATCH($A64,Backlog!$A$2:$A$188,0))),INDEX(Backlog!$AT$2:$AT$188,MATCH($A64,Backlog!$A$2:$A$188,0)),"")</f>
        <v>3.4</v>
      </c>
      <c r="G64" s="38" t="str">
        <f>IF(INDEX(Backlog!$M$2:$M$188,MATCH($A64,Backlog!$A$2:$A$188,0))="","",INDEX(Backlog!$M$2:$M$188,MATCH($A64,Backlog!$A$2:$A$188,0)))</f>
        <v>T-094; T-250; T-256</v>
      </c>
      <c r="H64" s="38" t="str">
        <f>IF(INDEX(Backlog!$N$2:$N$188,MATCH($A64,Backlog!$A$2:$A$188,0))="","",INDEX(Backlog!$N$2:$N$188,MATCH($A64,Backlog!$A$2:$A$188,0)))</f>
        <v>T-150; T-247</v>
      </c>
      <c r="I64" s="38" t="str">
        <f>IF(INDEX(Backlog!$T$2:$T$188,MATCH($A64,Backlog!$A$2:$A$188,0))="","",INDEX(Backlog!$T$2:$T$188,MATCH($A64,Backlog!$A$2:$A$188,0)))</f>
        <v>WAIT for T-256 CLOSED and its frontend-consumer handoff manifest. Then perform bounded frontend-only convergence; do not re-investigate backend genericity.</v>
      </c>
      <c r="J64" s="32" t="str">
        <f>IF(INDEX(Backlog!$AN$2:$AN$188,MATCH($A64,Backlog!$A$2:$A$188,0))="","",INDEX(Backlog!$AN$2:$AN$188,MATCH($A64,Backlog!$A$2:$A$188,0)))</f>
        <v/>
      </c>
    </row>
    <row r="65" spans="1:10" ht="26.1" customHeight="1">
      <c r="A65" s="38" t="s">
        <v>857</v>
      </c>
      <c r="B65" s="38" t="str">
        <f>IF(INDEX(Backlog!$B$2:$B$188,MATCH($A65,Backlog!$A$2:$A$188,0))="","",INDEX(Backlog!$B$2:$B$188,MATCH($A65,Backlog!$A$2:$A$188,0)))</f>
        <v>M2</v>
      </c>
      <c r="C65" s="38" t="str">
        <f>IF(INDEX(Backlog!$C$2:$C$188,MATCH($A65,Backlog!$A$2:$A$188,0))="","",INDEX(Backlog!$C$2:$C$188,MATCH($A65,Backlog!$A$2:$A$188,0)))</f>
        <v>P4</v>
      </c>
      <c r="D65" s="38" t="str">
        <f>IF(INDEX(Backlog!$L$2:$L$188,MATCH($A65,Backlog!$A$2:$A$188,0))="","",INDEX(Backlog!$L$2:$L$188,MATCH($A65,Backlog!$A$2:$A$188,0)))</f>
        <v>CLOSED</v>
      </c>
      <c r="E65" s="70" t="str">
        <f>IF(INDEX(Backlog!$K$2:$K$188,MATCH($A65,Backlog!$A$2:$A$188,0))="","",INDEX(Backlog!$K$2:$K$188,MATCH($A65,Backlog!$A$2:$A$188,0)))</f>
        <v>Done</v>
      </c>
      <c r="F65" s="38">
        <f>IF(ISNUMBER(INDEX(Backlog!$AT$2:$AT$188,MATCH($A65,Backlog!$A$2:$A$188,0))),INDEX(Backlog!$AT$2:$AT$188,MATCH($A65,Backlog!$A$2:$A$188,0)),"")</f>
        <v>0</v>
      </c>
      <c r="G65" s="38" t="str">
        <f>IF(INDEX(Backlog!$M$2:$M$188,MATCH($A65,Backlog!$A$2:$A$188,0))="","",INDEX(Backlog!$M$2:$M$188,MATCH($A65,Backlog!$A$2:$A$188,0)))</f>
        <v/>
      </c>
      <c r="H65" s="38" t="str">
        <f>IF(INDEX(Backlog!$N$2:$N$188,MATCH($A65,Backlog!$A$2:$A$188,0))="","",INDEX(Backlog!$N$2:$N$188,MATCH($A65,Backlog!$A$2:$A$188,0)))</f>
        <v>T-122; T-138; T-246</v>
      </c>
      <c r="I65" s="38" t="str">
        <f>IF(INDEX(Backlog!$T$2:$T$188,MATCH($A65,Backlog!$A$2:$A$188,0))="","",INDEX(Backlog!$T$2:$T$188,MATCH($A65,Backlog!$A$2:$A$188,0)))</f>
        <v>CLOSED BASELINE — no new start gate and no re-execution implied. Preserve accepted closure and clean owned scope; reopen only on a concrete, separately recorded regression. Downstream consumes the frozen contract.</v>
      </c>
      <c r="J65" s="32" t="str">
        <f>IF(INDEX(Backlog!$AN$2:$AN$188,MATCH($A65,Backlog!$A$2:$A$188,0))="","",INDEX(Backlog!$AN$2:$AN$188,MATCH($A65,Backlog!$A$2:$A$188,0)))</f>
        <v/>
      </c>
    </row>
    <row r="66" spans="1:10" ht="26.1" customHeight="1">
      <c r="A66" s="38" t="s">
        <v>874</v>
      </c>
      <c r="B66" s="38" t="str">
        <f>IF(INDEX(Backlog!$B$2:$B$188,MATCH($A66,Backlog!$A$2:$A$188,0))="","",INDEX(Backlog!$B$2:$B$188,MATCH($A66,Backlog!$A$2:$A$188,0)))</f>
        <v>M2</v>
      </c>
      <c r="C66" s="38" t="str">
        <f>IF(INDEX(Backlog!$C$2:$C$188,MATCH($A66,Backlog!$A$2:$A$188,0))="","",INDEX(Backlog!$C$2:$C$188,MATCH($A66,Backlog!$A$2:$A$188,0)))</f>
        <v>P4</v>
      </c>
      <c r="D66" s="38" t="str">
        <f>IF(INDEX(Backlog!$L$2:$L$188,MATCH($A66,Backlog!$A$2:$A$188,0))="","",INDEX(Backlog!$L$2:$L$188,MATCH($A66,Backlog!$A$2:$A$188,0)))</f>
        <v>CLOSED</v>
      </c>
      <c r="E66" s="70" t="str">
        <f>IF(INDEX(Backlog!$K$2:$K$188,MATCH($A66,Backlog!$A$2:$A$188,0))="","",INDEX(Backlog!$K$2:$K$188,MATCH($A66,Backlog!$A$2:$A$188,0)))</f>
        <v>Done</v>
      </c>
      <c r="F66" s="38">
        <f>IF(ISNUMBER(INDEX(Backlog!$AT$2:$AT$188,MATCH($A66,Backlog!$A$2:$A$188,0))),INDEX(Backlog!$AT$2:$AT$188,MATCH($A66,Backlog!$A$2:$A$188,0)),"")</f>
        <v>0</v>
      </c>
      <c r="G66" s="38" t="str">
        <f>IF(INDEX(Backlog!$M$2:$M$188,MATCH($A66,Backlog!$A$2:$A$188,0))="","",INDEX(Backlog!$M$2:$M$188,MATCH($A66,Backlog!$A$2:$A$188,0)))</f>
        <v/>
      </c>
      <c r="H66" s="38" t="str">
        <f>IF(INDEX(Backlog!$N$2:$N$188,MATCH($A66,Backlog!$A$2:$A$188,0))="","",INDEX(Backlog!$N$2:$N$188,MATCH($A66,Backlog!$A$2:$A$188,0)))</f>
        <v>T-122; T-175; T-187</v>
      </c>
      <c r="I66" s="38" t="str">
        <f>IF(INDEX(Backlog!$T$2:$T$188,MATCH($A66,Backlog!$A$2:$A$188,0))="","",INDEX(Backlog!$T$2:$T$188,MATCH($A66,Backlog!$A$2:$A$188,0)))</f>
        <v>CLOSED BASELINE — no new start gate and no re-execution implied. Preserve accepted closure and clean owned scope; reopen only on a concrete, separately recorded regression. Downstream consumes the frozen contract.</v>
      </c>
      <c r="J66" s="32" t="str">
        <f>IF(INDEX(Backlog!$AN$2:$AN$188,MATCH($A66,Backlog!$A$2:$A$188,0))="","",INDEX(Backlog!$AN$2:$AN$188,MATCH($A66,Backlog!$A$2:$A$188,0)))</f>
        <v/>
      </c>
    </row>
    <row r="67" spans="1:10" ht="26.1" customHeight="1">
      <c r="A67" s="38" t="s">
        <v>883</v>
      </c>
      <c r="B67" s="38" t="str">
        <f>IF(INDEX(Backlog!$B$2:$B$188,MATCH($A67,Backlog!$A$2:$A$188,0))="","",INDEX(Backlog!$B$2:$B$188,MATCH($A67,Backlog!$A$2:$A$188,0)))</f>
        <v>M2</v>
      </c>
      <c r="C67" s="38" t="str">
        <f>IF(INDEX(Backlog!$C$2:$C$188,MATCH($A67,Backlog!$A$2:$A$188,0))="","",INDEX(Backlog!$C$2:$C$188,MATCH($A67,Backlog!$A$2:$A$188,0)))</f>
        <v>P4</v>
      </c>
      <c r="D67" s="38" t="str">
        <f>IF(INDEX(Backlog!$L$2:$L$188,MATCH($A67,Backlog!$A$2:$A$188,0))="","",INDEX(Backlog!$L$2:$L$188,MATCH($A67,Backlog!$A$2:$A$188,0)))</f>
        <v>CLOSED</v>
      </c>
      <c r="E67" s="70" t="str">
        <f>IF(INDEX(Backlog!$K$2:$K$188,MATCH($A67,Backlog!$A$2:$A$188,0))="","",INDEX(Backlog!$K$2:$K$188,MATCH($A67,Backlog!$A$2:$A$188,0)))</f>
        <v>Done</v>
      </c>
      <c r="F67" s="38">
        <f>IF(ISNUMBER(INDEX(Backlog!$AT$2:$AT$188,MATCH($A67,Backlog!$A$2:$A$188,0))),INDEX(Backlog!$AT$2:$AT$188,MATCH($A67,Backlog!$A$2:$A$188,0)),"")</f>
        <v>0</v>
      </c>
      <c r="G67" s="38" t="str">
        <f>IF(INDEX(Backlog!$M$2:$M$188,MATCH($A67,Backlog!$A$2:$A$188,0))="","",INDEX(Backlog!$M$2:$M$188,MATCH($A67,Backlog!$A$2:$A$188,0)))</f>
        <v/>
      </c>
      <c r="H67" s="38" t="str">
        <f>IF(INDEX(Backlog!$N$2:$N$188,MATCH($A67,Backlog!$A$2:$A$188,0))="","",INDEX(Backlog!$N$2:$N$188,MATCH($A67,Backlog!$A$2:$A$188,0)))</f>
        <v>T-175; T-184; T-187</v>
      </c>
      <c r="I67" s="38" t="str">
        <f>IF(INDEX(Backlog!$T$2:$T$188,MATCH($A67,Backlog!$A$2:$A$188,0))="","",INDEX(Backlog!$T$2:$T$188,MATCH($A67,Backlog!$A$2:$A$188,0)))</f>
        <v>CLOSED BASELINE — no new start gate and no re-execution implied. Preserve accepted closure and clean owned scope; reopen only on a concrete, separately recorded regression. Downstream consumes the frozen contract.</v>
      </c>
      <c r="J67" s="32" t="str">
        <f>IF(INDEX(Backlog!$AN$2:$AN$188,MATCH($A67,Backlog!$A$2:$A$188,0))="","",INDEX(Backlog!$AN$2:$AN$188,MATCH($A67,Backlog!$A$2:$A$188,0)))</f>
        <v/>
      </c>
    </row>
    <row r="68" spans="1:10" ht="26.1" customHeight="1">
      <c r="A68" s="38" t="s">
        <v>891</v>
      </c>
      <c r="B68" s="38" t="str">
        <f>IF(INDEX(Backlog!$B$2:$B$188,MATCH($A68,Backlog!$A$2:$A$188,0))="","",INDEX(Backlog!$B$2:$B$188,MATCH($A68,Backlog!$A$2:$A$188,0)))</f>
        <v>M2</v>
      </c>
      <c r="C68" s="38" t="str">
        <f>IF(INDEX(Backlog!$C$2:$C$188,MATCH($A68,Backlog!$A$2:$A$188,0))="","",INDEX(Backlog!$C$2:$C$188,MATCH($A68,Backlog!$A$2:$A$188,0)))</f>
        <v>P4</v>
      </c>
      <c r="D68" s="38" t="str">
        <f>IF(INDEX(Backlog!$L$2:$L$188,MATCH($A68,Backlog!$A$2:$A$188,0))="","",INDEX(Backlog!$L$2:$L$188,MATCH($A68,Backlog!$A$2:$A$188,0)))</f>
        <v>CLOSED</v>
      </c>
      <c r="E68" s="70" t="str">
        <f>IF(INDEX(Backlog!$K$2:$K$188,MATCH($A68,Backlog!$A$2:$A$188,0))="","",INDEX(Backlog!$K$2:$K$188,MATCH($A68,Backlog!$A$2:$A$188,0)))</f>
        <v>Done</v>
      </c>
      <c r="F68" s="38">
        <f>IF(ISNUMBER(INDEX(Backlog!$AT$2:$AT$188,MATCH($A68,Backlog!$A$2:$A$188,0))),INDEX(Backlog!$AT$2:$AT$188,MATCH($A68,Backlog!$A$2:$A$188,0)),"")</f>
        <v>0</v>
      </c>
      <c r="G68" s="38" t="str">
        <f>IF(INDEX(Backlog!$M$2:$M$188,MATCH($A68,Backlog!$A$2:$A$188,0))="","",INDEX(Backlog!$M$2:$M$188,MATCH($A68,Backlog!$A$2:$A$188,0)))</f>
        <v/>
      </c>
      <c r="H68" s="38" t="str">
        <f>IF(INDEX(Backlog!$N$2:$N$188,MATCH($A68,Backlog!$A$2:$A$188,0))="","",INDEX(Backlog!$N$2:$N$188,MATCH($A68,Backlog!$A$2:$A$188,0)))</f>
        <v>T-185; T-187</v>
      </c>
      <c r="I68" s="38" t="str">
        <f>IF(INDEX(Backlog!$T$2:$T$188,MATCH($A68,Backlog!$A$2:$A$188,0))="","",INDEX(Backlog!$T$2:$T$188,MATCH($A68,Backlog!$A$2:$A$188,0)))</f>
        <v>CLOSED BASELINE — no new start gate and no re-execution implied. Preserve accepted closure and clean owned scope; reopen only on a concrete, separately recorded regression. Downstream consumes the frozen contract.</v>
      </c>
      <c r="J68" s="32" t="str">
        <f>IF(INDEX(Backlog!$AN$2:$AN$188,MATCH($A68,Backlog!$A$2:$A$188,0))="","",INDEX(Backlog!$AN$2:$AN$188,MATCH($A68,Backlog!$A$2:$A$188,0)))</f>
        <v/>
      </c>
    </row>
    <row r="69" spans="1:10" ht="26.1" customHeight="1">
      <c r="A69" s="38" t="s">
        <v>897</v>
      </c>
      <c r="B69" s="38" t="str">
        <f>IF(INDEX(Backlog!$B$2:$B$188,MATCH($A69,Backlog!$A$2:$A$188,0))="","",INDEX(Backlog!$B$2:$B$188,MATCH($A69,Backlog!$A$2:$A$188,0)))</f>
        <v>M2</v>
      </c>
      <c r="C69" s="38" t="str">
        <f>IF(INDEX(Backlog!$C$2:$C$188,MATCH($A69,Backlog!$A$2:$A$188,0))="","",INDEX(Backlog!$C$2:$C$188,MATCH($A69,Backlog!$A$2:$A$188,0)))</f>
        <v>P4</v>
      </c>
      <c r="D69" s="38" t="str">
        <f>IF(INDEX(Backlog!$L$2:$L$188,MATCH($A69,Backlog!$A$2:$A$188,0))="","",INDEX(Backlog!$L$2:$L$188,MATCH($A69,Backlog!$A$2:$A$188,0)))</f>
        <v>CLOSED</v>
      </c>
      <c r="E69" s="70" t="str">
        <f>IF(INDEX(Backlog!$K$2:$K$188,MATCH($A69,Backlog!$A$2:$A$188,0))="","",INDEX(Backlog!$K$2:$K$188,MATCH($A69,Backlog!$A$2:$A$188,0)))</f>
        <v>Done</v>
      </c>
      <c r="F69" s="38">
        <f>IF(ISNUMBER(INDEX(Backlog!$AT$2:$AT$188,MATCH($A69,Backlog!$A$2:$A$188,0))),INDEX(Backlog!$AT$2:$AT$188,MATCH($A69,Backlog!$A$2:$A$188,0)),"")</f>
        <v>0</v>
      </c>
      <c r="G69" s="38" t="str">
        <f>IF(INDEX(Backlog!$M$2:$M$188,MATCH($A69,Backlog!$A$2:$A$188,0))="","",INDEX(Backlog!$M$2:$M$188,MATCH($A69,Backlog!$A$2:$A$188,0)))</f>
        <v/>
      </c>
      <c r="H69" s="38" t="str">
        <f>IF(INDEX(Backlog!$N$2:$N$188,MATCH($A69,Backlog!$A$2:$A$188,0))="","",INDEX(Backlog!$N$2:$N$188,MATCH($A69,Backlog!$A$2:$A$188,0)))</f>
        <v>T-131; T-186; T-187</v>
      </c>
      <c r="I69" s="38" t="str">
        <f>IF(INDEX(Backlog!$T$2:$T$188,MATCH($A69,Backlog!$A$2:$A$188,0))="","",INDEX(Backlog!$T$2:$T$188,MATCH($A69,Backlog!$A$2:$A$188,0)))</f>
        <v>CLOSED BASELINE — no new start gate and no re-execution implied. Preserve accepted closure and clean owned scope; reopen only on a concrete, separately recorded regression. Downstream consumes the frozen contract.</v>
      </c>
      <c r="J69" s="32" t="str">
        <f>IF(INDEX(Backlog!$AN$2:$AN$188,MATCH($A69,Backlog!$A$2:$A$188,0))="","",INDEX(Backlog!$AN$2:$AN$188,MATCH($A69,Backlog!$A$2:$A$188,0)))</f>
        <v/>
      </c>
    </row>
    <row r="70" spans="1:10" ht="26.1" customHeight="1">
      <c r="A70" s="38" t="s">
        <v>907</v>
      </c>
      <c r="B70" s="38" t="str">
        <f>IF(INDEX(Backlog!$B$2:$B$188,MATCH($A70,Backlog!$A$2:$A$188,0))="","",INDEX(Backlog!$B$2:$B$188,MATCH($A70,Backlog!$A$2:$A$188,0)))</f>
        <v>M2</v>
      </c>
      <c r="C70" s="38" t="str">
        <f>IF(INDEX(Backlog!$C$2:$C$188,MATCH($A70,Backlog!$A$2:$A$188,0))="","",INDEX(Backlog!$C$2:$C$188,MATCH($A70,Backlog!$A$2:$A$188,0)))</f>
        <v>P4</v>
      </c>
      <c r="D70" s="38" t="str">
        <f>IF(INDEX(Backlog!$L$2:$L$188,MATCH($A70,Backlog!$A$2:$A$188,0))="","",INDEX(Backlog!$L$2:$L$188,MATCH($A70,Backlog!$A$2:$A$188,0)))</f>
        <v>CLOSED</v>
      </c>
      <c r="E70" s="70" t="str">
        <f>IF(INDEX(Backlog!$K$2:$K$188,MATCH($A70,Backlog!$A$2:$A$188,0))="","",INDEX(Backlog!$K$2:$K$188,MATCH($A70,Backlog!$A$2:$A$188,0)))</f>
        <v>Done</v>
      </c>
      <c r="F70" s="38">
        <f>IF(ISNUMBER(INDEX(Backlog!$AT$2:$AT$188,MATCH($A70,Backlog!$A$2:$A$188,0))),INDEX(Backlog!$AT$2:$AT$188,MATCH($A70,Backlog!$A$2:$A$188,0)),"")</f>
        <v>0</v>
      </c>
      <c r="G70" s="38" t="str">
        <f>IF(INDEX(Backlog!$M$2:$M$188,MATCH($A70,Backlog!$A$2:$A$188,0))="","",INDEX(Backlog!$M$2:$M$188,MATCH($A70,Backlog!$A$2:$A$188,0)))</f>
        <v/>
      </c>
      <c r="H70" s="38" t="str">
        <f>IF(INDEX(Backlog!$N$2:$N$188,MATCH($A70,Backlog!$A$2:$A$188,0))="","",INDEX(Backlog!$N$2:$N$188,MATCH($A70,Backlog!$A$2:$A$188,0)))</f>
        <v>T-187</v>
      </c>
      <c r="I70" s="38" t="str">
        <f>IF(INDEX(Backlog!$T$2:$T$188,MATCH($A70,Backlog!$A$2:$A$188,0))="","",INDEX(Backlog!$T$2:$T$188,MATCH($A70,Backlog!$A$2:$A$188,0)))</f>
        <v>CLOSED BASELINE — no new start gate and no re-execution implied. Preserve accepted closure and clean owned scope; reopen only on a concrete, separately recorded regression. Downstream consumes the frozen contract.</v>
      </c>
      <c r="J70" s="32" t="str">
        <f>IF(INDEX(Backlog!$AN$2:$AN$188,MATCH($A70,Backlog!$A$2:$A$188,0))="","",INDEX(Backlog!$AN$2:$AN$188,MATCH($A70,Backlog!$A$2:$A$188,0)))</f>
        <v/>
      </c>
    </row>
    <row r="71" spans="1:10" ht="26.1" customHeight="1">
      <c r="A71" s="38" t="s">
        <v>914</v>
      </c>
      <c r="B71" s="38" t="str">
        <f>IF(INDEX(Backlog!$B$2:$B$188,MATCH($A71,Backlog!$A$2:$A$188,0))="","",INDEX(Backlog!$B$2:$B$188,MATCH($A71,Backlog!$A$2:$A$188,0)))</f>
        <v>M2</v>
      </c>
      <c r="C71" s="38" t="str">
        <f>IF(INDEX(Backlog!$C$2:$C$188,MATCH($A71,Backlog!$A$2:$A$188,0))="","",INDEX(Backlog!$C$2:$C$188,MATCH($A71,Backlog!$A$2:$A$188,0)))</f>
        <v>P4</v>
      </c>
      <c r="D71" s="38" t="str">
        <f>IF(INDEX(Backlog!$L$2:$L$188,MATCH($A71,Backlog!$A$2:$A$188,0))="","",INDEX(Backlog!$L$2:$L$188,MATCH($A71,Backlog!$A$2:$A$188,0)))</f>
        <v>CLOSED</v>
      </c>
      <c r="E71" s="70" t="str">
        <f>IF(INDEX(Backlog!$K$2:$K$188,MATCH($A71,Backlog!$A$2:$A$188,0))="","",INDEX(Backlog!$K$2:$K$188,MATCH($A71,Backlog!$A$2:$A$188,0)))</f>
        <v>Done</v>
      </c>
      <c r="F71" s="38">
        <f>IF(ISNUMBER(INDEX(Backlog!$AT$2:$AT$188,MATCH($A71,Backlog!$A$2:$A$188,0))),INDEX(Backlog!$AT$2:$AT$188,MATCH($A71,Backlog!$A$2:$A$188,0)),"")</f>
        <v>0</v>
      </c>
      <c r="G71" s="38" t="str">
        <f>IF(INDEX(Backlog!$M$2:$M$188,MATCH($A71,Backlog!$A$2:$A$188,0))="","",INDEX(Backlog!$M$2:$M$188,MATCH($A71,Backlog!$A$2:$A$188,0)))</f>
        <v/>
      </c>
      <c r="H71" s="38" t="str">
        <f>IF(INDEX(Backlog!$N$2:$N$188,MATCH($A71,Backlog!$A$2:$A$188,0))="","",INDEX(Backlog!$N$2:$N$188,MATCH($A71,Backlog!$A$2:$A$188,0)))</f>
        <v>T-140; T-187</v>
      </c>
      <c r="I71" s="38" t="str">
        <f>IF(INDEX(Backlog!$T$2:$T$188,MATCH($A71,Backlog!$A$2:$A$188,0))="","",INDEX(Backlog!$T$2:$T$188,MATCH($A71,Backlog!$A$2:$A$188,0)))</f>
        <v>CLOSED BASELINE — no new start gate and no re-execution implied. Preserve accepted closure and clean owned scope; reopen only on a concrete, separately recorded regression. Downstream consumes the frozen contract.</v>
      </c>
      <c r="J71" s="32" t="str">
        <f>IF(INDEX(Backlog!$AN$2:$AN$188,MATCH($A71,Backlog!$A$2:$A$188,0))="","",INDEX(Backlog!$AN$2:$AN$188,MATCH($A71,Backlog!$A$2:$A$188,0)))</f>
        <v/>
      </c>
    </row>
    <row r="72" spans="1:10" ht="26.1" customHeight="1">
      <c r="A72" s="38" t="s">
        <v>923</v>
      </c>
      <c r="B72" s="38" t="str">
        <f>IF(INDEX(Backlog!$B$2:$B$188,MATCH($A72,Backlog!$A$2:$A$188,0))="","",INDEX(Backlog!$B$2:$B$188,MATCH($A72,Backlog!$A$2:$A$188,0)))</f>
        <v>M2</v>
      </c>
      <c r="C72" s="38" t="str">
        <f>IF(INDEX(Backlog!$C$2:$C$188,MATCH($A72,Backlog!$A$2:$A$188,0))="","",INDEX(Backlog!$C$2:$C$188,MATCH($A72,Backlog!$A$2:$A$188,0)))</f>
        <v>P4</v>
      </c>
      <c r="D72" s="38" t="str">
        <f>IF(INDEX(Backlog!$L$2:$L$188,MATCH($A72,Backlog!$A$2:$A$188,0))="","",INDEX(Backlog!$L$2:$L$188,MATCH($A72,Backlog!$A$2:$A$188,0)))</f>
        <v>CLOSED</v>
      </c>
      <c r="E72" s="70" t="str">
        <f>IF(INDEX(Backlog!$K$2:$K$188,MATCH($A72,Backlog!$A$2:$A$188,0))="","",INDEX(Backlog!$K$2:$K$188,MATCH($A72,Backlog!$A$2:$A$188,0)))</f>
        <v>Done</v>
      </c>
      <c r="F72" s="38">
        <f>IF(ISNUMBER(INDEX(Backlog!$AT$2:$AT$188,MATCH($A72,Backlog!$A$2:$A$188,0))),INDEX(Backlog!$AT$2:$AT$188,MATCH($A72,Backlog!$A$2:$A$188,0)),"")</f>
        <v>0</v>
      </c>
      <c r="G72" s="38" t="str">
        <f>IF(INDEX(Backlog!$M$2:$M$188,MATCH($A72,Backlog!$A$2:$A$188,0))="","",INDEX(Backlog!$M$2:$M$188,MATCH($A72,Backlog!$A$2:$A$188,0)))</f>
        <v/>
      </c>
      <c r="H72" s="38" t="str">
        <f>IF(INDEX(Backlog!$N$2:$N$188,MATCH($A72,Backlog!$A$2:$A$188,0))="","",INDEX(Backlog!$N$2:$N$188,MATCH($A72,Backlog!$A$2:$A$188,0)))</f>
        <v>T-187</v>
      </c>
      <c r="I72" s="38" t="str">
        <f>IF(INDEX(Backlog!$T$2:$T$188,MATCH($A72,Backlog!$A$2:$A$188,0))="","",INDEX(Backlog!$T$2:$T$188,MATCH($A72,Backlog!$A$2:$A$188,0)))</f>
        <v>CLOSED BASELINE — no new start gate and no re-execution implied. Preserve accepted closure and clean owned scope; reopen only on a concrete, separately recorded regression. Downstream consumes the frozen contract.</v>
      </c>
      <c r="J72" s="32" t="str">
        <f>IF(INDEX(Backlog!$AN$2:$AN$188,MATCH($A72,Backlog!$A$2:$A$188,0))="","",INDEX(Backlog!$AN$2:$AN$188,MATCH($A72,Backlog!$A$2:$A$188,0)))</f>
        <v/>
      </c>
    </row>
    <row r="73" spans="1:10" ht="26.1" customHeight="1">
      <c r="A73" s="38" t="s">
        <v>929</v>
      </c>
      <c r="B73" s="38" t="str">
        <f>IF(INDEX(Backlog!$B$2:$B$188,MATCH($A73,Backlog!$A$2:$A$188,0))="","",INDEX(Backlog!$B$2:$B$188,MATCH($A73,Backlog!$A$2:$A$188,0)))</f>
        <v>M2</v>
      </c>
      <c r="C73" s="38" t="str">
        <f>IF(INDEX(Backlog!$C$2:$C$188,MATCH($A73,Backlog!$A$2:$A$188,0))="","",INDEX(Backlog!$C$2:$C$188,MATCH($A73,Backlog!$A$2:$A$188,0)))</f>
        <v>P4</v>
      </c>
      <c r="D73" s="38" t="str">
        <f>IF(INDEX(Backlog!$L$2:$L$188,MATCH($A73,Backlog!$A$2:$A$188,0))="","",INDEX(Backlog!$L$2:$L$188,MATCH($A73,Backlog!$A$2:$A$188,0)))</f>
        <v>CLOSED</v>
      </c>
      <c r="E73" s="70" t="str">
        <f>IF(INDEX(Backlog!$K$2:$K$188,MATCH($A73,Backlog!$A$2:$A$188,0))="","",INDEX(Backlog!$K$2:$K$188,MATCH($A73,Backlog!$A$2:$A$188,0)))</f>
        <v>Done</v>
      </c>
      <c r="F73" s="38">
        <f>IF(ISNUMBER(INDEX(Backlog!$AT$2:$AT$188,MATCH($A73,Backlog!$A$2:$A$188,0))),INDEX(Backlog!$AT$2:$AT$188,MATCH($A73,Backlog!$A$2:$A$188,0)),"")</f>
        <v>0</v>
      </c>
      <c r="G73" s="38" t="str">
        <f>IF(INDEX(Backlog!$M$2:$M$188,MATCH($A73,Backlog!$A$2:$A$188,0))="","",INDEX(Backlog!$M$2:$M$188,MATCH($A73,Backlog!$A$2:$A$188,0)))</f>
        <v>T-168; T-169</v>
      </c>
      <c r="H73" s="38" t="str">
        <f>IF(INDEX(Backlog!$N$2:$N$188,MATCH($A73,Backlog!$A$2:$A$188,0))="","",INDEX(Backlog!$N$2:$N$188,MATCH($A73,Backlog!$A$2:$A$188,0)))</f>
        <v>T-187</v>
      </c>
      <c r="I73" s="38" t="str">
        <f>IF(INDEX(Backlog!$T$2:$T$188,MATCH($A73,Backlog!$A$2:$A$188,0))="","",INDEX(Backlog!$T$2:$T$188,MATCH($A73,Backlog!$A$2:$A$188,0)))</f>
        <v>CLOSED BASELINE — no new start gate and no re-execution implied. Preserve accepted closure and clean owned scope; reopen only on a concrete, separately recorded regression. Downstream consumes the frozen contract.</v>
      </c>
      <c r="J73" s="32" t="str">
        <f>IF(INDEX(Backlog!$AN$2:$AN$188,MATCH($A73,Backlog!$A$2:$A$188,0))="","",INDEX(Backlog!$AN$2:$AN$188,MATCH($A73,Backlog!$A$2:$A$188,0)))</f>
        <v/>
      </c>
    </row>
    <row r="74" spans="1:10" ht="26.1" customHeight="1">
      <c r="A74" s="38" t="s">
        <v>936</v>
      </c>
      <c r="B74" s="38" t="str">
        <f>IF(INDEX(Backlog!$B$2:$B$188,MATCH($A74,Backlog!$A$2:$A$188,0))="","",INDEX(Backlog!$B$2:$B$188,MATCH($A74,Backlog!$A$2:$A$188,0)))</f>
        <v>M2</v>
      </c>
      <c r="C74" s="38" t="str">
        <f>IF(INDEX(Backlog!$C$2:$C$188,MATCH($A74,Backlog!$A$2:$A$188,0))="","",INDEX(Backlog!$C$2:$C$188,MATCH($A74,Backlog!$A$2:$A$188,0)))</f>
        <v>P4</v>
      </c>
      <c r="D74" s="38" t="str">
        <f>IF(INDEX(Backlog!$L$2:$L$188,MATCH($A74,Backlog!$A$2:$A$188,0))="","",INDEX(Backlog!$L$2:$L$188,MATCH($A74,Backlog!$A$2:$A$188,0)))</f>
        <v>CLOSED</v>
      </c>
      <c r="E74" s="70" t="str">
        <f>IF(INDEX(Backlog!$K$2:$K$188,MATCH($A74,Backlog!$A$2:$A$188,0))="","",INDEX(Backlog!$K$2:$K$188,MATCH($A74,Backlog!$A$2:$A$188,0)))</f>
        <v>Done</v>
      </c>
      <c r="F74" s="38">
        <f>IF(ISNUMBER(INDEX(Backlog!$AT$2:$AT$188,MATCH($A74,Backlog!$A$2:$A$188,0))),INDEX(Backlog!$AT$2:$AT$188,MATCH($A74,Backlog!$A$2:$A$188,0)),"")</f>
        <v>0</v>
      </c>
      <c r="G74" s="38" t="str">
        <f>IF(INDEX(Backlog!$M$2:$M$188,MATCH($A74,Backlog!$A$2:$A$188,0))="","",INDEX(Backlog!$M$2:$M$188,MATCH($A74,Backlog!$A$2:$A$188,0)))</f>
        <v/>
      </c>
      <c r="H74" s="38" t="str">
        <f>IF(INDEX(Backlog!$N$2:$N$188,MATCH($A74,Backlog!$A$2:$A$188,0))="","",INDEX(Backlog!$N$2:$N$188,MATCH($A74,Backlog!$A$2:$A$188,0)))</f>
        <v>T-140; T-187; T-191</v>
      </c>
      <c r="I74" s="38" t="str">
        <f>IF(INDEX(Backlog!$T$2:$T$188,MATCH($A74,Backlog!$A$2:$A$188,0))="","",INDEX(Backlog!$T$2:$T$188,MATCH($A74,Backlog!$A$2:$A$188,0)))</f>
        <v>CLOSED BASELINE — no new start gate and no re-execution implied. Preserve accepted closure and clean owned scope; reopen only on a concrete, separately recorded regression. Downstream consumes the frozen contract.</v>
      </c>
      <c r="J74" s="32" t="str">
        <f>IF(INDEX(Backlog!$AN$2:$AN$188,MATCH($A74,Backlog!$A$2:$A$188,0))="","",INDEX(Backlog!$AN$2:$AN$188,MATCH($A74,Backlog!$A$2:$A$188,0)))</f>
        <v/>
      </c>
    </row>
    <row r="75" spans="1:10" ht="26.1" customHeight="1">
      <c r="A75" s="38" t="s">
        <v>943</v>
      </c>
      <c r="B75" s="38" t="str">
        <f>IF(INDEX(Backlog!$B$2:$B$188,MATCH($A75,Backlog!$A$2:$A$188,0))="","",INDEX(Backlog!$B$2:$B$188,MATCH($A75,Backlog!$A$2:$A$188,0)))</f>
        <v>M2</v>
      </c>
      <c r="C75" s="38" t="str">
        <f>IF(INDEX(Backlog!$C$2:$C$188,MATCH($A75,Backlog!$A$2:$A$188,0))="","",INDEX(Backlog!$C$2:$C$188,MATCH($A75,Backlog!$A$2:$A$188,0)))</f>
        <v>P4</v>
      </c>
      <c r="D75" s="38" t="str">
        <f>IF(INDEX(Backlog!$L$2:$L$188,MATCH($A75,Backlog!$A$2:$A$188,0))="","",INDEX(Backlog!$L$2:$L$188,MATCH($A75,Backlog!$A$2:$A$188,0)))</f>
        <v>CLOSED</v>
      </c>
      <c r="E75" s="70" t="str">
        <f>IF(INDEX(Backlog!$K$2:$K$188,MATCH($A75,Backlog!$A$2:$A$188,0))="","",INDEX(Backlog!$K$2:$K$188,MATCH($A75,Backlog!$A$2:$A$188,0)))</f>
        <v>Done</v>
      </c>
      <c r="F75" s="38">
        <f>IF(ISNUMBER(INDEX(Backlog!$AT$2:$AT$188,MATCH($A75,Backlog!$A$2:$A$188,0))),INDEX(Backlog!$AT$2:$AT$188,MATCH($A75,Backlog!$A$2:$A$188,0)),"")</f>
        <v>0</v>
      </c>
      <c r="G75" s="38" t="str">
        <f>IF(INDEX(Backlog!$M$2:$M$188,MATCH($A75,Backlog!$A$2:$A$188,0))="","",INDEX(Backlog!$M$2:$M$188,MATCH($A75,Backlog!$A$2:$A$188,0)))</f>
        <v/>
      </c>
      <c r="H75" s="38" t="str">
        <f>IF(INDEX(Backlog!$N$2:$N$188,MATCH($A75,Backlog!$A$2:$A$188,0))="","",INDEX(Backlog!$N$2:$N$188,MATCH($A75,Backlog!$A$2:$A$188,0)))</f>
        <v>T-146; T-147</v>
      </c>
      <c r="I75" s="38" t="str">
        <f>IF(INDEX(Backlog!$T$2:$T$188,MATCH($A75,Backlog!$A$2:$A$188,0))="","",INDEX(Backlog!$T$2:$T$188,MATCH($A75,Backlog!$A$2:$A$188,0)))</f>
        <v>CLOSED BASELINE — no new start gate and no re-execution implied. Preserve accepted closure and clean owned scope; reopen only on a concrete, separately recorded regression. Downstream consumes the frozen contract.</v>
      </c>
      <c r="J75" s="32" t="str">
        <f>IF(INDEX(Backlog!$AN$2:$AN$188,MATCH($A75,Backlog!$A$2:$A$188,0))="","",INDEX(Backlog!$AN$2:$AN$188,MATCH($A75,Backlog!$A$2:$A$188,0)))</f>
        <v/>
      </c>
    </row>
    <row r="76" spans="1:10" ht="26.1" customHeight="1">
      <c r="A76" s="38" t="s">
        <v>951</v>
      </c>
      <c r="B76" s="38" t="str">
        <f>IF(INDEX(Backlog!$B$2:$B$188,MATCH($A76,Backlog!$A$2:$A$188,0))="","",INDEX(Backlog!$B$2:$B$188,MATCH($A76,Backlog!$A$2:$A$188,0)))</f>
        <v>M2</v>
      </c>
      <c r="C76" s="38" t="str">
        <f>IF(INDEX(Backlog!$C$2:$C$188,MATCH($A76,Backlog!$A$2:$A$188,0))="","",INDEX(Backlog!$C$2:$C$188,MATCH($A76,Backlog!$A$2:$A$188,0)))</f>
        <v>P4</v>
      </c>
      <c r="D76" s="38" t="str">
        <f>IF(INDEX(Backlog!$L$2:$L$188,MATCH($A76,Backlog!$A$2:$A$188,0))="","",INDEX(Backlog!$L$2:$L$188,MATCH($A76,Backlog!$A$2:$A$188,0)))</f>
        <v>CLOSED</v>
      </c>
      <c r="E76" s="70" t="str">
        <f>IF(INDEX(Backlog!$K$2:$K$188,MATCH($A76,Backlog!$A$2:$A$188,0))="","",INDEX(Backlog!$K$2:$K$188,MATCH($A76,Backlog!$A$2:$A$188,0)))</f>
        <v>Done</v>
      </c>
      <c r="F76" s="38">
        <f>IF(ISNUMBER(INDEX(Backlog!$AT$2:$AT$188,MATCH($A76,Backlog!$A$2:$A$188,0))),INDEX(Backlog!$AT$2:$AT$188,MATCH($A76,Backlog!$A$2:$A$188,0)),"")</f>
        <v>0</v>
      </c>
      <c r="G76" s="38" t="str">
        <f>IF(INDEX(Backlog!$M$2:$M$188,MATCH($A76,Backlog!$A$2:$A$188,0))="","",INDEX(Backlog!$M$2:$M$188,MATCH($A76,Backlog!$A$2:$A$188,0)))</f>
        <v/>
      </c>
      <c r="H76" s="38" t="str">
        <f>IF(INDEX(Backlog!$N$2:$N$188,MATCH($A76,Backlog!$A$2:$A$188,0))="","",INDEX(Backlog!$N$2:$N$188,MATCH($A76,Backlog!$A$2:$A$188,0)))</f>
        <v>T-143</v>
      </c>
      <c r="I76" s="38" t="str">
        <f>IF(INDEX(Backlog!$T$2:$T$188,MATCH($A76,Backlog!$A$2:$A$188,0))="","",INDEX(Backlog!$T$2:$T$188,MATCH($A76,Backlog!$A$2:$A$188,0)))</f>
        <v>CLOSED BASELINE — no new start gate and no re-execution implied. Preserve accepted closure and clean owned scope; reopen only on a concrete, separately recorded regression. Downstream consumes the frozen contract.</v>
      </c>
      <c r="J76" s="32" t="str">
        <f>IF(INDEX(Backlog!$AN$2:$AN$188,MATCH($A76,Backlog!$A$2:$A$188,0))="","",INDEX(Backlog!$AN$2:$AN$188,MATCH($A76,Backlog!$A$2:$A$188,0)))</f>
        <v/>
      </c>
    </row>
    <row r="77" spans="1:10" ht="26.1" customHeight="1">
      <c r="A77" s="38" t="s">
        <v>960</v>
      </c>
      <c r="B77" s="38" t="str">
        <f>IF(INDEX(Backlog!$B$2:$B$188,MATCH($A77,Backlog!$A$2:$A$188,0))="","",INDEX(Backlog!$B$2:$B$188,MATCH($A77,Backlog!$A$2:$A$188,0)))</f>
        <v>M2</v>
      </c>
      <c r="C77" s="38" t="str">
        <f>IF(INDEX(Backlog!$C$2:$C$188,MATCH($A77,Backlog!$A$2:$A$188,0))="","",INDEX(Backlog!$C$2:$C$188,MATCH($A77,Backlog!$A$2:$A$188,0)))</f>
        <v>P4</v>
      </c>
      <c r="D77" s="38" t="str">
        <f>IF(INDEX(Backlog!$L$2:$L$188,MATCH($A77,Backlog!$A$2:$A$188,0))="","",INDEX(Backlog!$L$2:$L$188,MATCH($A77,Backlog!$A$2:$A$188,0)))</f>
        <v>CLOSED</v>
      </c>
      <c r="E77" s="70" t="str">
        <f>IF(INDEX(Backlog!$K$2:$K$188,MATCH($A77,Backlog!$A$2:$A$188,0))="","",INDEX(Backlog!$K$2:$K$188,MATCH($A77,Backlog!$A$2:$A$188,0)))</f>
        <v>Done</v>
      </c>
      <c r="F77" s="38">
        <f>IF(ISNUMBER(INDEX(Backlog!$AT$2:$AT$188,MATCH($A77,Backlog!$A$2:$A$188,0))),INDEX(Backlog!$AT$2:$AT$188,MATCH($A77,Backlog!$A$2:$A$188,0)),"")</f>
        <v>0</v>
      </c>
      <c r="G77" s="38" t="str">
        <f>IF(INDEX(Backlog!$M$2:$M$188,MATCH($A77,Backlog!$A$2:$A$188,0))="","",INDEX(Backlog!$M$2:$M$188,MATCH($A77,Backlog!$A$2:$A$188,0)))</f>
        <v/>
      </c>
      <c r="H77" s="38" t="str">
        <f>IF(INDEX(Backlog!$N$2:$N$188,MATCH($A77,Backlog!$A$2:$A$188,0))="","",INDEX(Backlog!$N$2:$N$188,MATCH($A77,Backlog!$A$2:$A$188,0)))</f>
        <v>T-138; T-223; T-228</v>
      </c>
      <c r="I77" s="38" t="str">
        <f>IF(INDEX(Backlog!$T$2:$T$188,MATCH($A77,Backlog!$A$2:$A$188,0))="","",INDEX(Backlog!$T$2:$T$188,MATCH($A77,Backlog!$A$2:$A$188,0)))</f>
        <v>CLOSED BASELINE — no new start gate and no re-execution implied. Preserve accepted closure and clean owned scope; reopen only on a concrete, separately recorded regression. Downstream consumes the frozen contract.</v>
      </c>
      <c r="J77" s="32" t="str">
        <f>IF(INDEX(Backlog!$AN$2:$AN$188,MATCH($A77,Backlog!$A$2:$A$188,0))="","",INDEX(Backlog!$AN$2:$AN$188,MATCH($A77,Backlog!$A$2:$A$188,0)))</f>
        <v/>
      </c>
    </row>
    <row r="78" spans="1:10" ht="26.1" customHeight="1">
      <c r="A78" s="38" t="s">
        <v>969</v>
      </c>
      <c r="B78" s="38" t="str">
        <f>IF(INDEX(Backlog!$B$2:$B$188,MATCH($A78,Backlog!$A$2:$A$188,0))="","",INDEX(Backlog!$B$2:$B$188,MATCH($A78,Backlog!$A$2:$A$188,0)))</f>
        <v>M2</v>
      </c>
      <c r="C78" s="38" t="str">
        <f>IF(INDEX(Backlog!$C$2:$C$188,MATCH($A78,Backlog!$A$2:$A$188,0))="","",INDEX(Backlog!$C$2:$C$188,MATCH($A78,Backlog!$A$2:$A$188,0)))</f>
        <v>P4</v>
      </c>
      <c r="D78" s="38" t="str">
        <f>IF(INDEX(Backlog!$L$2:$L$188,MATCH($A78,Backlog!$A$2:$A$188,0))="","",INDEX(Backlog!$L$2:$L$188,MATCH($A78,Backlog!$A$2:$A$188,0)))</f>
        <v>CLOSED</v>
      </c>
      <c r="E78" s="70" t="str">
        <f>IF(INDEX(Backlog!$K$2:$K$188,MATCH($A78,Backlog!$A$2:$A$188,0))="","",INDEX(Backlog!$K$2:$K$188,MATCH($A78,Backlog!$A$2:$A$188,0)))</f>
        <v>Done</v>
      </c>
      <c r="F78" s="38">
        <f>IF(ISNUMBER(INDEX(Backlog!$AT$2:$AT$188,MATCH($A78,Backlog!$A$2:$A$188,0))),INDEX(Backlog!$AT$2:$AT$188,MATCH($A78,Backlog!$A$2:$A$188,0)),"")</f>
        <v>0</v>
      </c>
      <c r="G78" s="38" t="str">
        <f>IF(INDEX(Backlog!$M$2:$M$188,MATCH($A78,Backlog!$A$2:$A$188,0))="","",INDEX(Backlog!$M$2:$M$188,MATCH($A78,Backlog!$A$2:$A$188,0)))</f>
        <v/>
      </c>
      <c r="H78" s="38" t="str">
        <f>IF(INDEX(Backlog!$N$2:$N$188,MATCH($A78,Backlog!$A$2:$A$188,0))="","",INDEX(Backlog!$N$2:$N$188,MATCH($A78,Backlog!$A$2:$A$188,0)))</f>
        <v>T-138; T-223; T-228</v>
      </c>
      <c r="I78" s="38" t="str">
        <f>IF(INDEX(Backlog!$T$2:$T$188,MATCH($A78,Backlog!$A$2:$A$188,0))="","",INDEX(Backlog!$T$2:$T$188,MATCH($A78,Backlog!$A$2:$A$188,0)))</f>
        <v>CLOSED BASELINE — no new start gate and no re-execution implied. Preserve accepted closure and clean owned scope; reopen only on a concrete, separately recorded regression. Downstream consumes the frozen contract.</v>
      </c>
      <c r="J78" s="32" t="str">
        <f>IF(INDEX(Backlog!$AN$2:$AN$188,MATCH($A78,Backlog!$A$2:$A$188,0))="","",INDEX(Backlog!$AN$2:$AN$188,MATCH($A78,Backlog!$A$2:$A$188,0)))</f>
        <v/>
      </c>
    </row>
    <row r="79" spans="1:10" ht="26.1" customHeight="1">
      <c r="A79" s="38" t="s">
        <v>975</v>
      </c>
      <c r="B79" s="38" t="str">
        <f>IF(INDEX(Backlog!$B$2:$B$188,MATCH($A79,Backlog!$A$2:$A$188,0))="","",INDEX(Backlog!$B$2:$B$188,MATCH($A79,Backlog!$A$2:$A$188,0)))</f>
        <v>M2</v>
      </c>
      <c r="C79" s="38" t="str">
        <f>IF(INDEX(Backlog!$C$2:$C$188,MATCH($A79,Backlog!$A$2:$A$188,0))="","",INDEX(Backlog!$C$2:$C$188,MATCH($A79,Backlog!$A$2:$A$188,0)))</f>
        <v>P4</v>
      </c>
      <c r="D79" s="38" t="str">
        <f>IF(INDEX(Backlog!$L$2:$L$188,MATCH($A79,Backlog!$A$2:$A$188,0))="","",INDEX(Backlog!$L$2:$L$188,MATCH($A79,Backlog!$A$2:$A$188,0)))</f>
        <v>CLOSED</v>
      </c>
      <c r="E79" s="70" t="str">
        <f>IF(INDEX(Backlog!$K$2:$K$188,MATCH($A79,Backlog!$A$2:$A$188,0))="","",INDEX(Backlog!$K$2:$K$188,MATCH($A79,Backlog!$A$2:$A$188,0)))</f>
        <v>Done</v>
      </c>
      <c r="F79" s="38">
        <f>IF(ISNUMBER(INDEX(Backlog!$AT$2:$AT$188,MATCH($A79,Backlog!$A$2:$A$188,0))),INDEX(Backlog!$AT$2:$AT$188,MATCH($A79,Backlog!$A$2:$A$188,0)),"")</f>
        <v>0</v>
      </c>
      <c r="G79" s="38" t="str">
        <f>IF(INDEX(Backlog!$M$2:$M$188,MATCH($A79,Backlog!$A$2:$A$188,0))="","",INDEX(Backlog!$M$2:$M$188,MATCH($A79,Backlog!$A$2:$A$188,0)))</f>
        <v/>
      </c>
      <c r="H79" s="38" t="str">
        <f>IF(INDEX(Backlog!$N$2:$N$188,MATCH($A79,Backlog!$A$2:$A$188,0))="","",INDEX(Backlog!$N$2:$N$188,MATCH($A79,Backlog!$A$2:$A$188,0)))</f>
        <v>T-138; T-223; T-228</v>
      </c>
      <c r="I79" s="38" t="str">
        <f>IF(INDEX(Backlog!$T$2:$T$188,MATCH($A79,Backlog!$A$2:$A$188,0))="","",INDEX(Backlog!$T$2:$T$188,MATCH($A79,Backlog!$A$2:$A$188,0)))</f>
        <v>CLOSED BASELINE — no new start gate and no re-execution implied. Preserve accepted closure and clean owned scope; reopen only on a concrete, separately recorded regression. Downstream consumes the frozen contract.</v>
      </c>
      <c r="J79" s="32" t="str">
        <f>IF(INDEX(Backlog!$AN$2:$AN$188,MATCH($A79,Backlog!$A$2:$A$188,0))="","",INDEX(Backlog!$AN$2:$AN$188,MATCH($A79,Backlog!$A$2:$A$188,0)))</f>
        <v/>
      </c>
    </row>
    <row r="80" spans="1:10" ht="26.1" customHeight="1">
      <c r="A80" s="38" t="s">
        <v>982</v>
      </c>
      <c r="B80" s="38" t="str">
        <f>IF(INDEX(Backlog!$B$2:$B$188,MATCH($A80,Backlog!$A$2:$A$188,0))="","",INDEX(Backlog!$B$2:$B$188,MATCH($A80,Backlog!$A$2:$A$188,0)))</f>
        <v>M2</v>
      </c>
      <c r="C80" s="38" t="str">
        <f>IF(INDEX(Backlog!$C$2:$C$188,MATCH($A80,Backlog!$A$2:$A$188,0))="","",INDEX(Backlog!$C$2:$C$188,MATCH($A80,Backlog!$A$2:$A$188,0)))</f>
        <v>P4</v>
      </c>
      <c r="D80" s="38" t="str">
        <f>IF(INDEX(Backlog!$L$2:$L$188,MATCH($A80,Backlog!$A$2:$A$188,0))="","",INDEX(Backlog!$L$2:$L$188,MATCH($A80,Backlog!$A$2:$A$188,0)))</f>
        <v>CLOSED</v>
      </c>
      <c r="E80" s="70" t="str">
        <f>IF(INDEX(Backlog!$K$2:$K$188,MATCH($A80,Backlog!$A$2:$A$188,0))="","",INDEX(Backlog!$K$2:$K$188,MATCH($A80,Backlog!$A$2:$A$188,0)))</f>
        <v>Done</v>
      </c>
      <c r="F80" s="38">
        <f>IF(ISNUMBER(INDEX(Backlog!$AT$2:$AT$188,MATCH($A80,Backlog!$A$2:$A$188,0))),INDEX(Backlog!$AT$2:$AT$188,MATCH($A80,Backlog!$A$2:$A$188,0)),"")</f>
        <v>0</v>
      </c>
      <c r="G80" s="38" t="str">
        <f>IF(INDEX(Backlog!$M$2:$M$188,MATCH($A80,Backlog!$A$2:$A$188,0))="","",INDEX(Backlog!$M$2:$M$188,MATCH($A80,Backlog!$A$2:$A$188,0)))</f>
        <v/>
      </c>
      <c r="H80" s="38" t="str">
        <f>IF(INDEX(Backlog!$N$2:$N$188,MATCH($A80,Backlog!$A$2:$A$188,0))="","",INDEX(Backlog!$N$2:$N$188,MATCH($A80,Backlog!$A$2:$A$188,0)))</f>
        <v/>
      </c>
      <c r="I80" s="38" t="str">
        <f>IF(INDEX(Backlog!$T$2:$T$188,MATCH($A80,Backlog!$A$2:$A$188,0))="","",INDEX(Backlog!$T$2:$T$188,MATCH($A80,Backlog!$A$2:$A$188,0)))</f>
        <v>CLOSED BASELINE — no new start gate and no re-execution implied. Preserve accepted closure and clean owned scope; reopen only on a concrete, separately recorded regression. Downstream consumes the frozen contract.</v>
      </c>
      <c r="J80" s="32" t="str">
        <f>IF(INDEX(Backlog!$AN$2:$AN$188,MATCH($A80,Backlog!$A$2:$A$188,0))="","",INDEX(Backlog!$AN$2:$AN$188,MATCH($A80,Backlog!$A$2:$A$188,0)))</f>
        <v/>
      </c>
    </row>
    <row r="81" spans="1:10" ht="26.1" customHeight="1">
      <c r="A81" s="38" t="s">
        <v>990</v>
      </c>
      <c r="B81" s="38" t="str">
        <f>IF(INDEX(Backlog!$B$2:$B$188,MATCH($A81,Backlog!$A$2:$A$188,0))="","",INDEX(Backlog!$B$2:$B$188,MATCH($A81,Backlog!$A$2:$A$188,0)))</f>
        <v>M2</v>
      </c>
      <c r="C81" s="38" t="str">
        <f>IF(INDEX(Backlog!$C$2:$C$188,MATCH($A81,Backlog!$A$2:$A$188,0))="","",INDEX(Backlog!$C$2:$C$188,MATCH($A81,Backlog!$A$2:$A$188,0)))</f>
        <v>P4</v>
      </c>
      <c r="D81" s="38" t="str">
        <f>IF(INDEX(Backlog!$L$2:$L$188,MATCH($A81,Backlog!$A$2:$A$188,0))="","",INDEX(Backlog!$L$2:$L$188,MATCH($A81,Backlog!$A$2:$A$188,0)))</f>
        <v>Worker 3</v>
      </c>
      <c r="E81" s="70" t="str">
        <f>IF(INDEX(Backlog!$K$2:$K$188,MATCH($A81,Backlog!$A$2:$A$188,0))="","",INDEX(Backlog!$K$2:$K$188,MATCH($A81,Backlog!$A$2:$A$188,0)))</f>
        <v>Not Started</v>
      </c>
      <c r="F81" s="38">
        <f>IF(ISNUMBER(INDEX(Backlog!$AT$2:$AT$188,MATCH($A81,Backlog!$A$2:$A$188,0))),INDEX(Backlog!$AT$2:$AT$188,MATCH($A81,Backlog!$A$2:$A$188,0)),"")</f>
        <v>2.5</v>
      </c>
      <c r="G81" s="38" t="str">
        <f>IF(INDEX(Backlog!$M$2:$M$188,MATCH($A81,Backlog!$A$2:$A$188,0))="","",INDEX(Backlog!$M$2:$M$188,MATCH($A81,Backlog!$A$2:$A$188,0)))</f>
        <v>T-208; T-210</v>
      </c>
      <c r="H81" s="38" t="str">
        <f>IF(INDEX(Backlog!$N$2:$N$188,MATCH($A81,Backlog!$A$2:$A$188,0))="","",INDEX(Backlog!$N$2:$N$188,MATCH($A81,Backlog!$A$2:$A$188,0)))</f>
        <v>T-212; T-247</v>
      </c>
      <c r="I81" s="38" t="str">
        <f>IF(INDEX(Backlog!$T$2:$T$188,MATCH($A81,Backlog!$A$2:$A$188,0))="","",INDEX(Backlog!$T$2:$T$188,MATCH($A81,Backlog!$A$2:$A$188,0)))</f>
        <v>T-208 fixture + T-210 frozen contract. No production DI/persistence until consumer hand-off.</v>
      </c>
      <c r="J81" s="32" t="str">
        <f>IF(INDEX(Backlog!$AN$2:$AN$188,MATCH($A81,Backlog!$A$2:$A$188,0))="","",INDEX(Backlog!$AN$2:$AN$188,MATCH($A81,Backlog!$A$2:$A$188,0)))</f>
        <v/>
      </c>
    </row>
    <row r="82" spans="1:10" ht="26.1" customHeight="1">
      <c r="A82" s="38" t="s">
        <v>1002</v>
      </c>
      <c r="B82" s="38" t="str">
        <f>IF(INDEX(Backlog!$B$2:$B$188,MATCH($A82,Backlog!$A$2:$A$188,0))="","",INDEX(Backlog!$B$2:$B$188,MATCH($A82,Backlog!$A$2:$A$188,0)))</f>
        <v>M2</v>
      </c>
      <c r="C82" s="38" t="str">
        <f>IF(INDEX(Backlog!$C$2:$C$188,MATCH($A82,Backlog!$A$2:$A$188,0))="","",INDEX(Backlog!$C$2:$C$188,MATCH($A82,Backlog!$A$2:$A$188,0)))</f>
        <v>P4</v>
      </c>
      <c r="D82" s="38" t="str">
        <f>IF(INDEX(Backlog!$L$2:$L$188,MATCH($A82,Backlog!$A$2:$A$188,0))="","",INDEX(Backlog!$L$2:$L$188,MATCH($A82,Backlog!$A$2:$A$188,0)))</f>
        <v>Worker 3</v>
      </c>
      <c r="E82" s="70" t="str">
        <f>IF(INDEX(Backlog!$K$2:$K$188,MATCH($A82,Backlog!$A$2:$A$188,0))="","",INDEX(Backlog!$K$2:$K$188,MATCH($A82,Backlog!$A$2:$A$188,0)))</f>
        <v>Not Started</v>
      </c>
      <c r="F82" s="38">
        <f>IF(ISNUMBER(INDEX(Backlog!$AT$2:$AT$188,MATCH($A82,Backlog!$A$2:$A$188,0))),INDEX(Backlog!$AT$2:$AT$188,MATCH($A82,Backlog!$A$2:$A$188,0)),"")</f>
        <v>1.5</v>
      </c>
      <c r="G82" s="38" t="str">
        <f>IF(INDEX(Backlog!$M$2:$M$188,MATCH($A82,Backlog!$A$2:$A$188,0))="","",INDEX(Backlog!$M$2:$M$188,MATCH($A82,Backlog!$A$2:$A$188,0)))</f>
        <v>T-209</v>
      </c>
      <c r="H82" s="38" t="str">
        <f>IF(INDEX(Backlog!$N$2:$N$188,MATCH($A82,Backlog!$A$2:$A$188,0))="","",INDEX(Backlog!$N$2:$N$188,MATCH($A82,Backlog!$A$2:$A$188,0)))</f>
        <v>T-215; T-223; T-232; T-238; T-239; T-264</v>
      </c>
      <c r="I82" s="38" t="str">
        <f>IF(INDEX(Backlog!$T$2:$T$188,MATCH($A82,Backlog!$A$2:$A$188,0))="","",INDEX(Backlog!$T$2:$T$188,MATCH($A82,Backlog!$A$2:$A$188,0)))</f>
        <v>T-209 frozen generic subject contract.</v>
      </c>
      <c r="J82" s="32" t="str">
        <f>IF(INDEX(Backlog!$AN$2:$AN$188,MATCH($A82,Backlog!$A$2:$A$188,0))="","",INDEX(Backlog!$AN$2:$AN$188,MATCH($A82,Backlog!$A$2:$A$188,0)))</f>
        <v/>
      </c>
    </row>
    <row r="83" spans="1:10" ht="26.1" customHeight="1">
      <c r="A83" s="38" t="s">
        <v>1011</v>
      </c>
      <c r="B83" s="38" t="str">
        <f>IF(INDEX(Backlog!$B$2:$B$188,MATCH($A83,Backlog!$A$2:$A$188,0))="","",INDEX(Backlog!$B$2:$B$188,MATCH($A83,Backlog!$A$2:$A$188,0)))</f>
        <v>M2</v>
      </c>
      <c r="C83" s="38" t="str">
        <f>IF(INDEX(Backlog!$C$2:$C$188,MATCH($A83,Backlog!$A$2:$A$188,0))="","",INDEX(Backlog!$C$2:$C$188,MATCH($A83,Backlog!$A$2:$A$188,0)))</f>
        <v>P4</v>
      </c>
      <c r="D83" s="38" t="str">
        <f>IF(INDEX(Backlog!$L$2:$L$188,MATCH($A83,Backlog!$A$2:$A$188,0))="","",INDEX(Backlog!$L$2:$L$188,MATCH($A83,Backlog!$A$2:$A$188,0)))</f>
        <v>Worker 3</v>
      </c>
      <c r="E83" s="70" t="str">
        <f>IF(INDEX(Backlog!$K$2:$K$188,MATCH($A83,Backlog!$A$2:$A$188,0))="","",INDEX(Backlog!$K$2:$K$188,MATCH($A83,Backlog!$A$2:$A$188,0)))</f>
        <v>Done</v>
      </c>
      <c r="F83" s="38">
        <f>IF(ISNUMBER(INDEX(Backlog!$AT$2:$AT$188,MATCH($A83,Backlog!$A$2:$A$188,0))),INDEX(Backlog!$AT$2:$AT$188,MATCH($A83,Backlog!$A$2:$A$188,0)),"")</f>
        <v>2.5</v>
      </c>
      <c r="G83" s="38" t="str">
        <f>IF(INDEX(Backlog!$M$2:$M$188,MATCH($A83,Backlog!$A$2:$A$188,0))="","",INDEX(Backlog!$M$2:$M$188,MATCH($A83,Backlog!$A$2:$A$188,0)))</f>
        <v>T-208; T-216</v>
      </c>
      <c r="H83" s="38" t="str">
        <f>IF(INDEX(Backlog!$N$2:$N$188,MATCH($A83,Backlog!$A$2:$A$188,0))="","",INDEX(Backlog!$N$2:$N$188,MATCH($A83,Backlog!$A$2:$A$188,0)))</f>
        <v>T-219; T-236</v>
      </c>
      <c r="I83" s="38" t="str">
        <f>IF(INDEX(Backlog!$T$2:$T$188,MATCH($A83,Backlog!$A$2:$A$188,0))="","",INDEX(Backlog!$T$2:$T$188,MATCH($A83,Backlog!$A$2:$A$188,0)))</f>
        <v>CLOSED BASELINE — no new start gate and no re-execution implied. Preserve accepted closure and clean owned scope; reopen only on a concrete, separately recorded regression. Downstream consumes the frozen contract.</v>
      </c>
      <c r="J83" s="32" t="str">
        <f>IF(INDEX(Backlog!$AN$2:$AN$188,MATCH($A83,Backlog!$A$2:$A$188,0))="","",INDEX(Backlog!$AN$2:$AN$188,MATCH($A83,Backlog!$A$2:$A$188,0)))</f>
        <v/>
      </c>
    </row>
    <row r="84" spans="1:10" ht="26.1" customHeight="1">
      <c r="A84" s="38" t="s">
        <v>1021</v>
      </c>
      <c r="B84" s="38" t="str">
        <f>IF(INDEX(Backlog!$B$2:$B$188,MATCH($A84,Backlog!$A$2:$A$188,0))="","",INDEX(Backlog!$B$2:$B$188,MATCH($A84,Backlog!$A$2:$A$188,0)))</f>
        <v>M2</v>
      </c>
      <c r="C84" s="38" t="str">
        <f>IF(INDEX(Backlog!$C$2:$C$188,MATCH($A84,Backlog!$A$2:$A$188,0))="","",INDEX(Backlog!$C$2:$C$188,MATCH($A84,Backlog!$A$2:$A$188,0)))</f>
        <v>P4</v>
      </c>
      <c r="D84" s="38" t="str">
        <f>IF(INDEX(Backlog!$L$2:$L$188,MATCH($A84,Backlog!$A$2:$A$188,0))="","",INDEX(Backlog!$L$2:$L$188,MATCH($A84,Backlog!$A$2:$A$188,0)))</f>
        <v>Worker 3</v>
      </c>
      <c r="E84" s="70" t="str">
        <f>IF(INDEX(Backlog!$K$2:$K$188,MATCH($A84,Backlog!$A$2:$A$188,0))="","",INDEX(Backlog!$K$2:$K$188,MATCH($A84,Backlog!$A$2:$A$188,0)))</f>
        <v>Done</v>
      </c>
      <c r="F84" s="38">
        <f>IF(ISNUMBER(INDEX(Backlog!$AT$2:$AT$188,MATCH($A84,Backlog!$A$2:$A$188,0))),INDEX(Backlog!$AT$2:$AT$188,MATCH($A84,Backlog!$A$2:$A$188,0)),"")</f>
        <v>2</v>
      </c>
      <c r="G84" s="38" t="str">
        <f>IF(INDEX(Backlog!$M$2:$M$188,MATCH($A84,Backlog!$A$2:$A$188,0))="","",INDEX(Backlog!$M$2:$M$188,MATCH($A84,Backlog!$A$2:$A$188,0)))</f>
        <v>T-208</v>
      </c>
      <c r="H84" s="38" t="str">
        <f>IF(INDEX(Backlog!$N$2:$N$188,MATCH($A84,Backlog!$A$2:$A$188,0))="","",INDEX(Backlog!$N$2:$N$188,MATCH($A84,Backlog!$A$2:$A$188,0)))</f>
        <v>T-219</v>
      </c>
      <c r="I84" s="38" t="str">
        <f>IF(INDEX(Backlog!$T$2:$T$188,MATCH($A84,Backlog!$A$2:$A$188,0))="","",INDEX(Backlog!$T$2:$T$188,MATCH($A84,Backlog!$A$2:$A$188,0)))</f>
        <v>CLOSED BASELINE — no new start gate and no re-execution implied. Preserve accepted closure and clean owned scope; reopen only on a concrete, separately recorded regression. Downstream consumes the frozen contract.</v>
      </c>
      <c r="J84" s="32" t="str">
        <f>IF(INDEX(Backlog!$AN$2:$AN$188,MATCH($A84,Backlog!$A$2:$A$188,0))="","",INDEX(Backlog!$AN$2:$AN$188,MATCH($A84,Backlog!$A$2:$A$188,0)))</f>
        <v/>
      </c>
    </row>
    <row r="85" spans="1:10" ht="26.1" customHeight="1">
      <c r="A85" s="38" t="s">
        <v>1026</v>
      </c>
      <c r="B85" s="38" t="str">
        <f>IF(INDEX(Backlog!$B$2:$B$188,MATCH($A85,Backlog!$A$2:$A$188,0))="","",INDEX(Backlog!$B$2:$B$188,MATCH($A85,Backlog!$A$2:$A$188,0)))</f>
        <v>M2</v>
      </c>
      <c r="C85" s="38" t="str">
        <f>IF(INDEX(Backlog!$C$2:$C$188,MATCH($A85,Backlog!$A$2:$A$188,0))="","",INDEX(Backlog!$C$2:$C$188,MATCH($A85,Backlog!$A$2:$A$188,0)))</f>
        <v>P4</v>
      </c>
      <c r="D85" s="38" t="str">
        <f>IF(INDEX(Backlog!$L$2:$L$188,MATCH($A85,Backlog!$A$2:$A$188,0))="","",INDEX(Backlog!$L$2:$L$188,MATCH($A85,Backlog!$A$2:$A$188,0)))</f>
        <v>Worker 3</v>
      </c>
      <c r="E85" s="70" t="str">
        <f>IF(INDEX(Backlog!$K$2:$K$188,MATCH($A85,Backlog!$A$2:$A$188,0))="","",INDEX(Backlog!$K$2:$K$188,MATCH($A85,Backlog!$A$2:$A$188,0)))</f>
        <v>Done</v>
      </c>
      <c r="F85" s="38">
        <f>IF(ISNUMBER(INDEX(Backlog!$AT$2:$AT$188,MATCH($A85,Backlog!$A$2:$A$188,0))),INDEX(Backlog!$AT$2:$AT$188,MATCH($A85,Backlog!$A$2:$A$188,0)),"")</f>
        <v>3.2</v>
      </c>
      <c r="G85" s="38" t="str">
        <f>IF(INDEX(Backlog!$M$2:$M$188,MATCH($A85,Backlog!$A$2:$A$188,0))="","",INDEX(Backlog!$M$2:$M$188,MATCH($A85,Backlog!$A$2:$A$188,0)))</f>
        <v>T-217; T-218; T-236</v>
      </c>
      <c r="H85" s="38" t="str">
        <f>IF(INDEX(Backlog!$N$2:$N$188,MATCH($A85,Backlog!$A$2:$A$188,0))="","",INDEX(Backlog!$N$2:$N$188,MATCH($A85,Backlog!$A$2:$A$188,0)))</f>
        <v>T-220; T-221; T-222; T-223</v>
      </c>
      <c r="I85" s="38" t="str">
        <f>IF(INDEX(Backlog!$T$2:$T$188,MATCH($A85,Backlog!$A$2:$A$188,0))="","",INDEX(Backlog!$T$2:$T$188,MATCH($A85,Backlog!$A$2:$A$188,0)))</f>
        <v>CLOSED BASELINE — no new start gate and no re-execution implied. Preserve accepted closure and clean owned scope; reopen only on a concrete, separately recorded regression. Downstream consumes the frozen contract.</v>
      </c>
      <c r="J85" s="32" t="str">
        <f>IF(INDEX(Backlog!$AN$2:$AN$188,MATCH($A85,Backlog!$A$2:$A$188,0))="","",INDEX(Backlog!$AN$2:$AN$188,MATCH($A85,Backlog!$A$2:$A$188,0)))</f>
        <v/>
      </c>
    </row>
    <row r="86" spans="1:10" ht="26.1" customHeight="1">
      <c r="A86" s="38" t="s">
        <v>1037</v>
      </c>
      <c r="B86" s="38" t="str">
        <f>IF(INDEX(Backlog!$B$2:$B$188,MATCH($A86,Backlog!$A$2:$A$188,0))="","",INDEX(Backlog!$B$2:$B$188,MATCH($A86,Backlog!$A$2:$A$188,0)))</f>
        <v>M2</v>
      </c>
      <c r="C86" s="38" t="str">
        <f>IF(INDEX(Backlog!$C$2:$C$188,MATCH($A86,Backlog!$A$2:$A$188,0))="","",INDEX(Backlog!$C$2:$C$188,MATCH($A86,Backlog!$A$2:$A$188,0)))</f>
        <v>P4</v>
      </c>
      <c r="D86" s="38" t="str">
        <f>IF(INDEX(Backlog!$L$2:$L$188,MATCH($A86,Backlog!$A$2:$A$188,0))="","",INDEX(Backlog!$L$2:$L$188,MATCH($A86,Backlog!$A$2:$A$188,0)))</f>
        <v>Worker 3</v>
      </c>
      <c r="E86" s="70" t="str">
        <f>IF(INDEX(Backlog!$K$2:$K$188,MATCH($A86,Backlog!$A$2:$A$188,0))="","",INDEX(Backlog!$K$2:$K$188,MATCH($A86,Backlog!$A$2:$A$188,0)))</f>
        <v>Done</v>
      </c>
      <c r="F86" s="38">
        <f>IF(ISNUMBER(INDEX(Backlog!$AT$2:$AT$188,MATCH($A86,Backlog!$A$2:$A$188,0))),INDEX(Backlog!$AT$2:$AT$188,MATCH($A86,Backlog!$A$2:$A$188,0)),"")</f>
        <v>2</v>
      </c>
      <c r="G86" s="38" t="str">
        <f>IF(INDEX(Backlog!$M$2:$M$188,MATCH($A86,Backlog!$A$2:$A$188,0))="","",INDEX(Backlog!$M$2:$M$188,MATCH($A86,Backlog!$A$2:$A$188,0)))</f>
        <v>T-219</v>
      </c>
      <c r="H86" s="38" t="str">
        <f>IF(INDEX(Backlog!$N$2:$N$188,MATCH($A86,Backlog!$A$2:$A$188,0))="","",INDEX(Backlog!$N$2:$N$188,MATCH($A86,Backlog!$A$2:$A$188,0)))</f>
        <v>T-221; T-222; T-223</v>
      </c>
      <c r="I86" s="38" t="str">
        <f>IF(INDEX(Backlog!$T$2:$T$188,MATCH($A86,Backlog!$A$2:$A$188,0))="","",INDEX(Backlog!$T$2:$T$188,MATCH($A86,Backlog!$A$2:$A$188,0)))</f>
        <v>CLOSED BASELINE — no new start gate and no re-execution implied. Preserve accepted closure and clean owned scope; reopen only on a concrete, separately recorded regression. Downstream consumes the frozen contract.</v>
      </c>
      <c r="J86" s="32" t="str">
        <f>IF(INDEX(Backlog!$AN$2:$AN$188,MATCH($A86,Backlog!$A$2:$A$188,0))="","",INDEX(Backlog!$AN$2:$AN$188,MATCH($A86,Backlog!$A$2:$A$188,0)))</f>
        <v/>
      </c>
    </row>
    <row r="87" spans="1:10" ht="26.1" customHeight="1">
      <c r="A87" s="38" t="s">
        <v>1046</v>
      </c>
      <c r="B87" s="38" t="str">
        <f>IF(INDEX(Backlog!$B$2:$B$188,MATCH($A87,Backlog!$A$2:$A$188,0))="","",INDEX(Backlog!$B$2:$B$188,MATCH($A87,Backlog!$A$2:$A$188,0)))</f>
        <v>M2</v>
      </c>
      <c r="C87" s="38" t="str">
        <f>IF(INDEX(Backlog!$C$2:$C$188,MATCH($A87,Backlog!$A$2:$A$188,0))="","",INDEX(Backlog!$C$2:$C$188,MATCH($A87,Backlog!$A$2:$A$188,0)))</f>
        <v>P4</v>
      </c>
      <c r="D87" s="38" t="str">
        <f>IF(INDEX(Backlog!$L$2:$L$188,MATCH($A87,Backlog!$A$2:$A$188,0))="","",INDEX(Backlog!$L$2:$L$188,MATCH($A87,Backlog!$A$2:$A$188,0)))</f>
        <v>Worker 3</v>
      </c>
      <c r="E87" s="70" t="str">
        <f>IF(INDEX(Backlog!$K$2:$K$188,MATCH($A87,Backlog!$A$2:$A$188,0))="","",INDEX(Backlog!$K$2:$K$188,MATCH($A87,Backlog!$A$2:$A$188,0)))</f>
        <v>Not Started</v>
      </c>
      <c r="F87" s="38">
        <f>IF(ISNUMBER(INDEX(Backlog!$AT$2:$AT$188,MATCH($A87,Backlog!$A$2:$A$188,0))),INDEX(Backlog!$AT$2:$AT$188,MATCH($A87,Backlog!$A$2:$A$188,0)),"")</f>
        <v>5.4</v>
      </c>
      <c r="G87" s="38" t="str">
        <f>IF(INDEX(Backlog!$M$2:$M$188,MATCH($A87,Backlog!$A$2:$A$188,0))="","",INDEX(Backlog!$M$2:$M$188,MATCH($A87,Backlog!$A$2:$A$188,0)))</f>
        <v>T-112; T-114; T-090; T-095; T-096; T-219; T-220; T-233</v>
      </c>
      <c r="H87" s="38" t="str">
        <f>IF(INDEX(Backlog!$N$2:$N$188,MATCH($A87,Backlog!$A$2:$A$188,0))="","",INDEX(Backlog!$N$2:$N$188,MATCH($A87,Backlog!$A$2:$A$188,0)))</f>
        <v/>
      </c>
      <c r="I87" s="38" t="str">
        <f>IF(INDEX(Backlog!$T$2:$T$188,MATCH($A87,Backlog!$A$2:$A$188,0))="","",INDEX(Backlog!$T$2:$T$188,MATCH($A87,Backlog!$A$2:$A$188,0)))</f>
        <v>T-112 + T-114 + T-090 + T-095/T-096 + T-219 + T-220. If security hand-off is not green, remain on pure-kernel evidence and do not create insecure tables.</v>
      </c>
      <c r="J87" s="32" t="str">
        <f>IF(INDEX(Backlog!$AN$2:$AN$188,MATCH($A87,Backlog!$A$2:$A$188,0))="","",INDEX(Backlog!$AN$2:$AN$188,MATCH($A87,Backlog!$A$2:$A$188,0)))</f>
        <v/>
      </c>
    </row>
    <row r="88" spans="1:10" ht="26.1" customHeight="1">
      <c r="A88" s="38" t="s">
        <v>1056</v>
      </c>
      <c r="B88" s="38" t="str">
        <f>IF(INDEX(Backlog!$B$2:$B$188,MATCH($A88,Backlog!$A$2:$A$188,0))="","",INDEX(Backlog!$B$2:$B$188,MATCH($A88,Backlog!$A$2:$A$188,0)))</f>
        <v>M2</v>
      </c>
      <c r="C88" s="38" t="str">
        <f>IF(INDEX(Backlog!$C$2:$C$188,MATCH($A88,Backlog!$A$2:$A$188,0))="","",INDEX(Backlog!$C$2:$C$188,MATCH($A88,Backlog!$A$2:$A$188,0)))</f>
        <v>P4</v>
      </c>
      <c r="D88" s="38" t="str">
        <f>IF(INDEX(Backlog!$L$2:$L$188,MATCH($A88,Backlog!$A$2:$A$188,0))="","",INDEX(Backlog!$L$2:$L$188,MATCH($A88,Backlog!$A$2:$A$188,0)))</f>
        <v>Worker 3</v>
      </c>
      <c r="E88" s="70" t="str">
        <f>IF(INDEX(Backlog!$K$2:$K$188,MATCH($A88,Backlog!$A$2:$A$188,0))="","",INDEX(Backlog!$K$2:$K$188,MATCH($A88,Backlog!$A$2:$A$188,0)))</f>
        <v>Not Started</v>
      </c>
      <c r="F88" s="38">
        <f>IF(ISNUMBER(INDEX(Backlog!$AT$2:$AT$188,MATCH($A88,Backlog!$A$2:$A$188,0))),INDEX(Backlog!$AT$2:$AT$188,MATCH($A88,Backlog!$A$2:$A$188,0)),"")</f>
        <v>4.25</v>
      </c>
      <c r="G88" s="38" t="str">
        <f>IF(INDEX(Backlog!$M$2:$M$188,MATCH($A88,Backlog!$A$2:$A$188,0))="","",INDEX(Backlog!$M$2:$M$188,MATCH($A88,Backlog!$A$2:$A$188,0)))</f>
        <v>T-179; T-180; T-181; T-214; T-219; T-220</v>
      </c>
      <c r="H88" s="38" t="str">
        <f>IF(INDEX(Backlog!$N$2:$N$188,MATCH($A88,Backlog!$A$2:$A$188,0))="","",INDEX(Backlog!$N$2:$N$188,MATCH($A88,Backlog!$A$2:$A$188,0)))</f>
        <v>T-150</v>
      </c>
      <c r="I88" s="38" t="str">
        <f>IF(INDEX(Backlog!$T$2:$T$188,MATCH($A88,Backlog!$A$2:$A$188,0))="","",INDEX(Backlog!$T$2:$T$188,MATCH($A88,Backlog!$A$2:$A$188,0)))</f>
        <v>T-179/T-180/T-181 CLOSED + T-214 + T-219/T-220. No canonical persistence dependency for September explanation.</v>
      </c>
      <c r="J88" s="32" t="str">
        <f>IF(INDEX(Backlog!$AN$2:$AN$188,MATCH($A88,Backlog!$A$2:$A$188,0))="","",INDEX(Backlog!$AN$2:$AN$188,MATCH($A88,Backlog!$A$2:$A$188,0)))</f>
        <v/>
      </c>
    </row>
    <row r="89" spans="1:10" ht="26.1" customHeight="1">
      <c r="A89" s="38" t="s">
        <v>1068</v>
      </c>
      <c r="B89" s="38" t="str">
        <f>IF(INDEX(Backlog!$B$2:$B$188,MATCH($A89,Backlog!$A$2:$A$188,0))="","",INDEX(Backlog!$B$2:$B$188,MATCH($A89,Backlog!$A$2:$A$188,0)))</f>
        <v>M2</v>
      </c>
      <c r="C89" s="38" t="str">
        <f>IF(INDEX(Backlog!$C$2:$C$188,MATCH($A89,Backlog!$A$2:$A$188,0))="","",INDEX(Backlog!$C$2:$C$188,MATCH($A89,Backlog!$A$2:$A$188,0)))</f>
        <v>P4</v>
      </c>
      <c r="D89" s="38" t="str">
        <f>IF(INDEX(Backlog!$L$2:$L$188,MATCH($A89,Backlog!$A$2:$A$188,0))="","",INDEX(Backlog!$L$2:$L$188,MATCH($A89,Backlog!$A$2:$A$188,0)))</f>
        <v>Worker 3</v>
      </c>
      <c r="E89" s="70" t="str">
        <f>IF(INDEX(Backlog!$K$2:$K$188,MATCH($A89,Backlog!$A$2:$A$188,0))="","",INDEX(Backlog!$K$2:$K$188,MATCH($A89,Backlog!$A$2:$A$188,0)))</f>
        <v>Done</v>
      </c>
      <c r="F89" s="38">
        <f>IF(ISNUMBER(INDEX(Backlog!$AT$2:$AT$188,MATCH($A89,Backlog!$A$2:$A$188,0))),INDEX(Backlog!$AT$2:$AT$188,MATCH($A89,Backlog!$A$2:$A$188,0)),"")</f>
        <v>2</v>
      </c>
      <c r="G89" s="38" t="str">
        <f>IF(INDEX(Backlog!$M$2:$M$188,MATCH($A89,Backlog!$A$2:$A$188,0))="","",INDEX(Backlog!$M$2:$M$188,MATCH($A89,Backlog!$A$2:$A$188,0)))</f>
        <v>T-208; T-209</v>
      </c>
      <c r="H89" s="38" t="str">
        <f>IF(INDEX(Backlog!$N$2:$N$188,MATCH($A89,Backlog!$A$2:$A$188,0))="","",INDEX(Backlog!$N$2:$N$188,MATCH($A89,Backlog!$A$2:$A$188,0)))</f>
        <v>T-212; T-235; T-236</v>
      </c>
      <c r="I89" s="38" t="str">
        <f>IF(INDEX(Backlog!$T$2:$T$188,MATCH($A89,Backlog!$A$2:$A$188,0))="","",INDEX(Backlog!$T$2:$T$188,MATCH($A89,Backlog!$A$2:$A$188,0)))</f>
        <v>CLOSED BASELINE — no new start gate and no re-execution implied. Preserve accepted closure and clean owned scope; reopen only on a concrete, separately recorded regression. Downstream consumes the frozen contract.</v>
      </c>
      <c r="J89" s="32" t="str">
        <f>IF(INDEX(Backlog!$AN$2:$AN$188,MATCH($A89,Backlog!$A$2:$A$188,0))="","",INDEX(Backlog!$AN$2:$AN$188,MATCH($A89,Backlog!$A$2:$A$188,0)))</f>
        <v/>
      </c>
    </row>
    <row r="90" spans="1:10" ht="26.1" customHeight="1">
      <c r="A90" s="38" t="s">
        <v>1078</v>
      </c>
      <c r="B90" s="38" t="str">
        <f>IF(INDEX(Backlog!$B$2:$B$188,MATCH($A90,Backlog!$A$2:$A$188,0))="","",INDEX(Backlog!$B$2:$B$188,MATCH($A90,Backlog!$A$2:$A$188,0)))</f>
        <v>M2</v>
      </c>
      <c r="C90" s="38" t="str">
        <f>IF(INDEX(Backlog!$C$2:$C$188,MATCH($A90,Backlog!$A$2:$A$188,0))="","",INDEX(Backlog!$C$2:$C$188,MATCH($A90,Backlog!$A$2:$A$188,0)))</f>
        <v>P4</v>
      </c>
      <c r="D90" s="38" t="str">
        <f>IF(INDEX(Backlog!$L$2:$L$188,MATCH($A90,Backlog!$A$2:$A$188,0))="","",INDEX(Backlog!$L$2:$L$188,MATCH($A90,Backlog!$A$2:$A$188,0)))</f>
        <v>Worker 3</v>
      </c>
      <c r="E90" s="70" t="str">
        <f>IF(INDEX(Backlog!$K$2:$K$188,MATCH($A90,Backlog!$A$2:$A$188,0))="","",INDEX(Backlog!$K$2:$K$188,MATCH($A90,Backlog!$A$2:$A$188,0)))</f>
        <v>Done</v>
      </c>
      <c r="F90" s="38">
        <f>IF(ISNUMBER(INDEX(Backlog!$AT$2:$AT$188,MATCH($A90,Backlog!$A$2:$A$188,0))),INDEX(Backlog!$AT$2:$AT$188,MATCH($A90,Backlog!$A$2:$A$188,0)),"")</f>
        <v>2.666666666666667</v>
      </c>
      <c r="G90" s="38" t="str">
        <f>IF(INDEX(Backlog!$M$2:$M$188,MATCH($A90,Backlog!$A$2:$A$188,0))="","",INDEX(Backlog!$M$2:$M$188,MATCH($A90,Backlog!$A$2:$A$188,0)))</f>
        <v>T-217; T-234</v>
      </c>
      <c r="H90" s="38" t="str">
        <f>IF(INDEX(Backlog!$N$2:$N$188,MATCH($A90,Backlog!$A$2:$A$188,0))="","",INDEX(Backlog!$N$2:$N$188,MATCH($A90,Backlog!$A$2:$A$188,0)))</f>
        <v>T-212; T-219</v>
      </c>
      <c r="I90" s="38" t="str">
        <f>IF(INDEX(Backlog!$T$2:$T$188,MATCH($A90,Backlog!$A$2:$A$188,0))="","",INDEX(Backlog!$T$2:$T$188,MATCH($A90,Backlog!$A$2:$A$188,0)))</f>
        <v>CLOSED BASELINE — no new start gate and no re-execution implied. Preserve accepted closure and clean owned scope; reopen only on a concrete, separately recorded regression. Downstream consumes the frozen contract.</v>
      </c>
      <c r="J90" s="32" t="str">
        <f>IF(INDEX(Backlog!$AN$2:$AN$188,MATCH($A90,Backlog!$A$2:$A$188,0))="","",INDEX(Backlog!$AN$2:$AN$188,MATCH($A90,Backlog!$A$2:$A$188,0)))</f>
        <v/>
      </c>
    </row>
    <row r="91" spans="1:10" ht="26.1" customHeight="1">
      <c r="A91" s="38" t="s">
        <v>1088</v>
      </c>
      <c r="B91" s="38" t="str">
        <f>IF(INDEX(Backlog!$B$2:$B$188,MATCH($A91,Backlog!$A$2:$A$188,0))="","",INDEX(Backlog!$B$2:$B$188,MATCH($A91,Backlog!$A$2:$A$188,0)))</f>
        <v>M2</v>
      </c>
      <c r="C91" s="38" t="str">
        <f>IF(INDEX(Backlog!$C$2:$C$188,MATCH($A91,Backlog!$A$2:$A$188,0))="","",INDEX(Backlog!$C$2:$C$188,MATCH($A91,Backlog!$A$2:$A$188,0)))</f>
        <v>P4</v>
      </c>
      <c r="D91" s="38" t="str">
        <f>IF(INDEX(Backlog!$L$2:$L$188,MATCH($A91,Backlog!$A$2:$A$188,0))="","",INDEX(Backlog!$L$2:$L$188,MATCH($A91,Backlog!$A$2:$A$188,0)))</f>
        <v>Worker 2</v>
      </c>
      <c r="E91" s="70" t="str">
        <f>IF(INDEX(Backlog!$K$2:$K$188,MATCH($A91,Backlog!$A$2:$A$188,0))="","",INDEX(Backlog!$K$2:$K$188,MATCH($A91,Backlog!$A$2:$A$188,0)))</f>
        <v>Not Started</v>
      </c>
      <c r="F91" s="38">
        <f>IF(ISNUMBER(INDEX(Backlog!$AT$2:$AT$188,MATCH($A91,Backlog!$A$2:$A$188,0))),INDEX(Backlog!$AT$2:$AT$188,MATCH($A91,Backlog!$A$2:$A$188,0)),"")</f>
        <v>4.25</v>
      </c>
      <c r="G91" s="38" t="str">
        <f>IF(INDEX(Backlog!$M$2:$M$188,MATCH($A91,Backlog!$A$2:$A$188,0))="","",INDEX(Backlog!$M$2:$M$188,MATCH($A91,Backlog!$A$2:$A$188,0)))</f>
        <v>T-092; T-235</v>
      </c>
      <c r="H91" s="38" t="str">
        <f>IF(INDEX(Backlog!$N$2:$N$188,MATCH($A91,Backlog!$A$2:$A$188,0))="","",INDEX(Backlog!$N$2:$N$188,MATCH($A91,Backlog!$A$2:$A$188,0)))</f>
        <v>T-164</v>
      </c>
      <c r="I91" s="38" t="str">
        <f>IF(INDEX(Backlog!$T$2:$T$188,MATCH($A91,Backlog!$A$2:$A$188,0))="","",INDEX(Backlog!$T$2:$T$188,MATCH($A91,Backlog!$A$2:$A$188,0)))</f>
        <v>T-092 + T-235; can run in parallel with T-222 on separate files.</v>
      </c>
      <c r="J91" s="32" t="str">
        <f>IF(INDEX(Backlog!$AN$2:$AN$188,MATCH($A91,Backlog!$A$2:$A$188,0))="","",INDEX(Backlog!$AN$2:$AN$188,MATCH($A91,Backlog!$A$2:$A$188,0)))</f>
        <v/>
      </c>
    </row>
    <row r="92" spans="1:10" ht="26.1" customHeight="1">
      <c r="A92" s="38" t="s">
        <v>1102</v>
      </c>
      <c r="B92" s="38" t="str">
        <f>IF(INDEX(Backlog!$B$2:$B$188,MATCH($A92,Backlog!$A$2:$A$188,0))="","",INDEX(Backlog!$B$2:$B$188,MATCH($A92,Backlog!$A$2:$A$188,0)))</f>
        <v>M2</v>
      </c>
      <c r="C92" s="38" t="str">
        <f>IF(INDEX(Backlog!$C$2:$C$188,MATCH($A92,Backlog!$A$2:$A$188,0))="","",INDEX(Backlog!$C$2:$C$188,MATCH($A92,Backlog!$A$2:$A$188,0)))</f>
        <v>P5</v>
      </c>
      <c r="D92" s="38" t="str">
        <f>IF(INDEX(Backlog!$L$2:$L$188,MATCH($A92,Backlog!$A$2:$A$188,0))="","",INDEX(Backlog!$L$2:$L$188,MATCH($A92,Backlog!$A$2:$A$188,0)))</f>
        <v>Worker 1</v>
      </c>
      <c r="E92" s="70" t="str">
        <f>IF(INDEX(Backlog!$K$2:$K$188,MATCH($A92,Backlog!$A$2:$A$188,0))="","",INDEX(Backlog!$K$2:$K$188,MATCH($A92,Backlog!$A$2:$A$188,0)))</f>
        <v>Not Started</v>
      </c>
      <c r="F92" s="38">
        <f>IF(ISNUMBER(INDEX(Backlog!$AT$2:$AT$188,MATCH($A92,Backlog!$A$2:$A$188,0))),INDEX(Backlog!$AT$2:$AT$188,MATCH($A92,Backlog!$A$2:$A$188,0)),"")</f>
        <v>2.3250000000000002</v>
      </c>
      <c r="G92" s="38" t="str">
        <f>IF(INDEX(Backlog!$M$2:$M$188,MATCH($A92,Backlog!$A$2:$A$188,0))="","",INDEX(Backlog!$M$2:$M$188,MATCH($A92,Backlog!$A$2:$A$188,0)))</f>
        <v>T-087; T-088; T-251; T-252</v>
      </c>
      <c r="H92" s="38" t="str">
        <f>IF(INDEX(Backlog!$N$2:$N$188,MATCH($A92,Backlog!$A$2:$A$188,0))="","",INDEX(Backlog!$N$2:$N$188,MATCH($A92,Backlog!$A$2:$A$188,0)))</f>
        <v>T-122; T-128; T-129; T-130; T-135; T-183; T-184; T-185; T-187; T-195; T-198; T-221; T-230</v>
      </c>
      <c r="I92" s="38" t="str">
        <f>IF(INDEX(Backlog!$T$2:$T$188,MATCH($A92,Backlog!$A$2:$A$188,0))="","",INDEX(Backlog!$T$2:$T$188,MATCH($A92,Backlog!$A$2:$A$188,0)))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T-087/T-088 canonical migration authority available; establish FORCE RLS guar...</v>
      </c>
      <c r="J92" s="32" t="str">
        <f>IF(INDEX(Backlog!$AN$2:$AN$188,MATCH($A92,Backlog!$A$2:$A$188,0))="","",INDEX(Backlog!$AN$2:$AN$188,MATCH($A92,Backlog!$A$2:$A$188,0)))</f>
        <v/>
      </c>
    </row>
    <row r="93" spans="1:10" ht="26.1" customHeight="1">
      <c r="A93" s="38" t="s">
        <v>1117</v>
      </c>
      <c r="B93" s="38" t="str">
        <f>IF(INDEX(Backlog!$B$2:$B$188,MATCH($A93,Backlog!$A$2:$A$188,0))="","",INDEX(Backlog!$B$2:$B$188,MATCH($A93,Backlog!$A$2:$A$188,0)))</f>
        <v>M2</v>
      </c>
      <c r="C93" s="38" t="str">
        <f>IF(INDEX(Backlog!$C$2:$C$188,MATCH($A93,Backlog!$A$2:$A$188,0))="","",INDEX(Backlog!$C$2:$C$188,MATCH($A93,Backlog!$A$2:$A$188,0)))</f>
        <v>P5</v>
      </c>
      <c r="D93" s="38" t="str">
        <f>IF(INDEX(Backlog!$L$2:$L$188,MATCH($A93,Backlog!$A$2:$A$188,0))="","",INDEX(Backlog!$L$2:$L$188,MATCH($A93,Backlog!$A$2:$A$188,0)))</f>
        <v>Worker 1</v>
      </c>
      <c r="E93" s="70" t="str">
        <f>IF(INDEX(Backlog!$K$2:$K$188,MATCH($A93,Backlog!$A$2:$A$188,0))="","",INDEX(Backlog!$K$2:$K$188,MATCH($A93,Backlog!$A$2:$A$188,0)))</f>
        <v>Not Started</v>
      </c>
      <c r="F93" s="38" t="str">
        <f>IF(ISNUMBER(INDEX(Backlog!$AT$2:$AT$188,MATCH($A93,Backlog!$A$2:$A$188,0))),INDEX(Backlog!$AT$2:$AT$188,MATCH($A93,Backlog!$A$2:$A$188,0)),"")</f>
        <v/>
      </c>
      <c r="G93" s="38" t="str">
        <f>IF(INDEX(Backlog!$M$2:$M$188,MATCH($A93,Backlog!$A$2:$A$188,0))="","",INDEX(Backlog!$M$2:$M$188,MATCH($A93,Backlog!$A$2:$A$188,0)))</f>
        <v/>
      </c>
      <c r="H93" s="38" t="str">
        <f>IF(INDEX(Backlog!$N$2:$N$188,MATCH($A93,Backlog!$A$2:$A$188,0))="","",INDEX(Backlog!$N$2:$N$188,MATCH($A93,Backlog!$A$2:$A$188,0)))</f>
        <v>T-122; T-200</v>
      </c>
      <c r="I93" s="38" t="str">
        <f>IF(INDEX(Backlog!$T$2:$T$188,MATCH($A93,Backlog!$A$2:$A$188,0))="","",INDEX(Backlog!$T$2:$T$188,MATCH($A93,Backlog!$A$2:$A$188,0)))</f>
        <v>Use the accepted M1 regression baseline; require empty index and clean owned paths, preserving unrelated user work. Then: Release 1 dependency order</v>
      </c>
      <c r="J93" s="32" t="str">
        <f>IF(INDEX(Backlog!$AN$2:$AN$188,MATCH($A93,Backlog!$A$2:$A$188,0))="","",INDEX(Backlog!$AN$2:$AN$188,MATCH($A93,Backlog!$A$2:$A$188,0)))</f>
        <v/>
      </c>
    </row>
    <row r="94" spans="1:10" ht="26.1" customHeight="1">
      <c r="A94" s="38" t="s">
        <v>1125</v>
      </c>
      <c r="B94" s="38" t="str">
        <f>IF(INDEX(Backlog!$B$2:$B$188,MATCH($A94,Backlog!$A$2:$A$188,0))="","",INDEX(Backlog!$B$2:$B$188,MATCH($A94,Backlog!$A$2:$A$188,0)))</f>
        <v>M2</v>
      </c>
      <c r="C94" s="38" t="str">
        <f>IF(INDEX(Backlog!$C$2:$C$188,MATCH($A94,Backlog!$A$2:$A$188,0))="","",INDEX(Backlog!$C$2:$C$188,MATCH($A94,Backlog!$A$2:$A$188,0)))</f>
        <v>P5</v>
      </c>
      <c r="D94" s="38" t="str">
        <f>IF(INDEX(Backlog!$L$2:$L$188,MATCH($A94,Backlog!$A$2:$A$188,0))="","",INDEX(Backlog!$L$2:$L$188,MATCH($A94,Backlog!$A$2:$A$188,0)))</f>
        <v>Worker 1</v>
      </c>
      <c r="E94" s="70" t="str">
        <f>IF(INDEX(Backlog!$K$2:$K$188,MATCH($A94,Backlog!$A$2:$A$188,0))="","",INDEX(Backlog!$K$2:$K$188,MATCH($A94,Backlog!$A$2:$A$188,0)))</f>
        <v>Not Started</v>
      </c>
      <c r="F94" s="38">
        <f>IF(ISNUMBER(INDEX(Backlog!$AT$2:$AT$188,MATCH($A94,Backlog!$A$2:$A$188,0))),INDEX(Backlog!$AT$2:$AT$188,MATCH($A94,Backlog!$A$2:$A$188,0)),"")</f>
        <v>0.89999999999999991</v>
      </c>
      <c r="G94" s="38" t="str">
        <f>IF(INDEX(Backlog!$M$2:$M$188,MATCH($A94,Backlog!$A$2:$A$188,0))="","",INDEX(Backlog!$M$2:$M$188,MATCH($A94,Backlog!$A$2:$A$188,0)))</f>
        <v>T-087; T-089; T-090; T-095; T-099</v>
      </c>
      <c r="H94" s="38" t="str">
        <f>IF(INDEX(Backlog!$N$2:$N$188,MATCH($A94,Backlog!$A$2:$A$188,0))="","",INDEX(Backlog!$N$2:$N$188,MATCH($A94,Backlog!$A$2:$A$188,0)))</f>
        <v>T-122; T-128; T-129; T-130; T-135; T-183; T-184; T-185; T-187; T-195; T-198; T-221; T-230</v>
      </c>
      <c r="I94" s="38" t="str">
        <f>IF(INDEX(Backlog!$T$2:$T$188,MATCH($A94,Backlog!$A$2:$A$188,0))="","",INDEX(Backlog!$T$2:$T$188,MATCH($A94,Backlog!$A$2:$A$188,0)))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T-087 + T-089/T-090 + T-095/T-099 canonical Release 1 tables available; establish t...</v>
      </c>
      <c r="J94" s="32" t="str">
        <f>IF(INDEX(Backlog!$AN$2:$AN$188,MATCH($A94,Backlog!$A$2:$A$188,0))="","",INDEX(Backlog!$AN$2:$AN$188,MATCH($A94,Backlog!$A$2:$A$188,0)))</f>
        <v/>
      </c>
    </row>
    <row r="95" spans="1:10" ht="26.1" customHeight="1">
      <c r="A95" s="38" t="s">
        <v>1131</v>
      </c>
      <c r="B95" s="38" t="str">
        <f>IF(INDEX(Backlog!$B$2:$B$188,MATCH($A95,Backlog!$A$2:$A$188,0))="","",INDEX(Backlog!$B$2:$B$188,MATCH($A95,Backlog!$A$2:$A$188,0)))</f>
        <v>M2</v>
      </c>
      <c r="C95" s="38" t="str">
        <f>IF(INDEX(Backlog!$C$2:$C$188,MATCH($A95,Backlog!$A$2:$A$188,0))="","",INDEX(Backlog!$C$2:$C$188,MATCH($A95,Backlog!$A$2:$A$188,0)))</f>
        <v>P5</v>
      </c>
      <c r="D95" s="38" t="str">
        <f>IF(INDEX(Backlog!$L$2:$L$188,MATCH($A95,Backlog!$A$2:$A$188,0))="","",INDEX(Backlog!$L$2:$L$188,MATCH($A95,Backlog!$A$2:$A$188,0)))</f>
        <v>Worker 1</v>
      </c>
      <c r="E95" s="70" t="str">
        <f>IF(INDEX(Backlog!$K$2:$K$188,MATCH($A95,Backlog!$A$2:$A$188,0))="","",INDEX(Backlog!$K$2:$K$188,MATCH($A95,Backlog!$A$2:$A$188,0)))</f>
        <v>Not Started</v>
      </c>
      <c r="F95" s="38">
        <f>IF(ISNUMBER(INDEX(Backlog!$AT$2:$AT$188,MATCH($A95,Backlog!$A$2:$A$188,0))),INDEX(Backlog!$AT$2:$AT$188,MATCH($A95,Backlog!$A$2:$A$188,0)),"")</f>
        <v>0.77500000000000002</v>
      </c>
      <c r="G95" s="38" t="str">
        <f>IF(INDEX(Backlog!$M$2:$M$188,MATCH($A95,Backlog!$A$2:$A$188,0))="","",INDEX(Backlog!$M$2:$M$188,MATCH($A95,Backlog!$A$2:$A$188,0)))</f>
        <v/>
      </c>
      <c r="H95" s="38" t="str">
        <f>IF(INDEX(Backlog!$N$2:$N$188,MATCH($A95,Backlog!$A$2:$A$188,0))="","",INDEX(Backlog!$N$2:$N$188,MATCH($A95,Backlog!$A$2:$A$188,0)))</f>
        <v>T-150</v>
      </c>
      <c r="I95" s="38" t="str">
        <f>IF(INDEX(Backlog!$T$2:$T$188,MATCH($A95,Backlog!$A$2:$A$188,0))="","",INDEX(Backlog!$T$2:$T$188,MATCH($A95,Backlog!$A$2:$A$188,0)))</f>
        <v>Use the accepted M1 regression baseline; require empty index and clean owned paths, preserving unrelated user work. Then: Release 1 dependency order</v>
      </c>
      <c r="J95" s="32" t="str">
        <f>IF(INDEX(Backlog!$AN$2:$AN$188,MATCH($A95,Backlog!$A$2:$A$188,0))="","",INDEX(Backlog!$AN$2:$AN$188,MATCH($A95,Backlog!$A$2:$A$188,0)))</f>
        <v/>
      </c>
    </row>
    <row r="96" spans="1:10" ht="26.1" customHeight="1">
      <c r="A96" s="38" t="s">
        <v>1136</v>
      </c>
      <c r="B96" s="38" t="str">
        <f>IF(INDEX(Backlog!$B$2:$B$188,MATCH($A96,Backlog!$A$2:$A$188,0))="","",INDEX(Backlog!$B$2:$B$188,MATCH($A96,Backlog!$A$2:$A$188,0)))</f>
        <v>M2</v>
      </c>
      <c r="C96" s="38" t="str">
        <f>IF(INDEX(Backlog!$C$2:$C$188,MATCH($A96,Backlog!$A$2:$A$188,0))="","",INDEX(Backlog!$C$2:$C$188,MATCH($A96,Backlog!$A$2:$A$188,0)))</f>
        <v>P5</v>
      </c>
      <c r="D96" s="38" t="str">
        <f>IF(INDEX(Backlog!$L$2:$L$188,MATCH($A96,Backlog!$A$2:$A$188,0))="","",INDEX(Backlog!$L$2:$L$188,MATCH($A96,Backlog!$A$2:$A$188,0)))</f>
        <v>Worker 1</v>
      </c>
      <c r="E96" s="70" t="str">
        <f>IF(INDEX(Backlog!$K$2:$K$188,MATCH($A96,Backlog!$A$2:$A$188,0))="","",INDEX(Backlog!$K$2:$K$188,MATCH($A96,Backlog!$A$2:$A$188,0)))</f>
        <v>Not Started</v>
      </c>
      <c r="F96" s="38">
        <f>IF(ISNUMBER(INDEX(Backlog!$AT$2:$AT$188,MATCH($A96,Backlog!$A$2:$A$188,0))),INDEX(Backlog!$AT$2:$AT$188,MATCH($A96,Backlog!$A$2:$A$188,0)),"")</f>
        <v>1.7999999999999998</v>
      </c>
      <c r="G96" s="38" t="str">
        <f>IF(INDEX(Backlog!$M$2:$M$188,MATCH($A96,Backlog!$A$2:$A$188,0))="","",INDEX(Backlog!$M$2:$M$188,MATCH($A96,Backlog!$A$2:$A$188,0)))</f>
        <v/>
      </c>
      <c r="H96" s="38" t="str">
        <f>IF(INDEX(Backlog!$N$2:$N$188,MATCH($A96,Backlog!$A$2:$A$188,0))="","",INDEX(Backlog!$N$2:$N$188,MATCH($A96,Backlog!$A$2:$A$188,0)))</f>
        <v>T-121; T-197; T-198; T-200</v>
      </c>
      <c r="I96" s="38" t="str">
        <f>IF(INDEX(Backlog!$T$2:$T$188,MATCH($A96,Backlog!$A$2:$A$188,0))="","",INDEX(Backlog!$T$2:$T$188,MATCH($A96,Backlog!$A$2:$A$188,0)))</f>
        <v>Use the accepted M1 regression baseline; require empty index and clean owned paths, preserving unrelated user work. Then: Release 1 dependency order</v>
      </c>
      <c r="J96" s="32" t="str">
        <f>IF(INDEX(Backlog!$AN$2:$AN$188,MATCH($A96,Backlog!$A$2:$A$188,0))="","",INDEX(Backlog!$AN$2:$AN$188,MATCH($A96,Backlog!$A$2:$A$188,0)))</f>
        <v/>
      </c>
    </row>
    <row r="97" spans="1:10" ht="26.1" customHeight="1">
      <c r="A97" s="38" t="s">
        <v>1144</v>
      </c>
      <c r="B97" s="38" t="str">
        <f>IF(INDEX(Backlog!$B$2:$B$188,MATCH($A97,Backlog!$A$2:$A$188,0))="","",INDEX(Backlog!$B$2:$B$188,MATCH($A97,Backlog!$A$2:$A$188,0)))</f>
        <v>M2</v>
      </c>
      <c r="C97" s="38" t="str">
        <f>IF(INDEX(Backlog!$C$2:$C$188,MATCH($A97,Backlog!$A$2:$A$188,0))="","",INDEX(Backlog!$C$2:$C$188,MATCH($A97,Backlog!$A$2:$A$188,0)))</f>
        <v>P5</v>
      </c>
      <c r="D97" s="38" t="str">
        <f>IF(INDEX(Backlog!$L$2:$L$188,MATCH($A97,Backlog!$A$2:$A$188,0))="","",INDEX(Backlog!$L$2:$L$188,MATCH($A97,Backlog!$A$2:$A$188,0)))</f>
        <v>Worker 2</v>
      </c>
      <c r="E97" s="70" t="str">
        <f>IF(INDEX(Backlog!$K$2:$K$188,MATCH($A97,Backlog!$A$2:$A$188,0))="","",INDEX(Backlog!$K$2:$K$188,MATCH($A97,Backlog!$A$2:$A$188,0)))</f>
        <v>Not Started</v>
      </c>
      <c r="F97" s="38">
        <f>IF(ISNUMBER(INDEX(Backlog!$AT$2:$AT$188,MATCH($A97,Backlog!$A$2:$A$188,0))),INDEX(Backlog!$AT$2:$AT$188,MATCH($A97,Backlog!$A$2:$A$188,0)),"")</f>
        <v>2</v>
      </c>
      <c r="G97" s="38" t="str">
        <f>IF(INDEX(Backlog!$M$2:$M$188,MATCH($A97,Backlog!$A$2:$A$188,0))="","",INDEX(Backlog!$M$2:$M$188,MATCH($A97,Backlog!$A$2:$A$188,0)))</f>
        <v/>
      </c>
      <c r="H97" s="38" t="str">
        <f>IF(INDEX(Backlog!$N$2:$N$188,MATCH($A97,Backlog!$A$2:$A$188,0))="","",INDEX(Backlog!$N$2:$N$188,MATCH($A97,Backlog!$A$2:$A$188,0)))</f>
        <v/>
      </c>
      <c r="I97" s="38" t="str">
        <f>IF(INDEX(Backlog!$T$2:$T$188,MATCH($A97,Backlog!$A$2:$A$188,0))="","",INDEX(Backlog!$T$2:$T$188,MATCH($A97,Backlog!$A$2:$A$188,0)))</f>
        <v>Use the accepted M1 regression baseline; require empty index and clean owned paths, preserving unrelated user work. Then: Release 1 dependency order</v>
      </c>
      <c r="J97" s="32" t="str">
        <f>IF(INDEX(Backlog!$AN$2:$AN$188,MATCH($A97,Backlog!$A$2:$A$188,0))="","",INDEX(Backlog!$AN$2:$AN$188,MATCH($A97,Backlog!$A$2:$A$188,0)))</f>
        <v/>
      </c>
    </row>
    <row r="98" spans="1:10" ht="26.1" customHeight="1">
      <c r="A98" s="38" t="s">
        <v>1149</v>
      </c>
      <c r="B98" s="38" t="str">
        <f>IF(INDEX(Backlog!$B$2:$B$188,MATCH($A98,Backlog!$A$2:$A$188,0))="","",INDEX(Backlog!$B$2:$B$188,MATCH($A98,Backlog!$A$2:$A$188,0)))</f>
        <v>M2</v>
      </c>
      <c r="C98" s="38" t="str">
        <f>IF(INDEX(Backlog!$C$2:$C$188,MATCH($A98,Backlog!$A$2:$A$188,0))="","",INDEX(Backlog!$C$2:$C$188,MATCH($A98,Backlog!$A$2:$A$188,0)))</f>
        <v>P5</v>
      </c>
      <c r="D98" s="38" t="str">
        <f>IF(INDEX(Backlog!$L$2:$L$188,MATCH($A98,Backlog!$A$2:$A$188,0))="","",INDEX(Backlog!$L$2:$L$188,MATCH($A98,Backlog!$A$2:$A$188,0)))</f>
        <v>Worker 1</v>
      </c>
      <c r="E98" s="70" t="str">
        <f>IF(INDEX(Backlog!$K$2:$K$188,MATCH($A98,Backlog!$A$2:$A$188,0))="","",INDEX(Backlog!$K$2:$K$188,MATCH($A98,Backlog!$A$2:$A$188,0)))</f>
        <v>Not Started</v>
      </c>
      <c r="F98" s="38" t="str">
        <f>IF(ISNUMBER(INDEX(Backlog!$AT$2:$AT$188,MATCH($A98,Backlog!$A$2:$A$188,0))),INDEX(Backlog!$AT$2:$AT$188,MATCH($A98,Backlog!$A$2:$A$188,0)),"")</f>
        <v/>
      </c>
      <c r="G98" s="38" t="str">
        <f>IF(INDEX(Backlog!$M$2:$M$188,MATCH($A98,Backlog!$A$2:$A$188,0))="","",INDEX(Backlog!$M$2:$M$188,MATCH($A98,Backlog!$A$2:$A$188,0)))</f>
        <v>T-119</v>
      </c>
      <c r="H98" s="38" t="str">
        <f>IF(INDEX(Backlog!$N$2:$N$188,MATCH($A98,Backlog!$A$2:$A$188,0))="","",INDEX(Backlog!$N$2:$N$188,MATCH($A98,Backlog!$A$2:$A$188,0)))</f>
        <v>T-127</v>
      </c>
      <c r="I98" s="38" t="str">
        <f>IF(INDEX(Backlog!$T$2:$T$188,MATCH($A98,Backlog!$A$2:$A$188,0))="","",INDEX(Backlog!$T$2:$T$188,MATCH($A98,Backlog!$A$2:$A$188,0)))</f>
        <v>Use the accepted M1 regression baseline; require empty index and clean owned paths, preserving unrelated user work. Then: T-119 role catalogue/enforcement + licence authority.</v>
      </c>
      <c r="J98" s="32" t="str">
        <f>IF(INDEX(Backlog!$AN$2:$AN$188,MATCH($A98,Backlog!$A$2:$A$188,0))="","",INDEX(Backlog!$AN$2:$AN$188,MATCH($A98,Backlog!$A$2:$A$188,0)))</f>
        <v/>
      </c>
    </row>
    <row r="99" spans="1:10" ht="26.1" customHeight="1">
      <c r="A99" s="38" t="s">
        <v>1160</v>
      </c>
      <c r="B99" s="38" t="str">
        <f>IF(INDEX(Backlog!$B$2:$B$188,MATCH($A99,Backlog!$A$2:$A$188,0))="","",INDEX(Backlog!$B$2:$B$188,MATCH($A99,Backlog!$A$2:$A$188,0)))</f>
        <v>M2</v>
      </c>
      <c r="C99" s="38" t="str">
        <f>IF(INDEX(Backlog!$C$2:$C$188,MATCH($A99,Backlog!$A$2:$A$188,0))="","",INDEX(Backlog!$C$2:$C$188,MATCH($A99,Backlog!$A$2:$A$188,0)))</f>
        <v>P5</v>
      </c>
      <c r="D99" s="38" t="str">
        <f>IF(INDEX(Backlog!$L$2:$L$188,MATCH($A99,Backlog!$A$2:$A$188,0))="","",INDEX(Backlog!$L$2:$L$188,MATCH($A99,Backlog!$A$2:$A$188,0)))</f>
        <v>Worker 1</v>
      </c>
      <c r="E99" s="70" t="str">
        <f>IF(INDEX(Backlog!$K$2:$K$188,MATCH($A99,Backlog!$A$2:$A$188,0))="","",INDEX(Backlog!$K$2:$K$188,MATCH($A99,Backlog!$A$2:$A$188,0)))</f>
        <v>Not Started</v>
      </c>
      <c r="F99" s="38" t="str">
        <f>IF(ISNUMBER(INDEX(Backlog!$AT$2:$AT$188,MATCH($A99,Backlog!$A$2:$A$188,0))),INDEX(Backlog!$AT$2:$AT$188,MATCH($A99,Backlog!$A$2:$A$188,0)),"")</f>
        <v/>
      </c>
      <c r="G99" s="38" t="str">
        <f>IF(INDEX(Backlog!$M$2:$M$188,MATCH($A99,Backlog!$A$2:$A$188,0))="","",INDEX(Backlog!$M$2:$M$188,MATCH($A99,Backlog!$A$2:$A$188,0)))</f>
        <v/>
      </c>
      <c r="H99" s="38" t="str">
        <f>IF(INDEX(Backlog!$N$2:$N$188,MATCH($A99,Backlog!$A$2:$A$188,0))="","",INDEX(Backlog!$N$2:$N$188,MATCH($A99,Backlog!$A$2:$A$188,0)))</f>
        <v>T-122; T-150</v>
      </c>
      <c r="I99" s="38" t="str">
        <f>IF(INDEX(Backlog!$T$2:$T$188,MATCH($A99,Backlog!$A$2:$A$188,0))="","",INDEX(Backlog!$T$2:$T$188,MATCH($A99,Backlog!$A$2:$A$188,0)))</f>
        <v>Use the accepted M1 regression baseline; require empty index and clean owned paths, preserving unrelated user work. Then: Release 1 dependency order</v>
      </c>
      <c r="J99" s="32" t="str">
        <f>IF(INDEX(Backlog!$AN$2:$AN$188,MATCH($A99,Backlog!$A$2:$A$188,0))="","",INDEX(Backlog!$AN$2:$AN$188,MATCH($A99,Backlog!$A$2:$A$188,0)))</f>
        <v/>
      </c>
    </row>
    <row r="100" spans="1:10" ht="26.1" customHeight="1">
      <c r="A100" s="38" t="s">
        <v>1169</v>
      </c>
      <c r="B100" s="38" t="str">
        <f>IF(INDEX(Backlog!$B$2:$B$188,MATCH($A100,Backlog!$A$2:$A$188,0))="","",INDEX(Backlog!$B$2:$B$188,MATCH($A100,Backlog!$A$2:$A$188,0)))</f>
        <v>M2</v>
      </c>
      <c r="C100" s="38" t="str">
        <f>IF(INDEX(Backlog!$C$2:$C$188,MATCH($A100,Backlog!$A$2:$A$188,0))="","",INDEX(Backlog!$C$2:$C$188,MATCH($A100,Backlog!$A$2:$A$188,0)))</f>
        <v>P5</v>
      </c>
      <c r="D100" s="38" t="str">
        <f>IF(INDEX(Backlog!$L$2:$L$188,MATCH($A100,Backlog!$A$2:$A$188,0))="","",INDEX(Backlog!$L$2:$L$188,MATCH($A100,Backlog!$A$2:$A$188,0)))</f>
        <v>Worker 1</v>
      </c>
      <c r="E100" s="70" t="str">
        <f>IF(INDEX(Backlog!$K$2:$K$188,MATCH($A100,Backlog!$A$2:$A$188,0))="","",INDEX(Backlog!$K$2:$K$188,MATCH($A100,Backlog!$A$2:$A$188,0)))</f>
        <v>Not Started</v>
      </c>
      <c r="F100" s="38">
        <f>IF(ISNUMBER(INDEX(Backlog!$AT$2:$AT$188,MATCH($A100,Backlog!$A$2:$A$188,0))),INDEX(Backlog!$AT$2:$AT$188,MATCH($A100,Backlog!$A$2:$A$188,0)),"")</f>
        <v>3.2</v>
      </c>
      <c r="G100" s="38" t="str">
        <f>IF(INDEX(Backlog!$M$2:$M$188,MATCH($A100,Backlog!$A$2:$A$188,0))="","",INDEX(Backlog!$M$2:$M$188,MATCH($A100,Backlog!$A$2:$A$188,0)))</f>
        <v/>
      </c>
      <c r="H100" s="38" t="str">
        <f>IF(INDEX(Backlog!$N$2:$N$188,MATCH($A100,Backlog!$A$2:$A$188,0))="","",INDEX(Backlog!$N$2:$N$188,MATCH($A100,Backlog!$A$2:$A$188,0)))</f>
        <v>T-150; T-199</v>
      </c>
      <c r="I100" s="38" t="str">
        <f>IF(INDEX(Backlog!$T$2:$T$188,MATCH($A100,Backlog!$A$2:$A$188,0))="","",INDEX(Backlog!$T$2:$T$188,MATCH($A100,Backlog!$A$2:$A$188,0)))</f>
        <v>Use the accepted M1 regression baseline; require empty index and clean owned paths, preserving unrelated user work. Then: Release 1 dependency order</v>
      </c>
      <c r="J100" s="32" t="str">
        <f>IF(INDEX(Backlog!$AN$2:$AN$188,MATCH($A100,Backlog!$A$2:$A$188,0))="","",INDEX(Backlog!$AN$2:$AN$188,MATCH($A100,Backlog!$A$2:$A$188,0)))</f>
        <v/>
      </c>
    </row>
    <row r="101" spans="1:10" ht="26.1" customHeight="1">
      <c r="A101" s="38" t="s">
        <v>1177</v>
      </c>
      <c r="B101" s="38" t="str">
        <f>IF(INDEX(Backlog!$B$2:$B$188,MATCH($A101,Backlog!$A$2:$A$188,0))="","",INDEX(Backlog!$B$2:$B$188,MATCH($A101,Backlog!$A$2:$A$188,0)))</f>
        <v>M2</v>
      </c>
      <c r="C101" s="38" t="str">
        <f>IF(INDEX(Backlog!$C$2:$C$188,MATCH($A101,Backlog!$A$2:$A$188,0))="","",INDEX(Backlog!$C$2:$C$188,MATCH($A101,Backlog!$A$2:$A$188,0)))</f>
        <v>P5</v>
      </c>
      <c r="D101" s="38" t="str">
        <f>IF(INDEX(Backlog!$L$2:$L$188,MATCH($A101,Backlog!$A$2:$A$188,0))="","",INDEX(Backlog!$L$2:$L$188,MATCH($A101,Backlog!$A$2:$A$188,0)))</f>
        <v>Worker 1</v>
      </c>
      <c r="E101" s="70" t="str">
        <f>IF(INDEX(Backlog!$K$2:$K$188,MATCH($A101,Backlog!$A$2:$A$188,0))="","",INDEX(Backlog!$K$2:$K$188,MATCH($A101,Backlog!$A$2:$A$188,0)))</f>
        <v>Not Started</v>
      </c>
      <c r="F101" s="38">
        <f>IF(ISNUMBER(INDEX(Backlog!$AT$2:$AT$188,MATCH($A101,Backlog!$A$2:$A$188,0))),INDEX(Backlog!$AT$2:$AT$188,MATCH($A101,Backlog!$A$2:$A$188,0)),"")</f>
        <v>3.2</v>
      </c>
      <c r="G101" s="38" t="str">
        <f>IF(INDEX(Backlog!$M$2:$M$188,MATCH($A101,Backlog!$A$2:$A$188,0))="","",INDEX(Backlog!$M$2:$M$188,MATCH($A101,Backlog!$A$2:$A$188,0)))</f>
        <v>T-106; T-107</v>
      </c>
      <c r="H101" s="38" t="str">
        <f>IF(INDEX(Backlog!$N$2:$N$188,MATCH($A101,Backlog!$A$2:$A$188,0))="","",INDEX(Backlog!$N$2:$N$188,MATCH($A101,Backlog!$A$2:$A$188,0)))</f>
        <v>T-150; T-247</v>
      </c>
      <c r="I101" s="38" t="str">
        <f>IF(INDEX(Backlog!$T$2:$T$188,MATCH($A101,Backlog!$A$2:$A$188,0))="","",INDEX(Backlog!$T$2:$T$188,MATCH($A101,Backlog!$A$2:$A$188,0)))</f>
        <v>Use the accepted M1 regression baseline; require empty index and clean owned paths, preserving unrelated user work. Then: Release 1 dependency order</v>
      </c>
      <c r="J101" s="32" t="str">
        <f>IF(INDEX(Backlog!$AN$2:$AN$188,MATCH($A101,Backlog!$A$2:$A$188,0))="","",INDEX(Backlog!$AN$2:$AN$188,MATCH($A101,Backlog!$A$2:$A$188,0)))</f>
        <v/>
      </c>
    </row>
    <row r="102" spans="1:10" ht="26.1" customHeight="1">
      <c r="A102" s="38" t="s">
        <v>1187</v>
      </c>
      <c r="B102" s="38" t="str">
        <f>IF(INDEX(Backlog!$B$2:$B$188,MATCH($A102,Backlog!$A$2:$A$188,0))="","",INDEX(Backlog!$B$2:$B$188,MATCH($A102,Backlog!$A$2:$A$188,0)))</f>
        <v>M2</v>
      </c>
      <c r="C102" s="38" t="str">
        <f>IF(INDEX(Backlog!$C$2:$C$188,MATCH($A102,Backlog!$A$2:$A$188,0))="","",INDEX(Backlog!$C$2:$C$188,MATCH($A102,Backlog!$A$2:$A$188,0)))</f>
        <v>P5</v>
      </c>
      <c r="D102" s="38" t="str">
        <f>IF(INDEX(Backlog!$L$2:$L$188,MATCH($A102,Backlog!$A$2:$A$188,0))="","",INDEX(Backlog!$L$2:$L$188,MATCH($A102,Backlog!$A$2:$A$188,0)))</f>
        <v>Worker 1</v>
      </c>
      <c r="E102" s="70" t="str">
        <f>IF(INDEX(Backlog!$K$2:$K$188,MATCH($A102,Backlog!$A$2:$A$188,0))="","",INDEX(Backlog!$K$2:$K$188,MATCH($A102,Backlog!$A$2:$A$188,0)))</f>
        <v>Not Started</v>
      </c>
      <c r="F102" s="38">
        <f>IF(ISNUMBER(INDEX(Backlog!$AT$2:$AT$188,MATCH($A102,Backlog!$A$2:$A$188,0))),INDEX(Backlog!$AT$2:$AT$188,MATCH($A102,Backlog!$A$2:$A$188,0)),"")</f>
        <v>0.9</v>
      </c>
      <c r="G102" s="38" t="str">
        <f>IF(INDEX(Backlog!$M$2:$M$188,MATCH($A102,Backlog!$A$2:$A$188,0))="","",INDEX(Backlog!$M$2:$M$188,MATCH($A102,Backlog!$A$2:$A$188,0)))</f>
        <v/>
      </c>
      <c r="H102" s="38" t="str">
        <f>IF(INDEX(Backlog!$N$2:$N$188,MATCH($A102,Backlog!$A$2:$A$188,0))="","",INDEX(Backlog!$N$2:$N$188,MATCH($A102,Backlog!$A$2:$A$188,0)))</f>
        <v>T-150</v>
      </c>
      <c r="I102" s="38" t="str">
        <f>IF(INDEX(Backlog!$T$2:$T$188,MATCH($A102,Backlog!$A$2:$A$188,0))="","",INDEX(Backlog!$T$2:$T$188,MATCH($A102,Backlog!$A$2:$A$188,0)))</f>
        <v>Use the accepted M1 regression baseline; require empty index and clean owned paths, preserving unrelated user work. Then: Release 1 dependency order</v>
      </c>
      <c r="J102" s="32" t="str">
        <f>IF(INDEX(Backlog!$AN$2:$AN$188,MATCH($A102,Backlog!$A$2:$A$188,0))="","",INDEX(Backlog!$AN$2:$AN$188,MATCH($A102,Backlog!$A$2:$A$188,0)))</f>
        <v/>
      </c>
    </row>
    <row r="103" spans="1:10" ht="26.1" customHeight="1">
      <c r="A103" s="38" t="s">
        <v>743</v>
      </c>
      <c r="B103" s="38" t="str">
        <f>IF(INDEX(Backlog!$B$2:$B$188,MATCH($A103,Backlog!$A$2:$A$188,0))="","",INDEX(Backlog!$B$2:$B$188,MATCH($A103,Backlog!$A$2:$A$188,0)))</f>
        <v>M2</v>
      </c>
      <c r="C103" s="38" t="str">
        <f>IF(INDEX(Backlog!$C$2:$C$188,MATCH($A103,Backlog!$A$2:$A$188,0))="","",INDEX(Backlog!$C$2:$C$188,MATCH($A103,Backlog!$A$2:$A$188,0)))</f>
        <v>P5</v>
      </c>
      <c r="D103" s="38" t="str">
        <f>IF(INDEX(Backlog!$L$2:$L$188,MATCH($A103,Backlog!$A$2:$A$188,0))="","",INDEX(Backlog!$L$2:$L$188,MATCH($A103,Backlog!$A$2:$A$188,0)))</f>
        <v>Worker 1</v>
      </c>
      <c r="E103" s="70" t="str">
        <f>IF(INDEX(Backlog!$K$2:$K$188,MATCH($A103,Backlog!$A$2:$A$188,0))="","",INDEX(Backlog!$K$2:$K$188,MATCH($A103,Backlog!$A$2:$A$188,0)))</f>
        <v>Not Started</v>
      </c>
      <c r="F103" s="38">
        <f>IF(ISNUMBER(INDEX(Backlog!$AT$2:$AT$188,MATCH($A103,Backlog!$A$2:$A$188,0))),INDEX(Backlog!$AT$2:$AT$188,MATCH($A103,Backlog!$A$2:$A$188,0)),"")</f>
        <v>4.08</v>
      </c>
      <c r="G103" s="38" t="str">
        <f>IF(INDEX(Backlog!$M$2:$M$188,MATCH($A103,Backlog!$A$2:$A$188,0))="","",INDEX(Backlog!$M$2:$M$188,MATCH($A103,Backlog!$A$2:$A$188,0)))</f>
        <v>T-115; T-123; T-124; T-125; T-126; T-205; T-207; T-212; T-215; T-222; T-223; T-226; T-227; T-247; T-250; T-251; T-252; T-253; T-254; T-255; T-256; T-257; T-258; T-259</v>
      </c>
      <c r="H103" s="38" t="str">
        <f>IF(INDEX(Backlog!$N$2:$N$188,MATCH($A103,Backlog!$A$2:$A$188,0))="","",INDEX(Backlog!$N$2:$N$188,MATCH($A103,Backlog!$A$2:$A$188,0)))</f>
        <v/>
      </c>
      <c r="I103" s="38" t="str">
        <f>IF(INDEX(Backlog!$T$2:$T$188,MATCH($A103,Backlog!$A$2:$A$188,0))="","",INDEX(Backlog!$T$2:$T$188,MATCH($A103,Backlog!$A$2:$A$188,0)))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T-192 + T-148 exact route/shell inventory + T-194 API-alias retirement + all ...</v>
      </c>
      <c r="J103" s="32" t="str">
        <f>IF(INDEX(Backlog!$AN$2:$AN$188,MATCH($A103,Backlog!$A$2:$A$188,0))="","",INDEX(Backlog!$AN$2:$AN$188,MATCH($A103,Backlog!$A$2:$A$188,0)))</f>
        <v/>
      </c>
    </row>
    <row r="104" spans="1:10" ht="26.1" customHeight="1">
      <c r="A104" s="38" t="s">
        <v>1206</v>
      </c>
      <c r="B104" s="38" t="str">
        <f>IF(INDEX(Backlog!$B$2:$B$188,MATCH($A104,Backlog!$A$2:$A$188,0))="","",INDEX(Backlog!$B$2:$B$188,MATCH($A104,Backlog!$A$2:$A$188,0)))</f>
        <v>M2</v>
      </c>
      <c r="C104" s="38" t="str">
        <f>IF(INDEX(Backlog!$C$2:$C$188,MATCH($A104,Backlog!$A$2:$A$188,0))="","",INDEX(Backlog!$C$2:$C$188,MATCH($A104,Backlog!$A$2:$A$188,0)))</f>
        <v>P5</v>
      </c>
      <c r="D104" s="38" t="str">
        <f>IF(INDEX(Backlog!$L$2:$L$188,MATCH($A104,Backlog!$A$2:$A$188,0))="","",INDEX(Backlog!$L$2:$L$188,MATCH($A104,Backlog!$A$2:$A$188,0)))</f>
        <v>Worker 1</v>
      </c>
      <c r="E104" s="70" t="str">
        <f>IF(INDEX(Backlog!$K$2:$K$188,MATCH($A104,Backlog!$A$2:$A$188,0))="","",INDEX(Backlog!$K$2:$K$188,MATCH($A104,Backlog!$A$2:$A$188,0)))</f>
        <v>Not Started</v>
      </c>
      <c r="F104" s="38">
        <f>IF(ISNUMBER(INDEX(Backlog!$AT$2:$AT$188,MATCH($A104,Backlog!$A$2:$A$188,0))),INDEX(Backlog!$AT$2:$AT$188,MATCH($A104,Backlog!$A$2:$A$188,0)),"")</f>
        <v>2.25</v>
      </c>
      <c r="G104" s="38" t="str">
        <f>IF(INDEX(Backlog!$M$2:$M$188,MATCH($A104,Backlog!$A$2:$A$188,0))="","",INDEX(Backlog!$M$2:$M$188,MATCH($A104,Backlog!$A$2:$A$188,0)))</f>
        <v>T-213; T-259</v>
      </c>
      <c r="H104" s="38" t="str">
        <f>IF(INDEX(Backlog!$N$2:$N$188,MATCH($A104,Backlog!$A$2:$A$188,0))="","",INDEX(Backlog!$N$2:$N$188,MATCH($A104,Backlog!$A$2:$A$188,0)))</f>
        <v>T-150</v>
      </c>
      <c r="I104" s="38" t="str">
        <f>IF(INDEX(Backlog!$T$2:$T$188,MATCH($A104,Backlog!$A$2:$A$188,0))="","",INDEX(Backlog!$T$2:$T$188,MATCH($A104,Backlog!$A$2:$A$188,0)))</f>
        <v>Prepare before installation; can start after customer data assessment T-213.</v>
      </c>
      <c r="J104" s="32" t="str">
        <f>IF(INDEX(Backlog!$AN$2:$AN$188,MATCH($A104,Backlog!$A$2:$A$188,0))="","",INDEX(Backlog!$AN$2:$AN$188,MATCH($A104,Backlog!$A$2:$A$188,0)))</f>
        <v/>
      </c>
    </row>
    <row r="105" spans="1:10" ht="26.1" customHeight="1">
      <c r="A105" s="38" t="s">
        <v>1216</v>
      </c>
      <c r="B105" s="38" t="str">
        <f>IF(INDEX(Backlog!$B$2:$B$188,MATCH($A105,Backlog!$A$2:$A$188,0))="","",INDEX(Backlog!$B$2:$B$188,MATCH($A105,Backlog!$A$2:$A$188,0)))</f>
        <v>M2</v>
      </c>
      <c r="C105" s="38" t="str">
        <f>IF(INDEX(Backlog!$C$2:$C$188,MATCH($A105,Backlog!$A$2:$A$188,0))="","",INDEX(Backlog!$C$2:$C$188,MATCH($A105,Backlog!$A$2:$A$188,0)))</f>
        <v>P5</v>
      </c>
      <c r="D105" s="38" t="str">
        <f>IF(INDEX(Backlog!$L$2:$L$188,MATCH($A105,Backlog!$A$2:$A$188,0))="","",INDEX(Backlog!$L$2:$L$188,MATCH($A105,Backlog!$A$2:$A$188,0)))</f>
        <v>Worker 3</v>
      </c>
      <c r="E105" s="70" t="str">
        <f>IF(INDEX(Backlog!$K$2:$K$188,MATCH($A105,Backlog!$A$2:$A$188,0))="","",INDEX(Backlog!$K$2:$K$188,MATCH($A105,Backlog!$A$2:$A$188,0)))</f>
        <v>Not Started</v>
      </c>
      <c r="F105" s="38">
        <f>IF(ISNUMBER(INDEX(Backlog!$AT$2:$AT$188,MATCH($A105,Backlog!$A$2:$A$188,0))),INDEX(Backlog!$AT$2:$AT$188,MATCH($A105,Backlog!$A$2:$A$188,0)),"")</f>
        <v>1.2</v>
      </c>
      <c r="G105" s="38" t="str">
        <f>IF(INDEX(Backlog!$M$2:$M$188,MATCH($A105,Backlog!$A$2:$A$188,0))="","",INDEX(Backlog!$M$2:$M$188,MATCH($A105,Backlog!$A$2:$A$188,0)))</f>
        <v>T-205; T-250</v>
      </c>
      <c r="H105" s="38" t="str">
        <f>IF(INDEX(Backlog!$N$2:$N$188,MATCH($A105,Backlog!$A$2:$A$188,0))="","",INDEX(Backlog!$N$2:$N$188,MATCH($A105,Backlog!$A$2:$A$188,0)))</f>
        <v>T-150</v>
      </c>
      <c r="I105" s="38" t="str">
        <f>IF(INDEX(Backlog!$T$2:$T$188,MATCH($A105,Backlog!$A$2:$A$188,0))="","",INDEX(Backlog!$T$2:$T$188,MATCH($A105,Backlog!$A$2:$A$188,0)))</f>
        <v>Run after T-106 or on a disjoint tooling-only lane; no runtime feature mutation.</v>
      </c>
      <c r="J105" s="32" t="str">
        <f>IF(INDEX(Backlog!$AN$2:$AN$188,MATCH($A105,Backlog!$A$2:$A$188,0))="","",INDEX(Backlog!$AN$2:$AN$188,MATCH($A105,Backlog!$A$2:$A$188,0)))</f>
        <v/>
      </c>
    </row>
    <row r="106" spans="1:10" ht="26.1" customHeight="1">
      <c r="A106" s="38" t="s">
        <v>1231</v>
      </c>
      <c r="B106" s="38" t="str">
        <f>IF(INDEX(Backlog!$B$2:$B$188,MATCH($A106,Backlog!$A$2:$A$188,0))="","",INDEX(Backlog!$B$2:$B$188,MATCH($A106,Backlog!$A$2:$A$188,0)))</f>
        <v>M2</v>
      </c>
      <c r="C106" s="38" t="str">
        <f>IF(INDEX(Backlog!$C$2:$C$188,MATCH($A106,Backlog!$A$2:$A$188,0))="","",INDEX(Backlog!$C$2:$C$188,MATCH($A106,Backlog!$A$2:$A$188,0)))</f>
        <v>P5</v>
      </c>
      <c r="D106" s="38" t="str">
        <f>IF(INDEX(Backlog!$L$2:$L$188,MATCH($A106,Backlog!$A$2:$A$188,0))="","",INDEX(Backlog!$L$2:$L$188,MATCH($A106,Backlog!$A$2:$A$188,0)))</f>
        <v>Worker 2</v>
      </c>
      <c r="E106" s="70" t="str">
        <f>IF(INDEX(Backlog!$K$2:$K$188,MATCH($A106,Backlog!$A$2:$A$188,0))="","",INDEX(Backlog!$K$2:$K$188,MATCH($A106,Backlog!$A$2:$A$188,0)))</f>
        <v>Not Started</v>
      </c>
      <c r="F106" s="38">
        <f>IF(ISNUMBER(INDEX(Backlog!$AT$2:$AT$188,MATCH($A106,Backlog!$A$2:$A$188,0))),INDEX(Backlog!$AT$2:$AT$188,MATCH($A106,Backlog!$A$2:$A$188,0)),"")</f>
        <v>2.5499999999999998</v>
      </c>
      <c r="G106" s="38" t="str">
        <f>IF(INDEX(Backlog!$M$2:$M$188,MATCH($A106,Backlog!$A$2:$A$188,0))="","",INDEX(Backlog!$M$2:$M$188,MATCH($A106,Backlog!$A$2:$A$188,0)))</f>
        <v>T-205; T-250; T-259</v>
      </c>
      <c r="H106" s="38" t="str">
        <f>IF(INDEX(Backlog!$N$2:$N$188,MATCH($A106,Backlog!$A$2:$A$188,0))="","",INDEX(Backlog!$N$2:$N$188,MATCH($A106,Backlog!$A$2:$A$188,0)))</f>
        <v>T-150; T-248</v>
      </c>
      <c r="I106" s="38" t="str">
        <f>IF(INDEX(Backlog!$T$2:$T$188,MATCH($A106,Backlog!$A$2:$A$188,0))="","",INDEX(Backlog!$T$2:$T$188,MATCH($A106,Backlog!$A$2:$A$188,0)))</f>
        <v>Run on frontend test/config/report files only after current authoring lane reaches a clean handoff; no product feature scope.</v>
      </c>
      <c r="J106" s="32" t="str">
        <f>IF(INDEX(Backlog!$AN$2:$AN$188,MATCH($A106,Backlog!$A$2:$A$188,0))="","",INDEX(Backlog!$AN$2:$AN$188,MATCH($A106,Backlog!$A$2:$A$188,0)))</f>
        <v/>
      </c>
    </row>
    <row r="107" spans="1:10" ht="26.1" customHeight="1">
      <c r="A107" s="38" t="s">
        <v>1242</v>
      </c>
      <c r="B107" s="38" t="str">
        <f>IF(INDEX(Backlog!$B$2:$B$188,MATCH($A107,Backlog!$A$2:$A$188,0))="","",INDEX(Backlog!$B$2:$B$188,MATCH($A107,Backlog!$A$2:$A$188,0)))</f>
        <v>M3</v>
      </c>
      <c r="C107" s="38" t="str">
        <f>IF(INDEX(Backlog!$C$2:$C$188,MATCH($A107,Backlog!$A$2:$A$188,0))="","",INDEX(Backlog!$C$2:$C$188,MATCH($A107,Backlog!$A$2:$A$188,0)))</f>
        <v>P1</v>
      </c>
      <c r="D107" s="38" t="str">
        <f>IF(INDEX(Backlog!$L$2:$L$188,MATCH($A107,Backlog!$A$2:$A$188,0))="","",INDEX(Backlog!$L$2:$L$188,MATCH($A107,Backlog!$A$2:$A$188,0)))</f>
        <v>Worker 1</v>
      </c>
      <c r="E107" s="70" t="str">
        <f>IF(INDEX(Backlog!$K$2:$K$188,MATCH($A107,Backlog!$A$2:$A$188,0))="","",INDEX(Backlog!$K$2:$K$188,MATCH($A107,Backlog!$A$2:$A$188,0)))</f>
        <v>Not Started</v>
      </c>
      <c r="F107" s="38" t="str">
        <f>IF(ISNUMBER(INDEX(Backlog!$AT$2:$AT$188,MATCH($A107,Backlog!$A$2:$A$188,0))),INDEX(Backlog!$AT$2:$AT$188,MATCH($A107,Backlog!$A$2:$A$188,0)),"")</f>
        <v/>
      </c>
      <c r="G107" s="38" t="str">
        <f>IF(INDEX(Backlog!$M$2:$M$188,MATCH($A107,Backlog!$A$2:$A$188,0))="","",INDEX(Backlog!$M$2:$M$188,MATCH($A107,Backlog!$A$2:$A$188,0)))</f>
        <v>T-108; T-109</v>
      </c>
      <c r="H107" s="38" t="str">
        <f>IF(INDEX(Backlog!$N$2:$N$188,MATCH($A107,Backlog!$A$2:$A$188,0))="","",INDEX(Backlog!$N$2:$N$188,MATCH($A107,Backlog!$A$2:$A$188,0)))</f>
        <v>T-249</v>
      </c>
      <c r="I107" s="38" t="str">
        <f>IF(INDEX(Backlog!$T$2:$T$188,MATCH($A107,Backlog!$A$2:$A$188,0))="","",INDEX(Backlog!$T$2:$T$188,MATCH($A107,Backlog!$A$2:$A$188,0)))</f>
        <v>Consume accepted producer contracts; remaining dependencies: T-108; T-109. No private scheduler/definition authority. Source-present is not closure proof.</v>
      </c>
      <c r="J107" s="32" t="str">
        <f>IF(INDEX(Backlog!$AN$2:$AN$188,MATCH($A107,Backlog!$A$2:$A$188,0))="","",INDEX(Backlog!$AN$2:$AN$188,MATCH($A107,Backlog!$A$2:$A$188,0)))</f>
        <v/>
      </c>
    </row>
    <row r="108" spans="1:10" ht="26.1" customHeight="1">
      <c r="A108" s="38" t="s">
        <v>1255</v>
      </c>
      <c r="B108" s="38" t="str">
        <f>IF(INDEX(Backlog!$B$2:$B$188,MATCH($A108,Backlog!$A$2:$A$188,0))="","",INDEX(Backlog!$B$2:$B$188,MATCH($A108,Backlog!$A$2:$A$188,0)))</f>
        <v>M3</v>
      </c>
      <c r="C108" s="38" t="str">
        <f>IF(INDEX(Backlog!$C$2:$C$188,MATCH($A108,Backlog!$A$2:$A$188,0))="","",INDEX(Backlog!$C$2:$C$188,MATCH($A108,Backlog!$A$2:$A$188,0)))</f>
        <v>P1</v>
      </c>
      <c r="D108" s="38" t="str">
        <f>IF(INDEX(Backlog!$L$2:$L$188,MATCH($A108,Backlog!$A$2:$A$188,0))="","",INDEX(Backlog!$L$2:$L$188,MATCH($A108,Backlog!$A$2:$A$188,0)))</f>
        <v>Worker 1</v>
      </c>
      <c r="E108" s="70" t="str">
        <f>IF(INDEX(Backlog!$K$2:$K$188,MATCH($A108,Backlog!$A$2:$A$188,0))="","",INDEX(Backlog!$K$2:$K$188,MATCH($A108,Backlog!$A$2:$A$188,0)))</f>
        <v>Not Started</v>
      </c>
      <c r="F108" s="38">
        <f>IF(ISNUMBER(INDEX(Backlog!$AT$2:$AT$188,MATCH($A108,Backlog!$A$2:$A$188,0))),INDEX(Backlog!$AT$2:$AT$188,MATCH($A108,Backlog!$A$2:$A$188,0)),"")</f>
        <v>3.2</v>
      </c>
      <c r="G108" s="38" t="str">
        <f>IF(INDEX(Backlog!$M$2:$M$188,MATCH($A108,Backlog!$A$2:$A$188,0))="","",INDEX(Backlog!$M$2:$M$188,MATCH($A108,Backlog!$A$2:$A$188,0)))</f>
        <v>T-106; T-107; T-112; T-113; T-114; T-117; T-137; T-168; T-123</v>
      </c>
      <c r="H108" s="38" t="str">
        <f>IF(INDEX(Backlog!$N$2:$N$188,MATCH($A108,Backlog!$A$2:$A$188,0))="","",INDEX(Backlog!$N$2:$N$188,MATCH($A108,Backlog!$A$2:$A$188,0)))</f>
        <v>T-141; T-185; T-192</v>
      </c>
      <c r="I108" s="38" t="str">
        <f>IF(INDEX(Backlog!$T$2:$T$188,MATCH($A108,Backlog!$A$2:$A$188,0))="","",INDEX(Backlog!$T$2:$T$188,MATCH($A108,Backlog!$A$2:$A$188,0)))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T-106 + T-107 + T-112 + T-113 + T-114 + T-117; T-137/T-168 runtime contracts ...</v>
      </c>
      <c r="J108" s="32" t="str">
        <f>IF(INDEX(Backlog!$AN$2:$AN$188,MATCH($A108,Backlog!$A$2:$A$188,0))="","",INDEX(Backlog!$AN$2:$AN$188,MATCH($A108,Backlog!$A$2:$A$188,0)))</f>
        <v/>
      </c>
    </row>
    <row r="109" spans="1:10" ht="26.1" customHeight="1">
      <c r="A109" s="38" t="s">
        <v>1264</v>
      </c>
      <c r="B109" s="38" t="str">
        <f>IF(INDEX(Backlog!$B$2:$B$188,MATCH($A109,Backlog!$A$2:$A$188,0))="","",INDEX(Backlog!$B$2:$B$188,MATCH($A109,Backlog!$A$2:$A$188,0)))</f>
        <v>M3</v>
      </c>
      <c r="C109" s="38" t="str">
        <f>IF(INDEX(Backlog!$C$2:$C$188,MATCH($A109,Backlog!$A$2:$A$188,0))="","",INDEX(Backlog!$C$2:$C$188,MATCH($A109,Backlog!$A$2:$A$188,0)))</f>
        <v>P1</v>
      </c>
      <c r="D109" s="38" t="str">
        <f>IF(INDEX(Backlog!$L$2:$L$188,MATCH($A109,Backlog!$A$2:$A$188,0))="","",INDEX(Backlog!$L$2:$L$188,MATCH($A109,Backlog!$A$2:$A$188,0)))</f>
        <v>Worker 1</v>
      </c>
      <c r="E109" s="70" t="str">
        <f>IF(INDEX(Backlog!$K$2:$K$188,MATCH($A109,Backlog!$A$2:$A$188,0))="","",INDEX(Backlog!$K$2:$K$188,MATCH($A109,Backlog!$A$2:$A$188,0)))</f>
        <v>Not Started</v>
      </c>
      <c r="F109" s="38">
        <f>IF(ISNUMBER(INDEX(Backlog!$AT$2:$AT$188,MATCH($A109,Backlog!$A$2:$A$188,0))),INDEX(Backlog!$AT$2:$AT$188,MATCH($A109,Backlog!$A$2:$A$188,0)),"")</f>
        <v>7.2</v>
      </c>
      <c r="G109" s="38" t="str">
        <f>IF(INDEX(Backlog!$M$2:$M$188,MATCH($A109,Backlog!$A$2:$A$188,0))="","",INDEX(Backlog!$M$2:$M$188,MATCH($A109,Backlog!$A$2:$A$188,0)))</f>
        <v/>
      </c>
      <c r="H109" s="38" t="str">
        <f>IF(INDEX(Backlog!$N$2:$N$188,MATCH($A109,Backlog!$A$2:$A$188,0))="","",INDEX(Backlog!$N$2:$N$188,MATCH($A109,Backlog!$A$2:$A$188,0)))</f>
        <v/>
      </c>
      <c r="I109" s="38" t="str">
        <f>IF(INDEX(Backlog!$T$2:$T$188,MATCH($A109,Backlog!$A$2:$A$188,0))="","",INDEX(Backlog!$T$2:$T$188,MATCH($A109,Backlog!$A$2:$A$188,0)))</f>
        <v>WAIT for deployed Release 1 + real customer/site evidence. M3 sequence</v>
      </c>
      <c r="J109" s="32" t="str">
        <f>IF(INDEX(Backlog!$AN$2:$AN$188,MATCH($A109,Backlog!$A$2:$A$188,0))="","",INDEX(Backlog!$AN$2:$AN$188,MATCH($A109,Backlog!$A$2:$A$188,0)))</f>
        <v/>
      </c>
    </row>
    <row r="110" spans="1:10" ht="26.1" customHeight="1">
      <c r="A110" s="38" t="s">
        <v>1272</v>
      </c>
      <c r="B110" s="38" t="str">
        <f>IF(INDEX(Backlog!$B$2:$B$188,MATCH($A110,Backlog!$A$2:$A$188,0))="","",INDEX(Backlog!$B$2:$B$188,MATCH($A110,Backlog!$A$2:$A$188,0)))</f>
        <v>M3</v>
      </c>
      <c r="C110" s="38" t="str">
        <f>IF(INDEX(Backlog!$C$2:$C$188,MATCH($A110,Backlog!$A$2:$A$188,0))="","",INDEX(Backlog!$C$2:$C$188,MATCH($A110,Backlog!$A$2:$A$188,0)))</f>
        <v>P1</v>
      </c>
      <c r="D110" s="38" t="str">
        <f>IF(INDEX(Backlog!$L$2:$L$188,MATCH($A110,Backlog!$A$2:$A$188,0))="","",INDEX(Backlog!$L$2:$L$188,MATCH($A110,Backlog!$A$2:$A$188,0)))</f>
        <v>Worker 1</v>
      </c>
      <c r="E110" s="70" t="str">
        <f>IF(INDEX(Backlog!$K$2:$K$188,MATCH($A110,Backlog!$A$2:$A$188,0))="","",INDEX(Backlog!$K$2:$K$188,MATCH($A110,Backlog!$A$2:$A$188,0)))</f>
        <v>Not Started</v>
      </c>
      <c r="F110" s="38">
        <f>IF(ISNUMBER(INDEX(Backlog!$AT$2:$AT$188,MATCH($A110,Backlog!$A$2:$A$188,0))),INDEX(Backlog!$AT$2:$AT$188,MATCH($A110,Backlog!$A$2:$A$188,0)),"")</f>
        <v>7.2</v>
      </c>
      <c r="G110" s="38" t="str">
        <f>IF(INDEX(Backlog!$M$2:$M$188,MATCH($A110,Backlog!$A$2:$A$188,0))="","",INDEX(Backlog!$M$2:$M$188,MATCH($A110,Backlog!$A$2:$A$188,0)))</f>
        <v/>
      </c>
      <c r="H110" s="38" t="str">
        <f>IF(INDEX(Backlog!$N$2:$N$188,MATCH($A110,Backlog!$A$2:$A$188,0))="","",INDEX(Backlog!$N$2:$N$188,MATCH($A110,Backlog!$A$2:$A$188,0)))</f>
        <v/>
      </c>
      <c r="I110" s="38" t="str">
        <f>IF(INDEX(Backlog!$T$2:$T$188,MATCH($A110,Backlog!$A$2:$A$188,0))="","",INDEX(Backlog!$T$2:$T$188,MATCH($A110,Backlog!$A$2:$A$188,0)))</f>
        <v>WAIT for deployed Release 1 + real customer/site evidence. M3 sequence</v>
      </c>
      <c r="J110" s="32" t="str">
        <f>IF(INDEX(Backlog!$AN$2:$AN$188,MATCH($A110,Backlog!$A$2:$A$188,0))="","",INDEX(Backlog!$AN$2:$AN$188,MATCH($A110,Backlog!$A$2:$A$188,0)))</f>
        <v/>
      </c>
    </row>
    <row r="111" spans="1:10" ht="26.1" customHeight="1">
      <c r="A111" s="38" t="s">
        <v>1276</v>
      </c>
      <c r="B111" s="38" t="str">
        <f>IF(INDEX(Backlog!$B$2:$B$188,MATCH($A111,Backlog!$A$2:$A$188,0))="","",INDEX(Backlog!$B$2:$B$188,MATCH($A111,Backlog!$A$2:$A$188,0)))</f>
        <v>M3</v>
      </c>
      <c r="C111" s="38" t="str">
        <f>IF(INDEX(Backlog!$C$2:$C$188,MATCH($A111,Backlog!$A$2:$A$188,0))="","",INDEX(Backlog!$C$2:$C$188,MATCH($A111,Backlog!$A$2:$A$188,0)))</f>
        <v>P1</v>
      </c>
      <c r="D111" s="38" t="str">
        <f>IF(INDEX(Backlog!$L$2:$L$188,MATCH($A111,Backlog!$A$2:$A$188,0))="","",INDEX(Backlog!$L$2:$L$188,MATCH($A111,Backlog!$A$2:$A$188,0)))</f>
        <v>Worker 1</v>
      </c>
      <c r="E111" s="70" t="str">
        <f>IF(INDEX(Backlog!$K$2:$K$188,MATCH($A111,Backlog!$A$2:$A$188,0))="","",INDEX(Backlog!$K$2:$K$188,MATCH($A111,Backlog!$A$2:$A$188,0)))</f>
        <v>Not Started</v>
      </c>
      <c r="F111" s="38">
        <f>IF(ISNUMBER(INDEX(Backlog!$AT$2:$AT$188,MATCH($A111,Backlog!$A$2:$A$188,0))),INDEX(Backlog!$AT$2:$AT$188,MATCH($A111,Backlog!$A$2:$A$188,0)),"")</f>
        <v>7.2</v>
      </c>
      <c r="G111" s="38" t="str">
        <f>IF(INDEX(Backlog!$M$2:$M$188,MATCH($A111,Backlog!$A$2:$A$188,0))="","",INDEX(Backlog!$M$2:$M$188,MATCH($A111,Backlog!$A$2:$A$188,0)))</f>
        <v>T-224; T-225; T-226; T-254</v>
      </c>
      <c r="H111" s="38" t="str">
        <f>IF(INDEX(Backlog!$N$2:$N$188,MATCH($A111,Backlog!$A$2:$A$188,0))="","",INDEX(Backlog!$N$2:$N$188,MATCH($A111,Backlog!$A$2:$A$188,0)))</f>
        <v>T-249</v>
      </c>
      <c r="I111" s="38" t="str">
        <f>IF(INDEX(Backlog!$T$2:$T$188,MATCH($A111,Backlog!$A$2:$A$188,0))="","",INDEX(Backlog!$T$2:$T$188,MATCH($A111,Backlog!$A$2:$A$188,0)))</f>
        <v>WAIT for deployed Release 1 + real customer/site evidence. M3 sequence</v>
      </c>
      <c r="J111" s="32" t="str">
        <f>IF(INDEX(Backlog!$AN$2:$AN$188,MATCH($A111,Backlog!$A$2:$A$188,0))="","",INDEX(Backlog!$AN$2:$AN$188,MATCH($A111,Backlog!$A$2:$A$188,0)))</f>
        <v/>
      </c>
    </row>
    <row r="112" spans="1:10" ht="26.1" customHeight="1">
      <c r="A112" s="38" t="s">
        <v>1284</v>
      </c>
      <c r="B112" s="38" t="str">
        <f>IF(INDEX(Backlog!$B$2:$B$188,MATCH($A112,Backlog!$A$2:$A$188,0))="","",INDEX(Backlog!$B$2:$B$188,MATCH($A112,Backlog!$A$2:$A$188,0)))</f>
        <v>M3</v>
      </c>
      <c r="C112" s="38" t="str">
        <f>IF(INDEX(Backlog!$C$2:$C$188,MATCH($A112,Backlog!$A$2:$A$188,0))="","",INDEX(Backlog!$C$2:$C$188,MATCH($A112,Backlog!$A$2:$A$188,0)))</f>
        <v>P1</v>
      </c>
      <c r="D112" s="38" t="str">
        <f>IF(INDEX(Backlog!$L$2:$L$188,MATCH($A112,Backlog!$A$2:$A$188,0))="","",INDEX(Backlog!$L$2:$L$188,MATCH($A112,Backlog!$A$2:$A$188,0)))</f>
        <v>Worker 1</v>
      </c>
      <c r="E112" s="70" t="str">
        <f>IF(INDEX(Backlog!$K$2:$K$188,MATCH($A112,Backlog!$A$2:$A$188,0))="","",INDEX(Backlog!$K$2:$K$188,MATCH($A112,Backlog!$A$2:$A$188,0)))</f>
        <v>Not Started</v>
      </c>
      <c r="F112" s="38">
        <f>IF(ISNUMBER(INDEX(Backlog!$AT$2:$AT$188,MATCH($A112,Backlog!$A$2:$A$188,0))),INDEX(Backlog!$AT$2:$AT$188,MATCH($A112,Backlog!$A$2:$A$188,0)),"")</f>
        <v>7.2</v>
      </c>
      <c r="G112" s="38" t="str">
        <f>IF(INDEX(Backlog!$M$2:$M$188,MATCH($A112,Backlog!$A$2:$A$188,0))="","",INDEX(Backlog!$M$2:$M$188,MATCH($A112,Backlog!$A$2:$A$188,0)))</f>
        <v/>
      </c>
      <c r="H112" s="38" t="str">
        <f>IF(INDEX(Backlog!$N$2:$N$188,MATCH($A112,Backlog!$A$2:$A$188,0))="","",INDEX(Backlog!$N$2:$N$188,MATCH($A112,Backlog!$A$2:$A$188,0)))</f>
        <v/>
      </c>
      <c r="I112" s="38" t="str">
        <f>IF(INDEX(Backlog!$T$2:$T$188,MATCH($A112,Backlog!$A$2:$A$188,0))="","",INDEX(Backlog!$T$2:$T$188,MATCH($A112,Backlog!$A$2:$A$188,0)))</f>
        <v>WAIT for deployed Release 1 + real customer/site evidence. M3 sequence</v>
      </c>
      <c r="J112" s="32" t="str">
        <f>IF(INDEX(Backlog!$AN$2:$AN$188,MATCH($A112,Backlog!$A$2:$A$188,0))="","",INDEX(Backlog!$AN$2:$AN$188,MATCH($A112,Backlog!$A$2:$A$188,0)))</f>
        <v/>
      </c>
    </row>
    <row r="113" spans="1:10" ht="26.1" customHeight="1">
      <c r="A113" s="38" t="s">
        <v>1289</v>
      </c>
      <c r="B113" s="38" t="str">
        <f>IF(INDEX(Backlog!$B$2:$B$188,MATCH($A113,Backlog!$A$2:$A$188,0))="","",INDEX(Backlog!$B$2:$B$188,MATCH($A113,Backlog!$A$2:$A$188,0)))</f>
        <v>M3</v>
      </c>
      <c r="C113" s="38" t="str">
        <f>IF(INDEX(Backlog!$C$2:$C$188,MATCH($A113,Backlog!$A$2:$A$188,0))="","",INDEX(Backlog!$C$2:$C$188,MATCH($A113,Backlog!$A$2:$A$188,0)))</f>
        <v>P1</v>
      </c>
      <c r="D113" s="38" t="str">
        <f>IF(INDEX(Backlog!$L$2:$L$188,MATCH($A113,Backlog!$A$2:$A$188,0))="","",INDEX(Backlog!$L$2:$L$188,MATCH($A113,Backlog!$A$2:$A$188,0)))</f>
        <v>Worker 3</v>
      </c>
      <c r="E113" s="70" t="str">
        <f>IF(INDEX(Backlog!$K$2:$K$188,MATCH($A113,Backlog!$A$2:$A$188,0))="","",INDEX(Backlog!$K$2:$K$188,MATCH($A113,Backlog!$A$2:$A$188,0)))</f>
        <v>Not Started</v>
      </c>
      <c r="F113" s="38" t="str">
        <f>IF(ISNUMBER(INDEX(Backlog!$AT$2:$AT$188,MATCH($A113,Backlog!$A$2:$A$188,0))),INDEX(Backlog!$AT$2:$AT$188,MATCH($A113,Backlog!$A$2:$A$188,0)),"")</f>
        <v/>
      </c>
      <c r="G113" s="38" t="str">
        <f>IF(INDEX(Backlog!$M$2:$M$188,MATCH($A113,Backlog!$A$2:$A$188,0))="","",INDEX(Backlog!$M$2:$M$188,MATCH($A113,Backlog!$A$2:$A$188,0)))</f>
        <v/>
      </c>
      <c r="H113" s="38" t="str">
        <f>IF(INDEX(Backlog!$N$2:$N$188,MATCH($A113,Backlog!$A$2:$A$188,0))="","",INDEX(Backlog!$N$2:$N$188,MATCH($A113,Backlog!$A$2:$A$188,0)))</f>
        <v/>
      </c>
      <c r="I113" s="38" t="str">
        <f>IF(INDEX(Backlog!$T$2:$T$188,MATCH($A113,Backlog!$A$2:$A$188,0))="","",INDEX(Backlog!$T$2:$T$188,MATCH($A113,Backlog!$A$2:$A$188,0)))</f>
        <v>WAIT for deployed Release 1 + real customer/site evidence. Release 2 accepted + site hardware</v>
      </c>
      <c r="J113" s="32" t="str">
        <f>IF(INDEX(Backlog!$AN$2:$AN$188,MATCH($A113,Backlog!$A$2:$A$188,0))="","",INDEX(Backlog!$AN$2:$AN$188,MATCH($A113,Backlog!$A$2:$A$188,0)))</f>
        <v/>
      </c>
    </row>
    <row r="114" spans="1:10" ht="26.1" customHeight="1">
      <c r="A114" s="38" t="s">
        <v>1296</v>
      </c>
      <c r="B114" s="38" t="str">
        <f>IF(INDEX(Backlog!$B$2:$B$188,MATCH($A114,Backlog!$A$2:$A$188,0))="","",INDEX(Backlog!$B$2:$B$188,MATCH($A114,Backlog!$A$2:$A$188,0)))</f>
        <v>M3</v>
      </c>
      <c r="C114" s="38" t="str">
        <f>IF(INDEX(Backlog!$C$2:$C$188,MATCH($A114,Backlog!$A$2:$A$188,0))="","",INDEX(Backlog!$C$2:$C$188,MATCH($A114,Backlog!$A$2:$A$188,0)))</f>
        <v>P1</v>
      </c>
      <c r="D114" s="38" t="str">
        <f>IF(INDEX(Backlog!$L$2:$L$188,MATCH($A114,Backlog!$A$2:$A$188,0))="","",INDEX(Backlog!$L$2:$L$188,MATCH($A114,Backlog!$A$2:$A$188,0)))</f>
        <v>Worker 3</v>
      </c>
      <c r="E114" s="70" t="str">
        <f>IF(INDEX(Backlog!$K$2:$K$188,MATCH($A114,Backlog!$A$2:$A$188,0))="","",INDEX(Backlog!$K$2:$K$188,MATCH($A114,Backlog!$A$2:$A$188,0)))</f>
        <v>Not Started</v>
      </c>
      <c r="F114" s="38" t="str">
        <f>IF(ISNUMBER(INDEX(Backlog!$AT$2:$AT$188,MATCH($A114,Backlog!$A$2:$A$188,0))),INDEX(Backlog!$AT$2:$AT$188,MATCH($A114,Backlog!$A$2:$A$188,0)),"")</f>
        <v/>
      </c>
      <c r="G114" s="38" t="str">
        <f>IF(INDEX(Backlog!$M$2:$M$188,MATCH($A114,Backlog!$A$2:$A$188,0))="","",INDEX(Backlog!$M$2:$M$188,MATCH($A114,Backlog!$A$2:$A$188,0)))</f>
        <v/>
      </c>
      <c r="H114" s="38" t="str">
        <f>IF(INDEX(Backlog!$N$2:$N$188,MATCH($A114,Backlog!$A$2:$A$188,0))="","",INDEX(Backlog!$N$2:$N$188,MATCH($A114,Backlog!$A$2:$A$188,0)))</f>
        <v>T-249</v>
      </c>
      <c r="I114" s="38" t="str">
        <f>IF(INDEX(Backlog!$T$2:$T$188,MATCH($A114,Backlog!$A$2:$A$188,0))="","",INDEX(Backlog!$T$2:$T$188,MATCH($A114,Backlog!$A$2:$A$188,0)))</f>
        <v>WAIT for deployed Release 1 + real customer/site evidence. Release 2 accepted + site hardware</v>
      </c>
      <c r="J114" s="32" t="str">
        <f>IF(INDEX(Backlog!$AN$2:$AN$188,MATCH($A114,Backlog!$A$2:$A$188,0))="","",INDEX(Backlog!$AN$2:$AN$188,MATCH($A114,Backlog!$A$2:$A$188,0)))</f>
        <v/>
      </c>
    </row>
    <row r="115" spans="1:10" ht="26.1" customHeight="1">
      <c r="A115" s="38" t="s">
        <v>1301</v>
      </c>
      <c r="B115" s="38" t="str">
        <f>IF(INDEX(Backlog!$B$2:$B$188,MATCH($A115,Backlog!$A$2:$A$188,0))="","",INDEX(Backlog!$B$2:$B$188,MATCH($A115,Backlog!$A$2:$A$188,0)))</f>
        <v>M3</v>
      </c>
      <c r="C115" s="38" t="str">
        <f>IF(INDEX(Backlog!$C$2:$C$188,MATCH($A115,Backlog!$A$2:$A$188,0))="","",INDEX(Backlog!$C$2:$C$188,MATCH($A115,Backlog!$A$2:$A$188,0)))</f>
        <v>P1</v>
      </c>
      <c r="D115" s="38" t="str">
        <f>IF(INDEX(Backlog!$L$2:$L$188,MATCH($A115,Backlog!$A$2:$A$188,0))="","",INDEX(Backlog!$L$2:$L$188,MATCH($A115,Backlog!$A$2:$A$188,0)))</f>
        <v>Worker 1</v>
      </c>
      <c r="E115" s="70" t="str">
        <f>IF(INDEX(Backlog!$K$2:$K$188,MATCH($A115,Backlog!$A$2:$A$188,0))="","",INDEX(Backlog!$K$2:$K$188,MATCH($A115,Backlog!$A$2:$A$188,0)))</f>
        <v>Not Started</v>
      </c>
      <c r="F115" s="38">
        <f>IF(ISNUMBER(INDEX(Backlog!$AT$2:$AT$188,MATCH($A115,Backlog!$A$2:$A$188,0))),INDEX(Backlog!$AT$2:$AT$188,MATCH($A115,Backlog!$A$2:$A$188,0)),"")</f>
        <v>7.2</v>
      </c>
      <c r="G115" s="38" t="str">
        <f>IF(INDEX(Backlog!$M$2:$M$188,MATCH($A115,Backlog!$A$2:$A$188,0))="","",INDEX(Backlog!$M$2:$M$188,MATCH($A115,Backlog!$A$2:$A$188,0)))</f>
        <v/>
      </c>
      <c r="H115" s="38" t="str">
        <f>IF(INDEX(Backlog!$N$2:$N$188,MATCH($A115,Backlog!$A$2:$A$188,0))="","",INDEX(Backlog!$N$2:$N$188,MATCH($A115,Backlog!$A$2:$A$188,0)))</f>
        <v>T-249</v>
      </c>
      <c r="I115" s="38" t="str">
        <f>IF(INDEX(Backlog!$T$2:$T$188,MATCH($A115,Backlog!$A$2:$A$188,0))="","",INDEX(Backlog!$T$2:$T$188,MATCH($A115,Backlog!$A$2:$A$188,0)))</f>
        <v>WAIT for deployed Release 1 + real customer/site evidence. M3 sequence</v>
      </c>
      <c r="J115" s="32" t="str">
        <f>IF(INDEX(Backlog!$AN$2:$AN$188,MATCH($A115,Backlog!$A$2:$A$188,0))="","",INDEX(Backlog!$AN$2:$AN$188,MATCH($A115,Backlog!$A$2:$A$188,0)))</f>
        <v/>
      </c>
    </row>
    <row r="116" spans="1:10" ht="26.1" customHeight="1">
      <c r="A116" s="38" t="s">
        <v>1306</v>
      </c>
      <c r="B116" s="38" t="str">
        <f>IF(INDEX(Backlog!$B$2:$B$188,MATCH($A116,Backlog!$A$2:$A$188,0))="","",INDEX(Backlog!$B$2:$B$188,MATCH($A116,Backlog!$A$2:$A$188,0)))</f>
        <v>M3</v>
      </c>
      <c r="C116" s="38" t="str">
        <f>IF(INDEX(Backlog!$C$2:$C$188,MATCH($A116,Backlog!$A$2:$A$188,0))="","",INDEX(Backlog!$C$2:$C$188,MATCH($A116,Backlog!$A$2:$A$188,0)))</f>
        <v>P1</v>
      </c>
      <c r="D116" s="38" t="str">
        <f>IF(INDEX(Backlog!$L$2:$L$188,MATCH($A116,Backlog!$A$2:$A$188,0))="","",INDEX(Backlog!$L$2:$L$188,MATCH($A116,Backlog!$A$2:$A$188,0)))</f>
        <v>Worker 1</v>
      </c>
      <c r="E116" s="70" t="str">
        <f>IF(INDEX(Backlog!$K$2:$K$188,MATCH($A116,Backlog!$A$2:$A$188,0))="","",INDEX(Backlog!$K$2:$K$188,MATCH($A116,Backlog!$A$2:$A$188,0)))</f>
        <v>Not Started</v>
      </c>
      <c r="F116" s="38">
        <f>IF(ISNUMBER(INDEX(Backlog!$AT$2:$AT$188,MATCH($A116,Backlog!$A$2:$A$188,0))),INDEX(Backlog!$AT$2:$AT$188,MATCH($A116,Backlog!$A$2:$A$188,0)),"")</f>
        <v>7.2</v>
      </c>
      <c r="G116" s="38" t="str">
        <f>IF(INDEX(Backlog!$M$2:$M$188,MATCH($A116,Backlog!$A$2:$A$188,0))="","",INDEX(Backlog!$M$2:$M$188,MATCH($A116,Backlog!$A$2:$A$188,0)))</f>
        <v/>
      </c>
      <c r="H116" s="38" t="str">
        <f>IF(INDEX(Backlog!$N$2:$N$188,MATCH($A116,Backlog!$A$2:$A$188,0))="","",INDEX(Backlog!$N$2:$N$188,MATCH($A116,Backlog!$A$2:$A$188,0)))</f>
        <v>T-249</v>
      </c>
      <c r="I116" s="38" t="str">
        <f>IF(INDEX(Backlog!$T$2:$T$188,MATCH($A116,Backlog!$A$2:$A$188,0))="","",INDEX(Backlog!$T$2:$T$188,MATCH($A116,Backlog!$A$2:$A$188,0)))</f>
        <v>WAIT for deployed Release 1 + real customer/site evidence. M3 sequence</v>
      </c>
      <c r="J116" s="32" t="str">
        <f>IF(INDEX(Backlog!$AN$2:$AN$188,MATCH($A116,Backlog!$A$2:$A$188,0))="","",INDEX(Backlog!$AN$2:$AN$188,MATCH($A116,Backlog!$A$2:$A$188,0)))</f>
        <v/>
      </c>
    </row>
    <row r="117" spans="1:10" ht="26.1" customHeight="1">
      <c r="A117" s="38" t="s">
        <v>1310</v>
      </c>
      <c r="B117" s="38" t="str">
        <f>IF(INDEX(Backlog!$B$2:$B$188,MATCH($A117,Backlog!$A$2:$A$188,0))="","",INDEX(Backlog!$B$2:$B$188,MATCH($A117,Backlog!$A$2:$A$188,0)))</f>
        <v>M3</v>
      </c>
      <c r="C117" s="38" t="str">
        <f>IF(INDEX(Backlog!$C$2:$C$188,MATCH($A117,Backlog!$A$2:$A$188,0))="","",INDEX(Backlog!$C$2:$C$188,MATCH($A117,Backlog!$A$2:$A$188,0)))</f>
        <v>P2</v>
      </c>
      <c r="D117" s="38" t="str">
        <f>IF(INDEX(Backlog!$L$2:$L$188,MATCH($A117,Backlog!$A$2:$A$188,0))="","",INDEX(Backlog!$L$2:$L$188,MATCH($A117,Backlog!$A$2:$A$188,0)))</f>
        <v>Worker 1</v>
      </c>
      <c r="E117" s="70" t="str">
        <f>IF(INDEX(Backlog!$K$2:$K$188,MATCH($A117,Backlog!$A$2:$A$188,0))="","",INDEX(Backlog!$K$2:$K$188,MATCH($A117,Backlog!$A$2:$A$188,0)))</f>
        <v>Not Started</v>
      </c>
      <c r="F117" s="38" t="str">
        <f>IF(ISNUMBER(INDEX(Backlog!$AT$2:$AT$188,MATCH($A117,Backlog!$A$2:$A$188,0))),INDEX(Backlog!$AT$2:$AT$188,MATCH($A117,Backlog!$A$2:$A$188,0)),"")</f>
        <v/>
      </c>
      <c r="G117" s="38" t="str">
        <f>IF(INDEX(Backlog!$M$2:$M$188,MATCH($A117,Backlog!$A$2:$A$188,0))="","",INDEX(Backlog!$M$2:$M$188,MATCH($A117,Backlog!$A$2:$A$188,0)))</f>
        <v>T-256</v>
      </c>
      <c r="H117" s="38" t="str">
        <f>IF(INDEX(Backlog!$N$2:$N$188,MATCH($A117,Backlog!$A$2:$A$188,0))="","",INDEX(Backlog!$N$2:$N$188,MATCH($A117,Backlog!$A$2:$A$188,0)))</f>
        <v/>
      </c>
      <c r="I117" s="38" t="str">
        <f>IF(INDEX(Backlog!$T$2:$T$188,MATCH($A117,Backlog!$A$2:$A$188,0))="","",INDEX(Backlog!$T$2:$T$188,MATCH($A117,Backlog!$A$2:$A$188,0)))</f>
        <v>Use the accepted M1 regression baseline; require empty index and clean owned paths, preserving unrelated user work. Then: Release 1 dependency order</v>
      </c>
      <c r="J117" s="32" t="str">
        <f>IF(INDEX(Backlog!$AN$2:$AN$188,MATCH($A117,Backlog!$A$2:$A$188,0))="","",INDEX(Backlog!$AN$2:$AN$188,MATCH($A117,Backlog!$A$2:$A$188,0)))</f>
        <v/>
      </c>
    </row>
    <row r="118" spans="1:10" ht="26.1" customHeight="1">
      <c r="A118" s="38" t="s">
        <v>1317</v>
      </c>
      <c r="B118" s="38" t="str">
        <f>IF(INDEX(Backlog!$B$2:$B$188,MATCH($A118,Backlog!$A$2:$A$188,0))="","",INDEX(Backlog!$B$2:$B$188,MATCH($A118,Backlog!$A$2:$A$188,0)))</f>
        <v>M3</v>
      </c>
      <c r="C118" s="38" t="str">
        <f>IF(INDEX(Backlog!$C$2:$C$188,MATCH($A118,Backlog!$A$2:$A$188,0))="","",INDEX(Backlog!$C$2:$C$188,MATCH($A118,Backlog!$A$2:$A$188,0)))</f>
        <v>P2</v>
      </c>
      <c r="D118" s="38" t="str">
        <f>IF(INDEX(Backlog!$L$2:$L$188,MATCH($A118,Backlog!$A$2:$A$188,0))="","",INDEX(Backlog!$L$2:$L$188,MATCH($A118,Backlog!$A$2:$A$188,0)))</f>
        <v>Worker 1</v>
      </c>
      <c r="E118" s="70" t="str">
        <f>IF(INDEX(Backlog!$K$2:$K$188,MATCH($A118,Backlog!$A$2:$A$188,0))="","",INDEX(Backlog!$K$2:$K$188,MATCH($A118,Backlog!$A$2:$A$188,0)))</f>
        <v>Not Started</v>
      </c>
      <c r="F118" s="38">
        <f>IF(ISNUMBER(INDEX(Backlog!$AT$2:$AT$188,MATCH($A118,Backlog!$A$2:$A$188,0))),INDEX(Backlog!$AT$2:$AT$188,MATCH($A118,Backlog!$A$2:$A$188,0)),"")</f>
        <v>0.89999999999999991</v>
      </c>
      <c r="G118" s="38" t="str">
        <f>IF(INDEX(Backlog!$M$2:$M$188,MATCH($A118,Backlog!$A$2:$A$188,0))="","",INDEX(Backlog!$M$2:$M$188,MATCH($A118,Backlog!$A$2:$A$188,0)))</f>
        <v/>
      </c>
      <c r="H118" s="38" t="str">
        <f>IF(INDEX(Backlog!$N$2:$N$188,MATCH($A118,Backlog!$A$2:$A$188,0))="","",INDEX(Backlog!$N$2:$N$188,MATCH($A118,Backlog!$A$2:$A$188,0)))</f>
        <v>T-122; T-194</v>
      </c>
      <c r="I118" s="38" t="str">
        <f>IF(INDEX(Backlog!$T$2:$T$188,MATCH($A118,Backlog!$A$2:$A$188,0))="","",INDEX(Backlog!$T$2:$T$188,MATCH($A118,Backlog!$A$2:$A$188,0)))</f>
        <v>Use the accepted M1 regression baseline; require empty index and clean owned paths, preserving unrelated user work. Then: Release 1 dependency order</v>
      </c>
      <c r="J118" s="32" t="str">
        <f>IF(INDEX(Backlog!$AN$2:$AN$188,MATCH($A118,Backlog!$A$2:$A$188,0))="","",INDEX(Backlog!$AN$2:$AN$188,MATCH($A118,Backlog!$A$2:$A$188,0)))</f>
        <v/>
      </c>
    </row>
    <row r="119" spans="1:10" ht="26.1" customHeight="1">
      <c r="A119" s="38" t="s">
        <v>1154</v>
      </c>
      <c r="B119" s="38" t="str">
        <f>IF(INDEX(Backlog!$B$2:$B$188,MATCH($A119,Backlog!$A$2:$A$188,0))="","",INDEX(Backlog!$B$2:$B$188,MATCH($A119,Backlog!$A$2:$A$188,0)))</f>
        <v>M3</v>
      </c>
      <c r="C119" s="38" t="str">
        <f>IF(INDEX(Backlog!$C$2:$C$188,MATCH($A119,Backlog!$A$2:$A$188,0))="","",INDEX(Backlog!$C$2:$C$188,MATCH($A119,Backlog!$A$2:$A$188,0)))</f>
        <v>P2</v>
      </c>
      <c r="D119" s="38" t="str">
        <f>IF(INDEX(Backlog!$L$2:$L$188,MATCH($A119,Backlog!$A$2:$A$188,0))="","",INDEX(Backlog!$L$2:$L$188,MATCH($A119,Backlog!$A$2:$A$188,0)))</f>
        <v>Worker 2</v>
      </c>
      <c r="E119" s="70" t="str">
        <f>IF(INDEX(Backlog!$K$2:$K$188,MATCH($A119,Backlog!$A$2:$A$188,0))="","",INDEX(Backlog!$K$2:$K$188,MATCH($A119,Backlog!$A$2:$A$188,0)))</f>
        <v>Not Started</v>
      </c>
      <c r="F119" s="38">
        <f>IF(ISNUMBER(INDEX(Backlog!$AT$2:$AT$188,MATCH($A119,Backlog!$A$2:$A$188,0))),INDEX(Backlog!$AT$2:$AT$188,MATCH($A119,Backlog!$A$2:$A$188,0)),"")</f>
        <v>4.08</v>
      </c>
      <c r="G119" s="38" t="str">
        <f>IF(INDEX(Backlog!$M$2:$M$188,MATCH($A119,Backlog!$A$2:$A$188,0))="","",INDEX(Backlog!$M$2:$M$188,MATCH($A119,Backlog!$A$2:$A$188,0)))</f>
        <v>T-196; T-197; T-198; T-199; T-200; T-121</v>
      </c>
      <c r="H119" s="38" t="str">
        <f>IF(INDEX(Backlog!$N$2:$N$188,MATCH($A119,Backlog!$A$2:$A$188,0))="","",INDEX(Backlog!$N$2:$N$188,MATCH($A119,Backlog!$A$2:$A$188,0)))</f>
        <v>T-194</v>
      </c>
      <c r="I119" s="38" t="str">
        <f>IF(INDEX(Backlog!$T$2:$T$188,MATCH($A119,Backlog!$A$2:$A$188,0))="","",INDEX(Backlog!$T$2:$T$188,MATCH($A119,Backlog!$A$2:$A$188,0)))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Use the accepted M1 regression baseline; require empty index and clean owned paths, preserving unrelated user work. Then: All Release 1 canonical-core/user-visible owners complete, including T-196/T-197/T-...</v>
      </c>
      <c r="J119" s="32" t="str">
        <f>IF(INDEX(Backlog!$AN$2:$AN$188,MATCH($A119,Backlog!$A$2:$A$188,0))="","",INDEX(Backlog!$AN$2:$AN$188,MATCH($A119,Backlog!$A$2:$A$188,0)))</f>
        <v/>
      </c>
    </row>
    <row r="120" spans="1:10" ht="26.1" customHeight="1">
      <c r="A120" s="38" t="s">
        <v>1330</v>
      </c>
      <c r="B120" s="38" t="str">
        <f>IF(INDEX(Backlog!$B$2:$B$188,MATCH($A120,Backlog!$A$2:$A$188,0))="","",INDEX(Backlog!$B$2:$B$188,MATCH($A120,Backlog!$A$2:$A$188,0)))</f>
        <v>M3</v>
      </c>
      <c r="C120" s="38" t="str">
        <f>IF(INDEX(Backlog!$C$2:$C$188,MATCH($A120,Backlog!$A$2:$A$188,0))="","",INDEX(Backlog!$C$2:$C$188,MATCH($A120,Backlog!$A$2:$A$188,0)))</f>
        <v>P2</v>
      </c>
      <c r="D120" s="38" t="str">
        <f>IF(INDEX(Backlog!$L$2:$L$188,MATCH($A120,Backlog!$A$2:$A$188,0))="","",INDEX(Backlog!$L$2:$L$188,MATCH($A120,Backlog!$A$2:$A$188,0)))</f>
        <v>Worker 2</v>
      </c>
      <c r="E120" s="70" t="str">
        <f>IF(INDEX(Backlog!$K$2:$K$188,MATCH($A120,Backlog!$A$2:$A$188,0))="","",INDEX(Backlog!$K$2:$K$188,MATCH($A120,Backlog!$A$2:$A$188,0)))</f>
        <v>Not Started</v>
      </c>
      <c r="F120" s="38">
        <f>IF(ISNUMBER(INDEX(Backlog!$AT$2:$AT$188,MATCH($A120,Backlog!$A$2:$A$188,0))),INDEX(Backlog!$AT$2:$AT$188,MATCH($A120,Backlog!$A$2:$A$188,0)),"")</f>
        <v>1</v>
      </c>
      <c r="G120" s="38" t="str">
        <f>IF(INDEX(Backlog!$M$2:$M$188,MATCH($A120,Backlog!$A$2:$A$188,0))="","",INDEX(Backlog!$M$2:$M$188,MATCH($A120,Backlog!$A$2:$A$188,0)))</f>
        <v/>
      </c>
      <c r="H120" s="38" t="str">
        <f>IF(INDEX(Backlog!$N$2:$N$188,MATCH($A120,Backlog!$A$2:$A$188,0))="","",INDEX(Backlog!$N$2:$N$188,MATCH($A120,Backlog!$A$2:$A$188,0)))</f>
        <v/>
      </c>
      <c r="I120" s="38" t="str">
        <f>IF(INDEX(Backlog!$T$2:$T$188,MATCH($A120,Backlog!$A$2:$A$188,0))="","",INDEX(Backlog!$T$2:$T$188,MATCH($A120,Backlog!$A$2:$A$188,0)))</f>
        <v>M1 continuity frozen</v>
      </c>
      <c r="J120" s="32" t="str">
        <f>IF(INDEX(Backlog!$AN$2:$AN$188,MATCH($A120,Backlog!$A$2:$A$188,0))="","",INDEX(Backlog!$AN$2:$AN$188,MATCH($A120,Backlog!$A$2:$A$188,0)))</f>
        <v/>
      </c>
    </row>
    <row r="121" spans="1:10" ht="26.1" customHeight="1">
      <c r="A121" s="38" t="s">
        <v>1335</v>
      </c>
      <c r="B121" s="38" t="str">
        <f>IF(INDEX(Backlog!$B$2:$B$188,MATCH($A121,Backlog!$A$2:$A$188,0))="","",INDEX(Backlog!$B$2:$B$188,MATCH($A121,Backlog!$A$2:$A$188,0)))</f>
        <v>M3</v>
      </c>
      <c r="C121" s="38" t="str">
        <f>IF(INDEX(Backlog!$C$2:$C$188,MATCH($A121,Backlog!$A$2:$A$188,0))="","",INDEX(Backlog!$C$2:$C$188,MATCH($A121,Backlog!$A$2:$A$188,0)))</f>
        <v>P2</v>
      </c>
      <c r="D121" s="38" t="str">
        <f>IF(INDEX(Backlog!$L$2:$L$188,MATCH($A121,Backlog!$A$2:$A$188,0))="","",INDEX(Backlog!$L$2:$L$188,MATCH($A121,Backlog!$A$2:$A$188,0)))</f>
        <v>Worker 1</v>
      </c>
      <c r="E121" s="70" t="str">
        <f>IF(INDEX(Backlog!$K$2:$K$188,MATCH($A121,Backlog!$A$2:$A$188,0))="","",INDEX(Backlog!$K$2:$K$188,MATCH($A121,Backlog!$A$2:$A$188,0)))</f>
        <v>Not Started</v>
      </c>
      <c r="F121" s="38">
        <f>IF(ISNUMBER(INDEX(Backlog!$AT$2:$AT$188,MATCH($A121,Backlog!$A$2:$A$188,0))),INDEX(Backlog!$AT$2:$AT$188,MATCH($A121,Backlog!$A$2:$A$188,0)),"")</f>
        <v>7.2</v>
      </c>
      <c r="G121" s="38" t="str">
        <f>IF(INDEX(Backlog!$M$2:$M$188,MATCH($A121,Backlog!$A$2:$A$188,0))="","",INDEX(Backlog!$M$2:$M$188,MATCH($A121,Backlog!$A$2:$A$188,0)))</f>
        <v/>
      </c>
      <c r="H121" s="38" t="str">
        <f>IF(INDEX(Backlog!$N$2:$N$188,MATCH($A121,Backlog!$A$2:$A$188,0))="","",INDEX(Backlog!$N$2:$N$188,MATCH($A121,Backlog!$A$2:$A$188,0)))</f>
        <v>T-249</v>
      </c>
      <c r="I121" s="38" t="str">
        <f>IF(INDEX(Backlog!$T$2:$T$188,MATCH($A121,Backlog!$A$2:$A$188,0))="","",INDEX(Backlog!$T$2:$T$188,MATCH($A121,Backlog!$A$2:$A$188,0)))</f>
        <v>WAIT for deployed Release 1 + real customer/site evidence. M3 sequence</v>
      </c>
      <c r="J121" s="32" t="str">
        <f>IF(INDEX(Backlog!$AN$2:$AN$188,MATCH($A121,Backlog!$A$2:$A$188,0))="","",INDEX(Backlog!$AN$2:$AN$188,MATCH($A121,Backlog!$A$2:$A$188,0)))</f>
        <v/>
      </c>
    </row>
    <row r="122" spans="1:10" ht="26.1" customHeight="1">
      <c r="A122" s="38" t="s">
        <v>1339</v>
      </c>
      <c r="B122" s="38" t="str">
        <f>IF(INDEX(Backlog!$B$2:$B$188,MATCH($A122,Backlog!$A$2:$A$188,0))="","",INDEX(Backlog!$B$2:$B$188,MATCH($A122,Backlog!$A$2:$A$188,0)))</f>
        <v>M3</v>
      </c>
      <c r="C122" s="38" t="str">
        <f>IF(INDEX(Backlog!$C$2:$C$188,MATCH($A122,Backlog!$A$2:$A$188,0))="","",INDEX(Backlog!$C$2:$C$188,MATCH($A122,Backlog!$A$2:$A$188,0)))</f>
        <v>P2</v>
      </c>
      <c r="D122" s="38" t="str">
        <f>IF(INDEX(Backlog!$L$2:$L$188,MATCH($A122,Backlog!$A$2:$A$188,0))="","",INDEX(Backlog!$L$2:$L$188,MATCH($A122,Backlog!$A$2:$A$188,0)))</f>
        <v>Worker 1</v>
      </c>
      <c r="E122" s="70" t="str">
        <f>IF(INDEX(Backlog!$K$2:$K$188,MATCH($A122,Backlog!$A$2:$A$188,0))="","",INDEX(Backlog!$K$2:$K$188,MATCH($A122,Backlog!$A$2:$A$188,0)))</f>
        <v>Not Started</v>
      </c>
      <c r="F122" s="38">
        <f>IF(ISNUMBER(INDEX(Backlog!$AT$2:$AT$188,MATCH($A122,Backlog!$A$2:$A$188,0))),INDEX(Backlog!$AT$2:$AT$188,MATCH($A122,Backlog!$A$2:$A$188,0)),"")</f>
        <v>7.2</v>
      </c>
      <c r="G122" s="38" t="str">
        <f>IF(INDEX(Backlog!$M$2:$M$188,MATCH($A122,Backlog!$A$2:$A$188,0))="","",INDEX(Backlog!$M$2:$M$188,MATCH($A122,Backlog!$A$2:$A$188,0)))</f>
        <v/>
      </c>
      <c r="H122" s="38" t="str">
        <f>IF(INDEX(Backlog!$N$2:$N$188,MATCH($A122,Backlog!$A$2:$A$188,0))="","",INDEX(Backlog!$N$2:$N$188,MATCH($A122,Backlog!$A$2:$A$188,0)))</f>
        <v>T-249</v>
      </c>
      <c r="I122" s="38" t="str">
        <f>IF(INDEX(Backlog!$T$2:$T$188,MATCH($A122,Backlog!$A$2:$A$188,0))="","",INDEX(Backlog!$T$2:$T$188,MATCH($A122,Backlog!$A$2:$A$188,0)))</f>
        <v>WAIT for deployed Release 1 + real customer/site evidence. M3 sequence</v>
      </c>
      <c r="J122" s="32" t="str">
        <f>IF(INDEX(Backlog!$AN$2:$AN$188,MATCH($A122,Backlog!$A$2:$A$188,0))="","",INDEX(Backlog!$AN$2:$AN$188,MATCH($A122,Backlog!$A$2:$A$188,0)))</f>
        <v/>
      </c>
    </row>
    <row r="123" spans="1:10" ht="26.1" customHeight="1">
      <c r="A123" s="38" t="s">
        <v>1327</v>
      </c>
      <c r="B123" s="38" t="str">
        <f>IF(INDEX(Backlog!$B$2:$B$188,MATCH($A123,Backlog!$A$2:$A$188,0))="","",INDEX(Backlog!$B$2:$B$188,MATCH($A123,Backlog!$A$2:$A$188,0)))</f>
        <v>M3</v>
      </c>
      <c r="C123" s="38" t="str">
        <f>IF(INDEX(Backlog!$C$2:$C$188,MATCH($A123,Backlog!$A$2:$A$188,0))="","",INDEX(Backlog!$C$2:$C$188,MATCH($A123,Backlog!$A$2:$A$188,0)))</f>
        <v>P2</v>
      </c>
      <c r="D123" s="38" t="str">
        <f>IF(INDEX(Backlog!$L$2:$L$188,MATCH($A123,Backlog!$A$2:$A$188,0))="","",INDEX(Backlog!$L$2:$L$188,MATCH($A123,Backlog!$A$2:$A$188,0)))</f>
        <v>Worker 1</v>
      </c>
      <c r="E123" s="70" t="str">
        <f>IF(INDEX(Backlog!$K$2:$K$188,MATCH($A123,Backlog!$A$2:$A$188,0))="","",INDEX(Backlog!$K$2:$K$188,MATCH($A123,Backlog!$A$2:$A$188,0)))</f>
        <v>Not Started</v>
      </c>
      <c r="F123" s="38">
        <f>IF(ISNUMBER(INDEX(Backlog!$AT$2:$AT$188,MATCH($A123,Backlog!$A$2:$A$188,0))),INDEX(Backlog!$AT$2:$AT$188,MATCH($A123,Backlog!$A$2:$A$188,0)),"")</f>
        <v>0.89999999999999991</v>
      </c>
      <c r="G123" s="38" t="str">
        <f>IF(INDEX(Backlog!$M$2:$M$188,MATCH($A123,Backlog!$A$2:$A$188,0))="","",INDEX(Backlog!$M$2:$M$188,MATCH($A123,Backlog!$A$2:$A$188,0)))</f>
        <v>T-117; T-127</v>
      </c>
      <c r="H123" s="38" t="str">
        <f>IF(INDEX(Backlog!$N$2:$N$188,MATCH($A123,Backlog!$A$2:$A$188,0))="","",INDEX(Backlog!$N$2:$N$188,MATCH($A123,Backlog!$A$2:$A$188,0)))</f>
        <v/>
      </c>
      <c r="I123" s="38" t="str">
        <f>IF(INDEX(Backlog!$T$2:$T$188,MATCH($A123,Backlog!$A$2:$A$188,0))="","",INDEX(Backlog!$T$2:$T$188,MATCH($A123,Backlog!$A$2:$A$188,0)))</f>
        <v>Use the accepted M1 regression baseline; require empty index and clean owned paths, preserving unrelated user work. Then: T-117 + T-127</v>
      </c>
      <c r="J123" s="32" t="str">
        <f>IF(INDEX(Backlog!$AN$2:$AN$188,MATCH($A123,Backlog!$A$2:$A$188,0))="","",INDEX(Backlog!$AN$2:$AN$188,MATCH($A123,Backlog!$A$2:$A$188,0)))</f>
        <v/>
      </c>
    </row>
    <row r="124" spans="1:10" ht="26.1" customHeight="1">
      <c r="A124" s="38" t="s">
        <v>1349</v>
      </c>
      <c r="B124" s="38" t="str">
        <f>IF(INDEX(Backlog!$B$2:$B$188,MATCH($A124,Backlog!$A$2:$A$188,0))="","",INDEX(Backlog!$B$2:$B$188,MATCH($A124,Backlog!$A$2:$A$188,0)))</f>
        <v>M3</v>
      </c>
      <c r="C124" s="38" t="str">
        <f>IF(INDEX(Backlog!$C$2:$C$188,MATCH($A124,Backlog!$A$2:$A$188,0))="","",INDEX(Backlog!$C$2:$C$188,MATCH($A124,Backlog!$A$2:$A$188,0)))</f>
        <v>P2</v>
      </c>
      <c r="D124" s="38" t="str">
        <f>IF(INDEX(Backlog!$L$2:$L$188,MATCH($A124,Backlog!$A$2:$A$188,0))="","",INDEX(Backlog!$L$2:$L$188,MATCH($A124,Backlog!$A$2:$A$188,0)))</f>
        <v>Worker 2</v>
      </c>
      <c r="E124" s="70" t="str">
        <f>IF(INDEX(Backlog!$K$2:$K$188,MATCH($A124,Backlog!$A$2:$A$188,0))="","",INDEX(Backlog!$K$2:$K$188,MATCH($A124,Backlog!$A$2:$A$188,0)))</f>
        <v>Not Started</v>
      </c>
      <c r="F124" s="38">
        <f>IF(ISNUMBER(INDEX(Backlog!$AT$2:$AT$188,MATCH($A124,Backlog!$A$2:$A$188,0))),INDEX(Backlog!$AT$2:$AT$188,MATCH($A124,Backlog!$A$2:$A$188,0)),"")</f>
        <v>1.3333333333333333</v>
      </c>
      <c r="G124" s="38" t="str">
        <f>IF(INDEX(Backlog!$M$2:$M$188,MATCH($A124,Backlog!$A$2:$A$188,0))="","",INDEX(Backlog!$M$2:$M$188,MATCH($A124,Backlog!$A$2:$A$188,0)))</f>
        <v>T-087; T-094; T-095</v>
      </c>
      <c r="H124" s="38" t="str">
        <f>IF(INDEX(Backlog!$N$2:$N$188,MATCH($A124,Backlog!$A$2:$A$188,0))="","",INDEX(Backlog!$N$2:$N$188,MATCH($A124,Backlog!$A$2:$A$188,0)))</f>
        <v>T-127</v>
      </c>
      <c r="I124" s="38" t="str">
        <f>IF(INDEX(Backlog!$T$2:$T$188,MATCH($A124,Backlog!$A$2:$A$188,0))="","",INDEX(Backlog!$T$2:$T$188,MATCH($A124,Backlog!$A$2:$A$188,0)))</f>
        <v>Use the accepted M1 regression baseline; require empty index and clean owned paths, preserving unrelated user work. Then: T-087 + T-094 + T-095</v>
      </c>
      <c r="J124" s="32" t="str">
        <f>IF(INDEX(Backlog!$AN$2:$AN$188,MATCH($A124,Backlog!$A$2:$A$188,0))="","",INDEX(Backlog!$AN$2:$AN$188,MATCH($A124,Backlog!$A$2:$A$188,0)))</f>
        <v/>
      </c>
    </row>
    <row r="125" spans="1:10" ht="26.1" customHeight="1">
      <c r="A125" s="38" t="s">
        <v>1356</v>
      </c>
      <c r="B125" s="38" t="str">
        <f>IF(INDEX(Backlog!$B$2:$B$188,MATCH($A125,Backlog!$A$2:$A$188,0))="","",INDEX(Backlog!$B$2:$B$188,MATCH($A125,Backlog!$A$2:$A$188,0)))</f>
        <v>M3</v>
      </c>
      <c r="C125" s="38" t="str">
        <f>IF(INDEX(Backlog!$C$2:$C$188,MATCH($A125,Backlog!$A$2:$A$188,0))="","",INDEX(Backlog!$C$2:$C$188,MATCH($A125,Backlog!$A$2:$A$188,0)))</f>
        <v>P2</v>
      </c>
      <c r="D125" s="38" t="str">
        <f>IF(INDEX(Backlog!$L$2:$L$188,MATCH($A125,Backlog!$A$2:$A$188,0))="","",INDEX(Backlog!$L$2:$L$188,MATCH($A125,Backlog!$A$2:$A$188,0)))</f>
        <v>Worker 2</v>
      </c>
      <c r="E125" s="70" t="str">
        <f>IF(INDEX(Backlog!$K$2:$K$188,MATCH($A125,Backlog!$A$2:$A$188,0))="","",INDEX(Backlog!$K$2:$K$188,MATCH($A125,Backlog!$A$2:$A$188,0)))</f>
        <v>Not Started</v>
      </c>
      <c r="F125" s="38">
        <f>IF(ISNUMBER(INDEX(Backlog!$AT$2:$AT$188,MATCH($A125,Backlog!$A$2:$A$188,0))),INDEX(Backlog!$AT$2:$AT$188,MATCH($A125,Backlog!$A$2:$A$188,0)),"")</f>
        <v>2.285714285714286</v>
      </c>
      <c r="G125" s="38" t="str">
        <f>IF(INDEX(Backlog!$M$2:$M$188,MATCH($A125,Backlog!$A$2:$A$188,0))="","",INDEX(Backlog!$M$2:$M$188,MATCH($A125,Backlog!$A$2:$A$188,0)))</f>
        <v>T-119; T-198</v>
      </c>
      <c r="H125" s="38" t="str">
        <f>IF(INDEX(Backlog!$N$2:$N$188,MATCH($A125,Backlog!$A$2:$A$188,0))="","",INDEX(Backlog!$N$2:$N$188,MATCH($A125,Backlog!$A$2:$A$188,0)))</f>
        <v>T-127</v>
      </c>
      <c r="I125" s="38" t="str">
        <f>IF(INDEX(Backlog!$T$2:$T$188,MATCH($A125,Backlog!$A$2:$A$188,0))="","",INDEX(Backlog!$T$2:$T$188,MATCH($A125,Backlog!$A$2:$A$188,0)))</f>
        <v>Use the accepted M1 regression baseline; require empty index and clean owned paths, preserving unrelated user work. Then: T-119 + T-198</v>
      </c>
      <c r="J125" s="32" t="str">
        <f>IF(INDEX(Backlog!$AN$2:$AN$188,MATCH($A125,Backlog!$A$2:$A$188,0))="","",INDEX(Backlog!$AN$2:$AN$188,MATCH($A125,Backlog!$A$2:$A$188,0)))</f>
        <v/>
      </c>
    </row>
    <row r="126" spans="1:10" ht="26.1" customHeight="1">
      <c r="A126" s="38" t="s">
        <v>1367</v>
      </c>
      <c r="B126" s="38" t="str">
        <f>IF(INDEX(Backlog!$B$2:$B$188,MATCH($A126,Backlog!$A$2:$A$188,0))="","",INDEX(Backlog!$B$2:$B$188,MATCH($A126,Backlog!$A$2:$A$188,0)))</f>
        <v>M3</v>
      </c>
      <c r="C126" s="38" t="str">
        <f>IF(INDEX(Backlog!$C$2:$C$188,MATCH($A126,Backlog!$A$2:$A$188,0))="","",INDEX(Backlog!$C$2:$C$188,MATCH($A126,Backlog!$A$2:$A$188,0)))</f>
        <v>P2</v>
      </c>
      <c r="D126" s="38" t="str">
        <f>IF(INDEX(Backlog!$L$2:$L$188,MATCH($A126,Backlog!$A$2:$A$188,0))="","",INDEX(Backlog!$L$2:$L$188,MATCH($A126,Backlog!$A$2:$A$188,0)))</f>
        <v>Worker 2</v>
      </c>
      <c r="E126" s="70" t="str">
        <f>IF(INDEX(Backlog!$K$2:$K$188,MATCH($A126,Backlog!$A$2:$A$188,0))="","",INDEX(Backlog!$K$2:$K$188,MATCH($A126,Backlog!$A$2:$A$188,0)))</f>
        <v>Not Started</v>
      </c>
      <c r="F126" s="38">
        <f>IF(ISNUMBER(INDEX(Backlog!$AT$2:$AT$188,MATCH($A126,Backlog!$A$2:$A$188,0))),INDEX(Backlog!$AT$2:$AT$188,MATCH($A126,Backlog!$A$2:$A$188,0)),"")</f>
        <v>2.7428571428571429</v>
      </c>
      <c r="G126" s="38" t="str">
        <f>IF(INDEX(Backlog!$M$2:$M$188,MATCH($A126,Backlog!$A$2:$A$188,0))="","",INDEX(Backlog!$M$2:$M$188,MATCH($A126,Backlog!$A$2:$A$188,0)))</f>
        <v>T-112; T-114; T-119</v>
      </c>
      <c r="H126" s="38" t="str">
        <f>IF(INDEX(Backlog!$N$2:$N$188,MATCH($A126,Backlog!$A$2:$A$188,0))="","",INDEX(Backlog!$N$2:$N$188,MATCH($A126,Backlog!$A$2:$A$188,0)))</f>
        <v>T-127; T-197; T-199</v>
      </c>
      <c r="I126" s="38" t="str">
        <f>IF(INDEX(Backlog!$T$2:$T$188,MATCH($A126,Backlog!$A$2:$A$188,0))="","",INDEX(Backlog!$T$2:$T$188,MATCH($A126,Backlog!$A$2:$A$188,0)))</f>
        <v>Use the accepted M1 regression baseline; require empty index and clean owned paths, preserving unrelated user work. Then: T-112 + T-114 + T-119</v>
      </c>
      <c r="J126" s="32" t="str">
        <f>IF(INDEX(Backlog!$AN$2:$AN$188,MATCH($A126,Backlog!$A$2:$A$188,0))="","",INDEX(Backlog!$AN$2:$AN$188,MATCH($A126,Backlog!$A$2:$A$188,0)))</f>
        <v/>
      </c>
    </row>
    <row r="127" spans="1:10" ht="26.1" customHeight="1">
      <c r="A127" s="38" t="s">
        <v>1377</v>
      </c>
      <c r="B127" s="38" t="str">
        <f>IF(INDEX(Backlog!$B$2:$B$188,MATCH($A127,Backlog!$A$2:$A$188,0))="","",INDEX(Backlog!$B$2:$B$188,MATCH($A127,Backlog!$A$2:$A$188,0)))</f>
        <v>M3</v>
      </c>
      <c r="C127" s="38" t="str">
        <f>IF(INDEX(Backlog!$C$2:$C$188,MATCH($A127,Backlog!$A$2:$A$188,0))="","",INDEX(Backlog!$C$2:$C$188,MATCH($A127,Backlog!$A$2:$A$188,0)))</f>
        <v>P2</v>
      </c>
      <c r="D127" s="38" t="str">
        <f>IF(INDEX(Backlog!$L$2:$L$188,MATCH($A127,Backlog!$A$2:$A$188,0))="","",INDEX(Backlog!$L$2:$L$188,MATCH($A127,Backlog!$A$2:$A$188,0)))</f>
        <v>Worker 2</v>
      </c>
      <c r="E127" s="70" t="str">
        <f>IF(INDEX(Backlog!$K$2:$K$188,MATCH($A127,Backlog!$A$2:$A$188,0))="","",INDEX(Backlog!$K$2:$K$188,MATCH($A127,Backlog!$A$2:$A$188,0)))</f>
        <v>Not Started</v>
      </c>
      <c r="F127" s="38">
        <f>IF(ISNUMBER(INDEX(Backlog!$AT$2:$AT$188,MATCH($A127,Backlog!$A$2:$A$188,0))),INDEX(Backlog!$AT$2:$AT$188,MATCH($A127,Backlog!$A$2:$A$188,0)),"")</f>
        <v>2.7428571428571429</v>
      </c>
      <c r="G127" s="38" t="str">
        <f>IF(INDEX(Backlog!$M$2:$M$188,MATCH($A127,Backlog!$A$2:$A$188,0))="","",INDEX(Backlog!$M$2:$M$188,MATCH($A127,Backlog!$A$2:$A$188,0)))</f>
        <v>T-124; T-198</v>
      </c>
      <c r="H127" s="38" t="str">
        <f>IF(INDEX(Backlog!$N$2:$N$188,MATCH($A127,Backlog!$A$2:$A$188,0))="","",INDEX(Backlog!$N$2:$N$188,MATCH($A127,Backlog!$A$2:$A$188,0)))</f>
        <v>T-127</v>
      </c>
      <c r="I127" s="38" t="str">
        <f>IF(INDEX(Backlog!$T$2:$T$188,MATCH($A127,Backlog!$A$2:$A$188,0))="","",INDEX(Backlog!$T$2:$T$188,MATCH($A127,Backlog!$A$2:$A$188,0)))</f>
        <v>Use the accepted M1 regression baseline; require empty index and clean owned paths, preserving unrelated user work. Then: T-124 + T-198</v>
      </c>
      <c r="J127" s="32" t="str">
        <f>IF(INDEX(Backlog!$AN$2:$AN$188,MATCH($A127,Backlog!$A$2:$A$188,0))="","",INDEX(Backlog!$AN$2:$AN$188,MATCH($A127,Backlog!$A$2:$A$188,0)))</f>
        <v/>
      </c>
    </row>
    <row r="128" spans="1:10" ht="26.1" customHeight="1">
      <c r="A128" s="38" t="s">
        <v>1384</v>
      </c>
      <c r="B128" s="38" t="str">
        <f>IF(INDEX(Backlog!$B$2:$B$188,MATCH($A128,Backlog!$A$2:$A$188,0))="","",INDEX(Backlog!$B$2:$B$188,MATCH($A128,Backlog!$A$2:$A$188,0)))</f>
        <v>M3</v>
      </c>
      <c r="C128" s="38" t="str">
        <f>IF(INDEX(Backlog!$C$2:$C$188,MATCH($A128,Backlog!$A$2:$A$188,0))="","",INDEX(Backlog!$C$2:$C$188,MATCH($A128,Backlog!$A$2:$A$188,0)))</f>
        <v>P2</v>
      </c>
      <c r="D128" s="38" t="str">
        <f>IF(INDEX(Backlog!$L$2:$L$188,MATCH($A128,Backlog!$A$2:$A$188,0))="","",INDEX(Backlog!$L$2:$L$188,MATCH($A128,Backlog!$A$2:$A$188,0)))</f>
        <v>Worker 2</v>
      </c>
      <c r="E128" s="70" t="str">
        <f>IF(INDEX(Backlog!$K$2:$K$188,MATCH($A128,Backlog!$A$2:$A$188,0))="","",INDEX(Backlog!$K$2:$K$188,MATCH($A128,Backlog!$A$2:$A$188,0)))</f>
        <v>Not Started</v>
      </c>
      <c r="F128" s="38">
        <f>IF(ISNUMBER(INDEX(Backlog!$AT$2:$AT$188,MATCH($A128,Backlog!$A$2:$A$188,0))),INDEX(Backlog!$AT$2:$AT$188,MATCH($A128,Backlog!$A$2:$A$188,0)),"")</f>
        <v>2.285714285714286</v>
      </c>
      <c r="G128" s="38" t="str">
        <f>IF(INDEX(Backlog!$M$2:$M$188,MATCH($A128,Backlog!$A$2:$A$188,0))="","",INDEX(Backlog!$M$2:$M$188,MATCH($A128,Backlog!$A$2:$A$188,0)))</f>
        <v>T-113; T-119; T-216</v>
      </c>
      <c r="H128" s="38" t="str">
        <f>IF(INDEX(Backlog!$N$2:$N$188,MATCH($A128,Backlog!$A$2:$A$188,0))="","",INDEX(Backlog!$N$2:$N$188,MATCH($A128,Backlog!$A$2:$A$188,0)))</f>
        <v>T-127</v>
      </c>
      <c r="I128" s="38" t="str">
        <f>IF(INDEX(Backlog!$T$2:$T$188,MATCH($A128,Backlog!$A$2:$A$188,0))="","",INDEX(Backlog!$T$2:$T$188,MATCH($A128,Backlog!$A$2:$A$188,0)))</f>
        <v>Use the accepted M1 regression baseline; require empty index and clean owned paths, preserving unrelated user work. Then: T-113 + T-119</v>
      </c>
      <c r="J128" s="32" t="str">
        <f>IF(INDEX(Backlog!$AN$2:$AN$188,MATCH($A128,Backlog!$A$2:$A$188,0))="","",INDEX(Backlog!$AN$2:$AN$188,MATCH($A128,Backlog!$A$2:$A$188,0)))</f>
        <v/>
      </c>
    </row>
    <row r="129" spans="1:10" ht="26.1" customHeight="1">
      <c r="A129" s="38" t="s">
        <v>1393</v>
      </c>
      <c r="B129" s="38" t="str">
        <f>IF(INDEX(Backlog!$B$2:$B$188,MATCH($A129,Backlog!$A$2:$A$188,0))="","",INDEX(Backlog!$B$2:$B$188,MATCH($A129,Backlog!$A$2:$A$188,0)))</f>
        <v>M3</v>
      </c>
      <c r="C129" s="38" t="str">
        <f>IF(INDEX(Backlog!$C$2:$C$188,MATCH($A129,Backlog!$A$2:$A$188,0))="","",INDEX(Backlog!$C$2:$C$188,MATCH($A129,Backlog!$A$2:$A$188,0)))</f>
        <v>P3</v>
      </c>
      <c r="D129" s="38" t="str">
        <f>IF(INDEX(Backlog!$L$2:$L$188,MATCH($A129,Backlog!$A$2:$A$188,0))="","",INDEX(Backlog!$L$2:$L$188,MATCH($A129,Backlog!$A$2:$A$188,0)))</f>
        <v>Worker 2</v>
      </c>
      <c r="E129" s="70" t="str">
        <f>IF(INDEX(Backlog!$K$2:$K$188,MATCH($A129,Backlog!$A$2:$A$188,0))="","",INDEX(Backlog!$K$2:$K$188,MATCH($A129,Backlog!$A$2:$A$188,0)))</f>
        <v>Not Started</v>
      </c>
      <c r="F129" s="38">
        <f>IF(ISNUMBER(INDEX(Backlog!$AT$2:$AT$188,MATCH($A129,Backlog!$A$2:$A$188,0))),INDEX(Backlog!$AT$2:$AT$188,MATCH($A129,Backlog!$A$2:$A$188,0)),"")</f>
        <v>7.2</v>
      </c>
      <c r="G129" s="38" t="str">
        <f>IF(INDEX(Backlog!$M$2:$M$188,MATCH($A129,Backlog!$A$2:$A$188,0))="","",INDEX(Backlog!$M$2:$M$188,MATCH($A129,Backlog!$A$2:$A$188,0)))</f>
        <v/>
      </c>
      <c r="H129" s="38" t="str">
        <f>IF(INDEX(Backlog!$N$2:$N$188,MATCH($A129,Backlog!$A$2:$A$188,0))="","",INDEX(Backlog!$N$2:$N$188,MATCH($A129,Backlog!$A$2:$A$188,0)))</f>
        <v/>
      </c>
      <c r="I129" s="38" t="str">
        <f>IF(INDEX(Backlog!$T$2:$T$188,MATCH($A129,Backlog!$A$2:$A$188,0))="","",INDEX(Backlog!$T$2:$T$188,MATCH($A129,Backlog!$A$2:$A$188,0)))</f>
        <v>WAIT for deployed Release 1 + real customer/site evidence. M3 sequence</v>
      </c>
      <c r="J129" s="32" t="str">
        <f>IF(INDEX(Backlog!$AN$2:$AN$188,MATCH($A129,Backlog!$A$2:$A$188,0))="","",INDEX(Backlog!$AN$2:$AN$188,MATCH($A129,Backlog!$A$2:$A$188,0)))</f>
        <v/>
      </c>
    </row>
    <row r="130" spans="1:10" ht="26.1" customHeight="1">
      <c r="A130" s="38" t="s">
        <v>1402</v>
      </c>
      <c r="B130" s="38" t="str">
        <f>IF(INDEX(Backlog!$B$2:$B$188,MATCH($A130,Backlog!$A$2:$A$188,0))="","",INDEX(Backlog!$B$2:$B$188,MATCH($A130,Backlog!$A$2:$A$188,0)))</f>
        <v>M3</v>
      </c>
      <c r="C130" s="38" t="str">
        <f>IF(INDEX(Backlog!$C$2:$C$188,MATCH($A130,Backlog!$A$2:$A$188,0))="","",INDEX(Backlog!$C$2:$C$188,MATCH($A130,Backlog!$A$2:$A$188,0)))</f>
        <v>P3</v>
      </c>
      <c r="D130" s="38" t="str">
        <f>IF(INDEX(Backlog!$L$2:$L$188,MATCH($A130,Backlog!$A$2:$A$188,0))="","",INDEX(Backlog!$L$2:$L$188,MATCH($A130,Backlog!$A$2:$A$188,0)))</f>
        <v>Worker 2</v>
      </c>
      <c r="E130" s="70" t="str">
        <f>IF(INDEX(Backlog!$K$2:$K$188,MATCH($A130,Backlog!$A$2:$A$188,0))="","",INDEX(Backlog!$K$2:$K$188,MATCH($A130,Backlog!$A$2:$A$188,0)))</f>
        <v>Not Started</v>
      </c>
      <c r="F130" s="38">
        <f>IF(ISNUMBER(INDEX(Backlog!$AT$2:$AT$188,MATCH($A130,Backlog!$A$2:$A$188,0))),INDEX(Backlog!$AT$2:$AT$188,MATCH($A130,Backlog!$A$2:$A$188,0)),"")</f>
        <v>7.2</v>
      </c>
      <c r="G130" s="38" t="str">
        <f>IF(INDEX(Backlog!$M$2:$M$188,MATCH($A130,Backlog!$A$2:$A$188,0))="","",INDEX(Backlog!$M$2:$M$188,MATCH($A130,Backlog!$A$2:$A$188,0)))</f>
        <v/>
      </c>
      <c r="H130" s="38" t="str">
        <f>IF(INDEX(Backlog!$N$2:$N$188,MATCH($A130,Backlog!$A$2:$A$188,0))="","",INDEX(Backlog!$N$2:$N$188,MATCH($A130,Backlog!$A$2:$A$188,0)))</f>
        <v/>
      </c>
      <c r="I130" s="38" t="str">
        <f>IF(INDEX(Backlog!$T$2:$T$188,MATCH($A130,Backlog!$A$2:$A$188,0))="","",INDEX(Backlog!$T$2:$T$188,MATCH($A130,Backlog!$A$2:$A$188,0)))</f>
        <v>WAIT for deployed Release 1 + real customer/site evidence. M3 sequence</v>
      </c>
      <c r="J130" s="32" t="str">
        <f>IF(INDEX(Backlog!$AN$2:$AN$188,MATCH($A130,Backlog!$A$2:$A$188,0))="","",INDEX(Backlog!$AN$2:$AN$188,MATCH($A130,Backlog!$A$2:$A$188,0)))</f>
        <v/>
      </c>
    </row>
    <row r="131" spans="1:10" ht="26.1" customHeight="1">
      <c r="A131" s="38" t="s">
        <v>1411</v>
      </c>
      <c r="B131" s="38" t="str">
        <f>IF(INDEX(Backlog!$B$2:$B$188,MATCH($A131,Backlog!$A$2:$A$188,0))="","",INDEX(Backlog!$B$2:$B$188,MATCH($A131,Backlog!$A$2:$A$188,0)))</f>
        <v>M3</v>
      </c>
      <c r="C131" s="38" t="str">
        <f>IF(INDEX(Backlog!$C$2:$C$188,MATCH($A131,Backlog!$A$2:$A$188,0))="","",INDEX(Backlog!$C$2:$C$188,MATCH($A131,Backlog!$A$2:$A$188,0)))</f>
        <v>P3</v>
      </c>
      <c r="D131" s="38" t="str">
        <f>IF(INDEX(Backlog!$L$2:$L$188,MATCH($A131,Backlog!$A$2:$A$188,0))="","",INDEX(Backlog!$L$2:$L$188,MATCH($A131,Backlog!$A$2:$A$188,0)))</f>
        <v>Worker 3</v>
      </c>
      <c r="E131" s="70" t="str">
        <f>IF(INDEX(Backlog!$K$2:$K$188,MATCH($A131,Backlog!$A$2:$A$188,0))="","",INDEX(Backlog!$K$2:$K$188,MATCH($A131,Backlog!$A$2:$A$188,0)))</f>
        <v>Not Started</v>
      </c>
      <c r="F131" s="38">
        <f>IF(ISNUMBER(INDEX(Backlog!$AT$2:$AT$188,MATCH($A131,Backlog!$A$2:$A$188,0))),INDEX(Backlog!$AT$2:$AT$188,MATCH($A131,Backlog!$A$2:$A$188,0)),"")</f>
        <v>3.2</v>
      </c>
      <c r="G131" s="38" t="str">
        <f>IF(INDEX(Backlog!$M$2:$M$188,MATCH($A131,Backlog!$A$2:$A$188,0))="","",INDEX(Backlog!$M$2:$M$188,MATCH($A131,Backlog!$A$2:$A$188,0)))</f>
        <v>T-090; T-092; T-134; T-179; T-180; T-181</v>
      </c>
      <c r="H131" s="38" t="str">
        <f>IF(INDEX(Backlog!$N$2:$N$188,MATCH($A131,Backlog!$A$2:$A$188,0))="","",INDEX(Backlog!$N$2:$N$188,MATCH($A131,Backlog!$A$2:$A$188,0)))</f>
        <v>T-229; T-248</v>
      </c>
      <c r="I131" s="38" t="str">
        <f>IF(INDEX(Backlog!$T$2:$T$188,MATCH($A131,Backlog!$A$2:$A$188,0))="","",INDEX(Backlog!$T$2:$T$188,MATCH($A131,Backlog!$A$2:$A$188,0)))</f>
        <v>After September customer RC; T-090/T-092 + T-134 + T-179..181.</v>
      </c>
      <c r="J131" s="32" t="str">
        <f>IF(INDEX(Backlog!$AN$2:$AN$188,MATCH($A131,Backlog!$A$2:$A$188,0))="","",INDEX(Backlog!$AN$2:$AN$188,MATCH($A131,Backlog!$A$2:$A$188,0)))</f>
        <v/>
      </c>
    </row>
    <row r="132" spans="1:10" ht="26.1" customHeight="1">
      <c r="A132" s="38" t="s">
        <v>1423</v>
      </c>
      <c r="B132" s="38" t="str">
        <f>IF(INDEX(Backlog!$B$2:$B$188,MATCH($A132,Backlog!$A$2:$A$188,0))="","",INDEX(Backlog!$B$2:$B$188,MATCH($A132,Backlog!$A$2:$A$188,0)))</f>
        <v>M3</v>
      </c>
      <c r="C132" s="38" t="str">
        <f>IF(INDEX(Backlog!$C$2:$C$188,MATCH($A132,Backlog!$A$2:$A$188,0))="","",INDEX(Backlog!$C$2:$C$188,MATCH($A132,Backlog!$A$2:$A$188,0)))</f>
        <v>P3</v>
      </c>
      <c r="D132" s="38" t="str">
        <f>IF(INDEX(Backlog!$L$2:$L$188,MATCH($A132,Backlog!$A$2:$A$188,0))="","",INDEX(Backlog!$L$2:$L$188,MATCH($A132,Backlog!$A$2:$A$188,0)))</f>
        <v>Worker 3</v>
      </c>
      <c r="E132" s="70" t="str">
        <f>IF(INDEX(Backlog!$K$2:$K$188,MATCH($A132,Backlog!$A$2:$A$188,0))="","",INDEX(Backlog!$K$2:$K$188,MATCH($A132,Backlog!$A$2:$A$188,0)))</f>
        <v>Not Started</v>
      </c>
      <c r="F132" s="38">
        <f>IF(ISNUMBER(INDEX(Backlog!$AT$2:$AT$188,MATCH($A132,Backlog!$A$2:$A$188,0))),INDEX(Backlog!$AT$2:$AT$188,MATCH($A132,Backlog!$A$2:$A$188,0)),"")</f>
        <v>6.1714285714285708</v>
      </c>
      <c r="G132" s="38" t="str">
        <f>IF(INDEX(Backlog!$M$2:$M$188,MATCH($A132,Backlog!$A$2:$A$188,0))="","",INDEX(Backlog!$M$2:$M$188,MATCH($A132,Backlog!$A$2:$A$188,0)))</f>
        <v>T-228; T-134</v>
      </c>
      <c r="H132" s="38" t="str">
        <f>IF(INDEX(Backlog!$N$2:$N$188,MATCH($A132,Backlog!$A$2:$A$188,0))="","",INDEX(Backlog!$N$2:$N$188,MATCH($A132,Backlog!$A$2:$A$188,0)))</f>
        <v>T-230</v>
      </c>
      <c r="I132" s="38" t="str">
        <f>IF(INDEX(Backlog!$T$2:$T$188,MATCH($A132,Backlog!$A$2:$A$188,0))="","",INDEX(Backlog!$T$2:$T$188,MATCH($A132,Backlog!$A$2:$A$188,0)))</f>
        <v>T-228 + T-134 + stable Page Builder contract; coordinate UI consumption with Worker 2.</v>
      </c>
      <c r="J132" s="32" t="str">
        <f>IF(INDEX(Backlog!$AN$2:$AN$188,MATCH($A132,Backlog!$A$2:$A$188,0))="","",INDEX(Backlog!$AN$2:$AN$188,MATCH($A132,Backlog!$A$2:$A$188,0)))</f>
        <v/>
      </c>
    </row>
    <row r="133" spans="1:10" ht="26.1" customHeight="1">
      <c r="A133" s="38" t="s">
        <v>1429</v>
      </c>
      <c r="B133" s="38" t="str">
        <f>IF(INDEX(Backlog!$B$2:$B$188,MATCH($A133,Backlog!$A$2:$A$188,0))="","",INDEX(Backlog!$B$2:$B$188,MATCH($A133,Backlog!$A$2:$A$188,0)))</f>
        <v>M3</v>
      </c>
      <c r="C133" s="38" t="str">
        <f>IF(INDEX(Backlog!$C$2:$C$188,MATCH($A133,Backlog!$A$2:$A$188,0))="","",INDEX(Backlog!$C$2:$C$188,MATCH($A133,Backlog!$A$2:$A$188,0)))</f>
        <v>P3</v>
      </c>
      <c r="D133" s="38" t="str">
        <f>IF(INDEX(Backlog!$L$2:$L$188,MATCH($A133,Backlog!$A$2:$A$188,0))="","",INDEX(Backlog!$L$2:$L$188,MATCH($A133,Backlog!$A$2:$A$188,0)))</f>
        <v>Worker 3</v>
      </c>
      <c r="E133" s="70" t="str">
        <f>IF(INDEX(Backlog!$K$2:$K$188,MATCH($A133,Backlog!$A$2:$A$188,0))="","",INDEX(Backlog!$K$2:$K$188,MATCH($A133,Backlog!$A$2:$A$188,0)))</f>
        <v>Not Started</v>
      </c>
      <c r="F133" s="38">
        <f>IF(ISNUMBER(INDEX(Backlog!$AT$2:$AT$188,MATCH($A133,Backlog!$A$2:$A$188,0))),INDEX(Backlog!$AT$2:$AT$188,MATCH($A133,Backlog!$A$2:$A$188,0)),"")</f>
        <v>5.0999999999999996</v>
      </c>
      <c r="G133" s="38" t="str">
        <f>IF(INDEX(Backlog!$M$2:$M$188,MATCH($A133,Backlog!$A$2:$A$188,0))="","",INDEX(Backlog!$M$2:$M$188,MATCH($A133,Backlog!$A$2:$A$188,0)))</f>
        <v>T-229; T-112; T-114</v>
      </c>
      <c r="H133" s="38" t="str">
        <f>IF(INDEX(Backlog!$N$2:$N$188,MATCH($A133,Backlog!$A$2:$A$188,0))="","",INDEX(Backlog!$N$2:$N$188,MATCH($A133,Backlog!$A$2:$A$188,0)))</f>
        <v>T-249</v>
      </c>
      <c r="I133" s="38" t="str">
        <f>IF(INDEX(Backlog!$T$2:$T$188,MATCH($A133,Backlog!$A$2:$A$188,0))="","",INDEX(Backlog!$T$2:$T$188,MATCH($A133,Backlog!$A$2:$A$188,0)))</f>
        <v>T-229 + canonical definition/evidence persistence + T-112/T-114.</v>
      </c>
      <c r="J133" s="32" t="str">
        <f>IF(INDEX(Backlog!$AN$2:$AN$188,MATCH($A133,Backlog!$A$2:$A$188,0))="","",INDEX(Backlog!$AN$2:$AN$188,MATCH($A133,Backlog!$A$2:$A$188,0)))</f>
        <v/>
      </c>
    </row>
    <row r="134" spans="1:10" ht="26.1" customHeight="1">
      <c r="A134" s="38" t="s">
        <v>812</v>
      </c>
      <c r="B134" s="38" t="str">
        <f>IF(INDEX(Backlog!$B$2:$B$188,MATCH($A134,Backlog!$A$2:$A$188,0))="","",INDEX(Backlog!$B$2:$B$188,MATCH($A134,Backlog!$A$2:$A$188,0)))</f>
        <v>M3</v>
      </c>
      <c r="C134" s="38" t="str">
        <f>IF(INDEX(Backlog!$C$2:$C$188,MATCH($A134,Backlog!$A$2:$A$188,0))="","",INDEX(Backlog!$C$2:$C$188,MATCH($A134,Backlog!$A$2:$A$188,0)))</f>
        <v>P3</v>
      </c>
      <c r="D134" s="38" t="str">
        <f>IF(INDEX(Backlog!$L$2:$L$188,MATCH($A134,Backlog!$A$2:$A$188,0))="","",INDEX(Backlog!$L$2:$L$188,MATCH($A134,Backlog!$A$2:$A$188,0)))</f>
        <v>Worker 2</v>
      </c>
      <c r="E134" s="70" t="str">
        <f>IF(INDEX(Backlog!$K$2:$K$188,MATCH($A134,Backlog!$A$2:$A$188,0))="","",INDEX(Backlog!$K$2:$K$188,MATCH($A134,Backlog!$A$2:$A$188,0)))</f>
        <v>Not Started</v>
      </c>
      <c r="F134" s="38" t="str">
        <f>IF(ISNUMBER(INDEX(Backlog!$AT$2:$AT$188,MATCH($A134,Backlog!$A$2:$A$188,0))),INDEX(Backlog!$AT$2:$AT$188,MATCH($A134,Backlog!$A$2:$A$188,0)),"")</f>
        <v/>
      </c>
      <c r="G134" s="38" t="str">
        <f>IF(INDEX(Backlog!$M$2:$M$188,MATCH($A134,Backlog!$A$2:$A$188,0))="","",INDEX(Backlog!$M$2:$M$188,MATCH($A134,Backlog!$A$2:$A$188,0)))</f>
        <v>T-148; T-202; T-203; T-204; T-205; T-228; T-241; T-243; T-244; T-245; T-257; T-267</v>
      </c>
      <c r="H134" s="38" t="str">
        <f>IF(INDEX(Backlog!$N$2:$N$188,MATCH($A134,Backlog!$A$2:$A$188,0))="","",INDEX(Backlog!$N$2:$N$188,MATCH($A134,Backlog!$A$2:$A$188,0)))</f>
        <v>T-249; T-263</v>
      </c>
      <c r="I134" s="38" t="str">
        <f>IF(INDEX(Backlog!$T$2:$T$188,MATCH($A134,Backlog!$A$2:$A$188,0))="","",INDEX(Backlog!$T$2:$T$188,MATCH($A134,Backlog!$A$2:$A$188,0)))</f>
        <v>After M2 Release 1 and InsightBoard authoring base</v>
      </c>
      <c r="J134" s="32" t="str">
        <f>IF(INDEX(Backlog!$AN$2:$AN$188,MATCH($A134,Backlog!$A$2:$A$188,0))="","",INDEX(Backlog!$AN$2:$AN$188,MATCH($A134,Backlog!$A$2:$A$188,0)))</f>
        <v/>
      </c>
    </row>
    <row r="135" spans="1:10" ht="26.1" customHeight="1">
      <c r="A135" s="38" t="s">
        <v>1455</v>
      </c>
      <c r="B135" s="38" t="str">
        <f>IF(INDEX(Backlog!$B$2:$B$188,MATCH($A135,Backlog!$A$2:$A$188,0))="","",INDEX(Backlog!$B$2:$B$188,MATCH($A135,Backlog!$A$2:$A$188,0)))</f>
        <v>M3</v>
      </c>
      <c r="C135" s="38" t="str">
        <f>IF(INDEX(Backlog!$C$2:$C$188,MATCH($A135,Backlog!$A$2:$A$188,0))="","",INDEX(Backlog!$C$2:$C$188,MATCH($A135,Backlog!$A$2:$A$188,0)))</f>
        <v>P3</v>
      </c>
      <c r="D135" s="38" t="str">
        <f>IF(INDEX(Backlog!$L$2:$L$188,MATCH($A135,Backlog!$A$2:$A$188,0))="","",INDEX(Backlog!$L$2:$L$188,MATCH($A135,Backlog!$A$2:$A$188,0)))</f>
        <v>Worker 2</v>
      </c>
      <c r="E135" s="70" t="str">
        <f>IF(INDEX(Backlog!$K$2:$K$188,MATCH($A135,Backlog!$A$2:$A$188,0))="","",INDEX(Backlog!$K$2:$K$188,MATCH($A135,Backlog!$A$2:$A$188,0)))</f>
        <v>Not Started</v>
      </c>
      <c r="F135" s="38" t="str">
        <f>IF(ISNUMBER(INDEX(Backlog!$AT$2:$AT$188,MATCH($A135,Backlog!$A$2:$A$188,0))),INDEX(Backlog!$AT$2:$AT$188,MATCH($A135,Backlog!$A$2:$A$188,0)),"")</f>
        <v/>
      </c>
      <c r="G135" s="38" t="str">
        <f>IF(INDEX(Backlog!$M$2:$M$188,MATCH($A135,Backlog!$A$2:$A$188,0))="","",INDEX(Backlog!$M$2:$M$188,MATCH($A135,Backlog!$A$2:$A$188,0)))</f>
        <v>T-106; T-248</v>
      </c>
      <c r="H135" s="38" t="str">
        <f>IF(INDEX(Backlog!$N$2:$N$188,MATCH($A135,Backlog!$A$2:$A$188,0))="","",INDEX(Backlog!$N$2:$N$188,MATCH($A135,Backlog!$A$2:$A$188,0)))</f>
        <v>T-249</v>
      </c>
      <c r="I135" s="38" t="str">
        <f>IF(INDEX(Backlog!$T$2:$T$188,MATCH($A135,Backlog!$A$2:$A$188,0))="","",INDEX(Backlog!$T$2:$T$188,MATCH($A135,Backlog!$A$2:$A$188,0)))</f>
        <v>Consume accepted producer contracts; remaining dependencies: T-106; T-248. No private scheduler/definition authority. Source-present is not closure proof.</v>
      </c>
      <c r="J135" s="32" t="str">
        <f>IF(INDEX(Backlog!$AN$2:$AN$188,MATCH($A135,Backlog!$A$2:$A$188,0))="","",INDEX(Backlog!$AN$2:$AN$188,MATCH($A135,Backlog!$A$2:$A$188,0)))</f>
        <v/>
      </c>
    </row>
    <row r="136" spans="1:10" ht="26.1" customHeight="1">
      <c r="A136" s="38" t="s">
        <v>1465</v>
      </c>
      <c r="B136" s="38" t="str">
        <f>IF(INDEX(Backlog!$B$2:$B$188,MATCH($A136,Backlog!$A$2:$A$188,0))="","",INDEX(Backlog!$B$2:$B$188,MATCH($A136,Backlog!$A$2:$A$188,0)))</f>
        <v>M3</v>
      </c>
      <c r="C136" s="38" t="str">
        <f>IF(INDEX(Backlog!$C$2:$C$188,MATCH($A136,Backlog!$A$2:$A$188,0))="","",INDEX(Backlog!$C$2:$C$188,MATCH($A136,Backlog!$A$2:$A$188,0)))</f>
        <v>P4</v>
      </c>
      <c r="D136" s="38" t="str">
        <f>IF(INDEX(Backlog!$L$2:$L$188,MATCH($A136,Backlog!$A$2:$A$188,0))="","",INDEX(Backlog!$L$2:$L$188,MATCH($A136,Backlog!$A$2:$A$188,0)))</f>
        <v>Worker 3</v>
      </c>
      <c r="E136" s="70" t="str">
        <f>IF(INDEX(Backlog!$K$2:$K$188,MATCH($A136,Backlog!$A$2:$A$188,0))="","",INDEX(Backlog!$K$2:$K$188,MATCH($A136,Backlog!$A$2:$A$188,0)))</f>
        <v>Not Started</v>
      </c>
      <c r="F136" s="38">
        <f>IF(ISNUMBER(INDEX(Backlog!$AT$2:$AT$188,MATCH($A136,Backlog!$A$2:$A$188,0))),INDEX(Backlog!$AT$2:$AT$188,MATCH($A136,Backlog!$A$2:$A$188,0)),"")</f>
        <v>1.5</v>
      </c>
      <c r="G136" s="38" t="str">
        <f>IF(INDEX(Backlog!$M$2:$M$188,MATCH($A136,Backlog!$A$2:$A$188,0))="","",INDEX(Backlog!$M$2:$M$188,MATCH($A136,Backlog!$A$2:$A$188,0)))</f>
        <v>T-087; T-088; T-089; T-090; T-091; T-092; T-093; T-094; T-095; T-096; T-097; T-098; T-099; T-100; T-101; T-102; T-103; T-104; T-112; T-114; T-231; T-210</v>
      </c>
      <c r="H136" s="38" t="str">
        <f>IF(INDEX(Backlog!$N$2:$N$188,MATCH($A136,Backlog!$A$2:$A$188,0))="","",INDEX(Backlog!$N$2:$N$188,MATCH($A136,Backlog!$A$2:$A$188,0)))</f>
        <v>T-129; T-130; T-131; T-135; T-146; T-147; T-184; T-186</v>
      </c>
      <c r="I136" s="38" t="str">
        <f>IF(INDEX(Backlog!$T$2:$T$188,MATCH($A136,Backlog!$A$2:$A$188,0))="","",INDEX(Backlog!$T$2:$T$188,MATCH($A136,Backlog!$A$2:$A$188,0)))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T-087..T-105 + T-112 + T-114 security/tenant hand-off. Outcome semantics from...</v>
      </c>
      <c r="J136" s="32" t="str">
        <f>IF(INDEX(Backlog!$AN$2:$AN$188,MATCH($A136,Backlog!$A$2:$A$188,0))="","",INDEX(Backlog!$AN$2:$AN$188,MATCH($A136,Backlog!$A$2:$A$188,0)))</f>
        <v/>
      </c>
    </row>
    <row r="137" spans="1:10" ht="26.1" customHeight="1">
      <c r="A137" s="38" t="s">
        <v>1479</v>
      </c>
      <c r="B137" s="38" t="str">
        <f>IF(INDEX(Backlog!$B$2:$B$188,MATCH($A137,Backlog!$A$2:$A$188,0))="","",INDEX(Backlog!$B$2:$B$188,MATCH($A137,Backlog!$A$2:$A$188,0)))</f>
        <v>M3</v>
      </c>
      <c r="C137" s="38" t="str">
        <f>IF(INDEX(Backlog!$C$2:$C$188,MATCH($A137,Backlog!$A$2:$A$188,0))="","",INDEX(Backlog!$C$2:$C$188,MATCH($A137,Backlog!$A$2:$A$188,0)))</f>
        <v>P4</v>
      </c>
      <c r="D137" s="38" t="str">
        <f>IF(INDEX(Backlog!$L$2:$L$188,MATCH($A137,Backlog!$A$2:$A$188,0))="","",INDEX(Backlog!$L$2:$L$188,MATCH($A137,Backlog!$A$2:$A$188,0)))</f>
        <v>Worker 3</v>
      </c>
      <c r="E137" s="70" t="str">
        <f>IF(INDEX(Backlog!$K$2:$K$188,MATCH($A137,Backlog!$A$2:$A$188,0))="","",INDEX(Backlog!$K$2:$K$188,MATCH($A137,Backlog!$A$2:$A$188,0)))</f>
        <v>Not Started</v>
      </c>
      <c r="F137" s="38">
        <f>IF(ISNUMBER(INDEX(Backlog!$AT$2:$AT$188,MATCH($A137,Backlog!$A$2:$A$188,0))),INDEX(Backlog!$AT$2:$AT$188,MATCH($A137,Backlog!$A$2:$A$188,0)),"")</f>
        <v>1.7999999999999998</v>
      </c>
      <c r="G137" s="38" t="str">
        <f>IF(INDEX(Backlog!$M$2:$M$188,MATCH($A137,Backlog!$A$2:$A$188,0))="","",INDEX(Backlog!$M$2:$M$188,MATCH($A137,Backlog!$A$2:$A$188,0)))</f>
        <v>T-128; T-183; T-112; T-114</v>
      </c>
      <c r="H137" s="38" t="str">
        <f>IF(INDEX(Backlog!$N$2:$N$188,MATCH($A137,Backlog!$A$2:$A$188,0))="","",INDEX(Backlog!$N$2:$N$188,MATCH($A137,Backlog!$A$2:$A$188,0)))</f>
        <v>T-134; T-135; T-146; T-147; T-186; T-188</v>
      </c>
      <c r="I137" s="38" t="str">
        <f>IF(INDEX(Backlog!$T$2:$T$188,MATCH($A137,Backlog!$A$2:$A$188,0))="","",INDEX(Backlog!$T$2:$T$188,MATCH($A137,Backlog!$A$2:$A$188,0)))</f>
        <v>T-128 + T-183 + T-112 + T-114.</v>
      </c>
      <c r="J137" s="32" t="str">
        <f>IF(INDEX(Backlog!$AN$2:$AN$188,MATCH($A137,Backlog!$A$2:$A$188,0))="","",INDEX(Backlog!$AN$2:$AN$188,MATCH($A137,Backlog!$A$2:$A$188,0)))</f>
        <v/>
      </c>
    </row>
    <row r="138" spans="1:10" ht="26.1" customHeight="1">
      <c r="A138" s="38" t="s">
        <v>1487</v>
      </c>
      <c r="B138" s="38" t="str">
        <f>IF(INDEX(Backlog!$B$2:$B$188,MATCH($A138,Backlog!$A$2:$A$188,0))="","",INDEX(Backlog!$B$2:$B$188,MATCH($A138,Backlog!$A$2:$A$188,0)))</f>
        <v>M3</v>
      </c>
      <c r="C138" s="38" t="str">
        <f>IF(INDEX(Backlog!$C$2:$C$188,MATCH($A138,Backlog!$A$2:$A$188,0))="","",INDEX(Backlog!$C$2:$C$188,MATCH($A138,Backlog!$A$2:$A$188,0)))</f>
        <v>P4</v>
      </c>
      <c r="D138" s="38" t="str">
        <f>IF(INDEX(Backlog!$L$2:$L$188,MATCH($A138,Backlog!$A$2:$A$188,0))="","",INDEX(Backlog!$L$2:$L$188,MATCH($A138,Backlog!$A$2:$A$188,0)))</f>
        <v>Worker 3</v>
      </c>
      <c r="E138" s="70" t="str">
        <f>IF(INDEX(Backlog!$K$2:$K$188,MATCH($A138,Backlog!$A$2:$A$188,0))="","",INDEX(Backlog!$K$2:$K$188,MATCH($A138,Backlog!$A$2:$A$188,0)))</f>
        <v>Not Started</v>
      </c>
      <c r="F138" s="38">
        <f>IF(ISNUMBER(INDEX(Backlog!$AT$2:$AT$188,MATCH($A138,Backlog!$A$2:$A$188,0))),INDEX(Backlog!$AT$2:$AT$188,MATCH($A138,Backlog!$A$2:$A$188,0)),"")</f>
        <v>1.7999999999999998</v>
      </c>
      <c r="G138" s="38" t="str">
        <f>IF(INDEX(Backlog!$M$2:$M$188,MATCH($A138,Backlog!$A$2:$A$188,0))="","",INDEX(Backlog!$M$2:$M$188,MATCH($A138,Backlog!$A$2:$A$188,0)))</f>
        <v>T-128; T-183; T-112; T-114</v>
      </c>
      <c r="H138" s="38" t="str">
        <f>IF(INDEX(Backlog!$N$2:$N$188,MATCH($A138,Backlog!$A$2:$A$188,0))="","",INDEX(Backlog!$N$2:$N$188,MATCH($A138,Backlog!$A$2:$A$188,0)))</f>
        <v>T-134; T-135; T-139; T-188; T-191; T-193; T-246</v>
      </c>
      <c r="I138" s="38" t="str">
        <f>IF(INDEX(Backlog!$T$2:$T$188,MATCH($A138,Backlog!$A$2:$A$188,0))="","",INDEX(Backlog!$T$2:$T$188,MATCH($A138,Backlog!$A$2:$A$188,0)))</f>
        <v>T-128 + T-183 + T-112 + T-114.</v>
      </c>
      <c r="J138" s="32" t="str">
        <f>IF(INDEX(Backlog!$AN$2:$AN$188,MATCH($A138,Backlog!$A$2:$A$188,0))="","",INDEX(Backlog!$AN$2:$AN$188,MATCH($A138,Backlog!$A$2:$A$188,0)))</f>
        <v/>
      </c>
    </row>
    <row r="139" spans="1:10" ht="26.1" customHeight="1">
      <c r="A139" s="38" t="s">
        <v>1493</v>
      </c>
      <c r="B139" s="38" t="str">
        <f>IF(INDEX(Backlog!$B$2:$B$188,MATCH($A139,Backlog!$A$2:$A$188,0))="","",INDEX(Backlog!$B$2:$B$188,MATCH($A139,Backlog!$A$2:$A$188,0)))</f>
        <v>M3</v>
      </c>
      <c r="C139" s="38" t="str">
        <f>IF(INDEX(Backlog!$C$2:$C$188,MATCH($A139,Backlog!$A$2:$A$188,0))="","",INDEX(Backlog!$C$2:$C$188,MATCH($A139,Backlog!$A$2:$A$188,0)))</f>
        <v>P4</v>
      </c>
      <c r="D139" s="38" t="str">
        <f>IF(INDEX(Backlog!$L$2:$L$188,MATCH($A139,Backlog!$A$2:$A$188,0))="","",INDEX(Backlog!$L$2:$L$188,MATCH($A139,Backlog!$A$2:$A$188,0)))</f>
        <v>Worker 3</v>
      </c>
      <c r="E139" s="70" t="str">
        <f>IF(INDEX(Backlog!$K$2:$K$188,MATCH($A139,Backlog!$A$2:$A$188,0))="","",INDEX(Backlog!$K$2:$K$188,MATCH($A139,Backlog!$A$2:$A$188,0)))</f>
        <v>Not Started</v>
      </c>
      <c r="F139" s="38">
        <f>IF(ISNUMBER(INDEX(Backlog!$AT$2:$AT$188,MATCH($A139,Backlog!$A$2:$A$188,0))),INDEX(Backlog!$AT$2:$AT$188,MATCH($A139,Backlog!$A$2:$A$188,0)),"")</f>
        <v>1.7999999999999998</v>
      </c>
      <c r="G139" s="38" t="str">
        <f>IF(INDEX(Backlog!$M$2:$M$188,MATCH($A139,Backlog!$A$2:$A$188,0))="","",INDEX(Backlog!$M$2:$M$188,MATCH($A139,Backlog!$A$2:$A$188,0)))</f>
        <v>T-086; T-128; T-171</v>
      </c>
      <c r="H139" s="38" t="str">
        <f>IF(INDEX(Backlog!$N$2:$N$188,MATCH($A139,Backlog!$A$2:$A$188,0))="","",INDEX(Backlog!$N$2:$N$188,MATCH($A139,Backlog!$A$2:$A$188,0)))</f>
        <v>T-132; T-133; T-136; T-142; T-240</v>
      </c>
      <c r="I139" s="38" t="str">
        <f>IF(INDEX(Backlog!$T$2:$T$188,MATCH($A139,Backlog!$A$2:$A$188,0))="","",INDEX(Backlog!$T$2:$T$188,MATCH($A139,Backlog!$A$2:$A$188,0)))</f>
        <v>T-086 + T-128 + T-171</v>
      </c>
      <c r="J139" s="32" t="str">
        <f>IF(INDEX(Backlog!$AN$2:$AN$188,MATCH($A139,Backlog!$A$2:$A$188,0))="","",INDEX(Backlog!$AN$2:$AN$188,MATCH($A139,Backlog!$A$2:$A$188,0)))</f>
        <v/>
      </c>
    </row>
    <row r="140" spans="1:10" ht="26.1" customHeight="1">
      <c r="A140" s="38" t="s">
        <v>1503</v>
      </c>
      <c r="B140" s="38" t="str">
        <f>IF(INDEX(Backlog!$B$2:$B$188,MATCH($A140,Backlog!$A$2:$A$188,0))="","",INDEX(Backlog!$B$2:$B$188,MATCH($A140,Backlog!$A$2:$A$188,0)))</f>
        <v>M3</v>
      </c>
      <c r="C140" s="38" t="str">
        <f>IF(INDEX(Backlog!$C$2:$C$188,MATCH($A140,Backlog!$A$2:$A$188,0))="","",INDEX(Backlog!$C$2:$C$188,MATCH($A140,Backlog!$A$2:$A$188,0)))</f>
        <v>P4</v>
      </c>
      <c r="D140" s="38" t="str">
        <f>IF(INDEX(Backlog!$L$2:$L$188,MATCH($A140,Backlog!$A$2:$A$188,0))="","",INDEX(Backlog!$L$2:$L$188,MATCH($A140,Backlog!$A$2:$A$188,0)))</f>
        <v>Worker 3</v>
      </c>
      <c r="E140" s="70" t="str">
        <f>IF(INDEX(Backlog!$K$2:$K$188,MATCH($A140,Backlog!$A$2:$A$188,0))="","",INDEX(Backlog!$K$2:$K$188,MATCH($A140,Backlog!$A$2:$A$188,0)))</f>
        <v>Not Started</v>
      </c>
      <c r="F140" s="38">
        <f>IF(ISNUMBER(INDEX(Backlog!$AT$2:$AT$188,MATCH($A140,Backlog!$A$2:$A$188,0))),INDEX(Backlog!$AT$2:$AT$188,MATCH($A140,Backlog!$A$2:$A$188,0)),"")</f>
        <v>1.7999999999999998</v>
      </c>
      <c r="G140" s="38" t="str">
        <f>IF(INDEX(Backlog!$M$2:$M$188,MATCH($A140,Backlog!$A$2:$A$188,0))="","",INDEX(Backlog!$M$2:$M$188,MATCH($A140,Backlog!$A$2:$A$188,0)))</f>
        <v>T-131</v>
      </c>
      <c r="H140" s="38" t="str">
        <f>IF(INDEX(Backlog!$N$2:$N$188,MATCH($A140,Backlog!$A$2:$A$188,0))="","",INDEX(Backlog!$N$2:$N$188,MATCH($A140,Backlog!$A$2:$A$188,0)))</f>
        <v>T-133; T-136; T-142; T-240</v>
      </c>
      <c r="I140" s="38" t="str">
        <f>IF(INDEX(Backlog!$T$2:$T$188,MATCH($A140,Backlog!$A$2:$A$188,0))="","",INDEX(Backlog!$T$2:$T$188,MATCH($A140,Backlog!$A$2:$A$188,0)))</f>
        <v>T-131</v>
      </c>
      <c r="J140" s="32" t="str">
        <f>IF(INDEX(Backlog!$AN$2:$AN$188,MATCH($A140,Backlog!$A$2:$A$188,0))="","",INDEX(Backlog!$AN$2:$AN$188,MATCH($A140,Backlog!$A$2:$A$188,0)))</f>
        <v/>
      </c>
    </row>
    <row r="141" spans="1:10" ht="26.1" customHeight="1">
      <c r="A141" s="38" t="s">
        <v>1508</v>
      </c>
      <c r="B141" s="38" t="str">
        <f>IF(INDEX(Backlog!$B$2:$B$188,MATCH($A141,Backlog!$A$2:$A$188,0))="","",INDEX(Backlog!$B$2:$B$188,MATCH($A141,Backlog!$A$2:$A$188,0)))</f>
        <v>M3</v>
      </c>
      <c r="C141" s="38" t="str">
        <f>IF(INDEX(Backlog!$C$2:$C$188,MATCH($A141,Backlog!$A$2:$A$188,0))="","",INDEX(Backlog!$C$2:$C$188,MATCH($A141,Backlog!$A$2:$A$188,0)))</f>
        <v>P4</v>
      </c>
      <c r="D141" s="38" t="str">
        <f>IF(INDEX(Backlog!$L$2:$L$188,MATCH($A141,Backlog!$A$2:$A$188,0))="","",INDEX(Backlog!$L$2:$L$188,MATCH($A141,Backlog!$A$2:$A$188,0)))</f>
        <v>Worker 3</v>
      </c>
      <c r="E141" s="70" t="str">
        <f>IF(INDEX(Backlog!$K$2:$K$188,MATCH($A141,Backlog!$A$2:$A$188,0))="","",INDEX(Backlog!$K$2:$K$188,MATCH($A141,Backlog!$A$2:$A$188,0)))</f>
        <v>Not Started</v>
      </c>
      <c r="F141" s="38">
        <f>IF(ISNUMBER(INDEX(Backlog!$AT$2:$AT$188,MATCH($A141,Backlog!$A$2:$A$188,0))),INDEX(Backlog!$AT$2:$AT$188,MATCH($A141,Backlog!$A$2:$A$188,0)),"")</f>
        <v>1.7999999999999998</v>
      </c>
      <c r="G141" s="38" t="str">
        <f>IF(INDEX(Backlog!$M$2:$M$188,MATCH($A141,Backlog!$A$2:$A$188,0))="","",INDEX(Backlog!$M$2:$M$188,MATCH($A141,Backlog!$A$2:$A$188,0)))</f>
        <v>T-131; T-132; T-183</v>
      </c>
      <c r="H141" s="38" t="str">
        <f>IF(INDEX(Backlog!$N$2:$N$188,MATCH($A141,Backlog!$A$2:$A$188,0))="","",INDEX(Backlog!$N$2:$N$188,MATCH($A141,Backlog!$A$2:$A$188,0)))</f>
        <v>T-134; T-136; T-240</v>
      </c>
      <c r="I141" s="38" t="str">
        <f>IF(INDEX(Backlog!$T$2:$T$188,MATCH($A141,Backlog!$A$2:$A$188,0))="","",INDEX(Backlog!$T$2:$T$188,MATCH($A141,Backlog!$A$2:$A$188,0)))</f>
        <v>T-131 + T-132 + T-183</v>
      </c>
      <c r="J141" s="32" t="str">
        <f>IF(INDEX(Backlog!$AN$2:$AN$188,MATCH($A141,Backlog!$A$2:$A$188,0))="","",INDEX(Backlog!$AN$2:$AN$188,MATCH($A141,Backlog!$A$2:$A$188,0)))</f>
        <v/>
      </c>
    </row>
    <row r="142" spans="1:10" ht="26.1" customHeight="1">
      <c r="A142" s="38" t="s">
        <v>1515</v>
      </c>
      <c r="B142" s="38" t="str">
        <f>IF(INDEX(Backlog!$B$2:$B$188,MATCH($A142,Backlog!$A$2:$A$188,0))="","",INDEX(Backlog!$B$2:$B$188,MATCH($A142,Backlog!$A$2:$A$188,0)))</f>
        <v>M3</v>
      </c>
      <c r="C142" s="38" t="str">
        <f>IF(INDEX(Backlog!$C$2:$C$188,MATCH($A142,Backlog!$A$2:$A$188,0))="","",INDEX(Backlog!$C$2:$C$188,MATCH($A142,Backlog!$A$2:$A$188,0)))</f>
        <v>P4</v>
      </c>
      <c r="D142" s="38" t="str">
        <f>IF(INDEX(Backlog!$L$2:$L$188,MATCH($A142,Backlog!$A$2:$A$188,0))="","",INDEX(Backlog!$L$2:$L$188,MATCH($A142,Backlog!$A$2:$A$188,0)))</f>
        <v>Worker 3</v>
      </c>
      <c r="E142" s="70" t="str">
        <f>IF(INDEX(Backlog!$K$2:$K$188,MATCH($A142,Backlog!$A$2:$A$188,0))="","",INDEX(Backlog!$K$2:$K$188,MATCH($A142,Backlog!$A$2:$A$188,0)))</f>
        <v>Not Started</v>
      </c>
      <c r="F142" s="38">
        <f>IF(ISNUMBER(INDEX(Backlog!$AT$2:$AT$188,MATCH($A142,Backlog!$A$2:$A$188,0))),INDEX(Backlog!$AT$2:$AT$188,MATCH($A142,Backlog!$A$2:$A$188,0)),"")</f>
        <v>1.7999999999999998</v>
      </c>
      <c r="G142" s="38" t="str">
        <f>IF(INDEX(Backlog!$M$2:$M$188,MATCH($A142,Backlog!$A$2:$A$188,0))="","",INDEX(Backlog!$M$2:$M$188,MATCH($A142,Backlog!$A$2:$A$188,0)))</f>
        <v>T-090; T-095; T-096; T-129; T-130; T-133; T-186; T-139</v>
      </c>
      <c r="H142" s="38" t="str">
        <f>IF(INDEX(Backlog!$N$2:$N$188,MATCH($A142,Backlog!$A$2:$A$188,0))="","",INDEX(Backlog!$N$2:$N$188,MATCH($A142,Backlog!$A$2:$A$188,0)))</f>
        <v>T-138; T-228; T-229</v>
      </c>
      <c r="I142" s="38" t="str">
        <f>IF(INDEX(Backlog!$T$2:$T$188,MATCH($A142,Backlog!$A$2:$A$188,0))="","",INDEX(Backlog!$T$2:$T$188,MATCH($A142,Backlog!$A$2:$A$188,0)))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T-090 definition authority + T-095/T-096 relationship resolver + available ca...</v>
      </c>
      <c r="J142" s="32" t="str">
        <f>IF(INDEX(Backlog!$AN$2:$AN$188,MATCH($A142,Backlog!$A$2:$A$188,0))="","",INDEX(Backlog!$AN$2:$AN$188,MATCH($A142,Backlog!$A$2:$A$188,0)))</f>
        <v/>
      </c>
    </row>
    <row r="143" spans="1:10" ht="26.1" customHeight="1">
      <c r="A143" s="38" t="s">
        <v>1522</v>
      </c>
      <c r="B143" s="38" t="str">
        <f>IF(INDEX(Backlog!$B$2:$B$188,MATCH($A143,Backlog!$A$2:$A$188,0))="","",INDEX(Backlog!$B$2:$B$188,MATCH($A143,Backlog!$A$2:$A$188,0)))</f>
        <v>M3</v>
      </c>
      <c r="C143" s="38" t="str">
        <f>IF(INDEX(Backlog!$C$2:$C$188,MATCH($A143,Backlog!$A$2:$A$188,0))="","",INDEX(Backlog!$C$2:$C$188,MATCH($A143,Backlog!$A$2:$A$188,0)))</f>
        <v>P4</v>
      </c>
      <c r="D143" s="38" t="str">
        <f>IF(INDEX(Backlog!$L$2:$L$188,MATCH($A143,Backlog!$A$2:$A$188,0))="","",INDEX(Backlog!$L$2:$L$188,MATCH($A143,Backlog!$A$2:$A$188,0)))</f>
        <v>Worker 3</v>
      </c>
      <c r="E143" s="70" t="str">
        <f>IF(INDEX(Backlog!$K$2:$K$188,MATCH($A143,Backlog!$A$2:$A$188,0))="","",INDEX(Backlog!$K$2:$K$188,MATCH($A143,Backlog!$A$2:$A$188,0)))</f>
        <v>Not Started</v>
      </c>
      <c r="F143" s="38">
        <f>IF(ISNUMBER(INDEX(Backlog!$AT$2:$AT$188,MATCH($A143,Backlog!$A$2:$A$188,0))),INDEX(Backlog!$AT$2:$AT$188,MATCH($A143,Backlog!$A$2:$A$188,0)),"")</f>
        <v>1.9375</v>
      </c>
      <c r="G143" s="38" t="str">
        <f>IF(INDEX(Backlog!$M$2:$M$188,MATCH($A143,Backlog!$A$2:$A$188,0))="","",INDEX(Backlog!$M$2:$M$188,MATCH($A143,Backlog!$A$2:$A$188,0)))</f>
        <v>T-112; T-114; T-128; T-129; T-130; T-183</v>
      </c>
      <c r="H143" s="38" t="str">
        <f>IF(INDEX(Backlog!$N$2:$N$188,MATCH($A143,Backlog!$A$2:$A$188,0))="","",INDEX(Backlog!$N$2:$N$188,MATCH($A143,Backlog!$A$2:$A$188,0)))</f>
        <v>T-184; T-185; T-186; T-187</v>
      </c>
      <c r="I143" s="38" t="str">
        <f>IF(INDEX(Backlog!$T$2:$T$188,MATCH($A143,Backlog!$A$2:$A$188,0))="","",INDEX(Backlog!$T$2:$T$188,MATCH($A143,Backlog!$A$2:$A$188,0)))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T-112 + T-114 + current Release 2 persistence tables (including T-128/T-129/T-130/T...</v>
      </c>
      <c r="J143" s="32" t="str">
        <f>IF(INDEX(Backlog!$AN$2:$AN$188,MATCH($A143,Backlog!$A$2:$A$188,0))="","",INDEX(Backlog!$AN$2:$AN$188,MATCH($A143,Backlog!$A$2:$A$188,0)))</f>
        <v/>
      </c>
    </row>
    <row r="144" spans="1:10" ht="26.1" customHeight="1">
      <c r="A144" s="38" t="s">
        <v>1529</v>
      </c>
      <c r="B144" s="38" t="str">
        <f>IF(INDEX(Backlog!$B$2:$B$188,MATCH($A144,Backlog!$A$2:$A$188,0))="","",INDEX(Backlog!$B$2:$B$188,MATCH($A144,Backlog!$A$2:$A$188,0)))</f>
        <v>M3</v>
      </c>
      <c r="C144" s="38" t="str">
        <f>IF(INDEX(Backlog!$C$2:$C$188,MATCH($A144,Backlog!$A$2:$A$188,0))="","",INDEX(Backlog!$C$2:$C$188,MATCH($A144,Backlog!$A$2:$A$188,0)))</f>
        <v>P4</v>
      </c>
      <c r="D144" s="38" t="str">
        <f>IF(INDEX(Backlog!$L$2:$L$188,MATCH($A144,Backlog!$A$2:$A$188,0))="","",INDEX(Backlog!$L$2:$L$188,MATCH($A144,Backlog!$A$2:$A$188,0)))</f>
        <v>Worker 3</v>
      </c>
      <c r="E144" s="70" t="str">
        <f>IF(INDEX(Backlog!$K$2:$K$188,MATCH($A144,Backlog!$A$2:$A$188,0))="","",INDEX(Backlog!$K$2:$K$188,MATCH($A144,Backlog!$A$2:$A$188,0)))</f>
        <v>Not Started</v>
      </c>
      <c r="F144" s="38">
        <f>IF(ISNUMBER(INDEX(Backlog!$AT$2:$AT$188,MATCH($A144,Backlog!$A$2:$A$188,0))),INDEX(Backlog!$AT$2:$AT$188,MATCH($A144,Backlog!$A$2:$A$188,0)),"")</f>
        <v>1.5</v>
      </c>
      <c r="G144" s="38" t="str">
        <f>IF(INDEX(Backlog!$M$2:$M$188,MATCH($A144,Backlog!$A$2:$A$188,0))="","",INDEX(Backlog!$M$2:$M$188,MATCH($A144,Backlog!$A$2:$A$188,0)))</f>
        <v>T-131; T-132; T-133; T-109</v>
      </c>
      <c r="H144" s="38" t="str">
        <f>IF(INDEX(Backlog!$N$2:$N$188,MATCH($A144,Backlog!$A$2:$A$188,0))="","",INDEX(Backlog!$N$2:$N$188,MATCH($A144,Backlog!$A$2:$A$188,0)))</f>
        <v/>
      </c>
      <c r="I144" s="38" t="str">
        <f>IF(INDEX(Backlog!$T$2:$T$188,MATCH($A144,Backlog!$A$2:$A$188,0))="","",INDEX(Backlog!$T$2:$T$188,MATCH($A144,Backlog!$A$2:$A$188,0)))</f>
        <v>T-109 + T-131..T-133</v>
      </c>
      <c r="J144" s="32" t="str">
        <f>IF(INDEX(Backlog!$AN$2:$AN$188,MATCH($A144,Backlog!$A$2:$A$188,0))="","",INDEX(Backlog!$AN$2:$AN$188,MATCH($A144,Backlog!$A$2:$A$188,0)))</f>
        <v/>
      </c>
    </row>
    <row r="145" spans="1:10" ht="26.1" customHeight="1">
      <c r="A145" s="38" t="s">
        <v>1535</v>
      </c>
      <c r="B145" s="38" t="str">
        <f>IF(INDEX(Backlog!$B$2:$B$188,MATCH($A145,Backlog!$A$2:$A$188,0))="","",INDEX(Backlog!$B$2:$B$188,MATCH($A145,Backlog!$A$2:$A$188,0)))</f>
        <v>M3</v>
      </c>
      <c r="C145" s="38" t="str">
        <f>IF(INDEX(Backlog!$C$2:$C$188,MATCH($A145,Backlog!$A$2:$A$188,0))="","",INDEX(Backlog!$C$2:$C$188,MATCH($A145,Backlog!$A$2:$A$188,0)))</f>
        <v>P4</v>
      </c>
      <c r="D145" s="38" t="str">
        <f>IF(INDEX(Backlog!$L$2:$L$188,MATCH($A145,Backlog!$A$2:$A$188,0))="","",INDEX(Backlog!$L$2:$L$188,MATCH($A145,Backlog!$A$2:$A$188,0)))</f>
        <v>Worker 3</v>
      </c>
      <c r="E145" s="70" t="str">
        <f>IF(INDEX(Backlog!$K$2:$K$188,MATCH($A145,Backlog!$A$2:$A$188,0))="","",INDEX(Backlog!$K$2:$K$188,MATCH($A145,Backlog!$A$2:$A$188,0)))</f>
        <v>Not Started</v>
      </c>
      <c r="F145" s="38">
        <f>IF(ISNUMBER(INDEX(Backlog!$AT$2:$AT$188,MATCH($A145,Backlog!$A$2:$A$188,0))),INDEX(Backlog!$AT$2:$AT$188,MATCH($A145,Backlog!$A$2:$A$188,0)),"")</f>
        <v>1.7999999999999998</v>
      </c>
      <c r="G145" s="38" t="str">
        <f>IF(INDEX(Backlog!$M$2:$M$188,MATCH($A145,Backlog!$A$2:$A$188,0))="","",INDEX(Backlog!$M$2:$M$188,MATCH($A145,Backlog!$A$2:$A$188,0)))</f>
        <v>T-179; T-180; T-181; T-137; T-134; T-188</v>
      </c>
      <c r="H145" s="38" t="str">
        <f>IF(INDEX(Backlog!$N$2:$N$188,MATCH($A145,Backlog!$A$2:$A$188,0))="","",INDEX(Backlog!$N$2:$N$188,MATCH($A145,Backlog!$A$2:$A$188,0)))</f>
        <v/>
      </c>
      <c r="I145" s="38" t="str">
        <f>IF(INDEX(Backlog!$T$2:$T$188,MATCH($A145,Backlog!$A$2:$A$188,0))="","",INDEX(Backlog!$T$2:$T$188,MATCH($A145,Backlog!$A$2:$A$188,0)))</f>
        <v>T-137 + T-179..T-181 + T-134 + T-188</v>
      </c>
      <c r="J145" s="32" t="str">
        <f>IF(INDEX(Backlog!$AN$2:$AN$188,MATCH($A145,Backlog!$A$2:$A$188,0))="","",INDEX(Backlog!$AN$2:$AN$188,MATCH($A145,Backlog!$A$2:$A$188,0)))</f>
        <v/>
      </c>
    </row>
    <row r="146" spans="1:10" ht="26.1" customHeight="1">
      <c r="A146" s="38" t="s">
        <v>1542</v>
      </c>
      <c r="B146" s="38" t="str">
        <f>IF(INDEX(Backlog!$B$2:$B$188,MATCH($A146,Backlog!$A$2:$A$188,0))="","",INDEX(Backlog!$B$2:$B$188,MATCH($A146,Backlog!$A$2:$A$188,0)))</f>
        <v>M3</v>
      </c>
      <c r="C146" s="38" t="str">
        <f>IF(INDEX(Backlog!$C$2:$C$188,MATCH($A146,Backlog!$A$2:$A$188,0))="","",INDEX(Backlog!$C$2:$C$188,MATCH($A146,Backlog!$A$2:$A$188,0)))</f>
        <v>P4</v>
      </c>
      <c r="D146" s="38" t="str">
        <f>IF(INDEX(Backlog!$L$2:$L$188,MATCH($A146,Backlog!$A$2:$A$188,0))="","",INDEX(Backlog!$L$2:$L$188,MATCH($A146,Backlog!$A$2:$A$188,0)))</f>
        <v>Worker 3</v>
      </c>
      <c r="E146" s="70" t="str">
        <f>IF(INDEX(Backlog!$K$2:$K$188,MATCH($A146,Backlog!$A$2:$A$188,0))="","",INDEX(Backlog!$K$2:$K$188,MATCH($A146,Backlog!$A$2:$A$188,0)))</f>
        <v>Not Started</v>
      </c>
      <c r="F146" s="38">
        <f>IF(ISNUMBER(INDEX(Backlog!$AT$2:$AT$188,MATCH($A146,Backlog!$A$2:$A$188,0))),INDEX(Backlog!$AT$2:$AT$188,MATCH($A146,Backlog!$A$2:$A$188,0)),"")</f>
        <v>1.7999999999999998</v>
      </c>
      <c r="G146" s="38" t="str">
        <f>IF(INDEX(Backlog!$M$2:$M$188,MATCH($A146,Backlog!$A$2:$A$188,0))="","",INDEX(Backlog!$M$2:$M$188,MATCH($A146,Backlog!$A$2:$A$188,0)))</f>
        <v>T-130; T-187; T-231</v>
      </c>
      <c r="H146" s="38" t="str">
        <f>IF(INDEX(Backlog!$N$2:$N$188,MATCH($A146,Backlog!$A$2:$A$188,0))="","",INDEX(Backlog!$N$2:$N$188,MATCH($A146,Backlog!$A$2:$A$188,0)))</f>
        <v>T-134; T-140; T-141; T-142; T-189; T-193</v>
      </c>
      <c r="I146" s="38" t="str">
        <f>IF(INDEX(Backlog!$T$2:$T$188,MATCH($A146,Backlog!$A$2:$A$188,0))="","",INDEX(Backlog!$T$2:$T$188,MATCH($A146,Backlog!$A$2:$A$188,0)))</f>
        <v>T-130 + T-187</v>
      </c>
      <c r="J146" s="32" t="str">
        <f>IF(INDEX(Backlog!$AN$2:$AN$188,MATCH($A146,Backlog!$A$2:$A$188,0))="","",INDEX(Backlog!$AN$2:$AN$188,MATCH($A146,Backlog!$A$2:$A$188,0)))</f>
        <v/>
      </c>
    </row>
    <row r="147" spans="1:10" ht="26.1" customHeight="1">
      <c r="A147" s="38" t="s">
        <v>1550</v>
      </c>
      <c r="B147" s="38" t="str">
        <f>IF(INDEX(Backlog!$B$2:$B$188,MATCH($A147,Backlog!$A$2:$A$188,0))="","",INDEX(Backlog!$B$2:$B$188,MATCH($A147,Backlog!$A$2:$A$188,0)))</f>
        <v>M3</v>
      </c>
      <c r="C147" s="38" t="str">
        <f>IF(INDEX(Backlog!$C$2:$C$188,MATCH($A147,Backlog!$A$2:$A$188,0))="","",INDEX(Backlog!$C$2:$C$188,MATCH($A147,Backlog!$A$2:$A$188,0)))</f>
        <v>P4</v>
      </c>
      <c r="D147" s="38" t="str">
        <f>IF(INDEX(Backlog!$L$2:$L$188,MATCH($A147,Backlog!$A$2:$A$188,0))="","",INDEX(Backlog!$L$2:$L$188,MATCH($A147,Backlog!$A$2:$A$188,0)))</f>
        <v>Worker 3</v>
      </c>
      <c r="E147" s="70" t="str">
        <f>IF(INDEX(Backlog!$K$2:$K$188,MATCH($A147,Backlog!$A$2:$A$188,0))="","",INDEX(Backlog!$K$2:$K$188,MATCH($A147,Backlog!$A$2:$A$188,0)))</f>
        <v>Not Started</v>
      </c>
      <c r="F147" s="38">
        <f>IF(ISNUMBER(INDEX(Backlog!$AT$2:$AT$188,MATCH($A147,Backlog!$A$2:$A$188,0))),INDEX(Backlog!$AT$2:$AT$188,MATCH($A147,Backlog!$A$2:$A$188,0)),"")</f>
        <v>1.7999999999999998</v>
      </c>
      <c r="G147" s="38" t="str">
        <f>IF(INDEX(Backlog!$M$2:$M$188,MATCH($A147,Backlog!$A$2:$A$188,0))="","",INDEX(Backlog!$M$2:$M$188,MATCH($A147,Backlog!$A$2:$A$188,0)))</f>
        <v>T-139; T-173; T-176</v>
      </c>
      <c r="H147" s="38" t="str">
        <f>IF(INDEX(Backlog!$N$2:$N$188,MATCH($A147,Backlog!$A$2:$A$188,0))="","",INDEX(Backlog!$N$2:$N$188,MATCH($A147,Backlog!$A$2:$A$188,0)))</f>
        <v>T-142; T-189</v>
      </c>
      <c r="I147" s="38" t="str">
        <f>IF(INDEX(Backlog!$T$2:$T$188,MATCH($A147,Backlog!$A$2:$A$188,0))="","",INDEX(Backlog!$T$2:$T$188,MATCH($A147,Backlog!$A$2:$A$188,0)))</f>
        <v>T-139 + T-173/T-176</v>
      </c>
      <c r="J147" s="32" t="str">
        <f>IF(INDEX(Backlog!$AN$2:$AN$188,MATCH($A147,Backlog!$A$2:$A$188,0))="","",INDEX(Backlog!$AN$2:$AN$188,MATCH($A147,Backlog!$A$2:$A$188,0)))</f>
        <v/>
      </c>
    </row>
    <row r="148" spans="1:10" ht="26.1" customHeight="1">
      <c r="A148" s="38" t="s">
        <v>1557</v>
      </c>
      <c r="B148" s="38" t="str">
        <f>IF(INDEX(Backlog!$B$2:$B$188,MATCH($A148,Backlog!$A$2:$A$188,0))="","",INDEX(Backlog!$B$2:$B$188,MATCH($A148,Backlog!$A$2:$A$188,0)))</f>
        <v>M3</v>
      </c>
      <c r="C148" s="38" t="str">
        <f>IF(INDEX(Backlog!$C$2:$C$188,MATCH($A148,Backlog!$A$2:$A$188,0))="","",INDEX(Backlog!$C$2:$C$188,MATCH($A148,Backlog!$A$2:$A$188,0)))</f>
        <v>P4</v>
      </c>
      <c r="D148" s="38" t="str">
        <f>IF(INDEX(Backlog!$L$2:$L$188,MATCH($A148,Backlog!$A$2:$A$188,0))="","",INDEX(Backlog!$L$2:$L$188,MATCH($A148,Backlog!$A$2:$A$188,0)))</f>
        <v>Worker 3</v>
      </c>
      <c r="E148" s="70" t="str">
        <f>IF(INDEX(Backlog!$K$2:$K$188,MATCH($A148,Backlog!$A$2:$A$188,0))="","",INDEX(Backlog!$K$2:$K$188,MATCH($A148,Backlog!$A$2:$A$188,0)))</f>
        <v>Not Started</v>
      </c>
      <c r="F148" s="38">
        <f>IF(ISNUMBER(INDEX(Backlog!$AT$2:$AT$188,MATCH($A148,Backlog!$A$2:$A$188,0))),INDEX(Backlog!$AT$2:$AT$188,MATCH($A148,Backlog!$A$2:$A$188,0)),"")</f>
        <v>1.7999999999999998</v>
      </c>
      <c r="G148" s="38" t="str">
        <f>IF(INDEX(Backlog!$M$2:$M$188,MATCH($A148,Backlog!$A$2:$A$188,0))="","",INDEX(Backlog!$M$2:$M$188,MATCH($A148,Backlog!$A$2:$A$188,0)))</f>
        <v>T-107; T-122; T-139; T-187</v>
      </c>
      <c r="H148" s="38" t="str">
        <f>IF(INDEX(Backlog!$N$2:$N$188,MATCH($A148,Backlog!$A$2:$A$188,0))="","",INDEX(Backlog!$N$2:$N$188,MATCH($A148,Backlog!$A$2:$A$188,0)))</f>
        <v>T-189</v>
      </c>
      <c r="I148" s="38" t="str">
        <f>IF(INDEX(Backlog!$T$2:$T$188,MATCH($A148,Backlog!$A$2:$A$188,0))="","",INDEX(Backlog!$T$2:$T$188,MATCH($A148,Backlog!$A$2:$A$188,0)))</f>
        <v>T-107 + T-122 + T-139 + T-187</v>
      </c>
      <c r="J148" s="32" t="str">
        <f>IF(INDEX(Backlog!$AN$2:$AN$188,MATCH($A148,Backlog!$A$2:$A$188,0))="","",INDEX(Backlog!$AN$2:$AN$188,MATCH($A148,Backlog!$A$2:$A$188,0)))</f>
        <v/>
      </c>
    </row>
    <row r="149" spans="1:10" ht="26.1" customHeight="1">
      <c r="A149" s="38" t="s">
        <v>1564</v>
      </c>
      <c r="B149" s="38" t="str">
        <f>IF(INDEX(Backlog!$B$2:$B$188,MATCH($A149,Backlog!$A$2:$A$188,0))="","",INDEX(Backlog!$B$2:$B$188,MATCH($A149,Backlog!$A$2:$A$188,0)))</f>
        <v>M3</v>
      </c>
      <c r="C149" s="38" t="str">
        <f>IF(INDEX(Backlog!$C$2:$C$188,MATCH($A149,Backlog!$A$2:$A$188,0))="","",INDEX(Backlog!$C$2:$C$188,MATCH($A149,Backlog!$A$2:$A$188,0)))</f>
        <v>P4</v>
      </c>
      <c r="D149" s="38" t="str">
        <f>IF(INDEX(Backlog!$L$2:$L$188,MATCH($A149,Backlog!$A$2:$A$188,0))="","",INDEX(Backlog!$L$2:$L$188,MATCH($A149,Backlog!$A$2:$A$188,0)))</f>
        <v>Worker 3</v>
      </c>
      <c r="E149" s="70" t="str">
        <f>IF(INDEX(Backlog!$K$2:$K$188,MATCH($A149,Backlog!$A$2:$A$188,0))="","",INDEX(Backlog!$K$2:$K$188,MATCH($A149,Backlog!$A$2:$A$188,0)))</f>
        <v>Not Started</v>
      </c>
      <c r="F149" s="38">
        <f>IF(ISNUMBER(INDEX(Backlog!$AT$2:$AT$188,MATCH($A149,Backlog!$A$2:$A$188,0))),INDEX(Backlog!$AT$2:$AT$188,MATCH($A149,Backlog!$A$2:$A$188,0)),"")</f>
        <v>1.2000000000000002</v>
      </c>
      <c r="G149" s="38" t="str">
        <f>IF(INDEX(Backlog!$M$2:$M$188,MATCH($A149,Backlog!$A$2:$A$188,0))="","",INDEX(Backlog!$M$2:$M$188,MATCH($A149,Backlog!$A$2:$A$188,0)))</f>
        <v>T-131; T-132; T-139; T-140</v>
      </c>
      <c r="H149" s="38" t="str">
        <f>IF(INDEX(Backlog!$N$2:$N$188,MATCH($A149,Backlog!$A$2:$A$188,0))="","",INDEX(Backlog!$N$2:$N$188,MATCH($A149,Backlog!$A$2:$A$188,0)))</f>
        <v>T-143; T-189; T-190</v>
      </c>
      <c r="I149" s="38" t="str">
        <f>IF(INDEX(Backlog!$T$2:$T$188,MATCH($A149,Backlog!$A$2:$A$188,0))="","",INDEX(Backlog!$T$2:$T$188,MATCH($A149,Backlog!$A$2:$A$188,0)))</f>
        <v>T-131/T-132 + T-139/T-140</v>
      </c>
      <c r="J149" s="32" t="str">
        <f>IF(INDEX(Backlog!$AN$2:$AN$188,MATCH($A149,Backlog!$A$2:$A$188,0))="","",INDEX(Backlog!$AN$2:$AN$188,MATCH($A149,Backlog!$A$2:$A$188,0)))</f>
        <v/>
      </c>
    </row>
    <row r="150" spans="1:10" ht="26.1" customHeight="1">
      <c r="A150" s="38" t="s">
        <v>956</v>
      </c>
      <c r="B150" s="38" t="str">
        <f>IF(INDEX(Backlog!$B$2:$B$188,MATCH($A150,Backlog!$A$2:$A$188,0))="","",INDEX(Backlog!$B$2:$B$188,MATCH($A150,Backlog!$A$2:$A$188,0)))</f>
        <v>M3</v>
      </c>
      <c r="C150" s="38" t="str">
        <f>IF(INDEX(Backlog!$C$2:$C$188,MATCH($A150,Backlog!$A$2:$A$188,0))="","",INDEX(Backlog!$C$2:$C$188,MATCH($A150,Backlog!$A$2:$A$188,0)))</f>
        <v>P4</v>
      </c>
      <c r="D150" s="38" t="str">
        <f>IF(INDEX(Backlog!$L$2:$L$188,MATCH($A150,Backlog!$A$2:$A$188,0))="","",INDEX(Backlog!$L$2:$L$188,MATCH($A150,Backlog!$A$2:$A$188,0)))</f>
        <v>Worker 3</v>
      </c>
      <c r="E150" s="70" t="str">
        <f>IF(INDEX(Backlog!$K$2:$K$188,MATCH($A150,Backlog!$A$2:$A$188,0))="","",INDEX(Backlog!$K$2:$K$188,MATCH($A150,Backlog!$A$2:$A$188,0)))</f>
        <v>Not Started</v>
      </c>
      <c r="F150" s="38">
        <f>IF(ISNUMBER(INDEX(Backlog!$AT$2:$AT$188,MATCH($A150,Backlog!$A$2:$A$188,0))),INDEX(Backlog!$AT$2:$AT$188,MATCH($A150,Backlog!$A$2:$A$188,0)),"")</f>
        <v>1.2000000000000002</v>
      </c>
      <c r="G150" s="38" t="str">
        <f>IF(INDEX(Backlog!$M$2:$M$188,MATCH($A150,Backlog!$A$2:$A$188,0))="","",INDEX(Backlog!$M$2:$M$188,MATCH($A150,Backlog!$A$2:$A$188,0)))</f>
        <v>T-178; T-142</v>
      </c>
      <c r="H150" s="38" t="str">
        <f>IF(INDEX(Backlog!$N$2:$N$188,MATCH($A150,Backlog!$A$2:$A$188,0))="","",INDEX(Backlog!$N$2:$N$188,MATCH($A150,Backlog!$A$2:$A$188,0)))</f>
        <v>T-144; T-189; T-190</v>
      </c>
      <c r="I150" s="38" t="str">
        <f>IF(INDEX(Backlog!$T$2:$T$188,MATCH($A150,Backlog!$A$2:$A$188,0))="","",INDEX(Backlog!$T$2:$T$188,MATCH($A150,Backlog!$A$2:$A$188,0)))</f>
        <v>T-178 + T-142</v>
      </c>
      <c r="J150" s="32" t="str">
        <f>IF(INDEX(Backlog!$AN$2:$AN$188,MATCH($A150,Backlog!$A$2:$A$188,0))="","",INDEX(Backlog!$AN$2:$AN$188,MATCH($A150,Backlog!$A$2:$A$188,0)))</f>
        <v/>
      </c>
    </row>
    <row r="151" spans="1:10" ht="26.1" customHeight="1">
      <c r="A151" s="38" t="s">
        <v>1577</v>
      </c>
      <c r="B151" s="38" t="str">
        <f>IF(INDEX(Backlog!$B$2:$B$188,MATCH($A151,Backlog!$A$2:$A$188,0))="","",INDEX(Backlog!$B$2:$B$188,MATCH($A151,Backlog!$A$2:$A$188,0)))</f>
        <v>M3</v>
      </c>
      <c r="C151" s="38" t="str">
        <f>IF(INDEX(Backlog!$C$2:$C$188,MATCH($A151,Backlog!$A$2:$A$188,0))="","",INDEX(Backlog!$C$2:$C$188,MATCH($A151,Backlog!$A$2:$A$188,0)))</f>
        <v>P4</v>
      </c>
      <c r="D151" s="38" t="str">
        <f>IF(INDEX(Backlog!$L$2:$L$188,MATCH($A151,Backlog!$A$2:$A$188,0))="","",INDEX(Backlog!$L$2:$L$188,MATCH($A151,Backlog!$A$2:$A$188,0)))</f>
        <v>Worker 3</v>
      </c>
      <c r="E151" s="70" t="str">
        <f>IF(INDEX(Backlog!$K$2:$K$188,MATCH($A151,Backlog!$A$2:$A$188,0))="","",INDEX(Backlog!$K$2:$K$188,MATCH($A151,Backlog!$A$2:$A$188,0)))</f>
        <v>Not Started</v>
      </c>
      <c r="F151" s="38">
        <f>IF(ISNUMBER(INDEX(Backlog!$AT$2:$AT$188,MATCH($A151,Backlog!$A$2:$A$188,0))),INDEX(Backlog!$AT$2:$AT$188,MATCH($A151,Backlog!$A$2:$A$188,0)),"")</f>
        <v>1.2000000000000002</v>
      </c>
      <c r="G151" s="38" t="str">
        <f>IF(INDEX(Backlog!$M$2:$M$188,MATCH($A151,Backlog!$A$2:$A$188,0))="","",INDEX(Backlog!$M$2:$M$188,MATCH($A151,Backlog!$A$2:$A$188,0)))</f>
        <v>T-143</v>
      </c>
      <c r="H151" s="38" t="str">
        <f>IF(INDEX(Backlog!$N$2:$N$188,MATCH($A151,Backlog!$A$2:$A$188,0))="","",INDEX(Backlog!$N$2:$N$188,MATCH($A151,Backlog!$A$2:$A$188,0)))</f>
        <v>T-145; T-190</v>
      </c>
      <c r="I151" s="38" t="str">
        <f>IF(INDEX(Backlog!$T$2:$T$188,MATCH($A151,Backlog!$A$2:$A$188,0))="","",INDEX(Backlog!$T$2:$T$188,MATCH($A151,Backlog!$A$2:$A$188,0)))</f>
        <v>T-143</v>
      </c>
      <c r="J151" s="32" t="str">
        <f>IF(INDEX(Backlog!$AN$2:$AN$188,MATCH($A151,Backlog!$A$2:$A$188,0))="","",INDEX(Backlog!$AN$2:$AN$188,MATCH($A151,Backlog!$A$2:$A$188,0)))</f>
        <v/>
      </c>
    </row>
    <row r="152" spans="1:10" ht="26.1" customHeight="1">
      <c r="A152" s="38" t="s">
        <v>1586</v>
      </c>
      <c r="B152" s="38" t="str">
        <f>IF(INDEX(Backlog!$B$2:$B$188,MATCH($A152,Backlog!$A$2:$A$188,0))="","",INDEX(Backlog!$B$2:$B$188,MATCH($A152,Backlog!$A$2:$A$188,0)))</f>
        <v>M3</v>
      </c>
      <c r="C152" s="38" t="str">
        <f>IF(INDEX(Backlog!$C$2:$C$188,MATCH($A152,Backlog!$A$2:$A$188,0))="","",INDEX(Backlog!$C$2:$C$188,MATCH($A152,Backlog!$A$2:$A$188,0)))</f>
        <v>P4</v>
      </c>
      <c r="D152" s="38" t="str">
        <f>IF(INDEX(Backlog!$L$2:$L$188,MATCH($A152,Backlog!$A$2:$A$188,0))="","",INDEX(Backlog!$L$2:$L$188,MATCH($A152,Backlog!$A$2:$A$188,0)))</f>
        <v>Worker 3</v>
      </c>
      <c r="E152" s="70" t="str">
        <f>IF(INDEX(Backlog!$K$2:$K$188,MATCH($A152,Backlog!$A$2:$A$188,0))="","",INDEX(Backlog!$K$2:$K$188,MATCH($A152,Backlog!$A$2:$A$188,0)))</f>
        <v>Not Started</v>
      </c>
      <c r="F152" s="38" t="str">
        <f>IF(ISNUMBER(INDEX(Backlog!$AT$2:$AT$188,MATCH($A152,Backlog!$A$2:$A$188,0))),INDEX(Backlog!$AT$2:$AT$188,MATCH($A152,Backlog!$A$2:$A$188,0)),"")</f>
        <v/>
      </c>
      <c r="G152" s="38" t="str">
        <f>IF(INDEX(Backlog!$M$2:$M$188,MATCH($A152,Backlog!$A$2:$A$188,0))="","",INDEX(Backlog!$M$2:$M$188,MATCH($A152,Backlog!$A$2:$A$188,0)))</f>
        <v>T-144</v>
      </c>
      <c r="H152" s="38" t="str">
        <f>IF(INDEX(Backlog!$N$2:$N$188,MATCH($A152,Backlog!$A$2:$A$188,0))="","",INDEX(Backlog!$N$2:$N$188,MATCH($A152,Backlog!$A$2:$A$188,0)))</f>
        <v>T-190; T-193</v>
      </c>
      <c r="I152" s="38" t="str">
        <f>IF(INDEX(Backlog!$T$2:$T$188,MATCH($A152,Backlog!$A$2:$A$188,0))="","",INDEX(Backlog!$T$2:$T$188,MATCH($A152,Backlog!$A$2:$A$188,0)))</f>
        <v>T-144</v>
      </c>
      <c r="J152" s="32" t="str">
        <f>IF(INDEX(Backlog!$AN$2:$AN$188,MATCH($A152,Backlog!$A$2:$A$188,0))="","",INDEX(Backlog!$AN$2:$AN$188,MATCH($A152,Backlog!$A$2:$A$188,0)))</f>
        <v/>
      </c>
    </row>
    <row r="153" spans="1:10" ht="26.1" customHeight="1">
      <c r="A153" s="38" t="s">
        <v>1593</v>
      </c>
      <c r="B153" s="38" t="str">
        <f>IF(INDEX(Backlog!$B$2:$B$188,MATCH($A153,Backlog!$A$2:$A$188,0))="","",INDEX(Backlog!$B$2:$B$188,MATCH($A153,Backlog!$A$2:$A$188,0)))</f>
        <v>M3</v>
      </c>
      <c r="C153" s="38" t="str">
        <f>IF(INDEX(Backlog!$C$2:$C$188,MATCH($A153,Backlog!$A$2:$A$188,0))="","",INDEX(Backlog!$C$2:$C$188,MATCH($A153,Backlog!$A$2:$A$188,0)))</f>
        <v>P4</v>
      </c>
      <c r="D153" s="38" t="str">
        <f>IF(INDEX(Backlog!$L$2:$L$188,MATCH($A153,Backlog!$A$2:$A$188,0))="","",INDEX(Backlog!$L$2:$L$188,MATCH($A153,Backlog!$A$2:$A$188,0)))</f>
        <v>Worker 3</v>
      </c>
      <c r="E153" s="70" t="str">
        <f>IF(INDEX(Backlog!$K$2:$K$188,MATCH($A153,Backlog!$A$2:$A$188,0))="","",INDEX(Backlog!$K$2:$K$188,MATCH($A153,Backlog!$A$2:$A$188,0)))</f>
        <v>Not Started</v>
      </c>
      <c r="F153" s="38" t="str">
        <f>IF(ISNUMBER(INDEX(Backlog!$AT$2:$AT$188,MATCH($A153,Backlog!$A$2:$A$188,0))),INDEX(Backlog!$AT$2:$AT$188,MATCH($A153,Backlog!$A$2:$A$188,0)),"")</f>
        <v/>
      </c>
      <c r="G153" s="38" t="str">
        <f>IF(INDEX(Backlog!$M$2:$M$188,MATCH($A153,Backlog!$A$2:$A$188,0))="","",INDEX(Backlog!$M$2:$M$188,MATCH($A153,Backlog!$A$2:$A$188,0)))</f>
        <v>T-147; T-177; T-128; T-129</v>
      </c>
      <c r="H153" s="38" t="str">
        <f>IF(INDEX(Backlog!$N$2:$N$188,MATCH($A153,Backlog!$A$2:$A$188,0))="","",INDEX(Backlog!$N$2:$N$188,MATCH($A153,Backlog!$A$2:$A$188,0)))</f>
        <v/>
      </c>
      <c r="I153" s="38" t="str">
        <f>IF(INDEX(Backlog!$T$2:$T$188,MATCH($A153,Backlog!$A$2:$A$188,0))="","",INDEX(Backlog!$T$2:$T$188,MATCH($A153,Backlog!$A$2:$A$188,0)))</f>
        <v>T-147 COMPLETE + T-177 + T-128/T-129; M1 presentation continuity frozen.</v>
      </c>
      <c r="J153" s="32" t="str">
        <f>IF(INDEX(Backlog!$AN$2:$AN$188,MATCH($A153,Backlog!$A$2:$A$188,0))="","",INDEX(Backlog!$AN$2:$AN$188,MATCH($A153,Backlog!$A$2:$A$188,0)))</f>
        <v/>
      </c>
    </row>
    <row r="154" spans="1:10" ht="26.1" customHeight="1">
      <c r="A154" s="38" t="s">
        <v>1600</v>
      </c>
      <c r="B154" s="38" t="str">
        <f>IF(INDEX(Backlog!$B$2:$B$188,MATCH($A154,Backlog!$A$2:$A$188,0))="","",INDEX(Backlog!$B$2:$B$188,MATCH($A154,Backlog!$A$2:$A$188,0)))</f>
        <v>M3</v>
      </c>
      <c r="C154" s="38" t="str">
        <f>IF(INDEX(Backlog!$C$2:$C$188,MATCH($A154,Backlog!$A$2:$A$188,0))="","",INDEX(Backlog!$C$2:$C$188,MATCH($A154,Backlog!$A$2:$A$188,0)))</f>
        <v>P4</v>
      </c>
      <c r="D154" s="38" t="str">
        <f>IF(INDEX(Backlog!$L$2:$L$188,MATCH($A154,Backlog!$A$2:$A$188,0))="","",INDEX(Backlog!$L$2:$L$188,MATCH($A154,Backlog!$A$2:$A$188,0)))</f>
        <v>Worker 3</v>
      </c>
      <c r="E154" s="70" t="str">
        <f>IF(INDEX(Backlog!$K$2:$K$188,MATCH($A154,Backlog!$A$2:$A$188,0))="","",INDEX(Backlog!$K$2:$K$188,MATCH($A154,Backlog!$A$2:$A$188,0)))</f>
        <v>Not Started</v>
      </c>
      <c r="F154" s="38">
        <f>IF(ISNUMBER(INDEX(Backlog!$AT$2:$AT$188,MATCH($A154,Backlog!$A$2:$A$188,0))),INDEX(Backlog!$AT$2:$AT$188,MATCH($A154,Backlog!$A$2:$A$188,0)),"")</f>
        <v>1.7999999999999998</v>
      </c>
      <c r="G154" s="38" t="str">
        <f>IF(INDEX(Backlog!$M$2:$M$188,MATCH($A154,Backlog!$A$2:$A$188,0))="","",INDEX(Backlog!$M$2:$M$188,MATCH($A154,Backlog!$A$2:$A$188,0)))</f>
        <v>T-090; T-128; T-129; T-177</v>
      </c>
      <c r="H154" s="38" t="str">
        <f>IF(INDEX(Backlog!$N$2:$N$188,MATCH($A154,Backlog!$A$2:$A$188,0))="","",INDEX(Backlog!$N$2:$N$188,MATCH($A154,Backlog!$A$2:$A$188,0)))</f>
        <v>T-146</v>
      </c>
      <c r="I154" s="38" t="str">
        <f>IF(INDEX(Backlog!$T$2:$T$188,MATCH($A154,Backlog!$A$2:$A$188,0))="","",INDEX(Backlog!$T$2:$T$188,MATCH($A154,Backlog!$A$2:$A$188,0)))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T-090 canonical SM-06 binding + T-128/T-129 + T-177; complete BEFORE T-146 fi...</v>
      </c>
      <c r="J154" s="32" t="str">
        <f>IF(INDEX(Backlog!$AN$2:$AN$188,MATCH($A154,Backlog!$A$2:$A$188,0))="","",INDEX(Backlog!$AN$2:$AN$188,MATCH($A154,Backlog!$A$2:$A$188,0)))</f>
        <v/>
      </c>
    </row>
    <row r="155" spans="1:10" ht="26.1" customHeight="1">
      <c r="A155" s="38" t="s">
        <v>1607</v>
      </c>
      <c r="B155" s="38" t="str">
        <f>IF(INDEX(Backlog!$B$2:$B$188,MATCH($A155,Backlog!$A$2:$A$188,0))="","",INDEX(Backlog!$B$2:$B$188,MATCH($A155,Backlog!$A$2:$A$188,0)))</f>
        <v>M3</v>
      </c>
      <c r="C155" s="38" t="str">
        <f>IF(INDEX(Backlog!$C$2:$C$188,MATCH($A155,Backlog!$A$2:$A$188,0))="","",INDEX(Backlog!$C$2:$C$188,MATCH($A155,Backlog!$A$2:$A$188,0)))</f>
        <v>P4</v>
      </c>
      <c r="D155" s="38" t="str">
        <f>IF(INDEX(Backlog!$L$2:$L$188,MATCH($A155,Backlog!$A$2:$A$188,0))="","",INDEX(Backlog!$L$2:$L$188,MATCH($A155,Backlog!$A$2:$A$188,0)))</f>
        <v>Worker 3</v>
      </c>
      <c r="E155" s="70" t="str">
        <f>IF(INDEX(Backlog!$K$2:$K$188,MATCH($A155,Backlog!$A$2:$A$188,0))="","",INDEX(Backlog!$K$2:$K$188,MATCH($A155,Backlog!$A$2:$A$188,0)))</f>
        <v>Not Started</v>
      </c>
      <c r="F155" s="38">
        <f>IF(ISNUMBER(INDEX(Backlog!$AT$2:$AT$188,MATCH($A155,Backlog!$A$2:$A$188,0))),INDEX(Backlog!$AT$2:$AT$188,MATCH($A155,Backlog!$A$2:$A$188,0)),"")</f>
        <v>4.32</v>
      </c>
      <c r="G155" s="38" t="str">
        <f>IF(INDEX(Backlog!$M$2:$M$188,MATCH($A155,Backlog!$A$2:$A$188,0))="","",INDEX(Backlog!$M$2:$M$188,MATCH($A155,Backlog!$A$2:$A$188,0)))</f>
        <v/>
      </c>
      <c r="H155" s="38" t="str">
        <f>IF(INDEX(Backlog!$N$2:$N$188,MATCH($A155,Backlog!$A$2:$A$188,0))="","",INDEX(Backlog!$N$2:$N$188,MATCH($A155,Backlog!$A$2:$A$188,0)))</f>
        <v/>
      </c>
      <c r="I155" s="38" t="str">
        <f>IF(INDEX(Backlog!$T$2:$T$188,MATCH($A155,Backlog!$A$2:$A$188,0))="","",INDEX(Backlog!$T$2:$T$188,MATCH($A155,Backlog!$A$2:$A$188,0)))</f>
        <v>WAIT for deployed Release 1 + real customer/site evidence. Release 2 accepted + customer data window</v>
      </c>
      <c r="J155" s="32" t="str">
        <f>IF(INDEX(Backlog!$AN$2:$AN$188,MATCH($A155,Backlog!$A$2:$A$188,0))="","",INDEX(Backlog!$AN$2:$AN$188,MATCH($A155,Backlog!$A$2:$A$188,0)))</f>
        <v/>
      </c>
    </row>
    <row r="156" spans="1:10" ht="26.1" customHeight="1">
      <c r="A156" s="38" t="s">
        <v>1614</v>
      </c>
      <c r="B156" s="38" t="str">
        <f>IF(INDEX(Backlog!$B$2:$B$188,MATCH($A156,Backlog!$A$2:$A$188,0))="","",INDEX(Backlog!$B$2:$B$188,MATCH($A156,Backlog!$A$2:$A$188,0)))</f>
        <v>M3</v>
      </c>
      <c r="C156" s="38" t="str">
        <f>IF(INDEX(Backlog!$C$2:$C$188,MATCH($A156,Backlog!$A$2:$A$188,0))="","",INDEX(Backlog!$C$2:$C$188,MATCH($A156,Backlog!$A$2:$A$188,0)))</f>
        <v>P4</v>
      </c>
      <c r="D156" s="38" t="str">
        <f>IF(INDEX(Backlog!$L$2:$L$188,MATCH($A156,Backlog!$A$2:$A$188,0))="","",INDEX(Backlog!$L$2:$L$188,MATCH($A156,Backlog!$A$2:$A$188,0)))</f>
        <v>Worker 3</v>
      </c>
      <c r="E156" s="70" t="str">
        <f>IF(INDEX(Backlog!$K$2:$K$188,MATCH($A156,Backlog!$A$2:$A$188,0))="","",INDEX(Backlog!$K$2:$K$188,MATCH($A156,Backlog!$A$2:$A$188,0)))</f>
        <v>Not Started</v>
      </c>
      <c r="F156" s="38">
        <f>IF(ISNUMBER(INDEX(Backlog!$AT$2:$AT$188,MATCH($A156,Backlog!$A$2:$A$188,0))),INDEX(Backlog!$AT$2:$AT$188,MATCH($A156,Backlog!$A$2:$A$188,0)),"")</f>
        <v>4.32</v>
      </c>
      <c r="G156" s="38" t="str">
        <f>IF(INDEX(Backlog!$M$2:$M$188,MATCH($A156,Backlog!$A$2:$A$188,0))="","",INDEX(Backlog!$M$2:$M$188,MATCH($A156,Backlog!$A$2:$A$188,0)))</f>
        <v/>
      </c>
      <c r="H156" s="38" t="str">
        <f>IF(INDEX(Backlog!$N$2:$N$188,MATCH($A156,Backlog!$A$2:$A$188,0))="","",INDEX(Backlog!$N$2:$N$188,MATCH($A156,Backlog!$A$2:$A$188,0)))</f>
        <v/>
      </c>
      <c r="I156" s="38" t="str">
        <f>IF(INDEX(Backlog!$T$2:$T$188,MATCH($A156,Backlog!$A$2:$A$188,0))="","",INDEX(Backlog!$T$2:$T$188,MATCH($A156,Backlog!$A$2:$A$188,0)))</f>
        <v>WAIT for deployed Release 1 + real customer/site evidence. Release 2 accepted + customer data window</v>
      </c>
      <c r="J156" s="32" t="str">
        <f>IF(INDEX(Backlog!$AN$2:$AN$188,MATCH($A156,Backlog!$A$2:$A$188,0))="","",INDEX(Backlog!$AN$2:$AN$188,MATCH($A156,Backlog!$A$2:$A$188,0)))</f>
        <v/>
      </c>
    </row>
    <row r="157" spans="1:10" ht="26.1" customHeight="1">
      <c r="A157" s="38" t="s">
        <v>1095</v>
      </c>
      <c r="B157" s="38" t="str">
        <f>IF(INDEX(Backlog!$B$2:$B$188,MATCH($A157,Backlog!$A$2:$A$188,0))="","",INDEX(Backlog!$B$2:$B$188,MATCH($A157,Backlog!$A$2:$A$188,0)))</f>
        <v>M3</v>
      </c>
      <c r="C157" s="38" t="str">
        <f>IF(INDEX(Backlog!$C$2:$C$188,MATCH($A157,Backlog!$A$2:$A$188,0))="","",INDEX(Backlog!$C$2:$C$188,MATCH($A157,Backlog!$A$2:$A$188,0)))</f>
        <v>P4</v>
      </c>
      <c r="D157" s="38" t="str">
        <f>IF(INDEX(Backlog!$L$2:$L$188,MATCH($A157,Backlog!$A$2:$A$188,0))="","",INDEX(Backlog!$L$2:$L$188,MATCH($A157,Backlog!$A$2:$A$188,0)))</f>
        <v>Worker 1</v>
      </c>
      <c r="E157" s="70" t="str">
        <f>IF(INDEX(Backlog!$K$2:$K$188,MATCH($A157,Backlog!$A$2:$A$188,0))="","",INDEX(Backlog!$K$2:$K$188,MATCH($A157,Backlog!$A$2:$A$188,0)))</f>
        <v>Not Started</v>
      </c>
      <c r="F157" s="38">
        <f>IF(ISNUMBER(INDEX(Backlog!$AT$2:$AT$188,MATCH($A157,Backlog!$A$2:$A$188,0))),INDEX(Backlog!$AT$2:$AT$188,MATCH($A157,Backlog!$A$2:$A$188,0)),"")</f>
        <v>7.2</v>
      </c>
      <c r="G157" s="38" t="str">
        <f>IF(INDEX(Backlog!$M$2:$M$188,MATCH($A157,Backlog!$A$2:$A$188,0))="","",INDEX(Backlog!$M$2:$M$188,MATCH($A157,Backlog!$A$2:$A$188,0)))</f>
        <v>T-237; T-235</v>
      </c>
      <c r="H157" s="38" t="str">
        <f>IF(INDEX(Backlog!$N$2:$N$188,MATCH($A157,Backlog!$A$2:$A$188,0))="","",INDEX(Backlog!$N$2:$N$188,MATCH($A157,Backlog!$A$2:$A$188,0)))</f>
        <v>T-249</v>
      </c>
      <c r="I157" s="38" t="str">
        <f>IF(INDEX(Backlog!$T$2:$T$188,MATCH($A157,Backlog!$A$2:$A$188,0))="","",INDEX(Backlog!$T$2:$T$188,MATCH($A157,Backlog!$A$2:$A$188,0)))</f>
        <v>WAIT for deployed Release 1 + real customer/site evidence. M3 sequence</v>
      </c>
      <c r="J157" s="32" t="str">
        <f>IF(INDEX(Backlog!$AN$2:$AN$188,MATCH($A157,Backlog!$A$2:$A$188,0))="","",INDEX(Backlog!$AN$2:$AN$188,MATCH($A157,Backlog!$A$2:$A$188,0)))</f>
        <v/>
      </c>
    </row>
    <row r="158" spans="1:10" ht="26.1" customHeight="1">
      <c r="A158" s="38" t="s">
        <v>1625</v>
      </c>
      <c r="B158" s="38" t="str">
        <f>IF(INDEX(Backlog!$B$2:$B$188,MATCH($A158,Backlog!$A$2:$A$188,0))="","",INDEX(Backlog!$B$2:$B$188,MATCH($A158,Backlog!$A$2:$A$188,0)))</f>
        <v>M3</v>
      </c>
      <c r="C158" s="38" t="str">
        <f>IF(INDEX(Backlog!$C$2:$C$188,MATCH($A158,Backlog!$A$2:$A$188,0))="","",INDEX(Backlog!$C$2:$C$188,MATCH($A158,Backlog!$A$2:$A$188,0)))</f>
        <v>P4</v>
      </c>
      <c r="D158" s="38" t="str">
        <f>IF(INDEX(Backlog!$L$2:$L$188,MATCH($A158,Backlog!$A$2:$A$188,0))="","",INDEX(Backlog!$L$2:$L$188,MATCH($A158,Backlog!$A$2:$A$188,0)))</f>
        <v>Worker 1</v>
      </c>
      <c r="E158" s="70" t="str">
        <f>IF(INDEX(Backlog!$K$2:$K$188,MATCH($A158,Backlog!$A$2:$A$188,0))="","",INDEX(Backlog!$K$2:$K$188,MATCH($A158,Backlog!$A$2:$A$188,0)))</f>
        <v>Not Started</v>
      </c>
      <c r="F158" s="38" t="str">
        <f>IF(ISNUMBER(INDEX(Backlog!$AT$2:$AT$188,MATCH($A158,Backlog!$A$2:$A$188,0))),INDEX(Backlog!$AT$2:$AT$188,MATCH($A158,Backlog!$A$2:$A$188,0)),"")</f>
        <v/>
      </c>
      <c r="G158" s="38" t="str">
        <f>IF(INDEX(Backlog!$M$2:$M$188,MATCH($A158,Backlog!$A$2:$A$188,0))="","",INDEX(Backlog!$M$2:$M$188,MATCH($A158,Backlog!$A$2:$A$188,0)))</f>
        <v/>
      </c>
      <c r="H158" s="38" t="str">
        <f>IF(INDEX(Backlog!$N$2:$N$188,MATCH($A158,Backlog!$A$2:$A$188,0))="","",INDEX(Backlog!$N$2:$N$188,MATCH($A158,Backlog!$A$2:$A$188,0)))</f>
        <v/>
      </c>
      <c r="I158" s="38" t="str">
        <f>IF(INDEX(Backlog!$T$2:$T$188,MATCH($A158,Backlog!$A$2:$A$188,0))="","",INDEX(Backlog!$T$2:$T$188,MATCH($A158,Backlog!$A$2:$A$188,0)))</f>
        <v>WAIT for deployed Release 1 + real customer/site evidence. M3 sequence</v>
      </c>
      <c r="J158" s="32" t="str">
        <f>IF(INDEX(Backlog!$AN$2:$AN$188,MATCH($A158,Backlog!$A$2:$A$188,0))="","",INDEX(Backlog!$AN$2:$AN$188,MATCH($A158,Backlog!$A$2:$A$188,0)))</f>
        <v/>
      </c>
    </row>
    <row r="159" spans="1:10" ht="26.1" customHeight="1">
      <c r="A159" s="38" t="s">
        <v>1633</v>
      </c>
      <c r="B159" s="38" t="str">
        <f>IF(INDEX(Backlog!$B$2:$B$188,MATCH($A159,Backlog!$A$2:$A$188,0))="","",INDEX(Backlog!$B$2:$B$188,MATCH($A159,Backlog!$A$2:$A$188,0)))</f>
        <v>M3</v>
      </c>
      <c r="C159" s="38" t="str">
        <f>IF(INDEX(Backlog!$C$2:$C$188,MATCH($A159,Backlog!$A$2:$A$188,0))="","",INDEX(Backlog!$C$2:$C$188,MATCH($A159,Backlog!$A$2:$A$188,0)))</f>
        <v>P4</v>
      </c>
      <c r="D159" s="38" t="str">
        <f>IF(INDEX(Backlog!$L$2:$L$188,MATCH($A159,Backlog!$A$2:$A$188,0))="","",INDEX(Backlog!$L$2:$L$188,MATCH($A159,Backlog!$A$2:$A$188,0)))</f>
        <v>Worker 3</v>
      </c>
      <c r="E159" s="70" t="str">
        <f>IF(INDEX(Backlog!$K$2:$K$188,MATCH($A159,Backlog!$A$2:$A$188,0))="","",INDEX(Backlog!$K$2:$K$188,MATCH($A159,Backlog!$A$2:$A$188,0)))</f>
        <v>Not Started</v>
      </c>
      <c r="F159" s="38">
        <f>IF(ISNUMBER(INDEX(Backlog!$AT$2:$AT$188,MATCH($A159,Backlog!$A$2:$A$188,0))),INDEX(Backlog!$AT$2:$AT$188,MATCH($A159,Backlog!$A$2:$A$188,0)),"")</f>
        <v>1.7999999999999998</v>
      </c>
      <c r="G159" s="38" t="str">
        <f>IF(INDEX(Backlog!$M$2:$M$188,MATCH($A159,Backlog!$A$2:$A$188,0))="","",INDEX(Backlog!$M$2:$M$188,MATCH($A159,Backlog!$A$2:$A$188,0)))</f>
        <v>T-089; T-090; T-091; T-092; T-093; T-094; T-095; T-096; T-097; T-098; T-099; T-100; T-101; T-102; T-103; T-104; T-112; T-114</v>
      </c>
      <c r="H159" s="38" t="str">
        <f>IF(INDEX(Backlog!$N$2:$N$188,MATCH($A159,Backlog!$A$2:$A$188,0))="","",INDEX(Backlog!$N$2:$N$188,MATCH($A159,Backlog!$A$2:$A$188,0)))</f>
        <v>T-129; T-130; T-133; T-135; T-184; T-185; T-186; T-187; T-192</v>
      </c>
      <c r="I159" s="38" t="str">
        <f>IF(INDEX(Backlog!$T$2:$T$188,MATCH($A159,Backlog!$A$2:$A$188,0))="","",INDEX(Backlog!$T$2:$T$188,MATCH($A159,Backlog!$A$2:$A$188,0)))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T-089..T-105 canonical definition/relationship authority + T-112 + T-114 secu...</v>
      </c>
      <c r="J159" s="32" t="str">
        <f>IF(INDEX(Backlog!$AN$2:$AN$188,MATCH($A159,Backlog!$A$2:$A$188,0))="","",INDEX(Backlog!$AN$2:$AN$188,MATCH($A159,Backlog!$A$2:$A$188,0)))</f>
        <v/>
      </c>
    </row>
    <row r="160" spans="1:10" ht="26.1" customHeight="1">
      <c r="A160" s="38" t="s">
        <v>1641</v>
      </c>
      <c r="B160" s="38" t="str">
        <f>IF(INDEX(Backlog!$B$2:$B$188,MATCH($A160,Backlog!$A$2:$A$188,0))="","",INDEX(Backlog!$B$2:$B$188,MATCH($A160,Backlog!$A$2:$A$188,0)))</f>
        <v>M3</v>
      </c>
      <c r="C160" s="38" t="str">
        <f>IF(INDEX(Backlog!$C$2:$C$188,MATCH($A160,Backlog!$A$2:$A$188,0))="","",INDEX(Backlog!$C$2:$C$188,MATCH($A160,Backlog!$A$2:$A$188,0)))</f>
        <v>P4</v>
      </c>
      <c r="D160" s="38" t="str">
        <f>IF(INDEX(Backlog!$L$2:$L$188,MATCH($A160,Backlog!$A$2:$A$188,0))="","",INDEX(Backlog!$L$2:$L$188,MATCH($A160,Backlog!$A$2:$A$188,0)))</f>
        <v>Worker 3</v>
      </c>
      <c r="E160" s="70" t="str">
        <f>IF(INDEX(Backlog!$K$2:$K$188,MATCH($A160,Backlog!$A$2:$A$188,0))="","",INDEX(Backlog!$K$2:$K$188,MATCH($A160,Backlog!$A$2:$A$188,0)))</f>
        <v>Not Started</v>
      </c>
      <c r="F160" s="38">
        <f>IF(ISNUMBER(INDEX(Backlog!$AT$2:$AT$188,MATCH($A160,Backlog!$A$2:$A$188,0))),INDEX(Backlog!$AT$2:$AT$188,MATCH($A160,Backlog!$A$2:$A$188,0)),"")</f>
        <v>1.7999999999999998</v>
      </c>
      <c r="G160" s="38" t="str">
        <f>IF(INDEX(Backlog!$M$2:$M$188,MATCH($A160,Backlog!$A$2:$A$188,0))="","",INDEX(Backlog!$M$2:$M$188,MATCH($A160,Backlog!$A$2:$A$188,0)))</f>
        <v>T-128; T-169; T-183; T-112; T-114; T-135</v>
      </c>
      <c r="H160" s="38" t="str">
        <f>IF(INDEX(Backlog!$N$2:$N$188,MATCH($A160,Backlog!$A$2:$A$188,0))="","",INDEX(Backlog!$N$2:$N$188,MATCH($A160,Backlog!$A$2:$A$188,0)))</f>
        <v>T-187; T-192</v>
      </c>
      <c r="I160" s="38" t="str">
        <f>IF(INDEX(Backlog!$T$2:$T$188,MATCH($A160,Backlog!$A$2:$A$188,0))="","",INDEX(Backlog!$T$2:$T$188,MATCH($A160,Backlog!$A$2:$A$188,0)))</f>
        <v>T-128 + T-169 + T-183 + T-112/T-114/T-135 security ratchet.</v>
      </c>
      <c r="J160" s="32" t="str">
        <f>IF(INDEX(Backlog!$AN$2:$AN$188,MATCH($A160,Backlog!$A$2:$A$188,0))="","",INDEX(Backlog!$AN$2:$AN$188,MATCH($A160,Backlog!$A$2:$A$188,0)))</f>
        <v/>
      </c>
    </row>
    <row r="161" spans="1:10" ht="26.1" customHeight="1">
      <c r="A161" s="38" t="s">
        <v>1649</v>
      </c>
      <c r="B161" s="38" t="str">
        <f>IF(INDEX(Backlog!$B$2:$B$188,MATCH($A161,Backlog!$A$2:$A$188,0))="","",INDEX(Backlog!$B$2:$B$188,MATCH($A161,Backlog!$A$2:$A$188,0)))</f>
        <v>M3</v>
      </c>
      <c r="C161" s="38" t="str">
        <f>IF(INDEX(Backlog!$C$2:$C$188,MATCH($A161,Backlog!$A$2:$A$188,0))="","",INDEX(Backlog!$C$2:$C$188,MATCH($A161,Backlog!$A$2:$A$188,0)))</f>
        <v>P4</v>
      </c>
      <c r="D161" s="38" t="str">
        <f>IF(INDEX(Backlog!$L$2:$L$188,MATCH($A161,Backlog!$A$2:$A$188,0))="","",INDEX(Backlog!$L$2:$L$188,MATCH($A161,Backlog!$A$2:$A$188,0)))</f>
        <v>Worker 3</v>
      </c>
      <c r="E161" s="70" t="str">
        <f>IF(INDEX(Backlog!$K$2:$K$188,MATCH($A161,Backlog!$A$2:$A$188,0))="","",INDEX(Backlog!$K$2:$K$188,MATCH($A161,Backlog!$A$2:$A$188,0)))</f>
        <v>Not Started</v>
      </c>
      <c r="F161" s="38">
        <f>IF(ISNUMBER(INDEX(Backlog!$AT$2:$AT$188,MATCH($A161,Backlog!$A$2:$A$188,0))),INDEX(Backlog!$AT$2:$AT$188,MATCH($A161,Backlog!$A$2:$A$188,0)),"")</f>
        <v>1.7999999999999998</v>
      </c>
      <c r="G161" s="38" t="str">
        <f>IF(INDEX(Backlog!$M$2:$M$188,MATCH($A161,Backlog!$A$2:$A$188,0))="","",INDEX(Backlog!$M$2:$M$188,MATCH($A161,Backlog!$A$2:$A$188,0)))</f>
        <v>T-170; T-183; T-122; T-112; T-114; T-135</v>
      </c>
      <c r="H161" s="38" t="str">
        <f>IF(INDEX(Backlog!$N$2:$N$188,MATCH($A161,Backlog!$A$2:$A$188,0))="","",INDEX(Backlog!$N$2:$N$188,MATCH($A161,Backlog!$A$2:$A$188,0)))</f>
        <v>T-187; T-192</v>
      </c>
      <c r="I161" s="38" t="str">
        <f>IF(INDEX(Backlog!$T$2:$T$188,MATCH($A161,Backlog!$A$2:$A$188,0))="","",INDEX(Backlog!$T$2:$T$188,MATCH($A161,Backlog!$A$2:$A$188,0)))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T-170 + T-183 + T-122 final object-storage/container path + T-112/T-114/T-135...</v>
      </c>
      <c r="J161" s="32" t="str">
        <f>IF(INDEX(Backlog!$AN$2:$AN$188,MATCH($A161,Backlog!$A$2:$A$188,0))="","",INDEX(Backlog!$AN$2:$AN$188,MATCH($A161,Backlog!$A$2:$A$188,0)))</f>
        <v/>
      </c>
    </row>
    <row r="162" spans="1:10" ht="26.1" customHeight="1">
      <c r="A162" s="38" t="s">
        <v>1655</v>
      </c>
      <c r="B162" s="38" t="str">
        <f>IF(INDEX(Backlog!$B$2:$B$188,MATCH($A162,Backlog!$A$2:$A$188,0))="","",INDEX(Backlog!$B$2:$B$188,MATCH($A162,Backlog!$A$2:$A$188,0)))</f>
        <v>M3</v>
      </c>
      <c r="C162" s="38" t="str">
        <f>IF(INDEX(Backlog!$C$2:$C$188,MATCH($A162,Backlog!$A$2:$A$188,0))="","",INDEX(Backlog!$C$2:$C$188,MATCH($A162,Backlog!$A$2:$A$188,0)))</f>
        <v>P4</v>
      </c>
      <c r="D162" s="38" t="str">
        <f>IF(INDEX(Backlog!$L$2:$L$188,MATCH($A162,Backlog!$A$2:$A$188,0))="","",INDEX(Backlog!$L$2:$L$188,MATCH($A162,Backlog!$A$2:$A$188,0)))</f>
        <v>Worker 3</v>
      </c>
      <c r="E162" s="70" t="str">
        <f>IF(INDEX(Backlog!$K$2:$K$188,MATCH($A162,Backlog!$A$2:$A$188,0))="","",INDEX(Backlog!$K$2:$K$188,MATCH($A162,Backlog!$A$2:$A$188,0)))</f>
        <v>Not Started</v>
      </c>
      <c r="F162" s="38" t="str">
        <f>IF(ISNUMBER(INDEX(Backlog!$AT$2:$AT$188,MATCH($A162,Backlog!$A$2:$A$188,0))),INDEX(Backlog!$AT$2:$AT$188,MATCH($A162,Backlog!$A$2:$A$188,0)),"")</f>
        <v/>
      </c>
      <c r="G162" s="38" t="str">
        <f>IF(INDEX(Backlog!$M$2:$M$188,MATCH($A162,Backlog!$A$2:$A$188,0))="","",INDEX(Backlog!$M$2:$M$188,MATCH($A162,Backlog!$A$2:$A$188,0)))</f>
        <v>T-171; T-183; T-128; T-129; T-195; T-135</v>
      </c>
      <c r="H162" s="38" t="str">
        <f>IF(INDEX(Backlog!$N$2:$N$188,MATCH($A162,Backlog!$A$2:$A$188,0))="","",INDEX(Backlog!$N$2:$N$188,MATCH($A162,Backlog!$A$2:$A$188,0)))</f>
        <v>T-134; T-187; T-188; T-192</v>
      </c>
      <c r="I162" s="38" t="str">
        <f>IF(INDEX(Backlog!$T$2:$T$188,MATCH($A162,Backlog!$A$2:$A$188,0))="","",INDEX(Backlog!$T$2:$T$188,MATCH($A162,Backlog!$A$2:$A$188,0)))</f>
        <v>GATE PROSE INCOMPLETE — original text ends with an ellipsis. Do not infer omitted conditions. Column M lists completion prerequisites; AN/Contract Handoffs lists contract-only prerequisites. Full task acceptance in column I still applies. Recover the omitted prose before claiming this gate fully reconciled.
Preserved original fragment:
T-171 + T-183 + T-128/T-129 + T-195 canonical readiness thresholds + T-135 se...</v>
      </c>
      <c r="J162" s="32" t="str">
        <f>IF(INDEX(Backlog!$AN$2:$AN$188,MATCH($A162,Backlog!$A$2:$A$188,0))="","",INDEX(Backlog!$AN$2:$AN$188,MATCH($A162,Backlog!$A$2:$A$188,0)))</f>
        <v/>
      </c>
    </row>
    <row r="163" spans="1:10" ht="26.1" customHeight="1">
      <c r="A163" s="38" t="s">
        <v>912</v>
      </c>
      <c r="B163" s="38" t="str">
        <f>IF(INDEX(Backlog!$B$2:$B$188,MATCH($A163,Backlog!$A$2:$A$188,0))="","",INDEX(Backlog!$B$2:$B$188,MATCH($A163,Backlog!$A$2:$A$188,0)))</f>
        <v>M3</v>
      </c>
      <c r="C163" s="38" t="str">
        <f>IF(INDEX(Backlog!$C$2:$C$188,MATCH($A163,Backlog!$A$2:$A$188,0))="","",INDEX(Backlog!$C$2:$C$188,MATCH($A163,Backlog!$A$2:$A$188,0)))</f>
        <v>P4</v>
      </c>
      <c r="D163" s="38" t="str">
        <f>IF(INDEX(Backlog!$L$2:$L$188,MATCH($A163,Backlog!$A$2:$A$188,0))="","",INDEX(Backlog!$L$2:$L$188,MATCH($A163,Backlog!$A$2:$A$188,0)))</f>
        <v>Worker 3</v>
      </c>
      <c r="E163" s="70" t="str">
        <f>IF(INDEX(Backlog!$K$2:$K$188,MATCH($A163,Backlog!$A$2:$A$188,0))="","",INDEX(Backlog!$K$2:$K$188,MATCH($A163,Backlog!$A$2:$A$188,0)))</f>
        <v>Not Started</v>
      </c>
      <c r="F163" s="38">
        <f>IF(ISNUMBER(INDEX(Backlog!$AT$2:$AT$188,MATCH($A163,Backlog!$A$2:$A$188,0))),INDEX(Backlog!$AT$2:$AT$188,MATCH($A163,Backlog!$A$2:$A$188,0)),"")</f>
        <v>1.7999999999999998</v>
      </c>
      <c r="G163" s="38" t="str">
        <f>IF(INDEX(Backlog!$M$2:$M$188,MATCH($A163,Backlog!$A$2:$A$188,0))="","",INDEX(Backlog!$M$2:$M$188,MATCH($A163,Backlog!$A$2:$A$188,0)))</f>
        <v>T-168; T-169; T-170; T-171; T-172; T-173; T-174; T-175; T-176; T-183; T-184; T-185; T-186; T-107; T-109; T-112; T-114; T-135; T-195</v>
      </c>
      <c r="H163" s="38" t="str">
        <f>IF(INDEX(Backlog!$N$2:$N$188,MATCH($A163,Backlog!$A$2:$A$188,0))="","",INDEX(Backlog!$N$2:$N$188,MATCH($A163,Backlog!$A$2:$A$188,0)))</f>
        <v>T-139; T-141; T-191; T-192; T-193; T-246</v>
      </c>
      <c r="I163" s="38" t="str">
        <f>IF(INDEX(Backlog!$T$2:$T$188,MATCH($A163,Backlog!$A$2:$A$188,0))="","",INDEX(Backlog!$T$2:$T$188,MATCH($A163,Backlog!$A$2:$A$188,0)))</f>
        <v>T-107 + T-109 + T-168..T-176 + T-183..T-186 + T-112/T-114/T-135 + T-195.</v>
      </c>
      <c r="J163" s="32" t="str">
        <f>IF(INDEX(Backlog!$AN$2:$AN$188,MATCH($A163,Backlog!$A$2:$A$188,0))="","",INDEX(Backlog!$AN$2:$AN$188,MATCH($A163,Backlog!$A$2:$A$188,0)))</f>
        <v/>
      </c>
    </row>
    <row r="164" spans="1:10" ht="26.1" customHeight="1">
      <c r="A164" s="38" t="s">
        <v>1669</v>
      </c>
      <c r="B164" s="38" t="str">
        <f>IF(INDEX(Backlog!$B$2:$B$188,MATCH($A164,Backlog!$A$2:$A$188,0))="","",INDEX(Backlog!$B$2:$B$188,MATCH($A164,Backlog!$A$2:$A$188,0)))</f>
        <v>M3</v>
      </c>
      <c r="C164" s="38" t="str">
        <f>IF(INDEX(Backlog!$C$2:$C$188,MATCH($A164,Backlog!$A$2:$A$188,0))="","",INDEX(Backlog!$C$2:$C$188,MATCH($A164,Backlog!$A$2:$A$188,0)))</f>
        <v>P4</v>
      </c>
      <c r="D164" s="38" t="str">
        <f>IF(INDEX(Backlog!$L$2:$L$188,MATCH($A164,Backlog!$A$2:$A$188,0))="","",INDEX(Backlog!$L$2:$L$188,MATCH($A164,Backlog!$A$2:$A$188,0)))</f>
        <v>Worker 3</v>
      </c>
      <c r="E164" s="70" t="str">
        <f>IF(INDEX(Backlog!$K$2:$K$188,MATCH($A164,Backlog!$A$2:$A$188,0))="","",INDEX(Backlog!$K$2:$K$188,MATCH($A164,Backlog!$A$2:$A$188,0)))</f>
        <v>Not Started</v>
      </c>
      <c r="F164" s="38">
        <f>IF(ISNUMBER(INDEX(Backlog!$AT$2:$AT$188,MATCH($A164,Backlog!$A$2:$A$188,0))),INDEX(Backlog!$AT$2:$AT$188,MATCH($A164,Backlog!$A$2:$A$188,0)),"")</f>
        <v>1.6666666666666667</v>
      </c>
      <c r="G164" s="38" t="str">
        <f>IF(INDEX(Backlog!$M$2:$M$188,MATCH($A164,Backlog!$A$2:$A$188,0))="","",INDEX(Backlog!$M$2:$M$188,MATCH($A164,Backlog!$A$2:$A$188,0)))</f>
        <v>T-129; T-130; T-186; T-195</v>
      </c>
      <c r="H164" s="38" t="str">
        <f>IF(INDEX(Backlog!$N$2:$N$188,MATCH($A164,Backlog!$A$2:$A$188,0))="","",INDEX(Backlog!$N$2:$N$188,MATCH($A164,Backlog!$A$2:$A$188,0)))</f>
        <v>T-138; T-192</v>
      </c>
      <c r="I164" s="38" t="str">
        <f>IF(INDEX(Backlog!$T$2:$T$188,MATCH($A164,Backlog!$A$2:$A$188,0))="","",INDEX(Backlog!$T$2:$T$188,MATCH($A164,Backlog!$A$2:$A$188,0)))</f>
        <v>T-129 + T-130 + T-186 + T-195 + M1 continuity snapshots.</v>
      </c>
      <c r="J164" s="32" t="str">
        <f>IF(INDEX(Backlog!$AN$2:$AN$188,MATCH($A164,Backlog!$A$2:$A$188,0))="","",INDEX(Backlog!$AN$2:$AN$188,MATCH($A164,Backlog!$A$2:$A$188,0)))</f>
        <v/>
      </c>
    </row>
    <row r="165" spans="1:10" ht="26.1" customHeight="1">
      <c r="A165" s="38" t="s">
        <v>1562</v>
      </c>
      <c r="B165" s="38" t="str">
        <f>IF(INDEX(Backlog!$B$2:$B$188,MATCH($A165,Backlog!$A$2:$A$188,0))="","",INDEX(Backlog!$B$2:$B$188,MATCH($A165,Backlog!$A$2:$A$188,0)))</f>
        <v>M3</v>
      </c>
      <c r="C165" s="38" t="str">
        <f>IF(INDEX(Backlog!$C$2:$C$188,MATCH($A165,Backlog!$A$2:$A$188,0))="","",INDEX(Backlog!$C$2:$C$188,MATCH($A165,Backlog!$A$2:$A$188,0)))</f>
        <v>P4</v>
      </c>
      <c r="D165" s="38" t="str">
        <f>IF(INDEX(Backlog!$L$2:$L$188,MATCH($A165,Backlog!$A$2:$A$188,0))="","",INDEX(Backlog!$L$2:$L$188,MATCH($A165,Backlog!$A$2:$A$188,0)))</f>
        <v>Worker 3</v>
      </c>
      <c r="E165" s="70" t="str">
        <f>IF(INDEX(Backlog!$K$2:$K$188,MATCH($A165,Backlog!$A$2:$A$188,0))="","",INDEX(Backlog!$K$2:$K$188,MATCH($A165,Backlog!$A$2:$A$188,0)))</f>
        <v>Not Started</v>
      </c>
      <c r="F165" s="38">
        <f>IF(ISNUMBER(INDEX(Backlog!$AT$2:$AT$188,MATCH($A165,Backlog!$A$2:$A$188,0))),INDEX(Backlog!$AT$2:$AT$188,MATCH($A165,Backlog!$A$2:$A$188,0)),"")</f>
        <v>2</v>
      </c>
      <c r="G165" s="38" t="str">
        <f>IF(INDEX(Backlog!$M$2:$M$188,MATCH($A165,Backlog!$A$2:$A$188,0))="","",INDEX(Backlog!$M$2:$M$188,MATCH($A165,Backlog!$A$2:$A$188,0)))</f>
        <v>T-139; T-140; T-141; T-142; T-143</v>
      </c>
      <c r="H165" s="38" t="str">
        <f>IF(INDEX(Backlog!$N$2:$N$188,MATCH($A165,Backlog!$A$2:$A$188,0))="","",INDEX(Backlog!$N$2:$N$188,MATCH($A165,Backlog!$A$2:$A$188,0)))</f>
        <v>T-192</v>
      </c>
      <c r="I165" s="38" t="str">
        <f>IF(INDEX(Backlog!$T$2:$T$188,MATCH($A165,Backlog!$A$2:$A$188,0))="","",INDEX(Backlog!$T$2:$T$188,MATCH($A165,Backlog!$A$2:$A$188,0)))</f>
        <v>T-139..T-143 + M1 continuity snapshots</v>
      </c>
      <c r="J165" s="32" t="str">
        <f>IF(INDEX(Backlog!$AN$2:$AN$188,MATCH($A165,Backlog!$A$2:$A$188,0))="","",INDEX(Backlog!$AN$2:$AN$188,MATCH($A165,Backlog!$A$2:$A$188,0)))</f>
        <v/>
      </c>
    </row>
    <row r="166" spans="1:10" ht="26.1" customHeight="1">
      <c r="A166" s="38" t="s">
        <v>1685</v>
      </c>
      <c r="B166" s="38" t="str">
        <f>IF(INDEX(Backlog!$B$2:$B$188,MATCH($A166,Backlog!$A$2:$A$188,0))="","",INDEX(Backlog!$B$2:$B$188,MATCH($A166,Backlog!$A$2:$A$188,0)))</f>
        <v>M3</v>
      </c>
      <c r="C166" s="38" t="str">
        <f>IF(INDEX(Backlog!$C$2:$C$188,MATCH($A166,Backlog!$A$2:$A$188,0))="","",INDEX(Backlog!$C$2:$C$188,MATCH($A166,Backlog!$A$2:$A$188,0)))</f>
        <v>P4</v>
      </c>
      <c r="D166" s="38" t="str">
        <f>IF(INDEX(Backlog!$L$2:$L$188,MATCH($A166,Backlog!$A$2:$A$188,0))="","",INDEX(Backlog!$L$2:$L$188,MATCH($A166,Backlog!$A$2:$A$188,0)))</f>
        <v>Worker 3</v>
      </c>
      <c r="E166" s="70" t="str">
        <f>IF(INDEX(Backlog!$K$2:$K$188,MATCH($A166,Backlog!$A$2:$A$188,0))="","",INDEX(Backlog!$K$2:$K$188,MATCH($A166,Backlog!$A$2:$A$188,0)))</f>
        <v>Not Started</v>
      </c>
      <c r="F166" s="38" t="str">
        <f>IF(ISNUMBER(INDEX(Backlog!$AT$2:$AT$188,MATCH($A166,Backlog!$A$2:$A$188,0))),INDEX(Backlog!$AT$2:$AT$188,MATCH($A166,Backlog!$A$2:$A$188,0)),"")</f>
        <v/>
      </c>
      <c r="G166" s="38" t="str">
        <f>IF(INDEX(Backlog!$M$2:$M$188,MATCH($A166,Backlog!$A$2:$A$188,0))="","",INDEX(Backlog!$M$2:$M$188,MATCH($A166,Backlog!$A$2:$A$188,0)))</f>
        <v>T-142; T-143; T-144; T-145</v>
      </c>
      <c r="H166" s="38" t="str">
        <f>IF(INDEX(Backlog!$N$2:$N$188,MATCH($A166,Backlog!$A$2:$A$188,0))="","",INDEX(Backlog!$N$2:$N$188,MATCH($A166,Backlog!$A$2:$A$188,0)))</f>
        <v>T-192</v>
      </c>
      <c r="I166" s="38" t="str">
        <f>IF(INDEX(Backlog!$T$2:$T$188,MATCH($A166,Backlog!$A$2:$A$188,0))="","",INDEX(Backlog!$T$2:$T$188,MATCH($A166,Backlog!$A$2:$A$188,0)))</f>
        <v>T-142..T-145 + M1 continuity snapshots</v>
      </c>
      <c r="J166" s="32" t="str">
        <f>IF(INDEX(Backlog!$AN$2:$AN$188,MATCH($A166,Backlog!$A$2:$A$188,0))="","",INDEX(Backlog!$AN$2:$AN$188,MATCH($A166,Backlog!$A$2:$A$188,0)))</f>
        <v/>
      </c>
    </row>
    <row r="167" spans="1:10" ht="26.1" customHeight="1">
      <c r="A167" s="38" t="s">
        <v>1695</v>
      </c>
      <c r="B167" s="38" t="str">
        <f>IF(INDEX(Backlog!$B$2:$B$188,MATCH($A167,Backlog!$A$2:$A$188,0))="","",INDEX(Backlog!$B$2:$B$188,MATCH($A167,Backlog!$A$2:$A$188,0)))</f>
        <v>M3</v>
      </c>
      <c r="C167" s="38" t="str">
        <f>IF(INDEX(Backlog!$C$2:$C$188,MATCH($A167,Backlog!$A$2:$A$188,0))="","",INDEX(Backlog!$C$2:$C$188,MATCH($A167,Backlog!$A$2:$A$188,0)))</f>
        <v>P4</v>
      </c>
      <c r="D167" s="38" t="str">
        <f>IF(INDEX(Backlog!$L$2:$L$188,MATCH($A167,Backlog!$A$2:$A$188,0))="","",INDEX(Backlog!$L$2:$L$188,MATCH($A167,Backlog!$A$2:$A$188,0)))</f>
        <v>Worker 3</v>
      </c>
      <c r="E167" s="70" t="str">
        <f>IF(INDEX(Backlog!$K$2:$K$188,MATCH($A167,Backlog!$A$2:$A$188,0))="","",INDEX(Backlog!$K$2:$K$188,MATCH($A167,Backlog!$A$2:$A$188,0)))</f>
        <v>Not Started</v>
      </c>
      <c r="F167" s="38">
        <f>IF(ISNUMBER(INDEX(Backlog!$AT$2:$AT$188,MATCH($A167,Backlog!$A$2:$A$188,0))),INDEX(Backlog!$AT$2:$AT$188,MATCH($A167,Backlog!$A$2:$A$188,0)),"")</f>
        <v>1.7999999999999998</v>
      </c>
      <c r="G167" s="38" t="str">
        <f>IF(INDEX(Backlog!$M$2:$M$188,MATCH($A167,Backlog!$A$2:$A$188,0))="","",INDEX(Backlog!$M$2:$M$188,MATCH($A167,Backlog!$A$2:$A$188,0)))</f>
        <v>T-130; T-176; T-187</v>
      </c>
      <c r="H167" s="38" t="str">
        <f>IF(INDEX(Backlog!$N$2:$N$188,MATCH($A167,Backlog!$A$2:$A$188,0))="","",INDEX(Backlog!$N$2:$N$188,MATCH($A167,Backlog!$A$2:$A$188,0)))</f>
        <v>T-192</v>
      </c>
      <c r="I167" s="38" t="str">
        <f>IF(INDEX(Backlog!$T$2:$T$188,MATCH($A167,Backlog!$A$2:$A$188,0))="","",INDEX(Backlog!$T$2:$T$188,MATCH($A167,Backlog!$A$2:$A$188,0)))</f>
        <v>T-130 + T-176 + T-187</v>
      </c>
      <c r="J167" s="32" t="str">
        <f>IF(INDEX(Backlog!$AN$2:$AN$188,MATCH($A167,Backlog!$A$2:$A$188,0))="","",INDEX(Backlog!$AN$2:$AN$188,MATCH($A167,Backlog!$A$2:$A$188,0)))</f>
        <v/>
      </c>
    </row>
    <row r="168" spans="1:10" ht="26.1" customHeight="1">
      <c r="A168" s="38" t="s">
        <v>1683</v>
      </c>
      <c r="B168" s="38" t="str">
        <f>IF(INDEX(Backlog!$B$2:$B$188,MATCH($A168,Backlog!$A$2:$A$188,0))="","",INDEX(Backlog!$B$2:$B$188,MATCH($A168,Backlog!$A$2:$A$188,0)))</f>
        <v>M3</v>
      </c>
      <c r="C168" s="38" t="str">
        <f>IF(INDEX(Backlog!$C$2:$C$188,MATCH($A168,Backlog!$A$2:$A$188,0))="","",INDEX(Backlog!$C$2:$C$188,MATCH($A168,Backlog!$A$2:$A$188,0)))</f>
        <v>P4</v>
      </c>
      <c r="D168" s="38" t="str">
        <f>IF(INDEX(Backlog!$L$2:$L$188,MATCH($A168,Backlog!$A$2:$A$188,0))="","",INDEX(Backlog!$L$2:$L$188,MATCH($A168,Backlog!$A$2:$A$188,0)))</f>
        <v>Worker 3</v>
      </c>
      <c r="E168" s="70" t="str">
        <f>IF(INDEX(Backlog!$K$2:$K$188,MATCH($A168,Backlog!$A$2:$A$188,0))="","",INDEX(Backlog!$K$2:$K$188,MATCH($A168,Backlog!$A$2:$A$188,0)))</f>
        <v>Not Started</v>
      </c>
      <c r="F168" s="38">
        <f>IF(ISNUMBER(INDEX(Backlog!$AT$2:$AT$188,MATCH($A168,Backlog!$A$2:$A$188,0))),INDEX(Backlog!$AT$2:$AT$188,MATCH($A168,Backlog!$A$2:$A$188,0)),"")</f>
        <v>1.7</v>
      </c>
      <c r="G168" s="38" t="str">
        <f>IF(INDEX(Backlog!$M$2:$M$188,MATCH($A168,Backlog!$A$2:$A$188,0))="","",INDEX(Backlog!$M$2:$M$188,MATCH($A168,Backlog!$A$2:$A$188,0)))</f>
        <v>T-183; T-184; T-185; T-186; T-187; T-188; T-189; T-190; T-191; T-107; T-122</v>
      </c>
      <c r="H168" s="38" t="str">
        <f>IF(INDEX(Backlog!$N$2:$N$188,MATCH($A168,Backlog!$A$2:$A$188,0))="","",INDEX(Backlog!$N$2:$N$188,MATCH($A168,Backlog!$A$2:$A$188,0)))</f>
        <v/>
      </c>
      <c r="I168" s="38" t="str">
        <f>IF(INDEX(Backlog!$T$2:$T$188,MATCH($A168,Backlog!$A$2:$A$188,0))="","",INDEX(Backlog!$T$2:$T$188,MATCH($A168,Backlog!$A$2:$A$188,0)))</f>
        <v>T-183..T-191 + T-107/T-122 as applicable</v>
      </c>
      <c r="J168" s="32" t="str">
        <f>IF(INDEX(Backlog!$AN$2:$AN$188,MATCH($A168,Backlog!$A$2:$A$188,0))="","",INDEX(Backlog!$AN$2:$AN$188,MATCH($A168,Backlog!$A$2:$A$188,0)))</f>
        <v/>
      </c>
    </row>
    <row r="169" spans="1:10" ht="26.1" customHeight="1">
      <c r="A169" s="38" t="s">
        <v>1710</v>
      </c>
      <c r="B169" s="38" t="str">
        <f>IF(INDEX(Backlog!$B$2:$B$188,MATCH($A169,Backlog!$A$2:$A$188,0))="","",INDEX(Backlog!$B$2:$B$188,MATCH($A169,Backlog!$A$2:$A$188,0)))</f>
        <v>M3</v>
      </c>
      <c r="C169" s="38" t="str">
        <f>IF(INDEX(Backlog!$C$2:$C$188,MATCH($A169,Backlog!$A$2:$A$188,0))="","",INDEX(Backlog!$C$2:$C$188,MATCH($A169,Backlog!$A$2:$A$188,0)))</f>
        <v>P4</v>
      </c>
      <c r="D169" s="38" t="str">
        <f>IF(INDEX(Backlog!$L$2:$L$188,MATCH($A169,Backlog!$A$2:$A$188,0))="","",INDEX(Backlog!$L$2:$L$188,MATCH($A169,Backlog!$A$2:$A$188,0)))</f>
        <v>Worker 3</v>
      </c>
      <c r="E169" s="70" t="str">
        <f>IF(INDEX(Backlog!$K$2:$K$188,MATCH($A169,Backlog!$A$2:$A$188,0))="","",INDEX(Backlog!$K$2:$K$188,MATCH($A169,Backlog!$A$2:$A$188,0)))</f>
        <v>Not Started</v>
      </c>
      <c r="F169" s="38">
        <f>IF(ISNUMBER(INDEX(Backlog!$AT$2:$AT$188,MATCH($A169,Backlog!$A$2:$A$188,0))),INDEX(Backlog!$AT$2:$AT$188,MATCH($A169,Backlog!$A$2:$A$188,0)),"")</f>
        <v>1.5</v>
      </c>
      <c r="G169" s="38" t="str">
        <f>IF(INDEX(Backlog!$M$2:$M$188,MATCH($A169,Backlog!$A$2:$A$188,0))="","",INDEX(Backlog!$M$2:$M$188,MATCH($A169,Backlog!$A$2:$A$188,0)))</f>
        <v>T-130; T-187; T-139; T-145</v>
      </c>
      <c r="H169" s="38" t="str">
        <f>IF(INDEX(Backlog!$N$2:$N$188,MATCH($A169,Backlog!$A$2:$A$188,0))="","",INDEX(Backlog!$N$2:$N$188,MATCH($A169,Backlog!$A$2:$A$188,0)))</f>
        <v>T-249</v>
      </c>
      <c r="I169" s="38" t="str">
        <f>IF(INDEX(Backlog!$T$2:$T$188,MATCH($A169,Backlog!$A$2:$A$188,0))="","",INDEX(Backlog!$T$2:$T$188,MATCH($A169,Backlog!$A$2:$A$188,0)))</f>
        <v>T-130 + T-187 + T-139/T-145</v>
      </c>
      <c r="J169" s="32" t="str">
        <f>IF(INDEX(Backlog!$AN$2:$AN$188,MATCH($A169,Backlog!$A$2:$A$188,0))="","",INDEX(Backlog!$AN$2:$AN$188,MATCH($A169,Backlog!$A$2:$A$188,0)))</f>
        <v/>
      </c>
    </row>
    <row r="170" spans="1:10" ht="26.1" customHeight="1">
      <c r="A170" s="38" t="s">
        <v>1718</v>
      </c>
      <c r="B170" s="38" t="str">
        <f>IF(INDEX(Backlog!$B$2:$B$188,MATCH($A170,Backlog!$A$2:$A$188,0))="","",INDEX(Backlog!$B$2:$B$188,MATCH($A170,Backlog!$A$2:$A$188,0)))</f>
        <v>M3</v>
      </c>
      <c r="C170" s="38" t="str">
        <f>IF(INDEX(Backlog!$C$2:$C$188,MATCH($A170,Backlog!$A$2:$A$188,0))="","",INDEX(Backlog!$C$2:$C$188,MATCH($A170,Backlog!$A$2:$A$188,0)))</f>
        <v>P4</v>
      </c>
      <c r="D170" s="38" t="str">
        <f>IF(INDEX(Backlog!$L$2:$L$188,MATCH($A170,Backlog!$A$2:$A$188,0))="","",INDEX(Backlog!$L$2:$L$188,MATCH($A170,Backlog!$A$2:$A$188,0)))</f>
        <v>Worker 3</v>
      </c>
      <c r="E170" s="70" t="str">
        <f>IF(INDEX(Backlog!$K$2:$K$188,MATCH($A170,Backlog!$A$2:$A$188,0))="","",INDEX(Backlog!$K$2:$K$188,MATCH($A170,Backlog!$A$2:$A$188,0)))</f>
        <v>Not Started</v>
      </c>
      <c r="F170" s="38">
        <f>IF(ISNUMBER(INDEX(Backlog!$AT$2:$AT$188,MATCH($A170,Backlog!$A$2:$A$188,0))),INDEX(Backlog!$AT$2:$AT$188,MATCH($A170,Backlog!$A$2:$A$188,0)),"")</f>
        <v>1.5</v>
      </c>
      <c r="G170" s="38" t="str">
        <f>IF(INDEX(Backlog!$M$2:$M$188,MATCH($A170,Backlog!$A$2:$A$188,0))="","",INDEX(Backlog!$M$2:$M$188,MATCH($A170,Backlog!$A$2:$A$188,0)))</f>
        <v>T-090; T-112; T-114</v>
      </c>
      <c r="H170" s="38" t="str">
        <f>IF(INDEX(Backlog!$N$2:$N$188,MATCH($A170,Backlog!$A$2:$A$188,0))="","",INDEX(Backlog!$N$2:$N$188,MATCH($A170,Backlog!$A$2:$A$188,0)))</f>
        <v>T-186; T-187; T-188</v>
      </c>
      <c r="I170" s="38" t="str">
        <f>IF(INDEX(Backlog!$T$2:$T$188,MATCH($A170,Backlog!$A$2:$A$188,0))="","",INDEX(Backlog!$T$2:$T$188,MATCH($A170,Backlog!$A$2:$A$188,0)))</f>
        <v>T-090 + T-112 + T-114</v>
      </c>
      <c r="J170" s="32" t="str">
        <f>IF(INDEX(Backlog!$AN$2:$AN$188,MATCH($A170,Backlog!$A$2:$A$188,0))="","",INDEX(Backlog!$AN$2:$AN$188,MATCH($A170,Backlog!$A$2:$A$188,0)))</f>
        <v/>
      </c>
    </row>
    <row r="171" spans="1:10" ht="26.1" customHeight="1">
      <c r="A171" s="38" t="s">
        <v>1726</v>
      </c>
      <c r="B171" s="38" t="str">
        <f>IF(INDEX(Backlog!$B$2:$B$188,MATCH($A171,Backlog!$A$2:$A$188,0))="","",INDEX(Backlog!$B$2:$B$188,MATCH($A171,Backlog!$A$2:$A$188,0)))</f>
        <v>M3</v>
      </c>
      <c r="C171" s="38" t="str">
        <f>IF(INDEX(Backlog!$C$2:$C$188,MATCH($A171,Backlog!$A$2:$A$188,0))="","",INDEX(Backlog!$C$2:$C$188,MATCH($A171,Backlog!$A$2:$A$188,0)))</f>
        <v>P4</v>
      </c>
      <c r="D171" s="38" t="str">
        <f>IF(INDEX(Backlog!$L$2:$L$188,MATCH($A171,Backlog!$A$2:$A$188,0))="","",INDEX(Backlog!$L$2:$L$188,MATCH($A171,Backlog!$A$2:$A$188,0)))</f>
        <v>Worker 3</v>
      </c>
      <c r="E171" s="70" t="str">
        <f>IF(INDEX(Backlog!$K$2:$K$188,MATCH($A171,Backlog!$A$2:$A$188,0))="","",INDEX(Backlog!$K$2:$K$188,MATCH($A171,Backlog!$A$2:$A$188,0)))</f>
        <v>Not Started</v>
      </c>
      <c r="F171" s="38">
        <f>IF(ISNUMBER(INDEX(Backlog!$AT$2:$AT$188,MATCH($A171,Backlog!$A$2:$A$188,0))),INDEX(Backlog!$AT$2:$AT$188,MATCH($A171,Backlog!$A$2:$A$188,0)),"")</f>
        <v>3.2</v>
      </c>
      <c r="G171" s="38" t="str">
        <f>IF(INDEX(Backlog!$M$2:$M$188,MATCH($A171,Backlog!$A$2:$A$188,0))="","",INDEX(Backlog!$M$2:$M$188,MATCH($A171,Backlog!$A$2:$A$188,0)))</f>
        <v>T-208; T-214</v>
      </c>
      <c r="H171" s="38" t="str">
        <f>IF(INDEX(Backlog!$N$2:$N$188,MATCH($A171,Backlog!$A$2:$A$188,0))="","",INDEX(Backlog!$N$2:$N$188,MATCH($A171,Backlog!$A$2:$A$188,0)))</f>
        <v>T-239; T-240</v>
      </c>
      <c r="I171" s="38" t="str">
        <f>IF(INDEX(Backlog!$T$2:$T$188,MATCH($A171,Backlog!$A$2:$A$188,0))="","",INDEX(Backlog!$T$2:$T$188,MATCH($A171,Backlog!$A$2:$A$188,0)))</f>
        <v>May start after T-214 contract; does not block September demo.</v>
      </c>
      <c r="J171" s="32" t="str">
        <f>IF(INDEX(Backlog!$AN$2:$AN$188,MATCH($A171,Backlog!$A$2:$A$188,0))="","",INDEX(Backlog!$AN$2:$AN$188,MATCH($A171,Backlog!$A$2:$A$188,0)))</f>
        <v/>
      </c>
    </row>
    <row r="172" spans="1:10" ht="26.1" customHeight="1">
      <c r="A172" s="38" t="s">
        <v>1737</v>
      </c>
      <c r="B172" s="38" t="str">
        <f>IF(INDEX(Backlog!$B$2:$B$188,MATCH($A172,Backlog!$A$2:$A$188,0))="","",INDEX(Backlog!$B$2:$B$188,MATCH($A172,Backlog!$A$2:$A$188,0)))</f>
        <v>M3</v>
      </c>
      <c r="C172" s="38" t="str">
        <f>IF(INDEX(Backlog!$C$2:$C$188,MATCH($A172,Backlog!$A$2:$A$188,0))="","",INDEX(Backlog!$C$2:$C$188,MATCH($A172,Backlog!$A$2:$A$188,0)))</f>
        <v>P4</v>
      </c>
      <c r="D172" s="38" t="str">
        <f>IF(INDEX(Backlog!$L$2:$L$188,MATCH($A172,Backlog!$A$2:$A$188,0))="","",INDEX(Backlog!$L$2:$L$188,MATCH($A172,Backlog!$A$2:$A$188,0)))</f>
        <v>Worker 1</v>
      </c>
      <c r="E172" s="70" t="str">
        <f>IF(INDEX(Backlog!$K$2:$K$188,MATCH($A172,Backlog!$A$2:$A$188,0))="","",INDEX(Backlog!$K$2:$K$188,MATCH($A172,Backlog!$A$2:$A$188,0)))</f>
        <v>Not Started</v>
      </c>
      <c r="F172" s="38">
        <f>IF(ISNUMBER(INDEX(Backlog!$AT$2:$AT$188,MATCH($A172,Backlog!$A$2:$A$188,0))),INDEX(Backlog!$AT$2:$AT$188,MATCH($A172,Backlog!$A$2:$A$188,0)),"")</f>
        <v>3.4</v>
      </c>
      <c r="G172" s="38" t="str">
        <f>IF(INDEX(Backlog!$M$2:$M$188,MATCH($A172,Backlog!$A$2:$A$188,0))="","",INDEX(Backlog!$M$2:$M$188,MATCH($A172,Backlog!$A$2:$A$188,0)))</f>
        <v>T-090; T-214; T-238</v>
      </c>
      <c r="H172" s="38" t="str">
        <f>IF(INDEX(Backlog!$N$2:$N$188,MATCH($A172,Backlog!$A$2:$A$188,0))="","",INDEX(Backlog!$N$2:$N$188,MATCH($A172,Backlog!$A$2:$A$188,0)))</f>
        <v>T-240</v>
      </c>
      <c r="I172" s="38" t="str">
        <f>IF(INDEX(Backlog!$T$2:$T$188,MATCH($A172,Backlog!$A$2:$A$188,0))="","",INDEX(Backlog!$T$2:$T$188,MATCH($A172,Backlog!$A$2:$A$188,0)))</f>
        <v>After T-090 + frozen T-214/T-238 contracts.</v>
      </c>
      <c r="J172" s="32" t="str">
        <f>IF(INDEX(Backlog!$AN$2:$AN$188,MATCH($A172,Backlog!$A$2:$A$188,0))="","",INDEX(Backlog!$AN$2:$AN$188,MATCH($A172,Backlog!$A$2:$A$188,0)))</f>
        <v/>
      </c>
    </row>
    <row r="173" spans="1:10" ht="26.1" customHeight="1">
      <c r="A173" s="38" t="s">
        <v>1743</v>
      </c>
      <c r="B173" s="38" t="str">
        <f>IF(INDEX(Backlog!$B$2:$B$188,MATCH($A173,Backlog!$A$2:$A$188,0))="","",INDEX(Backlog!$B$2:$B$188,MATCH($A173,Backlog!$A$2:$A$188,0)))</f>
        <v>M3</v>
      </c>
      <c r="C173" s="38" t="str">
        <f>IF(INDEX(Backlog!$C$2:$C$188,MATCH($A173,Backlog!$A$2:$A$188,0))="","",INDEX(Backlog!$C$2:$C$188,MATCH($A173,Backlog!$A$2:$A$188,0)))</f>
        <v>P4</v>
      </c>
      <c r="D173" s="38" t="str">
        <f>IF(INDEX(Backlog!$L$2:$L$188,MATCH($A173,Backlog!$A$2:$A$188,0))="","",INDEX(Backlog!$L$2:$L$188,MATCH($A173,Backlog!$A$2:$A$188,0)))</f>
        <v>Worker 3</v>
      </c>
      <c r="E173" s="70" t="str">
        <f>IF(INDEX(Backlog!$K$2:$K$188,MATCH($A173,Backlog!$A$2:$A$188,0))="","",INDEX(Backlog!$K$2:$K$188,MATCH($A173,Backlog!$A$2:$A$188,0)))</f>
        <v>Not Started</v>
      </c>
      <c r="F173" s="38">
        <f>IF(ISNUMBER(INDEX(Backlog!$AT$2:$AT$188,MATCH($A173,Backlog!$A$2:$A$188,0))),INDEX(Backlog!$AT$2:$AT$188,MATCH($A173,Backlog!$A$2:$A$188,0)),"")</f>
        <v>5.0999999999999996</v>
      </c>
      <c r="G173" s="38" t="str">
        <f>IF(INDEX(Backlog!$M$2:$M$188,MATCH($A173,Backlog!$A$2:$A$188,0))="","",INDEX(Backlog!$M$2:$M$188,MATCH($A173,Backlog!$A$2:$A$188,0)))</f>
        <v>T-131; T-132; T-133; T-238; T-239</v>
      </c>
      <c r="H173" s="38" t="str">
        <f>IF(INDEX(Backlog!$N$2:$N$188,MATCH($A173,Backlog!$A$2:$A$188,0))="","",INDEX(Backlog!$N$2:$N$188,MATCH($A173,Backlog!$A$2:$A$188,0)))</f>
        <v>T-249; T-264</v>
      </c>
      <c r="I173" s="38" t="str">
        <f>IF(INDEX(Backlog!$T$2:$T$188,MATCH($A173,Backlog!$A$2:$A$188,0))="","",INDEX(Backlog!$T$2:$T$188,MATCH($A173,Backlog!$A$2:$A$188,0)))</f>
        <v>After practice core + objective persistence.</v>
      </c>
      <c r="J173" s="32" t="str">
        <f>IF(INDEX(Backlog!$AN$2:$AN$188,MATCH($A173,Backlog!$A$2:$A$188,0))="","",INDEX(Backlog!$AN$2:$AN$188,MATCH($A173,Backlog!$A$2:$A$188,0)))</f>
        <v/>
      </c>
    </row>
    <row r="174" spans="1:10" ht="26.1" customHeight="1">
      <c r="A174" s="38" t="s">
        <v>1757</v>
      </c>
      <c r="B174" s="38" t="str">
        <f>IF(INDEX(Backlog!$B$2:$B$188,MATCH($A174,Backlog!$A$2:$A$188,0))="","",INDEX(Backlog!$B$2:$B$188,MATCH($A174,Backlog!$A$2:$A$188,0)))</f>
        <v>M3</v>
      </c>
      <c r="C174" s="38" t="str">
        <f>IF(INDEX(Backlog!$C$2:$C$188,MATCH($A174,Backlog!$A$2:$A$188,0))="","",INDEX(Backlog!$C$2:$C$188,MATCH($A174,Backlog!$A$2:$A$188,0)))</f>
        <v>P4</v>
      </c>
      <c r="D174" s="38" t="str">
        <f>IF(INDEX(Backlog!$L$2:$L$188,MATCH($A174,Backlog!$A$2:$A$188,0))="","",INDEX(Backlog!$L$2:$L$188,MATCH($A174,Backlog!$A$2:$A$188,0)))</f>
        <v>Worker 2</v>
      </c>
      <c r="E174" s="70" t="str">
        <f>IF(INDEX(Backlog!$K$2:$K$188,MATCH($A174,Backlog!$A$2:$A$188,0))="","",INDEX(Backlog!$K$2:$K$188,MATCH($A174,Backlog!$A$2:$A$188,0)))</f>
        <v>Not Started</v>
      </c>
      <c r="F174" s="38">
        <f>IF(ISNUMBER(INDEX(Backlog!$AT$2:$AT$188,MATCH($A174,Backlog!$A$2:$A$188,0))),INDEX(Backlog!$AT$2:$AT$188,MATCH($A174,Backlog!$A$2:$A$188,0)),"")</f>
        <v>4.7</v>
      </c>
      <c r="G174" s="38" t="str">
        <f>IF(INDEX(Backlog!$M$2:$M$188,MATCH($A174,Backlog!$A$2:$A$188,0))="","",INDEX(Backlog!$M$2:$M$188,MATCH($A174,Backlog!$A$2:$A$188,0)))</f>
        <v>T-243; T-130; T-137; T-187</v>
      </c>
      <c r="H174" s="38" t="str">
        <f>IF(INDEX(Backlog!$N$2:$N$188,MATCH($A174,Backlog!$A$2:$A$188,0))="","",INDEX(Backlog!$N$2:$N$188,MATCH($A174,Backlog!$A$2:$A$188,0)))</f>
        <v>T-249</v>
      </c>
      <c r="I174" s="38" t="str">
        <f>IF(INDEX(Backlog!$T$2:$T$188,MATCH($A174,Backlog!$A$2:$A$188,0))="","",INDEX(Backlog!$T$2:$T$188,MATCH($A174,Backlog!$A$2:$A$188,0)))</f>
        <v>Consume accepted producer contracts; remaining dependencies: T-243; T-130; T-137; T-187. No private scheduler/definition authority. Source-present is not closure proof.</v>
      </c>
      <c r="J174" s="32" t="str">
        <f>IF(INDEX(Backlog!$AN$2:$AN$188,MATCH($A174,Backlog!$A$2:$A$188,0))="","",INDEX(Backlog!$AN$2:$AN$188,MATCH($A174,Backlog!$A$2:$A$188,0)))</f>
        <v/>
      </c>
    </row>
    <row r="175" spans="1:10" ht="26.1" customHeight="1">
      <c r="A175" s="38" t="s">
        <v>1766</v>
      </c>
      <c r="B175" s="38" t="str">
        <f>IF(INDEX(Backlog!$B$2:$B$188,MATCH($A175,Backlog!$A$2:$A$188,0))="","",INDEX(Backlog!$B$2:$B$188,MATCH($A175,Backlog!$A$2:$A$188,0)))</f>
        <v>M3</v>
      </c>
      <c r="C175" s="38" t="str">
        <f>IF(INDEX(Backlog!$C$2:$C$188,MATCH($A175,Backlog!$A$2:$A$188,0))="","",INDEX(Backlog!$C$2:$C$188,MATCH($A175,Backlog!$A$2:$A$188,0)))</f>
        <v>P4</v>
      </c>
      <c r="D175" s="38" t="str">
        <f>IF(INDEX(Backlog!$L$2:$L$188,MATCH($A175,Backlog!$A$2:$A$188,0))="","",INDEX(Backlog!$L$2:$L$188,MATCH($A175,Backlog!$A$2:$A$188,0)))</f>
        <v>Worker 3</v>
      </c>
      <c r="E175" s="70" t="str">
        <f>IF(INDEX(Backlog!$K$2:$K$188,MATCH($A175,Backlog!$A$2:$A$188,0))="","",INDEX(Backlog!$K$2:$K$188,MATCH($A175,Backlog!$A$2:$A$188,0)))</f>
        <v>Not Started</v>
      </c>
      <c r="F175" s="38" t="str">
        <f>IF(ISNUMBER(INDEX(Backlog!$AT$2:$AT$188,MATCH($A175,Backlog!$A$2:$A$188,0))),INDEX(Backlog!$AT$2:$AT$188,MATCH($A175,Backlog!$A$2:$A$188,0)),"")</f>
        <v/>
      </c>
      <c r="G175" s="38" t="str">
        <f>IF(INDEX(Backlog!$M$2:$M$188,MATCH($A175,Backlog!$A$2:$A$188,0))="","",INDEX(Backlog!$M$2:$M$188,MATCH($A175,Backlog!$A$2:$A$188,0)))</f>
        <v>T-214; T-240</v>
      </c>
      <c r="H175" s="38" t="str">
        <f>IF(INDEX(Backlog!$N$2:$N$188,MATCH($A175,Backlog!$A$2:$A$188,0))="","",INDEX(Backlog!$N$2:$N$188,MATCH($A175,Backlog!$A$2:$A$188,0)))</f>
        <v>T-249</v>
      </c>
      <c r="I175" s="38" t="str">
        <f>IF(INDEX(Backlog!$T$2:$T$188,MATCH($A175,Backlog!$A$2:$A$188,0))="","",INDEX(Backlog!$T$2:$T$188,MATCH($A175,Backlog!$A$2:$A$188,0)))</f>
        <v>Consume accepted producer contracts; remaining dependencies: T-214; T-240. No private scheduler/definition authority. Source-present is not closure proof.</v>
      </c>
      <c r="J175" s="32" t="str">
        <f>IF(INDEX(Backlog!$AN$2:$AN$188,MATCH($A175,Backlog!$A$2:$A$188,0))="","",INDEX(Backlog!$AN$2:$AN$188,MATCH($A175,Backlog!$A$2:$A$188,0)))</f>
        <v/>
      </c>
    </row>
    <row r="176" spans="1:10" ht="26.1" customHeight="1">
      <c r="A176" s="38" t="s">
        <v>1775</v>
      </c>
      <c r="B176" s="38" t="str">
        <f>IF(INDEX(Backlog!$B$2:$B$188,MATCH($A176,Backlog!$A$2:$A$188,0))="","",INDEX(Backlog!$B$2:$B$188,MATCH($A176,Backlog!$A$2:$A$188,0)))</f>
        <v>M3</v>
      </c>
      <c r="C176" s="38" t="str">
        <f>IF(INDEX(Backlog!$C$2:$C$188,MATCH($A176,Backlog!$A$2:$A$188,0))="","",INDEX(Backlog!$C$2:$C$188,MATCH($A176,Backlog!$A$2:$A$188,0)))</f>
        <v>P5</v>
      </c>
      <c r="D176" s="38" t="str">
        <f>IF(INDEX(Backlog!$L$2:$L$188,MATCH($A176,Backlog!$A$2:$A$188,0))="","",INDEX(Backlog!$L$2:$L$188,MATCH($A176,Backlog!$A$2:$A$188,0)))</f>
        <v>Worker 2</v>
      </c>
      <c r="E176" s="70" t="str">
        <f>IF(INDEX(Backlog!$K$2:$K$188,MATCH($A176,Backlog!$A$2:$A$188,0))="","",INDEX(Backlog!$K$2:$K$188,MATCH($A176,Backlog!$A$2:$A$188,0)))</f>
        <v>Not Started</v>
      </c>
      <c r="F176" s="38">
        <f>IF(ISNUMBER(INDEX(Backlog!$AT$2:$AT$188,MATCH($A176,Backlog!$A$2:$A$188,0))),INDEX(Backlog!$AT$2:$AT$188,MATCH($A176,Backlog!$A$2:$A$188,0)),"")</f>
        <v>7.2</v>
      </c>
      <c r="G176" s="38" t="str">
        <f>IF(INDEX(Backlog!$M$2:$M$188,MATCH($A176,Backlog!$A$2:$A$188,0))="","",INDEX(Backlog!$M$2:$M$188,MATCH($A176,Backlog!$A$2:$A$188,0)))</f>
        <v/>
      </c>
      <c r="H176" s="38" t="str">
        <f>IF(INDEX(Backlog!$N$2:$N$188,MATCH($A176,Backlog!$A$2:$A$188,0))="","",INDEX(Backlog!$N$2:$N$188,MATCH($A176,Backlog!$A$2:$A$188,0)))</f>
        <v>T-249</v>
      </c>
      <c r="I176" s="38" t="str">
        <f>IF(INDEX(Backlog!$T$2:$T$188,MATCH($A176,Backlog!$A$2:$A$188,0))="","",INDEX(Backlog!$T$2:$T$188,MATCH($A176,Backlog!$A$2:$A$188,0)))</f>
        <v>WAIT for deployed Release 1 + real customer/site evidence. M3 sequence</v>
      </c>
      <c r="J176" s="32" t="str">
        <f>IF(INDEX(Backlog!$AN$2:$AN$188,MATCH($A176,Backlog!$A$2:$A$188,0))="","",INDEX(Backlog!$AN$2:$AN$188,MATCH($A176,Backlog!$A$2:$A$188,0)))</f>
        <v/>
      </c>
    </row>
    <row r="177" spans="1:10" ht="26.1" customHeight="1">
      <c r="A177" s="38" t="s">
        <v>1248</v>
      </c>
      <c r="B177" s="38" t="str">
        <f>IF(INDEX(Backlog!$B$2:$B$188,MATCH($A177,Backlog!$A$2:$A$188,0))="","",INDEX(Backlog!$B$2:$B$188,MATCH($A177,Backlog!$A$2:$A$188,0)))</f>
        <v>M3</v>
      </c>
      <c r="C177" s="38" t="str">
        <f>IF(INDEX(Backlog!$C$2:$C$188,MATCH($A177,Backlog!$A$2:$A$188,0))="","",INDEX(Backlog!$C$2:$C$188,MATCH($A177,Backlog!$A$2:$A$188,0)))</f>
        <v>P5</v>
      </c>
      <c r="D177" s="38" t="str">
        <f>IF(INDEX(Backlog!$L$2:$L$188,MATCH($A177,Backlog!$A$2:$A$188,0))="","",INDEX(Backlog!$L$2:$L$188,MATCH($A177,Backlog!$A$2:$A$188,0)))</f>
        <v>Worker 1</v>
      </c>
      <c r="E177" s="70" t="str">
        <f>IF(INDEX(Backlog!$K$2:$K$188,MATCH($A177,Backlog!$A$2:$A$188,0))="","",INDEX(Backlog!$K$2:$K$188,MATCH($A177,Backlog!$A$2:$A$188,0)))</f>
        <v>Not Started</v>
      </c>
      <c r="F177" s="38">
        <f>IF(ISNUMBER(INDEX(Backlog!$AT$2:$AT$188,MATCH($A177,Backlog!$A$2:$A$188,0))),INDEX(Backlog!$AT$2:$AT$188,MATCH($A177,Backlog!$A$2:$A$188,0)),"")</f>
        <v>6</v>
      </c>
      <c r="G177" s="38" t="str">
        <f>IF(INDEX(Backlog!$M$2:$M$188,MATCH($A177,Backlog!$A$2:$A$188,0))="","",INDEX(Backlog!$M$2:$M$188,MATCH($A177,Backlog!$A$2:$A$188,0)))</f>
        <v>T-153; T-159; T-160; T-161; T-162; T-163; T-164; T-167; T-193; T-230; T-240; T-248; T-263; T-264; T-246; T-110; T-267</v>
      </c>
      <c r="H177" s="38" t="str">
        <f>IF(INDEX(Backlog!$N$2:$N$188,MATCH($A177,Backlog!$A$2:$A$188,0))="","",INDEX(Backlog!$N$2:$N$188,MATCH($A177,Backlog!$A$2:$A$188,0)))</f>
        <v/>
      </c>
      <c r="I177" s="38" t="str">
        <f>IF(INDEX(Backlog!$T$2:$T$188,MATCH($A177,Backlog!$A$2:$A$188,0))="","",INDEX(Backlog!$T$2:$T$188,MATCH($A177,Backlog!$A$2:$A$188,0)))</f>
        <v>After all M3 MUST gates</v>
      </c>
      <c r="J177" s="32" t="str">
        <f>IF(INDEX(Backlog!$AN$2:$AN$188,MATCH($A177,Backlog!$A$2:$A$188,0))="","",INDEX(Backlog!$AN$2:$AN$188,MATCH($A177,Backlog!$A$2:$A$188,0)))</f>
        <v/>
      </c>
    </row>
    <row r="178" spans="1:10">
      <c r="A178" t="s">
        <v>1791</v>
      </c>
      <c r="B178" t="str">
        <f>IF(INDEX(Backlog!$B$2:$B$188,MATCH($A178,Backlog!$A$2:$A$188,0))="","",INDEX(Backlog!$B$2:$B$188,MATCH($A178,Backlog!$A$2:$A$188,0)))</f>
        <v>M2</v>
      </c>
      <c r="C178" t="str">
        <f>IF(INDEX(Backlog!$C$2:$C$188,MATCH($A178,Backlog!$A$2:$A$188,0))="","",INDEX(Backlog!$C$2:$C$188,MATCH($A178,Backlog!$A$2:$A$188,0)))</f>
        <v>P3</v>
      </c>
      <c r="D178" t="str">
        <f>IF(INDEX(Backlog!$L$2:$L$188,MATCH($A178,Backlog!$A$2:$A$188,0))="","",INDEX(Backlog!$L$2:$L$188,MATCH($A178,Backlog!$A$2:$A$188,0)))</f>
        <v>Worker 2</v>
      </c>
      <c r="E178" s="71" t="str">
        <f>IF(INDEX(Backlog!$K$2:$K$188,MATCH($A178,Backlog!$A$2:$A$188,0))="","",INDEX(Backlog!$K$2:$K$188,MATCH($A178,Backlog!$A$2:$A$188,0)))</f>
        <v>Not Started</v>
      </c>
      <c r="F178" t="str">
        <f>IF(ISNUMBER(INDEX(Backlog!$AT$2:$AT$188,MATCH($A178,Backlog!$A$2:$A$188,0))),INDEX(Backlog!$AT$2:$AT$188,MATCH($A178,Backlog!$A$2:$A$188,0)),"")</f>
        <v/>
      </c>
      <c r="G178" t="str">
        <f>IF(INDEX(Backlog!$M$2:$M$188,MATCH($A178,Backlog!$A$2:$A$188,0))="","",INDEX(Backlog!$M$2:$M$188,MATCH($A178,Backlog!$A$2:$A$188,0)))</f>
        <v/>
      </c>
      <c r="H178" t="str">
        <f>IF(INDEX(Backlog!$N$2:$N$188,MATCH($A178,Backlog!$A$2:$A$188,0))="","",INDEX(Backlog!$N$2:$N$188,MATCH($A178,Backlog!$A$2:$A$188,0)))</f>
        <v>T-247; T-267</v>
      </c>
      <c r="I178" t="str">
        <f>IF(INDEX(Backlog!$T$2:$T$188,MATCH($A178,Backlog!$A$2:$A$188,0))="","",INDEX(Backlog!$T$2:$T$188,MATCH($A178,Backlog!$A$2:$A$188,0)))</f>
        <v>Read v4.10.3 and frozen producer contracts. Contract-ready does not require producer completion; final design acceptance requires recorded walkthrough evidence.</v>
      </c>
      <c r="J178" t="str">
        <f>IF(INDEX(Backlog!$AN$2:$AN$188,MATCH($A178,Backlog!$A$2:$A$188,0))="","",INDEX(Backlog!$AN$2:$AN$188,MATCH($A178,Backlog!$A$2:$A$188,0)))</f>
        <v>T-099; T-106; T-253; T-262; T-101; T-125</v>
      </c>
    </row>
    <row r="179" spans="1:10">
      <c r="A179" t="s">
        <v>1817</v>
      </c>
      <c r="B179" t="str">
        <f>IF(INDEX(Backlog!$B$2:$B$188,MATCH($A179,Backlog!$A$2:$A$188,0))="","",INDEX(Backlog!$B$2:$B$188,MATCH($A179,Backlog!$A$2:$A$188,0)))</f>
        <v>M2</v>
      </c>
      <c r="C179" t="str">
        <f>IF(INDEX(Backlog!$C$2:$C$188,MATCH($A179,Backlog!$A$2:$A$188,0))="","",INDEX(Backlog!$C$2:$C$188,MATCH($A179,Backlog!$A$2:$A$188,0)))</f>
        <v>P2</v>
      </c>
      <c r="D179" t="str">
        <f>IF(INDEX(Backlog!$L$2:$L$188,MATCH($A179,Backlog!$A$2:$A$188,0))="","",INDEX(Backlog!$L$2:$L$188,MATCH($A179,Backlog!$A$2:$A$188,0)))</f>
        <v>Worker 2</v>
      </c>
      <c r="E179" s="71" t="str">
        <f>IF(INDEX(Backlog!$K$2:$K$188,MATCH($A179,Backlog!$A$2:$A$188,0))="","",INDEX(Backlog!$K$2:$K$188,MATCH($A179,Backlog!$A$2:$A$188,0)))</f>
        <v>Not Started</v>
      </c>
      <c r="F179" t="str">
        <f>IF(ISNUMBER(INDEX(Backlog!$AT$2:$AT$188,MATCH($A179,Backlog!$A$2:$A$188,0))),INDEX(Backlog!$AT$2:$AT$188,MATCH($A179,Backlog!$A$2:$A$188,0)),"")</f>
        <v/>
      </c>
      <c r="G179" t="str">
        <f>IF(INDEX(Backlog!$M$2:$M$188,MATCH($A179,Backlog!$A$2:$A$188,0))="","",INDEX(Backlog!$M$2:$M$188,MATCH($A179,Backlog!$A$2:$A$188,0)))</f>
        <v>T-207</v>
      </c>
      <c r="H179" t="str">
        <f>IF(INDEX(Backlog!$N$2:$N$188,MATCH($A179,Backlog!$A$2:$A$188,0))="","",INDEX(Backlog!$N$2:$N$188,MATCH($A179,Backlog!$A$2:$A$188,0)))</f>
        <v>T-274; T-247</v>
      </c>
      <c r="I179" t="str">
        <f>IF(INDEX(Backlog!$T$2:$T$188,MATCH($A179,Backlog!$A$2:$A$188,0))="","",INDEX(Backlog!$T$2:$T$188,MATCH($A179,Backlog!$A$2:$A$188,0)))</f>
        <v>Read v4.10.3 and frozen producer contracts. Contract-ready does not require producer completion; final design acceptance requires recorded walkthrough evidence.</v>
      </c>
      <c r="J179" t="str">
        <f>IF(INDEX(Backlog!$AN$2:$AN$188,MATCH($A179,Backlog!$A$2:$A$188,0))="","",INDEX(Backlog!$AN$2:$AN$188,MATCH($A179,Backlog!$A$2:$A$188,0)))</f>
        <v>T-224; T-225; T-226; T-233</v>
      </c>
    </row>
    <row r="180" spans="1:10">
      <c r="A180" t="s">
        <v>1821</v>
      </c>
      <c r="B180" t="str">
        <f>IF(INDEX(Backlog!$B$2:$B$188,MATCH($A180,Backlog!$A$2:$A$188,0))="","",INDEX(Backlog!$B$2:$B$188,MATCH($A180,Backlog!$A$2:$A$188,0)))</f>
        <v>M3</v>
      </c>
      <c r="C180" t="str">
        <f>IF(INDEX(Backlog!$C$2:$C$188,MATCH($A180,Backlog!$A$2:$A$188,0))="","",INDEX(Backlog!$C$2:$C$188,MATCH($A180,Backlog!$A$2:$A$188,0)))</f>
        <v>P3</v>
      </c>
      <c r="D180" t="str">
        <f>IF(INDEX(Backlog!$L$2:$L$188,MATCH($A180,Backlog!$A$2:$A$188,0))="","",INDEX(Backlog!$L$2:$L$188,MATCH($A180,Backlog!$A$2:$A$188,0)))</f>
        <v>Worker 2</v>
      </c>
      <c r="E180" s="71" t="str">
        <f>IF(INDEX(Backlog!$K$2:$K$188,MATCH($A180,Backlog!$A$2:$A$188,0))="","",INDEX(Backlog!$K$2:$K$188,MATCH($A180,Backlog!$A$2:$A$188,0)))</f>
        <v>Not Started</v>
      </c>
      <c r="F180" t="str">
        <f>IF(ISNUMBER(INDEX(Backlog!$AT$2:$AT$188,MATCH($A180,Backlog!$A$2:$A$188,0))),INDEX(Backlog!$AT$2:$AT$188,MATCH($A180,Backlog!$A$2:$A$188,0)),"")</f>
        <v/>
      </c>
      <c r="G180" t="str">
        <f>IF(INDEX(Backlog!$M$2:$M$188,MATCH($A180,Backlog!$A$2:$A$188,0))="","",INDEX(Backlog!$M$2:$M$188,MATCH($A180,Backlog!$A$2:$A$188,0)))</f>
        <v>T-265</v>
      </c>
      <c r="H180" t="str">
        <f>IF(INDEX(Backlog!$N$2:$N$188,MATCH($A180,Backlog!$A$2:$A$188,0))="","",INDEX(Backlog!$N$2:$N$188,MATCH($A180,Backlog!$A$2:$A$188,0)))</f>
        <v>T-248; T-249</v>
      </c>
      <c r="I180" t="str">
        <f>IF(INDEX(Backlog!$T$2:$T$188,MATCH($A180,Backlog!$A$2:$A$188,0))="","",INDEX(Backlog!$T$2:$T$188,MATCH($A180,Backlog!$A$2:$A$188,0)))</f>
        <v>Read v4.10.3 and frozen producer contracts. Contract-ready does not require producer completion; final design acceptance requires recorded walkthrough evidence.</v>
      </c>
      <c r="J180" t="str">
        <f>IF(INDEX(Backlog!$AN$2:$AN$188,MATCH($A180,Backlog!$A$2:$A$188,0))="","",INDEX(Backlog!$AN$2:$AN$188,MATCH($A180,Backlog!$A$2:$A$188,0)))</f>
        <v>T-248; T-263; T-264; T-196; T-197; T-198; T-199; T-200</v>
      </c>
    </row>
    <row r="181" spans="1:10">
      <c r="A181" t="s">
        <v>12510</v>
      </c>
      <c r="B181" t="str">
        <f>IF(INDEX(Backlog!$B$2:$B$188,MATCH($A181,Backlog!$A$2:$A$188,0))="","",INDEX(Backlog!$B$2:$B$188,MATCH($A181,Backlog!$A$2:$A$188,0)))</f>
        <v>M2</v>
      </c>
      <c r="C181" t="str">
        <f>IF(INDEX(Backlog!$C$2:$C$188,MATCH($A181,Backlog!$A$2:$A$188,0))="","",INDEX(Backlog!$C$2:$C$188,MATCH($A181,Backlog!$A$2:$A$188,0)))</f>
        <v>P2</v>
      </c>
      <c r="D181" t="str">
        <f>IF(INDEX(Backlog!$L$2:$L$188,MATCH($A181,Backlog!$A$2:$A$188,0))="","",INDEX(Backlog!$L$2:$L$188,MATCH($A181,Backlog!$A$2:$A$188,0)))</f>
        <v>Worker 1</v>
      </c>
      <c r="E181" t="str">
        <f>IF(INDEX(Backlog!$K$2:$K$188,MATCH($A181,Backlog!$A$2:$A$188,0))="","",INDEX(Backlog!$K$2:$K$188,MATCH($A181,Backlog!$A$2:$A$188,0)))</f>
        <v>Not Started</v>
      </c>
      <c r="F181" t="str">
        <f>IF(ISNUMBER(INDEX(Backlog!$AT$2:$AT$188,MATCH($A181,Backlog!$A$2:$A$188,0))),INDEX(Backlog!$AT$2:$AT$188,MATCH($A181,Backlog!$A$2:$A$188,0)),"")</f>
        <v/>
      </c>
      <c r="G181" t="str">
        <f>IF(INDEX(Backlog!$M$2:$M$188,MATCH($A181,Backlog!$A$2:$A$188,0))="","",INDEX(Backlog!$M$2:$M$188,MATCH($A181,Backlog!$A$2:$A$188,0)))</f>
        <v>T-207</v>
      </c>
      <c r="H181" t="str">
        <f>IF(INDEX(Backlog!$N$2:$N$188,MATCH($A181,Backlog!$A$2:$A$188,0))="","",INDEX(Backlog!$N$2:$N$188,MATCH($A181,Backlog!$A$2:$A$188,0)))</f>
        <v>T-269; T-270; T-271; T-274; T-275</v>
      </c>
      <c r="I181" t="str">
        <f>IF(INDEX(Backlog!$T$2:$T$188,MATCH($A181,Backlog!$A$2:$A$188,0))="","",INDEX(Backlog!$T$2:$T$188,MATCH($A181,Backlog!$A$2:$A$188,0)))</f>
        <v>Consume accepted v4.11.0 contracts and listed producer contracts. Source-present is not closure proof; execute named acceptance and preserve unrelated lanes.</v>
      </c>
      <c r="J181" t="str">
        <f>IF(INDEX(Backlog!$AN$2:$AN$188,MATCH($A181,Backlog!$A$2:$A$188,0))="","",INDEX(Backlog!$AN$2:$AN$188,MATCH($A181,Backlog!$A$2:$A$188,0)))</f>
        <v/>
      </c>
    </row>
    <row r="182" spans="1:10">
      <c r="A182" t="s">
        <v>12535</v>
      </c>
      <c r="B182" t="str">
        <f>IF(INDEX(Backlog!$B$2:$B$188,MATCH($A182,Backlog!$A$2:$A$188,0))="","",INDEX(Backlog!$B$2:$B$188,MATCH($A182,Backlog!$A$2:$A$188,0)))</f>
        <v>M2</v>
      </c>
      <c r="C182" t="str">
        <f>IF(INDEX(Backlog!$C$2:$C$188,MATCH($A182,Backlog!$A$2:$A$188,0))="","",INDEX(Backlog!$C$2:$C$188,MATCH($A182,Backlog!$A$2:$A$188,0)))</f>
        <v>P2</v>
      </c>
      <c r="D182" t="str">
        <f>IF(INDEX(Backlog!$L$2:$L$188,MATCH($A182,Backlog!$A$2:$A$188,0))="","",INDEX(Backlog!$L$2:$L$188,MATCH($A182,Backlog!$A$2:$A$188,0)))</f>
        <v>Worker 1</v>
      </c>
      <c r="E182" t="str">
        <f>IF(INDEX(Backlog!$K$2:$K$188,MATCH($A182,Backlog!$A$2:$A$188,0))="","",INDEX(Backlog!$K$2:$K$188,MATCH($A182,Backlog!$A$2:$A$188,0)))</f>
        <v>Not Started</v>
      </c>
      <c r="F182" t="str">
        <f>IF(ISNUMBER(INDEX(Backlog!$AT$2:$AT$188,MATCH($A182,Backlog!$A$2:$A$188,0))),INDEX(Backlog!$AT$2:$AT$188,MATCH($A182,Backlog!$A$2:$A$188,0)),"")</f>
        <v/>
      </c>
      <c r="G182" t="str">
        <f>IF(INDEX(Backlog!$M$2:$M$188,MATCH($A182,Backlog!$A$2:$A$188,0))="","",INDEX(Backlog!$M$2:$M$188,MATCH($A182,Backlog!$A$2:$A$188,0)))</f>
        <v>T-268</v>
      </c>
      <c r="H182" t="str">
        <f>IF(INDEX(Backlog!$N$2:$N$188,MATCH($A182,Backlog!$A$2:$A$188,0))="","",INDEX(Backlog!$N$2:$N$188,MATCH($A182,Backlog!$A$2:$A$188,0)))</f>
        <v>T-270; T-274</v>
      </c>
      <c r="I182" t="str">
        <f>IF(INDEX(Backlog!$T$2:$T$188,MATCH($A182,Backlog!$A$2:$A$188,0))="","",INDEX(Backlog!$T$2:$T$188,MATCH($A182,Backlog!$A$2:$A$188,0)))</f>
        <v>Consume accepted v4.11.0 contracts and listed producer contracts. Source-present is not closure proof; execute named acceptance and preserve unrelated lanes.</v>
      </c>
      <c r="J182" t="str">
        <f>IF(INDEX(Backlog!$AN$2:$AN$188,MATCH($A182,Backlog!$A$2:$A$188,0))="","",INDEX(Backlog!$AN$2:$AN$188,MATCH($A182,Backlog!$A$2:$A$188,0)))</f>
        <v/>
      </c>
    </row>
    <row r="183" spans="1:10">
      <c r="A183" t="s">
        <v>12543</v>
      </c>
      <c r="B183" t="str">
        <f>IF(INDEX(Backlog!$B$2:$B$188,MATCH($A183,Backlog!$A$2:$A$188,0))="","",INDEX(Backlog!$B$2:$B$188,MATCH($A183,Backlog!$A$2:$A$188,0)))</f>
        <v>M2</v>
      </c>
      <c r="C183" t="str">
        <f>IF(INDEX(Backlog!$C$2:$C$188,MATCH($A183,Backlog!$A$2:$A$188,0))="","",INDEX(Backlog!$C$2:$C$188,MATCH($A183,Backlog!$A$2:$A$188,0)))</f>
        <v>P2</v>
      </c>
      <c r="D183" t="str">
        <f>IF(INDEX(Backlog!$L$2:$L$188,MATCH($A183,Backlog!$A$2:$A$188,0))="","",INDEX(Backlog!$L$2:$L$188,MATCH($A183,Backlog!$A$2:$A$188,0)))</f>
        <v>Worker 1</v>
      </c>
      <c r="E183" t="str">
        <f>IF(INDEX(Backlog!$K$2:$K$188,MATCH($A183,Backlog!$A$2:$A$188,0))="","",INDEX(Backlog!$K$2:$K$188,MATCH($A183,Backlog!$A$2:$A$188,0)))</f>
        <v>Not Started</v>
      </c>
      <c r="F183" t="str">
        <f>IF(ISNUMBER(INDEX(Backlog!$AT$2:$AT$188,MATCH($A183,Backlog!$A$2:$A$188,0))),INDEX(Backlog!$AT$2:$AT$188,MATCH($A183,Backlog!$A$2:$A$188,0)),"")</f>
        <v/>
      </c>
      <c r="G183" t="str">
        <f>IF(INDEX(Backlog!$M$2:$M$188,MATCH($A183,Backlog!$A$2:$A$188,0))="","",INDEX(Backlog!$M$2:$M$188,MATCH($A183,Backlog!$A$2:$A$188,0)))</f>
        <v>T-268; T-269; T-225; T-233; T-275</v>
      </c>
      <c r="H183" t="str">
        <f>IF(INDEX(Backlog!$N$2:$N$188,MATCH($A183,Backlog!$A$2:$A$188,0))="","",INDEX(Backlog!$N$2:$N$188,MATCH($A183,Backlog!$A$2:$A$188,0)))</f>
        <v>T-226; T-274</v>
      </c>
      <c r="I183" t="str">
        <f>IF(INDEX(Backlog!$T$2:$T$188,MATCH($A183,Backlog!$A$2:$A$188,0))="","",INDEX(Backlog!$T$2:$T$188,MATCH($A183,Backlog!$A$2:$A$188,0)))</f>
        <v>Consume accepted v4.11.0 contracts and listed producer contracts. Source-present is not closure proof; execute named acceptance and preserve unrelated lanes.</v>
      </c>
      <c r="J183" t="str">
        <f>IF(INDEX(Backlog!$AN$2:$AN$188,MATCH($A183,Backlog!$A$2:$A$188,0))="","",INDEX(Backlog!$AN$2:$AN$188,MATCH($A183,Backlog!$A$2:$A$188,0)))</f>
        <v/>
      </c>
    </row>
    <row r="184" spans="1:10">
      <c r="A184" t="s">
        <v>12552</v>
      </c>
      <c r="B184" t="str">
        <f>IF(INDEX(Backlog!$B$2:$B$188,MATCH($A184,Backlog!$A$2:$A$188,0))="","",INDEX(Backlog!$B$2:$B$188,MATCH($A184,Backlog!$A$2:$A$188,0)))</f>
        <v>M2</v>
      </c>
      <c r="C184" t="str">
        <f>IF(INDEX(Backlog!$C$2:$C$188,MATCH($A184,Backlog!$A$2:$A$188,0))="","",INDEX(Backlog!$C$2:$C$188,MATCH($A184,Backlog!$A$2:$A$188,0)))</f>
        <v>P2</v>
      </c>
      <c r="D184" t="str">
        <f>IF(INDEX(Backlog!$L$2:$L$188,MATCH($A184,Backlog!$A$2:$A$188,0))="","",INDEX(Backlog!$L$2:$L$188,MATCH($A184,Backlog!$A$2:$A$188,0)))</f>
        <v>Worker 1</v>
      </c>
      <c r="E184" t="str">
        <f>IF(INDEX(Backlog!$K$2:$K$188,MATCH($A184,Backlog!$A$2:$A$188,0))="","",INDEX(Backlog!$K$2:$K$188,MATCH($A184,Backlog!$A$2:$A$188,0)))</f>
        <v>Not Started</v>
      </c>
      <c r="F184" t="str">
        <f>IF(ISNUMBER(INDEX(Backlog!$AT$2:$AT$188,MATCH($A184,Backlog!$A$2:$A$188,0))),INDEX(Backlog!$AT$2:$AT$188,MATCH($A184,Backlog!$A$2:$A$188,0)),"")</f>
        <v/>
      </c>
      <c r="G184" t="str">
        <f>IF(INDEX(Backlog!$M$2:$M$188,MATCH($A184,Backlog!$A$2:$A$188,0))="","",INDEX(Backlog!$M$2:$M$188,MATCH($A184,Backlog!$A$2:$A$188,0)))</f>
        <v>T-268; T-108</v>
      </c>
      <c r="H184" t="str">
        <f>IF(INDEX(Backlog!$N$2:$N$188,MATCH($A184,Backlog!$A$2:$A$188,0))="","",INDEX(Backlog!$N$2:$N$188,MATCH($A184,Backlog!$A$2:$A$188,0)))</f>
        <v>T-274; T-247</v>
      </c>
      <c r="I184" t="str">
        <f>IF(INDEX(Backlog!$T$2:$T$188,MATCH($A184,Backlog!$A$2:$A$188,0))="","",INDEX(Backlog!$T$2:$T$188,MATCH($A184,Backlog!$A$2:$A$188,0)))</f>
        <v>Consume accepted v4.11.0 contracts and listed producer contracts. Source-present is not closure proof; execute named acceptance and preserve unrelated lanes.</v>
      </c>
      <c r="J184" t="str">
        <f>IF(INDEX(Backlog!$AN$2:$AN$188,MATCH($A184,Backlog!$A$2:$A$188,0))="","",INDEX(Backlog!$AN$2:$AN$188,MATCH($A184,Backlog!$A$2:$A$188,0)))</f>
        <v/>
      </c>
    </row>
    <row r="185" spans="1:10">
      <c r="A185" t="s">
        <v>12560</v>
      </c>
      <c r="B185" t="str">
        <f>IF(INDEX(Backlog!$B$2:$B$188,MATCH($A185,Backlog!$A$2:$A$188,0))="","",INDEX(Backlog!$B$2:$B$188,MATCH($A185,Backlog!$A$2:$A$188,0)))</f>
        <v>M2</v>
      </c>
      <c r="C185" t="str">
        <f>IF(INDEX(Backlog!$C$2:$C$188,MATCH($A185,Backlog!$A$2:$A$188,0))="","",INDEX(Backlog!$C$2:$C$188,MATCH($A185,Backlog!$A$2:$A$188,0)))</f>
        <v>P2</v>
      </c>
      <c r="D185" t="str">
        <f>IF(INDEX(Backlog!$L$2:$L$188,MATCH($A185,Backlog!$A$2:$A$188,0))="","",INDEX(Backlog!$L$2:$L$188,MATCH($A185,Backlog!$A$2:$A$188,0)))</f>
        <v>Worker 1</v>
      </c>
      <c r="E185" t="str">
        <f>IF(INDEX(Backlog!$K$2:$K$188,MATCH($A185,Backlog!$A$2:$A$188,0))="","",INDEX(Backlog!$K$2:$K$188,MATCH($A185,Backlog!$A$2:$A$188,0)))</f>
        <v>Not Started</v>
      </c>
      <c r="F185" t="str">
        <f>IF(ISNUMBER(INDEX(Backlog!$AT$2:$AT$188,MATCH($A185,Backlog!$A$2:$A$188,0))),INDEX(Backlog!$AT$2:$AT$188,MATCH($A185,Backlog!$A$2:$A$188,0)),"")</f>
        <v/>
      </c>
      <c r="G185" t="str">
        <f>IF(INDEX(Backlog!$M$2:$M$188,MATCH($A185,Backlog!$A$2:$A$188,0))="","",INDEX(Backlog!$M$2:$M$188,MATCH($A185,Backlog!$A$2:$A$188,0)))</f>
        <v>T-087; T-088; T-251; T-252; T-268</v>
      </c>
      <c r="H185" t="str">
        <f>IF(INDEX(Backlog!$N$2:$N$188,MATCH($A185,Backlog!$A$2:$A$188,0))="","",INDEX(Backlog!$N$2:$N$188,MATCH($A185,Backlog!$A$2:$A$188,0)))</f>
        <v>T-273; T-274; T-226; T-247</v>
      </c>
      <c r="I185" t="str">
        <f>IF(INDEX(Backlog!$T$2:$T$188,MATCH($A185,Backlog!$A$2:$A$188,0))="","",INDEX(Backlog!$T$2:$T$188,MATCH($A185,Backlog!$A$2:$A$188,0)))</f>
        <v>Consume accepted v4.11.0 contracts and listed producer contracts. Source-present is not closure proof; execute named acceptance and preserve unrelated lanes.</v>
      </c>
      <c r="J185" t="str">
        <f>IF(INDEX(Backlog!$AN$2:$AN$188,MATCH($A185,Backlog!$A$2:$A$188,0))="","",INDEX(Backlog!$AN$2:$AN$188,MATCH($A185,Backlog!$A$2:$A$188,0)))</f>
        <v/>
      </c>
    </row>
    <row r="186" spans="1:10">
      <c r="A186" t="s">
        <v>12569</v>
      </c>
      <c r="B186" t="str">
        <f>IF(INDEX(Backlog!$B$2:$B$188,MATCH($A186,Backlog!$A$2:$A$188,0))="","",INDEX(Backlog!$B$2:$B$188,MATCH($A186,Backlog!$A$2:$A$188,0)))</f>
        <v>M2</v>
      </c>
      <c r="C186" t="str">
        <f>IF(INDEX(Backlog!$C$2:$C$188,MATCH($A186,Backlog!$A$2:$A$188,0))="","",INDEX(Backlog!$C$2:$C$188,MATCH($A186,Backlog!$A$2:$A$188,0)))</f>
        <v>P2</v>
      </c>
      <c r="D186" t="str">
        <f>IF(INDEX(Backlog!$L$2:$L$188,MATCH($A186,Backlog!$A$2:$A$188,0))="","",INDEX(Backlog!$L$2:$L$188,MATCH($A186,Backlog!$A$2:$A$188,0)))</f>
        <v>Worker 1</v>
      </c>
      <c r="E186" t="str">
        <f>IF(INDEX(Backlog!$K$2:$K$188,MATCH($A186,Backlog!$A$2:$A$188,0))="","",INDEX(Backlog!$K$2:$K$188,MATCH($A186,Backlog!$A$2:$A$188,0)))</f>
        <v>Not Started</v>
      </c>
      <c r="F186" t="str">
        <f>IF(ISNUMBER(INDEX(Backlog!$AT$2:$AT$188,MATCH($A186,Backlog!$A$2:$A$188,0))),INDEX(Backlog!$AT$2:$AT$188,MATCH($A186,Backlog!$A$2:$A$188,0)),"")</f>
        <v/>
      </c>
      <c r="G186" t="str">
        <f>IF(INDEX(Backlog!$M$2:$M$188,MATCH($A186,Backlog!$A$2:$A$188,0))="","",INDEX(Backlog!$M$2:$M$188,MATCH($A186,Backlog!$A$2:$A$188,0)))</f>
        <v>T-272; T-124</v>
      </c>
      <c r="H186" t="str">
        <f>IF(INDEX(Backlog!$N$2:$N$188,MATCH($A186,Backlog!$A$2:$A$188,0))="","",INDEX(Backlog!$N$2:$N$188,MATCH($A186,Backlog!$A$2:$A$188,0)))</f>
        <v>T-274; T-247; T-150</v>
      </c>
      <c r="I186" t="str">
        <f>IF(INDEX(Backlog!$T$2:$T$188,MATCH($A186,Backlog!$A$2:$A$188,0))="","",INDEX(Backlog!$T$2:$T$188,MATCH($A186,Backlog!$A$2:$A$188,0)))</f>
        <v>Consume accepted v4.11.0 contracts and listed producer contracts. Source-present is not closure proof; execute named acceptance and preserve unrelated lanes.</v>
      </c>
      <c r="J186" t="str">
        <f>IF(INDEX(Backlog!$AN$2:$AN$188,MATCH($A186,Backlog!$A$2:$A$188,0))="","",INDEX(Backlog!$AN$2:$AN$188,MATCH($A186,Backlog!$A$2:$A$188,0)))</f>
        <v/>
      </c>
    </row>
    <row r="187" spans="1:10">
      <c r="A187" t="s">
        <v>12578</v>
      </c>
      <c r="B187" t="str">
        <f>IF(INDEX(Backlog!$B$2:$B$188,MATCH($A187,Backlog!$A$2:$A$188,0))="","",INDEX(Backlog!$B$2:$B$188,MATCH($A187,Backlog!$A$2:$A$188,0)))</f>
        <v>M2</v>
      </c>
      <c r="C187" t="str">
        <f>IF(INDEX(Backlog!$C$2:$C$188,MATCH($A187,Backlog!$A$2:$A$188,0))="","",INDEX(Backlog!$C$2:$C$188,MATCH($A187,Backlog!$A$2:$A$188,0)))</f>
        <v>P2</v>
      </c>
      <c r="D187" t="str">
        <f>IF(INDEX(Backlog!$L$2:$L$188,MATCH($A187,Backlog!$A$2:$A$188,0))="","",INDEX(Backlog!$L$2:$L$188,MATCH($A187,Backlog!$A$2:$A$188,0)))</f>
        <v>Worker 2</v>
      </c>
      <c r="E187" t="str">
        <f>IF(INDEX(Backlog!$K$2:$K$188,MATCH($A187,Backlog!$A$2:$A$188,0))="","",INDEX(Backlog!$K$2:$K$188,MATCH($A187,Backlog!$A$2:$A$188,0)))</f>
        <v>Not Started</v>
      </c>
      <c r="F187" t="str">
        <f>IF(ISNUMBER(INDEX(Backlog!$AT$2:$AT$188,MATCH($A187,Backlog!$A$2:$A$188,0))),INDEX(Backlog!$AT$2:$AT$188,MATCH($A187,Backlog!$A$2:$A$188,0)),"")</f>
        <v/>
      </c>
      <c r="G187" t="str">
        <f>IF(INDEX(Backlog!$M$2:$M$188,MATCH($A187,Backlog!$A$2:$A$188,0))="","",INDEX(Backlog!$M$2:$M$188,MATCH($A187,Backlog!$A$2:$A$188,0)))</f>
        <v>T-254; T-266; T-268; T-269; T-270; T-271; T-272; T-273; T-275</v>
      </c>
      <c r="H187" t="str">
        <f>IF(INDEX(Backlog!$N$2:$N$188,MATCH($A187,Backlog!$A$2:$A$188,0))="","",INDEX(Backlog!$N$2:$N$188,MATCH($A187,Backlog!$A$2:$A$188,0)))</f>
        <v>T-247; T-150</v>
      </c>
      <c r="I187" t="str">
        <f>IF(INDEX(Backlog!$T$2:$T$188,MATCH($A187,Backlog!$A$2:$A$188,0))="","",INDEX(Backlog!$T$2:$T$188,MATCH($A187,Backlog!$A$2:$A$188,0)))</f>
        <v>Consume accepted v4.11.0 contracts and listed producer contracts. Source-present is not closure proof; execute named acceptance and preserve unrelated lanes.</v>
      </c>
      <c r="J187" t="str">
        <f>IF(INDEX(Backlog!$AN$2:$AN$188,MATCH($A187,Backlog!$A$2:$A$188,0))="","",INDEX(Backlog!$AN$2:$AN$188,MATCH($A187,Backlog!$A$2:$A$188,0)))</f>
        <v/>
      </c>
    </row>
    <row r="188" spans="1:10">
      <c r="A188" t="s">
        <v>12588</v>
      </c>
      <c r="B188" t="str">
        <f>IF(INDEX(Backlog!$B$2:$B$188,MATCH($A188,Backlog!$A$2:$A$188,0))="","",INDEX(Backlog!$B$2:$B$188,MATCH($A188,Backlog!$A$2:$A$188,0)))</f>
        <v>M2</v>
      </c>
      <c r="C188" t="str">
        <f>IF(INDEX(Backlog!$C$2:$C$188,MATCH($A188,Backlog!$A$2:$A$188,0))="","",INDEX(Backlog!$C$2:$C$188,MATCH($A188,Backlog!$A$2:$A$188,0)))</f>
        <v>P2</v>
      </c>
      <c r="D188" t="str">
        <f>IF(INDEX(Backlog!$L$2:$L$188,MATCH($A188,Backlog!$A$2:$A$188,0))="","",INDEX(Backlog!$L$2:$L$188,MATCH($A188,Backlog!$A$2:$A$188,0)))</f>
        <v>Worker 3</v>
      </c>
      <c r="E188" t="str">
        <f>IF(INDEX(Backlog!$K$2:$K$188,MATCH($A188,Backlog!$A$2:$A$188,0))="","",INDEX(Backlog!$K$2:$K$188,MATCH($A188,Backlog!$A$2:$A$188,0)))</f>
        <v>Not Started</v>
      </c>
      <c r="F188" t="str">
        <f>IF(ISNUMBER(INDEX(Backlog!$AT$2:$AT$188,MATCH($A188,Backlog!$A$2:$A$188,0))),INDEX(Backlog!$AT$2:$AT$188,MATCH($A188,Backlog!$A$2:$A$188,0)),"")</f>
        <v/>
      </c>
      <c r="G188" t="str">
        <f>IF(INDEX(Backlog!$M$2:$M$188,MATCH($A188,Backlog!$A$2:$A$188,0))="","",INDEX(Backlog!$M$2:$M$188,MATCH($A188,Backlog!$A$2:$A$188,0)))</f>
        <v>T-106; T-107; T-268</v>
      </c>
      <c r="H188" t="str">
        <f>IF(INDEX(Backlog!$N$2:$N$188,MATCH($A188,Backlog!$A$2:$A$188,0))="","",INDEX(Backlog!$N$2:$N$188,MATCH($A188,Backlog!$A$2:$A$188,0)))</f>
        <v>T-270; T-226; T-274</v>
      </c>
      <c r="I188" t="str">
        <f>IF(INDEX(Backlog!$T$2:$T$188,MATCH($A188,Backlog!$A$2:$A$188,0))="","",INDEX(Backlog!$T$2:$T$188,MATCH($A188,Backlog!$A$2:$A$188,0)))</f>
        <v>Consume accepted v4.11.0 contracts and listed producer contracts. Source-present is not closure proof; execute named acceptance and preserve unrelated lanes.</v>
      </c>
      <c r="J188" t="str">
        <f>IF(INDEX(Backlog!$AN$2:$AN$188,MATCH($A188,Backlog!$A$2:$A$188,0))="","",INDEX(Backlog!$AN$2:$AN$188,MATCH($A188,Backlog!$A$2:$A$188,0)))</f>
        <v/>
      </c>
    </row>
  </sheetData>
  <conditionalFormatting sqref="E2:E180">
    <cfRule type="expression" dxfId="24" priority="1">
      <formula>$E2="Done"</formula>
    </cfRule>
    <cfRule type="expression" dxfId="23" priority="2">
      <formula>$E2="In Progress"</formula>
    </cfRule>
    <cfRule type="expression" dxfId="22" priority="3">
      <formula>$E2="Not Started"</formula>
    </cfRule>
    <cfRule type="expression" dxfId="21" priority="4">
      <formula>$E2="Blocked"</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9"/>
  <sheetViews>
    <sheetView workbookViewId="0"/>
  </sheetViews>
  <sheetFormatPr defaultRowHeight="14.25"/>
  <cols>
    <col min="1" max="1" width="12" customWidth="1"/>
    <col min="2" max="2" width="58" customWidth="1"/>
    <col min="3" max="3" width="16" customWidth="1"/>
    <col min="4" max="4" width="10" customWidth="1"/>
    <col min="5" max="5" width="42" customWidth="1"/>
    <col min="6" max="6" width="70" customWidth="1"/>
    <col min="7" max="7" width="38" customWidth="1"/>
    <col min="8" max="8" width="60" customWidth="1"/>
  </cols>
  <sheetData>
    <row r="1" spans="1:8" ht="20.25">
      <c r="A1" s="99" t="s">
        <v>1996</v>
      </c>
      <c r="B1" s="99"/>
      <c r="C1" s="99"/>
      <c r="D1" s="99"/>
      <c r="E1" s="99"/>
      <c r="F1" s="99"/>
      <c r="G1" s="99"/>
      <c r="H1" s="99"/>
    </row>
    <row r="2" spans="1:8">
      <c r="A2" s="2"/>
      <c r="B2" s="2"/>
      <c r="C2" s="2"/>
      <c r="D2" s="2"/>
      <c r="E2" s="2"/>
      <c r="F2" s="2"/>
      <c r="G2" s="2"/>
      <c r="H2" s="2"/>
    </row>
    <row r="3" spans="1:8" ht="15">
      <c r="A3" s="1" t="s">
        <v>53</v>
      </c>
      <c r="B3" s="1" t="s">
        <v>56</v>
      </c>
      <c r="C3" s="1" t="s">
        <v>1997</v>
      </c>
      <c r="D3" s="1" t="s">
        <v>62</v>
      </c>
      <c r="E3" s="1" t="s">
        <v>1998</v>
      </c>
      <c r="F3" s="1" t="s">
        <v>1999</v>
      </c>
      <c r="G3" s="1" t="s">
        <v>2000</v>
      </c>
      <c r="H3" s="1" t="s">
        <v>2001</v>
      </c>
    </row>
    <row r="4" spans="1:8">
      <c r="A4" s="2" t="s">
        <v>2002</v>
      </c>
      <c r="B4" s="2" t="s">
        <v>2003</v>
      </c>
      <c r="C4" s="2" t="s">
        <v>116</v>
      </c>
      <c r="D4" s="2">
        <v>8</v>
      </c>
      <c r="E4" s="2"/>
      <c r="F4" s="2" t="s">
        <v>2004</v>
      </c>
      <c r="G4" s="2"/>
      <c r="H4" s="2"/>
    </row>
    <row r="5" spans="1:8" ht="28.5">
      <c r="A5" s="2" t="s">
        <v>2005</v>
      </c>
      <c r="B5" s="2" t="s">
        <v>2006</v>
      </c>
      <c r="C5" s="2" t="s">
        <v>116</v>
      </c>
      <c r="D5" s="2">
        <v>8</v>
      </c>
      <c r="E5" s="2"/>
      <c r="F5" s="2" t="s">
        <v>2004</v>
      </c>
      <c r="G5" s="2"/>
      <c r="H5" s="2"/>
    </row>
    <row r="6" spans="1:8">
      <c r="A6" s="2" t="s">
        <v>2007</v>
      </c>
      <c r="B6" s="2" t="s">
        <v>2008</v>
      </c>
      <c r="C6" s="2" t="s">
        <v>116</v>
      </c>
      <c r="D6" s="2">
        <v>4</v>
      </c>
      <c r="E6" s="2"/>
      <c r="F6" s="2" t="s">
        <v>2004</v>
      </c>
      <c r="G6" s="2"/>
      <c r="H6" s="2"/>
    </row>
    <row r="7" spans="1:8">
      <c r="A7" s="2" t="s">
        <v>2009</v>
      </c>
      <c r="B7" s="2" t="s">
        <v>2010</v>
      </c>
      <c r="C7" s="2" t="s">
        <v>116</v>
      </c>
      <c r="D7" s="2">
        <v>4</v>
      </c>
      <c r="E7" s="2"/>
      <c r="F7" s="2" t="s">
        <v>2004</v>
      </c>
      <c r="G7" s="2"/>
      <c r="H7" s="2"/>
    </row>
    <row r="8" spans="1:8">
      <c r="A8" s="2" t="s">
        <v>2011</v>
      </c>
      <c r="B8" s="2" t="s">
        <v>2012</v>
      </c>
      <c r="C8" s="2" t="s">
        <v>116</v>
      </c>
      <c r="D8" s="2">
        <v>6</v>
      </c>
      <c r="E8" s="2"/>
      <c r="F8" s="2" t="s">
        <v>2004</v>
      </c>
      <c r="G8" s="2"/>
      <c r="H8" s="2"/>
    </row>
    <row r="9" spans="1:8">
      <c r="A9" s="2" t="s">
        <v>2013</v>
      </c>
      <c r="B9" s="2" t="s">
        <v>2014</v>
      </c>
      <c r="C9" s="2" t="s">
        <v>116</v>
      </c>
      <c r="D9" s="2">
        <v>8</v>
      </c>
      <c r="E9" s="2"/>
      <c r="F9" s="2" t="s">
        <v>2004</v>
      </c>
      <c r="G9" s="2"/>
      <c r="H9" s="2"/>
    </row>
    <row r="10" spans="1:8" ht="28.5">
      <c r="A10" s="2" t="s">
        <v>2015</v>
      </c>
      <c r="B10" s="2" t="s">
        <v>2016</v>
      </c>
      <c r="C10" s="2" t="s">
        <v>116</v>
      </c>
      <c r="D10" s="2">
        <v>10</v>
      </c>
      <c r="E10" s="2"/>
      <c r="F10" s="2" t="s">
        <v>2004</v>
      </c>
      <c r="G10" s="2"/>
      <c r="H10" s="2"/>
    </row>
    <row r="11" spans="1:8" ht="28.5">
      <c r="A11" s="2" t="s">
        <v>2017</v>
      </c>
      <c r="B11" s="2" t="s">
        <v>2018</v>
      </c>
      <c r="C11" s="2" t="s">
        <v>116</v>
      </c>
      <c r="D11" s="2">
        <v>10</v>
      </c>
      <c r="E11" s="2"/>
      <c r="F11" s="2" t="s">
        <v>2004</v>
      </c>
      <c r="G11" s="2"/>
      <c r="H11" s="2"/>
    </row>
    <row r="12" spans="1:8">
      <c r="A12" s="2" t="s">
        <v>2019</v>
      </c>
      <c r="B12" s="2" t="s">
        <v>2020</v>
      </c>
      <c r="C12" s="2" t="s">
        <v>116</v>
      </c>
      <c r="D12" s="2">
        <v>6</v>
      </c>
      <c r="E12" s="2"/>
      <c r="F12" s="2" t="s">
        <v>2004</v>
      </c>
      <c r="G12" s="2"/>
      <c r="H12" s="2"/>
    </row>
    <row r="13" spans="1:8" ht="28.5">
      <c r="A13" s="2" t="s">
        <v>2021</v>
      </c>
      <c r="B13" s="2" t="s">
        <v>2022</v>
      </c>
      <c r="C13" s="2" t="s">
        <v>116</v>
      </c>
      <c r="D13" s="2">
        <v>8</v>
      </c>
      <c r="E13" s="2"/>
      <c r="F13" s="2" t="s">
        <v>2004</v>
      </c>
      <c r="G13" s="2"/>
      <c r="H13" s="2"/>
    </row>
    <row r="14" spans="1:8">
      <c r="A14" s="2" t="s">
        <v>2023</v>
      </c>
      <c r="B14" s="2" t="s">
        <v>2024</v>
      </c>
      <c r="C14" s="2" t="s">
        <v>116</v>
      </c>
      <c r="D14" s="2">
        <v>6</v>
      </c>
      <c r="E14" s="2"/>
      <c r="F14" s="2" t="s">
        <v>2004</v>
      </c>
      <c r="G14" s="2"/>
      <c r="H14" s="2"/>
    </row>
    <row r="15" spans="1:8">
      <c r="A15" s="2" t="s">
        <v>2025</v>
      </c>
      <c r="B15" s="2" t="s">
        <v>2026</v>
      </c>
      <c r="C15" s="2" t="s">
        <v>116</v>
      </c>
      <c r="D15" s="2">
        <v>6</v>
      </c>
      <c r="E15" s="2"/>
      <c r="F15" s="2" t="s">
        <v>2004</v>
      </c>
      <c r="G15" s="2"/>
      <c r="H15" s="2"/>
    </row>
    <row r="16" spans="1:8">
      <c r="A16" s="2" t="s">
        <v>2027</v>
      </c>
      <c r="B16" s="2" t="s">
        <v>2028</v>
      </c>
      <c r="C16" s="2" t="s">
        <v>116</v>
      </c>
      <c r="D16" s="2">
        <v>8</v>
      </c>
      <c r="E16" s="2"/>
      <c r="F16" s="2" t="s">
        <v>2004</v>
      </c>
      <c r="G16" s="2"/>
      <c r="H16" s="2"/>
    </row>
    <row r="17" spans="1:8" ht="28.5">
      <c r="A17" s="2" t="s">
        <v>2029</v>
      </c>
      <c r="B17" s="2" t="s">
        <v>2030</v>
      </c>
      <c r="C17" s="2" t="s">
        <v>116</v>
      </c>
      <c r="D17" s="2">
        <v>8</v>
      </c>
      <c r="E17" s="2"/>
      <c r="F17" s="2" t="s">
        <v>2004</v>
      </c>
      <c r="G17" s="2"/>
      <c r="H17" s="2"/>
    </row>
    <row r="18" spans="1:8">
      <c r="A18" s="2" t="s">
        <v>2031</v>
      </c>
      <c r="B18" s="2" t="s">
        <v>2032</v>
      </c>
      <c r="C18" s="2" t="s">
        <v>116</v>
      </c>
      <c r="D18" s="2">
        <v>8</v>
      </c>
      <c r="E18" s="2"/>
      <c r="F18" s="2" t="s">
        <v>2004</v>
      </c>
      <c r="G18" s="2"/>
      <c r="H18" s="2"/>
    </row>
    <row r="19" spans="1:8">
      <c r="A19" s="2" t="s">
        <v>2033</v>
      </c>
      <c r="B19" s="2" t="s">
        <v>2034</v>
      </c>
      <c r="C19" s="2" t="s">
        <v>116</v>
      </c>
      <c r="D19" s="2">
        <v>10</v>
      </c>
      <c r="E19" s="2"/>
      <c r="F19" s="2" t="s">
        <v>2004</v>
      </c>
      <c r="G19" s="2"/>
      <c r="H19" s="2"/>
    </row>
    <row r="20" spans="1:8">
      <c r="A20" s="2" t="s">
        <v>2035</v>
      </c>
      <c r="B20" s="2" t="s">
        <v>2036</v>
      </c>
      <c r="C20" s="2" t="s">
        <v>116</v>
      </c>
      <c r="D20" s="2">
        <v>8</v>
      </c>
      <c r="E20" s="2"/>
      <c r="F20" s="2" t="s">
        <v>2004</v>
      </c>
      <c r="G20" s="2"/>
      <c r="H20" s="2"/>
    </row>
    <row r="21" spans="1:8">
      <c r="A21" s="2" t="s">
        <v>2037</v>
      </c>
      <c r="B21" s="2" t="s">
        <v>2038</v>
      </c>
      <c r="C21" s="2" t="s">
        <v>116</v>
      </c>
      <c r="D21" s="2">
        <v>6</v>
      </c>
      <c r="E21" s="2"/>
      <c r="F21" s="2" t="s">
        <v>2004</v>
      </c>
      <c r="G21" s="2"/>
      <c r="H21" s="2"/>
    </row>
    <row r="22" spans="1:8">
      <c r="A22" s="2" t="s">
        <v>2039</v>
      </c>
      <c r="B22" s="2" t="s">
        <v>2040</v>
      </c>
      <c r="C22" s="2" t="s">
        <v>116</v>
      </c>
      <c r="D22" s="2">
        <v>6</v>
      </c>
      <c r="E22" s="2"/>
      <c r="F22" s="2" t="s">
        <v>2004</v>
      </c>
      <c r="G22" s="2"/>
      <c r="H22" s="2"/>
    </row>
    <row r="23" spans="1:8">
      <c r="A23" s="2" t="s">
        <v>2041</v>
      </c>
      <c r="B23" s="2" t="s">
        <v>2042</v>
      </c>
      <c r="C23" s="2" t="s">
        <v>116</v>
      </c>
      <c r="D23" s="2">
        <v>6</v>
      </c>
      <c r="E23" s="2"/>
      <c r="F23" s="2" t="s">
        <v>2004</v>
      </c>
      <c r="G23" s="2"/>
      <c r="H23" s="2"/>
    </row>
    <row r="24" spans="1:8">
      <c r="A24" s="2" t="s">
        <v>2043</v>
      </c>
      <c r="B24" s="2" t="s">
        <v>2044</v>
      </c>
      <c r="C24" s="2" t="s">
        <v>116</v>
      </c>
      <c r="D24" s="2">
        <v>6</v>
      </c>
      <c r="E24" s="2"/>
      <c r="F24" s="2" t="s">
        <v>2004</v>
      </c>
      <c r="G24" s="2"/>
      <c r="H24" s="2"/>
    </row>
    <row r="25" spans="1:8">
      <c r="A25" s="2" t="s">
        <v>2045</v>
      </c>
      <c r="B25" s="2" t="s">
        <v>2046</v>
      </c>
      <c r="C25" s="2" t="s">
        <v>116</v>
      </c>
      <c r="D25" s="2">
        <v>8</v>
      </c>
      <c r="E25" s="2"/>
      <c r="F25" s="2" t="s">
        <v>2004</v>
      </c>
      <c r="G25" s="2"/>
      <c r="H25" s="2"/>
    </row>
    <row r="26" spans="1:8">
      <c r="A26" s="2" t="s">
        <v>2047</v>
      </c>
      <c r="B26" s="2" t="s">
        <v>2048</v>
      </c>
      <c r="C26" s="2" t="s">
        <v>116</v>
      </c>
      <c r="D26" s="2">
        <v>6</v>
      </c>
      <c r="E26" s="2"/>
      <c r="F26" s="2" t="s">
        <v>2004</v>
      </c>
      <c r="G26" s="2"/>
      <c r="H26" s="2"/>
    </row>
    <row r="27" spans="1:8">
      <c r="A27" s="2" t="s">
        <v>2049</v>
      </c>
      <c r="B27" s="2" t="s">
        <v>2050</v>
      </c>
      <c r="C27" s="2" t="s">
        <v>116</v>
      </c>
      <c r="D27" s="2">
        <v>8</v>
      </c>
      <c r="E27" s="2"/>
      <c r="F27" s="2" t="s">
        <v>2004</v>
      </c>
      <c r="G27" s="2"/>
      <c r="H27" s="2"/>
    </row>
    <row r="28" spans="1:8" ht="28.5">
      <c r="A28" s="2" t="s">
        <v>2051</v>
      </c>
      <c r="B28" s="2" t="s">
        <v>2052</v>
      </c>
      <c r="C28" s="2" t="s">
        <v>116</v>
      </c>
      <c r="D28" s="2">
        <v>8</v>
      </c>
      <c r="E28" s="2"/>
      <c r="F28" s="2" t="s">
        <v>2004</v>
      </c>
      <c r="G28" s="2"/>
      <c r="H28" s="2"/>
    </row>
    <row r="29" spans="1:8">
      <c r="A29" s="2" t="s">
        <v>2053</v>
      </c>
      <c r="B29" s="2" t="s">
        <v>2054</v>
      </c>
      <c r="C29" s="2" t="s">
        <v>116</v>
      </c>
      <c r="D29" s="2">
        <v>6</v>
      </c>
      <c r="E29" s="2"/>
      <c r="F29" s="2" t="s">
        <v>2004</v>
      </c>
      <c r="G29" s="2"/>
      <c r="H29" s="2"/>
    </row>
    <row r="30" spans="1:8">
      <c r="A30" s="2" t="s">
        <v>2055</v>
      </c>
      <c r="B30" s="2" t="s">
        <v>2056</v>
      </c>
      <c r="C30" s="2" t="s">
        <v>116</v>
      </c>
      <c r="D30" s="2">
        <v>6</v>
      </c>
      <c r="E30" s="2"/>
      <c r="F30" s="2" t="s">
        <v>2004</v>
      </c>
      <c r="G30" s="2"/>
      <c r="H30" s="2"/>
    </row>
    <row r="31" spans="1:8">
      <c r="A31" s="2" t="s">
        <v>2057</v>
      </c>
      <c r="B31" s="2" t="s">
        <v>2058</v>
      </c>
      <c r="C31" s="2" t="s">
        <v>116</v>
      </c>
      <c r="D31" s="2">
        <v>2</v>
      </c>
      <c r="E31" s="2"/>
      <c r="F31" s="2" t="s">
        <v>2004</v>
      </c>
      <c r="G31" s="2"/>
      <c r="H31" s="2"/>
    </row>
    <row r="32" spans="1:8">
      <c r="A32" s="2" t="s">
        <v>2059</v>
      </c>
      <c r="B32" s="2" t="s">
        <v>2060</v>
      </c>
      <c r="C32" s="2" t="s">
        <v>116</v>
      </c>
      <c r="D32" s="2">
        <v>4</v>
      </c>
      <c r="E32" s="2"/>
      <c r="F32" s="2" t="s">
        <v>2004</v>
      </c>
      <c r="G32" s="2"/>
      <c r="H32" s="2"/>
    </row>
    <row r="33" spans="1:8" ht="28.5">
      <c r="A33" s="2" t="s">
        <v>2061</v>
      </c>
      <c r="B33" s="2" t="s">
        <v>2062</v>
      </c>
      <c r="C33" s="2" t="s">
        <v>116</v>
      </c>
      <c r="D33" s="2">
        <v>8</v>
      </c>
      <c r="E33" s="2"/>
      <c r="F33" s="2" t="s">
        <v>2004</v>
      </c>
      <c r="G33" s="2"/>
      <c r="H33" s="2"/>
    </row>
    <row r="34" spans="1:8">
      <c r="A34" s="2" t="s">
        <v>2063</v>
      </c>
      <c r="B34" s="2" t="s">
        <v>2064</v>
      </c>
      <c r="C34" s="2" t="s">
        <v>116</v>
      </c>
      <c r="D34" s="2">
        <v>10</v>
      </c>
      <c r="E34" s="2"/>
      <c r="F34" s="2" t="s">
        <v>2004</v>
      </c>
      <c r="G34" s="2"/>
      <c r="H34" s="2"/>
    </row>
    <row r="35" spans="1:8">
      <c r="A35" s="2" t="s">
        <v>2065</v>
      </c>
      <c r="B35" s="2" t="s">
        <v>2066</v>
      </c>
      <c r="C35" s="2" t="s">
        <v>116</v>
      </c>
      <c r="D35" s="2">
        <v>12</v>
      </c>
      <c r="E35" s="2"/>
      <c r="F35" s="2" t="s">
        <v>2004</v>
      </c>
      <c r="G35" s="2"/>
      <c r="H35" s="2"/>
    </row>
    <row r="36" spans="1:8">
      <c r="A36" s="2" t="s">
        <v>2067</v>
      </c>
      <c r="B36" s="2" t="s">
        <v>2068</v>
      </c>
      <c r="C36" s="2" t="s">
        <v>116</v>
      </c>
      <c r="D36" s="2">
        <v>12</v>
      </c>
      <c r="E36" s="2"/>
      <c r="F36" s="2" t="s">
        <v>2004</v>
      </c>
      <c r="G36" s="2"/>
      <c r="H36" s="2"/>
    </row>
    <row r="37" spans="1:8">
      <c r="A37" s="2" t="s">
        <v>2069</v>
      </c>
      <c r="B37" s="2" t="s">
        <v>2070</v>
      </c>
      <c r="C37" s="2" t="s">
        <v>116</v>
      </c>
      <c r="D37" s="2">
        <v>10</v>
      </c>
      <c r="E37" s="2"/>
      <c r="F37" s="2" t="s">
        <v>2004</v>
      </c>
      <c r="G37" s="2"/>
      <c r="H37" s="2"/>
    </row>
    <row r="38" spans="1:8">
      <c r="A38" s="2" t="s">
        <v>2071</v>
      </c>
      <c r="B38" s="2" t="s">
        <v>2072</v>
      </c>
      <c r="C38" s="2" t="s">
        <v>116</v>
      </c>
      <c r="D38" s="2">
        <v>8</v>
      </c>
      <c r="E38" s="2"/>
      <c r="F38" s="2" t="s">
        <v>2004</v>
      </c>
      <c r="G38" s="2"/>
      <c r="H38" s="2"/>
    </row>
    <row r="39" spans="1:8" ht="28.5">
      <c r="A39" s="2" t="s">
        <v>2073</v>
      </c>
      <c r="B39" s="2" t="s">
        <v>2074</v>
      </c>
      <c r="C39" s="2" t="s">
        <v>116</v>
      </c>
      <c r="D39" s="2">
        <v>12</v>
      </c>
      <c r="E39" s="2"/>
      <c r="F39" s="2" t="s">
        <v>2004</v>
      </c>
      <c r="G39" s="2"/>
      <c r="H39" s="2"/>
    </row>
    <row r="40" spans="1:8">
      <c r="A40" s="2" t="s">
        <v>2075</v>
      </c>
      <c r="B40" s="2" t="s">
        <v>2076</v>
      </c>
      <c r="C40" s="2" t="s">
        <v>116</v>
      </c>
      <c r="D40" s="2">
        <v>3</v>
      </c>
      <c r="E40" s="2"/>
      <c r="F40" s="2" t="s">
        <v>2004</v>
      </c>
      <c r="G40" s="2"/>
      <c r="H40" s="2"/>
    </row>
    <row r="41" spans="1:8">
      <c r="A41" s="2" t="s">
        <v>2077</v>
      </c>
      <c r="B41" s="2" t="s">
        <v>2078</v>
      </c>
      <c r="C41" s="2" t="s">
        <v>116</v>
      </c>
      <c r="D41" s="2">
        <v>12</v>
      </c>
      <c r="E41" s="2"/>
      <c r="F41" s="2" t="s">
        <v>2004</v>
      </c>
      <c r="G41" s="2"/>
      <c r="H41" s="2"/>
    </row>
    <row r="42" spans="1:8">
      <c r="A42" s="2" t="s">
        <v>2079</v>
      </c>
      <c r="B42" s="2" t="s">
        <v>2080</v>
      </c>
      <c r="C42" s="2" t="s">
        <v>116</v>
      </c>
      <c r="D42" s="2">
        <v>12</v>
      </c>
      <c r="E42" s="2"/>
      <c r="F42" s="2" t="s">
        <v>2004</v>
      </c>
      <c r="G42" s="2"/>
      <c r="H42" s="2"/>
    </row>
    <row r="43" spans="1:8">
      <c r="A43" s="2" t="s">
        <v>2081</v>
      </c>
      <c r="B43" s="2" t="s">
        <v>2082</v>
      </c>
      <c r="C43" s="2" t="s">
        <v>116</v>
      </c>
      <c r="D43" s="2">
        <v>8</v>
      </c>
      <c r="E43" s="2"/>
      <c r="F43" s="2" t="s">
        <v>2004</v>
      </c>
      <c r="G43" s="2"/>
      <c r="H43" s="2"/>
    </row>
    <row r="44" spans="1:8">
      <c r="A44" s="2" t="s">
        <v>2083</v>
      </c>
      <c r="B44" s="2" t="s">
        <v>2084</v>
      </c>
      <c r="C44" s="2" t="s">
        <v>116</v>
      </c>
      <c r="D44" s="2">
        <v>6</v>
      </c>
      <c r="E44" s="2"/>
      <c r="F44" s="2" t="s">
        <v>2004</v>
      </c>
      <c r="G44" s="2"/>
      <c r="H44" s="2"/>
    </row>
    <row r="45" spans="1:8">
      <c r="A45" s="2" t="s">
        <v>2085</v>
      </c>
      <c r="B45" s="2" t="s">
        <v>2086</v>
      </c>
      <c r="C45" s="2" t="s">
        <v>116</v>
      </c>
      <c r="D45" s="2">
        <v>6</v>
      </c>
      <c r="E45" s="2"/>
      <c r="F45" s="2" t="s">
        <v>2004</v>
      </c>
      <c r="G45" s="2"/>
      <c r="H45" s="2"/>
    </row>
    <row r="46" spans="1:8">
      <c r="A46" s="2" t="s">
        <v>2087</v>
      </c>
      <c r="B46" s="2" t="s">
        <v>2088</v>
      </c>
      <c r="C46" s="2" t="s">
        <v>116</v>
      </c>
      <c r="D46" s="2">
        <v>12</v>
      </c>
      <c r="E46" s="2"/>
      <c r="F46" s="2" t="s">
        <v>2004</v>
      </c>
      <c r="G46" s="2"/>
      <c r="H46" s="2"/>
    </row>
    <row r="47" spans="1:8" ht="28.5">
      <c r="A47" s="2" t="s">
        <v>2089</v>
      </c>
      <c r="B47" s="2" t="s">
        <v>2090</v>
      </c>
      <c r="C47" s="2" t="s">
        <v>116</v>
      </c>
      <c r="D47" s="2">
        <v>8</v>
      </c>
      <c r="E47" s="2" t="s">
        <v>2091</v>
      </c>
      <c r="F47" s="2" t="s">
        <v>2004</v>
      </c>
      <c r="G47" s="2"/>
      <c r="H47" s="2"/>
    </row>
    <row r="48" spans="1:8" ht="28.5">
      <c r="A48" s="2" t="s">
        <v>2092</v>
      </c>
      <c r="B48" s="2" t="s">
        <v>2093</v>
      </c>
      <c r="C48" s="2" t="s">
        <v>116</v>
      </c>
      <c r="D48" s="2">
        <v>6</v>
      </c>
      <c r="E48" s="2" t="s">
        <v>2094</v>
      </c>
      <c r="F48" s="2" t="s">
        <v>2004</v>
      </c>
      <c r="G48" s="2"/>
      <c r="H48" s="2"/>
    </row>
    <row r="49" spans="1:8" ht="28.5">
      <c r="A49" s="2" t="s">
        <v>2095</v>
      </c>
      <c r="B49" s="2" t="s">
        <v>2096</v>
      </c>
      <c r="C49" s="2" t="s">
        <v>116</v>
      </c>
      <c r="D49" s="2">
        <v>8</v>
      </c>
      <c r="E49" s="2" t="s">
        <v>2097</v>
      </c>
      <c r="F49" s="2" t="s">
        <v>2004</v>
      </c>
      <c r="G49" s="2"/>
      <c r="H49" s="2"/>
    </row>
    <row r="50" spans="1:8" ht="28.5">
      <c r="A50" s="2" t="s">
        <v>2098</v>
      </c>
      <c r="B50" s="2" t="s">
        <v>2099</v>
      </c>
      <c r="C50" s="2" t="s">
        <v>116</v>
      </c>
      <c r="D50" s="2">
        <v>10</v>
      </c>
      <c r="E50" s="2" t="s">
        <v>2100</v>
      </c>
      <c r="F50" s="2" t="s">
        <v>2004</v>
      </c>
      <c r="G50" s="2"/>
      <c r="H50" s="2"/>
    </row>
    <row r="51" spans="1:8" ht="28.5">
      <c r="A51" s="2" t="s">
        <v>2101</v>
      </c>
      <c r="B51" s="2" t="s">
        <v>2102</v>
      </c>
      <c r="C51" s="2" t="s">
        <v>116</v>
      </c>
      <c r="D51" s="2">
        <v>4</v>
      </c>
      <c r="E51" s="2" t="s">
        <v>2103</v>
      </c>
      <c r="F51" s="2" t="s">
        <v>2004</v>
      </c>
      <c r="G51" s="2"/>
      <c r="H51" s="2"/>
    </row>
    <row r="52" spans="1:8" ht="57">
      <c r="A52" s="2" t="s">
        <v>2104</v>
      </c>
      <c r="B52" s="2" t="s">
        <v>2105</v>
      </c>
      <c r="C52" s="2" t="s">
        <v>116</v>
      </c>
      <c r="D52" s="2">
        <v>4</v>
      </c>
      <c r="E52" s="2" t="s">
        <v>2106</v>
      </c>
      <c r="F52" s="2" t="s">
        <v>2107</v>
      </c>
      <c r="G52" s="2"/>
      <c r="H52" s="2"/>
    </row>
    <row r="53" spans="1:8">
      <c r="A53" s="2" t="s">
        <v>2108</v>
      </c>
      <c r="B53" s="2" t="s">
        <v>2109</v>
      </c>
      <c r="C53" s="2" t="s">
        <v>116</v>
      </c>
      <c r="D53" s="2">
        <v>6</v>
      </c>
      <c r="E53" s="2"/>
      <c r="F53" s="2" t="s">
        <v>2004</v>
      </c>
      <c r="G53" s="2"/>
      <c r="H53" s="2"/>
    </row>
    <row r="54" spans="1:8">
      <c r="A54" s="2" t="s">
        <v>2110</v>
      </c>
      <c r="B54" s="2" t="s">
        <v>2111</v>
      </c>
      <c r="C54" s="2" t="s">
        <v>116</v>
      </c>
      <c r="D54" s="2">
        <v>6</v>
      </c>
      <c r="E54" s="2"/>
      <c r="F54" s="2" t="s">
        <v>2004</v>
      </c>
      <c r="G54" s="2"/>
      <c r="H54" s="2"/>
    </row>
    <row r="55" spans="1:8">
      <c r="A55" s="2" t="s">
        <v>2112</v>
      </c>
      <c r="B55" s="2" t="s">
        <v>2113</v>
      </c>
      <c r="C55" s="2" t="s">
        <v>116</v>
      </c>
      <c r="D55" s="2">
        <v>4</v>
      </c>
      <c r="E55" s="2"/>
      <c r="F55" s="2" t="s">
        <v>2004</v>
      </c>
      <c r="G55" s="2"/>
      <c r="H55" s="2"/>
    </row>
    <row r="56" spans="1:8" ht="71.25">
      <c r="A56" s="2" t="s">
        <v>2114</v>
      </c>
      <c r="B56" s="2" t="s">
        <v>2115</v>
      </c>
      <c r="C56" s="2" t="s">
        <v>2116</v>
      </c>
      <c r="D56" s="2">
        <v>4</v>
      </c>
      <c r="E56" s="2"/>
      <c r="F56" s="2" t="s">
        <v>2117</v>
      </c>
      <c r="G56" s="2"/>
      <c r="H56" s="2"/>
    </row>
    <row r="57" spans="1:8" ht="71.25">
      <c r="A57" s="2" t="s">
        <v>2118</v>
      </c>
      <c r="B57" s="2" t="s">
        <v>2119</v>
      </c>
      <c r="C57" s="2" t="s">
        <v>2116</v>
      </c>
      <c r="D57" s="2">
        <v>4</v>
      </c>
      <c r="E57" s="2"/>
      <c r="F57" s="2" t="s">
        <v>2117</v>
      </c>
      <c r="G57" s="2"/>
      <c r="H57" s="2"/>
    </row>
    <row r="58" spans="1:8" ht="71.25">
      <c r="A58" s="2" t="s">
        <v>2120</v>
      </c>
      <c r="B58" s="2" t="s">
        <v>2121</v>
      </c>
      <c r="C58" s="2" t="s">
        <v>2116</v>
      </c>
      <c r="D58" s="2">
        <v>6</v>
      </c>
      <c r="E58" s="2"/>
      <c r="F58" s="2" t="s">
        <v>2117</v>
      </c>
      <c r="G58" s="2"/>
      <c r="H58" s="2"/>
    </row>
    <row r="59" spans="1:8" ht="71.25">
      <c r="A59" s="2" t="s">
        <v>2122</v>
      </c>
      <c r="B59" s="2" t="s">
        <v>2123</v>
      </c>
      <c r="C59" s="2" t="s">
        <v>2116</v>
      </c>
      <c r="D59" s="2">
        <v>4</v>
      </c>
      <c r="E59" s="2"/>
      <c r="F59" s="2" t="s">
        <v>2117</v>
      </c>
      <c r="G59" s="2"/>
      <c r="H59" s="2"/>
    </row>
    <row r="60" spans="1:8" ht="57">
      <c r="A60" s="2" t="s">
        <v>2124</v>
      </c>
      <c r="B60" s="2" t="s">
        <v>2125</v>
      </c>
      <c r="C60" s="2" t="s">
        <v>116</v>
      </c>
      <c r="D60" s="2">
        <v>10</v>
      </c>
      <c r="E60" s="2"/>
      <c r="F60" s="2" t="s">
        <v>2126</v>
      </c>
      <c r="G60" s="2"/>
      <c r="H60" s="2"/>
    </row>
    <row r="61" spans="1:8" ht="57">
      <c r="A61" s="2" t="s">
        <v>2127</v>
      </c>
      <c r="B61" s="2" t="s">
        <v>2128</v>
      </c>
      <c r="C61" s="2" t="s">
        <v>116</v>
      </c>
      <c r="D61" s="2">
        <v>10</v>
      </c>
      <c r="E61" s="2"/>
      <c r="F61" s="2" t="s">
        <v>2126</v>
      </c>
      <c r="G61" s="2"/>
      <c r="H61" s="2"/>
    </row>
    <row r="62" spans="1:8" ht="71.25">
      <c r="A62" s="2" t="s">
        <v>2129</v>
      </c>
      <c r="B62" s="2" t="s">
        <v>2130</v>
      </c>
      <c r="C62" s="2" t="s">
        <v>2116</v>
      </c>
      <c r="D62" s="2">
        <v>4</v>
      </c>
      <c r="E62" s="2"/>
      <c r="F62" s="2" t="s">
        <v>2131</v>
      </c>
      <c r="G62" s="2"/>
      <c r="H62" s="2"/>
    </row>
    <row r="63" spans="1:8" ht="71.25">
      <c r="A63" s="2" t="s">
        <v>2132</v>
      </c>
      <c r="B63" s="2" t="s">
        <v>2133</v>
      </c>
      <c r="C63" s="2" t="s">
        <v>2116</v>
      </c>
      <c r="D63" s="2">
        <v>4</v>
      </c>
      <c r="E63" s="2"/>
      <c r="F63" s="2" t="s">
        <v>2134</v>
      </c>
      <c r="G63" s="2"/>
      <c r="H63" s="2"/>
    </row>
    <row r="64" spans="1:8" ht="71.25">
      <c r="A64" s="2" t="s">
        <v>2135</v>
      </c>
      <c r="B64" s="2" t="s">
        <v>2136</v>
      </c>
      <c r="C64" s="2" t="s">
        <v>2116</v>
      </c>
      <c r="D64" s="2">
        <v>6</v>
      </c>
      <c r="E64" s="2"/>
      <c r="F64" s="2" t="s">
        <v>2117</v>
      </c>
      <c r="G64" s="2"/>
      <c r="H64" s="2"/>
    </row>
    <row r="65" spans="1:8" ht="71.25">
      <c r="A65" s="2" t="s">
        <v>2137</v>
      </c>
      <c r="B65" s="2" t="s">
        <v>2138</v>
      </c>
      <c r="C65" s="2" t="s">
        <v>2116</v>
      </c>
      <c r="D65" s="2">
        <v>4</v>
      </c>
      <c r="E65" s="2"/>
      <c r="F65" s="2" t="s">
        <v>2117</v>
      </c>
      <c r="G65" s="2"/>
      <c r="H65" s="2"/>
    </row>
    <row r="66" spans="1:8" ht="71.25">
      <c r="A66" s="2" t="s">
        <v>2139</v>
      </c>
      <c r="B66" s="2" t="s">
        <v>2140</v>
      </c>
      <c r="C66" s="2" t="s">
        <v>2116</v>
      </c>
      <c r="D66" s="2">
        <v>10</v>
      </c>
      <c r="E66" s="2"/>
      <c r="F66" s="2" t="s">
        <v>2117</v>
      </c>
      <c r="G66" s="2"/>
      <c r="H66" s="2"/>
    </row>
    <row r="67" spans="1:8" ht="156.75">
      <c r="A67" s="2" t="s">
        <v>2141</v>
      </c>
      <c r="B67" s="2" t="s">
        <v>2142</v>
      </c>
      <c r="C67" s="2" t="s">
        <v>116</v>
      </c>
      <c r="D67" s="2">
        <v>8</v>
      </c>
      <c r="E67" s="2"/>
      <c r="F67" s="2" t="s">
        <v>2143</v>
      </c>
      <c r="G67" s="2"/>
      <c r="H67" s="2"/>
    </row>
    <row r="68" spans="1:8" ht="71.25">
      <c r="A68" s="2" t="s">
        <v>2144</v>
      </c>
      <c r="B68" s="2" t="s">
        <v>2145</v>
      </c>
      <c r="C68" s="2" t="s">
        <v>2116</v>
      </c>
      <c r="D68" s="2">
        <v>12</v>
      </c>
      <c r="E68" s="2"/>
      <c r="F68" s="2" t="s">
        <v>2134</v>
      </c>
      <c r="G68" s="2"/>
      <c r="H68" s="2"/>
    </row>
    <row r="69" spans="1:8" ht="71.25">
      <c r="A69" s="2" t="s">
        <v>2146</v>
      </c>
      <c r="B69" s="2" t="s">
        <v>2147</v>
      </c>
      <c r="C69" s="2" t="s">
        <v>2116</v>
      </c>
      <c r="D69" s="2">
        <v>6</v>
      </c>
      <c r="E69" s="2"/>
      <c r="F69" s="2" t="s">
        <v>2134</v>
      </c>
      <c r="G69" s="2"/>
      <c r="H69" s="2"/>
    </row>
    <row r="70" spans="1:8" ht="71.25">
      <c r="A70" s="2" t="s">
        <v>2148</v>
      </c>
      <c r="B70" s="2" t="s">
        <v>2149</v>
      </c>
      <c r="C70" s="2" t="s">
        <v>2116</v>
      </c>
      <c r="D70" s="2">
        <v>8</v>
      </c>
      <c r="E70" s="2"/>
      <c r="F70" s="2" t="s">
        <v>2150</v>
      </c>
      <c r="G70" s="2"/>
      <c r="H70" s="2"/>
    </row>
    <row r="71" spans="1:8" ht="171">
      <c r="A71" s="2" t="s">
        <v>2151</v>
      </c>
      <c r="B71" s="2" t="s">
        <v>2152</v>
      </c>
      <c r="C71" s="2" t="s">
        <v>116</v>
      </c>
      <c r="D71" s="2">
        <v>6</v>
      </c>
      <c r="E71" s="2"/>
      <c r="F71" s="2" t="s">
        <v>2153</v>
      </c>
      <c r="G71" s="2"/>
      <c r="H71" s="2"/>
    </row>
    <row r="72" spans="1:8">
      <c r="A72" s="2" t="s">
        <v>2154</v>
      </c>
      <c r="B72" s="2" t="s">
        <v>2155</v>
      </c>
      <c r="C72" s="2" t="s">
        <v>116</v>
      </c>
      <c r="D72" s="2">
        <v>8</v>
      </c>
      <c r="E72" s="2"/>
      <c r="F72" s="2" t="s">
        <v>2004</v>
      </c>
      <c r="G72" s="2"/>
      <c r="H72" s="2"/>
    </row>
    <row r="73" spans="1:8">
      <c r="A73" s="2" t="s">
        <v>2156</v>
      </c>
      <c r="B73" s="2" t="s">
        <v>2157</v>
      </c>
      <c r="C73" s="2" t="s">
        <v>116</v>
      </c>
      <c r="D73" s="2">
        <v>6</v>
      </c>
      <c r="E73" s="2"/>
      <c r="F73" s="2" t="s">
        <v>2004</v>
      </c>
      <c r="G73" s="2"/>
      <c r="H73" s="2"/>
    </row>
    <row r="74" spans="1:8">
      <c r="A74" s="2" t="s">
        <v>2158</v>
      </c>
      <c r="B74" s="2" t="s">
        <v>2159</v>
      </c>
      <c r="C74" s="2" t="s">
        <v>116</v>
      </c>
      <c r="D74" s="2">
        <v>8</v>
      </c>
      <c r="E74" s="2"/>
      <c r="F74" s="2" t="s">
        <v>2004</v>
      </c>
      <c r="G74" s="2"/>
      <c r="H74" s="2"/>
    </row>
    <row r="75" spans="1:8">
      <c r="A75" s="2" t="s">
        <v>2160</v>
      </c>
      <c r="B75" s="2" t="s">
        <v>2161</v>
      </c>
      <c r="C75" s="2" t="s">
        <v>116</v>
      </c>
      <c r="D75" s="2">
        <v>8</v>
      </c>
      <c r="E75" s="2"/>
      <c r="F75" s="2" t="s">
        <v>2004</v>
      </c>
      <c r="G75" s="2"/>
      <c r="H75" s="2"/>
    </row>
    <row r="76" spans="1:8">
      <c r="A76" s="2" t="s">
        <v>2162</v>
      </c>
      <c r="B76" s="2" t="s">
        <v>2163</v>
      </c>
      <c r="C76" s="2" t="s">
        <v>116</v>
      </c>
      <c r="D76" s="2">
        <v>8</v>
      </c>
      <c r="E76" s="2"/>
      <c r="F76" s="2" t="s">
        <v>2004</v>
      </c>
      <c r="G76" s="2"/>
      <c r="H76" s="2"/>
    </row>
    <row r="77" spans="1:8">
      <c r="A77" s="2" t="s">
        <v>2164</v>
      </c>
      <c r="B77" s="2" t="s">
        <v>2165</v>
      </c>
      <c r="C77" s="2" t="s">
        <v>116</v>
      </c>
      <c r="D77" s="2">
        <v>4</v>
      </c>
      <c r="E77" s="2"/>
      <c r="F77" s="2" t="s">
        <v>2004</v>
      </c>
      <c r="G77" s="2"/>
      <c r="H77" s="2"/>
    </row>
    <row r="78" spans="1:8">
      <c r="A78" s="2" t="s">
        <v>2166</v>
      </c>
      <c r="B78" s="2" t="s">
        <v>2167</v>
      </c>
      <c r="C78" s="2" t="s">
        <v>116</v>
      </c>
      <c r="D78" s="2">
        <v>4</v>
      </c>
      <c r="E78" s="2"/>
      <c r="F78" s="2" t="s">
        <v>2004</v>
      </c>
      <c r="G78" s="2"/>
      <c r="H78" s="2"/>
    </row>
    <row r="79" spans="1:8" ht="71.25">
      <c r="A79" s="2" t="s">
        <v>2168</v>
      </c>
      <c r="B79" s="2" t="s">
        <v>2169</v>
      </c>
      <c r="C79" s="2" t="s">
        <v>2116</v>
      </c>
      <c r="D79" s="2">
        <v>4</v>
      </c>
      <c r="E79" s="2"/>
      <c r="F79" s="2" t="s">
        <v>2117</v>
      </c>
      <c r="G79" s="2"/>
      <c r="H79" s="2"/>
    </row>
    <row r="80" spans="1:8" ht="71.25">
      <c r="A80" s="2" t="s">
        <v>2170</v>
      </c>
      <c r="B80" s="2" t="s">
        <v>2171</v>
      </c>
      <c r="C80" s="2" t="s">
        <v>2116</v>
      </c>
      <c r="D80" s="2">
        <v>6</v>
      </c>
      <c r="E80" s="2"/>
      <c r="F80" s="2" t="s">
        <v>2172</v>
      </c>
      <c r="G80" s="2"/>
      <c r="H80" s="2"/>
    </row>
    <row r="81" spans="1:8" ht="71.25">
      <c r="A81" s="2" t="s">
        <v>2173</v>
      </c>
      <c r="B81" s="2" t="s">
        <v>2174</v>
      </c>
      <c r="C81" s="2" t="s">
        <v>2116</v>
      </c>
      <c r="D81" s="2">
        <v>4</v>
      </c>
      <c r="E81" s="2"/>
      <c r="F81" s="2" t="s">
        <v>2172</v>
      </c>
      <c r="G81" s="2"/>
      <c r="H81" s="2"/>
    </row>
    <row r="82" spans="1:8" ht="71.25">
      <c r="A82" s="2" t="s">
        <v>2175</v>
      </c>
      <c r="B82" s="2" t="s">
        <v>2176</v>
      </c>
      <c r="C82" s="2" t="s">
        <v>2116</v>
      </c>
      <c r="D82" s="2">
        <v>3</v>
      </c>
      <c r="E82" s="2"/>
      <c r="F82" s="2" t="s">
        <v>2172</v>
      </c>
      <c r="G82" s="2"/>
      <c r="H82" s="2"/>
    </row>
    <row r="83" spans="1:8" ht="71.25">
      <c r="A83" s="2" t="s">
        <v>2177</v>
      </c>
      <c r="B83" s="2" t="s">
        <v>2178</v>
      </c>
      <c r="C83" s="2" t="s">
        <v>2116</v>
      </c>
      <c r="D83" s="2">
        <v>4</v>
      </c>
      <c r="E83" s="2"/>
      <c r="F83" s="2" t="s">
        <v>2172</v>
      </c>
      <c r="G83" s="2"/>
      <c r="H83" s="2"/>
    </row>
    <row r="84" spans="1:8" ht="71.25">
      <c r="A84" s="2" t="s">
        <v>2179</v>
      </c>
      <c r="B84" s="2" t="s">
        <v>2180</v>
      </c>
      <c r="C84" s="2" t="s">
        <v>2116</v>
      </c>
      <c r="D84" s="2">
        <v>6</v>
      </c>
      <c r="E84" s="2"/>
      <c r="F84" s="2" t="s">
        <v>2172</v>
      </c>
      <c r="G84" s="2"/>
      <c r="H84" s="2"/>
    </row>
    <row r="85" spans="1:8" ht="71.25">
      <c r="A85" s="2" t="s">
        <v>2181</v>
      </c>
      <c r="B85" s="2" t="s">
        <v>2182</v>
      </c>
      <c r="C85" s="2" t="s">
        <v>2116</v>
      </c>
      <c r="D85" s="2">
        <v>4</v>
      </c>
      <c r="E85" s="2"/>
      <c r="F85" s="2" t="s">
        <v>2172</v>
      </c>
      <c r="G85" s="2"/>
      <c r="H85" s="2"/>
    </row>
    <row r="86" spans="1:8" ht="71.25">
      <c r="A86" s="2" t="s">
        <v>2183</v>
      </c>
      <c r="B86" s="2" t="s">
        <v>2184</v>
      </c>
      <c r="C86" s="2" t="s">
        <v>2116</v>
      </c>
      <c r="D86" s="2">
        <v>6</v>
      </c>
      <c r="E86" s="2"/>
      <c r="F86" s="2" t="s">
        <v>2172</v>
      </c>
      <c r="G86" s="2"/>
      <c r="H86" s="2"/>
    </row>
    <row r="87" spans="1:8" ht="28.5">
      <c r="A87" s="2" t="s">
        <v>2185</v>
      </c>
      <c r="B87" s="2" t="s">
        <v>2186</v>
      </c>
      <c r="C87" s="2" t="s">
        <v>2187</v>
      </c>
      <c r="D87" s="2">
        <v>10</v>
      </c>
      <c r="E87" s="2"/>
      <c r="F87" s="2" t="s">
        <v>2188</v>
      </c>
      <c r="G87" s="2"/>
      <c r="H87" s="2"/>
    </row>
    <row r="88" spans="1:8" ht="28.5">
      <c r="A88" s="2" t="s">
        <v>2189</v>
      </c>
      <c r="B88" s="2" t="s">
        <v>2190</v>
      </c>
      <c r="C88" s="2" t="s">
        <v>2187</v>
      </c>
      <c r="D88" s="2">
        <v>10</v>
      </c>
      <c r="E88" s="2"/>
      <c r="F88" s="2" t="s">
        <v>2188</v>
      </c>
      <c r="G88" s="2"/>
      <c r="H88" s="2"/>
    </row>
    <row r="89" spans="1:8" ht="57">
      <c r="A89" s="2" t="s">
        <v>2191</v>
      </c>
      <c r="B89" s="2" t="s">
        <v>2192</v>
      </c>
      <c r="C89" s="2" t="s">
        <v>2193</v>
      </c>
      <c r="D89" s="2">
        <v>12</v>
      </c>
      <c r="E89" s="2"/>
      <c r="F89" s="2" t="s">
        <v>2194</v>
      </c>
      <c r="G89" s="2"/>
      <c r="H89" s="2"/>
    </row>
  </sheetData>
  <mergeCells count="1">
    <mergeCell ref="A1:H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7"/>
  <sheetViews>
    <sheetView workbookViewId="0"/>
  </sheetViews>
  <sheetFormatPr defaultRowHeight="14.25"/>
  <cols>
    <col min="1" max="1" width="24" customWidth="1"/>
    <col min="2" max="2" width="72" customWidth="1"/>
    <col min="3" max="3" width="62" customWidth="1"/>
    <col min="4" max="6" width="10" customWidth="1"/>
  </cols>
  <sheetData>
    <row r="1" spans="1:6" ht="32.1" customHeight="1">
      <c r="A1" s="100" t="s">
        <v>2195</v>
      </c>
      <c r="B1" s="100"/>
      <c r="C1" s="100"/>
      <c r="D1" s="99"/>
      <c r="E1" s="99"/>
      <c r="F1" s="99"/>
    </row>
    <row r="2" spans="1:6" ht="32.1" customHeight="1">
      <c r="A2" s="26" t="s">
        <v>2196</v>
      </c>
      <c r="B2" s="26" t="s">
        <v>2197</v>
      </c>
      <c r="C2" s="26" t="s">
        <v>2198</v>
      </c>
      <c r="D2" s="2"/>
      <c r="E2" s="2"/>
      <c r="F2" s="2"/>
    </row>
    <row r="3" spans="1:6" ht="32.1" customHeight="1">
      <c r="A3" s="25" t="s">
        <v>2199</v>
      </c>
      <c r="B3" s="25" t="s">
        <v>2200</v>
      </c>
      <c r="C3" s="25" t="s">
        <v>2201</v>
      </c>
      <c r="D3" s="1"/>
      <c r="E3" s="1"/>
      <c r="F3" s="1"/>
    </row>
    <row r="4" spans="1:6" ht="32.1" customHeight="1">
      <c r="A4" s="24" t="s">
        <v>2202</v>
      </c>
      <c r="B4" s="24" t="s">
        <v>2203</v>
      </c>
      <c r="C4" s="24" t="s">
        <v>2204</v>
      </c>
      <c r="D4" s="2"/>
      <c r="E4" s="2"/>
      <c r="F4" s="2"/>
    </row>
    <row r="5" spans="1:6" ht="32.1" customHeight="1">
      <c r="A5" s="24" t="s">
        <v>2205</v>
      </c>
      <c r="B5" s="24" t="s">
        <v>2206</v>
      </c>
      <c r="C5" s="24" t="s">
        <v>2207</v>
      </c>
      <c r="D5" s="2"/>
      <c r="E5" s="2"/>
      <c r="F5" s="2"/>
    </row>
    <row r="6" spans="1:6" ht="32.1" customHeight="1">
      <c r="A6" s="24" t="s">
        <v>108</v>
      </c>
      <c r="B6" s="24" t="s">
        <v>2208</v>
      </c>
      <c r="C6" s="24" t="s">
        <v>2209</v>
      </c>
      <c r="D6" s="2"/>
      <c r="E6" s="2"/>
      <c r="F6" s="2"/>
    </row>
    <row r="7" spans="1:6" ht="32.1" customHeight="1">
      <c r="A7" s="24" t="s">
        <v>1243</v>
      </c>
      <c r="B7" s="24" t="s">
        <v>2210</v>
      </c>
      <c r="C7" s="24" t="s">
        <v>2211</v>
      </c>
      <c r="D7" s="2"/>
      <c r="E7" s="2"/>
      <c r="F7" s="2"/>
    </row>
    <row r="8" spans="1:6" ht="32.1" customHeight="1">
      <c r="A8" s="24" t="s">
        <v>2212</v>
      </c>
      <c r="B8" s="24" t="s">
        <v>2213</v>
      </c>
      <c r="C8" s="24" t="s">
        <v>2214</v>
      </c>
      <c r="D8" s="2"/>
      <c r="E8" s="2"/>
      <c r="F8" s="2"/>
    </row>
    <row r="9" spans="1:6" ht="32.1" customHeight="1">
      <c r="A9" s="24" t="s">
        <v>2215</v>
      </c>
      <c r="B9" s="24" t="s">
        <v>2216</v>
      </c>
      <c r="C9" s="24" t="s">
        <v>2217</v>
      </c>
      <c r="D9" s="2"/>
      <c r="E9" s="2"/>
      <c r="F9" s="2"/>
    </row>
    <row r="10" spans="1:6" ht="32.1" customHeight="1">
      <c r="A10" s="24" t="s">
        <v>63</v>
      </c>
      <c r="B10" s="24" t="s">
        <v>2218</v>
      </c>
      <c r="C10" s="24" t="s">
        <v>2219</v>
      </c>
      <c r="D10" s="2"/>
      <c r="E10" s="2"/>
      <c r="F10" s="2"/>
    </row>
    <row r="11" spans="1:6" ht="32.1" customHeight="1">
      <c r="A11" s="24" t="s">
        <v>2220</v>
      </c>
      <c r="B11" s="24" t="s">
        <v>2221</v>
      </c>
      <c r="C11" s="24" t="s">
        <v>2222</v>
      </c>
      <c r="D11" s="2"/>
      <c r="E11" s="2"/>
      <c r="F11" s="2"/>
    </row>
    <row r="12" spans="1:6" ht="32.1" customHeight="1">
      <c r="A12" s="24" t="s">
        <v>2223</v>
      </c>
      <c r="B12" s="24" t="s">
        <v>2224</v>
      </c>
      <c r="C12" s="24" t="s">
        <v>2225</v>
      </c>
      <c r="D12" s="2"/>
      <c r="E12" s="2"/>
      <c r="F12" s="2"/>
    </row>
    <row r="13" spans="1:6" ht="32.1" customHeight="1">
      <c r="A13" s="24" t="s">
        <v>2226</v>
      </c>
      <c r="B13" s="24" t="s">
        <v>2227</v>
      </c>
      <c r="C13" s="24" t="s">
        <v>2228</v>
      </c>
      <c r="D13" s="2"/>
      <c r="E13" s="2"/>
      <c r="F13" s="2"/>
    </row>
    <row r="14" spans="1:6" ht="32.1" customHeight="1">
      <c r="A14" s="24" t="s">
        <v>2229</v>
      </c>
      <c r="B14" s="24" t="s">
        <v>2230</v>
      </c>
      <c r="C14" s="24" t="s">
        <v>2231</v>
      </c>
      <c r="D14" s="2"/>
      <c r="E14" s="2"/>
      <c r="F14" s="2"/>
    </row>
    <row r="15" spans="1:6" ht="32.1" customHeight="1">
      <c r="A15" s="24" t="s">
        <v>2232</v>
      </c>
      <c r="B15" s="24" t="s">
        <v>2233</v>
      </c>
      <c r="C15" s="24" t="s">
        <v>2234</v>
      </c>
      <c r="D15" s="2"/>
      <c r="E15" s="2"/>
      <c r="F15" s="2"/>
    </row>
    <row r="16" spans="1:6" ht="32.1" customHeight="1">
      <c r="A16" s="24" t="s">
        <v>2235</v>
      </c>
      <c r="B16" s="24" t="s">
        <v>2236</v>
      </c>
      <c r="C16" s="24" t="s">
        <v>2237</v>
      </c>
    </row>
    <row r="17" spans="1:3" ht="32.1" customHeight="1">
      <c r="A17" s="24" t="s">
        <v>2238</v>
      </c>
      <c r="B17" s="24" t="s">
        <v>2239</v>
      </c>
      <c r="C17" s="24" t="s">
        <v>2240</v>
      </c>
    </row>
    <row r="18" spans="1:3" ht="32.1" customHeight="1">
      <c r="A18" s="24" t="s">
        <v>2241</v>
      </c>
      <c r="B18" s="24" t="s">
        <v>2242</v>
      </c>
      <c r="C18" s="24" t="s">
        <v>2243</v>
      </c>
    </row>
    <row r="19" spans="1:3" ht="28.5">
      <c r="A19" s="2" t="s">
        <v>2244</v>
      </c>
      <c r="B19" s="2" t="s">
        <v>2245</v>
      </c>
      <c r="C19" s="2" t="s">
        <v>2246</v>
      </c>
    </row>
    <row r="20" spans="1:3" ht="28.5">
      <c r="A20" s="2" t="s">
        <v>2247</v>
      </c>
      <c r="B20" s="2" t="s">
        <v>2248</v>
      </c>
      <c r="C20" s="2" t="s">
        <v>2249</v>
      </c>
    </row>
    <row r="21" spans="1:3" ht="28.5">
      <c r="A21" s="2" t="s">
        <v>2250</v>
      </c>
      <c r="B21" s="2" t="s">
        <v>2251</v>
      </c>
      <c r="C21" s="2" t="s">
        <v>2252</v>
      </c>
    </row>
    <row r="22" spans="1:3" ht="42.75">
      <c r="A22" s="2" t="s">
        <v>2253</v>
      </c>
      <c r="B22" s="2" t="s">
        <v>2254</v>
      </c>
      <c r="C22" s="2" t="s">
        <v>2255</v>
      </c>
    </row>
    <row r="23" spans="1:3" ht="42.75">
      <c r="A23" s="2" t="s">
        <v>2256</v>
      </c>
      <c r="B23" s="2" t="s">
        <v>2257</v>
      </c>
      <c r="C23" s="2" t="s">
        <v>2258</v>
      </c>
    </row>
    <row r="24" spans="1:3" ht="28.5">
      <c r="A24" s="2" t="s">
        <v>2259</v>
      </c>
      <c r="B24" s="2" t="s">
        <v>2260</v>
      </c>
      <c r="C24" s="2" t="s">
        <v>2261</v>
      </c>
    </row>
    <row r="25" spans="1:3" ht="28.5">
      <c r="A25" s="2" t="s">
        <v>2262</v>
      </c>
      <c r="B25" s="2" t="s">
        <v>2263</v>
      </c>
      <c r="C25" s="2" t="s">
        <v>2264</v>
      </c>
    </row>
    <row r="26" spans="1:3" ht="28.5">
      <c r="A26" s="2" t="s">
        <v>2265</v>
      </c>
      <c r="B26" s="2" t="s">
        <v>2266</v>
      </c>
      <c r="C26" s="2" t="s">
        <v>2267</v>
      </c>
    </row>
    <row r="27" spans="1:3" ht="42.75">
      <c r="A27" s="2" t="s">
        <v>2268</v>
      </c>
      <c r="B27" s="2" t="s">
        <v>2269</v>
      </c>
      <c r="C27" s="2" t="s">
        <v>2270</v>
      </c>
    </row>
    <row r="28" spans="1:3" ht="28.5">
      <c r="A28" s="2" t="s">
        <v>2271</v>
      </c>
      <c r="B28" s="2" t="s">
        <v>2272</v>
      </c>
      <c r="C28" s="2" t="s">
        <v>2273</v>
      </c>
    </row>
    <row r="29" spans="1:3" ht="28.5">
      <c r="A29" s="2" t="s">
        <v>2274</v>
      </c>
      <c r="B29" s="2" t="s">
        <v>2275</v>
      </c>
      <c r="C29" s="2" t="s">
        <v>2276</v>
      </c>
    </row>
    <row r="30" spans="1:3" ht="42.75">
      <c r="A30" s="2" t="s">
        <v>2277</v>
      </c>
      <c r="B30" s="2" t="s">
        <v>2278</v>
      </c>
      <c r="C30" s="2" t="s">
        <v>2279</v>
      </c>
    </row>
    <row r="31" spans="1:3" ht="28.5">
      <c r="A31" s="2" t="s">
        <v>2280</v>
      </c>
      <c r="B31" s="2" t="s">
        <v>2281</v>
      </c>
      <c r="C31" s="2" t="s">
        <v>2282</v>
      </c>
    </row>
    <row r="32" spans="1:3" ht="28.5">
      <c r="A32" s="2" t="s">
        <v>2283</v>
      </c>
      <c r="B32" s="2" t="s">
        <v>2284</v>
      </c>
      <c r="C32" s="2" t="s">
        <v>2285</v>
      </c>
    </row>
    <row r="33" spans="1:3" ht="28.5">
      <c r="A33" s="2" t="s">
        <v>2286</v>
      </c>
      <c r="B33" s="2" t="s">
        <v>2287</v>
      </c>
      <c r="C33" s="2" t="s">
        <v>2288</v>
      </c>
    </row>
    <row r="34" spans="1:3" ht="28.5">
      <c r="A34" s="2" t="s">
        <v>2289</v>
      </c>
      <c r="B34" s="2" t="s">
        <v>2290</v>
      </c>
      <c r="C34" s="2" t="s">
        <v>2291</v>
      </c>
    </row>
    <row r="35" spans="1:3" ht="28.5">
      <c r="A35" s="2" t="s">
        <v>2292</v>
      </c>
      <c r="B35" s="2" t="s">
        <v>2293</v>
      </c>
      <c r="C35" s="2" t="s">
        <v>2294</v>
      </c>
    </row>
    <row r="37" spans="1:3" ht="78" customHeight="1">
      <c r="A37" s="2" t="s">
        <v>2295</v>
      </c>
      <c r="B37" s="2" t="s">
        <v>2296</v>
      </c>
      <c r="C37" s="2" t="s">
        <v>2297</v>
      </c>
    </row>
  </sheetData>
  <mergeCells count="1">
    <mergeCell ref="A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8"/>
  <sheetViews>
    <sheetView workbookViewId="0"/>
  </sheetViews>
  <sheetFormatPr defaultRowHeight="14.25"/>
  <cols>
    <col min="1" max="1" width="29" customWidth="1"/>
    <col min="2" max="2" width="118" customWidth="1"/>
  </cols>
  <sheetData>
    <row r="1" spans="1:6" ht="32.1" customHeight="1">
      <c r="A1" s="101" t="s">
        <v>2298</v>
      </c>
      <c r="B1" s="101"/>
      <c r="C1" s="102"/>
      <c r="D1" s="102"/>
      <c r="E1" s="102"/>
      <c r="F1" s="102"/>
    </row>
    <row r="2" spans="1:6" ht="32.1" customHeight="1">
      <c r="A2" s="26" t="s">
        <v>2299</v>
      </c>
      <c r="B2" s="26" t="s">
        <v>2300</v>
      </c>
    </row>
    <row r="3" spans="1:6" ht="32.1" customHeight="1">
      <c r="A3" s="27" t="s">
        <v>2301</v>
      </c>
      <c r="B3" s="27" t="s">
        <v>2302</v>
      </c>
      <c r="C3" s="8"/>
      <c r="D3" s="8"/>
      <c r="E3" s="8"/>
      <c r="F3" s="8"/>
    </row>
    <row r="4" spans="1:6" ht="32.1" customHeight="1">
      <c r="A4" s="24" t="s">
        <v>2303</v>
      </c>
      <c r="B4" s="24" t="s">
        <v>2304</v>
      </c>
      <c r="C4" s="2"/>
      <c r="D4" s="2"/>
      <c r="E4" s="2"/>
      <c r="F4" s="2"/>
    </row>
    <row r="5" spans="1:6" ht="32.1" customHeight="1">
      <c r="A5" s="24" t="s">
        <v>2305</v>
      </c>
      <c r="B5" s="24" t="s">
        <v>2306</v>
      </c>
      <c r="C5" s="2"/>
      <c r="D5" s="2"/>
      <c r="E5" s="2"/>
      <c r="F5" s="2"/>
    </row>
    <row r="6" spans="1:6" ht="32.1" customHeight="1">
      <c r="A6" s="24" t="s">
        <v>2307</v>
      </c>
      <c r="B6" s="24" t="s">
        <v>2308</v>
      </c>
      <c r="C6" s="2"/>
      <c r="D6" s="2"/>
      <c r="E6" s="2"/>
      <c r="F6" s="2"/>
    </row>
    <row r="7" spans="1:6" ht="32.1" customHeight="1">
      <c r="A7" s="24" t="s">
        <v>2309</v>
      </c>
      <c r="B7" s="24" t="s">
        <v>2310</v>
      </c>
      <c r="C7" s="2"/>
      <c r="D7" s="2"/>
      <c r="E7" s="2"/>
      <c r="F7" s="2"/>
    </row>
    <row r="8" spans="1:6" ht="32.1" customHeight="1">
      <c r="A8" s="24" t="s">
        <v>2311</v>
      </c>
      <c r="B8" s="24" t="s">
        <v>2312</v>
      </c>
      <c r="C8" s="2"/>
      <c r="D8" s="2"/>
      <c r="E8" s="2"/>
      <c r="F8" s="2"/>
    </row>
    <row r="9" spans="1:6" ht="32.1" customHeight="1">
      <c r="A9" s="24" t="s">
        <v>2313</v>
      </c>
      <c r="B9" s="24" t="s">
        <v>2314</v>
      </c>
      <c r="C9" s="2"/>
      <c r="D9" s="2"/>
      <c r="E9" s="2"/>
      <c r="F9" s="2"/>
    </row>
    <row r="10" spans="1:6" ht="32.1" customHeight="1">
      <c r="A10" s="24" t="s">
        <v>2315</v>
      </c>
      <c r="B10" s="24" t="s">
        <v>2316</v>
      </c>
      <c r="C10" s="2"/>
      <c r="D10" s="2"/>
      <c r="E10" s="2"/>
      <c r="F10" s="2"/>
    </row>
    <row r="11" spans="1:6" ht="32.1" customHeight="1">
      <c r="A11" s="24" t="s">
        <v>2317</v>
      </c>
      <c r="B11" s="24" t="s">
        <v>2318</v>
      </c>
      <c r="C11" s="2"/>
      <c r="D11" s="2"/>
      <c r="E11" s="2"/>
      <c r="F11" s="2"/>
    </row>
    <row r="12" spans="1:6" ht="32.1" customHeight="1">
      <c r="A12" s="24" t="s">
        <v>2319</v>
      </c>
      <c r="B12" s="24" t="s">
        <v>2320</v>
      </c>
    </row>
    <row r="13" spans="1:6" ht="32.1" customHeight="1">
      <c r="A13" s="24" t="s">
        <v>2321</v>
      </c>
      <c r="B13" s="24" t="s">
        <v>2322</v>
      </c>
    </row>
    <row r="14" spans="1:6" ht="28.5">
      <c r="A14" s="2" t="s">
        <v>2323</v>
      </c>
      <c r="B14" s="2" t="s">
        <v>2324</v>
      </c>
    </row>
    <row r="15" spans="1:6" ht="28.5">
      <c r="A15" s="2" t="s">
        <v>2325</v>
      </c>
      <c r="B15" s="2" t="s">
        <v>2326</v>
      </c>
    </row>
    <row r="16" spans="1:6" ht="28.5">
      <c r="A16" s="2" t="s">
        <v>2327</v>
      </c>
      <c r="B16" s="2" t="s">
        <v>2328</v>
      </c>
    </row>
    <row r="17" spans="1:2" ht="28.5">
      <c r="A17" s="2" t="s">
        <v>2329</v>
      </c>
      <c r="B17" s="2" t="s">
        <v>2330</v>
      </c>
    </row>
    <row r="18" spans="1:2" ht="28.5">
      <c r="A18" s="2" t="s">
        <v>2331</v>
      </c>
      <c r="B18" s="2" t="s">
        <v>2332</v>
      </c>
    </row>
    <row r="19" spans="1:2" ht="28.5">
      <c r="A19" s="2" t="s">
        <v>2333</v>
      </c>
      <c r="B19" s="2" t="s">
        <v>2334</v>
      </c>
    </row>
    <row r="20" spans="1:2" ht="28.5">
      <c r="A20" s="2" t="s">
        <v>2335</v>
      </c>
      <c r="B20" s="2" t="s">
        <v>2336</v>
      </c>
    </row>
    <row r="21" spans="1:2" ht="28.5">
      <c r="A21" s="2" t="s">
        <v>2337</v>
      </c>
      <c r="B21" s="2" t="s">
        <v>2338</v>
      </c>
    </row>
    <row r="22" spans="1:2" ht="28.5">
      <c r="A22" s="2" t="s">
        <v>2339</v>
      </c>
      <c r="B22" s="2" t="s">
        <v>2340</v>
      </c>
    </row>
    <row r="23" spans="1:2" ht="28.5">
      <c r="A23" s="2" t="s">
        <v>2341</v>
      </c>
      <c r="B23" s="2" t="s">
        <v>2342</v>
      </c>
    </row>
    <row r="24" spans="1:2" ht="28.5">
      <c r="A24" s="2" t="s">
        <v>2343</v>
      </c>
      <c r="B24" s="2" t="s">
        <v>2344</v>
      </c>
    </row>
    <row r="25" spans="1:2" ht="84.95" customHeight="1">
      <c r="A25" s="2" t="s">
        <v>2345</v>
      </c>
      <c r="B25" s="2" t="s">
        <v>2346</v>
      </c>
    </row>
    <row r="26" spans="1:2" ht="28.5">
      <c r="A26" s="2" t="s">
        <v>2347</v>
      </c>
      <c r="B26" s="2" t="s">
        <v>2348</v>
      </c>
    </row>
    <row r="27" spans="1:2" ht="28.5">
      <c r="A27" s="2" t="s">
        <v>2349</v>
      </c>
      <c r="B27" s="2" t="s">
        <v>2350</v>
      </c>
    </row>
    <row r="28" spans="1:2" ht="28.5">
      <c r="A28" s="2" t="s">
        <v>2351</v>
      </c>
      <c r="B28" s="2" t="s">
        <v>2352</v>
      </c>
    </row>
    <row r="29" spans="1:2">
      <c r="A29" s="2" t="s">
        <v>2353</v>
      </c>
      <c r="B29" s="2" t="s">
        <v>2354</v>
      </c>
    </row>
    <row r="30" spans="1:2" ht="28.5">
      <c r="A30" s="2" t="s">
        <v>2355</v>
      </c>
      <c r="B30" s="2" t="s">
        <v>2356</v>
      </c>
    </row>
    <row r="31" spans="1:2" ht="28.5">
      <c r="A31" s="2" t="s">
        <v>2357</v>
      </c>
      <c r="B31" s="2" t="s">
        <v>2358</v>
      </c>
    </row>
    <row r="32" spans="1:2">
      <c r="A32" s="2" t="s">
        <v>2359</v>
      </c>
      <c r="B32" s="2" t="s">
        <v>2360</v>
      </c>
    </row>
    <row r="33" spans="1:2" ht="28.5">
      <c r="A33" s="2" t="s">
        <v>2361</v>
      </c>
      <c r="B33" s="2" t="s">
        <v>2362</v>
      </c>
    </row>
    <row r="34" spans="1:2">
      <c r="A34" t="s">
        <v>2363</v>
      </c>
      <c r="B34" t="s">
        <v>2364</v>
      </c>
    </row>
    <row r="35" spans="1:2">
      <c r="A35" t="s">
        <v>2365</v>
      </c>
      <c r="B35" t="s">
        <v>2366</v>
      </c>
    </row>
    <row r="36" spans="1:2">
      <c r="A36" t="s">
        <v>2367</v>
      </c>
      <c r="B36" t="s">
        <v>2368</v>
      </c>
    </row>
    <row r="37" spans="1:2">
      <c r="A37" t="s">
        <v>2369</v>
      </c>
      <c r="B37" t="s">
        <v>2370</v>
      </c>
    </row>
    <row r="38" spans="1:2">
      <c r="A38" t="s">
        <v>2371</v>
      </c>
      <c r="B38" t="s">
        <v>2372</v>
      </c>
    </row>
    <row r="39" spans="1:2">
      <c r="A39" t="s">
        <v>2373</v>
      </c>
      <c r="B39" s="2" t="s">
        <v>2374</v>
      </c>
    </row>
    <row r="40" spans="1:2" ht="28.5">
      <c r="A40" t="s">
        <v>2375</v>
      </c>
      <c r="B40" s="2" t="s">
        <v>2376</v>
      </c>
    </row>
    <row r="41" spans="1:2" ht="71.25">
      <c r="A41" t="s">
        <v>2377</v>
      </c>
      <c r="B41" s="2" t="s">
        <v>474</v>
      </c>
    </row>
    <row r="42" spans="1:2" ht="28.5">
      <c r="A42" t="s">
        <v>2378</v>
      </c>
      <c r="B42" s="2" t="s">
        <v>2379</v>
      </c>
    </row>
    <row r="43" spans="1:2">
      <c r="A43" t="s">
        <v>2380</v>
      </c>
      <c r="B43" s="2" t="s">
        <v>2381</v>
      </c>
    </row>
    <row r="44" spans="1:2" ht="28.5">
      <c r="A44" t="s">
        <v>2382</v>
      </c>
      <c r="B44" s="2" t="s">
        <v>2383</v>
      </c>
    </row>
    <row r="45" spans="1:2" ht="28.5">
      <c r="A45" t="s">
        <v>2384</v>
      </c>
      <c r="B45" s="2" t="s">
        <v>2385</v>
      </c>
    </row>
    <row r="46" spans="1:2" ht="28.5">
      <c r="A46" t="s">
        <v>2386</v>
      </c>
      <c r="B46" s="2" t="s">
        <v>2387</v>
      </c>
    </row>
    <row r="47" spans="1:2">
      <c r="A47" t="s">
        <v>2388</v>
      </c>
      <c r="B47" t="s">
        <v>2389</v>
      </c>
    </row>
    <row r="48" spans="1:2">
      <c r="A48" t="s">
        <v>2390</v>
      </c>
      <c r="B48" t="s">
        <v>2391</v>
      </c>
    </row>
  </sheetData>
  <mergeCells count="1">
    <mergeCell ref="A1:F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0"/>
  <sheetViews>
    <sheetView workbookViewId="0"/>
  </sheetViews>
  <sheetFormatPr defaultRowHeight="14.25"/>
  <cols>
    <col min="1" max="1" width="10" customWidth="1"/>
    <col min="2" max="2" width="8" customWidth="1"/>
    <col min="3" max="3" width="12" customWidth="1"/>
    <col min="4" max="4" width="52" customWidth="1"/>
    <col min="5" max="5" width="58" customWidth="1"/>
    <col min="6" max="6" width="15" customWidth="1"/>
    <col min="7" max="7" width="40" customWidth="1"/>
    <col min="8" max="8" width="34" customWidth="1"/>
    <col min="9" max="9" width="60" customWidth="1"/>
  </cols>
  <sheetData>
    <row r="1" spans="1:9" ht="30">
      <c r="A1" s="8" t="s">
        <v>2392</v>
      </c>
      <c r="B1" s="8" t="s">
        <v>1834</v>
      </c>
      <c r="C1" s="8" t="s">
        <v>2393</v>
      </c>
      <c r="D1" s="8" t="s">
        <v>2394</v>
      </c>
      <c r="E1" s="8" t="s">
        <v>2395</v>
      </c>
      <c r="F1" s="8" t="s">
        <v>2396</v>
      </c>
      <c r="G1" s="8" t="s">
        <v>2397</v>
      </c>
      <c r="H1" s="8" t="s">
        <v>2398</v>
      </c>
      <c r="I1" s="8" t="s">
        <v>2399</v>
      </c>
    </row>
    <row r="2" spans="1:9" ht="28.5">
      <c r="A2" s="2" t="s">
        <v>107</v>
      </c>
      <c r="B2" s="2" t="s">
        <v>109</v>
      </c>
      <c r="C2" s="2" t="s">
        <v>117</v>
      </c>
      <c r="D2" s="2" t="s">
        <v>2400</v>
      </c>
      <c r="E2" s="2" t="s">
        <v>2401</v>
      </c>
      <c r="F2" s="9">
        <v>46259</v>
      </c>
      <c r="G2" s="2" t="s">
        <v>2402</v>
      </c>
      <c r="H2" s="2" t="s">
        <v>2403</v>
      </c>
      <c r="I2" s="2" t="s">
        <v>2404</v>
      </c>
    </row>
    <row r="3" spans="1:9" ht="28.5">
      <c r="A3" s="2" t="s">
        <v>143</v>
      </c>
      <c r="B3" s="2" t="s">
        <v>109</v>
      </c>
      <c r="C3" s="2" t="s">
        <v>117</v>
      </c>
      <c r="D3" s="2" t="s">
        <v>2405</v>
      </c>
      <c r="E3" s="2"/>
      <c r="F3" s="9">
        <v>46262</v>
      </c>
      <c r="G3" s="2" t="s">
        <v>2406</v>
      </c>
      <c r="H3" s="2" t="s">
        <v>2407</v>
      </c>
      <c r="I3" s="2" t="s">
        <v>2408</v>
      </c>
    </row>
    <row r="4" spans="1:9" ht="28.5">
      <c r="A4" s="2" t="s">
        <v>158</v>
      </c>
      <c r="B4" s="2" t="s">
        <v>109</v>
      </c>
      <c r="C4" s="2" t="s">
        <v>117</v>
      </c>
      <c r="D4" s="2" t="s">
        <v>2409</v>
      </c>
      <c r="E4" s="2" t="s">
        <v>2410</v>
      </c>
      <c r="F4" s="9">
        <v>46260</v>
      </c>
      <c r="G4" s="2" t="s">
        <v>2411</v>
      </c>
      <c r="H4" s="2" t="s">
        <v>2403</v>
      </c>
      <c r="I4" s="2" t="s">
        <v>2412</v>
      </c>
    </row>
    <row r="5" spans="1:9">
      <c r="A5" s="2" t="s">
        <v>168</v>
      </c>
      <c r="B5" s="2" t="s">
        <v>109</v>
      </c>
      <c r="C5" s="2" t="s">
        <v>117</v>
      </c>
      <c r="D5" s="2" t="s">
        <v>2413</v>
      </c>
      <c r="E5" s="2"/>
      <c r="F5" s="9"/>
      <c r="G5" s="2" t="s">
        <v>2414</v>
      </c>
      <c r="H5" s="2" t="s">
        <v>2407</v>
      </c>
      <c r="I5" s="2" t="s">
        <v>2415</v>
      </c>
    </row>
    <row r="6" spans="1:9">
      <c r="A6" s="2" t="s">
        <v>180</v>
      </c>
      <c r="B6" s="2" t="s">
        <v>109</v>
      </c>
      <c r="C6" s="2" t="s">
        <v>117</v>
      </c>
      <c r="D6" s="2" t="s">
        <v>2416</v>
      </c>
      <c r="E6" s="2"/>
      <c r="F6" s="9"/>
      <c r="G6" s="2" t="s">
        <v>2414</v>
      </c>
      <c r="H6" s="2" t="s">
        <v>2417</v>
      </c>
      <c r="I6" s="2" t="s">
        <v>2418</v>
      </c>
    </row>
    <row r="7" spans="1:9">
      <c r="A7" s="2" t="s">
        <v>192</v>
      </c>
      <c r="B7" s="2" t="s">
        <v>109</v>
      </c>
      <c r="C7" s="2" t="s">
        <v>117</v>
      </c>
      <c r="D7" s="2" t="s">
        <v>2419</v>
      </c>
      <c r="E7" s="2"/>
      <c r="F7" s="9"/>
      <c r="G7" s="2" t="s">
        <v>2414</v>
      </c>
      <c r="H7" s="2" t="s">
        <v>2417</v>
      </c>
      <c r="I7" s="2" t="s">
        <v>2420</v>
      </c>
    </row>
    <row r="8" spans="1:9" ht="28.5">
      <c r="A8" s="2" t="s">
        <v>199</v>
      </c>
      <c r="B8" s="2" t="s">
        <v>109</v>
      </c>
      <c r="C8" s="2" t="s">
        <v>117</v>
      </c>
      <c r="D8" s="2" t="s">
        <v>2421</v>
      </c>
      <c r="E8" s="2"/>
      <c r="F8" s="9">
        <v>46267</v>
      </c>
      <c r="G8" s="2" t="s">
        <v>2422</v>
      </c>
      <c r="H8" s="2" t="s">
        <v>2423</v>
      </c>
      <c r="I8" s="2" t="s">
        <v>2424</v>
      </c>
    </row>
    <row r="9" spans="1:9">
      <c r="A9" s="2" t="s">
        <v>211</v>
      </c>
      <c r="B9" s="2" t="s">
        <v>109</v>
      </c>
      <c r="C9" s="2" t="s">
        <v>117</v>
      </c>
      <c r="D9" s="2" t="s">
        <v>2425</v>
      </c>
      <c r="E9" s="2" t="s">
        <v>2426</v>
      </c>
      <c r="F9" s="9">
        <v>46268</v>
      </c>
      <c r="G9" s="2" t="s">
        <v>2427</v>
      </c>
      <c r="H9" s="2" t="s">
        <v>2428</v>
      </c>
      <c r="I9" s="2" t="s">
        <v>2429</v>
      </c>
    </row>
    <row r="10" spans="1:9" ht="28.5">
      <c r="A10" s="2" t="s">
        <v>219</v>
      </c>
      <c r="B10" s="2" t="s">
        <v>109</v>
      </c>
      <c r="C10" s="2" t="s">
        <v>117</v>
      </c>
      <c r="D10" s="2" t="s">
        <v>2430</v>
      </c>
      <c r="E10" s="2" t="s">
        <v>2431</v>
      </c>
      <c r="F10" s="9">
        <v>46272</v>
      </c>
      <c r="G10" s="2" t="s">
        <v>2432</v>
      </c>
      <c r="H10" s="2" t="s">
        <v>2433</v>
      </c>
      <c r="I10" s="2" t="s">
        <v>2434</v>
      </c>
    </row>
    <row r="11" spans="1:9" ht="28.5">
      <c r="A11" s="2" t="s">
        <v>425</v>
      </c>
      <c r="B11" s="2" t="s">
        <v>426</v>
      </c>
      <c r="C11" s="2" t="s">
        <v>117</v>
      </c>
      <c r="D11" s="2" t="s">
        <v>2435</v>
      </c>
      <c r="E11" s="2"/>
      <c r="F11" s="9">
        <v>46272</v>
      </c>
      <c r="G11" s="2" t="s">
        <v>2436</v>
      </c>
      <c r="H11" s="2" t="s">
        <v>2437</v>
      </c>
      <c r="I11" s="2" t="s">
        <v>2438</v>
      </c>
    </row>
    <row r="12" spans="1:9" ht="28.5">
      <c r="A12" s="2" t="s">
        <v>439</v>
      </c>
      <c r="B12" s="2" t="s">
        <v>426</v>
      </c>
      <c r="C12" s="2" t="s">
        <v>117</v>
      </c>
      <c r="D12" s="2" t="s">
        <v>2439</v>
      </c>
      <c r="E12" s="2" t="s">
        <v>2440</v>
      </c>
      <c r="F12" s="9">
        <v>46273</v>
      </c>
      <c r="G12" s="2" t="s">
        <v>2441</v>
      </c>
      <c r="H12" s="2" t="s">
        <v>2428</v>
      </c>
      <c r="I12" s="2" t="s">
        <v>2429</v>
      </c>
    </row>
    <row r="13" spans="1:9">
      <c r="A13" s="2" t="s">
        <v>445</v>
      </c>
      <c r="B13" s="2" t="s">
        <v>426</v>
      </c>
      <c r="C13" s="2" t="s">
        <v>117</v>
      </c>
      <c r="D13" s="2" t="s">
        <v>2442</v>
      </c>
      <c r="E13" s="2" t="s">
        <v>2443</v>
      </c>
      <c r="F13" s="9">
        <v>46273</v>
      </c>
      <c r="G13" s="2" t="s">
        <v>2444</v>
      </c>
      <c r="H13" s="2" t="s">
        <v>2428</v>
      </c>
      <c r="I13" s="2" t="s">
        <v>2445</v>
      </c>
    </row>
    <row r="14" spans="1:9" ht="28.5">
      <c r="A14" s="2" t="s">
        <v>874</v>
      </c>
      <c r="B14" s="2" t="s">
        <v>858</v>
      </c>
      <c r="C14" s="2" t="s">
        <v>864</v>
      </c>
      <c r="D14" s="2" t="s">
        <v>2446</v>
      </c>
      <c r="E14" s="2" t="s">
        <v>2447</v>
      </c>
      <c r="F14" s="9"/>
      <c r="G14" s="2" t="s">
        <v>2448</v>
      </c>
      <c r="H14" s="2" t="s">
        <v>2423</v>
      </c>
      <c r="I14" s="2" t="s">
        <v>2449</v>
      </c>
    </row>
    <row r="15" spans="1:9" ht="28.5">
      <c r="A15" s="2" t="s">
        <v>883</v>
      </c>
      <c r="B15" s="2" t="s">
        <v>858</v>
      </c>
      <c r="C15" s="2" t="s">
        <v>864</v>
      </c>
      <c r="D15" s="2" t="s">
        <v>2450</v>
      </c>
      <c r="E15" s="2" t="s">
        <v>2451</v>
      </c>
      <c r="F15" s="9">
        <v>46247</v>
      </c>
      <c r="G15" s="2" t="s">
        <v>2452</v>
      </c>
      <c r="H15" s="2" t="s">
        <v>2403</v>
      </c>
      <c r="I15" s="2" t="s">
        <v>2453</v>
      </c>
    </row>
    <row r="16" spans="1:9">
      <c r="A16" s="2" t="s">
        <v>891</v>
      </c>
      <c r="B16" s="2" t="s">
        <v>858</v>
      </c>
      <c r="C16" s="2" t="s">
        <v>864</v>
      </c>
      <c r="D16" s="2" t="s">
        <v>2454</v>
      </c>
      <c r="E16" s="2" t="s">
        <v>2455</v>
      </c>
      <c r="F16" s="9">
        <v>46249</v>
      </c>
      <c r="G16" s="2" t="s">
        <v>2456</v>
      </c>
      <c r="H16" s="2" t="s">
        <v>2403</v>
      </c>
      <c r="I16" s="2" t="s">
        <v>2457</v>
      </c>
    </row>
    <row r="17" spans="1:9" ht="28.5">
      <c r="A17" s="2" t="s">
        <v>897</v>
      </c>
      <c r="B17" s="2" t="s">
        <v>858</v>
      </c>
      <c r="C17" s="2" t="s">
        <v>864</v>
      </c>
      <c r="D17" s="2" t="s">
        <v>2458</v>
      </c>
      <c r="E17" s="2" t="s">
        <v>2459</v>
      </c>
      <c r="F17" s="9"/>
      <c r="G17" s="2" t="s">
        <v>2448</v>
      </c>
      <c r="H17" s="2" t="s">
        <v>2460</v>
      </c>
      <c r="I17" s="2" t="s">
        <v>2461</v>
      </c>
    </row>
    <row r="18" spans="1:9" ht="28.5">
      <c r="A18" s="2" t="s">
        <v>907</v>
      </c>
      <c r="B18" s="2" t="s">
        <v>858</v>
      </c>
      <c r="C18" s="2" t="s">
        <v>864</v>
      </c>
      <c r="D18" s="2" t="s">
        <v>2462</v>
      </c>
      <c r="E18" s="2" t="s">
        <v>2463</v>
      </c>
      <c r="F18" s="9">
        <v>46249</v>
      </c>
      <c r="G18" s="2" t="s">
        <v>2456</v>
      </c>
      <c r="H18" s="2" t="s">
        <v>2403</v>
      </c>
      <c r="I18" s="2" t="s">
        <v>2464</v>
      </c>
    </row>
    <row r="19" spans="1:9">
      <c r="A19" s="2" t="s">
        <v>914</v>
      </c>
      <c r="B19" s="2" t="s">
        <v>858</v>
      </c>
      <c r="C19" s="2" t="s">
        <v>864</v>
      </c>
      <c r="D19" s="2" t="s">
        <v>2465</v>
      </c>
      <c r="E19" s="2" t="s">
        <v>2466</v>
      </c>
      <c r="F19" s="9">
        <v>46249</v>
      </c>
      <c r="G19" s="2" t="s">
        <v>2456</v>
      </c>
      <c r="H19" s="2" t="s">
        <v>2403</v>
      </c>
      <c r="I19" s="2" t="s">
        <v>2467</v>
      </c>
    </row>
    <row r="20" spans="1:9">
      <c r="A20" s="2" t="s">
        <v>923</v>
      </c>
      <c r="B20" s="2" t="s">
        <v>858</v>
      </c>
      <c r="C20" s="2" t="s">
        <v>864</v>
      </c>
      <c r="D20" s="2" t="s">
        <v>2468</v>
      </c>
      <c r="E20" s="2" t="s">
        <v>2469</v>
      </c>
      <c r="F20" s="9">
        <v>46249</v>
      </c>
      <c r="G20" s="2" t="s">
        <v>2456</v>
      </c>
      <c r="H20" s="2" t="s">
        <v>2403</v>
      </c>
      <c r="I20" s="2" t="s">
        <v>2470</v>
      </c>
    </row>
    <row r="21" spans="1:9" ht="28.5">
      <c r="A21" s="2" t="s">
        <v>929</v>
      </c>
      <c r="B21" s="2" t="s">
        <v>858</v>
      </c>
      <c r="C21" s="2" t="s">
        <v>864</v>
      </c>
      <c r="D21" s="2" t="s">
        <v>2471</v>
      </c>
      <c r="E21" s="2" t="s">
        <v>2472</v>
      </c>
      <c r="F21" s="9">
        <v>46249</v>
      </c>
      <c r="G21" s="2" t="s">
        <v>2473</v>
      </c>
      <c r="H21" s="2" t="s">
        <v>2403</v>
      </c>
      <c r="I21" s="2" t="s">
        <v>2474</v>
      </c>
    </row>
    <row r="22" spans="1:9" ht="42.75">
      <c r="A22" s="2" t="s">
        <v>936</v>
      </c>
      <c r="B22" s="2" t="s">
        <v>858</v>
      </c>
      <c r="C22" s="2" t="s">
        <v>864</v>
      </c>
      <c r="D22" s="2" t="s">
        <v>2475</v>
      </c>
      <c r="E22" s="2" t="s">
        <v>2476</v>
      </c>
      <c r="F22" s="9">
        <v>46249</v>
      </c>
      <c r="G22" s="2" t="s">
        <v>2477</v>
      </c>
      <c r="H22" s="2" t="s">
        <v>2478</v>
      </c>
      <c r="I22" s="2" t="s">
        <v>2479</v>
      </c>
    </row>
    <row r="23" spans="1:9">
      <c r="A23" s="2" t="s">
        <v>943</v>
      </c>
      <c r="B23" s="2" t="s">
        <v>858</v>
      </c>
      <c r="C23" s="2" t="s">
        <v>864</v>
      </c>
      <c r="D23" s="2" t="s">
        <v>2480</v>
      </c>
      <c r="E23" s="2" t="s">
        <v>2481</v>
      </c>
      <c r="F23" s="9"/>
      <c r="G23" s="2" t="s">
        <v>2448</v>
      </c>
      <c r="H23" s="2" t="s">
        <v>2482</v>
      </c>
      <c r="I23" s="2" t="s">
        <v>2483</v>
      </c>
    </row>
    <row r="24" spans="1:9" ht="28.5">
      <c r="A24" s="2" t="s">
        <v>951</v>
      </c>
      <c r="B24" s="2" t="s">
        <v>858</v>
      </c>
      <c r="C24" s="2" t="s">
        <v>864</v>
      </c>
      <c r="D24" s="2" t="s">
        <v>2484</v>
      </c>
      <c r="E24" s="2" t="s">
        <v>2485</v>
      </c>
      <c r="F24" s="9">
        <v>46250</v>
      </c>
      <c r="G24" s="2" t="s">
        <v>2486</v>
      </c>
      <c r="H24" s="2" t="s">
        <v>2478</v>
      </c>
      <c r="I24" s="2" t="s">
        <v>2487</v>
      </c>
    </row>
    <row r="25" spans="1:9">
      <c r="A25" s="2" t="s">
        <v>960</v>
      </c>
      <c r="B25" s="2" t="s">
        <v>858</v>
      </c>
      <c r="C25" s="2" t="s">
        <v>864</v>
      </c>
      <c r="D25" s="2" t="s">
        <v>2488</v>
      </c>
      <c r="E25" s="2" t="s">
        <v>2489</v>
      </c>
      <c r="F25" s="9">
        <v>46250</v>
      </c>
      <c r="G25" s="2" t="s">
        <v>2490</v>
      </c>
      <c r="H25" s="2" t="s">
        <v>2403</v>
      </c>
      <c r="I25" s="2" t="s">
        <v>2491</v>
      </c>
    </row>
    <row r="26" spans="1:9" ht="28.5">
      <c r="A26" s="2" t="s">
        <v>969</v>
      </c>
      <c r="B26" s="2" t="s">
        <v>858</v>
      </c>
      <c r="C26" s="2" t="s">
        <v>864</v>
      </c>
      <c r="D26" s="2" t="s">
        <v>2492</v>
      </c>
      <c r="E26" s="2" t="s">
        <v>2493</v>
      </c>
      <c r="F26" s="9">
        <v>46250</v>
      </c>
      <c r="G26" s="2" t="s">
        <v>2452</v>
      </c>
      <c r="H26" s="2" t="s">
        <v>2428</v>
      </c>
      <c r="I26" s="2" t="s">
        <v>2494</v>
      </c>
    </row>
    <row r="27" spans="1:9" ht="15">
      <c r="A27" s="2" t="s">
        <v>975</v>
      </c>
      <c r="B27" s="2" t="s">
        <v>858</v>
      </c>
      <c r="C27" s="2" t="s">
        <v>864</v>
      </c>
      <c r="D27" s="2" t="s">
        <v>2495</v>
      </c>
      <c r="E27" s="2" t="s">
        <v>2496</v>
      </c>
      <c r="F27" s="9">
        <v>46250</v>
      </c>
      <c r="G27" s="2" t="s">
        <v>2497</v>
      </c>
      <c r="H27" s="2" t="s">
        <v>2498</v>
      </c>
      <c r="I27" s="2" t="s">
        <v>2499</v>
      </c>
    </row>
    <row r="28" spans="1:9" ht="28.5">
      <c r="A28" s="2" t="s">
        <v>975</v>
      </c>
      <c r="B28" s="2" t="s">
        <v>858</v>
      </c>
      <c r="C28" s="2" t="s">
        <v>864</v>
      </c>
      <c r="D28" s="2" t="s">
        <v>2500</v>
      </c>
      <c r="E28" s="2" t="s">
        <v>2501</v>
      </c>
      <c r="F28" s="9">
        <v>46250</v>
      </c>
      <c r="G28" s="2" t="s">
        <v>2473</v>
      </c>
      <c r="H28" s="2" t="s">
        <v>2428</v>
      </c>
      <c r="I28" s="2" t="s">
        <v>2502</v>
      </c>
    </row>
    <row r="29" spans="1:9" ht="42.75">
      <c r="A29" s="2" t="s">
        <v>118</v>
      </c>
      <c r="B29" s="2" t="s">
        <v>109</v>
      </c>
      <c r="C29" s="2" t="s">
        <v>117</v>
      </c>
      <c r="D29" s="2" t="s">
        <v>2503</v>
      </c>
      <c r="E29" s="2" t="s">
        <v>2504</v>
      </c>
      <c r="F29" s="9">
        <v>46258</v>
      </c>
      <c r="G29" s="2" t="s">
        <v>2505</v>
      </c>
      <c r="H29" s="2" t="s">
        <v>2506</v>
      </c>
      <c r="I29" s="2" t="s">
        <v>2507</v>
      </c>
    </row>
    <row r="30" spans="1:9" ht="28.5">
      <c r="A30" s="2" t="s">
        <v>239</v>
      </c>
      <c r="B30" s="2" t="s">
        <v>109</v>
      </c>
      <c r="C30" s="2" t="s">
        <v>36</v>
      </c>
      <c r="D30" s="2" t="s">
        <v>2508</v>
      </c>
      <c r="E30" s="2" t="s">
        <v>2509</v>
      </c>
      <c r="F30" s="9">
        <v>46259</v>
      </c>
      <c r="G30" s="2" t="s">
        <v>2510</v>
      </c>
      <c r="H30" s="2" t="s">
        <v>2403</v>
      </c>
      <c r="I30" s="2" t="s">
        <v>2511</v>
      </c>
    </row>
    <row r="31" spans="1:9">
      <c r="A31" s="2" t="s">
        <v>252</v>
      </c>
      <c r="B31" s="2" t="s">
        <v>109</v>
      </c>
      <c r="C31" s="2" t="s">
        <v>36</v>
      </c>
      <c r="D31" s="2" t="s">
        <v>2512</v>
      </c>
      <c r="E31" s="2" t="s">
        <v>2513</v>
      </c>
      <c r="F31" s="9">
        <v>46259</v>
      </c>
      <c r="G31" s="2" t="s">
        <v>2452</v>
      </c>
      <c r="H31" s="2" t="s">
        <v>2403</v>
      </c>
      <c r="I31" s="2" t="s">
        <v>2514</v>
      </c>
    </row>
    <row r="32" spans="1:9" ht="28.5">
      <c r="A32" s="2" t="s">
        <v>262</v>
      </c>
      <c r="B32" s="2" t="s">
        <v>109</v>
      </c>
      <c r="C32" s="2" t="s">
        <v>36</v>
      </c>
      <c r="D32" s="2" t="s">
        <v>2515</v>
      </c>
      <c r="E32" s="2"/>
      <c r="F32" s="9">
        <v>46265</v>
      </c>
      <c r="G32" s="2" t="s">
        <v>2516</v>
      </c>
      <c r="H32" s="2" t="s">
        <v>2517</v>
      </c>
      <c r="I32" s="2" t="s">
        <v>2518</v>
      </c>
    </row>
    <row r="33" spans="1:9" ht="28.5">
      <c r="A33" s="2" t="s">
        <v>274</v>
      </c>
      <c r="B33" s="2" t="s">
        <v>109</v>
      </c>
      <c r="C33" s="2" t="s">
        <v>36</v>
      </c>
      <c r="D33" s="2" t="s">
        <v>2519</v>
      </c>
      <c r="E33" s="2" t="s">
        <v>2520</v>
      </c>
      <c r="F33" s="9">
        <v>46264</v>
      </c>
      <c r="G33" s="2" t="s">
        <v>2521</v>
      </c>
      <c r="H33" s="2" t="s">
        <v>2522</v>
      </c>
      <c r="I33" s="2" t="s">
        <v>2523</v>
      </c>
    </row>
    <row r="34" spans="1:9" ht="28.5">
      <c r="A34" s="2" t="s">
        <v>299</v>
      </c>
      <c r="B34" s="2" t="s">
        <v>109</v>
      </c>
      <c r="C34" s="2" t="s">
        <v>293</v>
      </c>
      <c r="D34" s="2" t="s">
        <v>2524</v>
      </c>
      <c r="E34" s="2" t="s">
        <v>2525</v>
      </c>
      <c r="F34" s="9"/>
      <c r="G34" s="2" t="s">
        <v>2414</v>
      </c>
      <c r="H34" s="2" t="s">
        <v>2403</v>
      </c>
      <c r="I34" s="2" t="s">
        <v>2526</v>
      </c>
    </row>
    <row r="35" spans="1:9">
      <c r="A35" s="2" t="s">
        <v>309</v>
      </c>
      <c r="B35" s="2" t="s">
        <v>109</v>
      </c>
      <c r="C35" s="2" t="s">
        <v>293</v>
      </c>
      <c r="D35" s="2" t="s">
        <v>2527</v>
      </c>
      <c r="E35" s="2"/>
      <c r="F35" s="9">
        <v>46259</v>
      </c>
      <c r="G35" s="2" t="s">
        <v>2528</v>
      </c>
      <c r="H35" s="2" t="s">
        <v>2417</v>
      </c>
      <c r="I35" s="2" t="s">
        <v>2529</v>
      </c>
    </row>
    <row r="36" spans="1:9" ht="28.5">
      <c r="A36" s="2" t="s">
        <v>322</v>
      </c>
      <c r="B36" s="2" t="s">
        <v>109</v>
      </c>
      <c r="C36" s="2" t="s">
        <v>117</v>
      </c>
      <c r="D36" s="2" t="s">
        <v>2530</v>
      </c>
      <c r="E36" s="2"/>
      <c r="F36" s="9">
        <v>46266</v>
      </c>
      <c r="G36" s="2" t="s">
        <v>2531</v>
      </c>
      <c r="H36" s="2" t="s">
        <v>2532</v>
      </c>
      <c r="I36" s="2" t="s">
        <v>2533</v>
      </c>
    </row>
    <row r="37" spans="1:9">
      <c r="A37" s="2" t="s">
        <v>595</v>
      </c>
      <c r="B37" s="2" t="s">
        <v>426</v>
      </c>
      <c r="C37" s="2" t="s">
        <v>36</v>
      </c>
      <c r="D37" s="2" t="s">
        <v>2534</v>
      </c>
      <c r="E37" s="2"/>
      <c r="F37" s="9">
        <v>46265</v>
      </c>
      <c r="G37" s="2" t="s">
        <v>2535</v>
      </c>
      <c r="H37" s="2" t="s">
        <v>2437</v>
      </c>
      <c r="I37" s="2" t="s">
        <v>2536</v>
      </c>
    </row>
    <row r="38" spans="1:9">
      <c r="A38" s="2" t="s">
        <v>334</v>
      </c>
      <c r="B38" s="2" t="s">
        <v>109</v>
      </c>
      <c r="C38" s="2" t="s">
        <v>293</v>
      </c>
      <c r="D38" s="2" t="s">
        <v>2537</v>
      </c>
      <c r="E38" s="2" t="s">
        <v>2538</v>
      </c>
      <c r="F38" s="9">
        <v>46259</v>
      </c>
      <c r="G38" s="2" t="s">
        <v>2402</v>
      </c>
      <c r="H38" s="2" t="s">
        <v>2403</v>
      </c>
      <c r="I38" s="2" t="s">
        <v>2539</v>
      </c>
    </row>
    <row r="39" spans="1:9">
      <c r="A39" s="2" t="s">
        <v>346</v>
      </c>
      <c r="B39" s="2" t="s">
        <v>109</v>
      </c>
      <c r="C39" s="2" t="s">
        <v>117</v>
      </c>
      <c r="D39" s="2" t="s">
        <v>2540</v>
      </c>
      <c r="E39" s="2" t="s">
        <v>2541</v>
      </c>
      <c r="F39" s="9"/>
      <c r="G39" s="2" t="s">
        <v>2414</v>
      </c>
      <c r="H39" s="2" t="s">
        <v>2428</v>
      </c>
      <c r="I39" s="2" t="s">
        <v>2542</v>
      </c>
    </row>
    <row r="40" spans="1:9">
      <c r="A40" s="2" t="s">
        <v>671</v>
      </c>
      <c r="B40" s="2" t="s">
        <v>426</v>
      </c>
      <c r="C40" s="2" t="s">
        <v>36</v>
      </c>
      <c r="D40" s="2" t="s">
        <v>2543</v>
      </c>
      <c r="E40" s="2"/>
      <c r="F40" s="9"/>
      <c r="G40" s="2" t="s">
        <v>2414</v>
      </c>
      <c r="H40" s="2" t="s">
        <v>2417</v>
      </c>
      <c r="I40" s="2" t="s">
        <v>2544</v>
      </c>
    </row>
    <row r="41" spans="1:9" ht="57">
      <c r="A41" s="2" t="s">
        <v>686</v>
      </c>
      <c r="B41" s="2" t="s">
        <v>426</v>
      </c>
      <c r="C41" s="2" t="s">
        <v>36</v>
      </c>
      <c r="D41" s="2" t="s">
        <v>2545</v>
      </c>
      <c r="E41" s="2" t="s">
        <v>2546</v>
      </c>
      <c r="F41" s="9">
        <v>46273</v>
      </c>
      <c r="G41" s="2" t="s">
        <v>2547</v>
      </c>
      <c r="H41" s="2" t="s">
        <v>2548</v>
      </c>
      <c r="I41" s="2" t="s">
        <v>2549</v>
      </c>
    </row>
    <row r="42" spans="1:9" ht="28.5">
      <c r="A42" s="2" t="s">
        <v>710</v>
      </c>
      <c r="B42" s="2" t="s">
        <v>426</v>
      </c>
      <c r="C42" s="2" t="s">
        <v>36</v>
      </c>
      <c r="D42" s="2" t="s">
        <v>2550</v>
      </c>
      <c r="E42" s="2" t="s">
        <v>2551</v>
      </c>
      <c r="F42" s="9">
        <v>46269</v>
      </c>
      <c r="G42" s="2" t="s">
        <v>2552</v>
      </c>
      <c r="H42" s="2" t="s">
        <v>2428</v>
      </c>
      <c r="I42" s="2" t="s">
        <v>2553</v>
      </c>
    </row>
    <row r="43" spans="1:9">
      <c r="A43" s="2" t="s">
        <v>356</v>
      </c>
      <c r="B43" s="2" t="s">
        <v>109</v>
      </c>
      <c r="C43" s="2" t="s">
        <v>36</v>
      </c>
      <c r="D43" s="2" t="s">
        <v>2554</v>
      </c>
      <c r="E43" s="2" t="s">
        <v>2555</v>
      </c>
      <c r="F43" s="9">
        <v>46264</v>
      </c>
      <c r="G43" s="2" t="s">
        <v>2452</v>
      </c>
      <c r="H43" s="2" t="s">
        <v>2403</v>
      </c>
      <c r="I43" s="2" t="s">
        <v>2556</v>
      </c>
    </row>
    <row r="44" spans="1:9" ht="110.1" customHeight="1">
      <c r="A44" s="32" t="s">
        <v>463</v>
      </c>
      <c r="B44" s="32" t="s">
        <v>426</v>
      </c>
      <c r="C44" s="32" t="s">
        <v>117</v>
      </c>
      <c r="D44" s="32" t="s">
        <v>12</v>
      </c>
      <c r="E44" s="32" t="s">
        <v>2557</v>
      </c>
      <c r="F44" s="32" t="s">
        <v>2558</v>
      </c>
      <c r="G44" s="32" t="s">
        <v>2559</v>
      </c>
      <c r="H44" s="32" t="s">
        <v>2560</v>
      </c>
      <c r="I44" s="32" t="s">
        <v>2561</v>
      </c>
    </row>
    <row r="45" spans="1:9">
      <c r="A45" t="s">
        <v>522</v>
      </c>
      <c r="B45" t="s">
        <v>426</v>
      </c>
      <c r="C45" t="s">
        <v>293</v>
      </c>
      <c r="D45" t="s">
        <v>532</v>
      </c>
      <c r="E45" t="s">
        <v>523</v>
      </c>
      <c r="G45" t="s">
        <v>2562</v>
      </c>
      <c r="H45" t="s">
        <v>2563</v>
      </c>
      <c r="I45" t="s">
        <v>538</v>
      </c>
    </row>
    <row r="46" spans="1:9">
      <c r="A46" t="s">
        <v>696</v>
      </c>
      <c r="B46" t="s">
        <v>426</v>
      </c>
      <c r="C46" t="s">
        <v>36</v>
      </c>
      <c r="D46" t="s">
        <v>705</v>
      </c>
      <c r="E46" t="s">
        <v>697</v>
      </c>
      <c r="G46" t="s">
        <v>2564</v>
      </c>
      <c r="H46" t="s">
        <v>2565</v>
      </c>
      <c r="I46" t="s">
        <v>709</v>
      </c>
    </row>
    <row r="47" spans="1:9">
      <c r="A47" t="s">
        <v>759</v>
      </c>
      <c r="B47" t="s">
        <v>426</v>
      </c>
      <c r="C47" t="s">
        <v>36</v>
      </c>
      <c r="D47" t="s">
        <v>769</v>
      </c>
      <c r="E47" t="s">
        <v>760</v>
      </c>
      <c r="G47" t="s">
        <v>2564</v>
      </c>
      <c r="H47" t="s">
        <v>2565</v>
      </c>
      <c r="I47" t="s">
        <v>771</v>
      </c>
    </row>
    <row r="48" spans="1:9">
      <c r="A48" t="s">
        <v>787</v>
      </c>
      <c r="B48" t="s">
        <v>426</v>
      </c>
      <c r="C48" t="s">
        <v>36</v>
      </c>
      <c r="D48" t="s">
        <v>475</v>
      </c>
      <c r="E48" t="s">
        <v>788</v>
      </c>
      <c r="G48" t="s">
        <v>2564</v>
      </c>
      <c r="H48" t="s">
        <v>2565</v>
      </c>
      <c r="I48" t="s">
        <v>804</v>
      </c>
    </row>
    <row r="49" spans="1:9">
      <c r="A49" t="s">
        <v>368</v>
      </c>
      <c r="B49" t="s">
        <v>109</v>
      </c>
      <c r="C49" t="s">
        <v>117</v>
      </c>
      <c r="D49" t="s">
        <v>378</v>
      </c>
      <c r="E49" t="s">
        <v>369</v>
      </c>
      <c r="G49" t="s">
        <v>2562</v>
      </c>
      <c r="H49" t="s">
        <v>2563</v>
      </c>
      <c r="I49" t="s">
        <v>380</v>
      </c>
    </row>
    <row r="50" spans="1:9">
      <c r="A50" t="s">
        <v>392</v>
      </c>
      <c r="B50" t="s">
        <v>109</v>
      </c>
      <c r="C50" t="s">
        <v>117</v>
      </c>
      <c r="D50" t="s">
        <v>402</v>
      </c>
      <c r="E50" t="s">
        <v>393</v>
      </c>
      <c r="G50" t="s">
        <v>2562</v>
      </c>
      <c r="H50" t="s">
        <v>2563</v>
      </c>
      <c r="I50" t="s">
        <v>404</v>
      </c>
    </row>
  </sheetData>
  <conditionalFormatting sqref="H2:H43">
    <cfRule type="expression" dxfId="20" priority="1">
      <formula>LEFT(H2,8)="REJECTED"</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workbookViewId="0"/>
  </sheetViews>
  <sheetFormatPr defaultRowHeight="14.25"/>
  <cols>
    <col min="1" max="1" width="11" customWidth="1"/>
    <col min="2" max="2" width="16" customWidth="1"/>
    <col min="3" max="3" width="14" customWidth="1"/>
    <col min="4" max="4" width="12" customWidth="1"/>
    <col min="5" max="5" width="11" customWidth="1"/>
    <col min="6" max="6" width="38" customWidth="1"/>
    <col min="7" max="7" width="58" customWidth="1"/>
    <col min="8" max="8" width="38" customWidth="1"/>
  </cols>
  <sheetData>
    <row r="1" spans="1:8" ht="18">
      <c r="A1" s="103" t="s">
        <v>2566</v>
      </c>
      <c r="B1" s="103"/>
      <c r="C1" s="103"/>
      <c r="D1" s="103"/>
      <c r="E1" s="103"/>
      <c r="F1" s="103"/>
      <c r="G1" s="103"/>
      <c r="H1" s="103"/>
    </row>
    <row r="2" spans="1:8">
      <c r="A2" s="2"/>
      <c r="B2" s="2"/>
      <c r="C2" s="2"/>
      <c r="D2" s="2"/>
      <c r="E2" s="2"/>
      <c r="F2" s="2"/>
      <c r="G2" s="2"/>
      <c r="H2" s="2"/>
    </row>
    <row r="3" spans="1:8" ht="30">
      <c r="A3" s="11" t="s">
        <v>2567</v>
      </c>
      <c r="B3" s="11" t="s">
        <v>2568</v>
      </c>
      <c r="C3" s="11" t="s">
        <v>2569</v>
      </c>
      <c r="D3" s="11" t="s">
        <v>1852</v>
      </c>
      <c r="E3" s="11" t="s">
        <v>2570</v>
      </c>
      <c r="F3" s="11" t="s">
        <v>1871</v>
      </c>
      <c r="G3" s="11" t="s">
        <v>2571</v>
      </c>
      <c r="H3" s="11" t="s">
        <v>2572</v>
      </c>
    </row>
    <row r="4" spans="1:8" ht="28.5">
      <c r="A4" s="2" t="s">
        <v>2573</v>
      </c>
      <c r="B4" s="2" t="s">
        <v>749</v>
      </c>
      <c r="C4" s="2" t="s">
        <v>2574</v>
      </c>
      <c r="D4" s="2" t="s">
        <v>36</v>
      </c>
      <c r="E4" s="2" t="s">
        <v>2575</v>
      </c>
      <c r="F4" s="2" t="s">
        <v>2576</v>
      </c>
      <c r="G4" s="2" t="s">
        <v>2577</v>
      </c>
      <c r="H4" s="2" t="s">
        <v>2578</v>
      </c>
    </row>
    <row r="5" spans="1:8" ht="28.5">
      <c r="A5" s="2" t="s">
        <v>2573</v>
      </c>
      <c r="B5" s="2" t="s">
        <v>759</v>
      </c>
      <c r="C5" s="2" t="s">
        <v>2574</v>
      </c>
      <c r="D5" s="2" t="s">
        <v>36</v>
      </c>
      <c r="E5" s="2" t="s">
        <v>2575</v>
      </c>
      <c r="F5" s="2" t="s">
        <v>2579</v>
      </c>
      <c r="G5" s="2" t="s">
        <v>2580</v>
      </c>
      <c r="H5" s="2" t="s">
        <v>2581</v>
      </c>
    </row>
    <row r="6" spans="1:8" ht="28.5">
      <c r="A6" s="2" t="s">
        <v>2573</v>
      </c>
      <c r="B6" s="2" t="s">
        <v>1216</v>
      </c>
      <c r="C6" s="2" t="s">
        <v>2582</v>
      </c>
      <c r="D6" s="2" t="s">
        <v>293</v>
      </c>
      <c r="E6" s="2" t="s">
        <v>2583</v>
      </c>
      <c r="F6" s="2" t="s">
        <v>2584</v>
      </c>
      <c r="G6" s="2" t="s">
        <v>2585</v>
      </c>
      <c r="H6" s="2" t="s">
        <v>2586</v>
      </c>
    </row>
    <row r="7" spans="1:8" ht="28.5">
      <c r="A7" s="2" t="s">
        <v>2573</v>
      </c>
      <c r="B7" s="2" t="s">
        <v>392</v>
      </c>
      <c r="C7" s="2" t="s">
        <v>2587</v>
      </c>
      <c r="D7" s="2" t="s">
        <v>117</v>
      </c>
      <c r="E7" s="2" t="s">
        <v>2588</v>
      </c>
      <c r="F7" s="2" t="s">
        <v>2589</v>
      </c>
      <c r="G7" s="2" t="s">
        <v>2590</v>
      </c>
      <c r="H7" s="2" t="s">
        <v>2591</v>
      </c>
    </row>
    <row r="8" spans="1:8" ht="28.5">
      <c r="A8" s="2" t="s">
        <v>2573</v>
      </c>
      <c r="B8" s="2" t="s">
        <v>1231</v>
      </c>
      <c r="C8" s="2" t="s">
        <v>2582</v>
      </c>
      <c r="D8" s="2" t="s">
        <v>36</v>
      </c>
      <c r="E8" s="2" t="s">
        <v>2575</v>
      </c>
      <c r="F8" s="2" t="s">
        <v>2592</v>
      </c>
      <c r="G8" s="2" t="s">
        <v>2593</v>
      </c>
      <c r="H8" s="2" t="s">
        <v>2594</v>
      </c>
    </row>
    <row r="9" spans="1:8" ht="42.75">
      <c r="A9" s="2" t="s">
        <v>2595</v>
      </c>
      <c r="B9" s="2" t="s">
        <v>2191</v>
      </c>
      <c r="C9" s="2" t="s">
        <v>2582</v>
      </c>
      <c r="D9" s="2" t="s">
        <v>117</v>
      </c>
      <c r="E9" s="2" t="s">
        <v>2596</v>
      </c>
      <c r="F9" s="2" t="s">
        <v>2597</v>
      </c>
      <c r="G9" s="2" t="s">
        <v>2598</v>
      </c>
      <c r="H9" s="2" t="s">
        <v>2599</v>
      </c>
    </row>
    <row r="10" spans="1:8" ht="28.5">
      <c r="A10" s="2" t="s">
        <v>2600</v>
      </c>
      <c r="B10" s="2" t="s">
        <v>381</v>
      </c>
      <c r="C10" s="2" t="s">
        <v>2601</v>
      </c>
      <c r="D10" s="2" t="s">
        <v>117</v>
      </c>
      <c r="E10" s="2" t="s">
        <v>2602</v>
      </c>
      <c r="F10" s="2" t="s">
        <v>2603</v>
      </c>
      <c r="G10" s="2" t="s">
        <v>2604</v>
      </c>
      <c r="H10" s="2" t="s">
        <v>2605</v>
      </c>
    </row>
    <row r="11" spans="1:8" ht="28.5">
      <c r="A11" s="2" t="s">
        <v>2606</v>
      </c>
      <c r="B11" s="2" t="s">
        <v>723</v>
      </c>
      <c r="C11" s="2" t="s">
        <v>2574</v>
      </c>
      <c r="D11" s="2" t="s">
        <v>36</v>
      </c>
      <c r="E11" s="2" t="s">
        <v>2602</v>
      </c>
      <c r="F11" s="2" t="s">
        <v>2607</v>
      </c>
      <c r="G11" s="2" t="s">
        <v>2608</v>
      </c>
      <c r="H11" s="2" t="s">
        <v>2609</v>
      </c>
    </row>
    <row r="12" spans="1:8" ht="28.5">
      <c r="A12" s="2" t="s">
        <v>2610</v>
      </c>
      <c r="B12" s="2" t="s">
        <v>522</v>
      </c>
      <c r="C12" s="2" t="s">
        <v>2574</v>
      </c>
      <c r="D12" s="2" t="s">
        <v>293</v>
      </c>
      <c r="E12" s="2" t="s">
        <v>2611</v>
      </c>
      <c r="F12" s="2" t="s">
        <v>2612</v>
      </c>
      <c r="G12" s="2" t="s">
        <v>2613</v>
      </c>
      <c r="H12" s="2" t="s">
        <v>2614</v>
      </c>
    </row>
    <row r="13" spans="1:8" ht="28.5">
      <c r="A13" s="2" t="s">
        <v>2610</v>
      </c>
      <c r="B13" s="2" t="s">
        <v>539</v>
      </c>
      <c r="C13" s="2" t="s">
        <v>2574</v>
      </c>
      <c r="D13" s="2" t="s">
        <v>293</v>
      </c>
      <c r="E13" s="2" t="s">
        <v>2611</v>
      </c>
      <c r="F13" s="2" t="s">
        <v>2615</v>
      </c>
      <c r="G13" s="2" t="s">
        <v>2616</v>
      </c>
      <c r="H13" s="2" t="s">
        <v>2617</v>
      </c>
    </row>
    <row r="14" spans="1:8">
      <c r="A14" s="2" t="s">
        <v>2610</v>
      </c>
      <c r="B14" s="2" t="s">
        <v>1102</v>
      </c>
      <c r="C14" s="2" t="s">
        <v>2582</v>
      </c>
      <c r="D14" s="2" t="s">
        <v>117</v>
      </c>
      <c r="E14" s="2" t="s">
        <v>2602</v>
      </c>
      <c r="F14" s="2" t="s">
        <v>2618</v>
      </c>
      <c r="G14" s="2" t="s">
        <v>2619</v>
      </c>
      <c r="H14" s="2" t="s">
        <v>2620</v>
      </c>
    </row>
    <row r="15" spans="1:8">
      <c r="A15" s="2" t="s">
        <v>2610</v>
      </c>
      <c r="B15" s="2" t="s">
        <v>1117</v>
      </c>
      <c r="C15" s="2" t="s">
        <v>2582</v>
      </c>
      <c r="D15" s="2" t="s">
        <v>117</v>
      </c>
      <c r="E15" s="2" t="s">
        <v>2602</v>
      </c>
      <c r="F15" s="2" t="s">
        <v>2621</v>
      </c>
      <c r="G15" s="2" t="s">
        <v>2622</v>
      </c>
      <c r="H15" s="2" t="s">
        <v>2623</v>
      </c>
    </row>
    <row r="16" spans="1:8">
      <c r="A16" s="2" t="s">
        <v>2610</v>
      </c>
      <c r="B16" s="2" t="s">
        <v>1136</v>
      </c>
      <c r="C16" s="2" t="s">
        <v>2582</v>
      </c>
      <c r="D16" s="2" t="s">
        <v>117</v>
      </c>
      <c r="E16" s="2" t="s">
        <v>2602</v>
      </c>
      <c r="F16" s="2" t="s">
        <v>2624</v>
      </c>
      <c r="G16" s="2" t="s">
        <v>2625</v>
      </c>
      <c r="H16" s="2" t="s">
        <v>2626</v>
      </c>
    </row>
    <row r="17" spans="1:8" ht="28.5">
      <c r="A17" s="2" t="s">
        <v>2610</v>
      </c>
      <c r="B17" s="2" t="s">
        <v>1149</v>
      </c>
      <c r="C17" s="2" t="s">
        <v>2582</v>
      </c>
      <c r="D17" s="2" t="s">
        <v>117</v>
      </c>
      <c r="E17" s="2" t="s">
        <v>2611</v>
      </c>
      <c r="F17" s="2" t="s">
        <v>2627</v>
      </c>
      <c r="G17" s="2" t="s">
        <v>2628</v>
      </c>
      <c r="H17" s="2" t="s">
        <v>2629</v>
      </c>
    </row>
    <row r="18" spans="1:8" ht="28.5">
      <c r="A18" s="2" t="s">
        <v>2610</v>
      </c>
      <c r="B18" s="2" t="s">
        <v>1160</v>
      </c>
      <c r="C18" s="2" t="s">
        <v>2582</v>
      </c>
      <c r="D18" s="2" t="s">
        <v>117</v>
      </c>
      <c r="E18" s="2" t="s">
        <v>2630</v>
      </c>
      <c r="F18" s="2" t="s">
        <v>2631</v>
      </c>
      <c r="G18" s="2" t="s">
        <v>2632</v>
      </c>
      <c r="H18" s="2" t="s">
        <v>743</v>
      </c>
    </row>
    <row r="19" spans="1:8" ht="28.5">
      <c r="A19" s="2" t="s">
        <v>2610</v>
      </c>
      <c r="B19" s="2" t="s">
        <v>1177</v>
      </c>
      <c r="C19" s="2" t="s">
        <v>2582</v>
      </c>
      <c r="D19" s="2" t="s">
        <v>117</v>
      </c>
      <c r="E19" s="2" t="s">
        <v>2630</v>
      </c>
      <c r="F19" s="2" t="s">
        <v>2633</v>
      </c>
      <c r="G19" s="2" t="s">
        <v>2634</v>
      </c>
      <c r="H19" s="2" t="s">
        <v>2635</v>
      </c>
    </row>
    <row r="20" spans="1:8" ht="28.5">
      <c r="A20" s="2" t="s">
        <v>2610</v>
      </c>
      <c r="B20" s="2" t="s">
        <v>1056</v>
      </c>
      <c r="C20" s="2" t="s">
        <v>2636</v>
      </c>
      <c r="D20" s="2" t="s">
        <v>293</v>
      </c>
      <c r="E20" s="2" t="s">
        <v>2602</v>
      </c>
      <c r="F20" s="2" t="s">
        <v>2637</v>
      </c>
      <c r="G20" s="2" t="s">
        <v>2638</v>
      </c>
      <c r="H20" s="2" t="s">
        <v>1535</v>
      </c>
    </row>
    <row r="21" spans="1:8" ht="42.75">
      <c r="A21" s="2" t="s">
        <v>2610</v>
      </c>
      <c r="B21" s="2" t="s">
        <v>2639</v>
      </c>
      <c r="C21" s="2" t="s">
        <v>1243</v>
      </c>
      <c r="D21" s="2" t="s">
        <v>2640</v>
      </c>
      <c r="E21" s="2" t="s">
        <v>2641</v>
      </c>
      <c r="F21" s="2" t="s">
        <v>2642</v>
      </c>
      <c r="G21" s="2" t="s">
        <v>2643</v>
      </c>
      <c r="H21" s="2" t="s">
        <v>1248</v>
      </c>
    </row>
    <row r="22" spans="1:8">
      <c r="A22" s="2" t="s">
        <v>2644</v>
      </c>
      <c r="B22" s="2" t="s">
        <v>381</v>
      </c>
      <c r="C22" s="2" t="s">
        <v>2587</v>
      </c>
      <c r="D22" s="2" t="s">
        <v>117</v>
      </c>
      <c r="E22" s="2" t="s">
        <v>2602</v>
      </c>
      <c r="F22" s="2" t="s">
        <v>2645</v>
      </c>
      <c r="G22" s="2" t="s">
        <v>2646</v>
      </c>
      <c r="H22" s="2" t="s">
        <v>2647</v>
      </c>
    </row>
    <row r="23" spans="1:8" ht="28.5">
      <c r="A23" s="2" t="s">
        <v>2648</v>
      </c>
      <c r="B23" s="2" t="s">
        <v>368</v>
      </c>
      <c r="C23" s="2" t="s">
        <v>2587</v>
      </c>
      <c r="D23" s="2" t="s">
        <v>117</v>
      </c>
      <c r="E23" s="2" t="s">
        <v>2602</v>
      </c>
      <c r="F23" s="2" t="s">
        <v>2649</v>
      </c>
      <c r="G23" s="2" t="s">
        <v>2650</v>
      </c>
      <c r="H23" s="2" t="s">
        <v>2651</v>
      </c>
    </row>
    <row r="24" spans="1:8" ht="28.5">
      <c r="A24" s="2" t="s">
        <v>2652</v>
      </c>
      <c r="B24" s="2" t="s">
        <v>2653</v>
      </c>
      <c r="C24" s="2" t="s">
        <v>2654</v>
      </c>
      <c r="D24" s="2" t="s">
        <v>2655</v>
      </c>
      <c r="E24" s="2" t="s">
        <v>2583</v>
      </c>
      <c r="F24" s="2" t="s">
        <v>2656</v>
      </c>
      <c r="G24" s="2" t="s">
        <v>2657</v>
      </c>
      <c r="H24" s="2" t="s">
        <v>2658</v>
      </c>
    </row>
    <row r="25" spans="1:8" ht="28.5">
      <c r="A25" s="2" t="s">
        <v>2659</v>
      </c>
      <c r="B25" s="2" t="s">
        <v>1206</v>
      </c>
      <c r="C25" s="2" t="s">
        <v>2582</v>
      </c>
      <c r="D25" s="2" t="s">
        <v>117</v>
      </c>
      <c r="E25" s="2" t="s">
        <v>2602</v>
      </c>
      <c r="F25" s="2" t="s">
        <v>2660</v>
      </c>
      <c r="G25" s="2" t="s">
        <v>2661</v>
      </c>
      <c r="H25" s="2" t="s">
        <v>2662</v>
      </c>
    </row>
    <row r="26" spans="1:8" ht="42.75">
      <c r="A26" s="2" t="s">
        <v>2610</v>
      </c>
      <c r="B26" s="2" t="s">
        <v>749</v>
      </c>
      <c r="C26" s="2" t="s">
        <v>2574</v>
      </c>
      <c r="D26" s="2" t="s">
        <v>36</v>
      </c>
      <c r="E26" s="2" t="s">
        <v>2575</v>
      </c>
      <c r="F26" s="2" t="s">
        <v>2663</v>
      </c>
      <c r="G26" s="2" t="s">
        <v>2664</v>
      </c>
      <c r="H26" s="2" t="s">
        <v>696</v>
      </c>
    </row>
    <row r="27" spans="1:8" ht="28.5">
      <c r="A27" s="2" t="s">
        <v>2606</v>
      </c>
      <c r="B27" s="2" t="s">
        <v>696</v>
      </c>
      <c r="C27" s="2" t="s">
        <v>2574</v>
      </c>
      <c r="D27" s="2" t="s">
        <v>36</v>
      </c>
      <c r="E27" s="2" t="s">
        <v>2602</v>
      </c>
      <c r="F27" s="2" t="s">
        <v>2665</v>
      </c>
      <c r="G27" s="2" t="s">
        <v>2666</v>
      </c>
      <c r="H27" s="2" t="s">
        <v>2667</v>
      </c>
    </row>
    <row r="28" spans="1:8" ht="28.5">
      <c r="A28" s="2" t="s">
        <v>2573</v>
      </c>
      <c r="B28" s="2" t="s">
        <v>405</v>
      </c>
      <c r="C28" s="2" t="s">
        <v>2587</v>
      </c>
      <c r="D28" s="2" t="s">
        <v>117</v>
      </c>
      <c r="E28" s="2" t="s">
        <v>2630</v>
      </c>
      <c r="F28" s="2" t="s">
        <v>2668</v>
      </c>
      <c r="G28" s="2" t="s">
        <v>2669</v>
      </c>
      <c r="H28" s="2" t="s">
        <v>2670</v>
      </c>
    </row>
    <row r="29" spans="1:8" ht="28.5">
      <c r="A29" s="2" t="s">
        <v>2610</v>
      </c>
      <c r="B29" s="2" t="s">
        <v>1206</v>
      </c>
      <c r="C29" s="2" t="s">
        <v>2582</v>
      </c>
      <c r="D29" s="2" t="s">
        <v>117</v>
      </c>
      <c r="E29" s="2" t="s">
        <v>2602</v>
      </c>
      <c r="F29" s="2" t="s">
        <v>2671</v>
      </c>
      <c r="G29" s="2" t="s">
        <v>2672</v>
      </c>
      <c r="H29" s="2" t="s">
        <v>743</v>
      </c>
    </row>
    <row r="30" spans="1:8" ht="28.5">
      <c r="A30" s="2" t="s">
        <v>2673</v>
      </c>
      <c r="B30" s="2" t="s">
        <v>2674</v>
      </c>
      <c r="C30" s="2" t="s">
        <v>108</v>
      </c>
      <c r="D30" s="2" t="s">
        <v>2640</v>
      </c>
      <c r="E30" s="2" t="s">
        <v>2602</v>
      </c>
      <c r="F30" s="2" t="s">
        <v>2675</v>
      </c>
      <c r="G30" s="2" t="s">
        <v>2676</v>
      </c>
      <c r="H30" s="2" t="s">
        <v>2677</v>
      </c>
    </row>
    <row r="31" spans="1:8" ht="28.5">
      <c r="A31" s="2" t="s">
        <v>2678</v>
      </c>
      <c r="B31" s="2" t="s">
        <v>2679</v>
      </c>
      <c r="C31" s="2" t="s">
        <v>2680</v>
      </c>
      <c r="D31" s="2" t="s">
        <v>2681</v>
      </c>
      <c r="E31" s="2" t="s">
        <v>2602</v>
      </c>
      <c r="F31" s="2" t="s">
        <v>2682</v>
      </c>
      <c r="G31" s="2" t="s">
        <v>2683</v>
      </c>
      <c r="H31" s="2" t="s">
        <v>2684</v>
      </c>
    </row>
    <row r="32" spans="1:8">
      <c r="A32" s="2" t="s">
        <v>2644</v>
      </c>
      <c r="B32" s="2" t="s">
        <v>405</v>
      </c>
      <c r="C32" s="2" t="s">
        <v>2587</v>
      </c>
      <c r="D32" s="2" t="s">
        <v>117</v>
      </c>
      <c r="E32" s="2" t="s">
        <v>2602</v>
      </c>
      <c r="F32" s="2" t="s">
        <v>2685</v>
      </c>
      <c r="G32" s="2" t="s">
        <v>2686</v>
      </c>
      <c r="H32" s="2" t="s">
        <v>2687</v>
      </c>
    </row>
    <row r="33" spans="1:8" ht="28.5">
      <c r="A33" s="2" t="s">
        <v>2688</v>
      </c>
      <c r="B33" s="2" t="s">
        <v>1206</v>
      </c>
      <c r="C33" s="2" t="s">
        <v>2582</v>
      </c>
      <c r="D33" s="2" t="s">
        <v>117</v>
      </c>
      <c r="E33" s="2" t="s">
        <v>2602</v>
      </c>
      <c r="F33" s="2" t="s">
        <v>2689</v>
      </c>
      <c r="G33" s="2" t="s">
        <v>2690</v>
      </c>
      <c r="H33" s="2" t="s">
        <v>2691</v>
      </c>
    </row>
    <row r="34" spans="1:8" ht="28.5">
      <c r="A34" s="2" t="s">
        <v>2610</v>
      </c>
      <c r="B34" s="2" t="s">
        <v>749</v>
      </c>
      <c r="C34" s="2" t="s">
        <v>2574</v>
      </c>
      <c r="D34" s="2" t="s">
        <v>36</v>
      </c>
      <c r="E34" s="2" t="s">
        <v>2602</v>
      </c>
      <c r="F34" s="2" t="s">
        <v>2692</v>
      </c>
      <c r="G34" s="2" t="s">
        <v>2693</v>
      </c>
      <c r="H34" s="2" t="s">
        <v>2694</v>
      </c>
    </row>
    <row r="35" spans="1:8" ht="28.5">
      <c r="A35" s="2" t="s">
        <v>2659</v>
      </c>
      <c r="B35" s="2" t="s">
        <v>392</v>
      </c>
      <c r="C35" s="2" t="s">
        <v>2587</v>
      </c>
      <c r="D35" s="2" t="s">
        <v>117</v>
      </c>
      <c r="E35" s="2" t="s">
        <v>2602</v>
      </c>
      <c r="F35" s="2" t="s">
        <v>2695</v>
      </c>
      <c r="G35" s="2" t="s">
        <v>2696</v>
      </c>
      <c r="H35" s="2" t="s">
        <v>2697</v>
      </c>
    </row>
    <row r="36" spans="1:8" ht="28.5">
      <c r="A36" s="2" t="s">
        <v>2573</v>
      </c>
      <c r="B36" s="2" t="s">
        <v>414</v>
      </c>
      <c r="C36" s="2" t="s">
        <v>2587</v>
      </c>
      <c r="D36" s="2" t="s">
        <v>117</v>
      </c>
      <c r="E36" s="2" t="s">
        <v>2575</v>
      </c>
      <c r="F36" s="2" t="s">
        <v>415</v>
      </c>
      <c r="G36" s="2" t="s">
        <v>2698</v>
      </c>
      <c r="H36" s="2" t="s">
        <v>2699</v>
      </c>
    </row>
    <row r="37" spans="1:8" ht="28.5">
      <c r="A37" s="2" t="s">
        <v>2700</v>
      </c>
      <c r="B37" s="2" t="s">
        <v>368</v>
      </c>
      <c r="C37" s="2" t="s">
        <v>2587</v>
      </c>
      <c r="D37" s="2" t="s">
        <v>117</v>
      </c>
      <c r="E37" s="2" t="s">
        <v>2602</v>
      </c>
      <c r="F37" s="2" t="s">
        <v>2701</v>
      </c>
      <c r="G37" s="2" t="s">
        <v>2702</v>
      </c>
      <c r="H37" s="2" t="s">
        <v>2703</v>
      </c>
    </row>
    <row r="38" spans="1:8">
      <c r="A38" t="s">
        <v>2573</v>
      </c>
      <c r="B38" t="s">
        <v>772</v>
      </c>
      <c r="C38" t="s">
        <v>2574</v>
      </c>
      <c r="D38" t="s">
        <v>36</v>
      </c>
      <c r="E38" t="s">
        <v>2588</v>
      </c>
      <c r="F38" t="s">
        <v>2704</v>
      </c>
      <c r="G38" t="s">
        <v>2705</v>
      </c>
      <c r="H38" t="s">
        <v>2706</v>
      </c>
    </row>
    <row r="39" spans="1:8">
      <c r="A39" t="s">
        <v>2707</v>
      </c>
      <c r="B39" t="s">
        <v>2708</v>
      </c>
      <c r="C39" t="s">
        <v>2709</v>
      </c>
      <c r="D39" t="s">
        <v>2710</v>
      </c>
      <c r="E39" t="s">
        <v>2602</v>
      </c>
      <c r="F39" t="s">
        <v>2711</v>
      </c>
      <c r="G39" t="s">
        <v>2712</v>
      </c>
      <c r="H39" t="s">
        <v>2713</v>
      </c>
    </row>
    <row r="40" spans="1:8" ht="28.5">
      <c r="A40" s="2" t="s">
        <v>2573</v>
      </c>
      <c r="B40" s="2" t="s">
        <v>12510</v>
      </c>
      <c r="C40" s="2" t="s">
        <v>2574</v>
      </c>
      <c r="D40" s="2" t="s">
        <v>117</v>
      </c>
      <c r="E40" s="2" t="s">
        <v>805</v>
      </c>
      <c r="F40" s="2" t="s">
        <v>12511</v>
      </c>
      <c r="G40" s="2" t="s">
        <v>12597</v>
      </c>
      <c r="H40" s="2" t="s">
        <v>12515</v>
      </c>
    </row>
    <row r="41" spans="1:8" ht="28.5">
      <c r="A41" s="2" t="s">
        <v>2573</v>
      </c>
      <c r="B41" s="2" t="s">
        <v>12535</v>
      </c>
      <c r="C41" s="2" t="s">
        <v>2574</v>
      </c>
      <c r="D41" s="2" t="s">
        <v>117</v>
      </c>
      <c r="E41" s="2" t="s">
        <v>805</v>
      </c>
      <c r="F41" s="2" t="s">
        <v>12536</v>
      </c>
      <c r="G41" s="2" t="s">
        <v>12597</v>
      </c>
      <c r="H41" s="2" t="s">
        <v>12541</v>
      </c>
    </row>
    <row r="42" spans="1:8" ht="28.5">
      <c r="A42" s="2" t="s">
        <v>2573</v>
      </c>
      <c r="B42" s="2" t="s">
        <v>12543</v>
      </c>
      <c r="C42" s="2" t="s">
        <v>2574</v>
      </c>
      <c r="D42" s="2" t="s">
        <v>117</v>
      </c>
      <c r="E42" s="2" t="s">
        <v>805</v>
      </c>
      <c r="F42" s="2" t="s">
        <v>12544</v>
      </c>
      <c r="G42" s="2" t="s">
        <v>12597</v>
      </c>
      <c r="H42" s="2" t="s">
        <v>12549</v>
      </c>
    </row>
    <row r="43" spans="1:8" ht="28.5">
      <c r="A43" s="2" t="s">
        <v>2573</v>
      </c>
      <c r="B43" s="2" t="s">
        <v>12552</v>
      </c>
      <c r="C43" s="2" t="s">
        <v>2574</v>
      </c>
      <c r="D43" s="2" t="s">
        <v>117</v>
      </c>
      <c r="E43" s="2" t="s">
        <v>805</v>
      </c>
      <c r="F43" s="2" t="s">
        <v>12553</v>
      </c>
      <c r="G43" s="2" t="s">
        <v>12597</v>
      </c>
      <c r="H43" s="2" t="s">
        <v>12502</v>
      </c>
    </row>
    <row r="44" spans="1:8" ht="28.5">
      <c r="A44" s="2" t="s">
        <v>2573</v>
      </c>
      <c r="B44" s="2" t="s">
        <v>12560</v>
      </c>
      <c r="C44" s="2" t="s">
        <v>2574</v>
      </c>
      <c r="D44" s="2" t="s">
        <v>117</v>
      </c>
      <c r="E44" s="2" t="s">
        <v>805</v>
      </c>
      <c r="F44" s="2" t="s">
        <v>12561</v>
      </c>
      <c r="G44" s="2" t="s">
        <v>12597</v>
      </c>
      <c r="H44" s="2" t="s">
        <v>12567</v>
      </c>
    </row>
    <row r="45" spans="1:8" ht="28.5">
      <c r="A45" s="2" t="s">
        <v>2573</v>
      </c>
      <c r="B45" s="2" t="s">
        <v>12569</v>
      </c>
      <c r="C45" s="2" t="s">
        <v>2574</v>
      </c>
      <c r="D45" s="2" t="s">
        <v>117</v>
      </c>
      <c r="E45" s="2" t="s">
        <v>805</v>
      </c>
      <c r="F45" s="2" t="s">
        <v>12570</v>
      </c>
      <c r="G45" s="2" t="s">
        <v>12597</v>
      </c>
      <c r="H45" s="2" t="s">
        <v>12576</v>
      </c>
    </row>
    <row r="46" spans="1:8" ht="28.5">
      <c r="A46" s="2" t="s">
        <v>2573</v>
      </c>
      <c r="B46" s="2" t="s">
        <v>12578</v>
      </c>
      <c r="C46" s="2" t="s">
        <v>2574</v>
      </c>
      <c r="D46" s="2" t="s">
        <v>36</v>
      </c>
      <c r="E46" s="2" t="s">
        <v>805</v>
      </c>
      <c r="F46" s="2" t="s">
        <v>12579</v>
      </c>
      <c r="G46" s="2" t="s">
        <v>12597</v>
      </c>
      <c r="H46" s="2" t="s">
        <v>2760</v>
      </c>
    </row>
    <row r="47" spans="1:8" ht="28.5">
      <c r="A47" s="2" t="s">
        <v>2573</v>
      </c>
      <c r="B47" s="2" t="s">
        <v>12588</v>
      </c>
      <c r="C47" s="2" t="s">
        <v>2574</v>
      </c>
      <c r="D47" s="2" t="s">
        <v>293</v>
      </c>
      <c r="E47" s="2" t="s">
        <v>805</v>
      </c>
      <c r="F47" s="2" t="s">
        <v>12589</v>
      </c>
      <c r="G47" s="2" t="s">
        <v>12597</v>
      </c>
      <c r="H47" s="2" t="s">
        <v>12595</v>
      </c>
    </row>
    <row r="48" spans="1:8" ht="28.5">
      <c r="A48" s="2" t="s">
        <v>2610</v>
      </c>
      <c r="B48" s="2" t="s">
        <v>12598</v>
      </c>
      <c r="C48" s="2" t="s">
        <v>2574</v>
      </c>
      <c r="D48" s="2" t="s">
        <v>293</v>
      </c>
      <c r="E48" s="2" t="s">
        <v>12599</v>
      </c>
      <c r="F48" s="2" t="s">
        <v>12600</v>
      </c>
      <c r="G48" s="2" t="s">
        <v>12601</v>
      </c>
      <c r="H48" s="2" t="s">
        <v>12602</v>
      </c>
    </row>
    <row r="49" spans="1:8" ht="28.5">
      <c r="A49" s="2" t="s">
        <v>2610</v>
      </c>
      <c r="B49" s="2" t="s">
        <v>1817</v>
      </c>
      <c r="C49" s="2" t="s">
        <v>2574</v>
      </c>
      <c r="D49" s="2" t="s">
        <v>36</v>
      </c>
      <c r="E49" s="2" t="s">
        <v>12599</v>
      </c>
      <c r="F49" s="2" t="s">
        <v>12603</v>
      </c>
      <c r="G49" s="2" t="s">
        <v>12604</v>
      </c>
      <c r="H49" s="2" t="s">
        <v>12605</v>
      </c>
    </row>
    <row r="50" spans="1:8" ht="28.5">
      <c r="A50" s="2" t="s">
        <v>12606</v>
      </c>
      <c r="B50" s="2" t="s">
        <v>619</v>
      </c>
      <c r="C50" s="2" t="s">
        <v>12607</v>
      </c>
      <c r="D50" s="2" t="s">
        <v>2710</v>
      </c>
      <c r="E50" s="2" t="s">
        <v>2602</v>
      </c>
      <c r="F50" s="2" t="s">
        <v>12608</v>
      </c>
      <c r="G50" s="2" t="s">
        <v>12609</v>
      </c>
      <c r="H50" s="2" t="s">
        <v>12610</v>
      </c>
    </row>
  </sheetData>
  <mergeCells count="1">
    <mergeCell ref="A1: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07"/>
  <sheetViews>
    <sheetView workbookViewId="0"/>
  </sheetViews>
  <sheetFormatPr defaultRowHeight="14.25"/>
  <cols>
    <col min="1" max="1" width="10" customWidth="1"/>
    <col min="2" max="3" width="8" customWidth="1"/>
    <col min="4" max="4" width="12" customWidth="1"/>
    <col min="5" max="5" width="45" customWidth="1"/>
    <col min="6" max="11" width="13" customWidth="1"/>
    <col min="12" max="12" width="65" customWidth="1"/>
    <col min="13" max="13" width="15" customWidth="1"/>
    <col min="14" max="15" width="30" customWidth="1"/>
    <col min="16" max="16" width="18" customWidth="1"/>
    <col min="17" max="17" width="52" customWidth="1"/>
  </cols>
  <sheetData>
    <row r="1" spans="1:17" ht="135">
      <c r="A1" s="22" t="s">
        <v>2714</v>
      </c>
      <c r="B1" s="22" t="s">
        <v>1832</v>
      </c>
      <c r="C1" s="22" t="s">
        <v>1834</v>
      </c>
      <c r="D1" s="22" t="s">
        <v>2393</v>
      </c>
      <c r="E1" s="22" t="s">
        <v>56</v>
      </c>
      <c r="F1" s="22" t="s">
        <v>2715</v>
      </c>
      <c r="G1" s="22" t="s">
        <v>2716</v>
      </c>
      <c r="H1" s="22" t="s">
        <v>2717</v>
      </c>
      <c r="I1" s="22" t="s">
        <v>2718</v>
      </c>
      <c r="J1" s="22" t="s">
        <v>2719</v>
      </c>
      <c r="K1" s="22" t="s">
        <v>2720</v>
      </c>
      <c r="L1" s="22" t="s">
        <v>77</v>
      </c>
      <c r="M1" s="22" t="s">
        <v>78</v>
      </c>
      <c r="N1" s="22" t="s">
        <v>1855</v>
      </c>
      <c r="O1" s="22" t="s">
        <v>1994</v>
      </c>
      <c r="P1" s="22" t="s">
        <v>68</v>
      </c>
      <c r="Q1" s="22" t="s">
        <v>76</v>
      </c>
    </row>
    <row r="2" spans="1:17" ht="28.5">
      <c r="A2" s="2" t="s">
        <v>107</v>
      </c>
      <c r="B2" s="2" t="s">
        <v>108</v>
      </c>
      <c r="C2" s="2" t="s">
        <v>109</v>
      </c>
      <c r="D2" s="2" t="s">
        <v>117</v>
      </c>
      <c r="E2" s="2" t="s">
        <v>110</v>
      </c>
      <c r="F2" s="6">
        <v>8</v>
      </c>
      <c r="G2" s="6" t="s">
        <v>116</v>
      </c>
      <c r="H2" s="6" t="s">
        <v>116</v>
      </c>
      <c r="I2" s="6">
        <v>8</v>
      </c>
      <c r="J2" s="6">
        <v>0</v>
      </c>
      <c r="K2" s="6">
        <v>0</v>
      </c>
      <c r="L2" s="2" t="s">
        <v>129</v>
      </c>
      <c r="M2" s="9">
        <v>46259</v>
      </c>
      <c r="N2" s="2" t="s">
        <v>118</v>
      </c>
      <c r="O2" s="2" t="s">
        <v>119</v>
      </c>
      <c r="P2" s="2" t="s">
        <v>121</v>
      </c>
      <c r="Q2" s="2" t="s">
        <v>128</v>
      </c>
    </row>
    <row r="3" spans="1:17" ht="28.5">
      <c r="A3" s="2" t="s">
        <v>143</v>
      </c>
      <c r="B3" s="2" t="s">
        <v>108</v>
      </c>
      <c r="C3" s="2" t="s">
        <v>109</v>
      </c>
      <c r="D3" s="2" t="s">
        <v>117</v>
      </c>
      <c r="E3" s="2" t="s">
        <v>144</v>
      </c>
      <c r="F3" s="6">
        <v>12</v>
      </c>
      <c r="G3" s="6" t="s">
        <v>116</v>
      </c>
      <c r="H3" s="6" t="s">
        <v>116</v>
      </c>
      <c r="I3" s="6">
        <v>12</v>
      </c>
      <c r="J3" s="6">
        <v>0</v>
      </c>
      <c r="K3" s="6">
        <v>0</v>
      </c>
      <c r="L3" s="2" t="s">
        <v>152</v>
      </c>
      <c r="M3" s="9">
        <v>46262</v>
      </c>
      <c r="N3" s="2" t="s">
        <v>149</v>
      </c>
      <c r="O3" s="2" t="s">
        <v>2721</v>
      </c>
      <c r="P3" s="2" t="s">
        <v>121</v>
      </c>
      <c r="Q3" s="2" t="s">
        <v>128</v>
      </c>
    </row>
    <row r="4" spans="1:17" ht="28.5">
      <c r="A4" s="2" t="s">
        <v>158</v>
      </c>
      <c r="B4" s="2" t="s">
        <v>108</v>
      </c>
      <c r="C4" s="2" t="s">
        <v>109</v>
      </c>
      <c r="D4" s="2" t="s">
        <v>117</v>
      </c>
      <c r="E4" s="2" t="s">
        <v>159</v>
      </c>
      <c r="F4" s="6">
        <v>12</v>
      </c>
      <c r="G4" s="6" t="s">
        <v>116</v>
      </c>
      <c r="H4" s="6" t="s">
        <v>116</v>
      </c>
      <c r="I4" s="6">
        <v>12</v>
      </c>
      <c r="J4" s="6">
        <v>0</v>
      </c>
      <c r="K4" s="6">
        <v>0</v>
      </c>
      <c r="L4" s="2" t="s">
        <v>164</v>
      </c>
      <c r="M4" s="9">
        <v>46260</v>
      </c>
      <c r="N4" s="2" t="s">
        <v>107</v>
      </c>
      <c r="O4" s="2" t="s">
        <v>2722</v>
      </c>
      <c r="P4" s="2" t="s">
        <v>121</v>
      </c>
      <c r="Q4" s="2" t="s">
        <v>128</v>
      </c>
    </row>
    <row r="5" spans="1:17" ht="42.75">
      <c r="A5" s="2" t="s">
        <v>168</v>
      </c>
      <c r="B5" s="2" t="s">
        <v>108</v>
      </c>
      <c r="C5" s="2" t="s">
        <v>109</v>
      </c>
      <c r="D5" s="2" t="s">
        <v>117</v>
      </c>
      <c r="E5" s="2" t="s">
        <v>169</v>
      </c>
      <c r="F5" s="6">
        <v>12</v>
      </c>
      <c r="G5" s="6" t="s">
        <v>116</v>
      </c>
      <c r="H5" s="6" t="s">
        <v>116</v>
      </c>
      <c r="I5" s="6">
        <v>12</v>
      </c>
      <c r="J5" s="6">
        <v>0</v>
      </c>
      <c r="K5" s="6">
        <v>0</v>
      </c>
      <c r="L5" s="2" t="s">
        <v>175</v>
      </c>
      <c r="M5" s="9"/>
      <c r="N5" s="2" t="s">
        <v>173</v>
      </c>
      <c r="O5" s="2" t="s">
        <v>2723</v>
      </c>
      <c r="P5" s="2" t="s">
        <v>121</v>
      </c>
      <c r="Q5" s="2" t="s">
        <v>128</v>
      </c>
    </row>
    <row r="6" spans="1:17" ht="71.25">
      <c r="A6" s="2" t="s">
        <v>180</v>
      </c>
      <c r="B6" s="2" t="s">
        <v>108</v>
      </c>
      <c r="C6" s="2" t="s">
        <v>109</v>
      </c>
      <c r="D6" s="2" t="s">
        <v>117</v>
      </c>
      <c r="E6" s="2" t="s">
        <v>181</v>
      </c>
      <c r="F6" s="6">
        <v>12</v>
      </c>
      <c r="G6" s="6" t="s">
        <v>116</v>
      </c>
      <c r="H6" s="6" t="s">
        <v>116</v>
      </c>
      <c r="I6" s="6">
        <v>12</v>
      </c>
      <c r="J6" s="6">
        <v>0</v>
      </c>
      <c r="K6" s="6">
        <v>0</v>
      </c>
      <c r="L6" s="2" t="s">
        <v>189</v>
      </c>
      <c r="M6" s="9"/>
      <c r="N6" s="2" t="s">
        <v>168</v>
      </c>
      <c r="O6" s="2" t="s">
        <v>2724</v>
      </c>
      <c r="P6" s="2" t="s">
        <v>121</v>
      </c>
      <c r="Q6" s="2" t="s">
        <v>188</v>
      </c>
    </row>
    <row r="7" spans="1:17" ht="28.5">
      <c r="A7" s="2" t="s">
        <v>192</v>
      </c>
      <c r="B7" s="2" t="s">
        <v>108</v>
      </c>
      <c r="C7" s="2" t="s">
        <v>109</v>
      </c>
      <c r="D7" s="2" t="s">
        <v>117</v>
      </c>
      <c r="E7" s="2" t="s">
        <v>193</v>
      </c>
      <c r="F7" s="6">
        <v>12</v>
      </c>
      <c r="G7" s="6" t="s">
        <v>116</v>
      </c>
      <c r="H7" s="6" t="s">
        <v>116</v>
      </c>
      <c r="I7" s="6">
        <v>12</v>
      </c>
      <c r="J7" s="6">
        <v>0</v>
      </c>
      <c r="K7" s="6">
        <v>0</v>
      </c>
      <c r="L7" s="2" t="s">
        <v>197</v>
      </c>
      <c r="M7" s="9"/>
      <c r="N7" s="2" t="s">
        <v>180</v>
      </c>
      <c r="O7" s="2" t="s">
        <v>196</v>
      </c>
      <c r="P7" s="2" t="s">
        <v>121</v>
      </c>
      <c r="Q7" s="2" t="s">
        <v>128</v>
      </c>
    </row>
    <row r="8" spans="1:17" ht="28.5">
      <c r="A8" s="2" t="s">
        <v>199</v>
      </c>
      <c r="B8" s="2" t="s">
        <v>108</v>
      </c>
      <c r="C8" s="2" t="s">
        <v>109</v>
      </c>
      <c r="D8" s="2" t="s">
        <v>117</v>
      </c>
      <c r="E8" s="2" t="s">
        <v>200</v>
      </c>
      <c r="F8" s="6">
        <v>12</v>
      </c>
      <c r="G8" s="6" t="s">
        <v>116</v>
      </c>
      <c r="H8" s="6" t="s">
        <v>116</v>
      </c>
      <c r="I8" s="6">
        <v>12</v>
      </c>
      <c r="J8" s="6">
        <v>0</v>
      </c>
      <c r="K8" s="6">
        <v>0</v>
      </c>
      <c r="L8" s="2" t="s">
        <v>206</v>
      </c>
      <c r="M8" s="9">
        <v>46267</v>
      </c>
      <c r="N8" s="2" t="s">
        <v>204</v>
      </c>
      <c r="O8" s="2" t="s">
        <v>205</v>
      </c>
      <c r="P8" s="2" t="s">
        <v>121</v>
      </c>
      <c r="Q8" s="2" t="s">
        <v>128</v>
      </c>
    </row>
    <row r="9" spans="1:17" ht="28.5">
      <c r="A9" s="2" t="s">
        <v>211</v>
      </c>
      <c r="B9" s="2" t="s">
        <v>108</v>
      </c>
      <c r="C9" s="2" t="s">
        <v>109</v>
      </c>
      <c r="D9" s="2" t="s">
        <v>117</v>
      </c>
      <c r="E9" s="2" t="s">
        <v>212</v>
      </c>
      <c r="F9" s="6">
        <v>6</v>
      </c>
      <c r="G9" s="6" t="s">
        <v>116</v>
      </c>
      <c r="H9" s="6" t="s">
        <v>116</v>
      </c>
      <c r="I9" s="6">
        <v>6</v>
      </c>
      <c r="J9" s="6">
        <v>0</v>
      </c>
      <c r="K9" s="6">
        <v>0</v>
      </c>
      <c r="L9" s="2" t="s">
        <v>217</v>
      </c>
      <c r="M9" s="9">
        <v>46268</v>
      </c>
      <c r="N9" s="2" t="s">
        <v>215</v>
      </c>
      <c r="O9" s="2" t="s">
        <v>216</v>
      </c>
      <c r="P9" s="2" t="s">
        <v>121</v>
      </c>
      <c r="Q9" s="2" t="s">
        <v>128</v>
      </c>
    </row>
    <row r="10" spans="1:17" ht="57">
      <c r="A10" s="2" t="s">
        <v>219</v>
      </c>
      <c r="B10" s="2" t="s">
        <v>108</v>
      </c>
      <c r="C10" s="2" t="s">
        <v>109</v>
      </c>
      <c r="D10" s="2" t="s">
        <v>117</v>
      </c>
      <c r="E10" s="2" t="s">
        <v>220</v>
      </c>
      <c r="F10" s="6">
        <v>24</v>
      </c>
      <c r="G10" s="6" t="s">
        <v>116</v>
      </c>
      <c r="H10" s="6" t="s">
        <v>116</v>
      </c>
      <c r="I10" s="6">
        <v>24</v>
      </c>
      <c r="J10" s="6">
        <v>0</v>
      </c>
      <c r="K10" s="6">
        <v>0</v>
      </c>
      <c r="L10" s="2" t="s">
        <v>226</v>
      </c>
      <c r="M10" s="9">
        <v>46272</v>
      </c>
      <c r="N10" s="2" t="s">
        <v>223</v>
      </c>
      <c r="O10" s="2" t="s">
        <v>2725</v>
      </c>
      <c r="P10" s="2" t="s">
        <v>121</v>
      </c>
      <c r="Q10" s="2" t="s">
        <v>225</v>
      </c>
    </row>
    <row r="11" spans="1:17" ht="42.75">
      <c r="A11" s="2" t="s">
        <v>118</v>
      </c>
      <c r="B11" s="2" t="s">
        <v>108</v>
      </c>
      <c r="C11" s="2" t="s">
        <v>109</v>
      </c>
      <c r="D11" s="2" t="s">
        <v>117</v>
      </c>
      <c r="E11" s="2" t="s">
        <v>228</v>
      </c>
      <c r="F11" s="6">
        <v>4</v>
      </c>
      <c r="G11" s="6" t="s">
        <v>116</v>
      </c>
      <c r="H11" s="6" t="s">
        <v>116</v>
      </c>
      <c r="I11" s="6">
        <v>4</v>
      </c>
      <c r="J11" s="6">
        <v>0</v>
      </c>
      <c r="K11" s="6">
        <v>0</v>
      </c>
      <c r="L11" s="2" t="s">
        <v>237</v>
      </c>
      <c r="M11" s="9">
        <v>46258</v>
      </c>
      <c r="N11" s="2"/>
      <c r="O11" s="2" t="s">
        <v>233</v>
      </c>
      <c r="P11" s="2" t="s">
        <v>121</v>
      </c>
      <c r="Q11" s="2" t="s">
        <v>128</v>
      </c>
    </row>
    <row r="12" spans="1:17" ht="28.5">
      <c r="A12" s="2" t="s">
        <v>239</v>
      </c>
      <c r="B12" s="2" t="s">
        <v>108</v>
      </c>
      <c r="C12" s="2" t="s">
        <v>109</v>
      </c>
      <c r="D12" s="2" t="s">
        <v>36</v>
      </c>
      <c r="E12" s="2" t="s">
        <v>240</v>
      </c>
      <c r="F12" s="6">
        <v>10</v>
      </c>
      <c r="G12" s="6" t="s">
        <v>116</v>
      </c>
      <c r="H12" s="6" t="s">
        <v>116</v>
      </c>
      <c r="I12" s="6">
        <v>10</v>
      </c>
      <c r="J12" s="6">
        <v>0</v>
      </c>
      <c r="K12" s="6">
        <v>0</v>
      </c>
      <c r="L12" s="2" t="s">
        <v>249</v>
      </c>
      <c r="M12" s="9">
        <v>46259</v>
      </c>
      <c r="N12" s="2" t="s">
        <v>118</v>
      </c>
      <c r="O12" s="2" t="s">
        <v>2726</v>
      </c>
      <c r="P12" s="2" t="s">
        <v>121</v>
      </c>
      <c r="Q12" s="2" t="s">
        <v>128</v>
      </c>
    </row>
    <row r="13" spans="1:17" ht="28.5">
      <c r="A13" s="2" t="s">
        <v>252</v>
      </c>
      <c r="B13" s="2" t="s">
        <v>108</v>
      </c>
      <c r="C13" s="2" t="s">
        <v>109</v>
      </c>
      <c r="D13" s="2" t="s">
        <v>36</v>
      </c>
      <c r="E13" s="2" t="s">
        <v>253</v>
      </c>
      <c r="F13" s="6">
        <v>10</v>
      </c>
      <c r="G13" s="6" t="s">
        <v>116</v>
      </c>
      <c r="H13" s="6" t="s">
        <v>116</v>
      </c>
      <c r="I13" s="6">
        <v>10</v>
      </c>
      <c r="J13" s="6">
        <v>0</v>
      </c>
      <c r="K13" s="6">
        <v>0</v>
      </c>
      <c r="L13" s="2" t="s">
        <v>260</v>
      </c>
      <c r="M13" s="9">
        <v>46259</v>
      </c>
      <c r="N13" s="2" t="s">
        <v>118</v>
      </c>
      <c r="O13" s="2" t="s">
        <v>828</v>
      </c>
      <c r="P13" s="2" t="s">
        <v>121</v>
      </c>
      <c r="Q13" s="2" t="s">
        <v>128</v>
      </c>
    </row>
    <row r="14" spans="1:17" ht="28.5">
      <c r="A14" s="2" t="s">
        <v>262</v>
      </c>
      <c r="B14" s="2" t="s">
        <v>108</v>
      </c>
      <c r="C14" s="2" t="s">
        <v>109</v>
      </c>
      <c r="D14" s="2" t="s">
        <v>36</v>
      </c>
      <c r="E14" s="2" t="s">
        <v>263</v>
      </c>
      <c r="F14" s="6">
        <v>10</v>
      </c>
      <c r="G14" s="6" t="s">
        <v>116</v>
      </c>
      <c r="H14" s="6" t="s">
        <v>116</v>
      </c>
      <c r="I14" s="6">
        <v>10</v>
      </c>
      <c r="J14" s="6">
        <v>0</v>
      </c>
      <c r="K14" s="6">
        <v>0</v>
      </c>
      <c r="L14" s="2" t="s">
        <v>271</v>
      </c>
      <c r="M14" s="9">
        <v>46265</v>
      </c>
      <c r="N14" s="2" t="s">
        <v>118</v>
      </c>
      <c r="O14" s="2" t="s">
        <v>828</v>
      </c>
      <c r="P14" s="2" t="s">
        <v>121</v>
      </c>
      <c r="Q14" s="2" t="s">
        <v>128</v>
      </c>
    </row>
    <row r="15" spans="1:17" ht="42.75">
      <c r="A15" s="2" t="s">
        <v>274</v>
      </c>
      <c r="B15" s="2" t="s">
        <v>108</v>
      </c>
      <c r="C15" s="2" t="s">
        <v>109</v>
      </c>
      <c r="D15" s="2" t="s">
        <v>36</v>
      </c>
      <c r="E15" s="2" t="s">
        <v>275</v>
      </c>
      <c r="F15" s="6">
        <v>8</v>
      </c>
      <c r="G15" s="6" t="s">
        <v>116</v>
      </c>
      <c r="H15" s="6" t="s">
        <v>116</v>
      </c>
      <c r="I15" s="6">
        <v>8</v>
      </c>
      <c r="J15" s="6">
        <v>0</v>
      </c>
      <c r="K15" s="6">
        <v>0</v>
      </c>
      <c r="L15" s="2" t="s">
        <v>284</v>
      </c>
      <c r="M15" s="9">
        <v>46264</v>
      </c>
      <c r="N15" s="2" t="s">
        <v>118</v>
      </c>
      <c r="O15" s="2" t="s">
        <v>2727</v>
      </c>
      <c r="P15" s="2" t="s">
        <v>121</v>
      </c>
      <c r="Q15" s="2" t="s">
        <v>283</v>
      </c>
    </row>
    <row r="16" spans="1:17" ht="28.5">
      <c r="A16" s="2" t="s">
        <v>287</v>
      </c>
      <c r="B16" s="2" t="s">
        <v>108</v>
      </c>
      <c r="C16" s="2" t="s">
        <v>109</v>
      </c>
      <c r="D16" s="2" t="s">
        <v>293</v>
      </c>
      <c r="E16" s="2" t="s">
        <v>288</v>
      </c>
      <c r="F16" s="6">
        <v>8</v>
      </c>
      <c r="G16" s="6" t="s">
        <v>116</v>
      </c>
      <c r="H16" s="6" t="s">
        <v>116</v>
      </c>
      <c r="I16" s="6">
        <v>8</v>
      </c>
      <c r="J16" s="6">
        <v>0</v>
      </c>
      <c r="K16" s="6">
        <v>0</v>
      </c>
      <c r="L16" s="2" t="s">
        <v>298</v>
      </c>
      <c r="M16" s="9"/>
      <c r="N16" s="2" t="s">
        <v>118</v>
      </c>
      <c r="O16" s="2" t="s">
        <v>2728</v>
      </c>
      <c r="P16" s="2" t="s">
        <v>121</v>
      </c>
      <c r="Q16" s="2" t="s">
        <v>128</v>
      </c>
    </row>
    <row r="17" spans="1:17" ht="28.5">
      <c r="A17" s="2" t="s">
        <v>299</v>
      </c>
      <c r="B17" s="2" t="s">
        <v>108</v>
      </c>
      <c r="C17" s="2" t="s">
        <v>109</v>
      </c>
      <c r="D17" s="2" t="s">
        <v>293</v>
      </c>
      <c r="E17" s="2" t="s">
        <v>300</v>
      </c>
      <c r="F17" s="6">
        <v>10</v>
      </c>
      <c r="G17" s="6" t="s">
        <v>116</v>
      </c>
      <c r="H17" s="6" t="s">
        <v>116</v>
      </c>
      <c r="I17" s="6">
        <v>10</v>
      </c>
      <c r="J17" s="6">
        <v>0</v>
      </c>
      <c r="K17" s="6">
        <v>0</v>
      </c>
      <c r="L17" s="2" t="s">
        <v>308</v>
      </c>
      <c r="M17" s="9"/>
      <c r="N17" s="2" t="s">
        <v>118</v>
      </c>
      <c r="O17" s="2" t="s">
        <v>2729</v>
      </c>
      <c r="P17" s="2" t="s">
        <v>121</v>
      </c>
      <c r="Q17" s="2" t="s">
        <v>128</v>
      </c>
    </row>
    <row r="18" spans="1:17" ht="28.5">
      <c r="A18" s="2" t="s">
        <v>309</v>
      </c>
      <c r="B18" s="2" t="s">
        <v>108</v>
      </c>
      <c r="C18" s="2" t="s">
        <v>109</v>
      </c>
      <c r="D18" s="2" t="s">
        <v>293</v>
      </c>
      <c r="E18" s="2" t="s">
        <v>310</v>
      </c>
      <c r="F18" s="6">
        <v>6</v>
      </c>
      <c r="G18" s="6" t="s">
        <v>116</v>
      </c>
      <c r="H18" s="6" t="s">
        <v>116</v>
      </c>
      <c r="I18" s="6">
        <v>6</v>
      </c>
      <c r="J18" s="6">
        <v>0</v>
      </c>
      <c r="K18" s="6">
        <v>0</v>
      </c>
      <c r="L18" s="2" t="s">
        <v>319</v>
      </c>
      <c r="M18" s="9">
        <v>46259</v>
      </c>
      <c r="N18" s="2" t="s">
        <v>299</v>
      </c>
      <c r="O18" s="2" t="s">
        <v>2730</v>
      </c>
      <c r="P18" s="2" t="s">
        <v>121</v>
      </c>
      <c r="Q18" s="2" t="s">
        <v>128</v>
      </c>
    </row>
    <row r="19" spans="1:17" ht="28.5">
      <c r="A19" s="2" t="s">
        <v>322</v>
      </c>
      <c r="B19" s="2" t="s">
        <v>108</v>
      </c>
      <c r="C19" s="2" t="s">
        <v>109</v>
      </c>
      <c r="D19" s="2" t="s">
        <v>117</v>
      </c>
      <c r="E19" s="2" t="s">
        <v>323</v>
      </c>
      <c r="F19" s="6">
        <v>12</v>
      </c>
      <c r="G19" s="6" t="s">
        <v>116</v>
      </c>
      <c r="H19" s="6" t="s">
        <v>116</v>
      </c>
      <c r="I19" s="6">
        <v>12</v>
      </c>
      <c r="J19" s="6">
        <v>0</v>
      </c>
      <c r="K19" s="6">
        <v>0</v>
      </c>
      <c r="L19" s="2" t="s">
        <v>332</v>
      </c>
      <c r="M19" s="9">
        <v>46266</v>
      </c>
      <c r="N19" s="2" t="s">
        <v>327</v>
      </c>
      <c r="O19" s="2" t="s">
        <v>328</v>
      </c>
      <c r="P19" s="2" t="s">
        <v>121</v>
      </c>
      <c r="Q19" s="2" t="s">
        <v>128</v>
      </c>
    </row>
    <row r="20" spans="1:17" ht="28.5">
      <c r="A20" s="2" t="s">
        <v>334</v>
      </c>
      <c r="B20" s="2" t="s">
        <v>108</v>
      </c>
      <c r="C20" s="2" t="s">
        <v>109</v>
      </c>
      <c r="D20" s="2" t="s">
        <v>293</v>
      </c>
      <c r="E20" s="2" t="s">
        <v>335</v>
      </c>
      <c r="F20" s="6">
        <v>5</v>
      </c>
      <c r="G20" s="6" t="s">
        <v>116</v>
      </c>
      <c r="H20" s="6" t="s">
        <v>116</v>
      </c>
      <c r="I20" s="6">
        <v>5</v>
      </c>
      <c r="J20" s="6">
        <v>0</v>
      </c>
      <c r="K20" s="6">
        <v>0</v>
      </c>
      <c r="L20" s="2" t="s">
        <v>342</v>
      </c>
      <c r="M20" s="9">
        <v>46259</v>
      </c>
      <c r="N20" s="2" t="s">
        <v>299</v>
      </c>
      <c r="O20" s="2" t="s">
        <v>339</v>
      </c>
      <c r="P20" s="2" t="s">
        <v>121</v>
      </c>
      <c r="Q20" s="2" t="s">
        <v>128</v>
      </c>
    </row>
    <row r="21" spans="1:17" ht="28.5">
      <c r="A21" s="2" t="s">
        <v>346</v>
      </c>
      <c r="B21" s="2" t="s">
        <v>108</v>
      </c>
      <c r="C21" s="2" t="s">
        <v>109</v>
      </c>
      <c r="D21" s="2" t="s">
        <v>117</v>
      </c>
      <c r="E21" s="2" t="s">
        <v>347</v>
      </c>
      <c r="F21" s="6">
        <v>6</v>
      </c>
      <c r="G21" s="6" t="s">
        <v>116</v>
      </c>
      <c r="H21" s="6" t="s">
        <v>116</v>
      </c>
      <c r="I21" s="6">
        <v>6</v>
      </c>
      <c r="J21" s="6">
        <v>0</v>
      </c>
      <c r="K21" s="6">
        <v>0</v>
      </c>
      <c r="L21" s="2" t="s">
        <v>355</v>
      </c>
      <c r="M21" s="9"/>
      <c r="N21" s="2" t="s">
        <v>327</v>
      </c>
      <c r="O21" s="2" t="s">
        <v>352</v>
      </c>
      <c r="P21" s="2" t="s">
        <v>121</v>
      </c>
      <c r="Q21" s="2" t="s">
        <v>128</v>
      </c>
    </row>
    <row r="22" spans="1:17" ht="42.75">
      <c r="A22" s="2" t="s">
        <v>425</v>
      </c>
      <c r="B22" s="2" t="s">
        <v>108</v>
      </c>
      <c r="C22" s="2" t="s">
        <v>426</v>
      </c>
      <c r="D22" s="2" t="s">
        <v>117</v>
      </c>
      <c r="E22" s="2" t="s">
        <v>427</v>
      </c>
      <c r="F22" s="6">
        <v>12</v>
      </c>
      <c r="G22" s="6" t="s">
        <v>116</v>
      </c>
      <c r="H22" s="6" t="s">
        <v>116</v>
      </c>
      <c r="I22" s="6">
        <v>12</v>
      </c>
      <c r="J22" s="6">
        <v>0</v>
      </c>
      <c r="K22" s="6">
        <v>0</v>
      </c>
      <c r="L22" s="2" t="s">
        <v>436</v>
      </c>
      <c r="M22" s="9">
        <v>46272</v>
      </c>
      <c r="N22" s="2" t="s">
        <v>431</v>
      </c>
      <c r="O22" s="2" t="s">
        <v>432</v>
      </c>
      <c r="P22" s="2" t="s">
        <v>121</v>
      </c>
      <c r="Q22" s="2" t="s">
        <v>435</v>
      </c>
    </row>
    <row r="23" spans="1:17" ht="42.75">
      <c r="A23" s="2" t="s">
        <v>439</v>
      </c>
      <c r="B23" s="2" t="s">
        <v>108</v>
      </c>
      <c r="C23" s="2" t="s">
        <v>426</v>
      </c>
      <c r="D23" s="2" t="s">
        <v>117</v>
      </c>
      <c r="E23" s="2" t="s">
        <v>440</v>
      </c>
      <c r="F23" s="6">
        <v>8</v>
      </c>
      <c r="G23" s="6" t="s">
        <v>116</v>
      </c>
      <c r="H23" s="6" t="s">
        <v>116</v>
      </c>
      <c r="I23" s="6">
        <v>8</v>
      </c>
      <c r="J23" s="6">
        <v>0</v>
      </c>
      <c r="K23" s="6">
        <v>0</v>
      </c>
      <c r="L23" s="2" t="s">
        <v>444</v>
      </c>
      <c r="M23" s="9">
        <v>46273</v>
      </c>
      <c r="N23" s="2" t="s">
        <v>425</v>
      </c>
      <c r="O23" s="2" t="s">
        <v>443</v>
      </c>
      <c r="P23" s="2" t="s">
        <v>121</v>
      </c>
      <c r="Q23" s="2" t="s">
        <v>435</v>
      </c>
    </row>
    <row r="24" spans="1:17" ht="42.75">
      <c r="A24" s="2" t="s">
        <v>445</v>
      </c>
      <c r="B24" s="2" t="s">
        <v>108</v>
      </c>
      <c r="C24" s="2" t="s">
        <v>426</v>
      </c>
      <c r="D24" s="2" t="s">
        <v>117</v>
      </c>
      <c r="E24" s="2" t="s">
        <v>446</v>
      </c>
      <c r="F24" s="6">
        <v>6</v>
      </c>
      <c r="G24" s="6" t="s">
        <v>116</v>
      </c>
      <c r="H24" s="6" t="s">
        <v>116</v>
      </c>
      <c r="I24" s="6">
        <v>6</v>
      </c>
      <c r="J24" s="6">
        <v>0</v>
      </c>
      <c r="K24" s="6">
        <v>0</v>
      </c>
      <c r="L24" s="2" t="s">
        <v>450</v>
      </c>
      <c r="M24" s="9">
        <v>46273</v>
      </c>
      <c r="N24" s="2" t="s">
        <v>439</v>
      </c>
      <c r="O24" s="2" t="s">
        <v>449</v>
      </c>
      <c r="P24" s="2" t="s">
        <v>121</v>
      </c>
      <c r="Q24" s="2" t="s">
        <v>435</v>
      </c>
    </row>
    <row r="25" spans="1:17" ht="42.75">
      <c r="A25" s="2" t="s">
        <v>451</v>
      </c>
      <c r="B25" s="2" t="s">
        <v>108</v>
      </c>
      <c r="C25" s="2" t="s">
        <v>426</v>
      </c>
      <c r="D25" s="2" t="s">
        <v>36</v>
      </c>
      <c r="E25" s="2" t="s">
        <v>452</v>
      </c>
      <c r="F25" s="6">
        <v>12</v>
      </c>
      <c r="G25" s="6" t="s">
        <v>455</v>
      </c>
      <c r="H25" s="6" t="s">
        <v>455</v>
      </c>
      <c r="I25" s="6">
        <v>0</v>
      </c>
      <c r="J25" s="6">
        <v>12</v>
      </c>
      <c r="K25" s="6">
        <v>0</v>
      </c>
      <c r="L25" s="2"/>
      <c r="M25" s="9"/>
      <c r="N25" s="2" t="s">
        <v>456</v>
      </c>
      <c r="O25" s="2" t="s">
        <v>457</v>
      </c>
      <c r="P25" s="2" t="s">
        <v>121</v>
      </c>
      <c r="Q25" s="2" t="s">
        <v>435</v>
      </c>
    </row>
    <row r="26" spans="1:17" ht="42.75">
      <c r="A26" s="2" t="s">
        <v>463</v>
      </c>
      <c r="B26" s="2" t="s">
        <v>108</v>
      </c>
      <c r="C26" s="2" t="s">
        <v>426</v>
      </c>
      <c r="D26" s="2" t="s">
        <v>117</v>
      </c>
      <c r="E26" s="2" t="s">
        <v>464</v>
      </c>
      <c r="F26" s="6">
        <v>8</v>
      </c>
      <c r="G26" s="6" t="s">
        <v>455</v>
      </c>
      <c r="H26" s="6" t="s">
        <v>455</v>
      </c>
      <c r="I26" s="6">
        <v>0</v>
      </c>
      <c r="J26" s="6">
        <v>8</v>
      </c>
      <c r="K26" s="6">
        <v>0</v>
      </c>
      <c r="L26" s="2"/>
      <c r="M26" s="9"/>
      <c r="N26" s="2" t="s">
        <v>468</v>
      </c>
      <c r="O26" s="2" t="s">
        <v>2731</v>
      </c>
      <c r="P26" s="2" t="s">
        <v>121</v>
      </c>
      <c r="Q26" s="2" t="s">
        <v>435</v>
      </c>
    </row>
    <row r="27" spans="1:17" ht="42.75">
      <c r="A27" s="2" t="s">
        <v>476</v>
      </c>
      <c r="B27" s="2" t="s">
        <v>108</v>
      </c>
      <c r="C27" s="2" t="s">
        <v>426</v>
      </c>
      <c r="D27" s="2" t="s">
        <v>117</v>
      </c>
      <c r="E27" s="2" t="s">
        <v>477</v>
      </c>
      <c r="F27" s="6">
        <v>6</v>
      </c>
      <c r="G27" s="6" t="s">
        <v>455</v>
      </c>
      <c r="H27" s="6" t="s">
        <v>455</v>
      </c>
      <c r="I27" s="6">
        <v>0</v>
      </c>
      <c r="J27" s="6">
        <v>6</v>
      </c>
      <c r="K27" s="6">
        <v>0</v>
      </c>
      <c r="L27" s="2"/>
      <c r="M27" s="9"/>
      <c r="N27" s="2" t="s">
        <v>463</v>
      </c>
      <c r="O27" s="2" t="s">
        <v>2732</v>
      </c>
      <c r="P27" s="2" t="s">
        <v>121</v>
      </c>
      <c r="Q27" s="2" t="s">
        <v>435</v>
      </c>
    </row>
    <row r="28" spans="1:17" ht="42.75">
      <c r="A28" s="2" t="s">
        <v>489</v>
      </c>
      <c r="B28" s="2" t="s">
        <v>108</v>
      </c>
      <c r="C28" s="2" t="s">
        <v>426</v>
      </c>
      <c r="D28" s="2" t="s">
        <v>36</v>
      </c>
      <c r="E28" s="2" t="s">
        <v>490</v>
      </c>
      <c r="F28" s="6">
        <v>12</v>
      </c>
      <c r="G28" s="6" t="s">
        <v>455</v>
      </c>
      <c r="H28" s="6" t="s">
        <v>455</v>
      </c>
      <c r="I28" s="6">
        <v>0</v>
      </c>
      <c r="J28" s="6">
        <v>12</v>
      </c>
      <c r="K28" s="6">
        <v>0</v>
      </c>
      <c r="L28" s="2"/>
      <c r="M28" s="9"/>
      <c r="N28" s="2" t="s">
        <v>493</v>
      </c>
      <c r="O28" s="2" t="s">
        <v>457</v>
      </c>
      <c r="P28" s="2" t="s">
        <v>121</v>
      </c>
      <c r="Q28" s="2" t="s">
        <v>435</v>
      </c>
    </row>
    <row r="29" spans="1:17" ht="42.75">
      <c r="A29" s="2" t="s">
        <v>498</v>
      </c>
      <c r="B29" s="2" t="s">
        <v>108</v>
      </c>
      <c r="C29" s="2" t="s">
        <v>426</v>
      </c>
      <c r="D29" s="2" t="s">
        <v>117</v>
      </c>
      <c r="E29" s="2" t="s">
        <v>499</v>
      </c>
      <c r="F29" s="6">
        <v>8</v>
      </c>
      <c r="G29" s="6" t="s">
        <v>455</v>
      </c>
      <c r="H29" s="6" t="s">
        <v>455</v>
      </c>
      <c r="I29" s="6">
        <v>0</v>
      </c>
      <c r="J29" s="6">
        <v>8</v>
      </c>
      <c r="K29" s="6">
        <v>0</v>
      </c>
      <c r="L29" s="2"/>
      <c r="M29" s="9"/>
      <c r="N29" s="2" t="s">
        <v>503</v>
      </c>
      <c r="O29" s="2" t="s">
        <v>504</v>
      </c>
      <c r="P29" s="2" t="s">
        <v>121</v>
      </c>
      <c r="Q29" s="2" t="s">
        <v>435</v>
      </c>
    </row>
    <row r="30" spans="1:17" ht="42.75">
      <c r="A30" s="2" t="s">
        <v>508</v>
      </c>
      <c r="B30" s="2" t="s">
        <v>108</v>
      </c>
      <c r="C30" s="2" t="s">
        <v>426</v>
      </c>
      <c r="D30" s="2" t="s">
        <v>117</v>
      </c>
      <c r="E30" s="2" t="s">
        <v>509</v>
      </c>
      <c r="F30" s="6">
        <v>6</v>
      </c>
      <c r="G30" s="6" t="s">
        <v>455</v>
      </c>
      <c r="H30" s="6" t="s">
        <v>455</v>
      </c>
      <c r="I30" s="6">
        <v>0</v>
      </c>
      <c r="J30" s="6">
        <v>6</v>
      </c>
      <c r="K30" s="6">
        <v>0</v>
      </c>
      <c r="L30" s="2"/>
      <c r="M30" s="9"/>
      <c r="N30" s="2" t="s">
        <v>512</v>
      </c>
      <c r="O30" s="2" t="s">
        <v>457</v>
      </c>
      <c r="P30" s="2" t="s">
        <v>121</v>
      </c>
      <c r="Q30" s="2" t="s">
        <v>435</v>
      </c>
    </row>
    <row r="31" spans="1:17" ht="42.75">
      <c r="A31" s="2" t="s">
        <v>514</v>
      </c>
      <c r="B31" s="2" t="s">
        <v>108</v>
      </c>
      <c r="C31" s="2" t="s">
        <v>426</v>
      </c>
      <c r="D31" s="2" t="s">
        <v>117</v>
      </c>
      <c r="E31" s="2" t="s">
        <v>2733</v>
      </c>
      <c r="F31" s="6">
        <v>8</v>
      </c>
      <c r="G31" s="6" t="s">
        <v>455</v>
      </c>
      <c r="H31" s="6" t="s">
        <v>455</v>
      </c>
      <c r="I31" s="6">
        <v>0</v>
      </c>
      <c r="J31" s="6">
        <v>8</v>
      </c>
      <c r="K31" s="6">
        <v>0</v>
      </c>
      <c r="L31" s="2"/>
      <c r="M31" s="9"/>
      <c r="N31" s="2" t="s">
        <v>2734</v>
      </c>
      <c r="O31" s="2" t="s">
        <v>2735</v>
      </c>
      <c r="P31" s="2" t="s">
        <v>121</v>
      </c>
      <c r="Q31" s="2" t="s">
        <v>435</v>
      </c>
    </row>
    <row r="32" spans="1:17" ht="42.75">
      <c r="A32" s="2" t="s">
        <v>2736</v>
      </c>
      <c r="B32" s="2" t="s">
        <v>108</v>
      </c>
      <c r="C32" s="2" t="s">
        <v>426</v>
      </c>
      <c r="D32" s="2" t="s">
        <v>117</v>
      </c>
      <c r="E32" s="2" t="s">
        <v>2737</v>
      </c>
      <c r="F32" s="6">
        <v>6</v>
      </c>
      <c r="G32" s="6" t="s">
        <v>455</v>
      </c>
      <c r="H32" s="6" t="s">
        <v>455</v>
      </c>
      <c r="I32" s="6">
        <v>0</v>
      </c>
      <c r="J32" s="6">
        <v>6</v>
      </c>
      <c r="K32" s="6">
        <v>0</v>
      </c>
      <c r="L32" s="2"/>
      <c r="M32" s="9"/>
      <c r="N32" s="2" t="s">
        <v>514</v>
      </c>
      <c r="O32" s="2" t="s">
        <v>457</v>
      </c>
      <c r="P32" s="2" t="s">
        <v>121</v>
      </c>
      <c r="Q32" s="2" t="s">
        <v>435</v>
      </c>
    </row>
    <row r="33" spans="1:17" ht="42.75">
      <c r="A33" s="2" t="s">
        <v>522</v>
      </c>
      <c r="B33" s="2" t="s">
        <v>108</v>
      </c>
      <c r="C33" s="2" t="s">
        <v>426</v>
      </c>
      <c r="D33" s="2" t="s">
        <v>293</v>
      </c>
      <c r="E33" s="2" t="s">
        <v>2738</v>
      </c>
      <c r="F33" s="6">
        <v>16</v>
      </c>
      <c r="G33" s="6" t="s">
        <v>455</v>
      </c>
      <c r="H33" s="6" t="s">
        <v>455</v>
      </c>
      <c r="I33" s="6">
        <v>0</v>
      </c>
      <c r="J33" s="6">
        <v>16</v>
      </c>
      <c r="K33" s="6">
        <v>0</v>
      </c>
      <c r="L33" s="2"/>
      <c r="M33" s="9"/>
      <c r="N33" s="2" t="s">
        <v>2739</v>
      </c>
      <c r="O33" s="2" t="s">
        <v>2740</v>
      </c>
      <c r="P33" s="2" t="s">
        <v>121</v>
      </c>
      <c r="Q33" s="2" t="s">
        <v>435</v>
      </c>
    </row>
    <row r="34" spans="1:17" ht="42.75">
      <c r="A34" s="2" t="s">
        <v>539</v>
      </c>
      <c r="B34" s="2" t="s">
        <v>108</v>
      </c>
      <c r="C34" s="2" t="s">
        <v>426</v>
      </c>
      <c r="D34" s="2" t="s">
        <v>293</v>
      </c>
      <c r="E34" s="2" t="s">
        <v>540</v>
      </c>
      <c r="F34" s="6">
        <v>16</v>
      </c>
      <c r="G34" s="6" t="s">
        <v>455</v>
      </c>
      <c r="H34" s="6" t="s">
        <v>455</v>
      </c>
      <c r="I34" s="6">
        <v>0</v>
      </c>
      <c r="J34" s="6">
        <v>16</v>
      </c>
      <c r="K34" s="6">
        <v>0</v>
      </c>
      <c r="L34" s="2"/>
      <c r="M34" s="9"/>
      <c r="N34" s="2" t="s">
        <v>2741</v>
      </c>
      <c r="O34" s="2" t="s">
        <v>2742</v>
      </c>
      <c r="P34" s="2" t="s">
        <v>121</v>
      </c>
      <c r="Q34" s="2" t="s">
        <v>435</v>
      </c>
    </row>
    <row r="35" spans="1:17" ht="42.75">
      <c r="A35" s="2" t="s">
        <v>548</v>
      </c>
      <c r="B35" s="2" t="s">
        <v>108</v>
      </c>
      <c r="C35" s="2" t="s">
        <v>426</v>
      </c>
      <c r="D35" s="2" t="s">
        <v>117</v>
      </c>
      <c r="E35" s="2" t="s">
        <v>2743</v>
      </c>
      <c r="F35" s="6">
        <v>8</v>
      </c>
      <c r="G35" s="6" t="s">
        <v>455</v>
      </c>
      <c r="H35" s="6" t="s">
        <v>455</v>
      </c>
      <c r="I35" s="6">
        <v>0</v>
      </c>
      <c r="J35" s="6">
        <v>8</v>
      </c>
      <c r="K35" s="6">
        <v>0</v>
      </c>
      <c r="L35" s="2"/>
      <c r="M35" s="9"/>
      <c r="N35" s="2"/>
      <c r="O35" s="2" t="s">
        <v>559</v>
      </c>
      <c r="P35" s="2" t="s">
        <v>121</v>
      </c>
      <c r="Q35" s="2" t="s">
        <v>435</v>
      </c>
    </row>
    <row r="36" spans="1:17" ht="42.75">
      <c r="A36" s="2" t="s">
        <v>559</v>
      </c>
      <c r="B36" s="2" t="s">
        <v>108</v>
      </c>
      <c r="C36" s="2" t="s">
        <v>426</v>
      </c>
      <c r="D36" s="2" t="s">
        <v>293</v>
      </c>
      <c r="E36" s="2" t="s">
        <v>560</v>
      </c>
      <c r="F36" s="6">
        <v>6</v>
      </c>
      <c r="G36" s="6" t="s">
        <v>455</v>
      </c>
      <c r="H36" s="6" t="s">
        <v>455</v>
      </c>
      <c r="I36" s="6">
        <v>0</v>
      </c>
      <c r="J36" s="6">
        <v>6</v>
      </c>
      <c r="K36" s="6">
        <v>0</v>
      </c>
      <c r="L36" s="2"/>
      <c r="M36" s="9"/>
      <c r="N36" s="2" t="s">
        <v>2744</v>
      </c>
      <c r="O36" s="2" t="s">
        <v>2745</v>
      </c>
      <c r="P36" s="2" t="s">
        <v>121</v>
      </c>
      <c r="Q36" s="2" t="s">
        <v>435</v>
      </c>
    </row>
    <row r="37" spans="1:17" ht="42.75">
      <c r="A37" s="2" t="s">
        <v>1242</v>
      </c>
      <c r="B37" s="2" t="s">
        <v>108</v>
      </c>
      <c r="C37" s="2" t="s">
        <v>426</v>
      </c>
      <c r="D37" s="2" t="s">
        <v>117</v>
      </c>
      <c r="E37" s="2" t="s">
        <v>2746</v>
      </c>
      <c r="F37" s="6">
        <v>12</v>
      </c>
      <c r="G37" s="6" t="s">
        <v>455</v>
      </c>
      <c r="H37" s="6" t="s">
        <v>455</v>
      </c>
      <c r="I37" s="6">
        <v>0</v>
      </c>
      <c r="J37" s="6">
        <v>12</v>
      </c>
      <c r="K37" s="6">
        <v>0</v>
      </c>
      <c r="L37" s="2"/>
      <c r="M37" s="9"/>
      <c r="N37" s="2"/>
      <c r="O37" s="2"/>
      <c r="P37" s="2" t="s">
        <v>121</v>
      </c>
      <c r="Q37" s="2" t="s">
        <v>435</v>
      </c>
    </row>
    <row r="38" spans="1:17" ht="42.75">
      <c r="A38" s="2" t="s">
        <v>2747</v>
      </c>
      <c r="B38" s="2" t="s">
        <v>108</v>
      </c>
      <c r="C38" s="2" t="s">
        <v>426</v>
      </c>
      <c r="D38" s="2" t="s">
        <v>117</v>
      </c>
      <c r="E38" s="2" t="s">
        <v>2748</v>
      </c>
      <c r="F38" s="6">
        <v>12</v>
      </c>
      <c r="G38" s="6" t="s">
        <v>455</v>
      </c>
      <c r="H38" s="6" t="s">
        <v>455</v>
      </c>
      <c r="I38" s="6">
        <v>0</v>
      </c>
      <c r="J38" s="6">
        <v>12</v>
      </c>
      <c r="K38" s="6">
        <v>0</v>
      </c>
      <c r="L38" s="2"/>
      <c r="M38" s="9"/>
      <c r="N38" s="2"/>
      <c r="O38" s="2"/>
      <c r="P38" s="2" t="s">
        <v>121</v>
      </c>
      <c r="Q38" s="2" t="s">
        <v>435</v>
      </c>
    </row>
    <row r="39" spans="1:17" ht="42.75">
      <c r="A39" s="2" t="s">
        <v>567</v>
      </c>
      <c r="B39" s="2" t="s">
        <v>108</v>
      </c>
      <c r="C39" s="2" t="s">
        <v>426</v>
      </c>
      <c r="D39" s="2" t="s">
        <v>117</v>
      </c>
      <c r="E39" s="2" t="s">
        <v>568</v>
      </c>
      <c r="F39" s="6">
        <v>6</v>
      </c>
      <c r="G39" s="6" t="s">
        <v>116</v>
      </c>
      <c r="H39" s="6" t="s">
        <v>116</v>
      </c>
      <c r="I39" s="6">
        <v>6</v>
      </c>
      <c r="J39" s="6">
        <v>0</v>
      </c>
      <c r="K39" s="6">
        <v>0</v>
      </c>
      <c r="L39" s="2" t="s">
        <v>298</v>
      </c>
      <c r="M39" s="9"/>
      <c r="N39" s="2" t="s">
        <v>118</v>
      </c>
      <c r="O39" s="2" t="s">
        <v>2749</v>
      </c>
      <c r="P39" s="2" t="s">
        <v>121</v>
      </c>
      <c r="Q39" s="2" t="s">
        <v>435</v>
      </c>
    </row>
    <row r="40" spans="1:17" ht="42.75">
      <c r="A40" s="2" t="s">
        <v>579</v>
      </c>
      <c r="B40" s="2" t="s">
        <v>108</v>
      </c>
      <c r="C40" s="2" t="s">
        <v>426</v>
      </c>
      <c r="D40" s="2" t="s">
        <v>36</v>
      </c>
      <c r="E40" s="2" t="s">
        <v>580</v>
      </c>
      <c r="F40" s="6">
        <v>10</v>
      </c>
      <c r="G40" s="6" t="s">
        <v>455</v>
      </c>
      <c r="H40" s="6" t="s">
        <v>455</v>
      </c>
      <c r="I40" s="6">
        <v>0</v>
      </c>
      <c r="J40" s="6">
        <v>10</v>
      </c>
      <c r="K40" s="6">
        <v>0</v>
      </c>
      <c r="L40" s="2"/>
      <c r="M40" s="9"/>
      <c r="N40" s="2" t="s">
        <v>585</v>
      </c>
      <c r="O40" s="2"/>
      <c r="P40" s="2" t="s">
        <v>121</v>
      </c>
      <c r="Q40" s="2" t="s">
        <v>435</v>
      </c>
    </row>
    <row r="41" spans="1:17" ht="42.75">
      <c r="A41" s="2" t="s">
        <v>595</v>
      </c>
      <c r="B41" s="2" t="s">
        <v>108</v>
      </c>
      <c r="C41" s="2" t="s">
        <v>426</v>
      </c>
      <c r="D41" s="2" t="s">
        <v>36</v>
      </c>
      <c r="E41" s="2" t="s">
        <v>596</v>
      </c>
      <c r="F41" s="6">
        <v>8</v>
      </c>
      <c r="G41" s="6" t="s">
        <v>116</v>
      </c>
      <c r="H41" s="6" t="s">
        <v>116</v>
      </c>
      <c r="I41" s="6">
        <v>8</v>
      </c>
      <c r="J41" s="6">
        <v>0</v>
      </c>
      <c r="K41" s="6">
        <v>0</v>
      </c>
      <c r="L41" s="2" t="s">
        <v>606</v>
      </c>
      <c r="M41" s="9">
        <v>46265</v>
      </c>
      <c r="N41" s="2" t="s">
        <v>601</v>
      </c>
      <c r="O41" s="2" t="s">
        <v>602</v>
      </c>
      <c r="P41" s="2" t="s">
        <v>121</v>
      </c>
      <c r="Q41" s="2" t="s">
        <v>435</v>
      </c>
    </row>
    <row r="42" spans="1:17" ht="42.75">
      <c r="A42" s="2" t="s">
        <v>610</v>
      </c>
      <c r="B42" s="2" t="s">
        <v>108</v>
      </c>
      <c r="C42" s="2" t="s">
        <v>426</v>
      </c>
      <c r="D42" s="2" t="s">
        <v>117</v>
      </c>
      <c r="E42" s="2" t="s">
        <v>611</v>
      </c>
      <c r="F42" s="6">
        <v>12</v>
      </c>
      <c r="G42" s="6" t="s">
        <v>455</v>
      </c>
      <c r="H42" s="6" t="s">
        <v>455</v>
      </c>
      <c r="I42" s="6">
        <v>0</v>
      </c>
      <c r="J42" s="6">
        <v>12</v>
      </c>
      <c r="K42" s="6">
        <v>0</v>
      </c>
      <c r="L42" s="2"/>
      <c r="M42" s="9"/>
      <c r="N42" s="2" t="s">
        <v>567</v>
      </c>
      <c r="O42" s="2" t="s">
        <v>613</v>
      </c>
      <c r="P42" s="2" t="s">
        <v>121</v>
      </c>
      <c r="Q42" s="2" t="s">
        <v>618</v>
      </c>
    </row>
    <row r="43" spans="1:17" ht="42.75">
      <c r="A43" s="2" t="s">
        <v>622</v>
      </c>
      <c r="B43" s="2" t="s">
        <v>108</v>
      </c>
      <c r="C43" s="2" t="s">
        <v>426</v>
      </c>
      <c r="D43" s="2" t="s">
        <v>117</v>
      </c>
      <c r="E43" s="2" t="s">
        <v>623</v>
      </c>
      <c r="F43" s="6">
        <v>12</v>
      </c>
      <c r="G43" s="6" t="s">
        <v>455</v>
      </c>
      <c r="H43" s="6" t="s">
        <v>455</v>
      </c>
      <c r="I43" s="6">
        <v>0</v>
      </c>
      <c r="J43" s="6">
        <v>12</v>
      </c>
      <c r="K43" s="6">
        <v>0</v>
      </c>
      <c r="L43" s="2"/>
      <c r="M43" s="9"/>
      <c r="N43" s="2" t="s">
        <v>610</v>
      </c>
      <c r="O43" s="2" t="s">
        <v>624</v>
      </c>
      <c r="P43" s="2" t="s">
        <v>121</v>
      </c>
      <c r="Q43" s="2" t="s">
        <v>435</v>
      </c>
    </row>
    <row r="44" spans="1:17" ht="42.75">
      <c r="A44" s="2" t="s">
        <v>629</v>
      </c>
      <c r="B44" s="2" t="s">
        <v>108</v>
      </c>
      <c r="C44" s="2" t="s">
        <v>426</v>
      </c>
      <c r="D44" s="2" t="s">
        <v>117</v>
      </c>
      <c r="E44" s="2" t="s">
        <v>630</v>
      </c>
      <c r="F44" s="6">
        <v>12</v>
      </c>
      <c r="G44" s="6" t="s">
        <v>455</v>
      </c>
      <c r="H44" s="6" t="s">
        <v>455</v>
      </c>
      <c r="I44" s="6">
        <v>0</v>
      </c>
      <c r="J44" s="6">
        <v>12</v>
      </c>
      <c r="K44" s="6">
        <v>0</v>
      </c>
      <c r="L44" s="2"/>
      <c r="M44" s="9"/>
      <c r="N44" s="2" t="s">
        <v>2750</v>
      </c>
      <c r="O44" s="2" t="s">
        <v>1276</v>
      </c>
      <c r="P44" s="2" t="s">
        <v>121</v>
      </c>
      <c r="Q44" s="2" t="s">
        <v>435</v>
      </c>
    </row>
    <row r="45" spans="1:17" ht="42.75">
      <c r="A45" s="2" t="s">
        <v>636</v>
      </c>
      <c r="B45" s="2" t="s">
        <v>108</v>
      </c>
      <c r="C45" s="2" t="s">
        <v>426</v>
      </c>
      <c r="D45" s="2" t="s">
        <v>117</v>
      </c>
      <c r="E45" s="2" t="s">
        <v>637</v>
      </c>
      <c r="F45" s="6">
        <v>6</v>
      </c>
      <c r="G45" s="6" t="s">
        <v>455</v>
      </c>
      <c r="H45" s="6" t="s">
        <v>455</v>
      </c>
      <c r="I45" s="6">
        <v>0</v>
      </c>
      <c r="J45" s="6">
        <v>6</v>
      </c>
      <c r="K45" s="6">
        <v>0</v>
      </c>
      <c r="L45" s="2"/>
      <c r="M45" s="9"/>
      <c r="N45" s="2" t="s">
        <v>641</v>
      </c>
      <c r="O45" s="2" t="s">
        <v>642</v>
      </c>
      <c r="P45" s="2" t="s">
        <v>121</v>
      </c>
      <c r="Q45" s="2" t="s">
        <v>435</v>
      </c>
    </row>
    <row r="46" spans="1:17" ht="42.75">
      <c r="A46" s="2" t="s">
        <v>648</v>
      </c>
      <c r="B46" s="2" t="s">
        <v>108</v>
      </c>
      <c r="C46" s="2" t="s">
        <v>426</v>
      </c>
      <c r="D46" s="2" t="s">
        <v>117</v>
      </c>
      <c r="E46" s="2" t="s">
        <v>649</v>
      </c>
      <c r="F46" s="6">
        <v>5</v>
      </c>
      <c r="G46" s="6" t="s">
        <v>455</v>
      </c>
      <c r="H46" s="6" t="s">
        <v>455</v>
      </c>
      <c r="I46" s="6">
        <v>0</v>
      </c>
      <c r="J46" s="6">
        <v>5</v>
      </c>
      <c r="K46" s="6">
        <v>0</v>
      </c>
      <c r="L46" s="2"/>
      <c r="M46" s="9"/>
      <c r="N46" s="2" t="s">
        <v>654</v>
      </c>
      <c r="O46" s="2" t="s">
        <v>655</v>
      </c>
      <c r="P46" s="2" t="s">
        <v>121</v>
      </c>
      <c r="Q46" s="2" t="s">
        <v>435</v>
      </c>
    </row>
    <row r="47" spans="1:17" ht="42.75">
      <c r="A47" s="2" t="s">
        <v>659</v>
      </c>
      <c r="B47" s="2" t="s">
        <v>108</v>
      </c>
      <c r="C47" s="2" t="s">
        <v>426</v>
      </c>
      <c r="D47" s="2" t="s">
        <v>117</v>
      </c>
      <c r="E47" s="2" t="s">
        <v>660</v>
      </c>
      <c r="F47" s="6">
        <v>8</v>
      </c>
      <c r="G47" s="6" t="s">
        <v>455</v>
      </c>
      <c r="H47" s="6" t="s">
        <v>455</v>
      </c>
      <c r="I47" s="6">
        <v>0</v>
      </c>
      <c r="J47" s="6">
        <v>8</v>
      </c>
      <c r="K47" s="6">
        <v>0</v>
      </c>
      <c r="L47" s="2"/>
      <c r="M47" s="9"/>
      <c r="N47" s="2" t="s">
        <v>664</v>
      </c>
      <c r="O47" s="2" t="s">
        <v>2751</v>
      </c>
      <c r="P47" s="2" t="s">
        <v>121</v>
      </c>
      <c r="Q47" s="2" t="s">
        <v>435</v>
      </c>
    </row>
    <row r="48" spans="1:17" ht="42.75">
      <c r="A48" s="2" t="s">
        <v>671</v>
      </c>
      <c r="B48" s="2" t="s">
        <v>108</v>
      </c>
      <c r="C48" s="2" t="s">
        <v>426</v>
      </c>
      <c r="D48" s="2" t="s">
        <v>36</v>
      </c>
      <c r="E48" s="2" t="s">
        <v>672</v>
      </c>
      <c r="F48" s="6">
        <v>10</v>
      </c>
      <c r="G48" s="6" t="s">
        <v>116</v>
      </c>
      <c r="H48" s="6" t="s">
        <v>116</v>
      </c>
      <c r="I48" s="6">
        <v>10</v>
      </c>
      <c r="J48" s="6">
        <v>0</v>
      </c>
      <c r="K48" s="6">
        <v>0</v>
      </c>
      <c r="L48" s="2" t="s">
        <v>682</v>
      </c>
      <c r="M48" s="9"/>
      <c r="N48" s="2" t="s">
        <v>677</v>
      </c>
      <c r="O48" s="2" t="s">
        <v>2752</v>
      </c>
      <c r="P48" s="2" t="s">
        <v>121</v>
      </c>
      <c r="Q48" s="2" t="s">
        <v>435</v>
      </c>
    </row>
    <row r="49" spans="1:17" ht="42.75">
      <c r="A49" s="2" t="s">
        <v>686</v>
      </c>
      <c r="B49" s="2" t="s">
        <v>108</v>
      </c>
      <c r="C49" s="2" t="s">
        <v>426</v>
      </c>
      <c r="D49" s="2" t="s">
        <v>36</v>
      </c>
      <c r="E49" s="2" t="s">
        <v>687</v>
      </c>
      <c r="F49" s="6">
        <v>16</v>
      </c>
      <c r="G49" s="6" t="s">
        <v>116</v>
      </c>
      <c r="H49" s="6" t="s">
        <v>116</v>
      </c>
      <c r="I49" s="6">
        <v>16</v>
      </c>
      <c r="J49" s="6">
        <v>0</v>
      </c>
      <c r="K49" s="6">
        <v>0</v>
      </c>
      <c r="L49" s="2" t="s">
        <v>695</v>
      </c>
      <c r="M49" s="9">
        <v>46273</v>
      </c>
      <c r="N49" s="2" t="s">
        <v>690</v>
      </c>
      <c r="O49" s="2" t="s">
        <v>696</v>
      </c>
      <c r="P49" s="2" t="s">
        <v>121</v>
      </c>
      <c r="Q49" s="2" t="s">
        <v>694</v>
      </c>
    </row>
    <row r="50" spans="1:17" ht="42.75">
      <c r="A50" s="2" t="s">
        <v>696</v>
      </c>
      <c r="B50" s="2" t="s">
        <v>108</v>
      </c>
      <c r="C50" s="2" t="s">
        <v>426</v>
      </c>
      <c r="D50" s="2" t="s">
        <v>36</v>
      </c>
      <c r="E50" s="2" t="s">
        <v>697</v>
      </c>
      <c r="F50" s="6">
        <v>12</v>
      </c>
      <c r="G50" s="6" t="s">
        <v>455</v>
      </c>
      <c r="H50" s="6" t="s">
        <v>455</v>
      </c>
      <c r="I50" s="6">
        <v>0</v>
      </c>
      <c r="J50" s="6">
        <v>12</v>
      </c>
      <c r="K50" s="6">
        <v>0</v>
      </c>
      <c r="L50" s="2"/>
      <c r="M50" s="9"/>
      <c r="N50" s="2" t="s">
        <v>700</v>
      </c>
      <c r="O50" s="2" t="s">
        <v>2753</v>
      </c>
      <c r="P50" s="2" t="s">
        <v>121</v>
      </c>
      <c r="Q50" s="2" t="s">
        <v>2754</v>
      </c>
    </row>
    <row r="51" spans="1:17" ht="42.75">
      <c r="A51" s="2" t="s">
        <v>710</v>
      </c>
      <c r="B51" s="2" t="s">
        <v>108</v>
      </c>
      <c r="C51" s="2" t="s">
        <v>426</v>
      </c>
      <c r="D51" s="2" t="s">
        <v>36</v>
      </c>
      <c r="E51" s="2" t="s">
        <v>711</v>
      </c>
      <c r="F51" s="6">
        <v>14</v>
      </c>
      <c r="G51" s="6" t="s">
        <v>116</v>
      </c>
      <c r="H51" s="6" t="s">
        <v>116</v>
      </c>
      <c r="I51" s="6">
        <v>14</v>
      </c>
      <c r="J51" s="6">
        <v>0</v>
      </c>
      <c r="K51" s="6">
        <v>0</v>
      </c>
      <c r="L51" s="2" t="s">
        <v>718</v>
      </c>
      <c r="M51" s="9">
        <v>46269</v>
      </c>
      <c r="N51" s="2" t="s">
        <v>714</v>
      </c>
      <c r="O51" s="2" t="s">
        <v>723</v>
      </c>
      <c r="P51" s="2" t="s">
        <v>121</v>
      </c>
      <c r="Q51" s="2" t="s">
        <v>435</v>
      </c>
    </row>
    <row r="52" spans="1:17" ht="42.75">
      <c r="A52" s="2" t="s">
        <v>723</v>
      </c>
      <c r="B52" s="2" t="s">
        <v>108</v>
      </c>
      <c r="C52" s="2" t="s">
        <v>426</v>
      </c>
      <c r="D52" s="2" t="s">
        <v>36</v>
      </c>
      <c r="E52" s="2" t="s">
        <v>724</v>
      </c>
      <c r="F52" s="6">
        <v>12</v>
      </c>
      <c r="G52" s="6" t="s">
        <v>455</v>
      </c>
      <c r="H52" s="6" t="s">
        <v>455</v>
      </c>
      <c r="I52" s="6">
        <v>0</v>
      </c>
      <c r="J52" s="6">
        <v>12</v>
      </c>
      <c r="K52" s="6">
        <v>0</v>
      </c>
      <c r="L52" s="2"/>
      <c r="M52" s="9"/>
      <c r="N52" s="2" t="s">
        <v>2755</v>
      </c>
      <c r="O52" s="2"/>
      <c r="P52" s="2" t="s">
        <v>121</v>
      </c>
      <c r="Q52" s="2" t="s">
        <v>694</v>
      </c>
    </row>
    <row r="53" spans="1:17" ht="42.75">
      <c r="A53" s="2" t="s">
        <v>1757</v>
      </c>
      <c r="B53" s="2" t="s">
        <v>108</v>
      </c>
      <c r="C53" s="2" t="s">
        <v>426</v>
      </c>
      <c r="D53" s="2" t="s">
        <v>36</v>
      </c>
      <c r="E53" s="2" t="s">
        <v>1758</v>
      </c>
      <c r="F53" s="6">
        <v>11</v>
      </c>
      <c r="G53" s="6" t="s">
        <v>455</v>
      </c>
      <c r="H53" s="6" t="s">
        <v>455</v>
      </c>
      <c r="I53" s="6">
        <v>0</v>
      </c>
      <c r="J53" s="6">
        <v>11</v>
      </c>
      <c r="K53" s="6">
        <v>0</v>
      </c>
      <c r="L53" s="2"/>
      <c r="M53" s="9"/>
      <c r="N53" s="2" t="s">
        <v>2756</v>
      </c>
      <c r="O53" s="2"/>
      <c r="P53" s="2" t="s">
        <v>121</v>
      </c>
      <c r="Q53" s="2" t="s">
        <v>694</v>
      </c>
    </row>
    <row r="54" spans="1:17" ht="42.75">
      <c r="A54" s="2" t="s">
        <v>737</v>
      </c>
      <c r="B54" s="2" t="s">
        <v>108</v>
      </c>
      <c r="C54" s="2" t="s">
        <v>426</v>
      </c>
      <c r="D54" s="2" t="s">
        <v>36</v>
      </c>
      <c r="E54" s="2" t="s">
        <v>738</v>
      </c>
      <c r="F54" s="6">
        <v>12</v>
      </c>
      <c r="G54" s="6" t="s">
        <v>455</v>
      </c>
      <c r="H54" s="6" t="s">
        <v>455</v>
      </c>
      <c r="I54" s="6">
        <v>0</v>
      </c>
      <c r="J54" s="6">
        <v>12</v>
      </c>
      <c r="K54" s="6">
        <v>0</v>
      </c>
      <c r="L54" s="2"/>
      <c r="M54" s="9"/>
      <c r="N54" s="2" t="s">
        <v>2757</v>
      </c>
      <c r="O54" s="2"/>
      <c r="P54" s="2" t="s">
        <v>121</v>
      </c>
      <c r="Q54" s="2" t="s">
        <v>435</v>
      </c>
    </row>
    <row r="55" spans="1:17" ht="156.75">
      <c r="A55" s="2" t="s">
        <v>749</v>
      </c>
      <c r="B55" s="2" t="s">
        <v>108</v>
      </c>
      <c r="C55" s="2" t="s">
        <v>426</v>
      </c>
      <c r="D55" s="2" t="s">
        <v>36</v>
      </c>
      <c r="E55" s="2" t="s">
        <v>750</v>
      </c>
      <c r="F55" s="6">
        <v>12</v>
      </c>
      <c r="G55" s="6" t="s">
        <v>653</v>
      </c>
      <c r="H55" s="6" t="s">
        <v>653</v>
      </c>
      <c r="I55" s="6">
        <v>0</v>
      </c>
      <c r="J55" s="6">
        <v>12</v>
      </c>
      <c r="K55" s="6">
        <v>12</v>
      </c>
      <c r="L55" s="2"/>
      <c r="M55" s="9"/>
      <c r="N55" s="2" t="s">
        <v>753</v>
      </c>
      <c r="O55" s="2" t="s">
        <v>2758</v>
      </c>
      <c r="P55" s="2" t="s">
        <v>121</v>
      </c>
      <c r="Q55" s="2" t="s">
        <v>758</v>
      </c>
    </row>
    <row r="56" spans="1:17" ht="28.5">
      <c r="A56" s="2" t="s">
        <v>759</v>
      </c>
      <c r="B56" s="2" t="s">
        <v>108</v>
      </c>
      <c r="C56" s="2" t="s">
        <v>426</v>
      </c>
      <c r="D56" s="2" t="s">
        <v>36</v>
      </c>
      <c r="E56" s="2" t="s">
        <v>760</v>
      </c>
      <c r="F56" s="6">
        <v>6</v>
      </c>
      <c r="G56" s="6" t="s">
        <v>455</v>
      </c>
      <c r="H56" s="6" t="s">
        <v>455</v>
      </c>
      <c r="I56" s="6">
        <v>0</v>
      </c>
      <c r="J56" s="6">
        <v>6</v>
      </c>
      <c r="K56" s="6">
        <v>0</v>
      </c>
      <c r="L56" s="2"/>
      <c r="M56" s="9"/>
      <c r="N56" s="2" t="s">
        <v>567</v>
      </c>
      <c r="O56" s="2" t="s">
        <v>2759</v>
      </c>
      <c r="P56" s="2" t="s">
        <v>121</v>
      </c>
      <c r="Q56" s="2" t="s">
        <v>768</v>
      </c>
    </row>
    <row r="57" spans="1:17" ht="42.75">
      <c r="A57" s="2" t="s">
        <v>847</v>
      </c>
      <c r="B57" s="2" t="s">
        <v>108</v>
      </c>
      <c r="C57" s="2" t="s">
        <v>807</v>
      </c>
      <c r="D57" s="2" t="s">
        <v>36</v>
      </c>
      <c r="E57" s="2" t="s">
        <v>848</v>
      </c>
      <c r="F57" s="6">
        <v>8</v>
      </c>
      <c r="G57" s="6" t="s">
        <v>455</v>
      </c>
      <c r="H57" s="6" t="s">
        <v>455</v>
      </c>
      <c r="I57" s="6">
        <v>0</v>
      </c>
      <c r="J57" s="6">
        <v>8</v>
      </c>
      <c r="K57" s="6">
        <v>0</v>
      </c>
      <c r="L57" s="2"/>
      <c r="M57" s="9"/>
      <c r="N57" s="2" t="s">
        <v>852</v>
      </c>
      <c r="O57" s="2" t="s">
        <v>2760</v>
      </c>
      <c r="P57" s="2" t="s">
        <v>121</v>
      </c>
      <c r="Q57" s="2" t="s">
        <v>856</v>
      </c>
    </row>
    <row r="58" spans="1:17" ht="28.5">
      <c r="A58" s="2" t="s">
        <v>806</v>
      </c>
      <c r="B58" s="2" t="s">
        <v>108</v>
      </c>
      <c r="C58" s="2" t="s">
        <v>807</v>
      </c>
      <c r="D58" s="2" t="s">
        <v>36</v>
      </c>
      <c r="E58" s="2" t="s">
        <v>808</v>
      </c>
      <c r="F58" s="6">
        <v>8</v>
      </c>
      <c r="G58" s="6" t="s">
        <v>455</v>
      </c>
      <c r="H58" s="6" t="s">
        <v>455</v>
      </c>
      <c r="I58" s="6">
        <v>0</v>
      </c>
      <c r="J58" s="6">
        <v>8</v>
      </c>
      <c r="K58" s="6">
        <v>0</v>
      </c>
      <c r="L58" s="2"/>
      <c r="M58" s="9"/>
      <c r="N58" s="2" t="s">
        <v>2761</v>
      </c>
      <c r="O58" s="2" t="s">
        <v>743</v>
      </c>
      <c r="P58" s="2" t="s">
        <v>121</v>
      </c>
      <c r="Q58" s="2" t="s">
        <v>818</v>
      </c>
    </row>
    <row r="59" spans="1:17" ht="28.5">
      <c r="A59" s="2" t="s">
        <v>642</v>
      </c>
      <c r="B59" s="2" t="s">
        <v>108</v>
      </c>
      <c r="C59" s="2" t="s">
        <v>807</v>
      </c>
      <c r="D59" s="2" t="s">
        <v>36</v>
      </c>
      <c r="E59" s="2" t="s">
        <v>822</v>
      </c>
      <c r="F59" s="6">
        <v>10</v>
      </c>
      <c r="G59" s="6" t="s">
        <v>455</v>
      </c>
      <c r="H59" s="6" t="s">
        <v>455</v>
      </c>
      <c r="I59" s="6">
        <v>0</v>
      </c>
      <c r="J59" s="6">
        <v>10</v>
      </c>
      <c r="K59" s="6">
        <v>0</v>
      </c>
      <c r="L59" s="2"/>
      <c r="M59" s="9"/>
      <c r="N59" s="2" t="s">
        <v>827</v>
      </c>
      <c r="O59" s="2" t="s">
        <v>833</v>
      </c>
      <c r="P59" s="2" t="s">
        <v>121</v>
      </c>
      <c r="Q59" s="2" t="s">
        <v>818</v>
      </c>
    </row>
    <row r="60" spans="1:17" ht="28.5">
      <c r="A60" s="2" t="s">
        <v>833</v>
      </c>
      <c r="B60" s="2" t="s">
        <v>108</v>
      </c>
      <c r="C60" s="2" t="s">
        <v>807</v>
      </c>
      <c r="D60" s="2" t="s">
        <v>36</v>
      </c>
      <c r="E60" s="2" t="s">
        <v>834</v>
      </c>
      <c r="F60" s="6">
        <v>10</v>
      </c>
      <c r="G60" s="6" t="s">
        <v>455</v>
      </c>
      <c r="H60" s="6" t="s">
        <v>455</v>
      </c>
      <c r="I60" s="6">
        <v>0</v>
      </c>
      <c r="J60" s="6">
        <v>10</v>
      </c>
      <c r="K60" s="6">
        <v>0</v>
      </c>
      <c r="L60" s="2"/>
      <c r="M60" s="9"/>
      <c r="N60" s="2" t="s">
        <v>838</v>
      </c>
      <c r="O60" s="2"/>
      <c r="P60" s="2" t="s">
        <v>121</v>
      </c>
      <c r="Q60" s="2" t="s">
        <v>818</v>
      </c>
    </row>
    <row r="61" spans="1:17" ht="42.75">
      <c r="A61" s="2" t="s">
        <v>857</v>
      </c>
      <c r="B61" s="2" t="s">
        <v>108</v>
      </c>
      <c r="C61" s="2" t="s">
        <v>858</v>
      </c>
      <c r="D61" s="2" t="s">
        <v>864</v>
      </c>
      <c r="E61" s="2" t="s">
        <v>859</v>
      </c>
      <c r="F61" s="6">
        <v>10</v>
      </c>
      <c r="G61" s="6" t="s">
        <v>116</v>
      </c>
      <c r="H61" s="6" t="s">
        <v>116</v>
      </c>
      <c r="I61" s="6">
        <v>10</v>
      </c>
      <c r="J61" s="6">
        <v>0</v>
      </c>
      <c r="K61" s="6">
        <v>0</v>
      </c>
      <c r="L61" s="2" t="s">
        <v>298</v>
      </c>
      <c r="M61" s="9"/>
      <c r="N61" s="2"/>
      <c r="O61" s="2" t="s">
        <v>865</v>
      </c>
      <c r="P61" s="2" t="s">
        <v>121</v>
      </c>
      <c r="Q61" s="2" t="s">
        <v>871</v>
      </c>
    </row>
    <row r="62" spans="1:17" ht="42.75">
      <c r="A62" s="2" t="s">
        <v>874</v>
      </c>
      <c r="B62" s="2" t="s">
        <v>108</v>
      </c>
      <c r="C62" s="2" t="s">
        <v>858</v>
      </c>
      <c r="D62" s="2" t="s">
        <v>864</v>
      </c>
      <c r="E62" s="2" t="s">
        <v>875</v>
      </c>
      <c r="F62" s="6">
        <v>12</v>
      </c>
      <c r="G62" s="6" t="s">
        <v>116</v>
      </c>
      <c r="H62" s="6" t="s">
        <v>116</v>
      </c>
      <c r="I62" s="6">
        <v>12</v>
      </c>
      <c r="J62" s="6">
        <v>0</v>
      </c>
      <c r="K62" s="6">
        <v>0</v>
      </c>
      <c r="L62" s="2" t="s">
        <v>880</v>
      </c>
      <c r="M62" s="9"/>
      <c r="N62" s="2"/>
      <c r="O62" s="2" t="s">
        <v>879</v>
      </c>
      <c r="P62" s="2" t="s">
        <v>121</v>
      </c>
      <c r="Q62" s="2" t="s">
        <v>871</v>
      </c>
    </row>
    <row r="63" spans="1:17" ht="42.75">
      <c r="A63" s="2" t="s">
        <v>883</v>
      </c>
      <c r="B63" s="2" t="s">
        <v>108</v>
      </c>
      <c r="C63" s="2" t="s">
        <v>858</v>
      </c>
      <c r="D63" s="2" t="s">
        <v>864</v>
      </c>
      <c r="E63" s="2" t="s">
        <v>884</v>
      </c>
      <c r="F63" s="6">
        <v>10</v>
      </c>
      <c r="G63" s="6" t="s">
        <v>116</v>
      </c>
      <c r="H63" s="6" t="s">
        <v>116</v>
      </c>
      <c r="I63" s="6">
        <v>10</v>
      </c>
      <c r="J63" s="6">
        <v>0</v>
      </c>
      <c r="K63" s="6">
        <v>0</v>
      </c>
      <c r="L63" s="2" t="s">
        <v>889</v>
      </c>
      <c r="M63" s="9">
        <v>46247</v>
      </c>
      <c r="N63" s="2"/>
      <c r="O63" s="2" t="s">
        <v>888</v>
      </c>
      <c r="P63" s="2" t="s">
        <v>121</v>
      </c>
      <c r="Q63" s="2" t="s">
        <v>871</v>
      </c>
    </row>
    <row r="64" spans="1:17" ht="42.75">
      <c r="A64" s="2" t="s">
        <v>891</v>
      </c>
      <c r="B64" s="2" t="s">
        <v>108</v>
      </c>
      <c r="C64" s="2" t="s">
        <v>858</v>
      </c>
      <c r="D64" s="2" t="s">
        <v>864</v>
      </c>
      <c r="E64" s="2" t="s">
        <v>892</v>
      </c>
      <c r="F64" s="6">
        <v>10</v>
      </c>
      <c r="G64" s="6" t="s">
        <v>116</v>
      </c>
      <c r="H64" s="6" t="s">
        <v>116</v>
      </c>
      <c r="I64" s="6">
        <v>10</v>
      </c>
      <c r="J64" s="6">
        <v>0</v>
      </c>
      <c r="K64" s="6">
        <v>0</v>
      </c>
      <c r="L64" s="2" t="s">
        <v>896</v>
      </c>
      <c r="M64" s="9">
        <v>46249</v>
      </c>
      <c r="N64" s="2"/>
      <c r="O64" s="2" t="s">
        <v>895</v>
      </c>
      <c r="P64" s="2" t="s">
        <v>121</v>
      </c>
      <c r="Q64" s="2" t="s">
        <v>871</v>
      </c>
    </row>
    <row r="65" spans="1:17" ht="42.75">
      <c r="A65" s="2" t="s">
        <v>897</v>
      </c>
      <c r="B65" s="2" t="s">
        <v>108</v>
      </c>
      <c r="C65" s="2" t="s">
        <v>858</v>
      </c>
      <c r="D65" s="2" t="s">
        <v>864</v>
      </c>
      <c r="E65" s="2" t="s">
        <v>898</v>
      </c>
      <c r="F65" s="6">
        <v>10</v>
      </c>
      <c r="G65" s="6" t="s">
        <v>116</v>
      </c>
      <c r="H65" s="6" t="s">
        <v>116</v>
      </c>
      <c r="I65" s="6">
        <v>10</v>
      </c>
      <c r="J65" s="6">
        <v>0</v>
      </c>
      <c r="K65" s="6">
        <v>0</v>
      </c>
      <c r="L65" s="2" t="s">
        <v>904</v>
      </c>
      <c r="M65" s="9"/>
      <c r="N65" s="2"/>
      <c r="O65" s="2" t="s">
        <v>903</v>
      </c>
      <c r="P65" s="2" t="s">
        <v>121</v>
      </c>
      <c r="Q65" s="2" t="s">
        <v>871</v>
      </c>
    </row>
    <row r="66" spans="1:17" ht="42.75">
      <c r="A66" s="2" t="s">
        <v>907</v>
      </c>
      <c r="B66" s="2" t="s">
        <v>108</v>
      </c>
      <c r="C66" s="2" t="s">
        <v>858</v>
      </c>
      <c r="D66" s="2" t="s">
        <v>864</v>
      </c>
      <c r="E66" s="2" t="s">
        <v>908</v>
      </c>
      <c r="F66" s="6">
        <v>12</v>
      </c>
      <c r="G66" s="6" t="s">
        <v>116</v>
      </c>
      <c r="H66" s="6" t="s">
        <v>116</v>
      </c>
      <c r="I66" s="6">
        <v>12</v>
      </c>
      <c r="J66" s="6">
        <v>0</v>
      </c>
      <c r="K66" s="6">
        <v>0</v>
      </c>
      <c r="L66" s="2" t="s">
        <v>913</v>
      </c>
      <c r="M66" s="9">
        <v>46249</v>
      </c>
      <c r="N66" s="2"/>
      <c r="O66" s="2" t="s">
        <v>912</v>
      </c>
      <c r="P66" s="2" t="s">
        <v>121</v>
      </c>
      <c r="Q66" s="2" t="s">
        <v>871</v>
      </c>
    </row>
    <row r="67" spans="1:17" ht="42.75">
      <c r="A67" s="2" t="s">
        <v>914</v>
      </c>
      <c r="B67" s="2" t="s">
        <v>108</v>
      </c>
      <c r="C67" s="2" t="s">
        <v>858</v>
      </c>
      <c r="D67" s="2" t="s">
        <v>864</v>
      </c>
      <c r="E67" s="2" t="s">
        <v>915</v>
      </c>
      <c r="F67" s="6">
        <v>12</v>
      </c>
      <c r="G67" s="6" t="s">
        <v>116</v>
      </c>
      <c r="H67" s="6" t="s">
        <v>116</v>
      </c>
      <c r="I67" s="6">
        <v>12</v>
      </c>
      <c r="J67" s="6">
        <v>0</v>
      </c>
      <c r="K67" s="6">
        <v>0</v>
      </c>
      <c r="L67" s="2" t="s">
        <v>920</v>
      </c>
      <c r="M67" s="9">
        <v>46249</v>
      </c>
      <c r="N67" s="2"/>
      <c r="O67" s="2" t="s">
        <v>919</v>
      </c>
      <c r="P67" s="2" t="s">
        <v>121</v>
      </c>
      <c r="Q67" s="2" t="s">
        <v>871</v>
      </c>
    </row>
    <row r="68" spans="1:17" ht="42.75">
      <c r="A68" s="2" t="s">
        <v>923</v>
      </c>
      <c r="B68" s="2" t="s">
        <v>108</v>
      </c>
      <c r="C68" s="2" t="s">
        <v>858</v>
      </c>
      <c r="D68" s="2" t="s">
        <v>864</v>
      </c>
      <c r="E68" s="2" t="s">
        <v>924</v>
      </c>
      <c r="F68" s="6">
        <v>10</v>
      </c>
      <c r="G68" s="6" t="s">
        <v>116</v>
      </c>
      <c r="H68" s="6" t="s">
        <v>116</v>
      </c>
      <c r="I68" s="6">
        <v>10</v>
      </c>
      <c r="J68" s="6">
        <v>0</v>
      </c>
      <c r="K68" s="6">
        <v>0</v>
      </c>
      <c r="L68" s="2" t="s">
        <v>928</v>
      </c>
      <c r="M68" s="9">
        <v>46249</v>
      </c>
      <c r="N68" s="2"/>
      <c r="O68" s="2" t="s">
        <v>912</v>
      </c>
      <c r="P68" s="2" t="s">
        <v>121</v>
      </c>
      <c r="Q68" s="2" t="s">
        <v>871</v>
      </c>
    </row>
    <row r="69" spans="1:17" ht="42.75">
      <c r="A69" s="2" t="s">
        <v>929</v>
      </c>
      <c r="B69" s="2" t="s">
        <v>108</v>
      </c>
      <c r="C69" s="2" t="s">
        <v>858</v>
      </c>
      <c r="D69" s="2" t="s">
        <v>864</v>
      </c>
      <c r="E69" s="2" t="s">
        <v>930</v>
      </c>
      <c r="F69" s="6">
        <v>12</v>
      </c>
      <c r="G69" s="6" t="s">
        <v>116</v>
      </c>
      <c r="H69" s="6" t="s">
        <v>116</v>
      </c>
      <c r="I69" s="6">
        <v>12</v>
      </c>
      <c r="J69" s="6">
        <v>0</v>
      </c>
      <c r="K69" s="6">
        <v>0</v>
      </c>
      <c r="L69" s="2" t="s">
        <v>935</v>
      </c>
      <c r="M69" s="9">
        <v>46249</v>
      </c>
      <c r="N69" s="2" t="s">
        <v>934</v>
      </c>
      <c r="O69" s="2" t="s">
        <v>912</v>
      </c>
      <c r="P69" s="2" t="s">
        <v>121</v>
      </c>
      <c r="Q69" s="2" t="s">
        <v>871</v>
      </c>
    </row>
    <row r="70" spans="1:17" ht="42.75">
      <c r="A70" s="2" t="s">
        <v>936</v>
      </c>
      <c r="B70" s="2" t="s">
        <v>108</v>
      </c>
      <c r="C70" s="2" t="s">
        <v>858</v>
      </c>
      <c r="D70" s="2" t="s">
        <v>864</v>
      </c>
      <c r="E70" s="2" t="s">
        <v>937</v>
      </c>
      <c r="F70" s="6">
        <v>12</v>
      </c>
      <c r="G70" s="6" t="s">
        <v>116</v>
      </c>
      <c r="H70" s="6" t="s">
        <v>116</v>
      </c>
      <c r="I70" s="6">
        <v>12</v>
      </c>
      <c r="J70" s="6">
        <v>0</v>
      </c>
      <c r="K70" s="6">
        <v>0</v>
      </c>
      <c r="L70" s="2" t="s">
        <v>942</v>
      </c>
      <c r="M70" s="9">
        <v>46249</v>
      </c>
      <c r="N70" s="2"/>
      <c r="O70" s="2" t="s">
        <v>941</v>
      </c>
      <c r="P70" s="2" t="s">
        <v>121</v>
      </c>
      <c r="Q70" s="2" t="s">
        <v>871</v>
      </c>
    </row>
    <row r="71" spans="1:17" ht="42.75">
      <c r="A71" s="2" t="s">
        <v>943</v>
      </c>
      <c r="B71" s="2" t="s">
        <v>108</v>
      </c>
      <c r="C71" s="2" t="s">
        <v>858</v>
      </c>
      <c r="D71" s="2" t="s">
        <v>864</v>
      </c>
      <c r="E71" s="2" t="s">
        <v>944</v>
      </c>
      <c r="F71" s="6">
        <v>10</v>
      </c>
      <c r="G71" s="6" t="s">
        <v>116</v>
      </c>
      <c r="H71" s="6" t="s">
        <v>116</v>
      </c>
      <c r="I71" s="6">
        <v>10</v>
      </c>
      <c r="J71" s="6">
        <v>0</v>
      </c>
      <c r="K71" s="6">
        <v>0</v>
      </c>
      <c r="L71" s="2" t="s">
        <v>949</v>
      </c>
      <c r="M71" s="9"/>
      <c r="N71" s="2"/>
      <c r="O71" s="2" t="s">
        <v>948</v>
      </c>
      <c r="P71" s="2" t="s">
        <v>121</v>
      </c>
      <c r="Q71" s="2" t="s">
        <v>871</v>
      </c>
    </row>
    <row r="72" spans="1:17" ht="42.75">
      <c r="A72" s="2" t="s">
        <v>951</v>
      </c>
      <c r="B72" s="2" t="s">
        <v>108</v>
      </c>
      <c r="C72" s="2" t="s">
        <v>858</v>
      </c>
      <c r="D72" s="2" t="s">
        <v>864</v>
      </c>
      <c r="E72" s="2" t="s">
        <v>952</v>
      </c>
      <c r="F72" s="6">
        <v>8</v>
      </c>
      <c r="G72" s="6" t="s">
        <v>116</v>
      </c>
      <c r="H72" s="6" t="s">
        <v>116</v>
      </c>
      <c r="I72" s="6">
        <v>8</v>
      </c>
      <c r="J72" s="6">
        <v>0</v>
      </c>
      <c r="K72" s="6">
        <v>0</v>
      </c>
      <c r="L72" s="2" t="s">
        <v>957</v>
      </c>
      <c r="M72" s="9">
        <v>46250</v>
      </c>
      <c r="N72" s="2"/>
      <c r="O72" s="2" t="s">
        <v>956</v>
      </c>
      <c r="P72" s="2" t="s">
        <v>121</v>
      </c>
      <c r="Q72" s="2" t="s">
        <v>871</v>
      </c>
    </row>
    <row r="73" spans="1:17" ht="42.75">
      <c r="A73" s="2" t="s">
        <v>960</v>
      </c>
      <c r="B73" s="2" t="s">
        <v>108</v>
      </c>
      <c r="C73" s="2" t="s">
        <v>858</v>
      </c>
      <c r="D73" s="2" t="s">
        <v>864</v>
      </c>
      <c r="E73" s="2" t="s">
        <v>961</v>
      </c>
      <c r="F73" s="6">
        <v>10</v>
      </c>
      <c r="G73" s="6" t="s">
        <v>116</v>
      </c>
      <c r="H73" s="6" t="s">
        <v>116</v>
      </c>
      <c r="I73" s="6">
        <v>10</v>
      </c>
      <c r="J73" s="6">
        <v>0</v>
      </c>
      <c r="K73" s="6">
        <v>0</v>
      </c>
      <c r="L73" s="2" t="s">
        <v>966</v>
      </c>
      <c r="M73" s="9">
        <v>46250</v>
      </c>
      <c r="N73" s="2"/>
      <c r="O73" s="2" t="s">
        <v>965</v>
      </c>
      <c r="P73" s="2" t="s">
        <v>121</v>
      </c>
      <c r="Q73" s="2" t="s">
        <v>871</v>
      </c>
    </row>
    <row r="74" spans="1:17" ht="42.75">
      <c r="A74" s="2" t="s">
        <v>969</v>
      </c>
      <c r="B74" s="2" t="s">
        <v>108</v>
      </c>
      <c r="C74" s="2" t="s">
        <v>858</v>
      </c>
      <c r="D74" s="2" t="s">
        <v>864</v>
      </c>
      <c r="E74" s="2" t="s">
        <v>970</v>
      </c>
      <c r="F74" s="6">
        <v>12</v>
      </c>
      <c r="G74" s="6" t="s">
        <v>116</v>
      </c>
      <c r="H74" s="6" t="s">
        <v>116</v>
      </c>
      <c r="I74" s="6">
        <v>12</v>
      </c>
      <c r="J74" s="6">
        <v>0</v>
      </c>
      <c r="K74" s="6">
        <v>0</v>
      </c>
      <c r="L74" s="2" t="s">
        <v>974</v>
      </c>
      <c r="M74" s="9">
        <v>46250</v>
      </c>
      <c r="N74" s="2"/>
      <c r="O74" s="2" t="s">
        <v>965</v>
      </c>
      <c r="P74" s="2" t="s">
        <v>121</v>
      </c>
      <c r="Q74" s="2" t="s">
        <v>871</v>
      </c>
    </row>
    <row r="75" spans="1:17" ht="42.75">
      <c r="A75" s="2" t="s">
        <v>975</v>
      </c>
      <c r="B75" s="2" t="s">
        <v>108</v>
      </c>
      <c r="C75" s="2" t="s">
        <v>858</v>
      </c>
      <c r="D75" s="2" t="s">
        <v>864</v>
      </c>
      <c r="E75" s="2" t="s">
        <v>976</v>
      </c>
      <c r="F75" s="6">
        <v>12</v>
      </c>
      <c r="G75" s="6" t="s">
        <v>116</v>
      </c>
      <c r="H75" s="6" t="s">
        <v>116</v>
      </c>
      <c r="I75" s="6">
        <v>12</v>
      </c>
      <c r="J75" s="6">
        <v>0</v>
      </c>
      <c r="K75" s="6">
        <v>0</v>
      </c>
      <c r="L75" s="2" t="s">
        <v>980</v>
      </c>
      <c r="M75" s="9">
        <v>46250</v>
      </c>
      <c r="N75" s="2"/>
      <c r="O75" s="2" t="s">
        <v>965</v>
      </c>
      <c r="P75" s="2" t="s">
        <v>121</v>
      </c>
      <c r="Q75" s="2" t="s">
        <v>871</v>
      </c>
    </row>
    <row r="76" spans="1:17" ht="42.75">
      <c r="A76" s="2" t="s">
        <v>982</v>
      </c>
      <c r="B76" s="2" t="s">
        <v>108</v>
      </c>
      <c r="C76" s="2" t="s">
        <v>858</v>
      </c>
      <c r="D76" s="2" t="s">
        <v>864</v>
      </c>
      <c r="E76" s="2" t="s">
        <v>983</v>
      </c>
      <c r="F76" s="6">
        <v>10</v>
      </c>
      <c r="G76" s="6" t="s">
        <v>116</v>
      </c>
      <c r="H76" s="6" t="s">
        <v>116</v>
      </c>
      <c r="I76" s="6">
        <v>10</v>
      </c>
      <c r="J76" s="6">
        <v>0</v>
      </c>
      <c r="K76" s="6">
        <v>0</v>
      </c>
      <c r="L76" s="2" t="s">
        <v>298</v>
      </c>
      <c r="M76" s="9"/>
      <c r="N76" s="2"/>
      <c r="O76" s="2"/>
      <c r="P76" s="2" t="s">
        <v>121</v>
      </c>
      <c r="Q76" s="2" t="s">
        <v>871</v>
      </c>
    </row>
    <row r="77" spans="1:17" ht="42.75">
      <c r="A77" s="2" t="s">
        <v>990</v>
      </c>
      <c r="B77" s="2" t="s">
        <v>108</v>
      </c>
      <c r="C77" s="2" t="s">
        <v>858</v>
      </c>
      <c r="D77" s="2" t="s">
        <v>293</v>
      </c>
      <c r="E77" s="2" t="s">
        <v>991</v>
      </c>
      <c r="F77" s="6">
        <v>10</v>
      </c>
      <c r="G77" s="6" t="s">
        <v>455</v>
      </c>
      <c r="H77" s="6" t="s">
        <v>455</v>
      </c>
      <c r="I77" s="6">
        <v>0</v>
      </c>
      <c r="J77" s="6">
        <v>10</v>
      </c>
      <c r="K77" s="6">
        <v>0</v>
      </c>
      <c r="L77" s="2"/>
      <c r="M77" s="9"/>
      <c r="N77" s="2" t="s">
        <v>996</v>
      </c>
      <c r="O77" s="2" t="s">
        <v>579</v>
      </c>
      <c r="P77" s="2" t="s">
        <v>121</v>
      </c>
      <c r="Q77" s="2" t="s">
        <v>871</v>
      </c>
    </row>
    <row r="78" spans="1:17" ht="42.75">
      <c r="A78" s="2" t="s">
        <v>1002</v>
      </c>
      <c r="B78" s="2" t="s">
        <v>108</v>
      </c>
      <c r="C78" s="2" t="s">
        <v>858</v>
      </c>
      <c r="D78" s="2" t="s">
        <v>293</v>
      </c>
      <c r="E78" s="2" t="s">
        <v>1003</v>
      </c>
      <c r="F78" s="6">
        <v>6</v>
      </c>
      <c r="G78" s="6" t="s">
        <v>455</v>
      </c>
      <c r="H78" s="6" t="s">
        <v>455</v>
      </c>
      <c r="I78" s="6">
        <v>0</v>
      </c>
      <c r="J78" s="6">
        <v>6</v>
      </c>
      <c r="K78" s="6">
        <v>0</v>
      </c>
      <c r="L78" s="2"/>
      <c r="M78" s="9"/>
      <c r="N78" s="2" t="s">
        <v>309</v>
      </c>
      <c r="O78" s="2" t="s">
        <v>2762</v>
      </c>
      <c r="P78" s="2" t="s">
        <v>121</v>
      </c>
      <c r="Q78" s="2" t="s">
        <v>871</v>
      </c>
    </row>
    <row r="79" spans="1:17" ht="42.75">
      <c r="A79" s="2" t="s">
        <v>1011</v>
      </c>
      <c r="B79" s="2" t="s">
        <v>108</v>
      </c>
      <c r="C79" s="2" t="s">
        <v>858</v>
      </c>
      <c r="D79" s="2" t="s">
        <v>293</v>
      </c>
      <c r="E79" s="2" t="s">
        <v>1012</v>
      </c>
      <c r="F79" s="6">
        <v>10</v>
      </c>
      <c r="G79" s="6" t="s">
        <v>116</v>
      </c>
      <c r="H79" s="6" t="s">
        <v>116</v>
      </c>
      <c r="I79" s="6">
        <v>10</v>
      </c>
      <c r="J79" s="6">
        <v>0</v>
      </c>
      <c r="K79" s="6">
        <v>0</v>
      </c>
      <c r="L79" s="2" t="s">
        <v>298</v>
      </c>
      <c r="M79" s="9"/>
      <c r="N79" s="2" t="s">
        <v>1016</v>
      </c>
      <c r="O79" s="2" t="s">
        <v>1017</v>
      </c>
      <c r="P79" s="2" t="s">
        <v>121</v>
      </c>
      <c r="Q79" s="2" t="s">
        <v>871</v>
      </c>
    </row>
    <row r="80" spans="1:17" ht="42.75">
      <c r="A80" s="2" t="s">
        <v>1021</v>
      </c>
      <c r="B80" s="2" t="s">
        <v>108</v>
      </c>
      <c r="C80" s="2" t="s">
        <v>858</v>
      </c>
      <c r="D80" s="2" t="s">
        <v>293</v>
      </c>
      <c r="E80" s="2" t="s">
        <v>1022</v>
      </c>
      <c r="F80" s="6">
        <v>8</v>
      </c>
      <c r="G80" s="6" t="s">
        <v>116</v>
      </c>
      <c r="H80" s="6" t="s">
        <v>116</v>
      </c>
      <c r="I80" s="6">
        <v>8</v>
      </c>
      <c r="J80" s="6">
        <v>0</v>
      </c>
      <c r="K80" s="6">
        <v>0</v>
      </c>
      <c r="L80" s="2" t="s">
        <v>298</v>
      </c>
      <c r="M80" s="9"/>
      <c r="N80" s="2" t="s">
        <v>299</v>
      </c>
      <c r="O80" s="2" t="s">
        <v>1026</v>
      </c>
      <c r="P80" s="2" t="s">
        <v>121</v>
      </c>
      <c r="Q80" s="2" t="s">
        <v>871</v>
      </c>
    </row>
    <row r="81" spans="1:17" ht="42.75">
      <c r="A81" s="2" t="s">
        <v>1026</v>
      </c>
      <c r="B81" s="2" t="s">
        <v>108</v>
      </c>
      <c r="C81" s="2" t="s">
        <v>858</v>
      </c>
      <c r="D81" s="2" t="s">
        <v>293</v>
      </c>
      <c r="E81" s="2" t="s">
        <v>1029</v>
      </c>
      <c r="F81" s="6">
        <v>12</v>
      </c>
      <c r="G81" s="6" t="s">
        <v>116</v>
      </c>
      <c r="H81" s="6" t="s">
        <v>116</v>
      </c>
      <c r="I81" s="6">
        <v>12</v>
      </c>
      <c r="J81" s="6">
        <v>0</v>
      </c>
      <c r="K81" s="6">
        <v>0</v>
      </c>
      <c r="L81" s="2" t="s">
        <v>298</v>
      </c>
      <c r="M81" s="9"/>
      <c r="N81" s="2" t="s">
        <v>1033</v>
      </c>
      <c r="O81" s="2" t="s">
        <v>1034</v>
      </c>
      <c r="P81" s="2" t="s">
        <v>121</v>
      </c>
      <c r="Q81" s="2" t="s">
        <v>871</v>
      </c>
    </row>
    <row r="82" spans="1:17" ht="42.75">
      <c r="A82" s="2" t="s">
        <v>1037</v>
      </c>
      <c r="B82" s="2" t="s">
        <v>108</v>
      </c>
      <c r="C82" s="2" t="s">
        <v>858</v>
      </c>
      <c r="D82" s="2" t="s">
        <v>293</v>
      </c>
      <c r="E82" s="2" t="s">
        <v>1038</v>
      </c>
      <c r="F82" s="6">
        <v>8</v>
      </c>
      <c r="G82" s="6" t="s">
        <v>116</v>
      </c>
      <c r="H82" s="6" t="s">
        <v>116</v>
      </c>
      <c r="I82" s="6">
        <v>8</v>
      </c>
      <c r="J82" s="6">
        <v>0</v>
      </c>
      <c r="K82" s="6">
        <v>0</v>
      </c>
      <c r="L82" s="2" t="s">
        <v>298</v>
      </c>
      <c r="M82" s="9"/>
      <c r="N82" s="2" t="s">
        <v>1026</v>
      </c>
      <c r="O82" s="2" t="s">
        <v>1042</v>
      </c>
      <c r="P82" s="2" t="s">
        <v>121</v>
      </c>
      <c r="Q82" s="2" t="s">
        <v>871</v>
      </c>
    </row>
    <row r="83" spans="1:17" ht="42.75">
      <c r="A83" s="2" t="s">
        <v>1046</v>
      </c>
      <c r="B83" s="2" t="s">
        <v>108</v>
      </c>
      <c r="C83" s="2" t="s">
        <v>858</v>
      </c>
      <c r="D83" s="2" t="s">
        <v>293</v>
      </c>
      <c r="E83" s="2" t="s">
        <v>1047</v>
      </c>
      <c r="F83" s="6">
        <v>12</v>
      </c>
      <c r="G83" s="6" t="s">
        <v>455</v>
      </c>
      <c r="H83" s="6" t="s">
        <v>455</v>
      </c>
      <c r="I83" s="6">
        <v>0</v>
      </c>
      <c r="J83" s="6">
        <v>12</v>
      </c>
      <c r="K83" s="6">
        <v>0</v>
      </c>
      <c r="L83" s="2"/>
      <c r="M83" s="9"/>
      <c r="N83" s="2" t="s">
        <v>1051</v>
      </c>
      <c r="O83" s="2"/>
      <c r="P83" s="2" t="s">
        <v>121</v>
      </c>
      <c r="Q83" s="2" t="s">
        <v>871</v>
      </c>
    </row>
    <row r="84" spans="1:17" ht="42.75">
      <c r="A84" s="2" t="s">
        <v>1056</v>
      </c>
      <c r="B84" s="2" t="s">
        <v>108</v>
      </c>
      <c r="C84" s="2" t="s">
        <v>858</v>
      </c>
      <c r="D84" s="2" t="s">
        <v>293</v>
      </c>
      <c r="E84" s="2" t="s">
        <v>1057</v>
      </c>
      <c r="F84" s="6">
        <v>10</v>
      </c>
      <c r="G84" s="6" t="s">
        <v>455</v>
      </c>
      <c r="H84" s="6" t="s">
        <v>455</v>
      </c>
      <c r="I84" s="6">
        <v>0</v>
      </c>
      <c r="J84" s="6">
        <v>10</v>
      </c>
      <c r="K84" s="6">
        <v>0</v>
      </c>
      <c r="L84" s="2"/>
      <c r="M84" s="9"/>
      <c r="N84" s="2" t="s">
        <v>1062</v>
      </c>
      <c r="O84" s="2"/>
      <c r="P84" s="2" t="s">
        <v>121</v>
      </c>
      <c r="Q84" s="2" t="s">
        <v>871</v>
      </c>
    </row>
    <row r="85" spans="1:17" ht="42.75">
      <c r="A85" s="2" t="s">
        <v>1068</v>
      </c>
      <c r="B85" s="2" t="s">
        <v>108</v>
      </c>
      <c r="C85" s="2" t="s">
        <v>858</v>
      </c>
      <c r="D85" s="2" t="s">
        <v>293</v>
      </c>
      <c r="E85" s="2" t="s">
        <v>1069</v>
      </c>
      <c r="F85" s="6">
        <v>8</v>
      </c>
      <c r="G85" s="6" t="s">
        <v>116</v>
      </c>
      <c r="H85" s="6" t="s">
        <v>116</v>
      </c>
      <c r="I85" s="6">
        <v>8</v>
      </c>
      <c r="J85" s="6">
        <v>0</v>
      </c>
      <c r="K85" s="6">
        <v>0</v>
      </c>
      <c r="L85" s="2" t="s">
        <v>298</v>
      </c>
      <c r="M85" s="9"/>
      <c r="N85" s="2" t="s">
        <v>1074</v>
      </c>
      <c r="O85" s="2" t="s">
        <v>1075</v>
      </c>
      <c r="P85" s="2" t="s">
        <v>121</v>
      </c>
      <c r="Q85" s="2" t="s">
        <v>871</v>
      </c>
    </row>
    <row r="86" spans="1:17" ht="42.75">
      <c r="A86" s="2" t="s">
        <v>1078</v>
      </c>
      <c r="B86" s="2" t="s">
        <v>108</v>
      </c>
      <c r="C86" s="2" t="s">
        <v>858</v>
      </c>
      <c r="D86" s="2" t="s">
        <v>293</v>
      </c>
      <c r="E86" s="2" t="s">
        <v>1079</v>
      </c>
      <c r="F86" s="6">
        <v>10</v>
      </c>
      <c r="G86" s="6" t="s">
        <v>116</v>
      </c>
      <c r="H86" s="6" t="s">
        <v>116</v>
      </c>
      <c r="I86" s="6">
        <v>10</v>
      </c>
      <c r="J86" s="6">
        <v>0</v>
      </c>
      <c r="K86" s="6">
        <v>0</v>
      </c>
      <c r="L86" s="2" t="s">
        <v>298</v>
      </c>
      <c r="M86" s="9"/>
      <c r="N86" s="2" t="s">
        <v>1082</v>
      </c>
      <c r="O86" s="2" t="s">
        <v>1083</v>
      </c>
      <c r="P86" s="2" t="s">
        <v>121</v>
      </c>
      <c r="Q86" s="2" t="s">
        <v>871</v>
      </c>
    </row>
    <row r="87" spans="1:17" ht="42.75">
      <c r="A87" s="2" t="s">
        <v>1088</v>
      </c>
      <c r="B87" s="2" t="s">
        <v>108</v>
      </c>
      <c r="C87" s="2" t="s">
        <v>858</v>
      </c>
      <c r="D87" s="2" t="s">
        <v>36</v>
      </c>
      <c r="E87" s="2" t="s">
        <v>1089</v>
      </c>
      <c r="F87" s="6">
        <v>10</v>
      </c>
      <c r="G87" s="6" t="s">
        <v>455</v>
      </c>
      <c r="H87" s="6" t="s">
        <v>455</v>
      </c>
      <c r="I87" s="6">
        <v>0</v>
      </c>
      <c r="J87" s="6">
        <v>10</v>
      </c>
      <c r="K87" s="6">
        <v>0</v>
      </c>
      <c r="L87" s="2"/>
      <c r="M87" s="9"/>
      <c r="N87" s="2" t="s">
        <v>1094</v>
      </c>
      <c r="O87" s="2" t="s">
        <v>1095</v>
      </c>
      <c r="P87" s="2" t="s">
        <v>121</v>
      </c>
      <c r="Q87" s="2" t="s">
        <v>871</v>
      </c>
    </row>
    <row r="88" spans="1:17" ht="42.75">
      <c r="A88" s="2" t="s">
        <v>1102</v>
      </c>
      <c r="B88" s="2" t="s">
        <v>108</v>
      </c>
      <c r="C88" s="2" t="s">
        <v>1103</v>
      </c>
      <c r="D88" s="2" t="s">
        <v>117</v>
      </c>
      <c r="E88" s="2" t="s">
        <v>1104</v>
      </c>
      <c r="F88" s="6">
        <v>12</v>
      </c>
      <c r="G88" s="6" t="s">
        <v>455</v>
      </c>
      <c r="H88" s="6" t="s">
        <v>455</v>
      </c>
      <c r="I88" s="6">
        <v>0</v>
      </c>
      <c r="J88" s="6">
        <v>12</v>
      </c>
      <c r="K88" s="6">
        <v>0</v>
      </c>
      <c r="L88" s="2"/>
      <c r="M88" s="9"/>
      <c r="N88" s="2" t="s">
        <v>1108</v>
      </c>
      <c r="O88" s="2" t="s">
        <v>1109</v>
      </c>
      <c r="P88" s="2" t="s">
        <v>121</v>
      </c>
      <c r="Q88" s="2" t="s">
        <v>1114</v>
      </c>
    </row>
    <row r="89" spans="1:17" ht="42.75">
      <c r="A89" s="2" t="s">
        <v>1117</v>
      </c>
      <c r="B89" s="2" t="s">
        <v>108</v>
      </c>
      <c r="C89" s="2" t="s">
        <v>1103</v>
      </c>
      <c r="D89" s="2" t="s">
        <v>117</v>
      </c>
      <c r="E89" s="2" t="s">
        <v>1118</v>
      </c>
      <c r="F89" s="6">
        <v>8</v>
      </c>
      <c r="G89" s="6" t="s">
        <v>455</v>
      </c>
      <c r="H89" s="6" t="s">
        <v>455</v>
      </c>
      <c r="I89" s="6">
        <v>0</v>
      </c>
      <c r="J89" s="6">
        <v>8</v>
      </c>
      <c r="K89" s="6">
        <v>0</v>
      </c>
      <c r="L89" s="2"/>
      <c r="M89" s="9"/>
      <c r="N89" s="2"/>
      <c r="O89" s="2" t="s">
        <v>1121</v>
      </c>
      <c r="P89" s="2" t="s">
        <v>121</v>
      </c>
      <c r="Q89" s="2" t="s">
        <v>1114</v>
      </c>
    </row>
    <row r="90" spans="1:17" ht="42.75">
      <c r="A90" s="2" t="s">
        <v>1125</v>
      </c>
      <c r="B90" s="2" t="s">
        <v>108</v>
      </c>
      <c r="C90" s="2" t="s">
        <v>1103</v>
      </c>
      <c r="D90" s="2" t="s">
        <v>117</v>
      </c>
      <c r="E90" s="2" t="s">
        <v>1126</v>
      </c>
      <c r="F90" s="6">
        <v>6</v>
      </c>
      <c r="G90" s="6" t="s">
        <v>455</v>
      </c>
      <c r="H90" s="6" t="s">
        <v>455</v>
      </c>
      <c r="I90" s="6">
        <v>0</v>
      </c>
      <c r="J90" s="6">
        <v>6</v>
      </c>
      <c r="K90" s="6">
        <v>0</v>
      </c>
      <c r="L90" s="2"/>
      <c r="M90" s="9"/>
      <c r="N90" s="2" t="s">
        <v>1129</v>
      </c>
      <c r="O90" s="2" t="s">
        <v>1109</v>
      </c>
      <c r="P90" s="2" t="s">
        <v>121</v>
      </c>
      <c r="Q90" s="2" t="s">
        <v>1114</v>
      </c>
    </row>
    <row r="91" spans="1:17" ht="42.75">
      <c r="A91" s="2" t="s">
        <v>1131</v>
      </c>
      <c r="B91" s="2" t="s">
        <v>108</v>
      </c>
      <c r="C91" s="2" t="s">
        <v>1103</v>
      </c>
      <c r="D91" s="2" t="s">
        <v>117</v>
      </c>
      <c r="E91" s="2" t="s">
        <v>1132</v>
      </c>
      <c r="F91" s="6">
        <v>4</v>
      </c>
      <c r="G91" s="6" t="s">
        <v>455</v>
      </c>
      <c r="H91" s="6" t="s">
        <v>455</v>
      </c>
      <c r="I91" s="6">
        <v>0</v>
      </c>
      <c r="J91" s="6">
        <v>4</v>
      </c>
      <c r="K91" s="6">
        <v>0</v>
      </c>
      <c r="L91" s="2"/>
      <c r="M91" s="9"/>
      <c r="N91" s="2"/>
      <c r="O91" s="2"/>
      <c r="P91" s="2" t="s">
        <v>121</v>
      </c>
      <c r="Q91" s="2" t="s">
        <v>1114</v>
      </c>
    </row>
    <row r="92" spans="1:17" ht="42.75">
      <c r="A92" s="2" t="s">
        <v>1136</v>
      </c>
      <c r="B92" s="2" t="s">
        <v>108</v>
      </c>
      <c r="C92" s="2" t="s">
        <v>1103</v>
      </c>
      <c r="D92" s="2" t="s">
        <v>117</v>
      </c>
      <c r="E92" s="2" t="s">
        <v>1137</v>
      </c>
      <c r="F92" s="6">
        <v>12</v>
      </c>
      <c r="G92" s="6" t="s">
        <v>455</v>
      </c>
      <c r="H92" s="6" t="s">
        <v>455</v>
      </c>
      <c r="I92" s="6">
        <v>0</v>
      </c>
      <c r="J92" s="6">
        <v>12</v>
      </c>
      <c r="K92" s="6">
        <v>0</v>
      </c>
      <c r="L92" s="2"/>
      <c r="M92" s="9"/>
      <c r="N92" s="2"/>
      <c r="O92" s="2" t="s">
        <v>1141</v>
      </c>
      <c r="P92" s="2" t="s">
        <v>121</v>
      </c>
      <c r="Q92" s="2" t="s">
        <v>1114</v>
      </c>
    </row>
    <row r="93" spans="1:17" ht="42.75">
      <c r="A93" s="2" t="s">
        <v>1144</v>
      </c>
      <c r="B93" s="2" t="s">
        <v>108</v>
      </c>
      <c r="C93" s="2" t="s">
        <v>1103</v>
      </c>
      <c r="D93" s="2" t="s">
        <v>36</v>
      </c>
      <c r="E93" s="2" t="s">
        <v>1145</v>
      </c>
      <c r="F93" s="6">
        <v>12</v>
      </c>
      <c r="G93" s="6" t="s">
        <v>455</v>
      </c>
      <c r="H93" s="6" t="s">
        <v>455</v>
      </c>
      <c r="I93" s="6">
        <v>0</v>
      </c>
      <c r="J93" s="6">
        <v>12</v>
      </c>
      <c r="K93" s="6">
        <v>0</v>
      </c>
      <c r="L93" s="2"/>
      <c r="M93" s="9"/>
      <c r="N93" s="2"/>
      <c r="O93" s="2"/>
      <c r="P93" s="2" t="s">
        <v>121</v>
      </c>
      <c r="Q93" s="2" t="s">
        <v>1114</v>
      </c>
    </row>
    <row r="94" spans="1:17" ht="42.75">
      <c r="A94" s="2" t="s">
        <v>1149</v>
      </c>
      <c r="B94" s="2" t="s">
        <v>108</v>
      </c>
      <c r="C94" s="2" t="s">
        <v>1103</v>
      </c>
      <c r="D94" s="2" t="s">
        <v>117</v>
      </c>
      <c r="E94" s="2" t="s">
        <v>1150</v>
      </c>
      <c r="F94" s="6">
        <v>16</v>
      </c>
      <c r="G94" s="6" t="s">
        <v>455</v>
      </c>
      <c r="H94" s="6" t="s">
        <v>455</v>
      </c>
      <c r="I94" s="6">
        <v>0</v>
      </c>
      <c r="J94" s="6">
        <v>16</v>
      </c>
      <c r="K94" s="6">
        <v>0</v>
      </c>
      <c r="L94" s="2"/>
      <c r="M94" s="9"/>
      <c r="N94" s="2" t="s">
        <v>1136</v>
      </c>
      <c r="O94" s="2" t="s">
        <v>1154</v>
      </c>
      <c r="P94" s="2" t="s">
        <v>121</v>
      </c>
      <c r="Q94" s="2" t="s">
        <v>1114</v>
      </c>
    </row>
    <row r="95" spans="1:17" ht="42.75">
      <c r="A95" s="2" t="s">
        <v>1160</v>
      </c>
      <c r="B95" s="2" t="s">
        <v>108</v>
      </c>
      <c r="C95" s="2" t="s">
        <v>1103</v>
      </c>
      <c r="D95" s="2" t="s">
        <v>117</v>
      </c>
      <c r="E95" s="2" t="s">
        <v>1161</v>
      </c>
      <c r="F95" s="6">
        <v>14</v>
      </c>
      <c r="G95" s="6" t="s">
        <v>455</v>
      </c>
      <c r="H95" s="6" t="s">
        <v>455</v>
      </c>
      <c r="I95" s="6">
        <v>0</v>
      </c>
      <c r="J95" s="6">
        <v>14</v>
      </c>
      <c r="K95" s="6">
        <v>0</v>
      </c>
      <c r="L95" s="2"/>
      <c r="M95" s="9"/>
      <c r="N95" s="2"/>
      <c r="O95" s="2"/>
      <c r="P95" s="2" t="s">
        <v>121</v>
      </c>
      <c r="Q95" s="2" t="s">
        <v>1114</v>
      </c>
    </row>
    <row r="96" spans="1:17" ht="42.75">
      <c r="A96" s="2" t="s">
        <v>1169</v>
      </c>
      <c r="B96" s="2" t="s">
        <v>108</v>
      </c>
      <c r="C96" s="2" t="s">
        <v>1103</v>
      </c>
      <c r="D96" s="2" t="s">
        <v>117</v>
      </c>
      <c r="E96" s="2" t="s">
        <v>1170</v>
      </c>
      <c r="F96" s="6">
        <v>12</v>
      </c>
      <c r="G96" s="6" t="s">
        <v>455</v>
      </c>
      <c r="H96" s="6" t="s">
        <v>455</v>
      </c>
      <c r="I96" s="6">
        <v>0</v>
      </c>
      <c r="J96" s="6">
        <v>12</v>
      </c>
      <c r="K96" s="6">
        <v>0</v>
      </c>
      <c r="L96" s="2"/>
      <c r="M96" s="9"/>
      <c r="N96" s="2"/>
      <c r="O96" s="2" t="s">
        <v>1377</v>
      </c>
      <c r="P96" s="2" t="s">
        <v>121</v>
      </c>
      <c r="Q96" s="2" t="s">
        <v>1114</v>
      </c>
    </row>
    <row r="97" spans="1:17" ht="42.75">
      <c r="A97" s="2" t="s">
        <v>1177</v>
      </c>
      <c r="B97" s="2" t="s">
        <v>108</v>
      </c>
      <c r="C97" s="2" t="s">
        <v>1103</v>
      </c>
      <c r="D97" s="2" t="s">
        <v>117</v>
      </c>
      <c r="E97" s="2" t="s">
        <v>1178</v>
      </c>
      <c r="F97" s="6">
        <v>14</v>
      </c>
      <c r="G97" s="6" t="s">
        <v>455</v>
      </c>
      <c r="H97" s="6" t="s">
        <v>455</v>
      </c>
      <c r="I97" s="6">
        <v>0</v>
      </c>
      <c r="J97" s="6">
        <v>14</v>
      </c>
      <c r="K97" s="6">
        <v>0</v>
      </c>
      <c r="L97" s="2"/>
      <c r="M97" s="9"/>
      <c r="N97" s="2" t="s">
        <v>1182</v>
      </c>
      <c r="O97" s="2"/>
      <c r="P97" s="2" t="s">
        <v>121</v>
      </c>
      <c r="Q97" s="2" t="s">
        <v>1114</v>
      </c>
    </row>
    <row r="98" spans="1:17" ht="42.75">
      <c r="A98" s="2" t="s">
        <v>1187</v>
      </c>
      <c r="B98" s="2" t="s">
        <v>108</v>
      </c>
      <c r="C98" s="2" t="s">
        <v>1103</v>
      </c>
      <c r="D98" s="2" t="s">
        <v>117</v>
      </c>
      <c r="E98" s="2" t="s">
        <v>1188</v>
      </c>
      <c r="F98" s="6">
        <v>12</v>
      </c>
      <c r="G98" s="6" t="s">
        <v>455</v>
      </c>
      <c r="H98" s="6" t="s">
        <v>455</v>
      </c>
      <c r="I98" s="6">
        <v>0</v>
      </c>
      <c r="J98" s="6">
        <v>12</v>
      </c>
      <c r="K98" s="6">
        <v>0</v>
      </c>
      <c r="L98" s="2"/>
      <c r="M98" s="9"/>
      <c r="N98" s="2"/>
      <c r="O98" s="2"/>
      <c r="P98" s="2" t="s">
        <v>121</v>
      </c>
      <c r="Q98" s="2" t="s">
        <v>1114</v>
      </c>
    </row>
    <row r="99" spans="1:17" ht="85.5">
      <c r="A99" s="2" t="s">
        <v>743</v>
      </c>
      <c r="B99" s="2" t="s">
        <v>108</v>
      </c>
      <c r="C99" s="2" t="s">
        <v>1103</v>
      </c>
      <c r="D99" s="2" t="s">
        <v>117</v>
      </c>
      <c r="E99" s="2" t="s">
        <v>1196</v>
      </c>
      <c r="F99" s="6">
        <v>12</v>
      </c>
      <c r="G99" s="6" t="s">
        <v>455</v>
      </c>
      <c r="H99" s="6" t="s">
        <v>455</v>
      </c>
      <c r="I99" s="6">
        <v>0</v>
      </c>
      <c r="J99" s="6">
        <v>12</v>
      </c>
      <c r="K99" s="6">
        <v>0</v>
      </c>
      <c r="L99" s="2"/>
      <c r="M99" s="9"/>
      <c r="N99" s="2" t="s">
        <v>1200</v>
      </c>
      <c r="O99" s="2"/>
      <c r="P99" s="2" t="s">
        <v>121</v>
      </c>
      <c r="Q99" s="2" t="s">
        <v>1204</v>
      </c>
    </row>
    <row r="100" spans="1:17" ht="42.75">
      <c r="A100" s="2" t="s">
        <v>1206</v>
      </c>
      <c r="B100" s="2" t="s">
        <v>108</v>
      </c>
      <c r="C100" s="2" t="s">
        <v>1103</v>
      </c>
      <c r="D100" s="2" t="s">
        <v>117</v>
      </c>
      <c r="E100" s="2" t="s">
        <v>1207</v>
      </c>
      <c r="F100" s="6">
        <v>6</v>
      </c>
      <c r="G100" s="6" t="s">
        <v>455</v>
      </c>
      <c r="H100" s="6" t="s">
        <v>455</v>
      </c>
      <c r="I100" s="6">
        <v>0</v>
      </c>
      <c r="J100" s="6">
        <v>6</v>
      </c>
      <c r="K100" s="6">
        <v>0</v>
      </c>
      <c r="L100" s="2"/>
      <c r="M100" s="9"/>
      <c r="N100" s="2" t="s">
        <v>1211</v>
      </c>
      <c r="O100" s="2" t="s">
        <v>743</v>
      </c>
      <c r="P100" s="2" t="s">
        <v>121</v>
      </c>
      <c r="Q100" s="2" t="s">
        <v>1114</v>
      </c>
    </row>
    <row r="101" spans="1:17" ht="57">
      <c r="A101" s="2" t="s">
        <v>356</v>
      </c>
      <c r="B101" s="2" t="s">
        <v>108</v>
      </c>
      <c r="C101" s="2" t="s">
        <v>109</v>
      </c>
      <c r="D101" s="2" t="s">
        <v>36</v>
      </c>
      <c r="E101" s="2" t="s">
        <v>357</v>
      </c>
      <c r="F101" s="6">
        <v>6</v>
      </c>
      <c r="G101" s="6" t="s">
        <v>116</v>
      </c>
      <c r="H101" s="6" t="s">
        <v>116</v>
      </c>
      <c r="I101" s="6">
        <v>6</v>
      </c>
      <c r="J101" s="6">
        <v>0</v>
      </c>
      <c r="K101" s="6">
        <v>0</v>
      </c>
      <c r="L101" s="2" t="s">
        <v>366</v>
      </c>
      <c r="M101" s="9">
        <v>46264</v>
      </c>
      <c r="N101" s="2" t="s">
        <v>274</v>
      </c>
      <c r="O101" s="2" t="s">
        <v>743</v>
      </c>
      <c r="P101" s="2" t="s">
        <v>121</v>
      </c>
      <c r="Q101" s="2" t="s">
        <v>365</v>
      </c>
    </row>
    <row r="102" spans="1:17" ht="42.75">
      <c r="A102" s="2" t="s">
        <v>368</v>
      </c>
      <c r="B102" s="2" t="s">
        <v>108</v>
      </c>
      <c r="C102" s="2" t="s">
        <v>109</v>
      </c>
      <c r="D102" s="2" t="s">
        <v>117</v>
      </c>
      <c r="E102" s="2" t="s">
        <v>369</v>
      </c>
      <c r="F102" s="6">
        <v>12</v>
      </c>
      <c r="G102" s="6" t="s">
        <v>653</v>
      </c>
      <c r="H102" s="6" t="s">
        <v>653</v>
      </c>
      <c r="I102" s="6">
        <v>0</v>
      </c>
      <c r="J102" s="6">
        <v>12</v>
      </c>
      <c r="K102" s="6">
        <v>12</v>
      </c>
      <c r="L102" s="2"/>
      <c r="M102" s="9"/>
      <c r="N102" s="2" t="s">
        <v>173</v>
      </c>
      <c r="O102" s="2" t="s">
        <v>2763</v>
      </c>
      <c r="P102" s="2" t="s">
        <v>121</v>
      </c>
      <c r="Q102" s="2" t="s">
        <v>377</v>
      </c>
    </row>
    <row r="103" spans="1:17" ht="42.75">
      <c r="A103" s="2" t="s">
        <v>405</v>
      </c>
      <c r="B103" s="2" t="s">
        <v>108</v>
      </c>
      <c r="C103" s="2" t="s">
        <v>109</v>
      </c>
      <c r="D103" s="2" t="s">
        <v>117</v>
      </c>
      <c r="E103" s="2" t="s">
        <v>406</v>
      </c>
      <c r="F103" s="6">
        <v>2</v>
      </c>
      <c r="G103" s="6" t="s">
        <v>455</v>
      </c>
      <c r="H103" s="6" t="s">
        <v>455</v>
      </c>
      <c r="I103" s="6">
        <v>0</v>
      </c>
      <c r="J103" s="6">
        <v>2</v>
      </c>
      <c r="K103" s="6">
        <v>0</v>
      </c>
      <c r="L103" s="2"/>
      <c r="M103" s="9"/>
      <c r="N103" s="2" t="s">
        <v>368</v>
      </c>
      <c r="O103" s="2" t="s">
        <v>2764</v>
      </c>
      <c r="P103" s="2" t="s">
        <v>121</v>
      </c>
      <c r="Q103" s="2" t="s">
        <v>413</v>
      </c>
    </row>
    <row r="104" spans="1:17" ht="42.75">
      <c r="A104" s="2" t="s">
        <v>381</v>
      </c>
      <c r="B104" s="2" t="s">
        <v>108</v>
      </c>
      <c r="C104" s="2" t="s">
        <v>109</v>
      </c>
      <c r="D104" s="2" t="s">
        <v>117</v>
      </c>
      <c r="E104" s="2" t="s">
        <v>382</v>
      </c>
      <c r="F104" s="6">
        <v>8</v>
      </c>
      <c r="G104" s="6" t="s">
        <v>455</v>
      </c>
      <c r="H104" s="6" t="s">
        <v>455</v>
      </c>
      <c r="I104" s="6">
        <v>0</v>
      </c>
      <c r="J104" s="6">
        <v>8</v>
      </c>
      <c r="K104" s="6">
        <v>0</v>
      </c>
      <c r="L104" s="2"/>
      <c r="M104" s="9"/>
      <c r="N104" s="2" t="s">
        <v>386</v>
      </c>
      <c r="O104" s="2" t="s">
        <v>2765</v>
      </c>
      <c r="P104" s="2" t="s">
        <v>121</v>
      </c>
      <c r="Q104" s="2" t="s">
        <v>390</v>
      </c>
    </row>
    <row r="105" spans="1:17" ht="28.5">
      <c r="A105" s="2" t="s">
        <v>392</v>
      </c>
      <c r="B105" s="2" t="s">
        <v>108</v>
      </c>
      <c r="C105" s="2" t="s">
        <v>109</v>
      </c>
      <c r="D105" s="2" t="s">
        <v>117</v>
      </c>
      <c r="E105" s="2" t="s">
        <v>393</v>
      </c>
      <c r="F105" s="6">
        <v>12</v>
      </c>
      <c r="G105" s="6" t="s">
        <v>455</v>
      </c>
      <c r="H105" s="6" t="s">
        <v>455</v>
      </c>
      <c r="I105" s="6">
        <v>0</v>
      </c>
      <c r="J105" s="6">
        <v>12</v>
      </c>
      <c r="K105" s="6">
        <v>0</v>
      </c>
      <c r="L105" s="2"/>
      <c r="M105" s="9"/>
      <c r="N105" s="2" t="s">
        <v>397</v>
      </c>
      <c r="O105" s="2" t="s">
        <v>2766</v>
      </c>
      <c r="P105" s="2" t="s">
        <v>121</v>
      </c>
      <c r="Q105" s="2" t="s">
        <v>401</v>
      </c>
    </row>
    <row r="106" spans="1:17" ht="28.5">
      <c r="A106" s="2" t="s">
        <v>1216</v>
      </c>
      <c r="B106" s="2" t="s">
        <v>108</v>
      </c>
      <c r="C106" s="2" t="s">
        <v>1103</v>
      </c>
      <c r="D106" s="2" t="s">
        <v>293</v>
      </c>
      <c r="E106" s="2" t="s">
        <v>1217</v>
      </c>
      <c r="F106" s="2">
        <v>8</v>
      </c>
      <c r="G106" s="2" t="s">
        <v>455</v>
      </c>
      <c r="H106" s="2" t="s">
        <v>455</v>
      </c>
      <c r="I106" s="2">
        <v>0</v>
      </c>
      <c r="J106" s="2">
        <v>8</v>
      </c>
      <c r="K106" s="2">
        <v>0</v>
      </c>
      <c r="L106" s="2"/>
      <c r="M106" s="9"/>
      <c r="N106" s="2" t="s">
        <v>1222</v>
      </c>
      <c r="O106" s="2" t="s">
        <v>2767</v>
      </c>
      <c r="P106" s="2" t="s">
        <v>121</v>
      </c>
      <c r="Q106" s="2" t="s">
        <v>1226</v>
      </c>
    </row>
    <row r="107" spans="1:17" ht="42.75">
      <c r="A107" s="2" t="s">
        <v>1231</v>
      </c>
      <c r="B107" s="2" t="s">
        <v>108</v>
      </c>
      <c r="C107" s="2" t="s">
        <v>1103</v>
      </c>
      <c r="D107" s="2" t="s">
        <v>36</v>
      </c>
      <c r="E107" s="2" t="s">
        <v>1232</v>
      </c>
      <c r="F107" s="2">
        <v>6</v>
      </c>
      <c r="G107" s="2" t="s">
        <v>455</v>
      </c>
      <c r="H107" s="2" t="s">
        <v>455</v>
      </c>
      <c r="I107" s="2">
        <v>0</v>
      </c>
      <c r="J107" s="2">
        <v>6</v>
      </c>
      <c r="K107" s="2">
        <v>0</v>
      </c>
      <c r="L107" s="2"/>
      <c r="M107" s="9"/>
      <c r="N107" s="2" t="s">
        <v>1236</v>
      </c>
      <c r="O107" s="2" t="s">
        <v>1237</v>
      </c>
      <c r="P107" s="2" t="s">
        <v>121</v>
      </c>
      <c r="Q107" s="2" t="s">
        <v>1241</v>
      </c>
    </row>
  </sheetData>
  <conditionalFormatting sqref="H2:H105">
    <cfRule type="expression" dxfId="19" priority="1">
      <formula>H2="Done"</formula>
    </cfRule>
    <cfRule type="expression" dxfId="18" priority="2">
      <formula>H2="In Progress"</formula>
    </cfRule>
  </conditionalFormatting>
  <conditionalFormatting sqref="J2:J105">
    <cfRule type="dataBar" priority="3">
      <dataBar>
        <cfvo type="min"/>
        <cfvo type="max"/>
        <color rgb="FFA02B93"/>
      </dataBar>
    </cfRule>
    <cfRule type="dataBar" priority="4">
      <dataBar>
        <cfvo type="min"/>
        <cfvo type="max"/>
        <color rgb="FFA02B93"/>
      </dataBar>
    </cfRule>
    <cfRule type="dataBar" priority="5">
      <dataBar>
        <cfvo type="min"/>
        <cfvo type="max"/>
        <color rgb="FFA02B93"/>
      </dataBar>
    </cfRule>
    <cfRule type="dataBar" priority="6">
      <dataBar>
        <cfvo type="min"/>
        <cfvo type="max"/>
        <color rgb="FFA02B93"/>
      </dataBar>
      <extLst>
        <ext xmlns:x14="http://schemas.microsoft.com/office/spreadsheetml/2009/9/main" uri="{B025F937-C7B1-47D3-B67F-A62EFF666E3E}">
          <x14:id>{8C2F50B9-ACFD-7DAA-248D-FFAF87D21C62}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C2F50B9-ACFD-7DAA-248D-FFAF87D21C62}">
            <x14:dataBar>
              <x14:cfvo type="min"/>
              <x14:cfvo type="max"/>
              <x14:negativeFillColor auto="1"/>
              <x14:axisColor auto="1"/>
            </x14:dataBar>
          </x14:cfRule>
          <xm:sqref>J2:J105</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3"/>
  <sheetViews>
    <sheetView workbookViewId="0"/>
  </sheetViews>
  <sheetFormatPr defaultRowHeight="14.25"/>
  <cols>
    <col min="1" max="6" width="14" customWidth="1"/>
    <col min="7" max="7" width="13" customWidth="1"/>
    <col min="8" max="8" width="78" customWidth="1"/>
  </cols>
  <sheetData>
    <row r="1" spans="1:8" ht="18">
      <c r="A1" s="104" t="s">
        <v>2768</v>
      </c>
      <c r="B1" s="104"/>
      <c r="C1" s="104"/>
      <c r="D1" s="104"/>
      <c r="E1" s="104"/>
      <c r="F1" s="104"/>
      <c r="G1" s="104"/>
      <c r="H1" s="104"/>
    </row>
    <row r="2" spans="1:8">
      <c r="A2" s="2"/>
      <c r="B2" s="2"/>
      <c r="C2" s="2"/>
      <c r="D2" s="2"/>
      <c r="E2" s="2"/>
      <c r="F2" s="2"/>
      <c r="G2" s="2"/>
      <c r="H2" s="2"/>
    </row>
    <row r="3" spans="1:8" ht="15">
      <c r="A3" s="15" t="s">
        <v>1834</v>
      </c>
      <c r="B3" s="15" t="s">
        <v>2393</v>
      </c>
      <c r="C3" s="15" t="s">
        <v>2769</v>
      </c>
      <c r="D3" s="15" t="s">
        <v>2718</v>
      </c>
      <c r="E3" s="15" t="s">
        <v>2719</v>
      </c>
      <c r="F3" s="15" t="s">
        <v>2770</v>
      </c>
      <c r="G3" s="15" t="s">
        <v>2771</v>
      </c>
      <c r="H3" s="15" t="s">
        <v>2772</v>
      </c>
    </row>
    <row r="4" spans="1:8">
      <c r="A4" s="2" t="s">
        <v>109</v>
      </c>
      <c r="B4" s="2" t="s">
        <v>117</v>
      </c>
      <c r="C4" s="2">
        <v>172</v>
      </c>
      <c r="D4" s="2">
        <v>172</v>
      </c>
      <c r="E4" s="2">
        <f t="shared" ref="E4:E18" si="0">C4-D4</f>
        <v>0</v>
      </c>
      <c r="F4" s="2">
        <v>0</v>
      </c>
      <c r="G4" s="13">
        <f t="shared" ref="G4:G18" si="1">IF(C4=0,0,D4/C4)</f>
        <v>1</v>
      </c>
      <c r="H4" s="2">
        <v>0</v>
      </c>
    </row>
    <row r="5" spans="1:8">
      <c r="A5" s="2" t="s">
        <v>109</v>
      </c>
      <c r="B5" s="2" t="s">
        <v>36</v>
      </c>
      <c r="C5" s="2">
        <v>44</v>
      </c>
      <c r="D5" s="2">
        <v>44</v>
      </c>
      <c r="E5" s="2">
        <f t="shared" si="0"/>
        <v>0</v>
      </c>
      <c r="F5" s="2">
        <v>0</v>
      </c>
      <c r="G5" s="13">
        <f t="shared" si="1"/>
        <v>1</v>
      </c>
      <c r="H5" s="2">
        <v>0</v>
      </c>
    </row>
    <row r="6" spans="1:8">
      <c r="A6" s="2" t="s">
        <v>109</v>
      </c>
      <c r="B6" s="2" t="s">
        <v>293</v>
      </c>
      <c r="C6" s="2">
        <v>29</v>
      </c>
      <c r="D6" s="2">
        <v>29</v>
      </c>
      <c r="E6" s="2">
        <f t="shared" si="0"/>
        <v>0</v>
      </c>
      <c r="F6" s="2">
        <v>0</v>
      </c>
      <c r="G6" s="13">
        <f t="shared" si="1"/>
        <v>1</v>
      </c>
      <c r="H6" s="2">
        <v>0</v>
      </c>
    </row>
    <row r="7" spans="1:8">
      <c r="A7" s="2" t="s">
        <v>426</v>
      </c>
      <c r="B7" s="2" t="s">
        <v>117</v>
      </c>
      <c r="C7" s="2">
        <v>137</v>
      </c>
      <c r="D7" s="2">
        <v>32</v>
      </c>
      <c r="E7" s="2">
        <f t="shared" si="0"/>
        <v>105</v>
      </c>
      <c r="F7" s="2">
        <v>8</v>
      </c>
      <c r="G7" s="13">
        <f t="shared" si="1"/>
        <v>0.23357664233576642</v>
      </c>
      <c r="H7" s="2">
        <v>12</v>
      </c>
    </row>
    <row r="8" spans="1:8">
      <c r="A8" s="2" t="s">
        <v>426</v>
      </c>
      <c r="B8" s="2" t="s">
        <v>36</v>
      </c>
      <c r="C8" s="2">
        <v>148</v>
      </c>
      <c r="D8" s="2">
        <v>60</v>
      </c>
      <c r="E8" s="2">
        <f t="shared" si="0"/>
        <v>88</v>
      </c>
      <c r="F8" s="2">
        <v>24</v>
      </c>
      <c r="G8" s="13">
        <f t="shared" si="1"/>
        <v>0.40540540540540543</v>
      </c>
      <c r="H8" s="2">
        <v>9</v>
      </c>
    </row>
    <row r="9" spans="1:8">
      <c r="A9" s="2" t="s">
        <v>426</v>
      </c>
      <c r="B9" s="2" t="s">
        <v>293</v>
      </c>
      <c r="C9" s="2">
        <v>38</v>
      </c>
      <c r="D9" s="2">
        <v>0</v>
      </c>
      <c r="E9" s="2">
        <f t="shared" si="0"/>
        <v>38</v>
      </c>
      <c r="F9" s="2">
        <v>16</v>
      </c>
      <c r="G9" s="13">
        <f t="shared" si="1"/>
        <v>0</v>
      </c>
      <c r="H9" s="2">
        <v>3</v>
      </c>
    </row>
    <row r="10" spans="1:8">
      <c r="A10" s="2" t="s">
        <v>807</v>
      </c>
      <c r="B10" s="2" t="s">
        <v>117</v>
      </c>
      <c r="C10" s="2">
        <v>0</v>
      </c>
      <c r="D10" s="2">
        <v>0</v>
      </c>
      <c r="E10" s="2">
        <f t="shared" si="0"/>
        <v>0</v>
      </c>
      <c r="F10" s="2">
        <v>0</v>
      </c>
      <c r="G10" s="13">
        <f t="shared" si="1"/>
        <v>0</v>
      </c>
      <c r="H10" s="2">
        <v>0</v>
      </c>
    </row>
    <row r="11" spans="1:8">
      <c r="A11" s="2" t="s">
        <v>807</v>
      </c>
      <c r="B11" s="2" t="s">
        <v>36</v>
      </c>
      <c r="C11" s="2">
        <v>36</v>
      </c>
      <c r="D11" s="2">
        <v>0</v>
      </c>
      <c r="E11" s="2">
        <f t="shared" si="0"/>
        <v>36</v>
      </c>
      <c r="F11" s="2">
        <v>0</v>
      </c>
      <c r="G11" s="13">
        <f t="shared" si="1"/>
        <v>0</v>
      </c>
      <c r="H11" s="2">
        <v>4</v>
      </c>
    </row>
    <row r="12" spans="1:8">
      <c r="A12" s="2" t="s">
        <v>807</v>
      </c>
      <c r="B12" s="2" t="s">
        <v>293</v>
      </c>
      <c r="C12" s="2">
        <v>0</v>
      </c>
      <c r="D12" s="2">
        <v>0</v>
      </c>
      <c r="E12" s="2">
        <f t="shared" si="0"/>
        <v>0</v>
      </c>
      <c r="F12" s="2">
        <v>0</v>
      </c>
      <c r="G12" s="13">
        <f t="shared" si="1"/>
        <v>0</v>
      </c>
      <c r="H12" s="2">
        <v>0</v>
      </c>
    </row>
    <row r="13" spans="1:8">
      <c r="A13" s="2" t="s">
        <v>858</v>
      </c>
      <c r="B13" s="2" t="s">
        <v>117</v>
      </c>
      <c r="C13" s="2">
        <v>0</v>
      </c>
      <c r="D13" s="2">
        <v>0</v>
      </c>
      <c r="E13" s="2">
        <f t="shared" si="0"/>
        <v>0</v>
      </c>
      <c r="F13" s="2">
        <v>0</v>
      </c>
      <c r="G13" s="13">
        <f t="shared" si="1"/>
        <v>0</v>
      </c>
      <c r="H13" s="2">
        <v>0</v>
      </c>
    </row>
    <row r="14" spans="1:8">
      <c r="A14" s="2" t="s">
        <v>858</v>
      </c>
      <c r="B14" s="2" t="s">
        <v>36</v>
      </c>
      <c r="C14" s="2">
        <v>10</v>
      </c>
      <c r="D14" s="2">
        <v>0</v>
      </c>
      <c r="E14" s="2">
        <f t="shared" si="0"/>
        <v>10</v>
      </c>
      <c r="F14" s="2">
        <v>0</v>
      </c>
      <c r="G14" s="13">
        <f t="shared" si="1"/>
        <v>0</v>
      </c>
      <c r="H14" s="2">
        <v>1</v>
      </c>
    </row>
    <row r="15" spans="1:8">
      <c r="A15" s="2" t="s">
        <v>858</v>
      </c>
      <c r="B15" s="2" t="s">
        <v>293</v>
      </c>
      <c r="C15" s="2">
        <v>94</v>
      </c>
      <c r="D15" s="2">
        <v>56</v>
      </c>
      <c r="E15" s="2">
        <f t="shared" si="0"/>
        <v>38</v>
      </c>
      <c r="F15" s="2">
        <v>0</v>
      </c>
      <c r="G15" s="13">
        <f t="shared" si="1"/>
        <v>0.5957446808510638</v>
      </c>
      <c r="H15" s="2">
        <v>4</v>
      </c>
    </row>
    <row r="16" spans="1:8">
      <c r="A16" s="2" t="s">
        <v>1103</v>
      </c>
      <c r="B16" s="2" t="s">
        <v>117</v>
      </c>
      <c r="C16" s="2">
        <v>128</v>
      </c>
      <c r="D16" s="2">
        <v>0</v>
      </c>
      <c r="E16" s="2">
        <f t="shared" si="0"/>
        <v>128</v>
      </c>
      <c r="F16" s="2">
        <v>0</v>
      </c>
      <c r="G16" s="13">
        <f t="shared" si="1"/>
        <v>0</v>
      </c>
      <c r="H16" s="2">
        <v>12</v>
      </c>
    </row>
    <row r="17" spans="1:8">
      <c r="A17" s="2" t="s">
        <v>1103</v>
      </c>
      <c r="B17" s="2" t="s">
        <v>36</v>
      </c>
      <c r="C17" s="2">
        <v>18</v>
      </c>
      <c r="D17" s="2">
        <v>0</v>
      </c>
      <c r="E17" s="2">
        <f t="shared" si="0"/>
        <v>18</v>
      </c>
      <c r="F17" s="2">
        <v>0</v>
      </c>
      <c r="G17" s="13">
        <f t="shared" si="1"/>
        <v>0</v>
      </c>
      <c r="H17" s="2">
        <v>2</v>
      </c>
    </row>
    <row r="18" spans="1:8">
      <c r="A18" s="2" t="s">
        <v>1103</v>
      </c>
      <c r="B18" s="2" t="s">
        <v>293</v>
      </c>
      <c r="C18" s="2">
        <v>8</v>
      </c>
      <c r="D18" s="2">
        <v>0</v>
      </c>
      <c r="E18" s="2">
        <f t="shared" si="0"/>
        <v>8</v>
      </c>
      <c r="F18" s="2">
        <v>0</v>
      </c>
      <c r="G18" s="13">
        <f t="shared" si="1"/>
        <v>0</v>
      </c>
      <c r="H18" s="2">
        <v>1</v>
      </c>
    </row>
    <row r="19" spans="1:8">
      <c r="A19" s="2"/>
      <c r="B19" s="2"/>
      <c r="C19" s="2"/>
      <c r="D19" s="2"/>
      <c r="E19" s="2"/>
      <c r="F19" s="2"/>
      <c r="G19" s="2"/>
      <c r="H19" s="2"/>
    </row>
    <row r="20" spans="1:8">
      <c r="A20" s="2"/>
      <c r="B20" s="2"/>
      <c r="C20" s="2"/>
      <c r="D20" s="2"/>
      <c r="E20" s="2"/>
      <c r="F20" s="2"/>
      <c r="G20" s="2"/>
      <c r="H20" s="2"/>
    </row>
    <row r="21" spans="1:8" ht="15">
      <c r="A21" s="16" t="s">
        <v>1834</v>
      </c>
      <c r="B21" s="16" t="s">
        <v>2769</v>
      </c>
      <c r="C21" s="16" t="s">
        <v>2718</v>
      </c>
      <c r="D21" s="16" t="s">
        <v>2719</v>
      </c>
      <c r="E21" s="16" t="s">
        <v>2770</v>
      </c>
      <c r="F21" s="16" t="s">
        <v>2771</v>
      </c>
      <c r="G21" s="16" t="s">
        <v>2772</v>
      </c>
      <c r="H21" s="16" t="s">
        <v>2773</v>
      </c>
    </row>
    <row r="22" spans="1:8" ht="28.5">
      <c r="A22" s="2" t="s">
        <v>109</v>
      </c>
      <c r="B22" s="2">
        <v>245</v>
      </c>
      <c r="C22" s="2">
        <v>245</v>
      </c>
      <c r="D22" s="2">
        <v>0</v>
      </c>
      <c r="E22" s="2">
        <v>0</v>
      </c>
      <c r="F22" s="13">
        <v>1</v>
      </c>
      <c r="G22" s="2">
        <v>0</v>
      </c>
      <c r="H22" s="2" t="s">
        <v>2774</v>
      </c>
    </row>
    <row r="23" spans="1:8" ht="28.5">
      <c r="A23" s="2" t="s">
        <v>426</v>
      </c>
      <c r="B23" s="2">
        <v>323</v>
      </c>
      <c r="C23" s="2">
        <v>92</v>
      </c>
      <c r="D23" s="2">
        <v>231</v>
      </c>
      <c r="E23" s="2">
        <v>48</v>
      </c>
      <c r="F23" s="13">
        <v>0.28482972136222912</v>
      </c>
      <c r="G23" s="2">
        <v>24</v>
      </c>
      <c r="H23" s="2" t="s">
        <v>2775</v>
      </c>
    </row>
    <row r="24" spans="1:8" ht="28.5">
      <c r="A24" s="2" t="s">
        <v>807</v>
      </c>
      <c r="B24" s="2">
        <v>36</v>
      </c>
      <c r="C24" s="2">
        <v>0</v>
      </c>
      <c r="D24" s="2">
        <v>36</v>
      </c>
      <c r="E24" s="2">
        <v>0</v>
      </c>
      <c r="F24" s="13">
        <v>0</v>
      </c>
      <c r="G24" s="2">
        <v>4</v>
      </c>
      <c r="H24" s="2" t="s">
        <v>2776</v>
      </c>
    </row>
    <row r="25" spans="1:8">
      <c r="A25" s="2" t="s">
        <v>858</v>
      </c>
      <c r="B25" s="2">
        <v>276</v>
      </c>
      <c r="C25" s="2">
        <v>228</v>
      </c>
      <c r="D25" s="2">
        <v>48</v>
      </c>
      <c r="E25" s="2">
        <v>0</v>
      </c>
      <c r="F25" s="13">
        <v>0.82608695652173914</v>
      </c>
      <c r="G25" s="2">
        <v>5</v>
      </c>
      <c r="H25" s="2" t="s">
        <v>2777</v>
      </c>
    </row>
    <row r="26" spans="1:8">
      <c r="A26" s="2" t="s">
        <v>1103</v>
      </c>
      <c r="B26" s="2">
        <v>154</v>
      </c>
      <c r="C26" s="2">
        <v>0</v>
      </c>
      <c r="D26" s="2">
        <v>154</v>
      </c>
      <c r="E26" s="2">
        <v>0</v>
      </c>
      <c r="F26" s="13">
        <v>0</v>
      </c>
      <c r="G26" s="2">
        <v>15</v>
      </c>
      <c r="H26" s="2" t="s">
        <v>2778</v>
      </c>
    </row>
    <row r="27" spans="1:8">
      <c r="A27" s="2"/>
      <c r="B27" s="2"/>
      <c r="C27" s="2"/>
      <c r="D27" s="2"/>
      <c r="E27" s="2"/>
      <c r="F27" s="2"/>
      <c r="G27" s="2"/>
      <c r="H27" s="2"/>
    </row>
    <row r="28" spans="1:8">
      <c r="A28" s="2"/>
      <c r="B28" s="2"/>
      <c r="C28" s="2"/>
      <c r="D28" s="2"/>
      <c r="E28" s="2"/>
      <c r="F28" s="2"/>
      <c r="G28" s="2"/>
      <c r="H28" s="2"/>
    </row>
    <row r="29" spans="1:8" ht="15">
      <c r="A29" s="16" t="s">
        <v>2393</v>
      </c>
      <c r="B29" s="16" t="s">
        <v>2769</v>
      </c>
      <c r="C29" s="16" t="s">
        <v>2718</v>
      </c>
      <c r="D29" s="16" t="s">
        <v>2719</v>
      </c>
      <c r="E29" s="16" t="s">
        <v>2770</v>
      </c>
      <c r="F29" s="16" t="s">
        <v>2771</v>
      </c>
      <c r="G29" s="16" t="s">
        <v>2772</v>
      </c>
      <c r="H29" s="2"/>
    </row>
    <row r="30" spans="1:8">
      <c r="A30" s="2" t="s">
        <v>117</v>
      </c>
      <c r="B30" s="2">
        <v>437</v>
      </c>
      <c r="C30" s="2">
        <v>204</v>
      </c>
      <c r="D30" s="2">
        <v>233</v>
      </c>
      <c r="E30" s="2">
        <v>8</v>
      </c>
      <c r="F30" s="13">
        <v>0.46681922196796338</v>
      </c>
      <c r="G30" s="2">
        <v>24</v>
      </c>
      <c r="H30" s="2"/>
    </row>
    <row r="31" spans="1:8">
      <c r="A31" s="2" t="s">
        <v>36</v>
      </c>
      <c r="B31" s="2">
        <v>256</v>
      </c>
      <c r="C31" s="2">
        <v>104</v>
      </c>
      <c r="D31" s="2">
        <v>152</v>
      </c>
      <c r="E31" s="2">
        <v>24</v>
      </c>
      <c r="F31" s="13">
        <v>0.40625</v>
      </c>
      <c r="G31" s="2">
        <v>16</v>
      </c>
      <c r="H31" s="2"/>
    </row>
    <row r="32" spans="1:8">
      <c r="A32" s="2" t="s">
        <v>293</v>
      </c>
      <c r="B32" s="2">
        <v>169</v>
      </c>
      <c r="C32" s="2">
        <v>85</v>
      </c>
      <c r="D32" s="2">
        <v>84</v>
      </c>
      <c r="E32" s="2">
        <v>16</v>
      </c>
      <c r="F32" s="13">
        <v>0.50295857988165682</v>
      </c>
      <c r="G32" s="2">
        <v>8</v>
      </c>
      <c r="H32" s="2"/>
    </row>
    <row r="33" spans="1:8">
      <c r="A33" s="2"/>
      <c r="B33" s="2"/>
      <c r="C33" s="2"/>
      <c r="D33" s="2"/>
      <c r="E33" s="2"/>
      <c r="F33" s="2"/>
      <c r="G33" s="2"/>
      <c r="H33" s="2"/>
    </row>
  </sheetData>
  <mergeCells count="1">
    <mergeCell ref="A1: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61"/>
  <sheetViews>
    <sheetView workbookViewId="0"/>
  </sheetViews>
  <sheetFormatPr defaultRowHeight="14.25"/>
  <cols>
    <col min="1" max="14" width="14" customWidth="1"/>
  </cols>
  <sheetData>
    <row r="1" spans="1:14">
      <c r="A1" s="108" t="s">
        <v>2779</v>
      </c>
      <c r="B1" s="108"/>
      <c r="C1" s="108"/>
      <c r="D1" s="108"/>
      <c r="E1" s="108"/>
      <c r="F1" s="108"/>
      <c r="G1" s="108"/>
      <c r="H1" s="108"/>
      <c r="I1" s="109"/>
      <c r="J1" s="109"/>
      <c r="K1" s="109"/>
      <c r="L1" s="109"/>
      <c r="M1" s="109"/>
      <c r="N1" s="109"/>
    </row>
    <row r="2" spans="1:14">
      <c r="A2" s="109"/>
      <c r="B2" s="109"/>
      <c r="C2" s="109"/>
      <c r="D2" s="109"/>
      <c r="E2" s="109"/>
      <c r="F2" s="109"/>
      <c r="G2" s="109"/>
      <c r="H2" s="109"/>
      <c r="I2" s="109"/>
      <c r="J2" s="109"/>
      <c r="K2" s="109"/>
      <c r="L2" s="109"/>
      <c r="M2" s="109"/>
      <c r="N2" s="109"/>
    </row>
    <row r="3" spans="1:14">
      <c r="A3" s="110" t="s">
        <v>2780</v>
      </c>
      <c r="B3" s="110"/>
      <c r="C3" s="110"/>
      <c r="D3" s="110"/>
      <c r="E3" s="110"/>
      <c r="F3" s="110"/>
      <c r="G3" s="110"/>
      <c r="H3" s="110"/>
      <c r="I3" s="110"/>
      <c r="J3" s="110"/>
      <c r="K3" s="110"/>
      <c r="L3" s="110"/>
      <c r="M3" s="110"/>
      <c r="N3" s="110"/>
    </row>
    <row r="5" spans="1:14">
      <c r="A5" s="111" t="s">
        <v>2781</v>
      </c>
      <c r="B5" s="112"/>
      <c r="C5" s="112"/>
      <c r="D5" s="111" t="s">
        <v>2718</v>
      </c>
      <c r="E5" s="112"/>
      <c r="F5" s="112"/>
      <c r="G5" s="111" t="s">
        <v>2719</v>
      </c>
      <c r="H5" s="112"/>
      <c r="I5" s="112"/>
      <c r="J5" s="111" t="s">
        <v>2782</v>
      </c>
      <c r="K5" s="112"/>
      <c r="L5" s="112"/>
    </row>
    <row r="6" spans="1:14">
      <c r="A6" s="112"/>
      <c r="B6" s="112"/>
      <c r="C6" s="112"/>
      <c r="D6" s="112"/>
      <c r="E6" s="112"/>
      <c r="F6" s="112"/>
      <c r="G6" s="112"/>
      <c r="H6" s="112"/>
      <c r="I6" s="112"/>
      <c r="J6" s="112"/>
      <c r="K6" s="112"/>
      <c r="L6" s="112"/>
    </row>
    <row r="7" spans="1:14">
      <c r="A7" s="105">
        <v>1034</v>
      </c>
      <c r="B7" s="105"/>
      <c r="C7" s="105"/>
      <c r="D7" s="105">
        <v>565</v>
      </c>
      <c r="E7" s="105"/>
      <c r="F7" s="105"/>
      <c r="G7" s="105">
        <v>469</v>
      </c>
      <c r="H7" s="105"/>
      <c r="I7" s="105"/>
      <c r="J7" s="106">
        <v>0.54642166344294008</v>
      </c>
      <c r="K7" s="105"/>
      <c r="L7" s="105"/>
    </row>
    <row r="8" spans="1:14">
      <c r="A8" s="105"/>
      <c r="B8" s="105"/>
      <c r="C8" s="105"/>
      <c r="D8" s="105"/>
      <c r="E8" s="105"/>
      <c r="F8" s="105"/>
      <c r="G8" s="105"/>
      <c r="H8" s="105"/>
      <c r="I8" s="105"/>
      <c r="J8" s="105"/>
      <c r="K8" s="105"/>
      <c r="L8" s="105"/>
    </row>
    <row r="9" spans="1:14">
      <c r="A9" s="105"/>
      <c r="B9" s="105"/>
      <c r="C9" s="105"/>
      <c r="D9" s="105"/>
      <c r="E9" s="105"/>
      <c r="F9" s="105"/>
      <c r="G9" s="105"/>
      <c r="H9" s="105"/>
      <c r="I9" s="105"/>
      <c r="J9" s="105"/>
      <c r="K9" s="105"/>
      <c r="L9" s="105"/>
    </row>
    <row r="11" spans="1:14" ht="15">
      <c r="A11" s="107" t="s">
        <v>2783</v>
      </c>
      <c r="B11" s="107"/>
      <c r="C11" s="107"/>
      <c r="D11" s="107"/>
      <c r="E11" s="107"/>
      <c r="F11" s="107"/>
      <c r="G11" s="107"/>
      <c r="H11" s="107"/>
    </row>
    <row r="12" spans="1:14" ht="15">
      <c r="A12" s="16" t="s">
        <v>2784</v>
      </c>
      <c r="B12" s="16" t="s">
        <v>2785</v>
      </c>
      <c r="C12" s="16" t="s">
        <v>2786</v>
      </c>
      <c r="D12" s="16" t="s">
        <v>62</v>
      </c>
      <c r="E12" s="16" t="s">
        <v>2787</v>
      </c>
      <c r="F12" s="16" t="s">
        <v>2788</v>
      </c>
      <c r="G12" s="16" t="s">
        <v>2571</v>
      </c>
      <c r="H12" s="16" t="s">
        <v>2789</v>
      </c>
    </row>
    <row r="13" spans="1:14" ht="85.5">
      <c r="A13" s="2" t="s">
        <v>117</v>
      </c>
      <c r="B13" s="2" t="s">
        <v>414</v>
      </c>
      <c r="C13" s="2" t="s">
        <v>653</v>
      </c>
      <c r="D13" s="2">
        <v>6</v>
      </c>
      <c r="E13" s="2" t="s">
        <v>2790</v>
      </c>
      <c r="F13" s="2" t="s">
        <v>2791</v>
      </c>
      <c r="G13" s="2" t="s">
        <v>2792</v>
      </c>
      <c r="H13" s="2" t="s">
        <v>2793</v>
      </c>
    </row>
    <row r="14" spans="1:14" ht="71.25">
      <c r="A14" s="2" t="s">
        <v>36</v>
      </c>
      <c r="B14" s="2" t="s">
        <v>749</v>
      </c>
      <c r="C14" s="2" t="s">
        <v>653</v>
      </c>
      <c r="D14" s="2">
        <v>12</v>
      </c>
      <c r="E14" s="2" t="s">
        <v>2794</v>
      </c>
      <c r="F14" s="2" t="s">
        <v>2795</v>
      </c>
      <c r="G14" s="2" t="s">
        <v>2796</v>
      </c>
      <c r="H14" s="2" t="s">
        <v>2797</v>
      </c>
    </row>
    <row r="15" spans="1:14" ht="57">
      <c r="A15" s="2" t="s">
        <v>293</v>
      </c>
      <c r="B15" s="2" t="s">
        <v>522</v>
      </c>
      <c r="C15" s="2" t="s">
        <v>2798</v>
      </c>
      <c r="D15" s="2">
        <v>16</v>
      </c>
      <c r="E15" s="2" t="s">
        <v>2799</v>
      </c>
      <c r="F15" s="2" t="s">
        <v>2800</v>
      </c>
      <c r="G15" s="2" t="s">
        <v>2801</v>
      </c>
      <c r="H15" s="2" t="s">
        <v>2802</v>
      </c>
    </row>
    <row r="16" spans="1:14" ht="57">
      <c r="A16" s="2" t="s">
        <v>117</v>
      </c>
      <c r="B16" s="2" t="s">
        <v>392</v>
      </c>
      <c r="C16" s="2" t="s">
        <v>2803</v>
      </c>
      <c r="D16" s="2">
        <v>12</v>
      </c>
      <c r="E16" s="2" t="s">
        <v>2804</v>
      </c>
      <c r="F16" s="2" t="s">
        <v>2805</v>
      </c>
      <c r="G16" s="2" t="s">
        <v>2806</v>
      </c>
      <c r="H16" s="2" t="s">
        <v>2807</v>
      </c>
    </row>
    <row r="19" spans="1:11" ht="15">
      <c r="A19" s="14" t="s">
        <v>1834</v>
      </c>
      <c r="B19" s="14" t="s">
        <v>2718</v>
      </c>
      <c r="C19" s="14" t="s">
        <v>2719</v>
      </c>
      <c r="D19" s="14" t="s">
        <v>2770</v>
      </c>
      <c r="E19" s="14" t="s">
        <v>2771</v>
      </c>
      <c r="G19" s="14" t="s">
        <v>2393</v>
      </c>
      <c r="H19" s="14" t="s">
        <v>2718</v>
      </c>
      <c r="I19" s="14" t="s">
        <v>2719</v>
      </c>
      <c r="J19" s="14" t="s">
        <v>2770</v>
      </c>
      <c r="K19" s="14" t="s">
        <v>2771</v>
      </c>
    </row>
    <row r="20" spans="1:11">
      <c r="A20" t="s">
        <v>109</v>
      </c>
      <c r="B20">
        <v>245</v>
      </c>
      <c r="C20">
        <v>0</v>
      </c>
      <c r="D20">
        <v>0</v>
      </c>
      <c r="E20" s="10">
        <v>1</v>
      </c>
      <c r="G20" t="s">
        <v>117</v>
      </c>
      <c r="H20">
        <v>204</v>
      </c>
      <c r="I20">
        <v>233</v>
      </c>
      <c r="J20">
        <v>8</v>
      </c>
      <c r="K20" s="10">
        <v>0.46681922196796338</v>
      </c>
    </row>
    <row r="21" spans="1:11">
      <c r="A21" t="s">
        <v>426</v>
      </c>
      <c r="B21">
        <v>92</v>
      </c>
      <c r="C21">
        <v>231</v>
      </c>
      <c r="D21">
        <v>48</v>
      </c>
      <c r="E21" s="10">
        <v>0.28482972136222912</v>
      </c>
      <c r="G21" t="s">
        <v>36</v>
      </c>
      <c r="H21">
        <v>104</v>
      </c>
      <c r="I21">
        <v>152</v>
      </c>
      <c r="J21">
        <v>24</v>
      </c>
      <c r="K21" s="10">
        <v>0.40625</v>
      </c>
    </row>
    <row r="22" spans="1:11">
      <c r="A22" t="s">
        <v>807</v>
      </c>
      <c r="B22">
        <v>0</v>
      </c>
      <c r="C22">
        <v>36</v>
      </c>
      <c r="D22">
        <v>0</v>
      </c>
      <c r="E22" s="10">
        <v>0</v>
      </c>
      <c r="G22" t="s">
        <v>293</v>
      </c>
      <c r="H22">
        <v>85</v>
      </c>
      <c r="I22">
        <v>84</v>
      </c>
      <c r="J22">
        <v>16</v>
      </c>
      <c r="K22" s="10">
        <v>0.50295857988165682</v>
      </c>
    </row>
    <row r="23" spans="1:11">
      <c r="A23" t="s">
        <v>858</v>
      </c>
      <c r="B23">
        <v>228</v>
      </c>
      <c r="C23">
        <v>48</v>
      </c>
      <c r="D23">
        <v>0</v>
      </c>
      <c r="E23" s="10">
        <v>0.82608695652173914</v>
      </c>
    </row>
    <row r="24" spans="1:11">
      <c r="A24" t="s">
        <v>1103</v>
      </c>
      <c r="B24">
        <v>0</v>
      </c>
      <c r="C24">
        <v>154</v>
      </c>
      <c r="D24">
        <v>0</v>
      </c>
      <c r="E24" s="10">
        <v>0</v>
      </c>
    </row>
    <row r="47" spans="1:5" ht="15">
      <c r="A47" s="16" t="s">
        <v>2808</v>
      </c>
      <c r="B47" s="16" t="s">
        <v>2809</v>
      </c>
      <c r="C47" s="16" t="s">
        <v>2810</v>
      </c>
      <c r="D47" s="16" t="s">
        <v>2811</v>
      </c>
      <c r="E47" s="16" t="s">
        <v>2812</v>
      </c>
    </row>
    <row r="48" spans="1:5" ht="99.75">
      <c r="A48" s="2" t="s">
        <v>2813</v>
      </c>
      <c r="B48" s="2">
        <v>1043</v>
      </c>
      <c r="C48" s="2">
        <v>1051</v>
      </c>
      <c r="D48" s="2">
        <v>8</v>
      </c>
      <c r="E48" s="2" t="s">
        <v>2814</v>
      </c>
    </row>
    <row r="49" spans="1:6" ht="28.5">
      <c r="A49" s="2" t="s">
        <v>2815</v>
      </c>
      <c r="B49" s="2">
        <v>513</v>
      </c>
      <c r="C49" s="2">
        <v>513</v>
      </c>
      <c r="D49" s="2">
        <v>0</v>
      </c>
      <c r="E49" s="2" t="s">
        <v>2816</v>
      </c>
    </row>
    <row r="50" spans="1:6" ht="99.75">
      <c r="A50" s="2" t="s">
        <v>2817</v>
      </c>
      <c r="B50" s="2">
        <v>530</v>
      </c>
      <c r="C50" s="2">
        <v>538</v>
      </c>
      <c r="D50" s="2">
        <v>8</v>
      </c>
      <c r="E50" s="2" t="s">
        <v>2818</v>
      </c>
    </row>
    <row r="51" spans="1:6" ht="28.5">
      <c r="A51" s="2" t="s">
        <v>2819</v>
      </c>
      <c r="B51" s="13">
        <v>0.49185043144774687</v>
      </c>
      <c r="C51" s="13">
        <v>0.48810656517602286</v>
      </c>
      <c r="D51" s="13">
        <v>-3.7438662717240168E-3</v>
      </c>
      <c r="E51" s="2" t="s">
        <v>2820</v>
      </c>
    </row>
    <row r="52" spans="1:6" ht="57">
      <c r="A52" s="2" t="s">
        <v>2821</v>
      </c>
      <c r="B52" s="13" t="s">
        <v>2822</v>
      </c>
      <c r="C52" s="13" t="s">
        <v>2823</v>
      </c>
      <c r="D52" s="13" t="s">
        <v>2824</v>
      </c>
      <c r="E52" s="2" t="s">
        <v>2825</v>
      </c>
    </row>
    <row r="55" spans="1:6" ht="15">
      <c r="A55" s="14" t="s">
        <v>2719</v>
      </c>
      <c r="B55" s="14" t="s">
        <v>117</v>
      </c>
      <c r="C55" s="14" t="s">
        <v>36</v>
      </c>
      <c r="D55" s="14" t="s">
        <v>293</v>
      </c>
      <c r="E55" s="14" t="s">
        <v>2826</v>
      </c>
      <c r="F55" s="14" t="s">
        <v>2772</v>
      </c>
    </row>
    <row r="56" spans="1:6">
      <c r="A56" t="s">
        <v>109</v>
      </c>
      <c r="B56">
        <v>0</v>
      </c>
      <c r="C56">
        <v>0</v>
      </c>
      <c r="D56">
        <v>0</v>
      </c>
      <c r="E56">
        <v>0</v>
      </c>
      <c r="F56">
        <v>0</v>
      </c>
    </row>
    <row r="57" spans="1:6">
      <c r="A57" t="s">
        <v>426</v>
      </c>
      <c r="B57">
        <v>105</v>
      </c>
      <c r="C57">
        <v>88</v>
      </c>
      <c r="D57">
        <v>38</v>
      </c>
      <c r="E57">
        <v>231</v>
      </c>
      <c r="F57">
        <v>24</v>
      </c>
    </row>
    <row r="58" spans="1:6">
      <c r="A58" t="s">
        <v>807</v>
      </c>
      <c r="B58">
        <v>0</v>
      </c>
      <c r="C58">
        <v>36</v>
      </c>
      <c r="D58">
        <v>0</v>
      </c>
      <c r="E58">
        <v>36</v>
      </c>
      <c r="F58">
        <v>4</v>
      </c>
    </row>
    <row r="59" spans="1:6">
      <c r="A59" t="s">
        <v>858</v>
      </c>
      <c r="B59">
        <v>0</v>
      </c>
      <c r="C59">
        <v>10</v>
      </c>
      <c r="D59">
        <v>38</v>
      </c>
      <c r="E59">
        <v>48</v>
      </c>
      <c r="F59">
        <v>5</v>
      </c>
    </row>
    <row r="60" spans="1:6">
      <c r="A60" t="s">
        <v>1103</v>
      </c>
      <c r="B60">
        <v>128</v>
      </c>
      <c r="C60">
        <v>18</v>
      </c>
      <c r="D60">
        <v>8</v>
      </c>
      <c r="E60">
        <v>154</v>
      </c>
      <c r="F60">
        <v>15</v>
      </c>
    </row>
    <row r="61" spans="1:6" ht="15">
      <c r="A61" s="17" t="s">
        <v>2827</v>
      </c>
      <c r="B61" s="17">
        <v>233</v>
      </c>
      <c r="C61" s="17">
        <v>152</v>
      </c>
      <c r="D61" s="17">
        <v>84</v>
      </c>
      <c r="E61" s="17">
        <v>469</v>
      </c>
      <c r="F61" s="17">
        <v>48</v>
      </c>
    </row>
  </sheetData>
  <mergeCells count="11">
    <mergeCell ref="A1:N2"/>
    <mergeCell ref="A3:N3"/>
    <mergeCell ref="A5:C6"/>
    <mergeCell ref="D5:F6"/>
    <mergeCell ref="G5:I6"/>
    <mergeCell ref="J5:L6"/>
    <mergeCell ref="A7:C9"/>
    <mergeCell ref="D7:F9"/>
    <mergeCell ref="G7:I9"/>
    <mergeCell ref="J7:L9"/>
    <mergeCell ref="A11:H1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83"/>
  <sheetViews>
    <sheetView workbookViewId="0"/>
  </sheetViews>
  <sheetFormatPr defaultRowHeight="14.25"/>
  <cols>
    <col min="1" max="2" width="20" customWidth="1"/>
    <col min="3" max="3" width="38" customWidth="1"/>
    <col min="4" max="9" width="20" customWidth="1"/>
    <col min="10" max="14" width="36" customWidth="1"/>
  </cols>
  <sheetData>
    <row r="1" spans="1:14" ht="26.1" customHeight="1">
      <c r="A1" s="96" t="s">
        <v>12611</v>
      </c>
      <c r="B1" s="96"/>
      <c r="C1" s="96"/>
      <c r="D1" s="96"/>
      <c r="E1" s="96"/>
      <c r="F1" s="96"/>
      <c r="G1" s="96"/>
      <c r="H1" s="96"/>
      <c r="I1" s="96"/>
      <c r="J1" s="96"/>
      <c r="K1" s="113"/>
      <c r="L1" s="113"/>
      <c r="M1" s="113"/>
      <c r="N1" s="113"/>
    </row>
    <row r="2" spans="1:14" ht="26.1" customHeight="1">
      <c r="A2" s="114" t="s">
        <v>2828</v>
      </c>
      <c r="B2" s="114"/>
      <c r="C2" s="114"/>
      <c r="D2" s="114"/>
      <c r="E2" s="114"/>
      <c r="F2" s="114"/>
      <c r="G2" s="114"/>
      <c r="H2" s="114"/>
      <c r="I2" s="114"/>
      <c r="J2" s="114"/>
      <c r="K2" s="112"/>
      <c r="L2" s="112"/>
      <c r="M2" s="112"/>
      <c r="N2" s="112"/>
    </row>
    <row r="3" spans="1:14" ht="36" customHeight="1">
      <c r="A3" s="36" t="s">
        <v>2829</v>
      </c>
      <c r="B3" s="36" t="s">
        <v>2830</v>
      </c>
      <c r="C3" s="36" t="s">
        <v>2831</v>
      </c>
      <c r="D3" s="36" t="s">
        <v>2832</v>
      </c>
      <c r="E3" s="36" t="s">
        <v>1866</v>
      </c>
      <c r="F3" s="36" t="s">
        <v>2833</v>
      </c>
      <c r="G3" s="36" t="s">
        <v>2834</v>
      </c>
      <c r="H3" s="36" t="s">
        <v>2835</v>
      </c>
      <c r="I3" s="36" t="s">
        <v>2836</v>
      </c>
      <c r="J3" s="36" t="s">
        <v>2837</v>
      </c>
      <c r="K3" s="37" t="s">
        <v>2838</v>
      </c>
      <c r="L3" s="37" t="s">
        <v>2839</v>
      </c>
      <c r="M3" s="37" t="s">
        <v>2840</v>
      </c>
      <c r="N3" s="37" t="s">
        <v>3</v>
      </c>
    </row>
    <row r="4" spans="1:14" ht="26.1" customHeight="1">
      <c r="A4" s="38" t="s">
        <v>1282</v>
      </c>
      <c r="B4" s="38" t="s">
        <v>2841</v>
      </c>
      <c r="C4" s="38" t="s">
        <v>1283</v>
      </c>
      <c r="D4" s="38" t="s">
        <v>134</v>
      </c>
      <c r="E4" s="38">
        <f>COUNTIF(Backlog!$AA$2:$AA$188,A4)</f>
        <v>1</v>
      </c>
      <c r="F4" s="38">
        <f>COUNTIFS(Backlog!$AA$2:$AA$188,A4,Backlog!$K$2:$K$188,"Done")</f>
        <v>0</v>
      </c>
      <c r="G4" s="38">
        <f t="shared" ref="G4:G35" si="0">E4-F4</f>
        <v>1</v>
      </c>
      <c r="H4" s="38">
        <f>COUNTIFS(Backlog!$AA$2:$AA$188,A4,Backlog!$B$2:$B$188,"M2")</f>
        <v>0</v>
      </c>
      <c r="I4" s="38">
        <f>COUNTIFS(Backlog!$AA$2:$AA$188,A4,Backlog!$B$2:$B$188,"M3")</f>
        <v>1</v>
      </c>
      <c r="J4" s="38" t="s">
        <v>1276</v>
      </c>
      <c r="K4" s="32">
        <f>COUNTIF('Secondary Capability Links'!$B$2:$B$149,A4)</f>
        <v>5</v>
      </c>
      <c r="L4" s="32">
        <f>COUNTIFS('Secondary Capability Links'!$B$2:$B$149,A4,'Secondary Capability Links'!$C$2:$C$149,"Done")</f>
        <v>1</v>
      </c>
      <c r="M4" s="32" t="s">
        <v>12612</v>
      </c>
      <c r="N4" s="32" t="s">
        <v>2842</v>
      </c>
    </row>
    <row r="5" spans="1:14" ht="26.1" customHeight="1">
      <c r="A5" s="38" t="s">
        <v>607</v>
      </c>
      <c r="B5" s="38" t="s">
        <v>2841</v>
      </c>
      <c r="C5" s="38" t="s">
        <v>608</v>
      </c>
      <c r="D5" s="38" t="s">
        <v>134</v>
      </c>
      <c r="E5" s="38">
        <f>COUNTIF(Backlog!$AA$2:$AA$188,A5)</f>
        <v>3</v>
      </c>
      <c r="F5" s="38">
        <f>COUNTIFS(Backlog!$AA$2:$AA$188,A5,Backlog!$K$2:$K$188,"Done")</f>
        <v>1</v>
      </c>
      <c r="G5" s="38">
        <f t="shared" si="0"/>
        <v>2</v>
      </c>
      <c r="H5" s="38">
        <f>COUNTIFS(Backlog!$AA$2:$AA$188,A5,Backlog!$B$2:$B$188,"M2")</f>
        <v>3</v>
      </c>
      <c r="I5" s="38">
        <f>COUNTIFS(Backlog!$AA$2:$AA$188,A5,Backlog!$B$2:$B$188,"M3")</f>
        <v>0</v>
      </c>
      <c r="J5" s="38" t="s">
        <v>12613</v>
      </c>
      <c r="K5" s="32">
        <f>COUNTIF('Secondary Capability Links'!$B$2:$B$149,A5)</f>
        <v>3</v>
      </c>
      <c r="L5" s="32">
        <f>COUNTIFS('Secondary Capability Links'!$B$2:$B$149,A5,'Secondary Capability Links'!$C$2:$C$149,"Done")</f>
        <v>0</v>
      </c>
      <c r="M5" s="32" t="s">
        <v>12614</v>
      </c>
      <c r="N5" s="32" t="s">
        <v>2842</v>
      </c>
    </row>
    <row r="6" spans="1:14" ht="26.1" customHeight="1">
      <c r="A6" s="38" t="s">
        <v>2843</v>
      </c>
      <c r="B6" s="38" t="s">
        <v>2841</v>
      </c>
      <c r="C6" s="38" t="s">
        <v>2844</v>
      </c>
      <c r="D6" s="38" t="s">
        <v>134</v>
      </c>
      <c r="E6" s="38">
        <f>COUNTIF(Backlog!$AA$2:$AA$188,A6)</f>
        <v>2</v>
      </c>
      <c r="F6" s="38">
        <f>COUNTIFS(Backlog!$AA$2:$AA$188,A6,Backlog!$K$2:$K$188,"Done")</f>
        <v>0</v>
      </c>
      <c r="G6" s="38">
        <f t="shared" si="0"/>
        <v>2</v>
      </c>
      <c r="H6" s="38">
        <f>COUNTIFS(Backlog!$AA$2:$AA$188,A6,Backlog!$B$2:$B$188,"M2")</f>
        <v>2</v>
      </c>
      <c r="I6" s="38">
        <f>COUNTIFS(Backlog!$AA$2:$AA$188,A6,Backlog!$B$2:$B$188,"M3")</f>
        <v>0</v>
      </c>
      <c r="J6" s="38" t="s">
        <v>12615</v>
      </c>
      <c r="K6" s="32">
        <f>COUNTIF('Secondary Capability Links'!$B$2:$B$149,A6)</f>
        <v>2</v>
      </c>
      <c r="L6" s="32">
        <f>COUNTIFS('Secondary Capability Links'!$B$2:$B$149,A6,'Secondary Capability Links'!$C$2:$C$149,"Done")</f>
        <v>0</v>
      </c>
      <c r="M6" s="32" t="s">
        <v>12616</v>
      </c>
      <c r="N6" s="32" t="s">
        <v>2842</v>
      </c>
    </row>
    <row r="7" spans="1:14" ht="26.1" customHeight="1">
      <c r="A7" s="38" t="s">
        <v>577</v>
      </c>
      <c r="B7" s="38" t="s">
        <v>2841</v>
      </c>
      <c r="C7" s="38" t="s">
        <v>578</v>
      </c>
      <c r="D7" s="38" t="s">
        <v>134</v>
      </c>
      <c r="E7" s="38">
        <f>COUNTIF(Backlog!$AA$2:$AA$188,A7)</f>
        <v>2</v>
      </c>
      <c r="F7" s="38">
        <f>COUNTIFS(Backlog!$AA$2:$AA$188,A7,Backlog!$K$2:$K$188,"Done")</f>
        <v>1</v>
      </c>
      <c r="G7" s="38">
        <f t="shared" si="0"/>
        <v>1</v>
      </c>
      <c r="H7" s="38">
        <f>COUNTIFS(Backlog!$AA$2:$AA$188,A7,Backlog!$B$2:$B$188,"M2")</f>
        <v>2</v>
      </c>
      <c r="I7" s="38">
        <f>COUNTIFS(Backlog!$AA$2:$AA$188,A7,Backlog!$B$2:$B$188,"M3")</f>
        <v>0</v>
      </c>
      <c r="J7" s="38" t="s">
        <v>12617</v>
      </c>
      <c r="K7" s="32">
        <f>COUNTIF('Secondary Capability Links'!$B$2:$B$149,A7)</f>
        <v>2</v>
      </c>
      <c r="L7" s="32">
        <f>COUNTIFS('Secondary Capability Links'!$B$2:$B$149,A7,'Secondary Capability Links'!$C$2:$C$149,"Done")</f>
        <v>0</v>
      </c>
      <c r="M7" s="32" t="s">
        <v>12618</v>
      </c>
      <c r="N7" s="32" t="s">
        <v>2842</v>
      </c>
    </row>
    <row r="8" spans="1:14" ht="26.1" customHeight="1">
      <c r="A8" s="38" t="s">
        <v>343</v>
      </c>
      <c r="B8" s="38" t="s">
        <v>2841</v>
      </c>
      <c r="C8" s="38" t="s">
        <v>344</v>
      </c>
      <c r="D8" s="38" t="s">
        <v>134</v>
      </c>
      <c r="E8" s="38">
        <f>COUNTIF(Backlog!$AA$2:$AA$188,A8)</f>
        <v>2</v>
      </c>
      <c r="F8" s="38">
        <f>COUNTIFS(Backlog!$AA$2:$AA$188,A8,Backlog!$K$2:$K$188,"Done")</f>
        <v>1</v>
      </c>
      <c r="G8" s="38">
        <f t="shared" si="0"/>
        <v>1</v>
      </c>
      <c r="H8" s="38">
        <f>COUNTIFS(Backlog!$AA$2:$AA$188,A8,Backlog!$B$2:$B$188,"M2")</f>
        <v>2</v>
      </c>
      <c r="I8" s="38">
        <f>COUNTIFS(Backlog!$AA$2:$AA$188,A8,Backlog!$B$2:$B$188,"M3")</f>
        <v>0</v>
      </c>
      <c r="J8" s="38" t="s">
        <v>12619</v>
      </c>
      <c r="K8" s="32">
        <f>COUNTIF('Secondary Capability Links'!$B$2:$B$149,A8)</f>
        <v>1</v>
      </c>
      <c r="L8" s="32">
        <f>COUNTIFS('Secondary Capability Links'!$B$2:$B$149,A8,'Secondary Capability Links'!$C$2:$C$149,"Done")</f>
        <v>0</v>
      </c>
      <c r="M8" s="32" t="s">
        <v>12620</v>
      </c>
      <c r="N8" s="32" t="s">
        <v>2842</v>
      </c>
    </row>
    <row r="9" spans="1:14" ht="26.1" customHeight="1">
      <c r="A9" s="38" t="s">
        <v>2845</v>
      </c>
      <c r="B9" s="38" t="s">
        <v>2841</v>
      </c>
      <c r="C9" s="38" t="s">
        <v>2846</v>
      </c>
      <c r="D9" s="38" t="s">
        <v>134</v>
      </c>
      <c r="E9" s="38">
        <f>COUNTIF(Backlog!$AA$2:$AA$188,A9)</f>
        <v>0</v>
      </c>
      <c r="F9" s="38">
        <f>COUNTIFS(Backlog!$AA$2:$AA$188,A9,Backlog!$K$2:$K$188,"Done")</f>
        <v>0</v>
      </c>
      <c r="G9" s="38">
        <f t="shared" si="0"/>
        <v>0</v>
      </c>
      <c r="H9" s="38">
        <f>COUNTIFS(Backlog!$AA$2:$AA$188,A9,Backlog!$B$2:$B$188,"M2")</f>
        <v>0</v>
      </c>
      <c r="I9" s="38">
        <f>COUNTIFS(Backlog!$AA$2:$AA$188,A9,Backlog!$B$2:$B$188,"M3")</f>
        <v>0</v>
      </c>
      <c r="J9" s="38"/>
      <c r="K9" s="32">
        <f>COUNTIF('Secondary Capability Links'!$B$2:$B$149,A9)</f>
        <v>1</v>
      </c>
      <c r="L9" s="32">
        <f>COUNTIFS('Secondary Capability Links'!$B$2:$B$149,A9,'Secondary Capability Links'!$C$2:$C$149,"Done")</f>
        <v>0</v>
      </c>
      <c r="M9" s="32" t="s">
        <v>489</v>
      </c>
      <c r="N9" s="32" t="s">
        <v>2842</v>
      </c>
    </row>
    <row r="10" spans="1:14" ht="26.1" customHeight="1">
      <c r="A10" s="38" t="s">
        <v>1185</v>
      </c>
      <c r="B10" s="38" t="s">
        <v>2841</v>
      </c>
      <c r="C10" s="38" t="s">
        <v>2847</v>
      </c>
      <c r="D10" s="38" t="s">
        <v>134</v>
      </c>
      <c r="E10" s="38">
        <f>COUNTIF(Backlog!$AA$2:$AA$188,A10)</f>
        <v>0</v>
      </c>
      <c r="F10" s="38">
        <f>COUNTIFS(Backlog!$AA$2:$AA$188,A10,Backlog!$K$2:$K$188,"Done")</f>
        <v>0</v>
      </c>
      <c r="G10" s="38">
        <f t="shared" si="0"/>
        <v>0</v>
      </c>
      <c r="H10" s="38">
        <f>COUNTIFS(Backlog!$AA$2:$AA$188,A10,Backlog!$B$2:$B$188,"M2")</f>
        <v>0</v>
      </c>
      <c r="I10" s="38">
        <f>COUNTIFS(Backlog!$AA$2:$AA$188,A10,Backlog!$B$2:$B$188,"M3")</f>
        <v>0</v>
      </c>
      <c r="J10" s="38"/>
      <c r="K10" s="32">
        <f>COUNTIF('Secondary Capability Links'!$B$2:$B$149,A10)</f>
        <v>5</v>
      </c>
      <c r="L10" s="32">
        <f>COUNTIFS('Secondary Capability Links'!$B$2:$B$149,A10,'Secondary Capability Links'!$C$2:$C$149,"Done")</f>
        <v>1</v>
      </c>
      <c r="M10" s="32" t="s">
        <v>12621</v>
      </c>
      <c r="N10" s="32" t="s">
        <v>2842</v>
      </c>
    </row>
    <row r="11" spans="1:14" ht="26.1" customHeight="1">
      <c r="A11" s="38" t="s">
        <v>619</v>
      </c>
      <c r="B11" s="38" t="s">
        <v>2841</v>
      </c>
      <c r="C11" s="38" t="s">
        <v>12550</v>
      </c>
      <c r="D11" s="38" t="s">
        <v>134</v>
      </c>
      <c r="E11" s="38">
        <f>COUNTIF(Backlog!$AA$2:$AA$188,A11)</f>
        <v>6</v>
      </c>
      <c r="F11" s="38">
        <f>COUNTIFS(Backlog!$AA$2:$AA$188,A11,Backlog!$K$2:$K$188,"Done")</f>
        <v>0</v>
      </c>
      <c r="G11" s="38">
        <f t="shared" si="0"/>
        <v>6</v>
      </c>
      <c r="H11" s="38">
        <f>COUNTIFS(Backlog!$AA$2:$AA$188,A11,Backlog!$B$2:$B$188,"M2")</f>
        <v>6</v>
      </c>
      <c r="I11" s="38">
        <f>COUNTIFS(Backlog!$AA$2:$AA$188,A11,Backlog!$B$2:$B$188,"M3")</f>
        <v>0</v>
      </c>
      <c r="J11" s="38" t="s">
        <v>12622</v>
      </c>
      <c r="K11" s="32">
        <f>COUNTIF('Secondary Capability Links'!$B$2:$B$149,A11)</f>
        <v>0</v>
      </c>
      <c r="L11" s="32">
        <f>COUNTIFS('Secondary Capability Links'!$B$2:$B$149,A11,'Secondary Capability Links'!$C$2:$C$149,"Done")</f>
        <v>0</v>
      </c>
      <c r="M11" s="32" t="s">
        <v>12588</v>
      </c>
      <c r="N11" s="32" t="s">
        <v>12623</v>
      </c>
    </row>
    <row r="12" spans="1:14" ht="26.1" customHeight="1">
      <c r="A12" s="38" t="s">
        <v>153</v>
      </c>
      <c r="B12" s="38" t="s">
        <v>2848</v>
      </c>
      <c r="C12" s="38" t="s">
        <v>154</v>
      </c>
      <c r="D12" s="38" t="s">
        <v>134</v>
      </c>
      <c r="E12" s="38">
        <f>COUNTIF(Backlog!$AA$2:$AA$188,A12)</f>
        <v>2</v>
      </c>
      <c r="F12" s="38">
        <f>COUNTIFS(Backlog!$AA$2:$AA$188,A12,Backlog!$K$2:$K$188,"Done")</f>
        <v>2</v>
      </c>
      <c r="G12" s="38">
        <f t="shared" si="0"/>
        <v>0</v>
      </c>
      <c r="H12" s="38">
        <f>COUNTIFS(Backlog!$AA$2:$AA$188,A12,Backlog!$B$2:$B$188,"M2")</f>
        <v>2</v>
      </c>
      <c r="I12" s="38">
        <f>COUNTIFS(Backlog!$AA$2:$AA$188,A12,Backlog!$B$2:$B$188,"M3")</f>
        <v>0</v>
      </c>
      <c r="J12" s="38" t="s">
        <v>12624</v>
      </c>
      <c r="K12" s="32">
        <f>COUNTIF('Secondary Capability Links'!$B$2:$B$149,A12)</f>
        <v>1</v>
      </c>
      <c r="L12" s="32">
        <f>COUNTIFS('Secondary Capability Links'!$B$2:$B$149,A12,'Secondary Capability Links'!$C$2:$C$149,"Done")</f>
        <v>1</v>
      </c>
      <c r="M12" s="32" t="s">
        <v>158</v>
      </c>
      <c r="N12" s="32" t="s">
        <v>2842</v>
      </c>
    </row>
    <row r="13" spans="1:14" ht="26.1" customHeight="1">
      <c r="A13" s="38" t="s">
        <v>798</v>
      </c>
      <c r="B13" s="38" t="s">
        <v>2848</v>
      </c>
      <c r="C13" s="38" t="s">
        <v>799</v>
      </c>
      <c r="D13" s="38" t="s">
        <v>134</v>
      </c>
      <c r="E13" s="38">
        <f>COUNTIF(Backlog!$AA$2:$AA$188,A13)</f>
        <v>1</v>
      </c>
      <c r="F13" s="38">
        <f>COUNTIFS(Backlog!$AA$2:$AA$188,A13,Backlog!$K$2:$K$188,"Done")</f>
        <v>1</v>
      </c>
      <c r="G13" s="38">
        <f t="shared" si="0"/>
        <v>0</v>
      </c>
      <c r="H13" s="38">
        <f>COUNTIFS(Backlog!$AA$2:$AA$188,A13,Backlog!$B$2:$B$188,"M2")</f>
        <v>1</v>
      </c>
      <c r="I13" s="38">
        <f>COUNTIFS(Backlog!$AA$2:$AA$188,A13,Backlog!$B$2:$B$188,"M3")</f>
        <v>0</v>
      </c>
      <c r="J13" s="38" t="s">
        <v>787</v>
      </c>
      <c r="K13" s="32">
        <f>COUNTIF('Secondary Capability Links'!$B$2:$B$149,A13)</f>
        <v>3</v>
      </c>
      <c r="L13" s="32">
        <f>COUNTIFS('Secondary Capability Links'!$B$2:$B$149,A13,'Secondary Capability Links'!$C$2:$C$149,"Done")</f>
        <v>1</v>
      </c>
      <c r="M13" s="32" t="s">
        <v>12625</v>
      </c>
      <c r="N13" s="32" t="s">
        <v>2842</v>
      </c>
    </row>
    <row r="14" spans="1:14" ht="26.1" customHeight="1">
      <c r="A14" s="38" t="s">
        <v>471</v>
      </c>
      <c r="B14" s="38" t="s">
        <v>2848</v>
      </c>
      <c r="C14" s="38" t="s">
        <v>472</v>
      </c>
      <c r="D14" s="38" t="s">
        <v>134</v>
      </c>
      <c r="E14" s="38">
        <f>COUNTIF(Backlog!$AA$2:$AA$188,A14)</f>
        <v>6</v>
      </c>
      <c r="F14" s="38">
        <f>COUNTIFS(Backlog!$AA$2:$AA$188,A14,Backlog!$K$2:$K$188,"Done")</f>
        <v>2</v>
      </c>
      <c r="G14" s="38">
        <f t="shared" si="0"/>
        <v>4</v>
      </c>
      <c r="H14" s="38">
        <f>COUNTIFS(Backlog!$AA$2:$AA$188,A14,Backlog!$B$2:$B$188,"M2")</f>
        <v>5</v>
      </c>
      <c r="I14" s="38">
        <f>COUNTIFS(Backlog!$AA$2:$AA$188,A14,Backlog!$B$2:$B$188,"M3")</f>
        <v>1</v>
      </c>
      <c r="J14" s="38" t="s">
        <v>12626</v>
      </c>
      <c r="K14" s="32">
        <f>COUNTIF('Secondary Capability Links'!$B$2:$B$149,A14)</f>
        <v>4</v>
      </c>
      <c r="L14" s="32">
        <f>COUNTIFS('Secondary Capability Links'!$B$2:$B$149,A14,'Secondary Capability Links'!$C$2:$C$149,"Done")</f>
        <v>2</v>
      </c>
      <c r="M14" s="32" t="s">
        <v>12627</v>
      </c>
      <c r="N14" s="32" t="s">
        <v>2842</v>
      </c>
    </row>
    <row r="15" spans="1:14" ht="26.1" customHeight="1">
      <c r="A15" s="38" t="s">
        <v>506</v>
      </c>
      <c r="B15" s="38" t="s">
        <v>2848</v>
      </c>
      <c r="C15" s="38" t="s">
        <v>507</v>
      </c>
      <c r="D15" s="38" t="s">
        <v>134</v>
      </c>
      <c r="E15" s="38">
        <f>COUNTIF(Backlog!$AA$2:$AA$188,A15)</f>
        <v>2</v>
      </c>
      <c r="F15" s="38">
        <f>COUNTIFS(Backlog!$AA$2:$AA$188,A15,Backlog!$K$2:$K$188,"Done")</f>
        <v>0</v>
      </c>
      <c r="G15" s="38">
        <f t="shared" si="0"/>
        <v>2</v>
      </c>
      <c r="H15" s="38">
        <f>COUNTIFS(Backlog!$AA$2:$AA$188,A15,Backlog!$B$2:$B$188,"M2")</f>
        <v>2</v>
      </c>
      <c r="I15" s="38">
        <f>COUNTIFS(Backlog!$AA$2:$AA$188,A15,Backlog!$B$2:$B$188,"M3")</f>
        <v>0</v>
      </c>
      <c r="J15" s="38" t="s">
        <v>12628</v>
      </c>
      <c r="K15" s="32">
        <f>COUNTIF('Secondary Capability Links'!$B$2:$B$149,A15)</f>
        <v>0</v>
      </c>
      <c r="L15" s="32">
        <f>COUNTIFS('Secondary Capability Links'!$B$2:$B$149,A15,'Secondary Capability Links'!$C$2:$C$149,"Done")</f>
        <v>0</v>
      </c>
      <c r="M15" s="32"/>
      <c r="N15" s="32" t="s">
        <v>2842</v>
      </c>
    </row>
    <row r="16" spans="1:14" ht="26.1" customHeight="1">
      <c r="A16" s="38" t="s">
        <v>176</v>
      </c>
      <c r="B16" s="38" t="s">
        <v>2848</v>
      </c>
      <c r="C16" s="38" t="s">
        <v>177</v>
      </c>
      <c r="D16" s="38" t="s">
        <v>134</v>
      </c>
      <c r="E16" s="38">
        <f>COUNTIF(Backlog!$AA$2:$AA$188,A16)</f>
        <v>2</v>
      </c>
      <c r="F16" s="38">
        <f>COUNTIFS(Backlog!$AA$2:$AA$188,A16,Backlog!$K$2:$K$188,"Done")</f>
        <v>2</v>
      </c>
      <c r="G16" s="38">
        <f t="shared" si="0"/>
        <v>0</v>
      </c>
      <c r="H16" s="38">
        <f>COUNTIFS(Backlog!$AA$2:$AA$188,A16,Backlog!$B$2:$B$188,"M2")</f>
        <v>2</v>
      </c>
      <c r="I16" s="38">
        <f>COUNTIFS(Backlog!$AA$2:$AA$188,A16,Backlog!$B$2:$B$188,"M3")</f>
        <v>0</v>
      </c>
      <c r="J16" s="38" t="s">
        <v>12629</v>
      </c>
      <c r="K16" s="32">
        <f>COUNTIF('Secondary Capability Links'!$B$2:$B$149,A16)</f>
        <v>4</v>
      </c>
      <c r="L16" s="32">
        <f>COUNTIFS('Secondary Capability Links'!$B$2:$B$149,A16,'Secondary Capability Links'!$C$2:$C$149,"Done")</f>
        <v>3</v>
      </c>
      <c r="M16" s="32" t="s">
        <v>12630</v>
      </c>
      <c r="N16" s="32" t="s">
        <v>2842</v>
      </c>
    </row>
    <row r="17" spans="1:14" ht="26.1" customHeight="1">
      <c r="A17" s="38" t="s">
        <v>533</v>
      </c>
      <c r="B17" s="38" t="s">
        <v>2848</v>
      </c>
      <c r="C17" s="38" t="s">
        <v>534</v>
      </c>
      <c r="D17" s="38" t="s">
        <v>134</v>
      </c>
      <c r="E17" s="38">
        <f>COUNTIF(Backlog!$AA$2:$AA$188,A17)</f>
        <v>2</v>
      </c>
      <c r="F17" s="38">
        <f>COUNTIFS(Backlog!$AA$2:$AA$188,A17,Backlog!$K$2:$K$188,"Done")</f>
        <v>1</v>
      </c>
      <c r="G17" s="38">
        <f t="shared" si="0"/>
        <v>1</v>
      </c>
      <c r="H17" s="38">
        <f>COUNTIFS(Backlog!$AA$2:$AA$188,A17,Backlog!$B$2:$B$188,"M2")</f>
        <v>2</v>
      </c>
      <c r="I17" s="38">
        <f>COUNTIFS(Backlog!$AA$2:$AA$188,A17,Backlog!$B$2:$B$188,"M3")</f>
        <v>0</v>
      </c>
      <c r="J17" s="38" t="s">
        <v>12631</v>
      </c>
      <c r="K17" s="32">
        <f>COUNTIF('Secondary Capability Links'!$B$2:$B$149,A17)</f>
        <v>5</v>
      </c>
      <c r="L17" s="32">
        <f>COUNTIFS('Secondary Capability Links'!$B$2:$B$149,A17,'Secondary Capability Links'!$C$2:$C$149,"Done")</f>
        <v>0</v>
      </c>
      <c r="M17" s="32" t="s">
        <v>12632</v>
      </c>
      <c r="N17" s="32" t="s">
        <v>2842</v>
      </c>
    </row>
    <row r="18" spans="1:14" ht="26.1" customHeight="1">
      <c r="A18" s="38" t="s">
        <v>2849</v>
      </c>
      <c r="B18" s="38" t="s">
        <v>2848</v>
      </c>
      <c r="C18" s="38" t="s">
        <v>2850</v>
      </c>
      <c r="D18" s="38" t="s">
        <v>134</v>
      </c>
      <c r="E18" s="38">
        <f>COUNTIF(Backlog!$AA$2:$AA$188,A18)</f>
        <v>0</v>
      </c>
      <c r="F18" s="38">
        <f>COUNTIFS(Backlog!$AA$2:$AA$188,A18,Backlog!$K$2:$K$188,"Done")</f>
        <v>0</v>
      </c>
      <c r="G18" s="38">
        <f t="shared" si="0"/>
        <v>0</v>
      </c>
      <c r="H18" s="38">
        <f>COUNTIFS(Backlog!$AA$2:$AA$188,A18,Backlog!$B$2:$B$188,"M2")</f>
        <v>0</v>
      </c>
      <c r="I18" s="38">
        <f>COUNTIFS(Backlog!$AA$2:$AA$188,A18,Backlog!$B$2:$B$188,"M3")</f>
        <v>0</v>
      </c>
      <c r="J18" s="38"/>
      <c r="K18" s="32">
        <f>COUNTIF('Secondary Capability Links'!$B$2:$B$149,A18)</f>
        <v>2</v>
      </c>
      <c r="L18" s="32">
        <f>COUNTIFS('Secondary Capability Links'!$B$2:$B$149,A18,'Secondary Capability Links'!$C$2:$C$149,"Done")</f>
        <v>1</v>
      </c>
      <c r="M18" s="32" t="s">
        <v>12633</v>
      </c>
      <c r="N18" s="32" t="s">
        <v>2842</v>
      </c>
    </row>
    <row r="19" spans="1:14" ht="26.1" customHeight="1">
      <c r="A19" s="38" t="s">
        <v>556</v>
      </c>
      <c r="B19" s="38" t="s">
        <v>2848</v>
      </c>
      <c r="C19" s="38" t="s">
        <v>557</v>
      </c>
      <c r="D19" s="38" t="s">
        <v>134</v>
      </c>
      <c r="E19" s="38">
        <f>COUNTIF(Backlog!$AA$2:$AA$188,A19)</f>
        <v>3</v>
      </c>
      <c r="F19" s="38">
        <f>COUNTIFS(Backlog!$AA$2:$AA$188,A19,Backlog!$K$2:$K$188,"Done")</f>
        <v>0</v>
      </c>
      <c r="G19" s="38">
        <f t="shared" si="0"/>
        <v>3</v>
      </c>
      <c r="H19" s="38">
        <f>COUNTIFS(Backlog!$AA$2:$AA$188,A19,Backlog!$B$2:$B$188,"M2")</f>
        <v>2</v>
      </c>
      <c r="I19" s="38">
        <f>COUNTIFS(Backlog!$AA$2:$AA$188,A19,Backlog!$B$2:$B$188,"M3")</f>
        <v>1</v>
      </c>
      <c r="J19" s="38" t="s">
        <v>12634</v>
      </c>
      <c r="K19" s="32">
        <f>COUNTIF('Secondary Capability Links'!$B$2:$B$149,A19)</f>
        <v>0</v>
      </c>
      <c r="L19" s="32">
        <f>COUNTIFS('Secondary Capability Links'!$B$2:$B$149,A19,'Secondary Capability Links'!$C$2:$C$149,"Done")</f>
        <v>0</v>
      </c>
      <c r="M19" s="32"/>
      <c r="N19" s="32" t="s">
        <v>2842</v>
      </c>
    </row>
    <row r="20" spans="1:14" ht="26.1" customHeight="1">
      <c r="A20" s="38" t="s">
        <v>819</v>
      </c>
      <c r="B20" s="38" t="s">
        <v>2851</v>
      </c>
      <c r="C20" s="38" t="s">
        <v>820</v>
      </c>
      <c r="D20" s="38" t="s">
        <v>134</v>
      </c>
      <c r="E20" s="38">
        <f>COUNTIF(Backlog!$AA$2:$AA$188,A20)</f>
        <v>2</v>
      </c>
      <c r="F20" s="38">
        <f>COUNTIFS(Backlog!$AA$2:$AA$188,A20,Backlog!$K$2:$K$188,"Done")</f>
        <v>0</v>
      </c>
      <c r="G20" s="38">
        <f t="shared" si="0"/>
        <v>2</v>
      </c>
      <c r="H20" s="38">
        <f>COUNTIFS(Backlog!$AA$2:$AA$188,A20,Backlog!$B$2:$B$188,"M2")</f>
        <v>2</v>
      </c>
      <c r="I20" s="38">
        <f>COUNTIFS(Backlog!$AA$2:$AA$188,A20,Backlog!$B$2:$B$188,"M3")</f>
        <v>0</v>
      </c>
      <c r="J20" s="38" t="s">
        <v>12635</v>
      </c>
      <c r="K20" s="32">
        <f>COUNTIF('Secondary Capability Links'!$B$2:$B$149,A20)</f>
        <v>3</v>
      </c>
      <c r="L20" s="32">
        <f>COUNTIFS('Secondary Capability Links'!$B$2:$B$149,A20,'Secondary Capability Links'!$C$2:$C$149,"Done")</f>
        <v>1</v>
      </c>
      <c r="M20" s="32" t="s">
        <v>12636</v>
      </c>
      <c r="N20" s="32" t="s">
        <v>2842</v>
      </c>
    </row>
    <row r="21" spans="1:14" ht="26.1" customHeight="1">
      <c r="A21" s="38" t="s">
        <v>272</v>
      </c>
      <c r="B21" s="38" t="s">
        <v>2851</v>
      </c>
      <c r="C21" s="38" t="s">
        <v>273</v>
      </c>
      <c r="D21" s="38" t="s">
        <v>134</v>
      </c>
      <c r="E21" s="38">
        <f>COUNTIF(Backlog!$AA$2:$AA$188,A21)</f>
        <v>1</v>
      </c>
      <c r="F21" s="38">
        <f>COUNTIFS(Backlog!$AA$2:$AA$188,A21,Backlog!$K$2:$K$188,"Done")</f>
        <v>1</v>
      </c>
      <c r="G21" s="38">
        <f t="shared" si="0"/>
        <v>0</v>
      </c>
      <c r="H21" s="38">
        <f>COUNTIFS(Backlog!$AA$2:$AA$188,A21,Backlog!$B$2:$B$188,"M2")</f>
        <v>1</v>
      </c>
      <c r="I21" s="38">
        <f>COUNTIFS(Backlog!$AA$2:$AA$188,A21,Backlog!$B$2:$B$188,"M3")</f>
        <v>0</v>
      </c>
      <c r="J21" s="38" t="s">
        <v>262</v>
      </c>
      <c r="K21" s="32">
        <f>COUNTIF('Secondary Capability Links'!$B$2:$B$149,A21)</f>
        <v>2</v>
      </c>
      <c r="L21" s="32">
        <f>COUNTIFS('Secondary Capability Links'!$B$2:$B$149,A21,'Secondary Capability Links'!$C$2:$C$149,"Done")</f>
        <v>0</v>
      </c>
      <c r="M21" s="32" t="s">
        <v>3557</v>
      </c>
      <c r="N21" s="32" t="s">
        <v>2842</v>
      </c>
    </row>
    <row r="22" spans="1:14" ht="26.1" customHeight="1">
      <c r="A22" s="38" t="s">
        <v>2852</v>
      </c>
      <c r="B22" s="38" t="s">
        <v>2851</v>
      </c>
      <c r="C22" s="38" t="s">
        <v>2853</v>
      </c>
      <c r="D22" s="38" t="s">
        <v>134</v>
      </c>
      <c r="E22" s="38">
        <f>COUNTIF(Backlog!$AA$2:$AA$188,A22)</f>
        <v>0</v>
      </c>
      <c r="F22" s="38">
        <f>COUNTIFS(Backlog!$AA$2:$AA$188,A22,Backlog!$K$2:$K$188,"Done")</f>
        <v>0</v>
      </c>
      <c r="G22" s="38">
        <f t="shared" si="0"/>
        <v>0</v>
      </c>
      <c r="H22" s="38">
        <f>COUNTIFS(Backlog!$AA$2:$AA$188,A22,Backlog!$B$2:$B$188,"M2")</f>
        <v>0</v>
      </c>
      <c r="I22" s="38">
        <f>COUNTIFS(Backlog!$AA$2:$AA$188,A22,Backlog!$B$2:$B$188,"M3")</f>
        <v>0</v>
      </c>
      <c r="J22" s="38"/>
      <c r="K22" s="32">
        <f>COUNTIF('Secondary Capability Links'!$B$2:$B$149,A22)</f>
        <v>3</v>
      </c>
      <c r="L22" s="32">
        <f>COUNTIFS('Secondary Capability Links'!$B$2:$B$149,A22,'Secondary Capability Links'!$C$2:$C$149,"Done")</f>
        <v>0</v>
      </c>
      <c r="M22" s="32" t="s">
        <v>12637</v>
      </c>
      <c r="N22" s="32" t="s">
        <v>2842</v>
      </c>
    </row>
    <row r="23" spans="1:14" ht="26.1" customHeight="1">
      <c r="A23" s="38" t="s">
        <v>591</v>
      </c>
      <c r="B23" s="38" t="s">
        <v>2851</v>
      </c>
      <c r="C23" s="38" t="s">
        <v>592</v>
      </c>
      <c r="D23" s="38" t="s">
        <v>134</v>
      </c>
      <c r="E23" s="38">
        <f>COUNTIF(Backlog!$AA$2:$AA$188,A23)</f>
        <v>2</v>
      </c>
      <c r="F23" s="38">
        <f>COUNTIFS(Backlog!$AA$2:$AA$188,A23,Backlog!$K$2:$K$188,"Done")</f>
        <v>0</v>
      </c>
      <c r="G23" s="38">
        <f t="shared" si="0"/>
        <v>2</v>
      </c>
      <c r="H23" s="38">
        <f>COUNTIFS(Backlog!$AA$2:$AA$188,A23,Backlog!$B$2:$B$188,"M2")</f>
        <v>1</v>
      </c>
      <c r="I23" s="38">
        <f>COUNTIFS(Backlog!$AA$2:$AA$188,A23,Backlog!$B$2:$B$188,"M3")</f>
        <v>1</v>
      </c>
      <c r="J23" s="38" t="s">
        <v>12638</v>
      </c>
      <c r="K23" s="32">
        <f>COUNTIF('Secondary Capability Links'!$B$2:$B$149,A23)</f>
        <v>6</v>
      </c>
      <c r="L23" s="32">
        <f>COUNTIFS('Secondary Capability Links'!$B$2:$B$149,A23,'Secondary Capability Links'!$C$2:$C$149,"Done")</f>
        <v>1</v>
      </c>
      <c r="M23" s="32" t="s">
        <v>12639</v>
      </c>
      <c r="N23" s="32" t="s">
        <v>2842</v>
      </c>
    </row>
    <row r="24" spans="1:14" ht="26.1" customHeight="1">
      <c r="A24" s="38" t="s">
        <v>719</v>
      </c>
      <c r="B24" s="38" t="s">
        <v>2851</v>
      </c>
      <c r="C24" s="38" t="s">
        <v>720</v>
      </c>
      <c r="D24" s="38" t="s">
        <v>134</v>
      </c>
      <c r="E24" s="38">
        <f>COUNTIF(Backlog!$AA$2:$AA$188,A24)</f>
        <v>2</v>
      </c>
      <c r="F24" s="38">
        <f>COUNTIFS(Backlog!$AA$2:$AA$188,A24,Backlog!$K$2:$K$188,"Done")</f>
        <v>1</v>
      </c>
      <c r="G24" s="38">
        <f t="shared" si="0"/>
        <v>1</v>
      </c>
      <c r="H24" s="38">
        <f>COUNTIFS(Backlog!$AA$2:$AA$188,A24,Backlog!$B$2:$B$188,"M2")</f>
        <v>1</v>
      </c>
      <c r="I24" s="38">
        <f>COUNTIFS(Backlog!$AA$2:$AA$188,A24,Backlog!$B$2:$B$188,"M3")</f>
        <v>1</v>
      </c>
      <c r="J24" s="38" t="s">
        <v>12640</v>
      </c>
      <c r="K24" s="32">
        <f>COUNTIF('Secondary Capability Links'!$B$2:$B$149,A24)</f>
        <v>3</v>
      </c>
      <c r="L24" s="32">
        <f>COUNTIFS('Secondary Capability Links'!$B$2:$B$149,A24,'Secondary Capability Links'!$C$2:$C$149,"Done")</f>
        <v>1</v>
      </c>
      <c r="M24" s="32" t="s">
        <v>12641</v>
      </c>
      <c r="N24" s="32" t="s">
        <v>2842</v>
      </c>
    </row>
    <row r="25" spans="1:14" ht="26.1" customHeight="1">
      <c r="A25" s="38" t="s">
        <v>683</v>
      </c>
      <c r="B25" s="38" t="s">
        <v>2851</v>
      </c>
      <c r="C25" s="38" t="s">
        <v>684</v>
      </c>
      <c r="D25" s="38" t="s">
        <v>134</v>
      </c>
      <c r="E25" s="38">
        <f>COUNTIF(Backlog!$AA$2:$AA$188,A25)</f>
        <v>3</v>
      </c>
      <c r="F25" s="38">
        <f>COUNTIFS(Backlog!$AA$2:$AA$188,A25,Backlog!$K$2:$K$188,"Done")</f>
        <v>3</v>
      </c>
      <c r="G25" s="38">
        <f t="shared" si="0"/>
        <v>0</v>
      </c>
      <c r="H25" s="38">
        <f>COUNTIFS(Backlog!$AA$2:$AA$188,A25,Backlog!$B$2:$B$188,"M2")</f>
        <v>3</v>
      </c>
      <c r="I25" s="38">
        <f>COUNTIFS(Backlog!$AA$2:$AA$188,A25,Backlog!$B$2:$B$188,"M3")</f>
        <v>0</v>
      </c>
      <c r="J25" s="38" t="s">
        <v>12642</v>
      </c>
      <c r="K25" s="32">
        <f>COUNTIF('Secondary Capability Links'!$B$2:$B$149,A25)</f>
        <v>4</v>
      </c>
      <c r="L25" s="32">
        <f>COUNTIFS('Secondary Capability Links'!$B$2:$B$149,A25,'Secondary Capability Links'!$C$2:$C$149,"Done")</f>
        <v>2</v>
      </c>
      <c r="M25" s="32" t="s">
        <v>12643</v>
      </c>
      <c r="N25" s="32" t="s">
        <v>2842</v>
      </c>
    </row>
    <row r="26" spans="1:14" ht="26.1" customHeight="1">
      <c r="A26" s="38" t="s">
        <v>721</v>
      </c>
      <c r="B26" s="38" t="s">
        <v>2851</v>
      </c>
      <c r="C26" s="38" t="s">
        <v>1453</v>
      </c>
      <c r="D26" s="38" t="s">
        <v>134</v>
      </c>
      <c r="E26" s="38">
        <f>COUNTIF(Backlog!$AA$2:$AA$188,A26)</f>
        <v>2</v>
      </c>
      <c r="F26" s="38">
        <f>COUNTIFS(Backlog!$AA$2:$AA$188,A26,Backlog!$K$2:$K$188,"Done")</f>
        <v>0</v>
      </c>
      <c r="G26" s="38">
        <f t="shared" si="0"/>
        <v>2</v>
      </c>
      <c r="H26" s="38">
        <f>COUNTIFS(Backlog!$AA$2:$AA$188,A26,Backlog!$B$2:$B$188,"M2")</f>
        <v>0</v>
      </c>
      <c r="I26" s="38">
        <f>COUNTIFS(Backlog!$AA$2:$AA$188,A26,Backlog!$B$2:$B$188,"M3")</f>
        <v>2</v>
      </c>
      <c r="J26" s="38" t="s">
        <v>12644</v>
      </c>
      <c r="K26" s="32">
        <f>COUNTIF('Secondary Capability Links'!$B$2:$B$149,A26)</f>
        <v>2</v>
      </c>
      <c r="L26" s="32">
        <f>COUNTIFS('Secondary Capability Links'!$B$2:$B$149,A26,'Secondary Capability Links'!$C$2:$C$149,"Done")</f>
        <v>1</v>
      </c>
      <c r="M26" s="32" t="s">
        <v>12645</v>
      </c>
      <c r="N26" s="32" t="s">
        <v>2842</v>
      </c>
    </row>
    <row r="27" spans="1:14" ht="26.1" customHeight="1">
      <c r="A27" s="38" t="s">
        <v>732</v>
      </c>
      <c r="B27" s="38" t="s">
        <v>2851</v>
      </c>
      <c r="C27" s="38" t="s">
        <v>2854</v>
      </c>
      <c r="D27" s="38" t="s">
        <v>134</v>
      </c>
      <c r="E27" s="38">
        <f>COUNTIF(Backlog!$AA$2:$AA$188,A27)</f>
        <v>2</v>
      </c>
      <c r="F27" s="38">
        <f>COUNTIFS(Backlog!$AA$2:$AA$188,A27,Backlog!$K$2:$K$188,"Done")</f>
        <v>0</v>
      </c>
      <c r="G27" s="38">
        <f t="shared" si="0"/>
        <v>2</v>
      </c>
      <c r="H27" s="38">
        <f>COUNTIFS(Backlog!$AA$2:$AA$188,A27,Backlog!$B$2:$B$188,"M2")</f>
        <v>1</v>
      </c>
      <c r="I27" s="38">
        <f>COUNTIFS(Backlog!$AA$2:$AA$188,A27,Backlog!$B$2:$B$188,"M3")</f>
        <v>1</v>
      </c>
      <c r="J27" s="38" t="s">
        <v>2753</v>
      </c>
      <c r="K27" s="32">
        <f>COUNTIF('Secondary Capability Links'!$B$2:$B$149,A27)</f>
        <v>2</v>
      </c>
      <c r="L27" s="32">
        <f>COUNTIFS('Secondary Capability Links'!$B$2:$B$149,A27,'Secondary Capability Links'!$C$2:$C$149,"Done")</f>
        <v>0</v>
      </c>
      <c r="M27" s="32" t="s">
        <v>12646</v>
      </c>
      <c r="N27" s="32" t="s">
        <v>2842</v>
      </c>
    </row>
    <row r="28" spans="1:14" ht="26.1" customHeight="1">
      <c r="A28" s="38" t="s">
        <v>207</v>
      </c>
      <c r="B28" s="38" t="s">
        <v>2851</v>
      </c>
      <c r="C28" s="38" t="s">
        <v>208</v>
      </c>
      <c r="D28" s="38" t="s">
        <v>134</v>
      </c>
      <c r="E28" s="38">
        <f>COUNTIF(Backlog!$AA$2:$AA$188,A28)</f>
        <v>1</v>
      </c>
      <c r="F28" s="38">
        <f>COUNTIFS(Backlog!$AA$2:$AA$188,A28,Backlog!$K$2:$K$188,"Done")</f>
        <v>1</v>
      </c>
      <c r="G28" s="38">
        <f t="shared" si="0"/>
        <v>0</v>
      </c>
      <c r="H28" s="38">
        <f>COUNTIFS(Backlog!$AA$2:$AA$188,A28,Backlog!$B$2:$B$188,"M2")</f>
        <v>1</v>
      </c>
      <c r="I28" s="38">
        <f>COUNTIFS(Backlog!$AA$2:$AA$188,A28,Backlog!$B$2:$B$188,"M3")</f>
        <v>0</v>
      </c>
      <c r="J28" s="38" t="s">
        <v>199</v>
      </c>
      <c r="K28" s="32">
        <f>COUNTIF('Secondary Capability Links'!$B$2:$B$149,A28)</f>
        <v>2</v>
      </c>
      <c r="L28" s="32">
        <f>COUNTIFS('Secondary Capability Links'!$B$2:$B$149,A28,'Secondary Capability Links'!$C$2:$C$149,"Done")</f>
        <v>0</v>
      </c>
      <c r="M28" s="32" t="s">
        <v>12644</v>
      </c>
      <c r="N28" s="32" t="s">
        <v>2842</v>
      </c>
    </row>
    <row r="29" spans="1:14" ht="26.1" customHeight="1">
      <c r="A29" s="38" t="s">
        <v>905</v>
      </c>
      <c r="B29" s="38" t="s">
        <v>2855</v>
      </c>
      <c r="C29" s="38" t="s">
        <v>906</v>
      </c>
      <c r="D29" s="38" t="s">
        <v>134</v>
      </c>
      <c r="E29" s="38">
        <f>COUNTIF(Backlog!$AA$2:$AA$188,A29)</f>
        <v>3</v>
      </c>
      <c r="F29" s="38">
        <f>COUNTIFS(Backlog!$AA$2:$AA$188,A29,Backlog!$K$2:$K$188,"Done")</f>
        <v>1</v>
      </c>
      <c r="G29" s="38">
        <f t="shared" si="0"/>
        <v>2</v>
      </c>
      <c r="H29" s="38">
        <f>COUNTIFS(Backlog!$AA$2:$AA$188,A29,Backlog!$B$2:$B$188,"M2")</f>
        <v>1</v>
      </c>
      <c r="I29" s="38">
        <f>COUNTIFS(Backlog!$AA$2:$AA$188,A29,Backlog!$B$2:$B$188,"M3")</f>
        <v>2</v>
      </c>
      <c r="J29" s="38" t="s">
        <v>12647</v>
      </c>
      <c r="K29" s="32">
        <f>COUNTIF('Secondary Capability Links'!$B$2:$B$149,A29)</f>
        <v>1</v>
      </c>
      <c r="L29" s="32">
        <f>COUNTIFS('Secondary Capability Links'!$B$2:$B$149,A29,'Secondary Capability Links'!$C$2:$C$149,"Done")</f>
        <v>0</v>
      </c>
      <c r="M29" s="32" t="s">
        <v>1669</v>
      </c>
      <c r="N29" s="32" t="s">
        <v>2842</v>
      </c>
    </row>
    <row r="30" spans="1:14" ht="26.1" customHeight="1">
      <c r="A30" s="38" t="s">
        <v>333</v>
      </c>
      <c r="B30" s="38" t="s">
        <v>2855</v>
      </c>
      <c r="C30" s="38" t="s">
        <v>950</v>
      </c>
      <c r="D30" s="38" t="s">
        <v>134</v>
      </c>
      <c r="E30" s="38">
        <f>COUNTIF(Backlog!$AA$2:$AA$188,A30)</f>
        <v>3</v>
      </c>
      <c r="F30" s="38">
        <f>COUNTIFS(Backlog!$AA$2:$AA$188,A30,Backlog!$K$2:$K$188,"Done")</f>
        <v>1</v>
      </c>
      <c r="G30" s="38">
        <f t="shared" si="0"/>
        <v>2</v>
      </c>
      <c r="H30" s="38">
        <f>COUNTIFS(Backlog!$AA$2:$AA$188,A30,Backlog!$B$2:$B$188,"M2")</f>
        <v>2</v>
      </c>
      <c r="I30" s="38">
        <f>COUNTIFS(Backlog!$AA$2:$AA$188,A30,Backlog!$B$2:$B$188,"M3")</f>
        <v>1</v>
      </c>
      <c r="J30" s="38" t="s">
        <v>12648</v>
      </c>
      <c r="K30" s="32">
        <f>COUNTIF('Secondary Capability Links'!$B$2:$B$149,A30)</f>
        <v>7</v>
      </c>
      <c r="L30" s="32">
        <f>COUNTIFS('Secondary Capability Links'!$B$2:$B$149,A30,'Secondary Capability Links'!$C$2:$C$149,"Done")</f>
        <v>2</v>
      </c>
      <c r="M30" s="32" t="s">
        <v>12649</v>
      </c>
      <c r="N30" s="32" t="s">
        <v>2842</v>
      </c>
    </row>
    <row r="31" spans="1:14" ht="26.1" customHeight="1">
      <c r="A31" s="38" t="s">
        <v>566</v>
      </c>
      <c r="B31" s="38" t="s">
        <v>2855</v>
      </c>
      <c r="C31" s="38" t="s">
        <v>890</v>
      </c>
      <c r="D31" s="38" t="s">
        <v>134</v>
      </c>
      <c r="E31" s="38">
        <f>COUNTIF(Backlog!$AA$2:$AA$188,A31)</f>
        <v>5</v>
      </c>
      <c r="F31" s="38">
        <f>COUNTIFS(Backlog!$AA$2:$AA$188,A31,Backlog!$K$2:$K$188,"Done")</f>
        <v>2</v>
      </c>
      <c r="G31" s="38">
        <f t="shared" si="0"/>
        <v>3</v>
      </c>
      <c r="H31" s="38">
        <f>COUNTIFS(Backlog!$AA$2:$AA$188,A31,Backlog!$B$2:$B$188,"M2")</f>
        <v>2</v>
      </c>
      <c r="I31" s="38">
        <f>COUNTIFS(Backlog!$AA$2:$AA$188,A31,Backlog!$B$2:$B$188,"M3")</f>
        <v>3</v>
      </c>
      <c r="J31" s="38" t="s">
        <v>12650</v>
      </c>
      <c r="K31" s="32">
        <f>COUNTIF('Secondary Capability Links'!$B$2:$B$149,A31)</f>
        <v>2</v>
      </c>
      <c r="L31" s="32">
        <f>COUNTIFS('Secondary Capability Links'!$B$2:$B$149,A31,'Secondary Capability Links'!$C$2:$C$149,"Done")</f>
        <v>0</v>
      </c>
      <c r="M31" s="32" t="s">
        <v>12651</v>
      </c>
      <c r="N31" s="32" t="s">
        <v>2842</v>
      </c>
    </row>
    <row r="32" spans="1:14" ht="26.1" customHeight="1">
      <c r="A32" s="38" t="s">
        <v>881</v>
      </c>
      <c r="B32" s="38" t="s">
        <v>2855</v>
      </c>
      <c r="C32" s="38" t="s">
        <v>882</v>
      </c>
      <c r="D32" s="38" t="s">
        <v>134</v>
      </c>
      <c r="E32" s="38">
        <f>COUNTIF(Backlog!$AA$2:$AA$188,A32)</f>
        <v>5</v>
      </c>
      <c r="F32" s="38">
        <f>COUNTIFS(Backlog!$AA$2:$AA$188,A32,Backlog!$K$2:$K$188,"Done")</f>
        <v>4</v>
      </c>
      <c r="G32" s="38">
        <f t="shared" si="0"/>
        <v>1</v>
      </c>
      <c r="H32" s="38">
        <f>COUNTIFS(Backlog!$AA$2:$AA$188,A32,Backlog!$B$2:$B$188,"M2")</f>
        <v>4</v>
      </c>
      <c r="I32" s="38">
        <f>COUNTIFS(Backlog!$AA$2:$AA$188,A32,Backlog!$B$2:$B$188,"M3")</f>
        <v>1</v>
      </c>
      <c r="J32" s="38" t="s">
        <v>12652</v>
      </c>
      <c r="K32" s="32">
        <f>COUNTIF('Secondary Capability Links'!$B$2:$B$149,A32)</f>
        <v>2</v>
      </c>
      <c r="L32" s="32">
        <f>COUNTIFS('Secondary Capability Links'!$B$2:$B$149,A32,'Secondary Capability Links'!$C$2:$C$149,"Done")</f>
        <v>0</v>
      </c>
      <c r="M32" s="32" t="s">
        <v>12653</v>
      </c>
      <c r="N32" s="32" t="s">
        <v>2842</v>
      </c>
    </row>
    <row r="33" spans="1:14" ht="26.1" customHeight="1">
      <c r="A33" s="38" t="s">
        <v>921</v>
      </c>
      <c r="B33" s="38" t="s">
        <v>2855</v>
      </c>
      <c r="C33" s="38" t="s">
        <v>922</v>
      </c>
      <c r="D33" s="38" t="s">
        <v>134</v>
      </c>
      <c r="E33" s="38">
        <f>COUNTIF(Backlog!$AA$2:$AA$188,A33)</f>
        <v>1</v>
      </c>
      <c r="F33" s="38">
        <f>COUNTIFS(Backlog!$AA$2:$AA$188,A33,Backlog!$K$2:$K$188,"Done")</f>
        <v>1</v>
      </c>
      <c r="G33" s="38">
        <f t="shared" si="0"/>
        <v>0</v>
      </c>
      <c r="H33" s="38">
        <f>COUNTIFS(Backlog!$AA$2:$AA$188,A33,Backlog!$B$2:$B$188,"M2")</f>
        <v>1</v>
      </c>
      <c r="I33" s="38">
        <f>COUNTIFS(Backlog!$AA$2:$AA$188,A33,Backlog!$B$2:$B$188,"M3")</f>
        <v>0</v>
      </c>
      <c r="J33" s="38" t="s">
        <v>914</v>
      </c>
      <c r="K33" s="32">
        <f>COUNTIF('Secondary Capability Links'!$B$2:$B$149,A33)</f>
        <v>3</v>
      </c>
      <c r="L33" s="32">
        <f>COUNTIFS('Secondary Capability Links'!$B$2:$B$149,A33,'Secondary Capability Links'!$C$2:$C$149,"Done")</f>
        <v>2</v>
      </c>
      <c r="M33" s="32" t="s">
        <v>12654</v>
      </c>
      <c r="N33" s="32" t="s">
        <v>2842</v>
      </c>
    </row>
    <row r="34" spans="1:14" ht="26.1" customHeight="1">
      <c r="A34" s="38" t="s">
        <v>1501</v>
      </c>
      <c r="B34" s="38" t="s">
        <v>2855</v>
      </c>
      <c r="C34" s="38" t="s">
        <v>1502</v>
      </c>
      <c r="D34" s="38" t="s">
        <v>134</v>
      </c>
      <c r="E34" s="38">
        <f>COUNTIF(Backlog!$AA$2:$AA$188,A34)</f>
        <v>7</v>
      </c>
      <c r="F34" s="38">
        <f>COUNTIFS(Backlog!$AA$2:$AA$188,A34,Backlog!$K$2:$K$188,"Done")</f>
        <v>0</v>
      </c>
      <c r="G34" s="38">
        <f t="shared" si="0"/>
        <v>7</v>
      </c>
      <c r="H34" s="38">
        <f>COUNTIFS(Backlog!$AA$2:$AA$188,A34,Backlog!$B$2:$B$188,"M2")</f>
        <v>0</v>
      </c>
      <c r="I34" s="38">
        <f>COUNTIFS(Backlog!$AA$2:$AA$188,A34,Backlog!$B$2:$B$188,"M3")</f>
        <v>7</v>
      </c>
      <c r="J34" s="38" t="s">
        <v>12655</v>
      </c>
      <c r="K34" s="32">
        <f>COUNTIF('Secondary Capability Links'!$B$2:$B$149,A34)</f>
        <v>1</v>
      </c>
      <c r="L34" s="32">
        <f>COUNTIFS('Secondary Capability Links'!$B$2:$B$149,A34,'Secondary Capability Links'!$C$2:$C$149,"Done")</f>
        <v>0</v>
      </c>
      <c r="M34" s="32" t="s">
        <v>1766</v>
      </c>
      <c r="N34" s="32" t="s">
        <v>2842</v>
      </c>
    </row>
    <row r="35" spans="1:14" ht="26.1" customHeight="1">
      <c r="A35" s="38" t="s">
        <v>958</v>
      </c>
      <c r="B35" s="38" t="s">
        <v>2855</v>
      </c>
      <c r="C35" s="38" t="s">
        <v>959</v>
      </c>
      <c r="D35" s="38" t="s">
        <v>134</v>
      </c>
      <c r="E35" s="38">
        <f>COUNTIF(Backlog!$AA$2:$AA$188,A35)</f>
        <v>8</v>
      </c>
      <c r="F35" s="38">
        <f>COUNTIFS(Backlog!$AA$2:$AA$188,A35,Backlog!$K$2:$K$188,"Done")</f>
        <v>1</v>
      </c>
      <c r="G35" s="38">
        <f t="shared" si="0"/>
        <v>7</v>
      </c>
      <c r="H35" s="38">
        <f>COUNTIFS(Backlog!$AA$2:$AA$188,A35,Backlog!$B$2:$B$188,"M2")</f>
        <v>1</v>
      </c>
      <c r="I35" s="38">
        <f>COUNTIFS(Backlog!$AA$2:$AA$188,A35,Backlog!$B$2:$B$188,"M3")</f>
        <v>7</v>
      </c>
      <c r="J35" s="38" t="s">
        <v>12656</v>
      </c>
      <c r="K35" s="32">
        <f>COUNTIF('Secondary Capability Links'!$B$2:$B$149,A35)</f>
        <v>2</v>
      </c>
      <c r="L35" s="32">
        <f>COUNTIFS('Secondary Capability Links'!$B$2:$B$149,A35,'Secondary Capability Links'!$C$2:$C$149,"Done")</f>
        <v>0</v>
      </c>
      <c r="M35" s="32" t="s">
        <v>12657</v>
      </c>
      <c r="N35" s="32" t="s">
        <v>2842</v>
      </c>
    </row>
    <row r="36" spans="1:14" ht="26.1" customHeight="1">
      <c r="A36" s="38" t="s">
        <v>872</v>
      </c>
      <c r="B36" s="38" t="s">
        <v>2855</v>
      </c>
      <c r="C36" s="38" t="s">
        <v>873</v>
      </c>
      <c r="D36" s="38" t="s">
        <v>134</v>
      </c>
      <c r="E36" s="38">
        <f>COUNTIF(Backlog!$AA$2:$AA$188,A36)</f>
        <v>4</v>
      </c>
      <c r="F36" s="38">
        <f>COUNTIFS(Backlog!$AA$2:$AA$188,A36,Backlog!$K$2:$K$188,"Done")</f>
        <v>2</v>
      </c>
      <c r="G36" s="38">
        <f t="shared" ref="G36:G67" si="1">E36-F36</f>
        <v>2</v>
      </c>
      <c r="H36" s="38">
        <f>COUNTIFS(Backlog!$AA$2:$AA$188,A36,Backlog!$B$2:$B$188,"M2")</f>
        <v>2</v>
      </c>
      <c r="I36" s="38">
        <f>COUNTIFS(Backlog!$AA$2:$AA$188,A36,Backlog!$B$2:$B$188,"M3")</f>
        <v>2</v>
      </c>
      <c r="J36" s="38" t="s">
        <v>12658</v>
      </c>
      <c r="K36" s="32">
        <f>COUNTIF('Secondary Capability Links'!$B$2:$B$149,A36)</f>
        <v>5</v>
      </c>
      <c r="L36" s="32">
        <f>COUNTIFS('Secondary Capability Links'!$B$2:$B$149,A36,'Secondary Capability Links'!$C$2:$C$149,"Done")</f>
        <v>1</v>
      </c>
      <c r="M36" s="32" t="s">
        <v>12659</v>
      </c>
      <c r="N36" s="32" t="s">
        <v>2842</v>
      </c>
    </row>
    <row r="37" spans="1:14" ht="26.1" customHeight="1">
      <c r="A37" s="38" t="s">
        <v>209</v>
      </c>
      <c r="B37" s="38" t="s">
        <v>2856</v>
      </c>
      <c r="C37" s="38" t="s">
        <v>218</v>
      </c>
      <c r="D37" s="38" t="s">
        <v>134</v>
      </c>
      <c r="E37" s="38">
        <f>COUNTIF(Backlog!$AA$2:$AA$188,A37)</f>
        <v>4</v>
      </c>
      <c r="F37" s="38">
        <f>COUNTIFS(Backlog!$AA$2:$AA$188,A37,Backlog!$K$2:$K$188,"Done")</f>
        <v>3</v>
      </c>
      <c r="G37" s="38">
        <f t="shared" si="1"/>
        <v>1</v>
      </c>
      <c r="H37" s="38">
        <f>COUNTIFS(Backlog!$AA$2:$AA$188,A37,Backlog!$B$2:$B$188,"M2")</f>
        <v>4</v>
      </c>
      <c r="I37" s="38">
        <f>COUNTIFS(Backlog!$AA$2:$AA$188,A37,Backlog!$B$2:$B$188,"M3")</f>
        <v>0</v>
      </c>
      <c r="J37" s="38" t="s">
        <v>12660</v>
      </c>
      <c r="K37" s="32">
        <f>COUNTIF('Secondary Capability Links'!$B$2:$B$149,A37)</f>
        <v>2</v>
      </c>
      <c r="L37" s="32">
        <f>COUNTIFS('Secondary Capability Links'!$B$2:$B$149,A37,'Secondary Capability Links'!$C$2:$C$149,"Done")</f>
        <v>2</v>
      </c>
      <c r="M37" s="32" t="s">
        <v>12661</v>
      </c>
      <c r="N37" s="32" t="s">
        <v>2842</v>
      </c>
    </row>
    <row r="38" spans="1:14" ht="26.1" customHeight="1">
      <c r="A38" s="38" t="s">
        <v>437</v>
      </c>
      <c r="B38" s="38" t="s">
        <v>2856</v>
      </c>
      <c r="C38" s="38" t="s">
        <v>438</v>
      </c>
      <c r="D38" s="38" t="s">
        <v>134</v>
      </c>
      <c r="E38" s="38">
        <f>COUNTIF(Backlog!$AA$2:$AA$188,A38)</f>
        <v>5</v>
      </c>
      <c r="F38" s="38">
        <f>COUNTIFS(Backlog!$AA$2:$AA$188,A38,Backlog!$K$2:$K$188,"Done")</f>
        <v>3</v>
      </c>
      <c r="G38" s="38">
        <f t="shared" si="1"/>
        <v>2</v>
      </c>
      <c r="H38" s="38">
        <f>COUNTIFS(Backlog!$AA$2:$AA$188,A38,Backlog!$B$2:$B$188,"M2")</f>
        <v>4</v>
      </c>
      <c r="I38" s="38">
        <f>COUNTIFS(Backlog!$AA$2:$AA$188,A38,Backlog!$B$2:$B$188,"M3")</f>
        <v>1</v>
      </c>
      <c r="J38" s="38" t="s">
        <v>12662</v>
      </c>
      <c r="K38" s="32">
        <f>COUNTIF('Secondary Capability Links'!$B$2:$B$149,A38)</f>
        <v>1</v>
      </c>
      <c r="L38" s="32">
        <f>COUNTIFS('Secondary Capability Links'!$B$2:$B$149,A38,'Secondary Capability Links'!$C$2:$C$149,"Done")</f>
        <v>0</v>
      </c>
      <c r="M38" s="32" t="s">
        <v>1791</v>
      </c>
      <c r="N38" s="32" t="s">
        <v>2842</v>
      </c>
    </row>
    <row r="39" spans="1:14" ht="26.1" customHeight="1">
      <c r="A39" s="38" t="s">
        <v>227</v>
      </c>
      <c r="B39" s="38" t="s">
        <v>2856</v>
      </c>
      <c r="C39" s="38" t="s">
        <v>320</v>
      </c>
      <c r="D39" s="38" t="s">
        <v>134</v>
      </c>
      <c r="E39" s="38">
        <f>COUNTIF(Backlog!$AA$2:$AA$188,A39)</f>
        <v>4</v>
      </c>
      <c r="F39" s="38">
        <f>COUNTIFS(Backlog!$AA$2:$AA$188,A39,Backlog!$K$2:$K$188,"Done")</f>
        <v>3</v>
      </c>
      <c r="G39" s="38">
        <f t="shared" si="1"/>
        <v>1</v>
      </c>
      <c r="H39" s="38">
        <f>COUNTIFS(Backlog!$AA$2:$AA$188,A39,Backlog!$B$2:$B$188,"M2")</f>
        <v>3</v>
      </c>
      <c r="I39" s="38">
        <f>COUNTIFS(Backlog!$AA$2:$AA$188,A39,Backlog!$B$2:$B$188,"M3")</f>
        <v>1</v>
      </c>
      <c r="J39" s="38" t="s">
        <v>12663</v>
      </c>
      <c r="K39" s="32">
        <f>COUNTIF('Secondary Capability Links'!$B$2:$B$149,A39)</f>
        <v>3</v>
      </c>
      <c r="L39" s="32">
        <f>COUNTIFS('Secondary Capability Links'!$B$2:$B$149,A39,'Secondary Capability Links'!$C$2:$C$149,"Done")</f>
        <v>1</v>
      </c>
      <c r="M39" s="32" t="s">
        <v>12664</v>
      </c>
      <c r="N39" s="32" t="s">
        <v>2842</v>
      </c>
    </row>
    <row r="40" spans="1:14" ht="26.1" customHeight="1">
      <c r="A40" s="38" t="s">
        <v>669</v>
      </c>
      <c r="B40" s="38" t="s">
        <v>2856</v>
      </c>
      <c r="C40" s="38" t="s">
        <v>670</v>
      </c>
      <c r="D40" s="38" t="s">
        <v>134</v>
      </c>
      <c r="E40" s="38">
        <f>COUNTIF(Backlog!$AA$2:$AA$188,A40)</f>
        <v>3</v>
      </c>
      <c r="F40" s="38">
        <f>COUNTIFS(Backlog!$AA$2:$AA$188,A40,Backlog!$K$2:$K$188,"Done")</f>
        <v>2</v>
      </c>
      <c r="G40" s="38">
        <f t="shared" si="1"/>
        <v>1</v>
      </c>
      <c r="H40" s="38">
        <f>COUNTIFS(Backlog!$AA$2:$AA$188,A40,Backlog!$B$2:$B$188,"M2")</f>
        <v>3</v>
      </c>
      <c r="I40" s="38">
        <f>COUNTIFS(Backlog!$AA$2:$AA$188,A40,Backlog!$B$2:$B$188,"M3")</f>
        <v>0</v>
      </c>
      <c r="J40" s="38" t="s">
        <v>12665</v>
      </c>
      <c r="K40" s="32">
        <f>COUNTIF('Secondary Capability Links'!$B$2:$B$149,A40)</f>
        <v>0</v>
      </c>
      <c r="L40" s="32">
        <f>COUNTIFS('Secondary Capability Links'!$B$2:$B$149,A40,'Secondary Capability Links'!$C$2:$C$149,"Done")</f>
        <v>0</v>
      </c>
      <c r="M40" s="32"/>
      <c r="N40" s="32" t="s">
        <v>2842</v>
      </c>
    </row>
    <row r="41" spans="1:14" ht="26.1" customHeight="1">
      <c r="A41" s="38" t="s">
        <v>345</v>
      </c>
      <c r="B41" s="38" t="s">
        <v>2856</v>
      </c>
      <c r="C41" s="38" t="s">
        <v>1020</v>
      </c>
      <c r="D41" s="38" t="s">
        <v>134</v>
      </c>
      <c r="E41" s="38">
        <f>COUNTIF(Backlog!$AA$2:$AA$188,A41)</f>
        <v>4</v>
      </c>
      <c r="F41" s="38">
        <f>COUNTIFS(Backlog!$AA$2:$AA$188,A41,Backlog!$K$2:$K$188,"Done")</f>
        <v>2</v>
      </c>
      <c r="G41" s="38">
        <f t="shared" si="1"/>
        <v>2</v>
      </c>
      <c r="H41" s="38">
        <f>COUNTIFS(Backlog!$AA$2:$AA$188,A41,Backlog!$B$2:$B$188,"M2")</f>
        <v>2</v>
      </c>
      <c r="I41" s="38">
        <f>COUNTIFS(Backlog!$AA$2:$AA$188,A41,Backlog!$B$2:$B$188,"M3")</f>
        <v>2</v>
      </c>
      <c r="J41" s="38" t="s">
        <v>12666</v>
      </c>
      <c r="K41" s="32">
        <f>COUNTIF('Secondary Capability Links'!$B$2:$B$149,A41)</f>
        <v>4</v>
      </c>
      <c r="L41" s="32">
        <f>COUNTIFS('Secondary Capability Links'!$B$2:$B$149,A41,'Secondary Capability Links'!$C$2:$C$149,"Done")</f>
        <v>1</v>
      </c>
      <c r="M41" s="32" t="s">
        <v>12667</v>
      </c>
      <c r="N41" s="32" t="s">
        <v>2842</v>
      </c>
    </row>
    <row r="42" spans="1:14" ht="26.1" customHeight="1">
      <c r="A42" s="38" t="s">
        <v>178</v>
      </c>
      <c r="B42" s="38" t="s">
        <v>2856</v>
      </c>
      <c r="C42" s="38" t="s">
        <v>190</v>
      </c>
      <c r="D42" s="38" t="s">
        <v>134</v>
      </c>
      <c r="E42" s="38">
        <f>COUNTIF(Backlog!$AA$2:$AA$188,A42)</f>
        <v>2</v>
      </c>
      <c r="F42" s="38">
        <f>COUNTIFS(Backlog!$AA$2:$AA$188,A42,Backlog!$K$2:$K$188,"Done")</f>
        <v>2</v>
      </c>
      <c r="G42" s="38">
        <f t="shared" si="1"/>
        <v>0</v>
      </c>
      <c r="H42" s="38">
        <f>COUNTIFS(Backlog!$AA$2:$AA$188,A42,Backlog!$B$2:$B$188,"M2")</f>
        <v>2</v>
      </c>
      <c r="I42" s="38">
        <f>COUNTIFS(Backlog!$AA$2:$AA$188,A42,Backlog!$B$2:$B$188,"M3")</f>
        <v>0</v>
      </c>
      <c r="J42" s="38" t="s">
        <v>12668</v>
      </c>
      <c r="K42" s="32">
        <f>COUNTIF('Secondary Capability Links'!$B$2:$B$149,A42)</f>
        <v>1</v>
      </c>
      <c r="L42" s="32">
        <f>COUNTIFS('Secondary Capability Links'!$B$2:$B$149,A42,'Secondary Capability Links'!$C$2:$C$149,"Done")</f>
        <v>1</v>
      </c>
      <c r="M42" s="32" t="s">
        <v>12669</v>
      </c>
      <c r="N42" s="32" t="s">
        <v>2842</v>
      </c>
    </row>
    <row r="43" spans="1:14" ht="26.1" customHeight="1">
      <c r="A43" s="38" t="s">
        <v>155</v>
      </c>
      <c r="B43" s="38" t="s">
        <v>2856</v>
      </c>
      <c r="C43" s="38" t="s">
        <v>379</v>
      </c>
      <c r="D43" s="38" t="s">
        <v>134</v>
      </c>
      <c r="E43" s="38">
        <f>COUNTIF(Backlog!$AA$2:$AA$188,A43)</f>
        <v>1</v>
      </c>
      <c r="F43" s="38">
        <f>COUNTIFS(Backlog!$AA$2:$AA$188,A43,Backlog!$K$2:$K$188,"Done")</f>
        <v>1</v>
      </c>
      <c r="G43" s="38">
        <f t="shared" si="1"/>
        <v>0</v>
      </c>
      <c r="H43" s="38">
        <f>COUNTIFS(Backlog!$AA$2:$AA$188,A43,Backlog!$B$2:$B$188,"M2")</f>
        <v>1</v>
      </c>
      <c r="I43" s="38">
        <f>COUNTIFS(Backlog!$AA$2:$AA$188,A43,Backlog!$B$2:$B$188,"M3")</f>
        <v>0</v>
      </c>
      <c r="J43" s="38" t="s">
        <v>368</v>
      </c>
      <c r="K43" s="32">
        <f>COUNTIF('Secondary Capability Links'!$B$2:$B$149,A43)</f>
        <v>4</v>
      </c>
      <c r="L43" s="32">
        <f>COUNTIFS('Secondary Capability Links'!$B$2:$B$149,A43,'Secondary Capability Links'!$C$2:$C$149,"Done")</f>
        <v>4</v>
      </c>
      <c r="M43" s="32" t="s">
        <v>12670</v>
      </c>
      <c r="N43" s="32" t="s">
        <v>2842</v>
      </c>
    </row>
    <row r="44" spans="1:14" ht="26.1" customHeight="1">
      <c r="A44" s="38" t="s">
        <v>981</v>
      </c>
      <c r="B44" s="38" t="s">
        <v>2856</v>
      </c>
      <c r="C44" s="38" t="s">
        <v>1045</v>
      </c>
      <c r="D44" s="38" t="s">
        <v>134</v>
      </c>
      <c r="E44" s="38">
        <f>COUNTIF(Backlog!$AA$2:$AA$188,A44)</f>
        <v>2</v>
      </c>
      <c r="F44" s="38">
        <f>COUNTIFS(Backlog!$AA$2:$AA$188,A44,Backlog!$K$2:$K$188,"Done")</f>
        <v>1</v>
      </c>
      <c r="G44" s="38">
        <f t="shared" si="1"/>
        <v>1</v>
      </c>
      <c r="H44" s="38">
        <f>COUNTIFS(Backlog!$AA$2:$AA$188,A44,Backlog!$B$2:$B$188,"M2")</f>
        <v>1</v>
      </c>
      <c r="I44" s="38">
        <f>COUNTIFS(Backlog!$AA$2:$AA$188,A44,Backlog!$B$2:$B$188,"M3")</f>
        <v>1</v>
      </c>
      <c r="J44" s="38" t="s">
        <v>12671</v>
      </c>
      <c r="K44" s="32">
        <f>COUNTIF('Secondary Capability Links'!$B$2:$B$149,A44)</f>
        <v>2</v>
      </c>
      <c r="L44" s="32">
        <f>COUNTIFS('Secondary Capability Links'!$B$2:$B$149,A44,'Secondary Capability Links'!$C$2:$C$149,"Done")</f>
        <v>1</v>
      </c>
      <c r="M44" s="32" t="s">
        <v>12672</v>
      </c>
      <c r="N44" s="32" t="s">
        <v>2842</v>
      </c>
    </row>
    <row r="45" spans="1:14" ht="26.1" customHeight="1">
      <c r="A45" s="38" t="s">
        <v>2857</v>
      </c>
      <c r="B45" s="38" t="s">
        <v>2858</v>
      </c>
      <c r="C45" s="38" t="s">
        <v>2859</v>
      </c>
      <c r="D45" s="38" t="s">
        <v>134</v>
      </c>
      <c r="E45" s="38">
        <f>COUNTIF(Backlog!$AA$2:$AA$188,A45)</f>
        <v>0</v>
      </c>
      <c r="F45" s="38">
        <f>COUNTIFS(Backlog!$AA$2:$AA$188,A45,Backlog!$K$2:$K$188,"Done")</f>
        <v>0</v>
      </c>
      <c r="G45" s="38">
        <f t="shared" si="1"/>
        <v>0</v>
      </c>
      <c r="H45" s="38">
        <f>COUNTIFS(Backlog!$AA$2:$AA$188,A45,Backlog!$B$2:$B$188,"M2")</f>
        <v>0</v>
      </c>
      <c r="I45" s="38">
        <f>COUNTIFS(Backlog!$AA$2:$AA$188,A45,Backlog!$B$2:$B$188,"M3")</f>
        <v>0</v>
      </c>
      <c r="J45" s="38"/>
      <c r="K45" s="32">
        <f>COUNTIF('Secondary Capability Links'!$B$2:$B$149,A45)</f>
        <v>1</v>
      </c>
      <c r="L45" s="32">
        <f>COUNTIFS('Secondary Capability Links'!$B$2:$B$149,A45,'Secondary Capability Links'!$C$2:$C$149,"Done")</f>
        <v>0</v>
      </c>
      <c r="M45" s="32" t="s">
        <v>1791</v>
      </c>
      <c r="N45" s="32" t="s">
        <v>2842</v>
      </c>
    </row>
    <row r="46" spans="1:14" ht="26.1" customHeight="1">
      <c r="A46" s="38" t="s">
        <v>967</v>
      </c>
      <c r="B46" s="38" t="s">
        <v>2858</v>
      </c>
      <c r="C46" s="38" t="s">
        <v>968</v>
      </c>
      <c r="D46" s="38" t="s">
        <v>134</v>
      </c>
      <c r="E46" s="38">
        <f>COUNTIF(Backlog!$AA$2:$AA$188,A46)</f>
        <v>5</v>
      </c>
      <c r="F46" s="38">
        <f>COUNTIFS(Backlog!$AA$2:$AA$188,A46,Backlog!$K$2:$K$188,"Done")</f>
        <v>3</v>
      </c>
      <c r="G46" s="38">
        <f t="shared" si="1"/>
        <v>2</v>
      </c>
      <c r="H46" s="38">
        <f>COUNTIFS(Backlog!$AA$2:$AA$188,A46,Backlog!$B$2:$B$188,"M2")</f>
        <v>4</v>
      </c>
      <c r="I46" s="38">
        <f>COUNTIFS(Backlog!$AA$2:$AA$188,A46,Backlog!$B$2:$B$188,"M3")</f>
        <v>1</v>
      </c>
      <c r="J46" s="38" t="s">
        <v>12673</v>
      </c>
      <c r="K46" s="32">
        <f>COUNTIF('Secondary Capability Links'!$B$2:$B$149,A46)</f>
        <v>1</v>
      </c>
      <c r="L46" s="32">
        <f>COUNTIFS('Secondary Capability Links'!$B$2:$B$149,A46,'Secondary Capability Links'!$C$2:$C$149,"Done")</f>
        <v>0</v>
      </c>
      <c r="M46" s="32" t="s">
        <v>1743</v>
      </c>
      <c r="N46" s="32" t="s">
        <v>2842</v>
      </c>
    </row>
    <row r="47" spans="1:14" ht="26.1" customHeight="1">
      <c r="A47" s="38" t="s">
        <v>1716</v>
      </c>
      <c r="B47" s="38" t="s">
        <v>2858</v>
      </c>
      <c r="C47" s="38" t="s">
        <v>1717</v>
      </c>
      <c r="D47" s="38" t="s">
        <v>134</v>
      </c>
      <c r="E47" s="38">
        <f>COUNTIF(Backlog!$AA$2:$AA$188,A47)</f>
        <v>1</v>
      </c>
      <c r="F47" s="38">
        <f>COUNTIFS(Backlog!$AA$2:$AA$188,A47,Backlog!$K$2:$K$188,"Done")</f>
        <v>0</v>
      </c>
      <c r="G47" s="38">
        <f t="shared" si="1"/>
        <v>1</v>
      </c>
      <c r="H47" s="38">
        <f>COUNTIFS(Backlog!$AA$2:$AA$188,A47,Backlog!$B$2:$B$188,"M2")</f>
        <v>0</v>
      </c>
      <c r="I47" s="38">
        <f>COUNTIFS(Backlog!$AA$2:$AA$188,A47,Backlog!$B$2:$B$188,"M3")</f>
        <v>1</v>
      </c>
      <c r="J47" s="38" t="s">
        <v>1710</v>
      </c>
      <c r="K47" s="32">
        <f>COUNTIF('Secondary Capability Links'!$B$2:$B$149,A47)</f>
        <v>0</v>
      </c>
      <c r="L47" s="32">
        <f>COUNTIFS('Secondary Capability Links'!$B$2:$B$149,A47,'Secondary Capability Links'!$C$2:$C$149,"Done")</f>
        <v>0</v>
      </c>
      <c r="M47" s="32"/>
      <c r="N47" s="32" t="s">
        <v>2842</v>
      </c>
    </row>
    <row r="48" spans="1:14" ht="26.1" customHeight="1">
      <c r="A48" s="38" t="s">
        <v>1365</v>
      </c>
      <c r="B48" s="38" t="s">
        <v>2858</v>
      </c>
      <c r="C48" s="38" t="s">
        <v>1366</v>
      </c>
      <c r="D48" s="38" t="s">
        <v>134</v>
      </c>
      <c r="E48" s="38">
        <f>COUNTIF(Backlog!$AA$2:$AA$188,A48)</f>
        <v>1</v>
      </c>
      <c r="F48" s="38">
        <f>COUNTIFS(Backlog!$AA$2:$AA$188,A48,Backlog!$K$2:$K$188,"Done")</f>
        <v>0</v>
      </c>
      <c r="G48" s="38">
        <f t="shared" si="1"/>
        <v>1</v>
      </c>
      <c r="H48" s="38">
        <f>COUNTIFS(Backlog!$AA$2:$AA$188,A48,Backlog!$B$2:$B$188,"M2")</f>
        <v>0</v>
      </c>
      <c r="I48" s="38">
        <f>COUNTIFS(Backlog!$AA$2:$AA$188,A48,Backlog!$B$2:$B$188,"M3")</f>
        <v>1</v>
      </c>
      <c r="J48" s="38" t="s">
        <v>1356</v>
      </c>
      <c r="K48" s="32">
        <f>COUNTIF('Secondary Capability Links'!$B$2:$B$149,A48)</f>
        <v>2</v>
      </c>
      <c r="L48" s="32">
        <f>COUNTIFS('Secondary Capability Links'!$B$2:$B$149,A48,'Secondary Capability Links'!$C$2:$C$149,"Done")</f>
        <v>0</v>
      </c>
      <c r="M48" s="32" t="s">
        <v>12674</v>
      </c>
      <c r="N48" s="32" t="s">
        <v>2842</v>
      </c>
    </row>
    <row r="49" spans="1:14" ht="26.1" customHeight="1">
      <c r="A49" s="38" t="s">
        <v>1461</v>
      </c>
      <c r="B49" s="38" t="s">
        <v>2858</v>
      </c>
      <c r="C49" s="38" t="s">
        <v>1462</v>
      </c>
      <c r="D49" s="38" t="s">
        <v>134</v>
      </c>
      <c r="E49" s="38">
        <f>COUNTIF(Backlog!$AA$2:$AA$188,A49)</f>
        <v>1</v>
      </c>
      <c r="F49" s="38">
        <f>COUNTIFS(Backlog!$AA$2:$AA$188,A49,Backlog!$K$2:$K$188,"Done")</f>
        <v>0</v>
      </c>
      <c r="G49" s="38">
        <f t="shared" si="1"/>
        <v>1</v>
      </c>
      <c r="H49" s="38">
        <f>COUNTIFS(Backlog!$AA$2:$AA$188,A49,Backlog!$B$2:$B$188,"M2")</f>
        <v>0</v>
      </c>
      <c r="I49" s="38">
        <f>COUNTIFS(Backlog!$AA$2:$AA$188,A49,Backlog!$B$2:$B$188,"M3")</f>
        <v>1</v>
      </c>
      <c r="J49" s="38" t="s">
        <v>1455</v>
      </c>
      <c r="K49" s="32">
        <f>COUNTIF('Secondary Capability Links'!$B$2:$B$149,A49)</f>
        <v>1</v>
      </c>
      <c r="L49" s="32">
        <f>COUNTIFS('Secondary Capability Links'!$B$2:$B$149,A49,'Secondary Capability Links'!$C$2:$C$149,"Done")</f>
        <v>0</v>
      </c>
      <c r="M49" s="32" t="s">
        <v>1821</v>
      </c>
      <c r="N49" s="32" t="s">
        <v>2842</v>
      </c>
    </row>
    <row r="50" spans="1:14" ht="26.1" customHeight="1">
      <c r="A50" s="38" t="s">
        <v>1375</v>
      </c>
      <c r="B50" s="38" t="s">
        <v>2858</v>
      </c>
      <c r="C50" s="38" t="s">
        <v>1376</v>
      </c>
      <c r="D50" s="38" t="s">
        <v>134</v>
      </c>
      <c r="E50" s="38">
        <f>COUNTIF(Backlog!$AA$2:$AA$188,A50)</f>
        <v>2</v>
      </c>
      <c r="F50" s="38">
        <f>COUNTIFS(Backlog!$AA$2:$AA$188,A50,Backlog!$K$2:$K$188,"Done")</f>
        <v>0</v>
      </c>
      <c r="G50" s="38">
        <f t="shared" si="1"/>
        <v>2</v>
      </c>
      <c r="H50" s="38">
        <f>COUNTIFS(Backlog!$AA$2:$AA$188,A50,Backlog!$B$2:$B$188,"M2")</f>
        <v>0</v>
      </c>
      <c r="I50" s="38">
        <f>COUNTIFS(Backlog!$AA$2:$AA$188,A50,Backlog!$B$2:$B$188,"M3")</f>
        <v>2</v>
      </c>
      <c r="J50" s="38" t="s">
        <v>12675</v>
      </c>
      <c r="K50" s="32">
        <f>COUNTIF('Secondary Capability Links'!$B$2:$B$149,A50)</f>
        <v>0</v>
      </c>
      <c r="L50" s="32">
        <f>COUNTIFS('Secondary Capability Links'!$B$2:$B$149,A50,'Secondary Capability Links'!$C$2:$C$149,"Done")</f>
        <v>0</v>
      </c>
      <c r="M50" s="32"/>
      <c r="N50" s="32" t="s">
        <v>2842</v>
      </c>
    </row>
    <row r="51" spans="1:14" ht="26.1" customHeight="1">
      <c r="A51" s="38" t="s">
        <v>261</v>
      </c>
      <c r="B51" s="38" t="s">
        <v>2858</v>
      </c>
      <c r="C51" s="38" t="s">
        <v>2860</v>
      </c>
      <c r="D51" s="38" t="s">
        <v>134</v>
      </c>
      <c r="E51" s="38">
        <f>COUNTIF(Backlog!$AA$2:$AA$188,A51)</f>
        <v>0</v>
      </c>
      <c r="F51" s="38">
        <f>COUNTIFS(Backlog!$AA$2:$AA$188,A51,Backlog!$K$2:$K$188,"Done")</f>
        <v>0</v>
      </c>
      <c r="G51" s="38">
        <f t="shared" si="1"/>
        <v>0</v>
      </c>
      <c r="H51" s="38">
        <f>COUNTIFS(Backlog!$AA$2:$AA$188,A51,Backlog!$B$2:$B$188,"M2")</f>
        <v>0</v>
      </c>
      <c r="I51" s="38">
        <f>COUNTIFS(Backlog!$AA$2:$AA$188,A51,Backlog!$B$2:$B$188,"M3")</f>
        <v>0</v>
      </c>
      <c r="J51" s="38"/>
      <c r="K51" s="32">
        <f>COUNTIF('Secondary Capability Links'!$B$2:$B$149,A51)</f>
        <v>4</v>
      </c>
      <c r="L51" s="32">
        <f>COUNTIFS('Secondary Capability Links'!$B$2:$B$149,A51,'Secondary Capability Links'!$C$2:$C$149,"Done")</f>
        <v>1</v>
      </c>
      <c r="M51" s="32" t="s">
        <v>12676</v>
      </c>
      <c r="N51" s="32" t="s">
        <v>2842</v>
      </c>
    </row>
    <row r="52" spans="1:14" ht="26.1" customHeight="1">
      <c r="A52" s="38" t="s">
        <v>1391</v>
      </c>
      <c r="B52" s="38" t="s">
        <v>2858</v>
      </c>
      <c r="C52" s="38" t="s">
        <v>1392</v>
      </c>
      <c r="D52" s="38" t="s">
        <v>134</v>
      </c>
      <c r="E52" s="38">
        <f>COUNTIF(Backlog!$AA$2:$AA$188,A52)</f>
        <v>1</v>
      </c>
      <c r="F52" s="38">
        <f>COUNTIFS(Backlog!$AA$2:$AA$188,A52,Backlog!$K$2:$K$188,"Done")</f>
        <v>0</v>
      </c>
      <c r="G52" s="38">
        <f t="shared" si="1"/>
        <v>1</v>
      </c>
      <c r="H52" s="38">
        <f>COUNTIFS(Backlog!$AA$2:$AA$188,A52,Backlog!$B$2:$B$188,"M2")</f>
        <v>0</v>
      </c>
      <c r="I52" s="38">
        <f>COUNTIFS(Backlog!$AA$2:$AA$188,A52,Backlog!$B$2:$B$188,"M3")</f>
        <v>1</v>
      </c>
      <c r="J52" s="38" t="s">
        <v>1384</v>
      </c>
      <c r="K52" s="32">
        <f>COUNTIF('Secondary Capability Links'!$B$2:$B$149,A52)</f>
        <v>1</v>
      </c>
      <c r="L52" s="32">
        <f>COUNTIFS('Secondary Capability Links'!$B$2:$B$149,A52,'Secondary Capability Links'!$C$2:$C$149,"Done")</f>
        <v>0</v>
      </c>
      <c r="M52" s="32" t="s">
        <v>1817</v>
      </c>
      <c r="N52" s="32" t="s">
        <v>2842</v>
      </c>
    </row>
    <row r="53" spans="1:14" ht="26.1" customHeight="1">
      <c r="A53" s="38" t="s">
        <v>1142</v>
      </c>
      <c r="B53" s="38" t="s">
        <v>2861</v>
      </c>
      <c r="C53" s="38" t="s">
        <v>1143</v>
      </c>
      <c r="D53" s="38" t="s">
        <v>134</v>
      </c>
      <c r="E53" s="38">
        <f>COUNTIF(Backlog!$AA$2:$AA$188,A53)</f>
        <v>3</v>
      </c>
      <c r="F53" s="38">
        <f>COUNTIFS(Backlog!$AA$2:$AA$188,A53,Backlog!$K$2:$K$188,"Done")</f>
        <v>0</v>
      </c>
      <c r="G53" s="38">
        <f t="shared" si="1"/>
        <v>3</v>
      </c>
      <c r="H53" s="38">
        <f>COUNTIFS(Backlog!$AA$2:$AA$188,A53,Backlog!$B$2:$B$188,"M2")</f>
        <v>2</v>
      </c>
      <c r="I53" s="38">
        <f>COUNTIFS(Backlog!$AA$2:$AA$188,A53,Backlog!$B$2:$B$188,"M3")</f>
        <v>1</v>
      </c>
      <c r="J53" s="38" t="s">
        <v>3687</v>
      </c>
      <c r="K53" s="32">
        <f>COUNTIF('Secondary Capability Links'!$B$2:$B$149,A53)</f>
        <v>0</v>
      </c>
      <c r="L53" s="32">
        <f>COUNTIFS('Secondary Capability Links'!$B$2:$B$149,A53,'Secondary Capability Links'!$C$2:$C$149,"Done")</f>
        <v>0</v>
      </c>
      <c r="M53" s="32"/>
      <c r="N53" s="32" t="s">
        <v>2842</v>
      </c>
    </row>
    <row r="54" spans="1:14" ht="26.1" customHeight="1">
      <c r="A54" s="38" t="s">
        <v>1115</v>
      </c>
      <c r="B54" s="38" t="s">
        <v>2861</v>
      </c>
      <c r="C54" s="38" t="s">
        <v>1116</v>
      </c>
      <c r="D54" s="38" t="s">
        <v>134</v>
      </c>
      <c r="E54" s="38">
        <f>COUNTIF(Backlog!$AA$2:$AA$188,A54)</f>
        <v>4</v>
      </c>
      <c r="F54" s="38">
        <f>COUNTIFS(Backlog!$AA$2:$AA$188,A54,Backlog!$K$2:$K$188,"Done")</f>
        <v>0</v>
      </c>
      <c r="G54" s="38">
        <f t="shared" si="1"/>
        <v>4</v>
      </c>
      <c r="H54" s="38">
        <f>COUNTIFS(Backlog!$AA$2:$AA$188,A54,Backlog!$B$2:$B$188,"M2")</f>
        <v>2</v>
      </c>
      <c r="I54" s="38">
        <f>COUNTIFS(Backlog!$AA$2:$AA$188,A54,Backlog!$B$2:$B$188,"M3")</f>
        <v>2</v>
      </c>
      <c r="J54" s="38" t="s">
        <v>12677</v>
      </c>
      <c r="K54" s="32">
        <f>COUNTIF('Secondary Capability Links'!$B$2:$B$149,A54)</f>
        <v>0</v>
      </c>
      <c r="L54" s="32">
        <f>COUNTIFS('Secondary Capability Links'!$B$2:$B$149,A54,'Secondary Capability Links'!$C$2:$C$149,"Done")</f>
        <v>0</v>
      </c>
      <c r="M54" s="32"/>
      <c r="N54" s="32" t="s">
        <v>2842</v>
      </c>
    </row>
    <row r="55" spans="1:14" ht="26.1" customHeight="1">
      <c r="A55" s="38" t="s">
        <v>1156</v>
      </c>
      <c r="B55" s="38" t="s">
        <v>2861</v>
      </c>
      <c r="C55" s="38" t="s">
        <v>1157</v>
      </c>
      <c r="D55" s="38" t="s">
        <v>134</v>
      </c>
      <c r="E55" s="38">
        <f>COUNTIF(Backlog!$AA$2:$AA$188,A55)</f>
        <v>1</v>
      </c>
      <c r="F55" s="38">
        <f>COUNTIFS(Backlog!$AA$2:$AA$188,A55,Backlog!$K$2:$K$188,"Done")</f>
        <v>0</v>
      </c>
      <c r="G55" s="38">
        <f t="shared" si="1"/>
        <v>1</v>
      </c>
      <c r="H55" s="38">
        <f>COUNTIFS(Backlog!$AA$2:$AA$188,A55,Backlog!$B$2:$B$188,"M2")</f>
        <v>1</v>
      </c>
      <c r="I55" s="38">
        <f>COUNTIFS(Backlog!$AA$2:$AA$188,A55,Backlog!$B$2:$B$188,"M3")</f>
        <v>0</v>
      </c>
      <c r="J55" s="38" t="s">
        <v>1149</v>
      </c>
      <c r="K55" s="32">
        <f>COUNTIF('Secondary Capability Links'!$B$2:$B$149,A55)</f>
        <v>0</v>
      </c>
      <c r="L55" s="32">
        <f>COUNTIFS('Secondary Capability Links'!$B$2:$B$149,A55,'Secondary Capability Links'!$C$2:$C$149,"Done")</f>
        <v>0</v>
      </c>
      <c r="M55" s="32"/>
      <c r="N55" s="32" t="s">
        <v>2842</v>
      </c>
    </row>
    <row r="56" spans="1:14" ht="26.1" customHeight="1">
      <c r="A56" s="38" t="s">
        <v>1158</v>
      </c>
      <c r="B56" s="38" t="s">
        <v>2861</v>
      </c>
      <c r="C56" s="38" t="s">
        <v>2862</v>
      </c>
      <c r="D56" s="38" t="s">
        <v>134</v>
      </c>
      <c r="E56" s="38">
        <f>COUNTIF(Backlog!$AA$2:$AA$188,A56)</f>
        <v>0</v>
      </c>
      <c r="F56" s="38">
        <f>COUNTIFS(Backlog!$AA$2:$AA$188,A56,Backlog!$K$2:$K$188,"Done")</f>
        <v>0</v>
      </c>
      <c r="G56" s="38">
        <f t="shared" si="1"/>
        <v>0</v>
      </c>
      <c r="H56" s="38">
        <f>COUNTIFS(Backlog!$AA$2:$AA$188,A56,Backlog!$B$2:$B$188,"M2")</f>
        <v>0</v>
      </c>
      <c r="I56" s="38">
        <f>COUNTIFS(Backlog!$AA$2:$AA$188,A56,Backlog!$B$2:$B$188,"M3")</f>
        <v>0</v>
      </c>
      <c r="J56" s="38"/>
      <c r="K56" s="32">
        <f>COUNTIF('Secondary Capability Links'!$B$2:$B$149,A56)</f>
        <v>2</v>
      </c>
      <c r="L56" s="32">
        <f>COUNTIFS('Secondary Capability Links'!$B$2:$B$149,A56,'Secondary Capability Links'!$C$2:$C$149,"Done")</f>
        <v>0</v>
      </c>
      <c r="M56" s="32" t="s">
        <v>12678</v>
      </c>
      <c r="N56" s="32" t="s">
        <v>2842</v>
      </c>
    </row>
    <row r="57" spans="1:14" ht="26.1" customHeight="1">
      <c r="A57" s="38" t="s">
        <v>1123</v>
      </c>
      <c r="B57" s="38" t="s">
        <v>2861</v>
      </c>
      <c r="C57" s="38" t="s">
        <v>1124</v>
      </c>
      <c r="D57" s="38" t="s">
        <v>134</v>
      </c>
      <c r="E57" s="38">
        <f>COUNTIF(Backlog!$AA$2:$AA$188,A57)</f>
        <v>1</v>
      </c>
      <c r="F57" s="38">
        <f>COUNTIFS(Backlog!$AA$2:$AA$188,A57,Backlog!$K$2:$K$188,"Done")</f>
        <v>0</v>
      </c>
      <c r="G57" s="38">
        <f t="shared" si="1"/>
        <v>1</v>
      </c>
      <c r="H57" s="38">
        <f>COUNTIFS(Backlog!$AA$2:$AA$188,A57,Backlog!$B$2:$B$188,"M2")</f>
        <v>1</v>
      </c>
      <c r="I57" s="38">
        <f>COUNTIFS(Backlog!$AA$2:$AA$188,A57,Backlog!$B$2:$B$188,"M3")</f>
        <v>0</v>
      </c>
      <c r="J57" s="38" t="s">
        <v>1117</v>
      </c>
      <c r="K57" s="32">
        <f>COUNTIF('Secondary Capability Links'!$B$2:$B$149,A57)</f>
        <v>1</v>
      </c>
      <c r="L57" s="32">
        <f>COUNTIFS('Secondary Capability Links'!$B$2:$B$149,A57,'Secondary Capability Links'!$C$2:$C$149,"Done")</f>
        <v>0</v>
      </c>
      <c r="M57" s="32" t="s">
        <v>1339</v>
      </c>
      <c r="N57" s="32" t="s">
        <v>2842</v>
      </c>
    </row>
    <row r="58" spans="1:14" ht="26.1" customHeight="1">
      <c r="A58" s="38" t="s">
        <v>1630</v>
      </c>
      <c r="B58" s="38" t="s">
        <v>2861</v>
      </c>
      <c r="C58" s="38" t="s">
        <v>1631</v>
      </c>
      <c r="D58" s="38" t="s">
        <v>134</v>
      </c>
      <c r="E58" s="38">
        <f>COUNTIF(Backlog!$AA$2:$AA$188,A58)</f>
        <v>1</v>
      </c>
      <c r="F58" s="38">
        <f>COUNTIFS(Backlog!$AA$2:$AA$188,A58,Backlog!$K$2:$K$188,"Done")</f>
        <v>0</v>
      </c>
      <c r="G58" s="38">
        <f t="shared" si="1"/>
        <v>1</v>
      </c>
      <c r="H58" s="38">
        <f>COUNTIFS(Backlog!$AA$2:$AA$188,A58,Backlog!$B$2:$B$188,"M2")</f>
        <v>0</v>
      </c>
      <c r="I58" s="38">
        <f>COUNTIFS(Backlog!$AA$2:$AA$188,A58,Backlog!$B$2:$B$188,"M3")</f>
        <v>1</v>
      </c>
      <c r="J58" s="38" t="s">
        <v>1625</v>
      </c>
      <c r="K58" s="32">
        <f>COUNTIF('Secondary Capability Links'!$B$2:$B$149,A58)</f>
        <v>0</v>
      </c>
      <c r="L58" s="32">
        <f>COUNTIFS('Secondary Capability Links'!$B$2:$B$149,A58,'Secondary Capability Links'!$C$2:$C$149,"Done")</f>
        <v>0</v>
      </c>
      <c r="M58" s="32"/>
      <c r="N58" s="32" t="s">
        <v>2842</v>
      </c>
    </row>
    <row r="59" spans="1:14" ht="26.1" customHeight="1">
      <c r="A59" s="38" t="s">
        <v>1632</v>
      </c>
      <c r="B59" s="38" t="s">
        <v>2861</v>
      </c>
      <c r="C59" s="38" t="s">
        <v>2863</v>
      </c>
      <c r="D59" s="38" t="s">
        <v>134</v>
      </c>
      <c r="E59" s="38">
        <f>COUNTIF(Backlog!$AA$2:$AA$188,A59)</f>
        <v>0</v>
      </c>
      <c r="F59" s="38">
        <f>COUNTIFS(Backlog!$AA$2:$AA$188,A59,Backlog!$K$2:$K$188,"Done")</f>
        <v>0</v>
      </c>
      <c r="G59" s="38">
        <f t="shared" si="1"/>
        <v>0</v>
      </c>
      <c r="H59" s="38">
        <f>COUNTIFS(Backlog!$AA$2:$AA$188,A59,Backlog!$B$2:$B$188,"M2")</f>
        <v>0</v>
      </c>
      <c r="I59" s="38">
        <f>COUNTIFS(Backlog!$AA$2:$AA$188,A59,Backlog!$B$2:$B$188,"M3")</f>
        <v>0</v>
      </c>
      <c r="J59" s="38"/>
      <c r="K59" s="32">
        <f>COUNTIF('Secondary Capability Links'!$B$2:$B$149,A59)</f>
        <v>1</v>
      </c>
      <c r="L59" s="32">
        <f>COUNTIFS('Secondary Capability Links'!$B$2:$B$149,A59,'Secondary Capability Links'!$C$2:$C$149,"Done")</f>
        <v>0</v>
      </c>
      <c r="M59" s="32" t="s">
        <v>1625</v>
      </c>
      <c r="N59" s="32" t="s">
        <v>2842</v>
      </c>
    </row>
    <row r="60" spans="1:14" ht="26.1" customHeight="1">
      <c r="A60" s="38" t="s">
        <v>1194</v>
      </c>
      <c r="B60" s="38" t="s">
        <v>2861</v>
      </c>
      <c r="C60" s="38" t="s">
        <v>1195</v>
      </c>
      <c r="D60" s="38" t="s">
        <v>134</v>
      </c>
      <c r="E60" s="38">
        <f>COUNTIF(Backlog!$AA$2:$AA$188,A60)</f>
        <v>2</v>
      </c>
      <c r="F60" s="38">
        <f>COUNTIFS(Backlog!$AA$2:$AA$188,A60,Backlog!$K$2:$K$188,"Done")</f>
        <v>0</v>
      </c>
      <c r="G60" s="38">
        <f t="shared" si="1"/>
        <v>2</v>
      </c>
      <c r="H60" s="38">
        <f>COUNTIFS(Backlog!$AA$2:$AA$188,A60,Backlog!$B$2:$B$188,"M2")</f>
        <v>1</v>
      </c>
      <c r="I60" s="38">
        <f>COUNTIFS(Backlog!$AA$2:$AA$188,A60,Backlog!$B$2:$B$188,"M3")</f>
        <v>1</v>
      </c>
      <c r="J60" s="38" t="s">
        <v>12679</v>
      </c>
      <c r="K60" s="32">
        <f>COUNTIF('Secondary Capability Links'!$B$2:$B$149,A60)</f>
        <v>1</v>
      </c>
      <c r="L60" s="32">
        <f>COUNTIFS('Secondary Capability Links'!$B$2:$B$149,A60,'Secondary Capability Links'!$C$2:$C$149,"Done")</f>
        <v>1</v>
      </c>
      <c r="M60" s="32" t="s">
        <v>595</v>
      </c>
      <c r="N60" s="32" t="s">
        <v>2842</v>
      </c>
    </row>
    <row r="61" spans="1:14" ht="26.1" customHeight="1">
      <c r="A61" s="38" t="s">
        <v>165</v>
      </c>
      <c r="B61" s="38" t="s">
        <v>2864</v>
      </c>
      <c r="C61" s="38" t="s">
        <v>166</v>
      </c>
      <c r="D61" s="38" t="s">
        <v>134</v>
      </c>
      <c r="E61" s="38">
        <f>COUNTIF(Backlog!$AA$2:$AA$188,A61)</f>
        <v>4</v>
      </c>
      <c r="F61" s="38">
        <f>COUNTIFS(Backlog!$AA$2:$AA$188,A61,Backlog!$K$2:$K$188,"Done")</f>
        <v>2</v>
      </c>
      <c r="G61" s="38">
        <f t="shared" si="1"/>
        <v>2</v>
      </c>
      <c r="H61" s="38">
        <f>COUNTIFS(Backlog!$AA$2:$AA$188,A61,Backlog!$B$2:$B$188,"M2")</f>
        <v>4</v>
      </c>
      <c r="I61" s="38">
        <f>COUNTIFS(Backlog!$AA$2:$AA$188,A61,Backlog!$B$2:$B$188,"M3")</f>
        <v>0</v>
      </c>
      <c r="J61" s="38" t="s">
        <v>12680</v>
      </c>
      <c r="K61" s="32">
        <f>COUNTIF('Secondary Capability Links'!$B$2:$B$149,A61)</f>
        <v>1</v>
      </c>
      <c r="L61" s="32">
        <f>COUNTIFS('Secondary Capability Links'!$B$2:$B$149,A61,'Secondary Capability Links'!$C$2:$C$149,"Done")</f>
        <v>1</v>
      </c>
      <c r="M61" s="32" t="s">
        <v>368</v>
      </c>
      <c r="N61" s="32" t="s">
        <v>2842</v>
      </c>
    </row>
    <row r="62" spans="1:14" ht="26.1" customHeight="1">
      <c r="A62" s="38" t="s">
        <v>285</v>
      </c>
      <c r="B62" s="38" t="s">
        <v>2864</v>
      </c>
      <c r="C62" s="38" t="s">
        <v>286</v>
      </c>
      <c r="D62" s="38" t="s">
        <v>134</v>
      </c>
      <c r="E62" s="38">
        <f>COUNTIF(Backlog!$AA$2:$AA$188,A62)</f>
        <v>4</v>
      </c>
      <c r="F62" s="38">
        <f>COUNTIFS(Backlog!$AA$2:$AA$188,A62,Backlog!$K$2:$K$188,"Done")</f>
        <v>4</v>
      </c>
      <c r="G62" s="38">
        <f t="shared" si="1"/>
        <v>0</v>
      </c>
      <c r="H62" s="38">
        <f>COUNTIFS(Backlog!$AA$2:$AA$188,A62,Backlog!$B$2:$B$188,"M2")</f>
        <v>4</v>
      </c>
      <c r="I62" s="38">
        <f>COUNTIFS(Backlog!$AA$2:$AA$188,A62,Backlog!$B$2:$B$188,"M3")</f>
        <v>0</v>
      </c>
      <c r="J62" s="38" t="s">
        <v>12681</v>
      </c>
      <c r="K62" s="32">
        <f>COUNTIF('Secondary Capability Links'!$B$2:$B$149,A62)</f>
        <v>3</v>
      </c>
      <c r="L62" s="32">
        <f>COUNTIFS('Secondary Capability Links'!$B$2:$B$149,A62,'Secondary Capability Links'!$C$2:$C$149,"Done")</f>
        <v>1</v>
      </c>
      <c r="M62" s="32" t="s">
        <v>12682</v>
      </c>
      <c r="N62" s="32" t="s">
        <v>2842</v>
      </c>
    </row>
    <row r="63" spans="1:14" ht="26.1" customHeight="1">
      <c r="A63" s="38" t="s">
        <v>1168</v>
      </c>
      <c r="B63" s="38" t="s">
        <v>2864</v>
      </c>
      <c r="C63" s="38" t="s">
        <v>1263</v>
      </c>
      <c r="D63" s="38" t="s">
        <v>134</v>
      </c>
      <c r="E63" s="38">
        <f>COUNTIF(Backlog!$AA$2:$AA$188,A63)</f>
        <v>1</v>
      </c>
      <c r="F63" s="38">
        <f>COUNTIFS(Backlog!$AA$2:$AA$188,A63,Backlog!$K$2:$K$188,"Done")</f>
        <v>0</v>
      </c>
      <c r="G63" s="38">
        <f t="shared" si="1"/>
        <v>1</v>
      </c>
      <c r="H63" s="38">
        <f>COUNTIFS(Backlog!$AA$2:$AA$188,A63,Backlog!$B$2:$B$188,"M2")</f>
        <v>0</v>
      </c>
      <c r="I63" s="38">
        <f>COUNTIFS(Backlog!$AA$2:$AA$188,A63,Backlog!$B$2:$B$188,"M3")</f>
        <v>1</v>
      </c>
      <c r="J63" s="38" t="s">
        <v>1255</v>
      </c>
      <c r="K63" s="32">
        <f>COUNTIF('Secondary Capability Links'!$B$2:$B$149,A63)</f>
        <v>1</v>
      </c>
      <c r="L63" s="32">
        <f>COUNTIFS('Secondary Capability Links'!$B$2:$B$149,A63,'Secondary Capability Links'!$C$2:$C$149,"Done")</f>
        <v>0</v>
      </c>
      <c r="M63" s="32" t="s">
        <v>1160</v>
      </c>
      <c r="N63" s="32" t="s">
        <v>2842</v>
      </c>
    </row>
    <row r="64" spans="1:14" ht="26.1" customHeight="1">
      <c r="A64" s="38" t="s">
        <v>546</v>
      </c>
      <c r="B64" s="38" t="s">
        <v>2864</v>
      </c>
      <c r="C64" s="38" t="s">
        <v>547</v>
      </c>
      <c r="D64" s="38" t="s">
        <v>134</v>
      </c>
      <c r="E64" s="38">
        <f>COUNTIF(Backlog!$AA$2:$AA$188,A64)</f>
        <v>1</v>
      </c>
      <c r="F64" s="38">
        <f>COUNTIFS(Backlog!$AA$2:$AA$188,A64,Backlog!$K$2:$K$188,"Done")</f>
        <v>0</v>
      </c>
      <c r="G64" s="38">
        <f t="shared" si="1"/>
        <v>1</v>
      </c>
      <c r="H64" s="38">
        <f>COUNTIFS(Backlog!$AA$2:$AA$188,A64,Backlog!$B$2:$B$188,"M2")</f>
        <v>1</v>
      </c>
      <c r="I64" s="38">
        <f>COUNTIFS(Backlog!$AA$2:$AA$188,A64,Backlog!$B$2:$B$188,"M3")</f>
        <v>0</v>
      </c>
      <c r="J64" s="38" t="s">
        <v>539</v>
      </c>
      <c r="K64" s="32">
        <f>COUNTIF('Secondary Capability Links'!$B$2:$B$149,A64)</f>
        <v>3</v>
      </c>
      <c r="L64" s="32">
        <f>COUNTIFS('Secondary Capability Links'!$B$2:$B$149,A64,'Secondary Capability Links'!$C$2:$C$149,"Done")</f>
        <v>1</v>
      </c>
      <c r="M64" s="32" t="s">
        <v>12683</v>
      </c>
      <c r="N64" s="32" t="s">
        <v>2842</v>
      </c>
    </row>
    <row r="65" spans="1:14" ht="26.1" customHeight="1">
      <c r="A65" s="38" t="s">
        <v>987</v>
      </c>
      <c r="B65" s="38" t="s">
        <v>2864</v>
      </c>
      <c r="C65" s="38" t="s">
        <v>988</v>
      </c>
      <c r="D65" s="38" t="s">
        <v>134</v>
      </c>
      <c r="E65" s="38">
        <f>COUNTIF(Backlog!$AA$2:$AA$188,A65)</f>
        <v>4</v>
      </c>
      <c r="F65" s="38">
        <f>COUNTIFS(Backlog!$AA$2:$AA$188,A65,Backlog!$K$2:$K$188,"Done")</f>
        <v>1</v>
      </c>
      <c r="G65" s="38">
        <f t="shared" si="1"/>
        <v>3</v>
      </c>
      <c r="H65" s="38">
        <f>COUNTIFS(Backlog!$AA$2:$AA$188,A65,Backlog!$B$2:$B$188,"M2")</f>
        <v>2</v>
      </c>
      <c r="I65" s="38">
        <f>COUNTIFS(Backlog!$AA$2:$AA$188,A65,Backlog!$B$2:$B$188,"M3")</f>
        <v>2</v>
      </c>
      <c r="J65" s="38" t="s">
        <v>12684</v>
      </c>
      <c r="K65" s="32">
        <f>COUNTIF('Secondary Capability Links'!$B$2:$B$149,A65)</f>
        <v>1</v>
      </c>
      <c r="L65" s="32">
        <f>COUNTIFS('Secondary Capability Links'!$B$2:$B$149,A65,'Secondary Capability Links'!$C$2:$C$149,"Done")</f>
        <v>0</v>
      </c>
      <c r="M65" s="32" t="s">
        <v>1296</v>
      </c>
      <c r="N65" s="32" t="s">
        <v>2842</v>
      </c>
    </row>
    <row r="66" spans="1:14" ht="26.1" customHeight="1">
      <c r="A66" s="38" t="s">
        <v>1183</v>
      </c>
      <c r="B66" s="38" t="s">
        <v>2864</v>
      </c>
      <c r="C66" s="38" t="s">
        <v>1184</v>
      </c>
      <c r="D66" s="38" t="s">
        <v>134</v>
      </c>
      <c r="E66" s="38">
        <f>COUNTIF(Backlog!$AA$2:$AA$188,A66)</f>
        <v>2</v>
      </c>
      <c r="F66" s="38">
        <f>COUNTIFS(Backlog!$AA$2:$AA$188,A66,Backlog!$K$2:$K$188,"Done")</f>
        <v>0</v>
      </c>
      <c r="G66" s="38">
        <f t="shared" si="1"/>
        <v>2</v>
      </c>
      <c r="H66" s="38">
        <f>COUNTIFS(Backlog!$AA$2:$AA$188,A66,Backlog!$B$2:$B$188,"M2")</f>
        <v>1</v>
      </c>
      <c r="I66" s="38">
        <f>COUNTIFS(Backlog!$AA$2:$AA$188,A66,Backlog!$B$2:$B$188,"M3")</f>
        <v>1</v>
      </c>
      <c r="J66" s="38" t="s">
        <v>12685</v>
      </c>
      <c r="K66" s="32">
        <f>COUNTIF('Secondary Capability Links'!$B$2:$B$149,A66)</f>
        <v>1</v>
      </c>
      <c r="L66" s="32">
        <f>COUNTIFS('Secondary Capability Links'!$B$2:$B$149,A66,'Secondary Capability Links'!$C$2:$C$149,"Done")</f>
        <v>0</v>
      </c>
      <c r="M66" s="32" t="s">
        <v>12686</v>
      </c>
      <c r="N66" s="32" t="s">
        <v>2842</v>
      </c>
    </row>
    <row r="67" spans="1:14" ht="26.1" customHeight="1">
      <c r="A67" s="38" t="s">
        <v>1175</v>
      </c>
      <c r="B67" s="38" t="s">
        <v>2864</v>
      </c>
      <c r="C67" s="38" t="s">
        <v>1176</v>
      </c>
      <c r="D67" s="38" t="s">
        <v>134</v>
      </c>
      <c r="E67" s="38">
        <f>COUNTIF(Backlog!$AA$2:$AA$188,A67)</f>
        <v>2</v>
      </c>
      <c r="F67" s="38">
        <f>COUNTIFS(Backlog!$AA$2:$AA$188,A67,Backlog!$K$2:$K$188,"Done")</f>
        <v>0</v>
      </c>
      <c r="G67" s="38">
        <f t="shared" si="1"/>
        <v>2</v>
      </c>
      <c r="H67" s="38">
        <f>COUNTIFS(Backlog!$AA$2:$AA$188,A67,Backlog!$B$2:$B$188,"M2")</f>
        <v>1</v>
      </c>
      <c r="I67" s="38">
        <f>COUNTIFS(Backlog!$AA$2:$AA$188,A67,Backlog!$B$2:$B$188,"M3")</f>
        <v>1</v>
      </c>
      <c r="J67" s="38" t="s">
        <v>12687</v>
      </c>
      <c r="K67" s="32">
        <f>COUNTIF('Secondary Capability Links'!$B$2:$B$149,A67)</f>
        <v>0</v>
      </c>
      <c r="L67" s="32">
        <f>COUNTIFS('Secondary Capability Links'!$B$2:$B$149,A67,'Secondary Capability Links'!$C$2:$C$149,"Done")</f>
        <v>0</v>
      </c>
      <c r="M67" s="32" t="s">
        <v>12569</v>
      </c>
      <c r="N67" s="32" t="s">
        <v>2842</v>
      </c>
    </row>
    <row r="68" spans="1:14" ht="26.1" customHeight="1">
      <c r="A68" s="38" t="s">
        <v>130</v>
      </c>
      <c r="B68" s="38" t="s">
        <v>2864</v>
      </c>
      <c r="C68" s="38" t="s">
        <v>2865</v>
      </c>
      <c r="D68" s="38" t="s">
        <v>134</v>
      </c>
      <c r="E68" s="38">
        <f>COUNTIF(Backlog!$AA$2:$AA$188,A68)</f>
        <v>18</v>
      </c>
      <c r="F68" s="38">
        <f>COUNTIFS(Backlog!$AA$2:$AA$188,A68,Backlog!$K$2:$K$188,"Done")</f>
        <v>5</v>
      </c>
      <c r="G68" s="38">
        <f t="shared" ref="G68:G81" si="2">E68-F68</f>
        <v>13</v>
      </c>
      <c r="H68" s="38">
        <f>COUNTIFS(Backlog!$AA$2:$AA$188,A68,Backlog!$B$2:$B$188,"M2")</f>
        <v>9</v>
      </c>
      <c r="I68" s="38">
        <f>COUNTIFS(Backlog!$AA$2:$AA$188,A68,Backlog!$B$2:$B$188,"M3")</f>
        <v>9</v>
      </c>
      <c r="J68" s="38" t="s">
        <v>12688</v>
      </c>
      <c r="K68" s="32">
        <f>COUNTIF('Secondary Capability Links'!$B$2:$B$149,A68)</f>
        <v>3</v>
      </c>
      <c r="L68" s="32">
        <f>COUNTIFS('Secondary Capability Links'!$B$2:$B$149,A68,'Secondary Capability Links'!$C$2:$C$149,"Done")</f>
        <v>0</v>
      </c>
      <c r="M68" s="32" t="s">
        <v>12689</v>
      </c>
      <c r="N68" s="32" t="s">
        <v>2842</v>
      </c>
    </row>
    <row r="69" spans="1:14" ht="26.1" customHeight="1">
      <c r="A69" s="38" t="s">
        <v>646</v>
      </c>
      <c r="B69" s="38" t="s">
        <v>2866</v>
      </c>
      <c r="C69" s="38" t="s">
        <v>647</v>
      </c>
      <c r="D69" s="38" t="s">
        <v>134</v>
      </c>
      <c r="E69" s="38">
        <f>COUNTIF(Backlog!$AA$2:$AA$188,A69)</f>
        <v>3</v>
      </c>
      <c r="F69" s="38">
        <f>COUNTIFS(Backlog!$AA$2:$AA$188,A69,Backlog!$K$2:$K$188,"Done")</f>
        <v>0</v>
      </c>
      <c r="G69" s="38">
        <f t="shared" si="2"/>
        <v>3</v>
      </c>
      <c r="H69" s="38">
        <f>COUNTIFS(Backlog!$AA$2:$AA$188,A69,Backlog!$B$2:$B$188,"M2")</f>
        <v>3</v>
      </c>
      <c r="I69" s="38">
        <f>COUNTIFS(Backlog!$AA$2:$AA$188,A69,Backlog!$B$2:$B$188,"M3")</f>
        <v>0</v>
      </c>
      <c r="J69" s="38" t="s">
        <v>12690</v>
      </c>
      <c r="K69" s="32">
        <f>COUNTIF('Secondary Capability Links'!$B$2:$B$149,A69)</f>
        <v>2</v>
      </c>
      <c r="L69" s="32">
        <f>COUNTIFS('Secondary Capability Links'!$B$2:$B$149,A69,'Secondary Capability Links'!$C$2:$C$149,"Done")</f>
        <v>0</v>
      </c>
      <c r="M69" s="32" t="s">
        <v>12691</v>
      </c>
      <c r="N69" s="32" t="s">
        <v>2842</v>
      </c>
    </row>
    <row r="70" spans="1:14" ht="26.1" customHeight="1">
      <c r="A70" s="38" t="s">
        <v>1692</v>
      </c>
      <c r="B70" s="38" t="s">
        <v>2866</v>
      </c>
      <c r="C70" s="38" t="s">
        <v>1693</v>
      </c>
      <c r="D70" s="38" t="s">
        <v>134</v>
      </c>
      <c r="E70" s="38">
        <f>COUNTIF(Backlog!$AA$2:$AA$188,A70)</f>
        <v>1</v>
      </c>
      <c r="F70" s="38">
        <f>COUNTIFS(Backlog!$AA$2:$AA$188,A70,Backlog!$K$2:$K$188,"Done")</f>
        <v>0</v>
      </c>
      <c r="G70" s="38">
        <f t="shared" si="2"/>
        <v>1</v>
      </c>
      <c r="H70" s="38">
        <f>COUNTIFS(Backlog!$AA$2:$AA$188,A70,Backlog!$B$2:$B$188,"M2")</f>
        <v>0</v>
      </c>
      <c r="I70" s="38">
        <f>COUNTIFS(Backlog!$AA$2:$AA$188,A70,Backlog!$B$2:$B$188,"M3")</f>
        <v>1</v>
      </c>
      <c r="J70" s="38" t="s">
        <v>1685</v>
      </c>
      <c r="K70" s="32">
        <f>COUNTIF('Secondary Capability Links'!$B$2:$B$149,A70)</f>
        <v>0</v>
      </c>
      <c r="L70" s="32">
        <f>COUNTIFS('Secondary Capability Links'!$B$2:$B$149,A70,'Secondary Capability Links'!$C$2:$C$149,"Done")</f>
        <v>0</v>
      </c>
      <c r="M70" s="32"/>
      <c r="N70" s="32" t="s">
        <v>2842</v>
      </c>
    </row>
    <row r="71" spans="1:14" ht="26.1" customHeight="1">
      <c r="A71" s="38" t="s">
        <v>1583</v>
      </c>
      <c r="B71" s="38" t="s">
        <v>2866</v>
      </c>
      <c r="C71" s="38" t="s">
        <v>1584</v>
      </c>
      <c r="D71" s="38" t="s">
        <v>134</v>
      </c>
      <c r="E71" s="38">
        <f>COUNTIF(Backlog!$AA$2:$AA$188,A71)</f>
        <v>1</v>
      </c>
      <c r="F71" s="38">
        <f>COUNTIFS(Backlog!$AA$2:$AA$188,A71,Backlog!$K$2:$K$188,"Done")</f>
        <v>0</v>
      </c>
      <c r="G71" s="38">
        <f t="shared" si="2"/>
        <v>1</v>
      </c>
      <c r="H71" s="38">
        <f>COUNTIFS(Backlog!$AA$2:$AA$188,A71,Backlog!$B$2:$B$188,"M2")</f>
        <v>0</v>
      </c>
      <c r="I71" s="38">
        <f>COUNTIFS(Backlog!$AA$2:$AA$188,A71,Backlog!$B$2:$B$188,"M3")</f>
        <v>1</v>
      </c>
      <c r="J71" s="38" t="s">
        <v>1577</v>
      </c>
      <c r="K71" s="32">
        <f>COUNTIF('Secondary Capability Links'!$B$2:$B$149,A71)</f>
        <v>2</v>
      </c>
      <c r="L71" s="32">
        <f>COUNTIFS('Secondary Capability Links'!$B$2:$B$149,A71,'Secondary Capability Links'!$C$2:$C$149,"Done")</f>
        <v>0</v>
      </c>
      <c r="M71" s="32" t="s">
        <v>12692</v>
      </c>
      <c r="N71" s="32" t="s">
        <v>2842</v>
      </c>
    </row>
    <row r="72" spans="1:14" ht="26.1" customHeight="1">
      <c r="A72" s="38" t="s">
        <v>1585</v>
      </c>
      <c r="B72" s="38" t="s">
        <v>2866</v>
      </c>
      <c r="C72" s="38" t="s">
        <v>2867</v>
      </c>
      <c r="D72" s="38" t="s">
        <v>134</v>
      </c>
      <c r="E72" s="38">
        <f>COUNTIF(Backlog!$AA$2:$AA$188,A72)</f>
        <v>0</v>
      </c>
      <c r="F72" s="38">
        <f>COUNTIFS(Backlog!$AA$2:$AA$188,A72,Backlog!$K$2:$K$188,"Done")</f>
        <v>0</v>
      </c>
      <c r="G72" s="38">
        <f t="shared" si="2"/>
        <v>0</v>
      </c>
      <c r="H72" s="38">
        <f>COUNTIFS(Backlog!$AA$2:$AA$188,A72,Backlog!$B$2:$B$188,"M2")</f>
        <v>0</v>
      </c>
      <c r="I72" s="38">
        <f>COUNTIFS(Backlog!$AA$2:$AA$188,A72,Backlog!$B$2:$B$188,"M3")</f>
        <v>0</v>
      </c>
      <c r="J72" s="38"/>
      <c r="K72" s="32">
        <f>COUNTIF('Secondary Capability Links'!$B$2:$B$149,A72)</f>
        <v>2</v>
      </c>
      <c r="L72" s="32">
        <f>COUNTIFS('Secondary Capability Links'!$B$2:$B$149,A72,'Secondary Capability Links'!$C$2:$C$149,"Done")</f>
        <v>0</v>
      </c>
      <c r="M72" s="32" t="s">
        <v>12693</v>
      </c>
      <c r="N72" s="32" t="s">
        <v>2842</v>
      </c>
    </row>
    <row r="73" spans="1:14" ht="26.1" customHeight="1">
      <c r="A73" s="38" t="s">
        <v>1478</v>
      </c>
      <c r="B73" s="38" t="s">
        <v>2866</v>
      </c>
      <c r="C73" s="38" t="s">
        <v>1591</v>
      </c>
      <c r="D73" s="38" t="s">
        <v>134</v>
      </c>
      <c r="E73" s="38">
        <f>COUNTIF(Backlog!$AA$2:$AA$188,A73)</f>
        <v>1</v>
      </c>
      <c r="F73" s="38">
        <f>COUNTIFS(Backlog!$AA$2:$AA$188,A73,Backlog!$K$2:$K$188,"Done")</f>
        <v>0</v>
      </c>
      <c r="G73" s="38">
        <f t="shared" si="2"/>
        <v>1</v>
      </c>
      <c r="H73" s="38">
        <f>COUNTIFS(Backlog!$AA$2:$AA$188,A73,Backlog!$B$2:$B$188,"M2")</f>
        <v>0</v>
      </c>
      <c r="I73" s="38">
        <f>COUNTIFS(Backlog!$AA$2:$AA$188,A73,Backlog!$B$2:$B$188,"M3")</f>
        <v>1</v>
      </c>
      <c r="J73" s="38" t="s">
        <v>1586</v>
      </c>
      <c r="K73" s="32">
        <f>COUNTIF('Secondary Capability Links'!$B$2:$B$149,A73)</f>
        <v>2</v>
      </c>
      <c r="L73" s="32">
        <f>COUNTIFS('Secondary Capability Links'!$B$2:$B$149,A73,'Secondary Capability Links'!$C$2:$C$149,"Done")</f>
        <v>0</v>
      </c>
      <c r="M73" s="32" t="s">
        <v>12694</v>
      </c>
      <c r="N73" s="32" t="s">
        <v>2842</v>
      </c>
    </row>
    <row r="74" spans="1:14" ht="26.1" customHeight="1">
      <c r="A74" s="38" t="s">
        <v>2868</v>
      </c>
      <c r="B74" s="38" t="s">
        <v>2866</v>
      </c>
      <c r="C74" s="38" t="s">
        <v>2869</v>
      </c>
      <c r="D74" s="38" t="s">
        <v>134</v>
      </c>
      <c r="E74" s="38">
        <f>COUNTIF(Backlog!$AA$2:$AA$188,A74)</f>
        <v>0</v>
      </c>
      <c r="F74" s="38">
        <f>COUNTIFS(Backlog!$AA$2:$AA$188,A74,Backlog!$K$2:$K$188,"Done")</f>
        <v>0</v>
      </c>
      <c r="G74" s="38">
        <f t="shared" si="2"/>
        <v>0</v>
      </c>
      <c r="H74" s="38">
        <f>COUNTIFS(Backlog!$AA$2:$AA$188,A74,Backlog!$B$2:$B$188,"M2")</f>
        <v>0</v>
      </c>
      <c r="I74" s="38">
        <f>COUNTIFS(Backlog!$AA$2:$AA$188,A74,Backlog!$B$2:$B$188,"M3")</f>
        <v>0</v>
      </c>
      <c r="J74" s="38"/>
      <c r="K74" s="32">
        <f>COUNTIF('Secondary Capability Links'!$B$2:$B$149,A74)</f>
        <v>1</v>
      </c>
      <c r="L74" s="32">
        <f>COUNTIFS('Secondary Capability Links'!$B$2:$B$149,A74,'Secondary Capability Links'!$C$2:$C$149,"Done")</f>
        <v>0</v>
      </c>
      <c r="M74" s="32" t="s">
        <v>1586</v>
      </c>
      <c r="N74" s="32" t="s">
        <v>2842</v>
      </c>
    </row>
    <row r="75" spans="1:14" ht="26.1" customHeight="1">
      <c r="A75" s="38" t="s">
        <v>1623</v>
      </c>
      <c r="B75" s="38" t="s">
        <v>2866</v>
      </c>
      <c r="C75" s="38" t="s">
        <v>1624</v>
      </c>
      <c r="D75" s="38" t="s">
        <v>134</v>
      </c>
      <c r="E75" s="38">
        <f>COUNTIF(Backlog!$AA$2:$AA$188,A75)</f>
        <v>1</v>
      </c>
      <c r="F75" s="38">
        <f>COUNTIFS(Backlog!$AA$2:$AA$188,A75,Backlog!$K$2:$K$188,"Done")</f>
        <v>0</v>
      </c>
      <c r="G75" s="38">
        <f t="shared" si="2"/>
        <v>1</v>
      </c>
      <c r="H75" s="38">
        <f>COUNTIFS(Backlog!$AA$2:$AA$188,A75,Backlog!$B$2:$B$188,"M2")</f>
        <v>0</v>
      </c>
      <c r="I75" s="38">
        <f>COUNTIFS(Backlog!$AA$2:$AA$188,A75,Backlog!$B$2:$B$188,"M3")</f>
        <v>1</v>
      </c>
      <c r="J75" s="38" t="s">
        <v>1095</v>
      </c>
      <c r="K75" s="32">
        <f>COUNTIF('Secondary Capability Links'!$B$2:$B$149,A75)</f>
        <v>0</v>
      </c>
      <c r="L75" s="32">
        <f>COUNTIFS('Secondary Capability Links'!$B$2:$B$149,A75,'Secondary Capability Links'!$C$2:$C$149,"Done")</f>
        <v>0</v>
      </c>
      <c r="M75" s="32"/>
      <c r="N75" s="32" t="s">
        <v>2842</v>
      </c>
    </row>
    <row r="76" spans="1:14" ht="26.1" customHeight="1">
      <c r="A76" s="38" t="s">
        <v>2870</v>
      </c>
      <c r="B76" s="38" t="s">
        <v>2866</v>
      </c>
      <c r="C76" s="38" t="s">
        <v>2871</v>
      </c>
      <c r="D76" s="38" t="s">
        <v>134</v>
      </c>
      <c r="E76" s="38">
        <f>COUNTIF(Backlog!$AA$2:$AA$188,A76)</f>
        <v>0</v>
      </c>
      <c r="F76" s="38">
        <f>COUNTIFS(Backlog!$AA$2:$AA$188,A76,Backlog!$K$2:$K$188,"Done")</f>
        <v>0</v>
      </c>
      <c r="G76" s="38">
        <f t="shared" si="2"/>
        <v>0</v>
      </c>
      <c r="H76" s="38">
        <f>COUNTIFS(Backlog!$AA$2:$AA$188,A76,Backlog!$B$2:$B$188,"M2")</f>
        <v>0</v>
      </c>
      <c r="I76" s="38">
        <f>COUNTIFS(Backlog!$AA$2:$AA$188,A76,Backlog!$B$2:$B$188,"M3")</f>
        <v>0</v>
      </c>
      <c r="J76" s="38"/>
      <c r="K76" s="32">
        <f>COUNTIF('Secondary Capability Links'!$B$2:$B$149,A76)</f>
        <v>1</v>
      </c>
      <c r="L76" s="32">
        <f>COUNTIFS('Secondary Capability Links'!$B$2:$B$149,A76,'Secondary Capability Links'!$C$2:$C$149,"Done")</f>
        <v>0</v>
      </c>
      <c r="M76" s="32" t="s">
        <v>1586</v>
      </c>
      <c r="N76" s="32" t="s">
        <v>2842</v>
      </c>
    </row>
    <row r="77" spans="1:14" ht="26.1" customHeight="1">
      <c r="A77" s="38" t="s">
        <v>1736</v>
      </c>
      <c r="B77" s="38" t="s">
        <v>2872</v>
      </c>
      <c r="C77" s="38" t="s">
        <v>1772</v>
      </c>
      <c r="D77" s="38" t="s">
        <v>134</v>
      </c>
      <c r="E77" s="38">
        <f>COUNTIF(Backlog!$AA$2:$AA$188,A77)</f>
        <v>1</v>
      </c>
      <c r="F77" s="38">
        <f>COUNTIFS(Backlog!$AA$2:$AA$188,A77,Backlog!$K$2:$K$188,"Done")</f>
        <v>0</v>
      </c>
      <c r="G77" s="38">
        <f t="shared" si="2"/>
        <v>1</v>
      </c>
      <c r="H77" s="38">
        <f>COUNTIFS(Backlog!$AA$2:$AA$188,A77,Backlog!$B$2:$B$188,"M2")</f>
        <v>0</v>
      </c>
      <c r="I77" s="38">
        <f>COUNTIFS(Backlog!$AA$2:$AA$188,A77,Backlog!$B$2:$B$188,"M3")</f>
        <v>1</v>
      </c>
      <c r="J77" s="38" t="s">
        <v>1766</v>
      </c>
      <c r="K77" s="32">
        <f>COUNTIF('Secondary Capability Links'!$B$2:$B$149,A77)</f>
        <v>2</v>
      </c>
      <c r="L77" s="32">
        <f>COUNTIFS('Secondary Capability Links'!$B$2:$B$149,A77,'Secondary Capability Links'!$C$2:$C$149,"Done")</f>
        <v>0</v>
      </c>
      <c r="M77" s="32" t="s">
        <v>12695</v>
      </c>
      <c r="N77" s="32" t="s">
        <v>2842</v>
      </c>
    </row>
    <row r="78" spans="1:14" ht="26.1" customHeight="1">
      <c r="A78" s="38" t="s">
        <v>1100</v>
      </c>
      <c r="B78" s="38" t="s">
        <v>2872</v>
      </c>
      <c r="C78" s="38" t="s">
        <v>1101</v>
      </c>
      <c r="D78" s="38" t="s">
        <v>134</v>
      </c>
      <c r="E78" s="38">
        <f>COUNTIF(Backlog!$AA$2:$AA$188,A78)</f>
        <v>1</v>
      </c>
      <c r="F78" s="38">
        <f>COUNTIFS(Backlog!$AA$2:$AA$188,A78,Backlog!$K$2:$K$188,"Done")</f>
        <v>0</v>
      </c>
      <c r="G78" s="38">
        <f t="shared" si="2"/>
        <v>1</v>
      </c>
      <c r="H78" s="38">
        <f>COUNTIFS(Backlog!$AA$2:$AA$188,A78,Backlog!$B$2:$B$188,"M2")</f>
        <v>1</v>
      </c>
      <c r="I78" s="38">
        <f>COUNTIFS(Backlog!$AA$2:$AA$188,A78,Backlog!$B$2:$B$188,"M3")</f>
        <v>0</v>
      </c>
      <c r="J78" s="38" t="s">
        <v>1088</v>
      </c>
      <c r="K78" s="32">
        <f>COUNTIF('Secondary Capability Links'!$B$2:$B$149,A78)</f>
        <v>0</v>
      </c>
      <c r="L78" s="32">
        <f>COUNTIFS('Secondary Capability Links'!$B$2:$B$149,A78,'Secondary Capability Links'!$C$2:$C$149,"Done")</f>
        <v>0</v>
      </c>
      <c r="M78" s="32"/>
      <c r="N78" s="32" t="s">
        <v>2842</v>
      </c>
    </row>
    <row r="79" spans="1:14" ht="26.1" customHeight="1">
      <c r="A79" s="38" t="s">
        <v>843</v>
      </c>
      <c r="B79" s="38" t="s">
        <v>2872</v>
      </c>
      <c r="C79" s="38" t="s">
        <v>844</v>
      </c>
      <c r="D79" s="38" t="s">
        <v>845</v>
      </c>
      <c r="E79" s="38">
        <f>COUNTIF(Backlog!$AA$2:$AA$188,A79)</f>
        <v>3</v>
      </c>
      <c r="F79" s="38">
        <f>COUNTIFS(Backlog!$AA$2:$AA$188,A79,Backlog!$K$2:$K$188,"Done")</f>
        <v>1</v>
      </c>
      <c r="G79" s="38">
        <f t="shared" si="2"/>
        <v>2</v>
      </c>
      <c r="H79" s="38">
        <f>COUNTIFS(Backlog!$AA$2:$AA$188,A79,Backlog!$B$2:$B$188,"M2")</f>
        <v>3</v>
      </c>
      <c r="I79" s="38">
        <f>COUNTIFS(Backlog!$AA$2:$AA$188,A79,Backlog!$B$2:$B$188,"M3")</f>
        <v>0</v>
      </c>
      <c r="J79" s="38" t="s">
        <v>12696</v>
      </c>
      <c r="K79" s="32">
        <f>COUNTIF('Secondary Capability Links'!$B$2:$B$149,A79)</f>
        <v>2</v>
      </c>
      <c r="L79" s="32">
        <f>COUNTIFS('Secondary Capability Links'!$B$2:$B$149,A79,'Secondary Capability Links'!$C$2:$C$149,"Done")</f>
        <v>1</v>
      </c>
      <c r="M79" s="32" t="s">
        <v>12697</v>
      </c>
      <c r="N79" s="32" t="s">
        <v>2842</v>
      </c>
    </row>
    <row r="80" spans="1:14" ht="26.1" customHeight="1">
      <c r="A80" s="38" t="s">
        <v>1702</v>
      </c>
      <c r="B80" s="38" t="s">
        <v>2872</v>
      </c>
      <c r="C80" s="38" t="s">
        <v>1697</v>
      </c>
      <c r="D80" s="38" t="s">
        <v>845</v>
      </c>
      <c r="E80" s="38">
        <f>COUNTIF(Backlog!$AA$2:$AA$188,A80)</f>
        <v>1</v>
      </c>
      <c r="F80" s="38">
        <f>COUNTIFS(Backlog!$AA$2:$AA$188,A80,Backlog!$K$2:$K$188,"Done")</f>
        <v>0</v>
      </c>
      <c r="G80" s="38">
        <f t="shared" si="2"/>
        <v>1</v>
      </c>
      <c r="H80" s="38">
        <f>COUNTIFS(Backlog!$AA$2:$AA$188,A80,Backlog!$B$2:$B$188,"M2")</f>
        <v>0</v>
      </c>
      <c r="I80" s="38">
        <f>COUNTIFS(Backlog!$AA$2:$AA$188,A80,Backlog!$B$2:$B$188,"M3")</f>
        <v>1</v>
      </c>
      <c r="J80" s="38" t="s">
        <v>1695</v>
      </c>
      <c r="K80" s="32">
        <f>COUNTIF('Secondary Capability Links'!$B$2:$B$149,A80)</f>
        <v>1</v>
      </c>
      <c r="L80" s="32">
        <f>COUNTIFS('Secondary Capability Links'!$B$2:$B$149,A80,'Secondary Capability Links'!$C$2:$C$149,"Done")</f>
        <v>0</v>
      </c>
      <c r="M80" s="32" t="s">
        <v>1821</v>
      </c>
      <c r="N80" s="32" t="s">
        <v>2842</v>
      </c>
    </row>
    <row r="81" spans="1:14" ht="26.1" customHeight="1">
      <c r="A81" s="38" t="s">
        <v>1421</v>
      </c>
      <c r="B81" s="38" t="s">
        <v>2872</v>
      </c>
      <c r="C81" s="38" t="s">
        <v>1422</v>
      </c>
      <c r="D81" s="38" t="s">
        <v>845</v>
      </c>
      <c r="E81" s="38">
        <f>COUNTIF(Backlog!$AA$2:$AA$188,A81)</f>
        <v>3</v>
      </c>
      <c r="F81" s="38">
        <f>COUNTIFS(Backlog!$AA$2:$AA$188,A81,Backlog!$K$2:$K$188,"Done")</f>
        <v>0</v>
      </c>
      <c r="G81" s="38">
        <f t="shared" si="2"/>
        <v>3</v>
      </c>
      <c r="H81" s="38">
        <f>COUNTIFS(Backlog!$AA$2:$AA$188,A81,Backlog!$B$2:$B$188,"M2")</f>
        <v>0</v>
      </c>
      <c r="I81" s="38">
        <f>COUNTIFS(Backlog!$AA$2:$AA$188,A81,Backlog!$B$2:$B$188,"M3")</f>
        <v>3</v>
      </c>
      <c r="J81" s="38" t="s">
        <v>12698</v>
      </c>
      <c r="K81" s="32">
        <f>COUNTIF('Secondary Capability Links'!$B$2:$B$149,A81)</f>
        <v>0</v>
      </c>
      <c r="L81" s="32">
        <f>COUNTIFS('Secondary Capability Links'!$B$2:$B$149,A81,'Secondary Capability Links'!$C$2:$C$149,"Done")</f>
        <v>0</v>
      </c>
      <c r="M81" s="32"/>
      <c r="N81" s="32" t="s">
        <v>2842</v>
      </c>
    </row>
    <row r="82" spans="1:14">
      <c r="A82" s="2"/>
      <c r="B82" s="2"/>
      <c r="C82" s="2"/>
      <c r="D82" s="2"/>
      <c r="E82" s="2"/>
      <c r="F82" s="2"/>
      <c r="G82" s="2"/>
      <c r="H82" s="2"/>
      <c r="I82" s="2"/>
      <c r="J82" s="2"/>
    </row>
    <row r="83" spans="1:14">
      <c r="A83" s="115" t="s">
        <v>2873</v>
      </c>
      <c r="B83" s="115"/>
      <c r="C83" s="115"/>
      <c r="D83" s="115"/>
      <c r="E83" s="115"/>
      <c r="F83" s="115"/>
      <c r="G83" s="115"/>
      <c r="H83" s="115"/>
      <c r="I83" s="115"/>
      <c r="J83" s="115"/>
      <c r="K83" s="115"/>
      <c r="L83" s="115"/>
      <c r="M83" s="115"/>
      <c r="N83" s="115"/>
    </row>
  </sheetData>
  <mergeCells count="3">
    <mergeCell ref="A1:N1"/>
    <mergeCell ref="A2:N2"/>
    <mergeCell ref="A83:N83"/>
  </mergeCells>
  <conditionalFormatting sqref="E4:E83">
    <cfRule type="dataBar" priority="1">
      <dataBar>
        <cfvo type="min"/>
        <cfvo type="max"/>
        <color rgb="FF156082"/>
      </dataBar>
    </cfRule>
    <cfRule type="dataBar" priority="6">
      <dataBar>
        <cfvo type="min"/>
        <cfvo type="max"/>
        <color rgb="FF156082"/>
      </dataBar>
    </cfRule>
    <cfRule type="dataBar" priority="11">
      <dataBar>
        <cfvo type="min"/>
        <cfvo type="max"/>
        <color rgb="FF156082"/>
      </dataBar>
    </cfRule>
    <cfRule type="dataBar" priority="16">
      <dataBar>
        <cfvo type="min"/>
        <cfvo type="max"/>
        <color rgb="FF156082"/>
      </dataBar>
      <extLst>
        <ext xmlns:x14="http://schemas.microsoft.com/office/spreadsheetml/2009/9/main" uri="{B025F937-C7B1-47D3-B67F-A62EFF666E3E}">
          <x14:id>{483D8A87-B9DC-D794-C9BA-06F40A711C31}</x14:id>
        </ext>
      </extLst>
    </cfRule>
  </conditionalFormatting>
  <conditionalFormatting sqref="F4:F83">
    <cfRule type="dataBar" priority="2">
      <dataBar>
        <cfvo type="min"/>
        <cfvo type="max"/>
        <color rgb="FF156082"/>
      </dataBar>
    </cfRule>
    <cfRule type="dataBar" priority="7">
      <dataBar>
        <cfvo type="min"/>
        <cfvo type="max"/>
        <color rgb="FF156082"/>
      </dataBar>
    </cfRule>
    <cfRule type="dataBar" priority="12">
      <dataBar>
        <cfvo type="min"/>
        <cfvo type="max"/>
        <color rgb="FF156082"/>
      </dataBar>
    </cfRule>
    <cfRule type="dataBar" priority="17">
      <dataBar>
        <cfvo type="min"/>
        <cfvo type="max"/>
        <color rgb="FF156082"/>
      </dataBar>
      <extLst>
        <ext xmlns:x14="http://schemas.microsoft.com/office/spreadsheetml/2009/9/main" uri="{B025F937-C7B1-47D3-B67F-A62EFF666E3E}">
          <x14:id>{2938A8BA-6643-4F03-9A37-03083614EE5E}</x14:id>
        </ext>
      </extLst>
    </cfRule>
  </conditionalFormatting>
  <conditionalFormatting sqref="G4:G83">
    <cfRule type="dataBar" priority="3">
      <dataBar>
        <cfvo type="min"/>
        <cfvo type="max"/>
        <color rgb="FF156082"/>
      </dataBar>
    </cfRule>
    <cfRule type="dataBar" priority="8">
      <dataBar>
        <cfvo type="min"/>
        <cfvo type="max"/>
        <color rgb="FF156082"/>
      </dataBar>
    </cfRule>
    <cfRule type="dataBar" priority="13">
      <dataBar>
        <cfvo type="min"/>
        <cfvo type="max"/>
        <color rgb="FF156082"/>
      </dataBar>
    </cfRule>
    <cfRule type="dataBar" priority="18">
      <dataBar>
        <cfvo type="min"/>
        <cfvo type="max"/>
        <color rgb="FF156082"/>
      </dataBar>
      <extLst>
        <ext xmlns:x14="http://schemas.microsoft.com/office/spreadsheetml/2009/9/main" uri="{B025F937-C7B1-47D3-B67F-A62EFF666E3E}">
          <x14:id>{4E9339B8-32E6-E0FB-E202-CF54D5194D93}</x14:id>
        </ext>
      </extLst>
    </cfRule>
  </conditionalFormatting>
  <conditionalFormatting sqref="H4:H83">
    <cfRule type="dataBar" priority="4">
      <dataBar>
        <cfvo type="min"/>
        <cfvo type="max"/>
        <color rgb="FF156082"/>
      </dataBar>
    </cfRule>
    <cfRule type="dataBar" priority="9">
      <dataBar>
        <cfvo type="min"/>
        <cfvo type="max"/>
        <color rgb="FF156082"/>
      </dataBar>
    </cfRule>
    <cfRule type="dataBar" priority="14">
      <dataBar>
        <cfvo type="min"/>
        <cfvo type="max"/>
        <color rgb="FF156082"/>
      </dataBar>
    </cfRule>
    <cfRule type="dataBar" priority="19">
      <dataBar>
        <cfvo type="min"/>
        <cfvo type="max"/>
        <color rgb="FF156082"/>
      </dataBar>
      <extLst>
        <ext xmlns:x14="http://schemas.microsoft.com/office/spreadsheetml/2009/9/main" uri="{B025F937-C7B1-47D3-B67F-A62EFF666E3E}">
          <x14:id>{93B8FE78-9D76-3D9A-5A36-C34E15AD3821}</x14:id>
        </ext>
      </extLst>
    </cfRule>
  </conditionalFormatting>
  <conditionalFormatting sqref="I4:I83">
    <cfRule type="dataBar" priority="5">
      <dataBar>
        <cfvo type="min"/>
        <cfvo type="max"/>
        <color rgb="FF156082"/>
      </dataBar>
    </cfRule>
    <cfRule type="dataBar" priority="10">
      <dataBar>
        <cfvo type="min"/>
        <cfvo type="max"/>
        <color rgb="FF156082"/>
      </dataBar>
    </cfRule>
    <cfRule type="dataBar" priority="15">
      <dataBar>
        <cfvo type="min"/>
        <cfvo type="max"/>
        <color rgb="FF156082"/>
      </dataBar>
    </cfRule>
    <cfRule type="dataBar" priority="20">
      <dataBar>
        <cfvo type="min"/>
        <cfvo type="max"/>
        <color rgb="FF156082"/>
      </dataBar>
      <extLst>
        <ext xmlns:x14="http://schemas.microsoft.com/office/spreadsheetml/2009/9/main" uri="{B025F937-C7B1-47D3-B67F-A62EFF666E3E}">
          <x14:id>{B17A4BEC-C983-AD76-82E5-8042957F1C26}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83D8A87-B9DC-D794-C9BA-06F40A711C31}">
            <x14:dataBar>
              <x14:cfvo type="min"/>
              <x14:cfvo type="max"/>
              <x14:negativeFillColor auto="1"/>
              <x14:axisColor auto="1"/>
            </x14:dataBar>
          </x14:cfRule>
          <xm:sqref>E4:E83</xm:sqref>
        </x14:conditionalFormatting>
        <x14:conditionalFormatting xmlns:xm="http://schemas.microsoft.com/office/excel/2006/main">
          <x14:cfRule type="dataBar" id="{2938A8BA-6643-4F03-9A37-03083614EE5E}">
            <x14:dataBar>
              <x14:cfvo type="min"/>
              <x14:cfvo type="max"/>
              <x14:negativeFillColor auto="1"/>
              <x14:axisColor auto="1"/>
            </x14:dataBar>
          </x14:cfRule>
          <xm:sqref>F4:F83</xm:sqref>
        </x14:conditionalFormatting>
        <x14:conditionalFormatting xmlns:xm="http://schemas.microsoft.com/office/excel/2006/main">
          <x14:cfRule type="dataBar" id="{4E9339B8-32E6-E0FB-E202-CF54D5194D93}">
            <x14:dataBar>
              <x14:cfvo type="min"/>
              <x14:cfvo type="max"/>
              <x14:negativeFillColor auto="1"/>
              <x14:axisColor auto="1"/>
            </x14:dataBar>
          </x14:cfRule>
          <xm:sqref>G4:G83</xm:sqref>
        </x14:conditionalFormatting>
        <x14:conditionalFormatting xmlns:xm="http://schemas.microsoft.com/office/excel/2006/main">
          <x14:cfRule type="dataBar" id="{93B8FE78-9D76-3D9A-5A36-C34E15AD3821}">
            <x14:dataBar>
              <x14:cfvo type="min"/>
              <x14:cfvo type="max"/>
              <x14:negativeFillColor auto="1"/>
              <x14:axisColor auto="1"/>
            </x14:dataBar>
          </x14:cfRule>
          <xm:sqref>H4:H83</xm:sqref>
        </x14:conditionalFormatting>
        <x14:conditionalFormatting xmlns:xm="http://schemas.microsoft.com/office/excel/2006/main">
          <x14:cfRule type="dataBar" id="{B17A4BEC-C983-AD76-82E5-8042957F1C26}">
            <x14:dataBar>
              <x14:cfvo type="min"/>
              <x14:cfvo type="max"/>
              <x14:negativeFillColor auto="1"/>
              <x14:axisColor auto="1"/>
            </x14:dataBar>
          </x14:cfRule>
          <xm:sqref>I4:I83</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3"/>
  <sheetViews>
    <sheetView workbookViewId="0"/>
  </sheetViews>
  <sheetFormatPr defaultRowHeight="14.25"/>
  <cols>
    <col min="1" max="2" width="20" customWidth="1"/>
    <col min="3" max="3" width="50" customWidth="1"/>
    <col min="4" max="4" width="40" customWidth="1"/>
    <col min="5" max="6" width="70" customWidth="1"/>
    <col min="7" max="8" width="20" customWidth="1"/>
  </cols>
  <sheetData>
    <row r="1" spans="1:8" ht="32.1" customHeight="1">
      <c r="A1" s="26" t="s">
        <v>2874</v>
      </c>
      <c r="B1" s="26" t="s">
        <v>2875</v>
      </c>
      <c r="C1" s="26" t="s">
        <v>2876</v>
      </c>
      <c r="D1" s="26" t="s">
        <v>2877</v>
      </c>
      <c r="E1" s="26" t="s">
        <v>2878</v>
      </c>
      <c r="F1" s="26" t="s">
        <v>2879</v>
      </c>
      <c r="G1" s="26" t="s">
        <v>2880</v>
      </c>
      <c r="H1" s="26" t="s">
        <v>2881</v>
      </c>
    </row>
    <row r="2" spans="1:8" ht="135" customHeight="1">
      <c r="A2" s="24" t="s">
        <v>2736</v>
      </c>
      <c r="B2" s="24" t="s">
        <v>2882</v>
      </c>
      <c r="C2" s="24" t="s">
        <v>514</v>
      </c>
      <c r="D2" s="24" t="s">
        <v>2737</v>
      </c>
      <c r="E2" s="24" t="s">
        <v>2883</v>
      </c>
      <c r="F2" s="24" t="s">
        <v>2884</v>
      </c>
      <c r="G2" s="24">
        <v>6</v>
      </c>
      <c r="H2" s="24" t="s">
        <v>455</v>
      </c>
    </row>
    <row r="3" spans="1:8" ht="135" customHeight="1">
      <c r="A3" s="24" t="s">
        <v>2747</v>
      </c>
      <c r="B3" s="24" t="s">
        <v>2882</v>
      </c>
      <c r="C3" s="24" t="s">
        <v>2885</v>
      </c>
      <c r="D3" s="24" t="s">
        <v>2748</v>
      </c>
      <c r="E3" s="24" t="s">
        <v>2886</v>
      </c>
      <c r="F3" s="24" t="s">
        <v>2887</v>
      </c>
      <c r="G3" s="24">
        <v>12</v>
      </c>
      <c r="H3" s="24" t="s">
        <v>455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413"/>
  <sheetViews>
    <sheetView workbookViewId="0"/>
  </sheetViews>
  <sheetFormatPr defaultRowHeight="14.25"/>
  <cols>
    <col min="1" max="1" width="15" customWidth="1"/>
    <col min="2" max="2" width="28" customWidth="1"/>
    <col min="3" max="4" width="66" customWidth="1"/>
    <col min="5" max="5" width="43" customWidth="1"/>
  </cols>
  <sheetData>
    <row r="1" spans="1:5" ht="32.1" customHeight="1">
      <c r="A1" s="26" t="s">
        <v>2888</v>
      </c>
      <c r="B1" s="26" t="s">
        <v>2889</v>
      </c>
      <c r="C1" s="26" t="s">
        <v>2890</v>
      </c>
      <c r="D1" s="26" t="s">
        <v>2891</v>
      </c>
      <c r="E1" s="26" t="s">
        <v>2892</v>
      </c>
    </row>
    <row r="2" spans="1:5" ht="72" customHeight="1">
      <c r="A2" s="24" t="s">
        <v>514</v>
      </c>
      <c r="B2" s="24" t="s">
        <v>60</v>
      </c>
      <c r="C2" s="24" t="s">
        <v>2893</v>
      </c>
      <c r="D2" s="24" t="s">
        <v>517</v>
      </c>
      <c r="E2" s="24" t="s">
        <v>2894</v>
      </c>
    </row>
    <row r="3" spans="1:5" ht="72" customHeight="1">
      <c r="A3" s="24" t="s">
        <v>514</v>
      </c>
      <c r="B3" s="24" t="s">
        <v>61</v>
      </c>
      <c r="C3" s="24" t="s">
        <v>2895</v>
      </c>
      <c r="D3" s="24" t="s">
        <v>518</v>
      </c>
      <c r="E3" s="24" t="s">
        <v>2896</v>
      </c>
    </row>
    <row r="4" spans="1:5" ht="72" customHeight="1">
      <c r="A4" s="24" t="s">
        <v>514</v>
      </c>
      <c r="B4" s="24" t="s">
        <v>56</v>
      </c>
      <c r="C4" s="24" t="s">
        <v>2733</v>
      </c>
      <c r="D4" s="24" t="s">
        <v>515</v>
      </c>
      <c r="E4" s="24" t="s">
        <v>2897</v>
      </c>
    </row>
    <row r="5" spans="1:5" ht="72" customHeight="1">
      <c r="A5" s="24" t="s">
        <v>514</v>
      </c>
      <c r="B5" s="24" t="s">
        <v>62</v>
      </c>
      <c r="C5" s="24">
        <v>8</v>
      </c>
      <c r="D5" s="24">
        <v>14</v>
      </c>
      <c r="E5" s="24" t="s">
        <v>2898</v>
      </c>
    </row>
    <row r="6" spans="1:5" ht="72" customHeight="1">
      <c r="A6" s="24" t="s">
        <v>522</v>
      </c>
      <c r="B6" s="24" t="s">
        <v>60</v>
      </c>
      <c r="C6" s="24" t="s">
        <v>2899</v>
      </c>
      <c r="D6" s="24" t="s">
        <v>525</v>
      </c>
      <c r="E6" s="24" t="s">
        <v>2900</v>
      </c>
    </row>
    <row r="7" spans="1:5" ht="72" customHeight="1">
      <c r="A7" s="24" t="s">
        <v>522</v>
      </c>
      <c r="B7" s="24" t="s">
        <v>61</v>
      </c>
      <c r="C7" s="24" t="s">
        <v>2901</v>
      </c>
      <c r="D7" s="24" t="s">
        <v>526</v>
      </c>
      <c r="E7" s="24" t="s">
        <v>2902</v>
      </c>
    </row>
    <row r="8" spans="1:5" ht="72" customHeight="1">
      <c r="A8" s="24" t="s">
        <v>522</v>
      </c>
      <c r="B8" s="24" t="s">
        <v>56</v>
      </c>
      <c r="C8" s="24" t="s">
        <v>2738</v>
      </c>
      <c r="D8" s="24" t="s">
        <v>523</v>
      </c>
      <c r="E8" s="24" t="s">
        <v>2903</v>
      </c>
    </row>
    <row r="9" spans="1:5" ht="72" customHeight="1">
      <c r="A9" s="24" t="s">
        <v>522</v>
      </c>
      <c r="B9" s="24" t="s">
        <v>63</v>
      </c>
      <c r="C9" s="24" t="s">
        <v>455</v>
      </c>
      <c r="D9" s="24" t="s">
        <v>653</v>
      </c>
      <c r="E9" s="24" t="s">
        <v>2904</v>
      </c>
    </row>
    <row r="10" spans="1:5" ht="72" customHeight="1">
      <c r="A10" s="24" t="s">
        <v>522</v>
      </c>
      <c r="B10" s="24" t="s">
        <v>81</v>
      </c>
      <c r="C10" s="24" t="s">
        <v>2905</v>
      </c>
      <c r="D10" s="24" t="s">
        <v>535</v>
      </c>
      <c r="E10" s="24" t="s">
        <v>2906</v>
      </c>
    </row>
    <row r="11" spans="1:5" ht="72" customHeight="1">
      <c r="A11" s="24" t="s">
        <v>522</v>
      </c>
      <c r="B11" s="24" t="s">
        <v>65</v>
      </c>
      <c r="C11" s="24" t="s">
        <v>2739</v>
      </c>
      <c r="D11" s="24" t="s">
        <v>527</v>
      </c>
      <c r="E11" s="24" t="s">
        <v>2907</v>
      </c>
    </row>
    <row r="12" spans="1:5" ht="72" customHeight="1">
      <c r="A12" s="24" t="s">
        <v>548</v>
      </c>
      <c r="B12" s="24" t="s">
        <v>60</v>
      </c>
      <c r="C12" s="24" t="s">
        <v>2908</v>
      </c>
      <c r="D12" s="24" t="s">
        <v>551</v>
      </c>
      <c r="E12" s="24" t="s">
        <v>2909</v>
      </c>
    </row>
    <row r="13" spans="1:5" ht="72" customHeight="1">
      <c r="A13" s="24" t="s">
        <v>548</v>
      </c>
      <c r="B13" s="24" t="s">
        <v>61</v>
      </c>
      <c r="C13" s="24" t="s">
        <v>2910</v>
      </c>
      <c r="D13" s="24" t="s">
        <v>552</v>
      </c>
      <c r="E13" s="24" t="s">
        <v>2911</v>
      </c>
    </row>
    <row r="14" spans="1:5" ht="72" customHeight="1">
      <c r="A14" s="24" t="s">
        <v>548</v>
      </c>
      <c r="B14" s="24" t="s">
        <v>56</v>
      </c>
      <c r="C14" s="24" t="s">
        <v>2743</v>
      </c>
      <c r="D14" s="24" t="s">
        <v>549</v>
      </c>
      <c r="E14" s="24" t="s">
        <v>2912</v>
      </c>
    </row>
    <row r="15" spans="1:5" ht="72" customHeight="1">
      <c r="A15" s="24" t="s">
        <v>548</v>
      </c>
      <c r="B15" s="24" t="s">
        <v>81</v>
      </c>
      <c r="C15" s="24" t="s">
        <v>2843</v>
      </c>
      <c r="D15" s="24" t="s">
        <v>558</v>
      </c>
      <c r="E15" s="24" t="s">
        <v>2906</v>
      </c>
    </row>
    <row r="16" spans="1:5" ht="72" customHeight="1">
      <c r="A16" s="24" t="s">
        <v>548</v>
      </c>
      <c r="B16" s="24" t="s">
        <v>65</v>
      </c>
      <c r="C16" s="24"/>
      <c r="D16" s="24" t="s">
        <v>553</v>
      </c>
      <c r="E16" s="24" t="s">
        <v>2907</v>
      </c>
    </row>
    <row r="17" spans="1:5" ht="72" customHeight="1">
      <c r="A17" s="24" t="s">
        <v>1242</v>
      </c>
      <c r="B17" s="24" t="s">
        <v>60</v>
      </c>
      <c r="C17" s="24" t="s">
        <v>2913</v>
      </c>
      <c r="D17" s="24" t="s">
        <v>1245</v>
      </c>
      <c r="E17" s="24" t="s">
        <v>2914</v>
      </c>
    </row>
    <row r="18" spans="1:5" ht="72" customHeight="1">
      <c r="A18" s="24" t="s">
        <v>1242</v>
      </c>
      <c r="B18" s="24" t="s">
        <v>61</v>
      </c>
      <c r="C18" s="24" t="s">
        <v>2915</v>
      </c>
      <c r="D18" s="24" t="s">
        <v>1246</v>
      </c>
      <c r="E18" s="24" t="s">
        <v>2916</v>
      </c>
    </row>
    <row r="19" spans="1:5" ht="72" customHeight="1">
      <c r="A19" s="24" t="s">
        <v>1242</v>
      </c>
      <c r="B19" s="24" t="s">
        <v>56</v>
      </c>
      <c r="C19" s="24" t="s">
        <v>2746</v>
      </c>
      <c r="D19" s="24" t="s">
        <v>1244</v>
      </c>
      <c r="E19" s="24" t="s">
        <v>2917</v>
      </c>
    </row>
    <row r="20" spans="1:5" ht="72" customHeight="1">
      <c r="A20" s="24" t="s">
        <v>1242</v>
      </c>
      <c r="B20" s="24" t="s">
        <v>62</v>
      </c>
      <c r="C20" s="24">
        <v>12</v>
      </c>
      <c r="D20" s="24">
        <v>24</v>
      </c>
      <c r="E20" s="24" t="s">
        <v>2918</v>
      </c>
    </row>
    <row r="21" spans="1:5" ht="72" customHeight="1">
      <c r="A21" s="24" t="s">
        <v>1242</v>
      </c>
      <c r="B21" s="24" t="s">
        <v>65</v>
      </c>
      <c r="C21" s="24"/>
      <c r="D21" s="24" t="s">
        <v>1247</v>
      </c>
      <c r="E21" s="24" t="s">
        <v>2907</v>
      </c>
    </row>
    <row r="22" spans="1:5" ht="72" customHeight="1">
      <c r="A22" s="24" t="s">
        <v>1242</v>
      </c>
      <c r="B22" s="24" t="s">
        <v>54</v>
      </c>
      <c r="C22" s="24" t="s">
        <v>108</v>
      </c>
      <c r="D22" s="24" t="s">
        <v>1243</v>
      </c>
      <c r="E22" s="24" t="s">
        <v>2919</v>
      </c>
    </row>
    <row r="23" spans="1:5" ht="72" customHeight="1">
      <c r="A23" s="24" t="s">
        <v>1242</v>
      </c>
      <c r="B23" s="24" t="s">
        <v>55</v>
      </c>
      <c r="C23" s="24" t="s">
        <v>426</v>
      </c>
      <c r="D23" s="24" t="s">
        <v>109</v>
      </c>
      <c r="E23" s="24" t="s">
        <v>2919</v>
      </c>
    </row>
    <row r="24" spans="1:5" ht="72" customHeight="1">
      <c r="A24" s="24" t="s">
        <v>1242</v>
      </c>
      <c r="B24" s="24" t="s">
        <v>68</v>
      </c>
      <c r="C24" s="24" t="s">
        <v>121</v>
      </c>
      <c r="D24" s="24" t="s">
        <v>1250</v>
      </c>
      <c r="E24" s="24" t="s">
        <v>2919</v>
      </c>
    </row>
    <row r="25" spans="1:5" ht="72" customHeight="1">
      <c r="A25" s="24" t="s">
        <v>1242</v>
      </c>
      <c r="B25" s="24" t="s">
        <v>85</v>
      </c>
      <c r="C25" s="24" t="s">
        <v>135</v>
      </c>
      <c r="D25" s="24" t="s">
        <v>1254</v>
      </c>
      <c r="E25" s="24" t="s">
        <v>2919</v>
      </c>
    </row>
    <row r="26" spans="1:5" ht="72" customHeight="1">
      <c r="A26" s="24" t="s">
        <v>1757</v>
      </c>
      <c r="B26" s="24" t="s">
        <v>54</v>
      </c>
      <c r="C26" s="24" t="s">
        <v>108</v>
      </c>
      <c r="D26" s="24" t="s">
        <v>1243</v>
      </c>
      <c r="E26" s="24" t="s">
        <v>2919</v>
      </c>
    </row>
    <row r="27" spans="1:5" ht="72" customHeight="1">
      <c r="A27" s="24" t="s">
        <v>1757</v>
      </c>
      <c r="B27" s="24" t="s">
        <v>55</v>
      </c>
      <c r="C27" s="24" t="s">
        <v>426</v>
      </c>
      <c r="D27" s="24" t="s">
        <v>858</v>
      </c>
      <c r="E27" s="24" t="s">
        <v>2919</v>
      </c>
    </row>
    <row r="28" spans="1:5" ht="72" customHeight="1">
      <c r="A28" s="24" t="s">
        <v>1757</v>
      </c>
      <c r="B28" s="24" t="s">
        <v>68</v>
      </c>
      <c r="C28" s="24" t="s">
        <v>121</v>
      </c>
      <c r="D28" s="24" t="s">
        <v>1250</v>
      </c>
      <c r="E28" s="24" t="s">
        <v>2919</v>
      </c>
    </row>
    <row r="29" spans="1:5" ht="72" customHeight="1">
      <c r="A29" s="24" t="s">
        <v>1757</v>
      </c>
      <c r="B29" s="24" t="s">
        <v>85</v>
      </c>
      <c r="C29" s="24" t="s">
        <v>135</v>
      </c>
      <c r="D29" s="24" t="s">
        <v>1254</v>
      </c>
      <c r="E29" s="24" t="s">
        <v>2919</v>
      </c>
    </row>
    <row r="30" spans="1:5" ht="72" customHeight="1">
      <c r="A30" s="24" t="s">
        <v>1757</v>
      </c>
      <c r="B30" s="24" t="s">
        <v>65</v>
      </c>
      <c r="C30" s="24" t="s">
        <v>2756</v>
      </c>
      <c r="D30" s="24" t="s">
        <v>1761</v>
      </c>
      <c r="E30" s="24" t="s">
        <v>2907</v>
      </c>
    </row>
    <row r="31" spans="1:5" ht="72" customHeight="1">
      <c r="A31" s="24" t="s">
        <v>812</v>
      </c>
      <c r="B31" s="24" t="s">
        <v>65</v>
      </c>
      <c r="C31" s="24" t="s">
        <v>2920</v>
      </c>
      <c r="D31" s="24" t="s">
        <v>2921</v>
      </c>
      <c r="E31" s="24" t="s">
        <v>2922</v>
      </c>
    </row>
    <row r="32" spans="1:5" ht="72" customHeight="1">
      <c r="A32" s="24" t="s">
        <v>489</v>
      </c>
      <c r="B32" s="24" t="s">
        <v>60</v>
      </c>
      <c r="C32" s="24" t="s">
        <v>2923</v>
      </c>
      <c r="D32" s="24" t="s">
        <v>2924</v>
      </c>
      <c r="E32" s="24" t="s">
        <v>2925</v>
      </c>
    </row>
    <row r="33" spans="1:5" ht="72" customHeight="1">
      <c r="A33" s="24" t="s">
        <v>489</v>
      </c>
      <c r="B33" s="24" t="s">
        <v>61</v>
      </c>
      <c r="C33" s="24" t="s">
        <v>2926</v>
      </c>
      <c r="D33" s="24" t="s">
        <v>2927</v>
      </c>
      <c r="E33" s="24" t="s">
        <v>2928</v>
      </c>
    </row>
    <row r="34" spans="1:5" ht="72" customHeight="1">
      <c r="A34" s="24" t="s">
        <v>508</v>
      </c>
      <c r="B34" s="24" t="s">
        <v>60</v>
      </c>
      <c r="C34" s="24" t="s">
        <v>2929</v>
      </c>
      <c r="D34" s="24" t="s">
        <v>510</v>
      </c>
      <c r="E34" s="24" t="s">
        <v>2925</v>
      </c>
    </row>
    <row r="35" spans="1:5" ht="72" customHeight="1">
      <c r="A35" s="24" t="s">
        <v>508</v>
      </c>
      <c r="B35" s="24" t="s">
        <v>61</v>
      </c>
      <c r="C35" s="24" t="s">
        <v>2930</v>
      </c>
      <c r="D35" s="24" t="s">
        <v>511</v>
      </c>
      <c r="E35" s="24" t="s">
        <v>2928</v>
      </c>
    </row>
    <row r="36" spans="1:5" ht="72" customHeight="1">
      <c r="A36" s="24" t="s">
        <v>696</v>
      </c>
      <c r="B36" s="24" t="s">
        <v>60</v>
      </c>
      <c r="C36" s="24" t="s">
        <v>2931</v>
      </c>
      <c r="D36" s="24" t="s">
        <v>698</v>
      </c>
      <c r="E36" s="24" t="s">
        <v>2925</v>
      </c>
    </row>
    <row r="37" spans="1:5" ht="72" customHeight="1">
      <c r="A37" s="24" t="s">
        <v>696</v>
      </c>
      <c r="B37" s="24" t="s">
        <v>61</v>
      </c>
      <c r="C37" s="24" t="s">
        <v>2932</v>
      </c>
      <c r="D37" s="24" t="s">
        <v>699</v>
      </c>
      <c r="E37" s="24" t="s">
        <v>2928</v>
      </c>
    </row>
    <row r="38" spans="1:5" ht="72" customHeight="1">
      <c r="A38" s="24" t="s">
        <v>759</v>
      </c>
      <c r="B38" s="24" t="s">
        <v>60</v>
      </c>
      <c r="C38" s="24" t="s">
        <v>2933</v>
      </c>
      <c r="D38" s="24" t="s">
        <v>762</v>
      </c>
      <c r="E38" s="24" t="s">
        <v>2925</v>
      </c>
    </row>
    <row r="39" spans="1:5" ht="72" customHeight="1">
      <c r="A39" s="24" t="s">
        <v>759</v>
      </c>
      <c r="B39" s="24" t="s">
        <v>61</v>
      </c>
      <c r="C39" s="24" t="s">
        <v>2934</v>
      </c>
      <c r="D39" s="24" t="s">
        <v>763</v>
      </c>
      <c r="E39" s="24" t="s">
        <v>2928</v>
      </c>
    </row>
    <row r="40" spans="1:5" ht="72" customHeight="1">
      <c r="A40" s="24" t="s">
        <v>1117</v>
      </c>
      <c r="B40" s="24" t="s">
        <v>60</v>
      </c>
      <c r="C40" s="24" t="s">
        <v>2935</v>
      </c>
      <c r="D40" s="24" t="s">
        <v>1119</v>
      </c>
      <c r="E40" s="24" t="s">
        <v>2925</v>
      </c>
    </row>
    <row r="41" spans="1:5" ht="72" customHeight="1">
      <c r="A41" s="24" t="s">
        <v>1117</v>
      </c>
      <c r="B41" s="24" t="s">
        <v>61</v>
      </c>
      <c r="C41" s="24" t="s">
        <v>2936</v>
      </c>
      <c r="D41" s="24" t="s">
        <v>1120</v>
      </c>
      <c r="E41" s="24" t="s">
        <v>2928</v>
      </c>
    </row>
    <row r="42" spans="1:5" ht="72" customHeight="1">
      <c r="A42" s="24" t="s">
        <v>1149</v>
      </c>
      <c r="B42" s="24" t="s">
        <v>60</v>
      </c>
      <c r="C42" s="24" t="s">
        <v>2937</v>
      </c>
      <c r="D42" s="24" t="s">
        <v>1152</v>
      </c>
      <c r="E42" s="24" t="s">
        <v>2925</v>
      </c>
    </row>
    <row r="43" spans="1:5" ht="72" customHeight="1">
      <c r="A43" s="24" t="s">
        <v>1149</v>
      </c>
      <c r="B43" s="24" t="s">
        <v>61</v>
      </c>
      <c r="C43" s="24" t="s">
        <v>2938</v>
      </c>
      <c r="D43" s="24" t="s">
        <v>1153</v>
      </c>
      <c r="E43" s="24" t="s">
        <v>2928</v>
      </c>
    </row>
    <row r="44" spans="1:5" ht="72" customHeight="1">
      <c r="A44" s="24" t="s">
        <v>1160</v>
      </c>
      <c r="B44" s="24" t="s">
        <v>60</v>
      </c>
      <c r="C44" s="24" t="s">
        <v>2939</v>
      </c>
      <c r="D44" s="24" t="s">
        <v>1164</v>
      </c>
      <c r="E44" s="24" t="s">
        <v>2925</v>
      </c>
    </row>
    <row r="45" spans="1:5" ht="72" customHeight="1">
      <c r="A45" s="24" t="s">
        <v>1160</v>
      </c>
      <c r="B45" s="24" t="s">
        <v>61</v>
      </c>
      <c r="C45" s="24" t="s">
        <v>2940</v>
      </c>
      <c r="D45" s="24" t="s">
        <v>1165</v>
      </c>
      <c r="E45" s="24" t="s">
        <v>2928</v>
      </c>
    </row>
    <row r="46" spans="1:5" ht="72" customHeight="1">
      <c r="A46" s="24" t="s">
        <v>659</v>
      </c>
      <c r="B46" s="24" t="s">
        <v>60</v>
      </c>
      <c r="C46" s="24" t="s">
        <v>2941</v>
      </c>
      <c r="D46" s="24" t="s">
        <v>662</v>
      </c>
      <c r="E46" s="24" t="s">
        <v>2925</v>
      </c>
    </row>
    <row r="47" spans="1:5" ht="72" customHeight="1">
      <c r="A47" s="24" t="s">
        <v>659</v>
      </c>
      <c r="B47" s="24" t="s">
        <v>61</v>
      </c>
      <c r="C47" s="24" t="s">
        <v>2942</v>
      </c>
      <c r="D47" s="24" t="s">
        <v>663</v>
      </c>
      <c r="E47" s="24" t="s">
        <v>2928</v>
      </c>
    </row>
    <row r="48" spans="1:5" ht="72" customHeight="1">
      <c r="A48" s="24" t="s">
        <v>1586</v>
      </c>
      <c r="B48" s="24" t="s">
        <v>60</v>
      </c>
      <c r="C48" s="24" t="s">
        <v>2943</v>
      </c>
      <c r="D48" s="24" t="s">
        <v>1588</v>
      </c>
      <c r="E48" s="24" t="s">
        <v>2925</v>
      </c>
    </row>
    <row r="49" spans="1:5" ht="72" customHeight="1">
      <c r="A49" s="24" t="s">
        <v>1586</v>
      </c>
      <c r="B49" s="24" t="s">
        <v>61</v>
      </c>
      <c r="C49" s="24" t="s">
        <v>2944</v>
      </c>
      <c r="D49" s="24" t="s">
        <v>1589</v>
      </c>
      <c r="E49" s="24" t="s">
        <v>2928</v>
      </c>
    </row>
    <row r="50" spans="1:5" ht="72" customHeight="1">
      <c r="A50" s="24" t="s">
        <v>1593</v>
      </c>
      <c r="B50" s="24" t="s">
        <v>60</v>
      </c>
      <c r="C50" s="24" t="s">
        <v>2945</v>
      </c>
      <c r="D50" s="24" t="s">
        <v>2946</v>
      </c>
      <c r="E50" s="24" t="s">
        <v>2925</v>
      </c>
    </row>
    <row r="51" spans="1:5" ht="72" customHeight="1">
      <c r="A51" s="24" t="s">
        <v>1593</v>
      </c>
      <c r="B51" s="24" t="s">
        <v>61</v>
      </c>
      <c r="C51" s="24" t="s">
        <v>2947</v>
      </c>
      <c r="D51" s="24" t="s">
        <v>1597</v>
      </c>
      <c r="E51" s="24" t="s">
        <v>2928</v>
      </c>
    </row>
    <row r="52" spans="1:5" ht="72" customHeight="1">
      <c r="A52" s="24" t="s">
        <v>1655</v>
      </c>
      <c r="B52" s="24" t="s">
        <v>60</v>
      </c>
      <c r="C52" s="24" t="s">
        <v>2948</v>
      </c>
      <c r="D52" s="24" t="s">
        <v>1657</v>
      </c>
      <c r="E52" s="24" t="s">
        <v>2925</v>
      </c>
    </row>
    <row r="53" spans="1:5" ht="72" customHeight="1">
      <c r="A53" s="24" t="s">
        <v>1655</v>
      </c>
      <c r="B53" s="24" t="s">
        <v>61</v>
      </c>
      <c r="C53" s="24" t="s">
        <v>2949</v>
      </c>
      <c r="D53" s="24" t="s">
        <v>1658</v>
      </c>
      <c r="E53" s="24" t="s">
        <v>2928</v>
      </c>
    </row>
    <row r="54" spans="1:5" ht="72" customHeight="1">
      <c r="A54" s="24" t="s">
        <v>1625</v>
      </c>
      <c r="B54" s="24" t="s">
        <v>60</v>
      </c>
      <c r="C54" s="24" t="s">
        <v>2950</v>
      </c>
      <c r="D54" s="24" t="s">
        <v>1628</v>
      </c>
      <c r="E54" s="24" t="s">
        <v>2925</v>
      </c>
    </row>
    <row r="55" spans="1:5" ht="72" customHeight="1">
      <c r="A55" s="24" t="s">
        <v>1625</v>
      </c>
      <c r="B55" s="24" t="s">
        <v>61</v>
      </c>
      <c r="C55" s="24" t="s">
        <v>2951</v>
      </c>
      <c r="D55" s="24" t="s">
        <v>1629</v>
      </c>
      <c r="E55" s="24" t="s">
        <v>2928</v>
      </c>
    </row>
    <row r="56" spans="1:5" ht="72" customHeight="1">
      <c r="A56" s="24" t="s">
        <v>812</v>
      </c>
      <c r="B56" s="24" t="s">
        <v>60</v>
      </c>
      <c r="C56" s="24" t="s">
        <v>2952</v>
      </c>
      <c r="D56" s="24" t="s">
        <v>1444</v>
      </c>
      <c r="E56" s="24" t="s">
        <v>2925</v>
      </c>
    </row>
    <row r="57" spans="1:5" ht="72" customHeight="1">
      <c r="A57" s="24" t="s">
        <v>812</v>
      </c>
      <c r="B57" s="24" t="s">
        <v>61</v>
      </c>
      <c r="C57" s="24" t="s">
        <v>2953</v>
      </c>
      <c r="D57" s="24" t="s">
        <v>2954</v>
      </c>
      <c r="E57" s="24" t="s">
        <v>2928</v>
      </c>
    </row>
    <row r="58" spans="1:5" ht="72" customHeight="1">
      <c r="A58" s="24" t="s">
        <v>1310</v>
      </c>
      <c r="B58" s="24" t="s">
        <v>60</v>
      </c>
      <c r="C58" s="24" t="s">
        <v>2955</v>
      </c>
      <c r="D58" s="24" t="s">
        <v>1312</v>
      </c>
      <c r="E58" s="24" t="s">
        <v>2925</v>
      </c>
    </row>
    <row r="59" spans="1:5" ht="72" customHeight="1">
      <c r="A59" s="24" t="s">
        <v>1310</v>
      </c>
      <c r="B59" s="24" t="s">
        <v>61</v>
      </c>
      <c r="C59" s="24" t="s">
        <v>2956</v>
      </c>
      <c r="D59" s="24" t="s">
        <v>1313</v>
      </c>
      <c r="E59" s="24" t="s">
        <v>2928</v>
      </c>
    </row>
    <row r="60" spans="1:5" ht="72" customHeight="1">
      <c r="A60" s="24" t="s">
        <v>1685</v>
      </c>
      <c r="B60" s="24" t="s">
        <v>60</v>
      </c>
      <c r="C60" s="24" t="s">
        <v>2957</v>
      </c>
      <c r="D60" s="24" t="s">
        <v>1688</v>
      </c>
      <c r="E60" s="24" t="s">
        <v>2925</v>
      </c>
    </row>
    <row r="61" spans="1:5" ht="72" customHeight="1">
      <c r="A61" s="24" t="s">
        <v>1685</v>
      </c>
      <c r="B61" s="24" t="s">
        <v>61</v>
      </c>
      <c r="C61" s="24" t="s">
        <v>2958</v>
      </c>
      <c r="D61" s="24" t="s">
        <v>1689</v>
      </c>
      <c r="E61" s="24" t="s">
        <v>2928</v>
      </c>
    </row>
    <row r="62" spans="1:5" ht="72" customHeight="1">
      <c r="A62" s="24" t="s">
        <v>1289</v>
      </c>
      <c r="B62" s="24" t="s">
        <v>60</v>
      </c>
      <c r="C62" s="24" t="s">
        <v>2959</v>
      </c>
      <c r="D62" s="24" t="s">
        <v>1291</v>
      </c>
      <c r="E62" s="24" t="s">
        <v>2925</v>
      </c>
    </row>
    <row r="63" spans="1:5" ht="72" customHeight="1">
      <c r="A63" s="24" t="s">
        <v>1289</v>
      </c>
      <c r="B63" s="24" t="s">
        <v>61</v>
      </c>
      <c r="C63" s="24" t="s">
        <v>2960</v>
      </c>
      <c r="D63" s="24" t="s">
        <v>1292</v>
      </c>
      <c r="E63" s="24" t="s">
        <v>2928</v>
      </c>
    </row>
    <row r="64" spans="1:5" ht="72" customHeight="1">
      <c r="A64" s="24" t="s">
        <v>1296</v>
      </c>
      <c r="B64" s="24" t="s">
        <v>60</v>
      </c>
      <c r="C64" s="24" t="s">
        <v>2961</v>
      </c>
      <c r="D64" s="24" t="s">
        <v>1299</v>
      </c>
      <c r="E64" s="24" t="s">
        <v>2925</v>
      </c>
    </row>
    <row r="65" spans="1:5" ht="72" customHeight="1">
      <c r="A65" s="24" t="s">
        <v>1296</v>
      </c>
      <c r="B65" s="24" t="s">
        <v>61</v>
      </c>
      <c r="C65" s="24" t="s">
        <v>2962</v>
      </c>
      <c r="D65" s="24" t="s">
        <v>1300</v>
      </c>
      <c r="E65" s="24" t="s">
        <v>2928</v>
      </c>
    </row>
    <row r="66" spans="1:5" ht="72" customHeight="1">
      <c r="A66" s="24" t="s">
        <v>489</v>
      </c>
      <c r="B66" s="24" t="s">
        <v>81</v>
      </c>
      <c r="C66" s="24" t="s">
        <v>2845</v>
      </c>
      <c r="D66" s="24" t="s">
        <v>2963</v>
      </c>
      <c r="E66" s="24" t="s">
        <v>2906</v>
      </c>
    </row>
    <row r="67" spans="1:5" ht="72" customHeight="1">
      <c r="A67" s="24" t="s">
        <v>1149</v>
      </c>
      <c r="B67" s="24" t="s">
        <v>81</v>
      </c>
      <c r="C67" s="24"/>
      <c r="D67" s="24" t="s">
        <v>1158</v>
      </c>
      <c r="E67" s="24" t="s">
        <v>2906</v>
      </c>
    </row>
    <row r="68" spans="1:5" ht="72" customHeight="1">
      <c r="A68" s="24" t="s">
        <v>1586</v>
      </c>
      <c r="B68" s="24" t="s">
        <v>81</v>
      </c>
      <c r="C68" s="24" t="s">
        <v>2964</v>
      </c>
      <c r="D68" s="24" t="s">
        <v>1592</v>
      </c>
      <c r="E68" s="24" t="s">
        <v>2906</v>
      </c>
    </row>
    <row r="69" spans="1:5" ht="72" customHeight="1">
      <c r="A69" s="24" t="s">
        <v>812</v>
      </c>
      <c r="B69" s="24" t="s">
        <v>81</v>
      </c>
      <c r="C69" s="24" t="s">
        <v>2965</v>
      </c>
      <c r="D69" s="24" t="s">
        <v>1454</v>
      </c>
      <c r="E69" s="24" t="s">
        <v>2906</v>
      </c>
    </row>
    <row r="70" spans="1:5" ht="72" customHeight="1">
      <c r="A70" s="24" t="s">
        <v>696</v>
      </c>
      <c r="B70" s="24" t="s">
        <v>81</v>
      </c>
      <c r="C70" s="24" t="s">
        <v>2966</v>
      </c>
      <c r="D70" s="24" t="s">
        <v>706</v>
      </c>
      <c r="E70" s="24" t="s">
        <v>2906</v>
      </c>
    </row>
    <row r="71" spans="1:5" ht="72" customHeight="1">
      <c r="A71" s="24" t="s">
        <v>759</v>
      </c>
      <c r="B71" s="24" t="s">
        <v>81</v>
      </c>
      <c r="C71" s="24"/>
      <c r="D71" s="24" t="s">
        <v>577</v>
      </c>
      <c r="E71" s="24" t="s">
        <v>2906</v>
      </c>
    </row>
    <row r="72" spans="1:5" ht="72" customHeight="1">
      <c r="A72" s="24" t="s">
        <v>696</v>
      </c>
      <c r="B72" s="24" t="s">
        <v>63</v>
      </c>
      <c r="C72" s="24" t="s">
        <v>455</v>
      </c>
      <c r="D72" s="24" t="s">
        <v>653</v>
      </c>
      <c r="E72" s="24" t="s">
        <v>2967</v>
      </c>
    </row>
    <row r="73" spans="1:5" ht="72" customHeight="1">
      <c r="A73" s="24" t="s">
        <v>723</v>
      </c>
      <c r="B73" s="24" t="s">
        <v>63</v>
      </c>
      <c r="C73" s="24" t="s">
        <v>653</v>
      </c>
      <c r="D73" s="24" t="s">
        <v>455</v>
      </c>
      <c r="E73" s="24" t="s">
        <v>2968</v>
      </c>
    </row>
    <row r="74" spans="1:5" ht="72" customHeight="1">
      <c r="A74" s="24" t="s">
        <v>772</v>
      </c>
      <c r="B74" s="24" t="s">
        <v>65</v>
      </c>
      <c r="C74" s="24" t="s">
        <v>2969</v>
      </c>
      <c r="D74" s="24" t="s">
        <v>2970</v>
      </c>
      <c r="E74" s="24" t="s">
        <v>2907</v>
      </c>
    </row>
    <row r="75" spans="1:5" ht="72" customHeight="1">
      <c r="A75" s="24" t="s">
        <v>514</v>
      </c>
      <c r="B75" s="24" t="s">
        <v>65</v>
      </c>
      <c r="C75" s="24" t="s">
        <v>2734</v>
      </c>
      <c r="D75" s="24" t="s">
        <v>519</v>
      </c>
      <c r="E75" s="24" t="s">
        <v>2907</v>
      </c>
    </row>
    <row r="76" spans="1:5" ht="72" customHeight="1">
      <c r="A76" s="24" t="s">
        <v>514</v>
      </c>
      <c r="B76" s="24" t="s">
        <v>66</v>
      </c>
      <c r="C76" s="24" t="s">
        <v>2735</v>
      </c>
      <c r="D76" s="24" t="s">
        <v>457</v>
      </c>
      <c r="E76" s="24" t="s">
        <v>2971</v>
      </c>
    </row>
    <row r="77" spans="1:5" ht="72" customHeight="1">
      <c r="A77" s="24" t="s">
        <v>539</v>
      </c>
      <c r="B77" s="24" t="s">
        <v>65</v>
      </c>
      <c r="C77" s="24" t="s">
        <v>2741</v>
      </c>
      <c r="D77" s="24" t="s">
        <v>543</v>
      </c>
      <c r="E77" s="24" t="s">
        <v>2971</v>
      </c>
    </row>
    <row r="78" spans="1:5" ht="72" customHeight="1">
      <c r="A78" s="24" t="s">
        <v>559</v>
      </c>
      <c r="B78" s="24" t="s">
        <v>65</v>
      </c>
      <c r="C78" s="24" t="s">
        <v>2744</v>
      </c>
      <c r="D78" s="24" t="s">
        <v>563</v>
      </c>
      <c r="E78" s="24" t="s">
        <v>2971</v>
      </c>
    </row>
    <row r="79" spans="1:5" ht="72" customHeight="1">
      <c r="A79" s="24" t="s">
        <v>1465</v>
      </c>
      <c r="B79" s="24" t="s">
        <v>65</v>
      </c>
      <c r="C79" s="24" t="s">
        <v>2972</v>
      </c>
      <c r="D79" s="24" t="s">
        <v>1470</v>
      </c>
      <c r="E79" s="24" t="s">
        <v>2971</v>
      </c>
    </row>
    <row r="80" spans="1:5" ht="72" customHeight="1">
      <c r="A80" s="24" t="s">
        <v>1633</v>
      </c>
      <c r="B80" s="24" t="s">
        <v>65</v>
      </c>
      <c r="C80" s="24" t="s">
        <v>2973</v>
      </c>
      <c r="D80" s="24" t="s">
        <v>1638</v>
      </c>
      <c r="E80" s="24" t="s">
        <v>2971</v>
      </c>
    </row>
    <row r="81" spans="1:5" ht="72" customHeight="1">
      <c r="A81" s="24" t="s">
        <v>787</v>
      </c>
      <c r="B81" s="24" t="s">
        <v>2573</v>
      </c>
      <c r="C81" s="24"/>
      <c r="D81" s="24" t="s">
        <v>788</v>
      </c>
      <c r="E81" s="24" t="s">
        <v>2974</v>
      </c>
    </row>
    <row r="82" spans="1:5" ht="72" customHeight="1">
      <c r="A82" s="24" t="s">
        <v>1455</v>
      </c>
      <c r="B82" s="24" t="s">
        <v>2573</v>
      </c>
      <c r="C82" s="24"/>
      <c r="D82" s="24" t="s">
        <v>1456</v>
      </c>
      <c r="E82" s="24" t="s">
        <v>2974</v>
      </c>
    </row>
    <row r="83" spans="1:5" ht="72" customHeight="1">
      <c r="A83" s="24" t="s">
        <v>1766</v>
      </c>
      <c r="B83" s="24" t="s">
        <v>2573</v>
      </c>
      <c r="C83" s="24"/>
      <c r="D83" s="24" t="s">
        <v>1767</v>
      </c>
      <c r="E83" s="24" t="s">
        <v>2974</v>
      </c>
    </row>
    <row r="84" spans="1:5" ht="72" customHeight="1">
      <c r="A84" s="24" t="s">
        <v>1248</v>
      </c>
      <c r="B84" s="24" t="s">
        <v>65</v>
      </c>
      <c r="C84" s="24" t="s">
        <v>2975</v>
      </c>
      <c r="D84" s="24" t="s">
        <v>2976</v>
      </c>
      <c r="E84" s="24" t="s">
        <v>2907</v>
      </c>
    </row>
    <row r="85" spans="1:5" ht="72" customHeight="1">
      <c r="A85" s="24" t="s">
        <v>737</v>
      </c>
      <c r="B85" s="24" t="s">
        <v>65</v>
      </c>
      <c r="C85" s="24" t="s">
        <v>2757</v>
      </c>
      <c r="D85" s="24" t="s">
        <v>2977</v>
      </c>
      <c r="E85" s="24" t="s">
        <v>2907</v>
      </c>
    </row>
    <row r="86" spans="1:5" ht="72" customHeight="1">
      <c r="A86" s="24" t="s">
        <v>107</v>
      </c>
      <c r="B86" s="24" t="s">
        <v>67</v>
      </c>
      <c r="C86" s="24" t="s">
        <v>2978</v>
      </c>
      <c r="D86" s="24" t="s">
        <v>120</v>
      </c>
      <c r="E86" s="24" t="s">
        <v>2979</v>
      </c>
    </row>
    <row r="87" spans="1:5" ht="72" customHeight="1">
      <c r="A87" s="24" t="s">
        <v>143</v>
      </c>
      <c r="B87" s="24" t="s">
        <v>67</v>
      </c>
      <c r="C87" s="24" t="s">
        <v>2978</v>
      </c>
      <c r="D87" s="24" t="s">
        <v>120</v>
      </c>
      <c r="E87" s="24" t="s">
        <v>2979</v>
      </c>
    </row>
    <row r="88" spans="1:5" ht="72" customHeight="1">
      <c r="A88" s="24" t="s">
        <v>158</v>
      </c>
      <c r="B88" s="24" t="s">
        <v>67</v>
      </c>
      <c r="C88" s="24" t="s">
        <v>2978</v>
      </c>
      <c r="D88" s="24" t="s">
        <v>120</v>
      </c>
      <c r="E88" s="24" t="s">
        <v>2979</v>
      </c>
    </row>
    <row r="89" spans="1:5" ht="72" customHeight="1">
      <c r="A89" s="24" t="s">
        <v>168</v>
      </c>
      <c r="B89" s="24" t="s">
        <v>67</v>
      </c>
      <c r="C89" s="24" t="s">
        <v>2978</v>
      </c>
      <c r="D89" s="24" t="s">
        <v>120</v>
      </c>
      <c r="E89" s="24" t="s">
        <v>2979</v>
      </c>
    </row>
    <row r="90" spans="1:5" ht="72" customHeight="1">
      <c r="A90" s="24" t="s">
        <v>180</v>
      </c>
      <c r="B90" s="24" t="s">
        <v>67</v>
      </c>
      <c r="C90" s="24" t="s">
        <v>2978</v>
      </c>
      <c r="D90" s="24" t="s">
        <v>120</v>
      </c>
      <c r="E90" s="24" t="s">
        <v>2979</v>
      </c>
    </row>
    <row r="91" spans="1:5" ht="72" customHeight="1">
      <c r="A91" s="24" t="s">
        <v>192</v>
      </c>
      <c r="B91" s="24" t="s">
        <v>67</v>
      </c>
      <c r="C91" s="24" t="s">
        <v>2978</v>
      </c>
      <c r="D91" s="24" t="s">
        <v>120</v>
      </c>
      <c r="E91" s="24" t="s">
        <v>2979</v>
      </c>
    </row>
    <row r="92" spans="1:5" ht="72" customHeight="1">
      <c r="A92" s="24" t="s">
        <v>199</v>
      </c>
      <c r="B92" s="24" t="s">
        <v>67</v>
      </c>
      <c r="C92" s="24" t="s">
        <v>2978</v>
      </c>
      <c r="D92" s="24" t="s">
        <v>120</v>
      </c>
      <c r="E92" s="24" t="s">
        <v>2979</v>
      </c>
    </row>
    <row r="93" spans="1:5" ht="72" customHeight="1">
      <c r="A93" s="24" t="s">
        <v>211</v>
      </c>
      <c r="B93" s="24" t="s">
        <v>67</v>
      </c>
      <c r="C93" s="24" t="s">
        <v>2978</v>
      </c>
      <c r="D93" s="24" t="s">
        <v>120</v>
      </c>
      <c r="E93" s="24" t="s">
        <v>2979</v>
      </c>
    </row>
    <row r="94" spans="1:5" ht="72" customHeight="1">
      <c r="A94" s="24" t="s">
        <v>219</v>
      </c>
      <c r="B94" s="24" t="s">
        <v>67</v>
      </c>
      <c r="C94" s="24" t="s">
        <v>2978</v>
      </c>
      <c r="D94" s="24" t="s">
        <v>120</v>
      </c>
      <c r="E94" s="24" t="s">
        <v>2979</v>
      </c>
    </row>
    <row r="95" spans="1:5" ht="72" customHeight="1">
      <c r="A95" s="24" t="s">
        <v>118</v>
      </c>
      <c r="B95" s="24" t="s">
        <v>67</v>
      </c>
      <c r="C95" s="24" t="s">
        <v>2978</v>
      </c>
      <c r="D95" s="24" t="s">
        <v>120</v>
      </c>
      <c r="E95" s="24" t="s">
        <v>2979</v>
      </c>
    </row>
    <row r="96" spans="1:5" ht="72" customHeight="1">
      <c r="A96" s="24" t="s">
        <v>239</v>
      </c>
      <c r="B96" s="24" t="s">
        <v>67</v>
      </c>
      <c r="C96" s="24" t="s">
        <v>2978</v>
      </c>
      <c r="D96" s="24" t="s">
        <v>120</v>
      </c>
      <c r="E96" s="24" t="s">
        <v>2979</v>
      </c>
    </row>
    <row r="97" spans="1:5" ht="72" customHeight="1">
      <c r="A97" s="24" t="s">
        <v>252</v>
      </c>
      <c r="B97" s="24" t="s">
        <v>67</v>
      </c>
      <c r="C97" s="24" t="s">
        <v>2978</v>
      </c>
      <c r="D97" s="24" t="s">
        <v>120</v>
      </c>
      <c r="E97" s="24" t="s">
        <v>2979</v>
      </c>
    </row>
    <row r="98" spans="1:5" ht="72" customHeight="1">
      <c r="A98" s="24" t="s">
        <v>262</v>
      </c>
      <c r="B98" s="24" t="s">
        <v>67</v>
      </c>
      <c r="C98" s="24" t="s">
        <v>2978</v>
      </c>
      <c r="D98" s="24" t="s">
        <v>120</v>
      </c>
      <c r="E98" s="24" t="s">
        <v>2979</v>
      </c>
    </row>
    <row r="99" spans="1:5" ht="72" customHeight="1">
      <c r="A99" s="24" t="s">
        <v>274</v>
      </c>
      <c r="B99" s="24" t="s">
        <v>67</v>
      </c>
      <c r="C99" s="24" t="s">
        <v>2978</v>
      </c>
      <c r="D99" s="24" t="s">
        <v>120</v>
      </c>
      <c r="E99" s="24" t="s">
        <v>2979</v>
      </c>
    </row>
    <row r="100" spans="1:5" ht="72" customHeight="1">
      <c r="A100" s="24" t="s">
        <v>287</v>
      </c>
      <c r="B100" s="24" t="s">
        <v>67</v>
      </c>
      <c r="C100" s="24" t="s">
        <v>2978</v>
      </c>
      <c r="D100" s="24" t="s">
        <v>120</v>
      </c>
      <c r="E100" s="24" t="s">
        <v>2979</v>
      </c>
    </row>
    <row r="101" spans="1:5" ht="72" customHeight="1">
      <c r="A101" s="24" t="s">
        <v>299</v>
      </c>
      <c r="B101" s="24" t="s">
        <v>67</v>
      </c>
      <c r="C101" s="24" t="s">
        <v>2978</v>
      </c>
      <c r="D101" s="24" t="s">
        <v>120</v>
      </c>
      <c r="E101" s="24" t="s">
        <v>2979</v>
      </c>
    </row>
    <row r="102" spans="1:5" ht="72" customHeight="1">
      <c r="A102" s="24" t="s">
        <v>309</v>
      </c>
      <c r="B102" s="24" t="s">
        <v>67</v>
      </c>
      <c r="C102" s="24" t="s">
        <v>2978</v>
      </c>
      <c r="D102" s="24" t="s">
        <v>120</v>
      </c>
      <c r="E102" s="24" t="s">
        <v>2979</v>
      </c>
    </row>
    <row r="103" spans="1:5" ht="72" customHeight="1">
      <c r="A103" s="24" t="s">
        <v>322</v>
      </c>
      <c r="B103" s="24" t="s">
        <v>67</v>
      </c>
      <c r="C103" s="24" t="s">
        <v>2978</v>
      </c>
      <c r="D103" s="24" t="s">
        <v>120</v>
      </c>
      <c r="E103" s="24" t="s">
        <v>2979</v>
      </c>
    </row>
    <row r="104" spans="1:5" ht="72" customHeight="1">
      <c r="A104" s="24" t="s">
        <v>334</v>
      </c>
      <c r="B104" s="24" t="s">
        <v>67</v>
      </c>
      <c r="C104" s="24" t="s">
        <v>2978</v>
      </c>
      <c r="D104" s="24" t="s">
        <v>120</v>
      </c>
      <c r="E104" s="24" t="s">
        <v>2979</v>
      </c>
    </row>
    <row r="105" spans="1:5" ht="72" customHeight="1">
      <c r="A105" s="24" t="s">
        <v>346</v>
      </c>
      <c r="B105" s="24" t="s">
        <v>67</v>
      </c>
      <c r="C105" s="24" t="s">
        <v>2978</v>
      </c>
      <c r="D105" s="24" t="s">
        <v>120</v>
      </c>
      <c r="E105" s="24" t="s">
        <v>2979</v>
      </c>
    </row>
    <row r="106" spans="1:5" ht="72" customHeight="1">
      <c r="A106" s="24" t="s">
        <v>425</v>
      </c>
      <c r="B106" s="24" t="s">
        <v>67</v>
      </c>
      <c r="C106" s="24" t="s">
        <v>2978</v>
      </c>
      <c r="D106" s="24" t="s">
        <v>120</v>
      </c>
      <c r="E106" s="24" t="s">
        <v>2979</v>
      </c>
    </row>
    <row r="107" spans="1:5" ht="72" customHeight="1">
      <c r="A107" s="24" t="s">
        <v>439</v>
      </c>
      <c r="B107" s="24" t="s">
        <v>67</v>
      </c>
      <c r="C107" s="24" t="s">
        <v>2978</v>
      </c>
      <c r="D107" s="24" t="s">
        <v>120</v>
      </c>
      <c r="E107" s="24" t="s">
        <v>2979</v>
      </c>
    </row>
    <row r="108" spans="1:5" ht="72" customHeight="1">
      <c r="A108" s="24" t="s">
        <v>445</v>
      </c>
      <c r="B108" s="24" t="s">
        <v>67</v>
      </c>
      <c r="C108" s="24" t="s">
        <v>2978</v>
      </c>
      <c r="D108" s="24" t="s">
        <v>120</v>
      </c>
      <c r="E108" s="24" t="s">
        <v>2979</v>
      </c>
    </row>
    <row r="109" spans="1:5" ht="72" customHeight="1">
      <c r="A109" s="24" t="s">
        <v>451</v>
      </c>
      <c r="B109" s="24" t="s">
        <v>67</v>
      </c>
      <c r="C109" s="24" t="s">
        <v>2978</v>
      </c>
      <c r="D109" s="24" t="s">
        <v>120</v>
      </c>
      <c r="E109" s="24" t="s">
        <v>2979</v>
      </c>
    </row>
    <row r="110" spans="1:5" ht="72" customHeight="1">
      <c r="A110" s="24" t="s">
        <v>463</v>
      </c>
      <c r="B110" s="24" t="s">
        <v>67</v>
      </c>
      <c r="C110" s="24" t="s">
        <v>2978</v>
      </c>
      <c r="D110" s="24" t="s">
        <v>120</v>
      </c>
      <c r="E110" s="24" t="s">
        <v>2979</v>
      </c>
    </row>
    <row r="111" spans="1:5" ht="72" customHeight="1">
      <c r="A111" s="24" t="s">
        <v>476</v>
      </c>
      <c r="B111" s="24" t="s">
        <v>67</v>
      </c>
      <c r="C111" s="24" t="s">
        <v>2978</v>
      </c>
      <c r="D111" s="24" t="s">
        <v>120</v>
      </c>
      <c r="E111" s="24" t="s">
        <v>2979</v>
      </c>
    </row>
    <row r="112" spans="1:5" ht="72" customHeight="1">
      <c r="A112" s="24" t="s">
        <v>489</v>
      </c>
      <c r="B112" s="24" t="s">
        <v>67</v>
      </c>
      <c r="C112" s="24" t="s">
        <v>2978</v>
      </c>
      <c r="D112" s="24" t="s">
        <v>120</v>
      </c>
      <c r="E112" s="24" t="s">
        <v>2979</v>
      </c>
    </row>
    <row r="113" spans="1:5" ht="72" customHeight="1">
      <c r="A113" s="24" t="s">
        <v>498</v>
      </c>
      <c r="B113" s="24" t="s">
        <v>67</v>
      </c>
      <c r="C113" s="24" t="s">
        <v>2978</v>
      </c>
      <c r="D113" s="24" t="s">
        <v>120</v>
      </c>
      <c r="E113" s="24" t="s">
        <v>2979</v>
      </c>
    </row>
    <row r="114" spans="1:5" ht="72" customHeight="1">
      <c r="A114" s="24" t="s">
        <v>508</v>
      </c>
      <c r="B114" s="24" t="s">
        <v>67</v>
      </c>
      <c r="C114" s="24" t="s">
        <v>2978</v>
      </c>
      <c r="D114" s="24" t="s">
        <v>120</v>
      </c>
      <c r="E114" s="24" t="s">
        <v>2979</v>
      </c>
    </row>
    <row r="115" spans="1:5" ht="72" customHeight="1">
      <c r="A115" s="24" t="s">
        <v>514</v>
      </c>
      <c r="B115" s="24" t="s">
        <v>67</v>
      </c>
      <c r="C115" s="24" t="s">
        <v>2978</v>
      </c>
      <c r="D115" s="24" t="s">
        <v>120</v>
      </c>
      <c r="E115" s="24" t="s">
        <v>2979</v>
      </c>
    </row>
    <row r="116" spans="1:5" ht="72" customHeight="1">
      <c r="A116" s="24" t="s">
        <v>522</v>
      </c>
      <c r="B116" s="24" t="s">
        <v>67</v>
      </c>
      <c r="C116" s="24" t="s">
        <v>2978</v>
      </c>
      <c r="D116" s="24" t="s">
        <v>120</v>
      </c>
      <c r="E116" s="24" t="s">
        <v>2979</v>
      </c>
    </row>
    <row r="117" spans="1:5" ht="72" customHeight="1">
      <c r="A117" s="24" t="s">
        <v>522</v>
      </c>
      <c r="B117" s="24" t="s">
        <v>72</v>
      </c>
      <c r="C117" s="24" t="s">
        <v>2980</v>
      </c>
      <c r="D117" s="24" t="s">
        <v>529</v>
      </c>
      <c r="E117" s="24" t="s">
        <v>2981</v>
      </c>
    </row>
    <row r="118" spans="1:5" ht="72" customHeight="1">
      <c r="A118" s="24" t="s">
        <v>522</v>
      </c>
      <c r="B118" s="24" t="s">
        <v>76</v>
      </c>
      <c r="C118" s="24" t="s">
        <v>435</v>
      </c>
      <c r="D118" s="24" t="s">
        <v>531</v>
      </c>
      <c r="E118" s="24" t="s">
        <v>2982</v>
      </c>
    </row>
    <row r="119" spans="1:5" ht="72" customHeight="1">
      <c r="A119" s="24" t="s">
        <v>539</v>
      </c>
      <c r="B119" s="24" t="s">
        <v>67</v>
      </c>
      <c r="C119" s="24" t="s">
        <v>2978</v>
      </c>
      <c r="D119" s="24" t="s">
        <v>120</v>
      </c>
      <c r="E119" s="24" t="s">
        <v>2979</v>
      </c>
    </row>
    <row r="120" spans="1:5" ht="72" customHeight="1">
      <c r="A120" s="24" t="s">
        <v>548</v>
      </c>
      <c r="B120" s="24" t="s">
        <v>67</v>
      </c>
      <c r="C120" s="24" t="s">
        <v>2978</v>
      </c>
      <c r="D120" s="24" t="s">
        <v>120</v>
      </c>
      <c r="E120" s="24" t="s">
        <v>2979</v>
      </c>
    </row>
    <row r="121" spans="1:5" ht="72" customHeight="1">
      <c r="A121" s="24" t="s">
        <v>548</v>
      </c>
      <c r="B121" s="24" t="s">
        <v>72</v>
      </c>
      <c r="C121" s="24" t="s">
        <v>2983</v>
      </c>
      <c r="D121" s="24" t="s">
        <v>555</v>
      </c>
      <c r="E121" s="24" t="s">
        <v>2981</v>
      </c>
    </row>
    <row r="122" spans="1:5" ht="72" customHeight="1">
      <c r="A122" s="24" t="s">
        <v>548</v>
      </c>
      <c r="B122" s="24" t="s">
        <v>76</v>
      </c>
      <c r="C122" s="24" t="s">
        <v>435</v>
      </c>
      <c r="D122" s="24" t="s">
        <v>531</v>
      </c>
      <c r="E122" s="24" t="s">
        <v>2982</v>
      </c>
    </row>
    <row r="123" spans="1:5" ht="72" customHeight="1">
      <c r="A123" s="24" t="s">
        <v>559</v>
      </c>
      <c r="B123" s="24" t="s">
        <v>67</v>
      </c>
      <c r="C123" s="24" t="s">
        <v>2978</v>
      </c>
      <c r="D123" s="24" t="s">
        <v>120</v>
      </c>
      <c r="E123" s="24" t="s">
        <v>2979</v>
      </c>
    </row>
    <row r="124" spans="1:5" ht="72" customHeight="1">
      <c r="A124" s="24" t="s">
        <v>1242</v>
      </c>
      <c r="B124" s="24" t="s">
        <v>67</v>
      </c>
      <c r="C124" s="24" t="s">
        <v>2978</v>
      </c>
      <c r="D124" s="24" t="s">
        <v>1249</v>
      </c>
      <c r="E124" s="24" t="s">
        <v>2979</v>
      </c>
    </row>
    <row r="125" spans="1:5" ht="72" customHeight="1">
      <c r="A125" s="24" t="s">
        <v>1242</v>
      </c>
      <c r="B125" s="24" t="s">
        <v>71</v>
      </c>
      <c r="C125" s="24" t="s">
        <v>433</v>
      </c>
      <c r="D125" s="24" t="s">
        <v>1251</v>
      </c>
      <c r="E125" s="24" t="s">
        <v>2984</v>
      </c>
    </row>
    <row r="126" spans="1:5" ht="72" customHeight="1">
      <c r="A126" s="24" t="s">
        <v>1242</v>
      </c>
      <c r="B126" s="24" t="s">
        <v>75</v>
      </c>
      <c r="C126" s="24" t="s">
        <v>434</v>
      </c>
      <c r="D126" s="24" t="s">
        <v>1253</v>
      </c>
      <c r="E126" s="24" t="s">
        <v>2984</v>
      </c>
    </row>
    <row r="127" spans="1:5" ht="72" customHeight="1">
      <c r="A127" s="24" t="s">
        <v>1242</v>
      </c>
      <c r="B127" s="24" t="s">
        <v>72</v>
      </c>
      <c r="C127" s="24" t="s">
        <v>2983</v>
      </c>
      <c r="D127" s="24" t="s">
        <v>1252</v>
      </c>
      <c r="E127" s="24" t="s">
        <v>2981</v>
      </c>
    </row>
    <row r="128" spans="1:5" ht="72" customHeight="1">
      <c r="A128" s="24" t="s">
        <v>1242</v>
      </c>
      <c r="B128" s="24" t="s">
        <v>76</v>
      </c>
      <c r="C128" s="24" t="s">
        <v>435</v>
      </c>
      <c r="D128" s="24" t="s">
        <v>531</v>
      </c>
      <c r="E128" s="24" t="s">
        <v>2982</v>
      </c>
    </row>
    <row r="129" spans="1:5" ht="72" customHeight="1">
      <c r="A129" s="24" t="s">
        <v>567</v>
      </c>
      <c r="B129" s="24" t="s">
        <v>67</v>
      </c>
      <c r="C129" s="24" t="s">
        <v>2978</v>
      </c>
      <c r="D129" s="24" t="s">
        <v>120</v>
      </c>
      <c r="E129" s="24" t="s">
        <v>2979</v>
      </c>
    </row>
    <row r="130" spans="1:5" ht="72" customHeight="1">
      <c r="A130" s="24" t="s">
        <v>579</v>
      </c>
      <c r="B130" s="24" t="s">
        <v>67</v>
      </c>
      <c r="C130" s="24" t="s">
        <v>2978</v>
      </c>
      <c r="D130" s="24" t="s">
        <v>120</v>
      </c>
      <c r="E130" s="24" t="s">
        <v>2979</v>
      </c>
    </row>
    <row r="131" spans="1:5" ht="72" customHeight="1">
      <c r="A131" s="24" t="s">
        <v>595</v>
      </c>
      <c r="B131" s="24" t="s">
        <v>67</v>
      </c>
      <c r="C131" s="24" t="s">
        <v>2978</v>
      </c>
      <c r="D131" s="24" t="s">
        <v>120</v>
      </c>
      <c r="E131" s="24" t="s">
        <v>2979</v>
      </c>
    </row>
    <row r="132" spans="1:5" ht="72" customHeight="1">
      <c r="A132" s="24" t="s">
        <v>610</v>
      </c>
      <c r="B132" s="24" t="s">
        <v>67</v>
      </c>
      <c r="C132" s="24" t="s">
        <v>2978</v>
      </c>
      <c r="D132" s="24" t="s">
        <v>120</v>
      </c>
      <c r="E132" s="24" t="s">
        <v>2979</v>
      </c>
    </row>
    <row r="133" spans="1:5" ht="72" customHeight="1">
      <c r="A133" s="24" t="s">
        <v>622</v>
      </c>
      <c r="B133" s="24" t="s">
        <v>67</v>
      </c>
      <c r="C133" s="24" t="s">
        <v>2978</v>
      </c>
      <c r="D133" s="24" t="s">
        <v>120</v>
      </c>
      <c r="E133" s="24" t="s">
        <v>2979</v>
      </c>
    </row>
    <row r="134" spans="1:5" ht="72" customHeight="1">
      <c r="A134" s="24" t="s">
        <v>629</v>
      </c>
      <c r="B134" s="24" t="s">
        <v>67</v>
      </c>
      <c r="C134" s="24" t="s">
        <v>2978</v>
      </c>
      <c r="D134" s="24" t="s">
        <v>120</v>
      </c>
      <c r="E134" s="24" t="s">
        <v>2979</v>
      </c>
    </row>
    <row r="135" spans="1:5" ht="72" customHeight="1">
      <c r="A135" s="24" t="s">
        <v>636</v>
      </c>
      <c r="B135" s="24" t="s">
        <v>67</v>
      </c>
      <c r="C135" s="24" t="s">
        <v>2978</v>
      </c>
      <c r="D135" s="24" t="s">
        <v>120</v>
      </c>
      <c r="E135" s="24" t="s">
        <v>2979</v>
      </c>
    </row>
    <row r="136" spans="1:5" ht="72" customHeight="1">
      <c r="A136" s="24" t="s">
        <v>648</v>
      </c>
      <c r="B136" s="24" t="s">
        <v>67</v>
      </c>
      <c r="C136" s="24" t="s">
        <v>2978</v>
      </c>
      <c r="D136" s="24" t="s">
        <v>120</v>
      </c>
      <c r="E136" s="24" t="s">
        <v>2979</v>
      </c>
    </row>
    <row r="137" spans="1:5" ht="72" customHeight="1">
      <c r="A137" s="24" t="s">
        <v>659</v>
      </c>
      <c r="B137" s="24" t="s">
        <v>67</v>
      </c>
      <c r="C137" s="24" t="s">
        <v>2978</v>
      </c>
      <c r="D137" s="24" t="s">
        <v>120</v>
      </c>
      <c r="E137" s="24" t="s">
        <v>2979</v>
      </c>
    </row>
    <row r="138" spans="1:5" ht="72" customHeight="1">
      <c r="A138" s="24" t="s">
        <v>671</v>
      </c>
      <c r="B138" s="24" t="s">
        <v>67</v>
      </c>
      <c r="C138" s="24" t="s">
        <v>2978</v>
      </c>
      <c r="D138" s="24" t="s">
        <v>120</v>
      </c>
      <c r="E138" s="24" t="s">
        <v>2979</v>
      </c>
    </row>
    <row r="139" spans="1:5" ht="72" customHeight="1">
      <c r="A139" s="24" t="s">
        <v>686</v>
      </c>
      <c r="B139" s="24" t="s">
        <v>67</v>
      </c>
      <c r="C139" s="24" t="s">
        <v>2978</v>
      </c>
      <c r="D139" s="24" t="s">
        <v>120</v>
      </c>
      <c r="E139" s="24" t="s">
        <v>2979</v>
      </c>
    </row>
    <row r="140" spans="1:5" ht="72" customHeight="1">
      <c r="A140" s="24" t="s">
        <v>696</v>
      </c>
      <c r="B140" s="24" t="s">
        <v>67</v>
      </c>
      <c r="C140" s="24" t="s">
        <v>2978</v>
      </c>
      <c r="D140" s="24" t="s">
        <v>120</v>
      </c>
      <c r="E140" s="24" t="s">
        <v>2979</v>
      </c>
    </row>
    <row r="141" spans="1:5" ht="72" customHeight="1">
      <c r="A141" s="24" t="s">
        <v>696</v>
      </c>
      <c r="B141" s="24" t="s">
        <v>72</v>
      </c>
      <c r="C141" s="24" t="s">
        <v>2985</v>
      </c>
      <c r="D141" s="24" t="s">
        <v>702</v>
      </c>
      <c r="E141" s="24" t="s">
        <v>2981</v>
      </c>
    </row>
    <row r="142" spans="1:5" ht="72" customHeight="1">
      <c r="A142" s="24" t="s">
        <v>696</v>
      </c>
      <c r="B142" s="24" t="s">
        <v>76</v>
      </c>
      <c r="C142" s="24" t="s">
        <v>2754</v>
      </c>
      <c r="D142" s="24" t="s">
        <v>531</v>
      </c>
      <c r="E142" s="24" t="s">
        <v>2982</v>
      </c>
    </row>
    <row r="143" spans="1:5" ht="72" customHeight="1">
      <c r="A143" s="24" t="s">
        <v>710</v>
      </c>
      <c r="B143" s="24" t="s">
        <v>67</v>
      </c>
      <c r="C143" s="24" t="s">
        <v>2978</v>
      </c>
      <c r="D143" s="24" t="s">
        <v>120</v>
      </c>
      <c r="E143" s="24" t="s">
        <v>2979</v>
      </c>
    </row>
    <row r="144" spans="1:5" ht="72" customHeight="1">
      <c r="A144" s="24" t="s">
        <v>723</v>
      </c>
      <c r="B144" s="24" t="s">
        <v>67</v>
      </c>
      <c r="C144" s="24" t="s">
        <v>2978</v>
      </c>
      <c r="D144" s="24" t="s">
        <v>120</v>
      </c>
      <c r="E144" s="24" t="s">
        <v>2979</v>
      </c>
    </row>
    <row r="145" spans="1:5" ht="72" customHeight="1">
      <c r="A145" s="24" t="s">
        <v>723</v>
      </c>
      <c r="B145" s="24" t="s">
        <v>72</v>
      </c>
      <c r="C145" s="24" t="s">
        <v>2986</v>
      </c>
      <c r="D145" s="24" t="s">
        <v>2987</v>
      </c>
      <c r="E145" s="24" t="s">
        <v>2981</v>
      </c>
    </row>
    <row r="146" spans="1:5" ht="72" customHeight="1">
      <c r="A146" s="24" t="s">
        <v>723</v>
      </c>
      <c r="B146" s="24" t="s">
        <v>76</v>
      </c>
      <c r="C146" s="24" t="s">
        <v>694</v>
      </c>
      <c r="D146" s="24" t="s">
        <v>531</v>
      </c>
      <c r="E146" s="24" t="s">
        <v>2982</v>
      </c>
    </row>
    <row r="147" spans="1:5" ht="72" customHeight="1">
      <c r="A147" s="24" t="s">
        <v>1757</v>
      </c>
      <c r="B147" s="24" t="s">
        <v>67</v>
      </c>
      <c r="C147" s="24" t="s">
        <v>2978</v>
      </c>
      <c r="D147" s="24" t="s">
        <v>1249</v>
      </c>
      <c r="E147" s="24" t="s">
        <v>2979</v>
      </c>
    </row>
    <row r="148" spans="1:5" ht="72" customHeight="1">
      <c r="A148" s="24" t="s">
        <v>1757</v>
      </c>
      <c r="B148" s="24" t="s">
        <v>71</v>
      </c>
      <c r="C148" s="24" t="s">
        <v>433</v>
      </c>
      <c r="D148" s="24" t="s">
        <v>1473</v>
      </c>
      <c r="E148" s="24" t="s">
        <v>2984</v>
      </c>
    </row>
    <row r="149" spans="1:5" ht="72" customHeight="1">
      <c r="A149" s="24" t="s">
        <v>1757</v>
      </c>
      <c r="B149" s="24" t="s">
        <v>75</v>
      </c>
      <c r="C149" s="24" t="s">
        <v>434</v>
      </c>
      <c r="D149" s="24" t="s">
        <v>1476</v>
      </c>
      <c r="E149" s="24" t="s">
        <v>2984</v>
      </c>
    </row>
    <row r="150" spans="1:5" ht="72" customHeight="1">
      <c r="A150" s="24" t="s">
        <v>1757</v>
      </c>
      <c r="B150" s="24" t="s">
        <v>72</v>
      </c>
      <c r="C150" s="24" t="s">
        <v>2988</v>
      </c>
      <c r="D150" s="24" t="s">
        <v>1762</v>
      </c>
      <c r="E150" s="24" t="s">
        <v>2981</v>
      </c>
    </row>
    <row r="151" spans="1:5" ht="72" customHeight="1">
      <c r="A151" s="24" t="s">
        <v>1757</v>
      </c>
      <c r="B151" s="24" t="s">
        <v>76</v>
      </c>
      <c r="C151" s="24" t="s">
        <v>694</v>
      </c>
      <c r="D151" s="24" t="s">
        <v>531</v>
      </c>
      <c r="E151" s="24" t="s">
        <v>2982</v>
      </c>
    </row>
    <row r="152" spans="1:5" ht="72" customHeight="1">
      <c r="A152" s="24" t="s">
        <v>737</v>
      </c>
      <c r="B152" s="24" t="s">
        <v>67</v>
      </c>
      <c r="C152" s="24" t="s">
        <v>2978</v>
      </c>
      <c r="D152" s="24" t="s">
        <v>120</v>
      </c>
      <c r="E152" s="24" t="s">
        <v>2979</v>
      </c>
    </row>
    <row r="153" spans="1:5" ht="72" customHeight="1">
      <c r="A153" s="24" t="s">
        <v>749</v>
      </c>
      <c r="B153" s="24" t="s">
        <v>67</v>
      </c>
      <c r="C153" s="24" t="s">
        <v>2978</v>
      </c>
      <c r="D153" s="24" t="s">
        <v>120</v>
      </c>
      <c r="E153" s="24" t="s">
        <v>2979</v>
      </c>
    </row>
    <row r="154" spans="1:5" ht="72" customHeight="1">
      <c r="A154" s="24" t="s">
        <v>759</v>
      </c>
      <c r="B154" s="24" t="s">
        <v>67</v>
      </c>
      <c r="C154" s="24" t="s">
        <v>2978</v>
      </c>
      <c r="D154" s="24" t="s">
        <v>120</v>
      </c>
      <c r="E154" s="24" t="s">
        <v>2979</v>
      </c>
    </row>
    <row r="155" spans="1:5" ht="72" customHeight="1">
      <c r="A155" s="24" t="s">
        <v>847</v>
      </c>
      <c r="B155" s="24" t="s">
        <v>67</v>
      </c>
      <c r="C155" s="24" t="s">
        <v>2978</v>
      </c>
      <c r="D155" s="24" t="s">
        <v>120</v>
      </c>
      <c r="E155" s="24" t="s">
        <v>2979</v>
      </c>
    </row>
    <row r="156" spans="1:5" ht="72" customHeight="1">
      <c r="A156" s="24" t="s">
        <v>806</v>
      </c>
      <c r="B156" s="24" t="s">
        <v>67</v>
      </c>
      <c r="C156" s="24" t="s">
        <v>2978</v>
      </c>
      <c r="D156" s="24" t="s">
        <v>120</v>
      </c>
      <c r="E156" s="24" t="s">
        <v>2979</v>
      </c>
    </row>
    <row r="157" spans="1:5" ht="72" customHeight="1">
      <c r="A157" s="24" t="s">
        <v>642</v>
      </c>
      <c r="B157" s="24" t="s">
        <v>67</v>
      </c>
      <c r="C157" s="24" t="s">
        <v>2978</v>
      </c>
      <c r="D157" s="24" t="s">
        <v>120</v>
      </c>
      <c r="E157" s="24" t="s">
        <v>2979</v>
      </c>
    </row>
    <row r="158" spans="1:5" ht="72" customHeight="1">
      <c r="A158" s="24" t="s">
        <v>833</v>
      </c>
      <c r="B158" s="24" t="s">
        <v>67</v>
      </c>
      <c r="C158" s="24" t="s">
        <v>2978</v>
      </c>
      <c r="D158" s="24" t="s">
        <v>120</v>
      </c>
      <c r="E158" s="24" t="s">
        <v>2979</v>
      </c>
    </row>
    <row r="159" spans="1:5" ht="72" customHeight="1">
      <c r="A159" s="24" t="s">
        <v>857</v>
      </c>
      <c r="B159" s="24" t="s">
        <v>67</v>
      </c>
      <c r="C159" s="24" t="s">
        <v>2978</v>
      </c>
      <c r="D159" s="24" t="s">
        <v>120</v>
      </c>
      <c r="E159" s="24" t="s">
        <v>2979</v>
      </c>
    </row>
    <row r="160" spans="1:5" ht="72" customHeight="1">
      <c r="A160" s="24" t="s">
        <v>857</v>
      </c>
      <c r="B160" s="24" t="s">
        <v>75</v>
      </c>
      <c r="C160" s="24" t="s">
        <v>2989</v>
      </c>
      <c r="D160" s="24" t="s">
        <v>870</v>
      </c>
      <c r="E160" s="24" t="s">
        <v>2984</v>
      </c>
    </row>
    <row r="161" spans="1:5" ht="72" customHeight="1">
      <c r="A161" s="24" t="s">
        <v>874</v>
      </c>
      <c r="B161" s="24" t="s">
        <v>67</v>
      </c>
      <c r="C161" s="24" t="s">
        <v>2978</v>
      </c>
      <c r="D161" s="24" t="s">
        <v>120</v>
      </c>
      <c r="E161" s="24" t="s">
        <v>2979</v>
      </c>
    </row>
    <row r="162" spans="1:5" ht="72" customHeight="1">
      <c r="A162" s="24" t="s">
        <v>874</v>
      </c>
      <c r="B162" s="24" t="s">
        <v>75</v>
      </c>
      <c r="C162" s="24" t="s">
        <v>2989</v>
      </c>
      <c r="D162" s="24" t="s">
        <v>870</v>
      </c>
      <c r="E162" s="24" t="s">
        <v>2984</v>
      </c>
    </row>
    <row r="163" spans="1:5" ht="72" customHeight="1">
      <c r="A163" s="24" t="s">
        <v>883</v>
      </c>
      <c r="B163" s="24" t="s">
        <v>67</v>
      </c>
      <c r="C163" s="24" t="s">
        <v>2978</v>
      </c>
      <c r="D163" s="24" t="s">
        <v>120</v>
      </c>
      <c r="E163" s="24" t="s">
        <v>2979</v>
      </c>
    </row>
    <row r="164" spans="1:5" ht="72" customHeight="1">
      <c r="A164" s="24" t="s">
        <v>883</v>
      </c>
      <c r="B164" s="24" t="s">
        <v>75</v>
      </c>
      <c r="C164" s="24" t="s">
        <v>2989</v>
      </c>
      <c r="D164" s="24" t="s">
        <v>870</v>
      </c>
      <c r="E164" s="24" t="s">
        <v>2984</v>
      </c>
    </row>
    <row r="165" spans="1:5" ht="72" customHeight="1">
      <c r="A165" s="24" t="s">
        <v>891</v>
      </c>
      <c r="B165" s="24" t="s">
        <v>67</v>
      </c>
      <c r="C165" s="24" t="s">
        <v>2978</v>
      </c>
      <c r="D165" s="24" t="s">
        <v>120</v>
      </c>
      <c r="E165" s="24" t="s">
        <v>2979</v>
      </c>
    </row>
    <row r="166" spans="1:5" ht="72" customHeight="1">
      <c r="A166" s="24" t="s">
        <v>891</v>
      </c>
      <c r="B166" s="24" t="s">
        <v>75</v>
      </c>
      <c r="C166" s="24" t="s">
        <v>2989</v>
      </c>
      <c r="D166" s="24" t="s">
        <v>870</v>
      </c>
      <c r="E166" s="24" t="s">
        <v>2984</v>
      </c>
    </row>
    <row r="167" spans="1:5" ht="72" customHeight="1">
      <c r="A167" s="24" t="s">
        <v>897</v>
      </c>
      <c r="B167" s="24" t="s">
        <v>67</v>
      </c>
      <c r="C167" s="24" t="s">
        <v>2978</v>
      </c>
      <c r="D167" s="24" t="s">
        <v>120</v>
      </c>
      <c r="E167" s="24" t="s">
        <v>2979</v>
      </c>
    </row>
    <row r="168" spans="1:5" ht="72" customHeight="1">
      <c r="A168" s="24" t="s">
        <v>897</v>
      </c>
      <c r="B168" s="24" t="s">
        <v>75</v>
      </c>
      <c r="C168" s="24" t="s">
        <v>2989</v>
      </c>
      <c r="D168" s="24" t="s">
        <v>870</v>
      </c>
      <c r="E168" s="24" t="s">
        <v>2984</v>
      </c>
    </row>
    <row r="169" spans="1:5" ht="72" customHeight="1">
      <c r="A169" s="24" t="s">
        <v>907</v>
      </c>
      <c r="B169" s="24" t="s">
        <v>67</v>
      </c>
      <c r="C169" s="24" t="s">
        <v>2978</v>
      </c>
      <c r="D169" s="24" t="s">
        <v>120</v>
      </c>
      <c r="E169" s="24" t="s">
        <v>2979</v>
      </c>
    </row>
    <row r="170" spans="1:5" ht="72" customHeight="1">
      <c r="A170" s="24" t="s">
        <v>907</v>
      </c>
      <c r="B170" s="24" t="s">
        <v>75</v>
      </c>
      <c r="C170" s="24" t="s">
        <v>2989</v>
      </c>
      <c r="D170" s="24" t="s">
        <v>870</v>
      </c>
      <c r="E170" s="24" t="s">
        <v>2984</v>
      </c>
    </row>
    <row r="171" spans="1:5" ht="72" customHeight="1">
      <c r="A171" s="24" t="s">
        <v>914</v>
      </c>
      <c r="B171" s="24" t="s">
        <v>67</v>
      </c>
      <c r="C171" s="24" t="s">
        <v>2978</v>
      </c>
      <c r="D171" s="24" t="s">
        <v>120</v>
      </c>
      <c r="E171" s="24" t="s">
        <v>2979</v>
      </c>
    </row>
    <row r="172" spans="1:5" ht="72" customHeight="1">
      <c r="A172" s="24" t="s">
        <v>914</v>
      </c>
      <c r="B172" s="24" t="s">
        <v>75</v>
      </c>
      <c r="C172" s="24" t="s">
        <v>2989</v>
      </c>
      <c r="D172" s="24" t="s">
        <v>870</v>
      </c>
      <c r="E172" s="24" t="s">
        <v>2984</v>
      </c>
    </row>
    <row r="173" spans="1:5" ht="72" customHeight="1">
      <c r="A173" s="24" t="s">
        <v>923</v>
      </c>
      <c r="B173" s="24" t="s">
        <v>67</v>
      </c>
      <c r="C173" s="24" t="s">
        <v>2978</v>
      </c>
      <c r="D173" s="24" t="s">
        <v>120</v>
      </c>
      <c r="E173" s="24" t="s">
        <v>2979</v>
      </c>
    </row>
    <row r="174" spans="1:5" ht="72" customHeight="1">
      <c r="A174" s="24" t="s">
        <v>923</v>
      </c>
      <c r="B174" s="24" t="s">
        <v>75</v>
      </c>
      <c r="C174" s="24" t="s">
        <v>2989</v>
      </c>
      <c r="D174" s="24" t="s">
        <v>870</v>
      </c>
      <c r="E174" s="24" t="s">
        <v>2984</v>
      </c>
    </row>
    <row r="175" spans="1:5" ht="72" customHeight="1">
      <c r="A175" s="24" t="s">
        <v>929</v>
      </c>
      <c r="B175" s="24" t="s">
        <v>67</v>
      </c>
      <c r="C175" s="24" t="s">
        <v>2978</v>
      </c>
      <c r="D175" s="24" t="s">
        <v>120</v>
      </c>
      <c r="E175" s="24" t="s">
        <v>2979</v>
      </c>
    </row>
    <row r="176" spans="1:5" ht="72" customHeight="1">
      <c r="A176" s="24" t="s">
        <v>929</v>
      </c>
      <c r="B176" s="24" t="s">
        <v>75</v>
      </c>
      <c r="C176" s="24" t="s">
        <v>2989</v>
      </c>
      <c r="D176" s="24" t="s">
        <v>870</v>
      </c>
      <c r="E176" s="24" t="s">
        <v>2984</v>
      </c>
    </row>
    <row r="177" spans="1:5" ht="72" customHeight="1">
      <c r="A177" s="24" t="s">
        <v>936</v>
      </c>
      <c r="B177" s="24" t="s">
        <v>67</v>
      </c>
      <c r="C177" s="24" t="s">
        <v>2978</v>
      </c>
      <c r="D177" s="24" t="s">
        <v>120</v>
      </c>
      <c r="E177" s="24" t="s">
        <v>2979</v>
      </c>
    </row>
    <row r="178" spans="1:5" ht="72" customHeight="1">
      <c r="A178" s="24" t="s">
        <v>936</v>
      </c>
      <c r="B178" s="24" t="s">
        <v>75</v>
      </c>
      <c r="C178" s="24" t="s">
        <v>2989</v>
      </c>
      <c r="D178" s="24" t="s">
        <v>870</v>
      </c>
      <c r="E178" s="24" t="s">
        <v>2984</v>
      </c>
    </row>
    <row r="179" spans="1:5" ht="72" customHeight="1">
      <c r="A179" s="24" t="s">
        <v>943</v>
      </c>
      <c r="B179" s="24" t="s">
        <v>67</v>
      </c>
      <c r="C179" s="24" t="s">
        <v>2978</v>
      </c>
      <c r="D179" s="24" t="s">
        <v>120</v>
      </c>
      <c r="E179" s="24" t="s">
        <v>2979</v>
      </c>
    </row>
    <row r="180" spans="1:5" ht="72" customHeight="1">
      <c r="A180" s="24" t="s">
        <v>943</v>
      </c>
      <c r="B180" s="24" t="s">
        <v>75</v>
      </c>
      <c r="C180" s="24" t="s">
        <v>2989</v>
      </c>
      <c r="D180" s="24" t="s">
        <v>870</v>
      </c>
      <c r="E180" s="24" t="s">
        <v>2984</v>
      </c>
    </row>
    <row r="181" spans="1:5" ht="72" customHeight="1">
      <c r="A181" s="24" t="s">
        <v>951</v>
      </c>
      <c r="B181" s="24" t="s">
        <v>67</v>
      </c>
      <c r="C181" s="24" t="s">
        <v>2978</v>
      </c>
      <c r="D181" s="24" t="s">
        <v>120</v>
      </c>
      <c r="E181" s="24" t="s">
        <v>2979</v>
      </c>
    </row>
    <row r="182" spans="1:5" ht="72" customHeight="1">
      <c r="A182" s="24" t="s">
        <v>951</v>
      </c>
      <c r="B182" s="24" t="s">
        <v>75</v>
      </c>
      <c r="C182" s="24" t="s">
        <v>2989</v>
      </c>
      <c r="D182" s="24" t="s">
        <v>870</v>
      </c>
      <c r="E182" s="24" t="s">
        <v>2984</v>
      </c>
    </row>
    <row r="183" spans="1:5" ht="72" customHeight="1">
      <c r="A183" s="24" t="s">
        <v>960</v>
      </c>
      <c r="B183" s="24" t="s">
        <v>67</v>
      </c>
      <c r="C183" s="24" t="s">
        <v>2978</v>
      </c>
      <c r="D183" s="24" t="s">
        <v>120</v>
      </c>
      <c r="E183" s="24" t="s">
        <v>2979</v>
      </c>
    </row>
    <row r="184" spans="1:5" ht="72" customHeight="1">
      <c r="A184" s="24" t="s">
        <v>960</v>
      </c>
      <c r="B184" s="24" t="s">
        <v>75</v>
      </c>
      <c r="C184" s="24" t="s">
        <v>2989</v>
      </c>
      <c r="D184" s="24" t="s">
        <v>870</v>
      </c>
      <c r="E184" s="24" t="s">
        <v>2984</v>
      </c>
    </row>
    <row r="185" spans="1:5" ht="72" customHeight="1">
      <c r="A185" s="24" t="s">
        <v>969</v>
      </c>
      <c r="B185" s="24" t="s">
        <v>67</v>
      </c>
      <c r="C185" s="24" t="s">
        <v>2978</v>
      </c>
      <c r="D185" s="24" t="s">
        <v>120</v>
      </c>
      <c r="E185" s="24" t="s">
        <v>2979</v>
      </c>
    </row>
    <row r="186" spans="1:5" ht="72" customHeight="1">
      <c r="A186" s="24" t="s">
        <v>969</v>
      </c>
      <c r="B186" s="24" t="s">
        <v>75</v>
      </c>
      <c r="C186" s="24" t="s">
        <v>2989</v>
      </c>
      <c r="D186" s="24" t="s">
        <v>870</v>
      </c>
      <c r="E186" s="24" t="s">
        <v>2984</v>
      </c>
    </row>
    <row r="187" spans="1:5" ht="72" customHeight="1">
      <c r="A187" s="24" t="s">
        <v>975</v>
      </c>
      <c r="B187" s="24" t="s">
        <v>67</v>
      </c>
      <c r="C187" s="24" t="s">
        <v>2978</v>
      </c>
      <c r="D187" s="24" t="s">
        <v>120</v>
      </c>
      <c r="E187" s="24" t="s">
        <v>2979</v>
      </c>
    </row>
    <row r="188" spans="1:5" ht="72" customHeight="1">
      <c r="A188" s="24" t="s">
        <v>975</v>
      </c>
      <c r="B188" s="24" t="s">
        <v>75</v>
      </c>
      <c r="C188" s="24" t="s">
        <v>2989</v>
      </c>
      <c r="D188" s="24" t="s">
        <v>870</v>
      </c>
      <c r="E188" s="24" t="s">
        <v>2984</v>
      </c>
    </row>
    <row r="189" spans="1:5" ht="72" customHeight="1">
      <c r="A189" s="24" t="s">
        <v>982</v>
      </c>
      <c r="B189" s="24" t="s">
        <v>67</v>
      </c>
      <c r="C189" s="24" t="s">
        <v>2978</v>
      </c>
      <c r="D189" s="24" t="s">
        <v>120</v>
      </c>
      <c r="E189" s="24" t="s">
        <v>2979</v>
      </c>
    </row>
    <row r="190" spans="1:5" ht="72" customHeight="1">
      <c r="A190" s="24" t="s">
        <v>982</v>
      </c>
      <c r="B190" s="24" t="s">
        <v>75</v>
      </c>
      <c r="C190" s="24" t="s">
        <v>2989</v>
      </c>
      <c r="D190" s="24" t="s">
        <v>870</v>
      </c>
      <c r="E190" s="24" t="s">
        <v>2984</v>
      </c>
    </row>
    <row r="191" spans="1:5" ht="72" customHeight="1">
      <c r="A191" s="24" t="s">
        <v>990</v>
      </c>
      <c r="B191" s="24" t="s">
        <v>67</v>
      </c>
      <c r="C191" s="24" t="s">
        <v>2978</v>
      </c>
      <c r="D191" s="24" t="s">
        <v>120</v>
      </c>
      <c r="E191" s="24" t="s">
        <v>2979</v>
      </c>
    </row>
    <row r="192" spans="1:5" ht="72" customHeight="1">
      <c r="A192" s="24" t="s">
        <v>990</v>
      </c>
      <c r="B192" s="24" t="s">
        <v>75</v>
      </c>
      <c r="C192" s="24" t="s">
        <v>2989</v>
      </c>
      <c r="D192" s="24" t="s">
        <v>870</v>
      </c>
      <c r="E192" s="24" t="s">
        <v>2984</v>
      </c>
    </row>
    <row r="193" spans="1:5" ht="72" customHeight="1">
      <c r="A193" s="24" t="s">
        <v>1002</v>
      </c>
      <c r="B193" s="24" t="s">
        <v>67</v>
      </c>
      <c r="C193" s="24" t="s">
        <v>2978</v>
      </c>
      <c r="D193" s="24" t="s">
        <v>120</v>
      </c>
      <c r="E193" s="24" t="s">
        <v>2979</v>
      </c>
    </row>
    <row r="194" spans="1:5" ht="72" customHeight="1">
      <c r="A194" s="24" t="s">
        <v>1002</v>
      </c>
      <c r="B194" s="24" t="s">
        <v>75</v>
      </c>
      <c r="C194" s="24" t="s">
        <v>2989</v>
      </c>
      <c r="D194" s="24" t="s">
        <v>870</v>
      </c>
      <c r="E194" s="24" t="s">
        <v>2984</v>
      </c>
    </row>
    <row r="195" spans="1:5" ht="72" customHeight="1">
      <c r="A195" s="24" t="s">
        <v>1011</v>
      </c>
      <c r="B195" s="24" t="s">
        <v>67</v>
      </c>
      <c r="C195" s="24" t="s">
        <v>2978</v>
      </c>
      <c r="D195" s="24" t="s">
        <v>120</v>
      </c>
      <c r="E195" s="24" t="s">
        <v>2979</v>
      </c>
    </row>
    <row r="196" spans="1:5" ht="72" customHeight="1">
      <c r="A196" s="24" t="s">
        <v>1011</v>
      </c>
      <c r="B196" s="24" t="s">
        <v>75</v>
      </c>
      <c r="C196" s="24" t="s">
        <v>2989</v>
      </c>
      <c r="D196" s="24" t="s">
        <v>870</v>
      </c>
      <c r="E196" s="24" t="s">
        <v>2984</v>
      </c>
    </row>
    <row r="197" spans="1:5" ht="72" customHeight="1">
      <c r="A197" s="24" t="s">
        <v>1021</v>
      </c>
      <c r="B197" s="24" t="s">
        <v>67</v>
      </c>
      <c r="C197" s="24" t="s">
        <v>2978</v>
      </c>
      <c r="D197" s="24" t="s">
        <v>120</v>
      </c>
      <c r="E197" s="24" t="s">
        <v>2979</v>
      </c>
    </row>
    <row r="198" spans="1:5" ht="72" customHeight="1">
      <c r="A198" s="24" t="s">
        <v>1021</v>
      </c>
      <c r="B198" s="24" t="s">
        <v>75</v>
      </c>
      <c r="C198" s="24" t="s">
        <v>2989</v>
      </c>
      <c r="D198" s="24" t="s">
        <v>870</v>
      </c>
      <c r="E198" s="24" t="s">
        <v>2984</v>
      </c>
    </row>
    <row r="199" spans="1:5" ht="72" customHeight="1">
      <c r="A199" s="24" t="s">
        <v>1026</v>
      </c>
      <c r="B199" s="24" t="s">
        <v>67</v>
      </c>
      <c r="C199" s="24" t="s">
        <v>2978</v>
      </c>
      <c r="D199" s="24" t="s">
        <v>120</v>
      </c>
      <c r="E199" s="24" t="s">
        <v>2979</v>
      </c>
    </row>
    <row r="200" spans="1:5" ht="72" customHeight="1">
      <c r="A200" s="24" t="s">
        <v>1026</v>
      </c>
      <c r="B200" s="24" t="s">
        <v>75</v>
      </c>
      <c r="C200" s="24" t="s">
        <v>2989</v>
      </c>
      <c r="D200" s="24" t="s">
        <v>870</v>
      </c>
      <c r="E200" s="24" t="s">
        <v>2984</v>
      </c>
    </row>
    <row r="201" spans="1:5" ht="72" customHeight="1">
      <c r="A201" s="24" t="s">
        <v>1037</v>
      </c>
      <c r="B201" s="24" t="s">
        <v>67</v>
      </c>
      <c r="C201" s="24" t="s">
        <v>2978</v>
      </c>
      <c r="D201" s="24" t="s">
        <v>120</v>
      </c>
      <c r="E201" s="24" t="s">
        <v>2979</v>
      </c>
    </row>
    <row r="202" spans="1:5" ht="72" customHeight="1">
      <c r="A202" s="24" t="s">
        <v>1037</v>
      </c>
      <c r="B202" s="24" t="s">
        <v>75</v>
      </c>
      <c r="C202" s="24" t="s">
        <v>2989</v>
      </c>
      <c r="D202" s="24" t="s">
        <v>870</v>
      </c>
      <c r="E202" s="24" t="s">
        <v>2984</v>
      </c>
    </row>
    <row r="203" spans="1:5" ht="72" customHeight="1">
      <c r="A203" s="24" t="s">
        <v>1046</v>
      </c>
      <c r="B203" s="24" t="s">
        <v>67</v>
      </c>
      <c r="C203" s="24" t="s">
        <v>2978</v>
      </c>
      <c r="D203" s="24" t="s">
        <v>120</v>
      </c>
      <c r="E203" s="24" t="s">
        <v>2979</v>
      </c>
    </row>
    <row r="204" spans="1:5" ht="72" customHeight="1">
      <c r="A204" s="24" t="s">
        <v>1046</v>
      </c>
      <c r="B204" s="24" t="s">
        <v>75</v>
      </c>
      <c r="C204" s="24" t="s">
        <v>2989</v>
      </c>
      <c r="D204" s="24" t="s">
        <v>870</v>
      </c>
      <c r="E204" s="24" t="s">
        <v>2984</v>
      </c>
    </row>
    <row r="205" spans="1:5" ht="72" customHeight="1">
      <c r="A205" s="24" t="s">
        <v>1056</v>
      </c>
      <c r="B205" s="24" t="s">
        <v>67</v>
      </c>
      <c r="C205" s="24" t="s">
        <v>2978</v>
      </c>
      <c r="D205" s="24" t="s">
        <v>120</v>
      </c>
      <c r="E205" s="24" t="s">
        <v>2979</v>
      </c>
    </row>
    <row r="206" spans="1:5" ht="72" customHeight="1">
      <c r="A206" s="24" t="s">
        <v>1056</v>
      </c>
      <c r="B206" s="24" t="s">
        <v>75</v>
      </c>
      <c r="C206" s="24" t="s">
        <v>2989</v>
      </c>
      <c r="D206" s="24" t="s">
        <v>870</v>
      </c>
      <c r="E206" s="24" t="s">
        <v>2984</v>
      </c>
    </row>
    <row r="207" spans="1:5" ht="72" customHeight="1">
      <c r="A207" s="24" t="s">
        <v>1068</v>
      </c>
      <c r="B207" s="24" t="s">
        <v>67</v>
      </c>
      <c r="C207" s="24" t="s">
        <v>2978</v>
      </c>
      <c r="D207" s="24" t="s">
        <v>120</v>
      </c>
      <c r="E207" s="24" t="s">
        <v>2979</v>
      </c>
    </row>
    <row r="208" spans="1:5" ht="72" customHeight="1">
      <c r="A208" s="24" t="s">
        <v>1068</v>
      </c>
      <c r="B208" s="24" t="s">
        <v>75</v>
      </c>
      <c r="C208" s="24" t="s">
        <v>2989</v>
      </c>
      <c r="D208" s="24" t="s">
        <v>870</v>
      </c>
      <c r="E208" s="24" t="s">
        <v>2984</v>
      </c>
    </row>
    <row r="209" spans="1:5" ht="72" customHeight="1">
      <c r="A209" s="24" t="s">
        <v>1078</v>
      </c>
      <c r="B209" s="24" t="s">
        <v>67</v>
      </c>
      <c r="C209" s="24" t="s">
        <v>2978</v>
      </c>
      <c r="D209" s="24" t="s">
        <v>120</v>
      </c>
      <c r="E209" s="24" t="s">
        <v>2979</v>
      </c>
    </row>
    <row r="210" spans="1:5" ht="72" customHeight="1">
      <c r="A210" s="24" t="s">
        <v>1078</v>
      </c>
      <c r="B210" s="24" t="s">
        <v>75</v>
      </c>
      <c r="C210" s="24" t="s">
        <v>2989</v>
      </c>
      <c r="D210" s="24" t="s">
        <v>870</v>
      </c>
      <c r="E210" s="24" t="s">
        <v>2984</v>
      </c>
    </row>
    <row r="211" spans="1:5" ht="72" customHeight="1">
      <c r="A211" s="24" t="s">
        <v>1088</v>
      </c>
      <c r="B211" s="24" t="s">
        <v>67</v>
      </c>
      <c r="C211" s="24" t="s">
        <v>2978</v>
      </c>
      <c r="D211" s="24" t="s">
        <v>120</v>
      </c>
      <c r="E211" s="24" t="s">
        <v>2979</v>
      </c>
    </row>
    <row r="212" spans="1:5" ht="72" customHeight="1">
      <c r="A212" s="24" t="s">
        <v>1088</v>
      </c>
      <c r="B212" s="24" t="s">
        <v>75</v>
      </c>
      <c r="C212" s="24" t="s">
        <v>2989</v>
      </c>
      <c r="D212" s="24" t="s">
        <v>870</v>
      </c>
      <c r="E212" s="24" t="s">
        <v>2984</v>
      </c>
    </row>
    <row r="213" spans="1:5" ht="72" customHeight="1">
      <c r="A213" s="24" t="s">
        <v>1102</v>
      </c>
      <c r="B213" s="24" t="s">
        <v>67</v>
      </c>
      <c r="C213" s="24" t="s">
        <v>2978</v>
      </c>
      <c r="D213" s="24" t="s">
        <v>120</v>
      </c>
      <c r="E213" s="24" t="s">
        <v>2979</v>
      </c>
    </row>
    <row r="214" spans="1:5" ht="72" customHeight="1">
      <c r="A214" s="24" t="s">
        <v>1117</v>
      </c>
      <c r="B214" s="24" t="s">
        <v>67</v>
      </c>
      <c r="C214" s="24" t="s">
        <v>2978</v>
      </c>
      <c r="D214" s="24" t="s">
        <v>120</v>
      </c>
      <c r="E214" s="24" t="s">
        <v>2979</v>
      </c>
    </row>
    <row r="215" spans="1:5" ht="72" customHeight="1">
      <c r="A215" s="24" t="s">
        <v>1125</v>
      </c>
      <c r="B215" s="24" t="s">
        <v>67</v>
      </c>
      <c r="C215" s="24" t="s">
        <v>2978</v>
      </c>
      <c r="D215" s="24" t="s">
        <v>120</v>
      </c>
      <c r="E215" s="24" t="s">
        <v>2979</v>
      </c>
    </row>
    <row r="216" spans="1:5" ht="72" customHeight="1">
      <c r="A216" s="24" t="s">
        <v>1131</v>
      </c>
      <c r="B216" s="24" t="s">
        <v>67</v>
      </c>
      <c r="C216" s="24" t="s">
        <v>2978</v>
      </c>
      <c r="D216" s="24" t="s">
        <v>120</v>
      </c>
      <c r="E216" s="24" t="s">
        <v>2979</v>
      </c>
    </row>
    <row r="217" spans="1:5" ht="72" customHeight="1">
      <c r="A217" s="24" t="s">
        <v>1136</v>
      </c>
      <c r="B217" s="24" t="s">
        <v>67</v>
      </c>
      <c r="C217" s="24" t="s">
        <v>2978</v>
      </c>
      <c r="D217" s="24" t="s">
        <v>120</v>
      </c>
      <c r="E217" s="24" t="s">
        <v>2979</v>
      </c>
    </row>
    <row r="218" spans="1:5" ht="72" customHeight="1">
      <c r="A218" s="24" t="s">
        <v>1144</v>
      </c>
      <c r="B218" s="24" t="s">
        <v>67</v>
      </c>
      <c r="C218" s="24" t="s">
        <v>2978</v>
      </c>
      <c r="D218" s="24" t="s">
        <v>120</v>
      </c>
      <c r="E218" s="24" t="s">
        <v>2979</v>
      </c>
    </row>
    <row r="219" spans="1:5" ht="72" customHeight="1">
      <c r="A219" s="24" t="s">
        <v>1149</v>
      </c>
      <c r="B219" s="24" t="s">
        <v>67</v>
      </c>
      <c r="C219" s="24" t="s">
        <v>2978</v>
      </c>
      <c r="D219" s="24" t="s">
        <v>120</v>
      </c>
      <c r="E219" s="24" t="s">
        <v>2979</v>
      </c>
    </row>
    <row r="220" spans="1:5" ht="72" customHeight="1">
      <c r="A220" s="24" t="s">
        <v>1160</v>
      </c>
      <c r="B220" s="24" t="s">
        <v>67</v>
      </c>
      <c r="C220" s="24" t="s">
        <v>2978</v>
      </c>
      <c r="D220" s="24" t="s">
        <v>120</v>
      </c>
      <c r="E220" s="24" t="s">
        <v>2979</v>
      </c>
    </row>
    <row r="221" spans="1:5" ht="72" customHeight="1">
      <c r="A221" s="24" t="s">
        <v>1169</v>
      </c>
      <c r="B221" s="24" t="s">
        <v>67</v>
      </c>
      <c r="C221" s="24" t="s">
        <v>2978</v>
      </c>
      <c r="D221" s="24" t="s">
        <v>120</v>
      </c>
      <c r="E221" s="24" t="s">
        <v>2979</v>
      </c>
    </row>
    <row r="222" spans="1:5" ht="72" customHeight="1">
      <c r="A222" s="24" t="s">
        <v>1177</v>
      </c>
      <c r="B222" s="24" t="s">
        <v>67</v>
      </c>
      <c r="C222" s="24" t="s">
        <v>2978</v>
      </c>
      <c r="D222" s="24" t="s">
        <v>120</v>
      </c>
      <c r="E222" s="24" t="s">
        <v>2979</v>
      </c>
    </row>
    <row r="223" spans="1:5" ht="72" customHeight="1">
      <c r="A223" s="24" t="s">
        <v>1187</v>
      </c>
      <c r="B223" s="24" t="s">
        <v>67</v>
      </c>
      <c r="C223" s="24" t="s">
        <v>2978</v>
      </c>
      <c r="D223" s="24" t="s">
        <v>120</v>
      </c>
      <c r="E223" s="24" t="s">
        <v>2979</v>
      </c>
    </row>
    <row r="224" spans="1:5" ht="72" customHeight="1">
      <c r="A224" s="24" t="s">
        <v>743</v>
      </c>
      <c r="B224" s="24" t="s">
        <v>67</v>
      </c>
      <c r="C224" s="24" t="s">
        <v>2978</v>
      </c>
      <c r="D224" s="24" t="s">
        <v>120</v>
      </c>
      <c r="E224" s="24" t="s">
        <v>2979</v>
      </c>
    </row>
    <row r="225" spans="1:5" ht="72" customHeight="1">
      <c r="A225" s="24" t="s">
        <v>1206</v>
      </c>
      <c r="B225" s="24" t="s">
        <v>67</v>
      </c>
      <c r="C225" s="24" t="s">
        <v>2978</v>
      </c>
      <c r="D225" s="24" t="s">
        <v>120</v>
      </c>
      <c r="E225" s="24" t="s">
        <v>2979</v>
      </c>
    </row>
    <row r="226" spans="1:5" ht="72" customHeight="1">
      <c r="A226" s="24" t="s">
        <v>1255</v>
      </c>
      <c r="B226" s="24" t="s">
        <v>67</v>
      </c>
      <c r="C226" s="24" t="s">
        <v>2990</v>
      </c>
      <c r="D226" s="24" t="s">
        <v>1249</v>
      </c>
      <c r="E226" s="24" t="s">
        <v>2979</v>
      </c>
    </row>
    <row r="227" spans="1:5" ht="72" customHeight="1">
      <c r="A227" s="24" t="s">
        <v>1264</v>
      </c>
      <c r="B227" s="24" t="s">
        <v>67</v>
      </c>
      <c r="C227" s="24" t="s">
        <v>2990</v>
      </c>
      <c r="D227" s="24" t="s">
        <v>1249</v>
      </c>
      <c r="E227" s="24" t="s">
        <v>2979</v>
      </c>
    </row>
    <row r="228" spans="1:5" ht="72" customHeight="1">
      <c r="A228" s="24" t="s">
        <v>1272</v>
      </c>
      <c r="B228" s="24" t="s">
        <v>67</v>
      </c>
      <c r="C228" s="24" t="s">
        <v>2990</v>
      </c>
      <c r="D228" s="24" t="s">
        <v>1249</v>
      </c>
      <c r="E228" s="24" t="s">
        <v>2979</v>
      </c>
    </row>
    <row r="229" spans="1:5" ht="72" customHeight="1">
      <c r="A229" s="24" t="s">
        <v>1276</v>
      </c>
      <c r="B229" s="24" t="s">
        <v>67</v>
      </c>
      <c r="C229" s="24" t="s">
        <v>2990</v>
      </c>
      <c r="D229" s="24" t="s">
        <v>1249</v>
      </c>
      <c r="E229" s="24" t="s">
        <v>2979</v>
      </c>
    </row>
    <row r="230" spans="1:5" ht="72" customHeight="1">
      <c r="A230" s="24" t="s">
        <v>1284</v>
      </c>
      <c r="B230" s="24" t="s">
        <v>67</v>
      </c>
      <c r="C230" s="24" t="s">
        <v>2990</v>
      </c>
      <c r="D230" s="24" t="s">
        <v>1249</v>
      </c>
      <c r="E230" s="24" t="s">
        <v>2979</v>
      </c>
    </row>
    <row r="231" spans="1:5" ht="72" customHeight="1">
      <c r="A231" s="24" t="s">
        <v>1289</v>
      </c>
      <c r="B231" s="24" t="s">
        <v>67</v>
      </c>
      <c r="C231" s="24" t="s">
        <v>2990</v>
      </c>
      <c r="D231" s="24" t="s">
        <v>1249</v>
      </c>
      <c r="E231" s="24" t="s">
        <v>2979</v>
      </c>
    </row>
    <row r="232" spans="1:5" ht="72" customHeight="1">
      <c r="A232" s="24" t="s">
        <v>1296</v>
      </c>
      <c r="B232" s="24" t="s">
        <v>67</v>
      </c>
      <c r="C232" s="24" t="s">
        <v>2990</v>
      </c>
      <c r="D232" s="24" t="s">
        <v>1249</v>
      </c>
      <c r="E232" s="24" t="s">
        <v>2979</v>
      </c>
    </row>
    <row r="233" spans="1:5" ht="72" customHeight="1">
      <c r="A233" s="24" t="s">
        <v>1301</v>
      </c>
      <c r="B233" s="24" t="s">
        <v>67</v>
      </c>
      <c r="C233" s="24" t="s">
        <v>2990</v>
      </c>
      <c r="D233" s="24" t="s">
        <v>1249</v>
      </c>
      <c r="E233" s="24" t="s">
        <v>2979</v>
      </c>
    </row>
    <row r="234" spans="1:5" ht="72" customHeight="1">
      <c r="A234" s="24" t="s">
        <v>1306</v>
      </c>
      <c r="B234" s="24" t="s">
        <v>67</v>
      </c>
      <c r="C234" s="24" t="s">
        <v>2990</v>
      </c>
      <c r="D234" s="24" t="s">
        <v>1249</v>
      </c>
      <c r="E234" s="24" t="s">
        <v>2979</v>
      </c>
    </row>
    <row r="235" spans="1:5" ht="72" customHeight="1">
      <c r="A235" s="24" t="s">
        <v>1310</v>
      </c>
      <c r="B235" s="24" t="s">
        <v>67</v>
      </c>
      <c r="C235" s="24" t="s">
        <v>2990</v>
      </c>
      <c r="D235" s="24" t="s">
        <v>1249</v>
      </c>
      <c r="E235" s="24" t="s">
        <v>2979</v>
      </c>
    </row>
    <row r="236" spans="1:5" ht="72" customHeight="1">
      <c r="A236" s="24" t="s">
        <v>1317</v>
      </c>
      <c r="B236" s="24" t="s">
        <v>67</v>
      </c>
      <c r="C236" s="24" t="s">
        <v>2990</v>
      </c>
      <c r="D236" s="24" t="s">
        <v>1249</v>
      </c>
      <c r="E236" s="24" t="s">
        <v>2979</v>
      </c>
    </row>
    <row r="237" spans="1:5" ht="72" customHeight="1">
      <c r="A237" s="24" t="s">
        <v>1154</v>
      </c>
      <c r="B237" s="24" t="s">
        <v>67</v>
      </c>
      <c r="C237" s="24" t="s">
        <v>2990</v>
      </c>
      <c r="D237" s="24" t="s">
        <v>1249</v>
      </c>
      <c r="E237" s="24" t="s">
        <v>2979</v>
      </c>
    </row>
    <row r="238" spans="1:5" ht="72" customHeight="1">
      <c r="A238" s="24" t="s">
        <v>1330</v>
      </c>
      <c r="B238" s="24" t="s">
        <v>67</v>
      </c>
      <c r="C238" s="24" t="s">
        <v>2990</v>
      </c>
      <c r="D238" s="24" t="s">
        <v>1249</v>
      </c>
      <c r="E238" s="24" t="s">
        <v>2979</v>
      </c>
    </row>
    <row r="239" spans="1:5" ht="72" customHeight="1">
      <c r="A239" s="24" t="s">
        <v>1335</v>
      </c>
      <c r="B239" s="24" t="s">
        <v>67</v>
      </c>
      <c r="C239" s="24" t="s">
        <v>2990</v>
      </c>
      <c r="D239" s="24" t="s">
        <v>1249</v>
      </c>
      <c r="E239" s="24" t="s">
        <v>2979</v>
      </c>
    </row>
    <row r="240" spans="1:5" ht="72" customHeight="1">
      <c r="A240" s="24" t="s">
        <v>1339</v>
      </c>
      <c r="B240" s="24" t="s">
        <v>67</v>
      </c>
      <c r="C240" s="24" t="s">
        <v>2990</v>
      </c>
      <c r="D240" s="24" t="s">
        <v>1249</v>
      </c>
      <c r="E240" s="24" t="s">
        <v>2979</v>
      </c>
    </row>
    <row r="241" spans="1:5" ht="72" customHeight="1">
      <c r="A241" s="24" t="s">
        <v>1327</v>
      </c>
      <c r="B241" s="24" t="s">
        <v>67</v>
      </c>
      <c r="C241" s="24" t="s">
        <v>2990</v>
      </c>
      <c r="D241" s="24" t="s">
        <v>1249</v>
      </c>
      <c r="E241" s="24" t="s">
        <v>2979</v>
      </c>
    </row>
    <row r="242" spans="1:5" ht="72" customHeight="1">
      <c r="A242" s="24" t="s">
        <v>1349</v>
      </c>
      <c r="B242" s="24" t="s">
        <v>67</v>
      </c>
      <c r="C242" s="24" t="s">
        <v>2990</v>
      </c>
      <c r="D242" s="24" t="s">
        <v>1249</v>
      </c>
      <c r="E242" s="24" t="s">
        <v>2979</v>
      </c>
    </row>
    <row r="243" spans="1:5" ht="72" customHeight="1">
      <c r="A243" s="24" t="s">
        <v>1356</v>
      </c>
      <c r="B243" s="24" t="s">
        <v>67</v>
      </c>
      <c r="C243" s="24" t="s">
        <v>2990</v>
      </c>
      <c r="D243" s="24" t="s">
        <v>1249</v>
      </c>
      <c r="E243" s="24" t="s">
        <v>2979</v>
      </c>
    </row>
    <row r="244" spans="1:5" ht="72" customHeight="1">
      <c r="A244" s="24" t="s">
        <v>1367</v>
      </c>
      <c r="B244" s="24" t="s">
        <v>67</v>
      </c>
      <c r="C244" s="24" t="s">
        <v>2990</v>
      </c>
      <c r="D244" s="24" t="s">
        <v>1249</v>
      </c>
      <c r="E244" s="24" t="s">
        <v>2979</v>
      </c>
    </row>
    <row r="245" spans="1:5" ht="72" customHeight="1">
      <c r="A245" s="24" t="s">
        <v>1377</v>
      </c>
      <c r="B245" s="24" t="s">
        <v>67</v>
      </c>
      <c r="C245" s="24" t="s">
        <v>2990</v>
      </c>
      <c r="D245" s="24" t="s">
        <v>1249</v>
      </c>
      <c r="E245" s="24" t="s">
        <v>2979</v>
      </c>
    </row>
    <row r="246" spans="1:5" ht="72" customHeight="1">
      <c r="A246" s="24" t="s">
        <v>1384</v>
      </c>
      <c r="B246" s="24" t="s">
        <v>67</v>
      </c>
      <c r="C246" s="24" t="s">
        <v>2990</v>
      </c>
      <c r="D246" s="24" t="s">
        <v>1249</v>
      </c>
      <c r="E246" s="24" t="s">
        <v>2979</v>
      </c>
    </row>
    <row r="247" spans="1:5" ht="72" customHeight="1">
      <c r="A247" s="24" t="s">
        <v>1393</v>
      </c>
      <c r="B247" s="24" t="s">
        <v>67</v>
      </c>
      <c r="C247" s="24" t="s">
        <v>2990</v>
      </c>
      <c r="D247" s="24" t="s">
        <v>1249</v>
      </c>
      <c r="E247" s="24" t="s">
        <v>2979</v>
      </c>
    </row>
    <row r="248" spans="1:5" ht="72" customHeight="1">
      <c r="A248" s="24" t="s">
        <v>1402</v>
      </c>
      <c r="B248" s="24" t="s">
        <v>67</v>
      </c>
      <c r="C248" s="24" t="s">
        <v>2990</v>
      </c>
      <c r="D248" s="24" t="s">
        <v>1249</v>
      </c>
      <c r="E248" s="24" t="s">
        <v>2979</v>
      </c>
    </row>
    <row r="249" spans="1:5" ht="72" customHeight="1">
      <c r="A249" s="24" t="s">
        <v>1411</v>
      </c>
      <c r="B249" s="24" t="s">
        <v>67</v>
      </c>
      <c r="C249" s="24" t="s">
        <v>2990</v>
      </c>
      <c r="D249" s="24" t="s">
        <v>1249</v>
      </c>
      <c r="E249" s="24" t="s">
        <v>2979</v>
      </c>
    </row>
    <row r="250" spans="1:5" ht="72" customHeight="1">
      <c r="A250" s="24" t="s">
        <v>1423</v>
      </c>
      <c r="B250" s="24" t="s">
        <v>67</v>
      </c>
      <c r="C250" s="24" t="s">
        <v>2990</v>
      </c>
      <c r="D250" s="24" t="s">
        <v>1249</v>
      </c>
      <c r="E250" s="24" t="s">
        <v>2979</v>
      </c>
    </row>
    <row r="251" spans="1:5" ht="72" customHeight="1">
      <c r="A251" s="24" t="s">
        <v>1429</v>
      </c>
      <c r="B251" s="24" t="s">
        <v>67</v>
      </c>
      <c r="C251" s="24" t="s">
        <v>2990</v>
      </c>
      <c r="D251" s="24" t="s">
        <v>1249</v>
      </c>
      <c r="E251" s="24" t="s">
        <v>2979</v>
      </c>
    </row>
    <row r="252" spans="1:5" ht="72" customHeight="1">
      <c r="A252" s="24" t="s">
        <v>812</v>
      </c>
      <c r="B252" s="24" t="s">
        <v>67</v>
      </c>
      <c r="C252" s="24" t="s">
        <v>2990</v>
      </c>
      <c r="D252" s="24" t="s">
        <v>1249</v>
      </c>
      <c r="E252" s="24" t="s">
        <v>2979</v>
      </c>
    </row>
    <row r="253" spans="1:5" ht="72" customHeight="1">
      <c r="A253" s="24" t="s">
        <v>1465</v>
      </c>
      <c r="B253" s="24" t="s">
        <v>67</v>
      </c>
      <c r="C253" s="24" t="s">
        <v>2990</v>
      </c>
      <c r="D253" s="24" t="s">
        <v>1249</v>
      </c>
      <c r="E253" s="24" t="s">
        <v>2979</v>
      </c>
    </row>
    <row r="254" spans="1:5" ht="72" customHeight="1">
      <c r="A254" s="24" t="s">
        <v>1479</v>
      </c>
      <c r="B254" s="24" t="s">
        <v>67</v>
      </c>
      <c r="C254" s="24" t="s">
        <v>2990</v>
      </c>
      <c r="D254" s="24" t="s">
        <v>1249</v>
      </c>
      <c r="E254" s="24" t="s">
        <v>2979</v>
      </c>
    </row>
    <row r="255" spans="1:5" ht="72" customHeight="1">
      <c r="A255" s="24" t="s">
        <v>1487</v>
      </c>
      <c r="B255" s="24" t="s">
        <v>67</v>
      </c>
      <c r="C255" s="24" t="s">
        <v>2990</v>
      </c>
      <c r="D255" s="24" t="s">
        <v>1249</v>
      </c>
      <c r="E255" s="24" t="s">
        <v>2979</v>
      </c>
    </row>
    <row r="256" spans="1:5" ht="72" customHeight="1">
      <c r="A256" s="24" t="s">
        <v>1493</v>
      </c>
      <c r="B256" s="24" t="s">
        <v>67</v>
      </c>
      <c r="C256" s="24" t="s">
        <v>2990</v>
      </c>
      <c r="D256" s="24" t="s">
        <v>1249</v>
      </c>
      <c r="E256" s="24" t="s">
        <v>2979</v>
      </c>
    </row>
    <row r="257" spans="1:5" ht="72" customHeight="1">
      <c r="A257" s="24" t="s">
        <v>1503</v>
      </c>
      <c r="B257" s="24" t="s">
        <v>67</v>
      </c>
      <c r="C257" s="24" t="s">
        <v>2990</v>
      </c>
      <c r="D257" s="24" t="s">
        <v>1249</v>
      </c>
      <c r="E257" s="24" t="s">
        <v>2979</v>
      </c>
    </row>
    <row r="258" spans="1:5" ht="72" customHeight="1">
      <c r="A258" s="24" t="s">
        <v>1508</v>
      </c>
      <c r="B258" s="24" t="s">
        <v>67</v>
      </c>
      <c r="C258" s="24" t="s">
        <v>2990</v>
      </c>
      <c r="D258" s="24" t="s">
        <v>1249</v>
      </c>
      <c r="E258" s="24" t="s">
        <v>2979</v>
      </c>
    </row>
    <row r="259" spans="1:5" ht="72" customHeight="1">
      <c r="A259" s="24" t="s">
        <v>1515</v>
      </c>
      <c r="B259" s="24" t="s">
        <v>67</v>
      </c>
      <c r="C259" s="24" t="s">
        <v>2990</v>
      </c>
      <c r="D259" s="24" t="s">
        <v>1249</v>
      </c>
      <c r="E259" s="24" t="s">
        <v>2979</v>
      </c>
    </row>
    <row r="260" spans="1:5" ht="72" customHeight="1">
      <c r="A260" s="24" t="s">
        <v>1522</v>
      </c>
      <c r="B260" s="24" t="s">
        <v>67</v>
      </c>
      <c r="C260" s="24" t="s">
        <v>2990</v>
      </c>
      <c r="D260" s="24" t="s">
        <v>1249</v>
      </c>
      <c r="E260" s="24" t="s">
        <v>2979</v>
      </c>
    </row>
    <row r="261" spans="1:5" ht="72" customHeight="1">
      <c r="A261" s="24" t="s">
        <v>1529</v>
      </c>
      <c r="B261" s="24" t="s">
        <v>67</v>
      </c>
      <c r="C261" s="24" t="s">
        <v>2990</v>
      </c>
      <c r="D261" s="24" t="s">
        <v>1249</v>
      </c>
      <c r="E261" s="24" t="s">
        <v>2979</v>
      </c>
    </row>
    <row r="262" spans="1:5" ht="72" customHeight="1">
      <c r="A262" s="24" t="s">
        <v>1535</v>
      </c>
      <c r="B262" s="24" t="s">
        <v>67</v>
      </c>
      <c r="C262" s="24" t="s">
        <v>2990</v>
      </c>
      <c r="D262" s="24" t="s">
        <v>1249</v>
      </c>
      <c r="E262" s="24" t="s">
        <v>2979</v>
      </c>
    </row>
    <row r="263" spans="1:5" ht="72" customHeight="1">
      <c r="A263" s="24" t="s">
        <v>1542</v>
      </c>
      <c r="B263" s="24" t="s">
        <v>67</v>
      </c>
      <c r="C263" s="24" t="s">
        <v>2990</v>
      </c>
      <c r="D263" s="24" t="s">
        <v>1249</v>
      </c>
      <c r="E263" s="24" t="s">
        <v>2979</v>
      </c>
    </row>
    <row r="264" spans="1:5" ht="72" customHeight="1">
      <c r="A264" s="24" t="s">
        <v>1550</v>
      </c>
      <c r="B264" s="24" t="s">
        <v>67</v>
      </c>
      <c r="C264" s="24" t="s">
        <v>2990</v>
      </c>
      <c r="D264" s="24" t="s">
        <v>1249</v>
      </c>
      <c r="E264" s="24" t="s">
        <v>2979</v>
      </c>
    </row>
    <row r="265" spans="1:5" ht="72" customHeight="1">
      <c r="A265" s="24" t="s">
        <v>1557</v>
      </c>
      <c r="B265" s="24" t="s">
        <v>67</v>
      </c>
      <c r="C265" s="24" t="s">
        <v>2990</v>
      </c>
      <c r="D265" s="24" t="s">
        <v>1249</v>
      </c>
      <c r="E265" s="24" t="s">
        <v>2979</v>
      </c>
    </row>
    <row r="266" spans="1:5" ht="72" customHeight="1">
      <c r="A266" s="24" t="s">
        <v>1564</v>
      </c>
      <c r="B266" s="24" t="s">
        <v>67</v>
      </c>
      <c r="C266" s="24" t="s">
        <v>2990</v>
      </c>
      <c r="D266" s="24" t="s">
        <v>1249</v>
      </c>
      <c r="E266" s="24" t="s">
        <v>2979</v>
      </c>
    </row>
    <row r="267" spans="1:5" ht="72" customHeight="1">
      <c r="A267" s="24" t="s">
        <v>956</v>
      </c>
      <c r="B267" s="24" t="s">
        <v>67</v>
      </c>
      <c r="C267" s="24" t="s">
        <v>2990</v>
      </c>
      <c r="D267" s="24" t="s">
        <v>1249</v>
      </c>
      <c r="E267" s="24" t="s">
        <v>2979</v>
      </c>
    </row>
    <row r="268" spans="1:5" ht="72" customHeight="1">
      <c r="A268" s="24" t="s">
        <v>1577</v>
      </c>
      <c r="B268" s="24" t="s">
        <v>67</v>
      </c>
      <c r="C268" s="24" t="s">
        <v>2990</v>
      </c>
      <c r="D268" s="24" t="s">
        <v>1249</v>
      </c>
      <c r="E268" s="24" t="s">
        <v>2979</v>
      </c>
    </row>
    <row r="269" spans="1:5" ht="72" customHeight="1">
      <c r="A269" s="24" t="s">
        <v>1586</v>
      </c>
      <c r="B269" s="24" t="s">
        <v>67</v>
      </c>
      <c r="C269" s="24" t="s">
        <v>2990</v>
      </c>
      <c r="D269" s="24" t="s">
        <v>1249</v>
      </c>
      <c r="E269" s="24" t="s">
        <v>2979</v>
      </c>
    </row>
    <row r="270" spans="1:5" ht="72" customHeight="1">
      <c r="A270" s="24" t="s">
        <v>1593</v>
      </c>
      <c r="B270" s="24" t="s">
        <v>67</v>
      </c>
      <c r="C270" s="24" t="s">
        <v>2990</v>
      </c>
      <c r="D270" s="24" t="s">
        <v>1249</v>
      </c>
      <c r="E270" s="24" t="s">
        <v>2979</v>
      </c>
    </row>
    <row r="271" spans="1:5" ht="72" customHeight="1">
      <c r="A271" s="24" t="s">
        <v>1600</v>
      </c>
      <c r="B271" s="24" t="s">
        <v>67</v>
      </c>
      <c r="C271" s="24" t="s">
        <v>2990</v>
      </c>
      <c r="D271" s="24" t="s">
        <v>1249</v>
      </c>
      <c r="E271" s="24" t="s">
        <v>2979</v>
      </c>
    </row>
    <row r="272" spans="1:5" ht="72" customHeight="1">
      <c r="A272" s="24" t="s">
        <v>1607</v>
      </c>
      <c r="B272" s="24" t="s">
        <v>67</v>
      </c>
      <c r="C272" s="24" t="s">
        <v>2990</v>
      </c>
      <c r="D272" s="24" t="s">
        <v>1249</v>
      </c>
      <c r="E272" s="24" t="s">
        <v>2979</v>
      </c>
    </row>
    <row r="273" spans="1:5" ht="72" customHeight="1">
      <c r="A273" s="24" t="s">
        <v>1614</v>
      </c>
      <c r="B273" s="24" t="s">
        <v>67</v>
      </c>
      <c r="C273" s="24" t="s">
        <v>2990</v>
      </c>
      <c r="D273" s="24" t="s">
        <v>1249</v>
      </c>
      <c r="E273" s="24" t="s">
        <v>2979</v>
      </c>
    </row>
    <row r="274" spans="1:5" ht="72" customHeight="1">
      <c r="A274" s="24" t="s">
        <v>1095</v>
      </c>
      <c r="B274" s="24" t="s">
        <v>67</v>
      </c>
      <c r="C274" s="24" t="s">
        <v>2990</v>
      </c>
      <c r="D274" s="24" t="s">
        <v>1249</v>
      </c>
      <c r="E274" s="24" t="s">
        <v>2979</v>
      </c>
    </row>
    <row r="275" spans="1:5" ht="72" customHeight="1">
      <c r="A275" s="24" t="s">
        <v>1625</v>
      </c>
      <c r="B275" s="24" t="s">
        <v>67</v>
      </c>
      <c r="C275" s="24" t="s">
        <v>2990</v>
      </c>
      <c r="D275" s="24" t="s">
        <v>1249</v>
      </c>
      <c r="E275" s="24" t="s">
        <v>2979</v>
      </c>
    </row>
    <row r="276" spans="1:5" ht="72" customHeight="1">
      <c r="A276" s="24" t="s">
        <v>1633</v>
      </c>
      <c r="B276" s="24" t="s">
        <v>67</v>
      </c>
      <c r="C276" s="24" t="s">
        <v>2990</v>
      </c>
      <c r="D276" s="24" t="s">
        <v>1249</v>
      </c>
      <c r="E276" s="24" t="s">
        <v>2979</v>
      </c>
    </row>
    <row r="277" spans="1:5" ht="72" customHeight="1">
      <c r="A277" s="24" t="s">
        <v>1641</v>
      </c>
      <c r="B277" s="24" t="s">
        <v>67</v>
      </c>
      <c r="C277" s="24" t="s">
        <v>2990</v>
      </c>
      <c r="D277" s="24" t="s">
        <v>1249</v>
      </c>
      <c r="E277" s="24" t="s">
        <v>2979</v>
      </c>
    </row>
    <row r="278" spans="1:5" ht="72" customHeight="1">
      <c r="A278" s="24" t="s">
        <v>1649</v>
      </c>
      <c r="B278" s="24" t="s">
        <v>67</v>
      </c>
      <c r="C278" s="24" t="s">
        <v>2990</v>
      </c>
      <c r="D278" s="24" t="s">
        <v>1249</v>
      </c>
      <c r="E278" s="24" t="s">
        <v>2979</v>
      </c>
    </row>
    <row r="279" spans="1:5" ht="72" customHeight="1">
      <c r="A279" s="24" t="s">
        <v>1655</v>
      </c>
      <c r="B279" s="24" t="s">
        <v>67</v>
      </c>
      <c r="C279" s="24" t="s">
        <v>2990</v>
      </c>
      <c r="D279" s="24" t="s">
        <v>1249</v>
      </c>
      <c r="E279" s="24" t="s">
        <v>2979</v>
      </c>
    </row>
    <row r="280" spans="1:5" ht="72" customHeight="1">
      <c r="A280" s="24" t="s">
        <v>912</v>
      </c>
      <c r="B280" s="24" t="s">
        <v>67</v>
      </c>
      <c r="C280" s="24" t="s">
        <v>2990</v>
      </c>
      <c r="D280" s="24" t="s">
        <v>1249</v>
      </c>
      <c r="E280" s="24" t="s">
        <v>2979</v>
      </c>
    </row>
    <row r="281" spans="1:5" ht="72" customHeight="1">
      <c r="A281" s="24" t="s">
        <v>1669</v>
      </c>
      <c r="B281" s="24" t="s">
        <v>67</v>
      </c>
      <c r="C281" s="24" t="s">
        <v>2990</v>
      </c>
      <c r="D281" s="24" t="s">
        <v>1249</v>
      </c>
      <c r="E281" s="24" t="s">
        <v>2979</v>
      </c>
    </row>
    <row r="282" spans="1:5" ht="72" customHeight="1">
      <c r="A282" s="24" t="s">
        <v>1562</v>
      </c>
      <c r="B282" s="24" t="s">
        <v>67</v>
      </c>
      <c r="C282" s="24" t="s">
        <v>2990</v>
      </c>
      <c r="D282" s="24" t="s">
        <v>1249</v>
      </c>
      <c r="E282" s="24" t="s">
        <v>2979</v>
      </c>
    </row>
    <row r="283" spans="1:5" ht="72" customHeight="1">
      <c r="A283" s="24" t="s">
        <v>1685</v>
      </c>
      <c r="B283" s="24" t="s">
        <v>67</v>
      </c>
      <c r="C283" s="24" t="s">
        <v>2990</v>
      </c>
      <c r="D283" s="24" t="s">
        <v>1249</v>
      </c>
      <c r="E283" s="24" t="s">
        <v>2979</v>
      </c>
    </row>
    <row r="284" spans="1:5" ht="72" customHeight="1">
      <c r="A284" s="24" t="s">
        <v>1695</v>
      </c>
      <c r="B284" s="24" t="s">
        <v>67</v>
      </c>
      <c r="C284" s="24" t="s">
        <v>2990</v>
      </c>
      <c r="D284" s="24" t="s">
        <v>1249</v>
      </c>
      <c r="E284" s="24" t="s">
        <v>2979</v>
      </c>
    </row>
    <row r="285" spans="1:5" ht="72" customHeight="1">
      <c r="A285" s="24" t="s">
        <v>1683</v>
      </c>
      <c r="B285" s="24" t="s">
        <v>67</v>
      </c>
      <c r="C285" s="24" t="s">
        <v>2990</v>
      </c>
      <c r="D285" s="24" t="s">
        <v>1249</v>
      </c>
      <c r="E285" s="24" t="s">
        <v>2979</v>
      </c>
    </row>
    <row r="286" spans="1:5" ht="72" customHeight="1">
      <c r="A286" s="24" t="s">
        <v>1710</v>
      </c>
      <c r="B286" s="24" t="s">
        <v>67</v>
      </c>
      <c r="C286" s="24" t="s">
        <v>2990</v>
      </c>
      <c r="D286" s="24" t="s">
        <v>1249</v>
      </c>
      <c r="E286" s="24" t="s">
        <v>2979</v>
      </c>
    </row>
    <row r="287" spans="1:5" ht="72" customHeight="1">
      <c r="A287" s="24" t="s">
        <v>1718</v>
      </c>
      <c r="B287" s="24" t="s">
        <v>67</v>
      </c>
      <c r="C287" s="24" t="s">
        <v>2990</v>
      </c>
      <c r="D287" s="24" t="s">
        <v>1249</v>
      </c>
      <c r="E287" s="24" t="s">
        <v>2979</v>
      </c>
    </row>
    <row r="288" spans="1:5" ht="72" customHeight="1">
      <c r="A288" s="24" t="s">
        <v>1726</v>
      </c>
      <c r="B288" s="24" t="s">
        <v>67</v>
      </c>
      <c r="C288" s="24" t="s">
        <v>2990</v>
      </c>
      <c r="D288" s="24" t="s">
        <v>1249</v>
      </c>
      <c r="E288" s="24" t="s">
        <v>2979</v>
      </c>
    </row>
    <row r="289" spans="1:5" ht="72" customHeight="1">
      <c r="A289" s="24" t="s">
        <v>1737</v>
      </c>
      <c r="B289" s="24" t="s">
        <v>67</v>
      </c>
      <c r="C289" s="24" t="s">
        <v>2990</v>
      </c>
      <c r="D289" s="24" t="s">
        <v>1249</v>
      </c>
      <c r="E289" s="24" t="s">
        <v>2979</v>
      </c>
    </row>
    <row r="290" spans="1:5" ht="72" customHeight="1">
      <c r="A290" s="24" t="s">
        <v>1743</v>
      </c>
      <c r="B290" s="24" t="s">
        <v>67</v>
      </c>
      <c r="C290" s="24" t="s">
        <v>2990</v>
      </c>
      <c r="D290" s="24" t="s">
        <v>1249</v>
      </c>
      <c r="E290" s="24" t="s">
        <v>2979</v>
      </c>
    </row>
    <row r="291" spans="1:5" ht="72" customHeight="1">
      <c r="A291" s="24" t="s">
        <v>1775</v>
      </c>
      <c r="B291" s="24" t="s">
        <v>67</v>
      </c>
      <c r="C291" s="24" t="s">
        <v>2990</v>
      </c>
      <c r="D291" s="24" t="s">
        <v>1249</v>
      </c>
      <c r="E291" s="24" t="s">
        <v>2979</v>
      </c>
    </row>
    <row r="292" spans="1:5" ht="72" customHeight="1">
      <c r="A292" s="24" t="s">
        <v>1248</v>
      </c>
      <c r="B292" s="24" t="s">
        <v>67</v>
      </c>
      <c r="C292" s="24" t="s">
        <v>2990</v>
      </c>
      <c r="D292" s="24" t="s">
        <v>1249</v>
      </c>
      <c r="E292" s="24" t="s">
        <v>2979</v>
      </c>
    </row>
    <row r="293" spans="1:5" ht="72" customHeight="1">
      <c r="A293" s="24" t="s">
        <v>356</v>
      </c>
      <c r="B293" s="24" t="s">
        <v>67</v>
      </c>
      <c r="C293" s="24" t="s">
        <v>2978</v>
      </c>
      <c r="D293" s="24" t="s">
        <v>120</v>
      </c>
      <c r="E293" s="24" t="s">
        <v>2979</v>
      </c>
    </row>
    <row r="294" spans="1:5" ht="72" customHeight="1">
      <c r="A294" s="24" t="s">
        <v>368</v>
      </c>
      <c r="B294" s="24" t="s">
        <v>67</v>
      </c>
      <c r="C294" s="24" t="s">
        <v>2978</v>
      </c>
      <c r="D294" s="24" t="s">
        <v>120</v>
      </c>
      <c r="E294" s="24" t="s">
        <v>2979</v>
      </c>
    </row>
    <row r="295" spans="1:5" ht="72" customHeight="1">
      <c r="A295" s="24" t="s">
        <v>414</v>
      </c>
      <c r="B295" s="24" t="s">
        <v>67</v>
      </c>
      <c r="C295" s="24" t="s">
        <v>2978</v>
      </c>
      <c r="D295" s="24" t="s">
        <v>120</v>
      </c>
      <c r="E295" s="24" t="s">
        <v>2979</v>
      </c>
    </row>
    <row r="296" spans="1:5" ht="72" customHeight="1">
      <c r="A296" s="24" t="s">
        <v>405</v>
      </c>
      <c r="B296" s="24" t="s">
        <v>67</v>
      </c>
      <c r="C296" s="24" t="s">
        <v>2978</v>
      </c>
      <c r="D296" s="24" t="s">
        <v>120</v>
      </c>
      <c r="E296" s="24" t="s">
        <v>2979</v>
      </c>
    </row>
    <row r="297" spans="1:5" ht="72" customHeight="1">
      <c r="A297" s="24" t="s">
        <v>381</v>
      </c>
      <c r="B297" s="24" t="s">
        <v>67</v>
      </c>
      <c r="C297" s="24" t="s">
        <v>2978</v>
      </c>
      <c r="D297" s="24" t="s">
        <v>120</v>
      </c>
      <c r="E297" s="24" t="s">
        <v>2979</v>
      </c>
    </row>
    <row r="298" spans="1:5" ht="72" customHeight="1">
      <c r="A298" s="24" t="s">
        <v>392</v>
      </c>
      <c r="B298" s="24" t="s">
        <v>67</v>
      </c>
      <c r="C298" s="24" t="s">
        <v>2978</v>
      </c>
      <c r="D298" s="24" t="s">
        <v>120</v>
      </c>
      <c r="E298" s="24" t="s">
        <v>2979</v>
      </c>
    </row>
    <row r="299" spans="1:5" ht="72" customHeight="1">
      <c r="A299" s="24" t="s">
        <v>1216</v>
      </c>
      <c r="B299" s="24" t="s">
        <v>67</v>
      </c>
      <c r="C299" s="24" t="s">
        <v>2978</v>
      </c>
      <c r="D299" s="24" t="s">
        <v>120</v>
      </c>
      <c r="E299" s="24" t="s">
        <v>2979</v>
      </c>
    </row>
    <row r="300" spans="1:5" ht="72" customHeight="1">
      <c r="A300" s="24" t="s">
        <v>1231</v>
      </c>
      <c r="B300" s="24" t="s">
        <v>67</v>
      </c>
      <c r="C300" s="24" t="s">
        <v>2978</v>
      </c>
      <c r="D300" s="24" t="s">
        <v>120</v>
      </c>
      <c r="E300" s="24" t="s">
        <v>2979</v>
      </c>
    </row>
    <row r="301" spans="1:5" ht="72" customHeight="1">
      <c r="A301" s="24" t="s">
        <v>772</v>
      </c>
      <c r="B301" s="24" t="s">
        <v>67</v>
      </c>
      <c r="C301" s="24" t="s">
        <v>2978</v>
      </c>
      <c r="D301" s="24" t="s">
        <v>120</v>
      </c>
      <c r="E301" s="24" t="s">
        <v>2979</v>
      </c>
    </row>
    <row r="302" spans="1:5" ht="72" customHeight="1">
      <c r="A302" s="24" t="s">
        <v>772</v>
      </c>
      <c r="B302" s="24" t="s">
        <v>72</v>
      </c>
      <c r="C302" s="24" t="s">
        <v>2991</v>
      </c>
      <c r="D302" s="24" t="s">
        <v>2992</v>
      </c>
      <c r="E302" s="24" t="s">
        <v>2981</v>
      </c>
    </row>
    <row r="303" spans="1:5" ht="72" customHeight="1">
      <c r="A303" s="24" t="s">
        <v>772</v>
      </c>
      <c r="B303" s="24" t="s">
        <v>76</v>
      </c>
      <c r="C303" s="24" t="s">
        <v>2993</v>
      </c>
      <c r="D303" s="24" t="s">
        <v>531</v>
      </c>
      <c r="E303" s="24" t="s">
        <v>2982</v>
      </c>
    </row>
    <row r="304" spans="1:5" ht="72" customHeight="1">
      <c r="A304" s="24" t="s">
        <v>787</v>
      </c>
      <c r="B304" s="24" t="s">
        <v>67</v>
      </c>
      <c r="C304" s="24"/>
      <c r="D304" s="24" t="s">
        <v>120</v>
      </c>
      <c r="E304" s="24" t="s">
        <v>2979</v>
      </c>
    </row>
    <row r="305" spans="1:5" ht="72" customHeight="1">
      <c r="A305" s="24" t="s">
        <v>787</v>
      </c>
      <c r="B305" s="24" t="s">
        <v>75</v>
      </c>
      <c r="C305" s="24"/>
      <c r="D305" s="24" t="s">
        <v>434</v>
      </c>
      <c r="E305" s="24" t="s">
        <v>2984</v>
      </c>
    </row>
    <row r="306" spans="1:5" ht="72" customHeight="1">
      <c r="A306" s="24" t="s">
        <v>787</v>
      </c>
      <c r="B306" s="24" t="s">
        <v>72</v>
      </c>
      <c r="C306" s="24" t="s">
        <v>2994</v>
      </c>
      <c r="D306" s="24" t="s">
        <v>2995</v>
      </c>
      <c r="E306" s="24" t="s">
        <v>2981</v>
      </c>
    </row>
    <row r="307" spans="1:5" ht="72" customHeight="1">
      <c r="A307" s="24" t="s">
        <v>787</v>
      </c>
      <c r="B307" s="24" t="s">
        <v>76</v>
      </c>
      <c r="C307" s="24"/>
      <c r="D307" s="24" t="s">
        <v>531</v>
      </c>
      <c r="E307" s="24" t="s">
        <v>2982</v>
      </c>
    </row>
    <row r="308" spans="1:5" ht="72" customHeight="1">
      <c r="A308" s="24" t="s">
        <v>1455</v>
      </c>
      <c r="B308" s="24" t="s">
        <v>67</v>
      </c>
      <c r="C308" s="24"/>
      <c r="D308" s="24" t="s">
        <v>1249</v>
      </c>
      <c r="E308" s="24" t="s">
        <v>2979</v>
      </c>
    </row>
    <row r="309" spans="1:5" ht="72" customHeight="1">
      <c r="A309" s="24" t="s">
        <v>1455</v>
      </c>
      <c r="B309" s="24" t="s">
        <v>75</v>
      </c>
      <c r="C309" s="24"/>
      <c r="D309" s="24" t="s">
        <v>1400</v>
      </c>
      <c r="E309" s="24" t="s">
        <v>2984</v>
      </c>
    </row>
    <row r="310" spans="1:5" ht="72" customHeight="1">
      <c r="A310" s="24" t="s">
        <v>1455</v>
      </c>
      <c r="B310" s="24" t="s">
        <v>72</v>
      </c>
      <c r="C310" s="24" t="s">
        <v>2994</v>
      </c>
      <c r="D310" s="24" t="s">
        <v>1460</v>
      </c>
      <c r="E310" s="24" t="s">
        <v>2981</v>
      </c>
    </row>
    <row r="311" spans="1:5" ht="72" customHeight="1">
      <c r="A311" s="24" t="s">
        <v>1455</v>
      </c>
      <c r="B311" s="24" t="s">
        <v>76</v>
      </c>
      <c r="C311" s="24"/>
      <c r="D311" s="24" t="s">
        <v>531</v>
      </c>
      <c r="E311" s="24" t="s">
        <v>2982</v>
      </c>
    </row>
    <row r="312" spans="1:5" ht="72" customHeight="1">
      <c r="A312" s="24" t="s">
        <v>1766</v>
      </c>
      <c r="B312" s="24" t="s">
        <v>67</v>
      </c>
      <c r="C312" s="24"/>
      <c r="D312" s="24" t="s">
        <v>1249</v>
      </c>
      <c r="E312" s="24" t="s">
        <v>2979</v>
      </c>
    </row>
    <row r="313" spans="1:5" ht="72" customHeight="1">
      <c r="A313" s="24" t="s">
        <v>1766</v>
      </c>
      <c r="B313" s="24" t="s">
        <v>75</v>
      </c>
      <c r="C313" s="24"/>
      <c r="D313" s="24" t="s">
        <v>1476</v>
      </c>
      <c r="E313" s="24" t="s">
        <v>2984</v>
      </c>
    </row>
    <row r="314" spans="1:5" ht="72" customHeight="1">
      <c r="A314" s="24" t="s">
        <v>1766</v>
      </c>
      <c r="B314" s="24" t="s">
        <v>72</v>
      </c>
      <c r="C314" s="24" t="s">
        <v>2994</v>
      </c>
      <c r="D314" s="24" t="s">
        <v>1771</v>
      </c>
      <c r="E314" s="24" t="s">
        <v>2981</v>
      </c>
    </row>
    <row r="315" spans="1:5" ht="72" customHeight="1">
      <c r="A315" s="24" t="s">
        <v>1766</v>
      </c>
      <c r="B315" s="24" t="s">
        <v>76</v>
      </c>
      <c r="C315" s="24"/>
      <c r="D315" s="24" t="s">
        <v>531</v>
      </c>
      <c r="E315" s="24" t="s">
        <v>2982</v>
      </c>
    </row>
    <row r="316" spans="1:5" ht="72" customHeight="1">
      <c r="A316" s="24" t="s">
        <v>143</v>
      </c>
      <c r="B316" s="24" t="s">
        <v>66</v>
      </c>
      <c r="C316" s="24" t="s">
        <v>2721</v>
      </c>
      <c r="D316" s="24" t="s">
        <v>2996</v>
      </c>
      <c r="E316" s="24" t="s">
        <v>2997</v>
      </c>
    </row>
    <row r="317" spans="1:5" ht="72" customHeight="1">
      <c r="A317" s="24" t="s">
        <v>158</v>
      </c>
      <c r="B317" s="24" t="s">
        <v>66</v>
      </c>
      <c r="C317" s="24" t="s">
        <v>2722</v>
      </c>
      <c r="D317" s="24" t="s">
        <v>2998</v>
      </c>
      <c r="E317" s="24" t="s">
        <v>2997</v>
      </c>
    </row>
    <row r="318" spans="1:5" ht="72" customHeight="1">
      <c r="A318" s="24" t="s">
        <v>168</v>
      </c>
      <c r="B318" s="24" t="s">
        <v>66</v>
      </c>
      <c r="C318" s="24" t="s">
        <v>2723</v>
      </c>
      <c r="D318" s="24" t="s">
        <v>2999</v>
      </c>
      <c r="E318" s="24" t="s">
        <v>2997</v>
      </c>
    </row>
    <row r="319" spans="1:5" ht="72" customHeight="1">
      <c r="A319" s="24" t="s">
        <v>180</v>
      </c>
      <c r="B319" s="24" t="s">
        <v>66</v>
      </c>
      <c r="C319" s="24" t="s">
        <v>2724</v>
      </c>
      <c r="D319" s="24" t="s">
        <v>3000</v>
      </c>
      <c r="E319" s="24" t="s">
        <v>2997</v>
      </c>
    </row>
    <row r="320" spans="1:5" ht="72" customHeight="1">
      <c r="A320" s="24" t="s">
        <v>199</v>
      </c>
      <c r="B320" s="24" t="s">
        <v>66</v>
      </c>
      <c r="C320" s="24" t="s">
        <v>205</v>
      </c>
      <c r="D320" s="24" t="s">
        <v>3001</v>
      </c>
      <c r="E320" s="24" t="s">
        <v>2997</v>
      </c>
    </row>
    <row r="321" spans="1:5" ht="72" customHeight="1">
      <c r="A321" s="24" t="s">
        <v>219</v>
      </c>
      <c r="B321" s="24" t="s">
        <v>66</v>
      </c>
      <c r="C321" s="24" t="s">
        <v>2725</v>
      </c>
      <c r="D321" s="24" t="s">
        <v>3002</v>
      </c>
      <c r="E321" s="24" t="s">
        <v>2997</v>
      </c>
    </row>
    <row r="322" spans="1:5" ht="72" customHeight="1">
      <c r="A322" s="24" t="s">
        <v>118</v>
      </c>
      <c r="B322" s="24" t="s">
        <v>66</v>
      </c>
      <c r="C322" s="24" t="s">
        <v>233</v>
      </c>
      <c r="D322" s="24" t="s">
        <v>3003</v>
      </c>
      <c r="E322" s="24" t="s">
        <v>2997</v>
      </c>
    </row>
    <row r="323" spans="1:5" ht="72" customHeight="1">
      <c r="A323" s="24" t="s">
        <v>239</v>
      </c>
      <c r="B323" s="24" t="s">
        <v>66</v>
      </c>
      <c r="C323" s="24" t="s">
        <v>2726</v>
      </c>
      <c r="D323" s="24" t="s">
        <v>245</v>
      </c>
      <c r="E323" s="24" t="s">
        <v>2997</v>
      </c>
    </row>
    <row r="324" spans="1:5" ht="72" customHeight="1">
      <c r="A324" s="24" t="s">
        <v>252</v>
      </c>
      <c r="B324" s="24" t="s">
        <v>66</v>
      </c>
      <c r="C324" s="24" t="s">
        <v>828</v>
      </c>
      <c r="D324" s="24" t="s">
        <v>256</v>
      </c>
      <c r="E324" s="24" t="s">
        <v>2997</v>
      </c>
    </row>
    <row r="325" spans="1:5" ht="72" customHeight="1">
      <c r="A325" s="24" t="s">
        <v>262</v>
      </c>
      <c r="B325" s="24" t="s">
        <v>66</v>
      </c>
      <c r="C325" s="24" t="s">
        <v>828</v>
      </c>
      <c r="D325" s="24" t="s">
        <v>256</v>
      </c>
      <c r="E325" s="24" t="s">
        <v>2997</v>
      </c>
    </row>
    <row r="326" spans="1:5" ht="72" customHeight="1">
      <c r="A326" s="24" t="s">
        <v>274</v>
      </c>
      <c r="B326" s="24" t="s">
        <v>66</v>
      </c>
      <c r="C326" s="24" t="s">
        <v>2727</v>
      </c>
      <c r="D326" s="24" t="s">
        <v>279</v>
      </c>
      <c r="E326" s="24" t="s">
        <v>2997</v>
      </c>
    </row>
    <row r="327" spans="1:5" ht="72" customHeight="1">
      <c r="A327" s="24" t="s">
        <v>287</v>
      </c>
      <c r="B327" s="24" t="s">
        <v>66</v>
      </c>
      <c r="C327" s="24" t="s">
        <v>2728</v>
      </c>
      <c r="D327" s="24" t="s">
        <v>294</v>
      </c>
      <c r="E327" s="24" t="s">
        <v>2997</v>
      </c>
    </row>
    <row r="328" spans="1:5" ht="72" customHeight="1">
      <c r="A328" s="24" t="s">
        <v>299</v>
      </c>
      <c r="B328" s="24" t="s">
        <v>66</v>
      </c>
      <c r="C328" s="24" t="s">
        <v>2729</v>
      </c>
      <c r="D328" s="24" t="s">
        <v>3004</v>
      </c>
      <c r="E328" s="24" t="s">
        <v>2997</v>
      </c>
    </row>
    <row r="329" spans="1:5" ht="72" customHeight="1">
      <c r="A329" s="24" t="s">
        <v>309</v>
      </c>
      <c r="B329" s="24" t="s">
        <v>66</v>
      </c>
      <c r="C329" s="24" t="s">
        <v>2730</v>
      </c>
      <c r="D329" s="24" t="s">
        <v>3005</v>
      </c>
      <c r="E329" s="24" t="s">
        <v>2997</v>
      </c>
    </row>
    <row r="330" spans="1:5" ht="72" customHeight="1">
      <c r="A330" s="24" t="s">
        <v>322</v>
      </c>
      <c r="B330" s="24" t="s">
        <v>66</v>
      </c>
      <c r="C330" s="24" t="s">
        <v>328</v>
      </c>
      <c r="D330" s="24" t="s">
        <v>3006</v>
      </c>
      <c r="E330" s="24" t="s">
        <v>2997</v>
      </c>
    </row>
    <row r="331" spans="1:5" ht="72" customHeight="1">
      <c r="A331" s="24" t="s">
        <v>334</v>
      </c>
      <c r="B331" s="24" t="s">
        <v>66</v>
      </c>
      <c r="C331" s="24" t="s">
        <v>339</v>
      </c>
      <c r="D331" s="24" t="s">
        <v>3007</v>
      </c>
      <c r="E331" s="24" t="s">
        <v>2997</v>
      </c>
    </row>
    <row r="332" spans="1:5" ht="72" customHeight="1">
      <c r="A332" s="24" t="s">
        <v>346</v>
      </c>
      <c r="B332" s="24" t="s">
        <v>66</v>
      </c>
      <c r="C332" s="24" t="s">
        <v>352</v>
      </c>
      <c r="D332" s="24" t="s">
        <v>3008</v>
      </c>
      <c r="E332" s="24" t="s">
        <v>2997</v>
      </c>
    </row>
    <row r="333" spans="1:5" ht="72" customHeight="1">
      <c r="A333" s="24" t="s">
        <v>425</v>
      </c>
      <c r="B333" s="24" t="s">
        <v>66</v>
      </c>
      <c r="C333" s="24" t="s">
        <v>432</v>
      </c>
      <c r="D333" s="24" t="s">
        <v>3009</v>
      </c>
      <c r="E333" s="24" t="s">
        <v>2997</v>
      </c>
    </row>
    <row r="334" spans="1:5" ht="72" customHeight="1">
      <c r="A334" s="24" t="s">
        <v>439</v>
      </c>
      <c r="B334" s="24" t="s">
        <v>66</v>
      </c>
      <c r="C334" s="24" t="s">
        <v>443</v>
      </c>
      <c r="D334" s="24" t="s">
        <v>3010</v>
      </c>
      <c r="E334" s="24" t="s">
        <v>2997</v>
      </c>
    </row>
    <row r="335" spans="1:5" ht="72" customHeight="1">
      <c r="A335" s="24" t="s">
        <v>463</v>
      </c>
      <c r="B335" s="24" t="s">
        <v>66</v>
      </c>
      <c r="C335" s="24" t="s">
        <v>2731</v>
      </c>
      <c r="D335" s="24" t="s">
        <v>469</v>
      </c>
      <c r="E335" s="24" t="s">
        <v>2997</v>
      </c>
    </row>
    <row r="336" spans="1:5" ht="72" customHeight="1">
      <c r="A336" s="24" t="s">
        <v>514</v>
      </c>
      <c r="B336" s="24" t="s">
        <v>66</v>
      </c>
      <c r="C336" s="24" t="s">
        <v>457</v>
      </c>
      <c r="D336" s="24" t="s">
        <v>3011</v>
      </c>
      <c r="E336" s="24" t="s">
        <v>2997</v>
      </c>
    </row>
    <row r="337" spans="1:5" ht="72" customHeight="1">
      <c r="A337" s="24" t="s">
        <v>522</v>
      </c>
      <c r="B337" s="24" t="s">
        <v>66</v>
      </c>
      <c r="C337" s="24" t="s">
        <v>3012</v>
      </c>
      <c r="D337" s="24" t="s">
        <v>3013</v>
      </c>
      <c r="E337" s="24" t="s">
        <v>2997</v>
      </c>
    </row>
    <row r="338" spans="1:5" ht="72" customHeight="1">
      <c r="A338" s="24" t="s">
        <v>539</v>
      </c>
      <c r="B338" s="24" t="s">
        <v>66</v>
      </c>
      <c r="C338" s="24" t="s">
        <v>2742</v>
      </c>
      <c r="D338" s="24" t="s">
        <v>3014</v>
      </c>
      <c r="E338" s="24" t="s">
        <v>2997</v>
      </c>
    </row>
    <row r="339" spans="1:5" ht="72" customHeight="1">
      <c r="A339" s="24" t="s">
        <v>548</v>
      </c>
      <c r="B339" s="24" t="s">
        <v>66</v>
      </c>
      <c r="C339" s="24" t="s">
        <v>559</v>
      </c>
      <c r="D339" s="24" t="s">
        <v>554</v>
      </c>
      <c r="E339" s="24" t="s">
        <v>2997</v>
      </c>
    </row>
    <row r="340" spans="1:5" ht="72" customHeight="1">
      <c r="A340" s="24" t="s">
        <v>559</v>
      </c>
      <c r="B340" s="24" t="s">
        <v>66</v>
      </c>
      <c r="C340" s="24" t="s">
        <v>2745</v>
      </c>
      <c r="D340" s="24" t="s">
        <v>564</v>
      </c>
      <c r="E340" s="24" t="s">
        <v>2997</v>
      </c>
    </row>
    <row r="341" spans="1:5" ht="72" customHeight="1">
      <c r="A341" s="24" t="s">
        <v>1242</v>
      </c>
      <c r="B341" s="24" t="s">
        <v>66</v>
      </c>
      <c r="C341" s="24"/>
      <c r="D341" s="24" t="s">
        <v>1248</v>
      </c>
      <c r="E341" s="24" t="s">
        <v>2997</v>
      </c>
    </row>
    <row r="342" spans="1:5" ht="72" customHeight="1">
      <c r="A342" s="24" t="s">
        <v>567</v>
      </c>
      <c r="B342" s="24" t="s">
        <v>66</v>
      </c>
      <c r="C342" s="24" t="s">
        <v>2749</v>
      </c>
      <c r="D342" s="24" t="s">
        <v>3015</v>
      </c>
      <c r="E342" s="24" t="s">
        <v>2997</v>
      </c>
    </row>
    <row r="343" spans="1:5" ht="72" customHeight="1">
      <c r="A343" s="24" t="s">
        <v>579</v>
      </c>
      <c r="B343" s="24" t="s">
        <v>66</v>
      </c>
      <c r="C343" s="24"/>
      <c r="D343" s="24" t="s">
        <v>2760</v>
      </c>
      <c r="E343" s="24" t="s">
        <v>2997</v>
      </c>
    </row>
    <row r="344" spans="1:5" ht="72" customHeight="1">
      <c r="A344" s="24" t="s">
        <v>595</v>
      </c>
      <c r="B344" s="24" t="s">
        <v>66</v>
      </c>
      <c r="C344" s="24" t="s">
        <v>602</v>
      </c>
      <c r="D344" s="24" t="s">
        <v>3016</v>
      </c>
      <c r="E344" s="24" t="s">
        <v>2997</v>
      </c>
    </row>
    <row r="345" spans="1:5" ht="72" customHeight="1">
      <c r="A345" s="24" t="s">
        <v>610</v>
      </c>
      <c r="B345" s="24" t="s">
        <v>66</v>
      </c>
      <c r="C345" s="24" t="s">
        <v>613</v>
      </c>
      <c r="D345" s="24" t="s">
        <v>3017</v>
      </c>
      <c r="E345" s="24" t="s">
        <v>2997</v>
      </c>
    </row>
    <row r="346" spans="1:5" ht="72" customHeight="1">
      <c r="A346" s="24" t="s">
        <v>622</v>
      </c>
      <c r="B346" s="24" t="s">
        <v>66</v>
      </c>
      <c r="C346" s="24" t="s">
        <v>624</v>
      </c>
      <c r="D346" s="24" t="s">
        <v>3018</v>
      </c>
      <c r="E346" s="24" t="s">
        <v>2997</v>
      </c>
    </row>
    <row r="347" spans="1:5" ht="72" customHeight="1">
      <c r="A347" s="24" t="s">
        <v>629</v>
      </c>
      <c r="B347" s="24" t="s">
        <v>66</v>
      </c>
      <c r="C347" s="24" t="s">
        <v>1276</v>
      </c>
      <c r="D347" s="24" t="s">
        <v>631</v>
      </c>
      <c r="E347" s="24" t="s">
        <v>2997</v>
      </c>
    </row>
    <row r="348" spans="1:5" ht="72" customHeight="1">
      <c r="A348" s="24" t="s">
        <v>648</v>
      </c>
      <c r="B348" s="24" t="s">
        <v>66</v>
      </c>
      <c r="C348" s="24" t="s">
        <v>655</v>
      </c>
      <c r="D348" s="24" t="s">
        <v>3019</v>
      </c>
      <c r="E348" s="24" t="s">
        <v>2997</v>
      </c>
    </row>
    <row r="349" spans="1:5" ht="72" customHeight="1">
      <c r="A349" s="24" t="s">
        <v>659</v>
      </c>
      <c r="B349" s="24" t="s">
        <v>66</v>
      </c>
      <c r="C349" s="24" t="s">
        <v>2751</v>
      </c>
      <c r="D349" s="24" t="s">
        <v>3020</v>
      </c>
      <c r="E349" s="24" t="s">
        <v>2997</v>
      </c>
    </row>
    <row r="350" spans="1:5" ht="72" customHeight="1">
      <c r="A350" s="24" t="s">
        <v>671</v>
      </c>
      <c r="B350" s="24" t="s">
        <v>66</v>
      </c>
      <c r="C350" s="24" t="s">
        <v>3021</v>
      </c>
      <c r="D350" s="24" t="s">
        <v>3022</v>
      </c>
      <c r="E350" s="24" t="s">
        <v>2997</v>
      </c>
    </row>
    <row r="351" spans="1:5" ht="72" customHeight="1">
      <c r="A351" s="24" t="s">
        <v>686</v>
      </c>
      <c r="B351" s="24" t="s">
        <v>66</v>
      </c>
      <c r="C351" s="24" t="s">
        <v>3023</v>
      </c>
      <c r="D351" s="24" t="s">
        <v>691</v>
      </c>
      <c r="E351" s="24" t="s">
        <v>2997</v>
      </c>
    </row>
    <row r="352" spans="1:5" ht="72" customHeight="1">
      <c r="A352" s="24" t="s">
        <v>696</v>
      </c>
      <c r="B352" s="24" t="s">
        <v>66</v>
      </c>
      <c r="C352" s="24" t="s">
        <v>3024</v>
      </c>
      <c r="D352" s="24" t="s">
        <v>701</v>
      </c>
      <c r="E352" s="24" t="s">
        <v>2997</v>
      </c>
    </row>
    <row r="353" spans="1:5" ht="72" customHeight="1">
      <c r="A353" s="24" t="s">
        <v>710</v>
      </c>
      <c r="B353" s="24" t="s">
        <v>66</v>
      </c>
      <c r="C353" s="24" t="s">
        <v>723</v>
      </c>
      <c r="D353" s="24" t="s">
        <v>3025</v>
      </c>
      <c r="E353" s="24" t="s">
        <v>2997</v>
      </c>
    </row>
    <row r="354" spans="1:5" ht="72" customHeight="1">
      <c r="A354" s="24" t="s">
        <v>723</v>
      </c>
      <c r="B354" s="24" t="s">
        <v>66</v>
      </c>
      <c r="C354" s="24"/>
      <c r="D354" s="24" t="s">
        <v>728</v>
      </c>
      <c r="E354" s="24" t="s">
        <v>2997</v>
      </c>
    </row>
    <row r="355" spans="1:5" ht="72" customHeight="1">
      <c r="A355" s="24" t="s">
        <v>1757</v>
      </c>
      <c r="B355" s="24" t="s">
        <v>66</v>
      </c>
      <c r="C355" s="24"/>
      <c r="D355" s="24" t="s">
        <v>1248</v>
      </c>
      <c r="E355" s="24" t="s">
        <v>2997</v>
      </c>
    </row>
    <row r="356" spans="1:5" ht="72" customHeight="1">
      <c r="A356" s="24" t="s">
        <v>737</v>
      </c>
      <c r="B356" s="24" t="s">
        <v>66</v>
      </c>
      <c r="C356" s="24"/>
      <c r="D356" s="24" t="s">
        <v>743</v>
      </c>
      <c r="E356" s="24" t="s">
        <v>2997</v>
      </c>
    </row>
    <row r="357" spans="1:5" ht="72" customHeight="1">
      <c r="A357" s="24" t="s">
        <v>749</v>
      </c>
      <c r="B357" s="24" t="s">
        <v>66</v>
      </c>
      <c r="C357" s="24" t="s">
        <v>2758</v>
      </c>
      <c r="D357" s="24" t="s">
        <v>3026</v>
      </c>
      <c r="E357" s="24" t="s">
        <v>2997</v>
      </c>
    </row>
    <row r="358" spans="1:5" ht="72" customHeight="1">
      <c r="A358" s="24" t="s">
        <v>806</v>
      </c>
      <c r="B358" s="24" t="s">
        <v>66</v>
      </c>
      <c r="C358" s="24" t="s">
        <v>743</v>
      </c>
      <c r="D358" s="24" t="s">
        <v>812</v>
      </c>
      <c r="E358" s="24" t="s">
        <v>2997</v>
      </c>
    </row>
    <row r="359" spans="1:5" ht="72" customHeight="1">
      <c r="A359" s="24" t="s">
        <v>642</v>
      </c>
      <c r="B359" s="24" t="s">
        <v>66</v>
      </c>
      <c r="C359" s="24" t="s">
        <v>833</v>
      </c>
      <c r="D359" s="24" t="s">
        <v>3027</v>
      </c>
      <c r="E359" s="24" t="s">
        <v>2997</v>
      </c>
    </row>
    <row r="360" spans="1:5" ht="72" customHeight="1">
      <c r="A360" s="24" t="s">
        <v>833</v>
      </c>
      <c r="B360" s="24" t="s">
        <v>66</v>
      </c>
      <c r="C360" s="24"/>
      <c r="D360" s="24" t="s">
        <v>743</v>
      </c>
      <c r="E360" s="24" t="s">
        <v>2997</v>
      </c>
    </row>
    <row r="361" spans="1:5" ht="72" customHeight="1">
      <c r="A361" s="24" t="s">
        <v>857</v>
      </c>
      <c r="B361" s="24" t="s">
        <v>66</v>
      </c>
      <c r="C361" s="24" t="s">
        <v>865</v>
      </c>
      <c r="D361" s="24" t="s">
        <v>3028</v>
      </c>
      <c r="E361" s="24" t="s">
        <v>2997</v>
      </c>
    </row>
    <row r="362" spans="1:5" ht="72" customHeight="1">
      <c r="A362" s="24" t="s">
        <v>874</v>
      </c>
      <c r="B362" s="24" t="s">
        <v>66</v>
      </c>
      <c r="C362" s="24" t="s">
        <v>879</v>
      </c>
      <c r="D362" s="24" t="s">
        <v>3029</v>
      </c>
      <c r="E362" s="24" t="s">
        <v>2997</v>
      </c>
    </row>
    <row r="363" spans="1:5" ht="72" customHeight="1">
      <c r="A363" s="24" t="s">
        <v>960</v>
      </c>
      <c r="B363" s="24" t="s">
        <v>66</v>
      </c>
      <c r="C363" s="24" t="s">
        <v>965</v>
      </c>
      <c r="D363" s="24" t="s">
        <v>3030</v>
      </c>
      <c r="E363" s="24" t="s">
        <v>2997</v>
      </c>
    </row>
    <row r="364" spans="1:5" ht="72" customHeight="1">
      <c r="A364" s="24" t="s">
        <v>969</v>
      </c>
      <c r="B364" s="24" t="s">
        <v>66</v>
      </c>
      <c r="C364" s="24" t="s">
        <v>965</v>
      </c>
      <c r="D364" s="24" t="s">
        <v>3030</v>
      </c>
      <c r="E364" s="24" t="s">
        <v>2997</v>
      </c>
    </row>
    <row r="365" spans="1:5" ht="72" customHeight="1">
      <c r="A365" s="24" t="s">
        <v>975</v>
      </c>
      <c r="B365" s="24" t="s">
        <v>66</v>
      </c>
      <c r="C365" s="24" t="s">
        <v>965</v>
      </c>
      <c r="D365" s="24" t="s">
        <v>3030</v>
      </c>
      <c r="E365" s="24" t="s">
        <v>2997</v>
      </c>
    </row>
    <row r="366" spans="1:5" ht="72" customHeight="1">
      <c r="A366" s="24" t="s">
        <v>990</v>
      </c>
      <c r="B366" s="24" t="s">
        <v>66</v>
      </c>
      <c r="C366" s="24" t="s">
        <v>579</v>
      </c>
      <c r="D366" s="24" t="s">
        <v>997</v>
      </c>
      <c r="E366" s="24" t="s">
        <v>2997</v>
      </c>
    </row>
    <row r="367" spans="1:5" ht="72" customHeight="1">
      <c r="A367" s="24" t="s">
        <v>1002</v>
      </c>
      <c r="B367" s="24" t="s">
        <v>66</v>
      </c>
      <c r="C367" s="24" t="s">
        <v>2762</v>
      </c>
      <c r="D367" s="24" t="s">
        <v>3031</v>
      </c>
      <c r="E367" s="24" t="s">
        <v>2997</v>
      </c>
    </row>
    <row r="368" spans="1:5" ht="72" customHeight="1">
      <c r="A368" s="24" t="s">
        <v>1026</v>
      </c>
      <c r="B368" s="24" t="s">
        <v>66</v>
      </c>
      <c r="C368" s="24" t="s">
        <v>1034</v>
      </c>
      <c r="D368" s="24" t="s">
        <v>3032</v>
      </c>
      <c r="E368" s="24" t="s">
        <v>2997</v>
      </c>
    </row>
    <row r="369" spans="1:5" ht="72" customHeight="1">
      <c r="A369" s="24" t="s">
        <v>1037</v>
      </c>
      <c r="B369" s="24" t="s">
        <v>66</v>
      </c>
      <c r="C369" s="24" t="s">
        <v>1042</v>
      </c>
      <c r="D369" s="24" t="s">
        <v>3033</v>
      </c>
      <c r="E369" s="24" t="s">
        <v>2997</v>
      </c>
    </row>
    <row r="370" spans="1:5" ht="72" customHeight="1">
      <c r="A370" s="24" t="s">
        <v>1056</v>
      </c>
      <c r="B370" s="24" t="s">
        <v>66</v>
      </c>
      <c r="C370" s="24"/>
      <c r="D370" s="24" t="s">
        <v>743</v>
      </c>
      <c r="E370" s="24" t="s">
        <v>2997</v>
      </c>
    </row>
    <row r="371" spans="1:5" ht="72" customHeight="1">
      <c r="A371" s="24" t="s">
        <v>1102</v>
      </c>
      <c r="B371" s="24" t="s">
        <v>66</v>
      </c>
      <c r="C371" s="24" t="s">
        <v>1109</v>
      </c>
      <c r="D371" s="24" t="s">
        <v>3034</v>
      </c>
      <c r="E371" s="24" t="s">
        <v>2997</v>
      </c>
    </row>
    <row r="372" spans="1:5" ht="72" customHeight="1">
      <c r="A372" s="24" t="s">
        <v>1125</v>
      </c>
      <c r="B372" s="24" t="s">
        <v>66</v>
      </c>
      <c r="C372" s="24" t="s">
        <v>1109</v>
      </c>
      <c r="D372" s="24" t="s">
        <v>3034</v>
      </c>
      <c r="E372" s="24" t="s">
        <v>2997</v>
      </c>
    </row>
    <row r="373" spans="1:5" ht="72" customHeight="1">
      <c r="A373" s="24" t="s">
        <v>1131</v>
      </c>
      <c r="B373" s="24" t="s">
        <v>66</v>
      </c>
      <c r="C373" s="24"/>
      <c r="D373" s="24" t="s">
        <v>743</v>
      </c>
      <c r="E373" s="24" t="s">
        <v>2997</v>
      </c>
    </row>
    <row r="374" spans="1:5" ht="72" customHeight="1">
      <c r="A374" s="24" t="s">
        <v>1160</v>
      </c>
      <c r="B374" s="24" t="s">
        <v>66</v>
      </c>
      <c r="C374" s="24"/>
      <c r="D374" s="24" t="s">
        <v>3035</v>
      </c>
      <c r="E374" s="24" t="s">
        <v>2997</v>
      </c>
    </row>
    <row r="375" spans="1:5" ht="72" customHeight="1">
      <c r="A375" s="24" t="s">
        <v>1169</v>
      </c>
      <c r="B375" s="24" t="s">
        <v>66</v>
      </c>
      <c r="C375" s="24" t="s">
        <v>1377</v>
      </c>
      <c r="D375" s="24" t="s">
        <v>1174</v>
      </c>
      <c r="E375" s="24" t="s">
        <v>2997</v>
      </c>
    </row>
    <row r="376" spans="1:5" ht="72" customHeight="1">
      <c r="A376" s="24" t="s">
        <v>1177</v>
      </c>
      <c r="B376" s="24" t="s">
        <v>66</v>
      </c>
      <c r="C376" s="24"/>
      <c r="D376" s="24" t="s">
        <v>743</v>
      </c>
      <c r="E376" s="24" t="s">
        <v>2997</v>
      </c>
    </row>
    <row r="377" spans="1:5" ht="72" customHeight="1">
      <c r="A377" s="24" t="s">
        <v>1187</v>
      </c>
      <c r="B377" s="24" t="s">
        <v>66</v>
      </c>
      <c r="C377" s="24"/>
      <c r="D377" s="24" t="s">
        <v>743</v>
      </c>
      <c r="E377" s="24" t="s">
        <v>2997</v>
      </c>
    </row>
    <row r="378" spans="1:5" ht="72" customHeight="1">
      <c r="A378" s="24" t="s">
        <v>1276</v>
      </c>
      <c r="B378" s="24" t="s">
        <v>66</v>
      </c>
      <c r="C378" s="24"/>
      <c r="D378" s="24" t="s">
        <v>1248</v>
      </c>
      <c r="E378" s="24" t="s">
        <v>2997</v>
      </c>
    </row>
    <row r="379" spans="1:5" ht="72" customHeight="1">
      <c r="A379" s="24" t="s">
        <v>1296</v>
      </c>
      <c r="B379" s="24" t="s">
        <v>66</v>
      </c>
      <c r="C379" s="24"/>
      <c r="D379" s="24" t="s">
        <v>1248</v>
      </c>
      <c r="E379" s="24" t="s">
        <v>2997</v>
      </c>
    </row>
    <row r="380" spans="1:5" ht="72" customHeight="1">
      <c r="A380" s="24" t="s">
        <v>1301</v>
      </c>
      <c r="B380" s="24" t="s">
        <v>66</v>
      </c>
      <c r="C380" s="24"/>
      <c r="D380" s="24" t="s">
        <v>1248</v>
      </c>
      <c r="E380" s="24" t="s">
        <v>2997</v>
      </c>
    </row>
    <row r="381" spans="1:5" ht="72" customHeight="1">
      <c r="A381" s="24" t="s">
        <v>1306</v>
      </c>
      <c r="B381" s="24" t="s">
        <v>66</v>
      </c>
      <c r="C381" s="24"/>
      <c r="D381" s="24" t="s">
        <v>1248</v>
      </c>
      <c r="E381" s="24" t="s">
        <v>2997</v>
      </c>
    </row>
    <row r="382" spans="1:5" ht="72" customHeight="1">
      <c r="A382" s="24" t="s">
        <v>1335</v>
      </c>
      <c r="B382" s="24" t="s">
        <v>66</v>
      </c>
      <c r="C382" s="24"/>
      <c r="D382" s="24" t="s">
        <v>1248</v>
      </c>
      <c r="E382" s="24" t="s">
        <v>2997</v>
      </c>
    </row>
    <row r="383" spans="1:5" ht="72" customHeight="1">
      <c r="A383" s="24" t="s">
        <v>1339</v>
      </c>
      <c r="B383" s="24" t="s">
        <v>66</v>
      </c>
      <c r="C383" s="24"/>
      <c r="D383" s="24" t="s">
        <v>1248</v>
      </c>
      <c r="E383" s="24" t="s">
        <v>2997</v>
      </c>
    </row>
    <row r="384" spans="1:5" ht="72" customHeight="1">
      <c r="A384" s="24" t="s">
        <v>1327</v>
      </c>
      <c r="B384" s="24" t="s">
        <v>66</v>
      </c>
      <c r="C384" s="24" t="s">
        <v>743</v>
      </c>
      <c r="D384" s="24"/>
      <c r="E384" s="24" t="s">
        <v>2997</v>
      </c>
    </row>
    <row r="385" spans="1:5" ht="72" customHeight="1">
      <c r="A385" s="24" t="s">
        <v>1349</v>
      </c>
      <c r="B385" s="24" t="s">
        <v>66</v>
      </c>
      <c r="C385" s="24" t="s">
        <v>3036</v>
      </c>
      <c r="D385" s="24" t="s">
        <v>3037</v>
      </c>
      <c r="E385" s="24" t="s">
        <v>2997</v>
      </c>
    </row>
    <row r="386" spans="1:5" ht="72" customHeight="1">
      <c r="A386" s="24" t="s">
        <v>1356</v>
      </c>
      <c r="B386" s="24" t="s">
        <v>66</v>
      </c>
      <c r="C386" s="24" t="s">
        <v>3036</v>
      </c>
      <c r="D386" s="24" t="s">
        <v>3037</v>
      </c>
      <c r="E386" s="24" t="s">
        <v>2997</v>
      </c>
    </row>
    <row r="387" spans="1:5" ht="72" customHeight="1">
      <c r="A387" s="24" t="s">
        <v>1367</v>
      </c>
      <c r="B387" s="24" t="s">
        <v>66</v>
      </c>
      <c r="C387" s="24" t="s">
        <v>3038</v>
      </c>
      <c r="D387" s="24" t="s">
        <v>3039</v>
      </c>
      <c r="E387" s="24" t="s">
        <v>2997</v>
      </c>
    </row>
    <row r="388" spans="1:5" ht="72" customHeight="1">
      <c r="A388" s="24" t="s">
        <v>1377</v>
      </c>
      <c r="B388" s="24" t="s">
        <v>66</v>
      </c>
      <c r="C388" s="24" t="s">
        <v>3036</v>
      </c>
      <c r="D388" s="24" t="s">
        <v>3037</v>
      </c>
      <c r="E388" s="24" t="s">
        <v>2997</v>
      </c>
    </row>
    <row r="389" spans="1:5" ht="72" customHeight="1">
      <c r="A389" s="24" t="s">
        <v>1384</v>
      </c>
      <c r="B389" s="24" t="s">
        <v>66</v>
      </c>
      <c r="C389" s="24" t="s">
        <v>3036</v>
      </c>
      <c r="D389" s="24" t="s">
        <v>3037</v>
      </c>
      <c r="E389" s="24" t="s">
        <v>2997</v>
      </c>
    </row>
    <row r="390" spans="1:5" ht="72" customHeight="1">
      <c r="A390" s="24" t="s">
        <v>1411</v>
      </c>
      <c r="B390" s="24" t="s">
        <v>66</v>
      </c>
      <c r="C390" s="24" t="s">
        <v>1423</v>
      </c>
      <c r="D390" s="24" t="s">
        <v>1417</v>
      </c>
      <c r="E390" s="24" t="s">
        <v>2997</v>
      </c>
    </row>
    <row r="391" spans="1:5" ht="72" customHeight="1">
      <c r="A391" s="24" t="s">
        <v>1429</v>
      </c>
      <c r="B391" s="24" t="s">
        <v>66</v>
      </c>
      <c r="C391" s="24"/>
      <c r="D391" s="24" t="s">
        <v>1248</v>
      </c>
      <c r="E391" s="24" t="s">
        <v>2997</v>
      </c>
    </row>
    <row r="392" spans="1:5" ht="72" customHeight="1">
      <c r="A392" s="24" t="s">
        <v>812</v>
      </c>
      <c r="B392" s="24" t="s">
        <v>66</v>
      </c>
      <c r="C392" s="24" t="s">
        <v>1248</v>
      </c>
      <c r="D392" s="24" t="s">
        <v>1447</v>
      </c>
      <c r="E392" s="24" t="s">
        <v>2997</v>
      </c>
    </row>
    <row r="393" spans="1:5" ht="72" customHeight="1">
      <c r="A393" s="24" t="s">
        <v>1487</v>
      </c>
      <c r="B393" s="24" t="s">
        <v>66</v>
      </c>
      <c r="C393" s="24" t="s">
        <v>1492</v>
      </c>
      <c r="D393" s="24" t="s">
        <v>3040</v>
      </c>
      <c r="E393" s="24" t="s">
        <v>2997</v>
      </c>
    </row>
    <row r="394" spans="1:5" ht="72" customHeight="1">
      <c r="A394" s="24" t="s">
        <v>1515</v>
      </c>
      <c r="B394" s="24" t="s">
        <v>66</v>
      </c>
      <c r="C394" s="24" t="s">
        <v>1520</v>
      </c>
      <c r="D394" s="24" t="s">
        <v>3041</v>
      </c>
      <c r="E394" s="24" t="s">
        <v>2997</v>
      </c>
    </row>
    <row r="395" spans="1:5" ht="72" customHeight="1">
      <c r="A395" s="24" t="s">
        <v>1095</v>
      </c>
      <c r="B395" s="24" t="s">
        <v>66</v>
      </c>
      <c r="C395" s="24"/>
      <c r="D395" s="24" t="s">
        <v>1248</v>
      </c>
      <c r="E395" s="24" t="s">
        <v>2997</v>
      </c>
    </row>
    <row r="396" spans="1:5" ht="72" customHeight="1">
      <c r="A396" s="24" t="s">
        <v>912</v>
      </c>
      <c r="B396" s="24" t="s">
        <v>66</v>
      </c>
      <c r="C396" s="24" t="s">
        <v>3042</v>
      </c>
      <c r="D396" s="24" t="s">
        <v>3043</v>
      </c>
      <c r="E396" s="24" t="s">
        <v>2997</v>
      </c>
    </row>
    <row r="397" spans="1:5" ht="72" customHeight="1">
      <c r="A397" s="24" t="s">
        <v>1683</v>
      </c>
      <c r="B397" s="24" t="s">
        <v>66</v>
      </c>
      <c r="C397" s="24" t="s">
        <v>743</v>
      </c>
      <c r="D397" s="24"/>
      <c r="E397" s="24" t="s">
        <v>2997</v>
      </c>
    </row>
    <row r="398" spans="1:5" ht="72" customHeight="1">
      <c r="A398" s="24" t="s">
        <v>1710</v>
      </c>
      <c r="B398" s="24" t="s">
        <v>66</v>
      </c>
      <c r="C398" s="24"/>
      <c r="D398" s="24" t="s">
        <v>1248</v>
      </c>
      <c r="E398" s="24" t="s">
        <v>2997</v>
      </c>
    </row>
    <row r="399" spans="1:5" ht="72" customHeight="1">
      <c r="A399" s="24" t="s">
        <v>1718</v>
      </c>
      <c r="B399" s="24" t="s">
        <v>66</v>
      </c>
      <c r="C399" s="24" t="s">
        <v>3044</v>
      </c>
      <c r="D399" s="24" t="s">
        <v>1724</v>
      </c>
      <c r="E399" s="24" t="s">
        <v>2997</v>
      </c>
    </row>
    <row r="400" spans="1:5" ht="72" customHeight="1">
      <c r="A400" s="24" t="s">
        <v>1743</v>
      </c>
      <c r="B400" s="24" t="s">
        <v>66</v>
      </c>
      <c r="C400" s="24"/>
      <c r="D400" s="24" t="s">
        <v>1753</v>
      </c>
      <c r="E400" s="24" t="s">
        <v>2997</v>
      </c>
    </row>
    <row r="401" spans="1:5" ht="72" customHeight="1">
      <c r="A401" s="24" t="s">
        <v>1775</v>
      </c>
      <c r="B401" s="24" t="s">
        <v>66</v>
      </c>
      <c r="C401" s="24"/>
      <c r="D401" s="24" t="s">
        <v>1248</v>
      </c>
      <c r="E401" s="24" t="s">
        <v>2997</v>
      </c>
    </row>
    <row r="402" spans="1:5" ht="72" customHeight="1">
      <c r="A402" s="24" t="s">
        <v>356</v>
      </c>
      <c r="B402" s="24" t="s">
        <v>66</v>
      </c>
      <c r="C402" s="24" t="s">
        <v>743</v>
      </c>
      <c r="D402" s="24" t="s">
        <v>3045</v>
      </c>
      <c r="E402" s="24" t="s">
        <v>2997</v>
      </c>
    </row>
    <row r="403" spans="1:5" ht="72" customHeight="1">
      <c r="A403" s="24" t="s">
        <v>368</v>
      </c>
      <c r="B403" s="24" t="s">
        <v>66</v>
      </c>
      <c r="C403" s="24" t="s">
        <v>2763</v>
      </c>
      <c r="D403" s="24" t="s">
        <v>3046</v>
      </c>
      <c r="E403" s="24" t="s">
        <v>2997</v>
      </c>
    </row>
    <row r="404" spans="1:5" ht="72" customHeight="1">
      <c r="A404" s="24" t="s">
        <v>414</v>
      </c>
      <c r="B404" s="24" t="s">
        <v>66</v>
      </c>
      <c r="C404" s="24" t="s">
        <v>3047</v>
      </c>
      <c r="D404" s="24" t="s">
        <v>368</v>
      </c>
      <c r="E404" s="24" t="s">
        <v>2997</v>
      </c>
    </row>
    <row r="405" spans="1:5" ht="72" customHeight="1">
      <c r="A405" s="24" t="s">
        <v>405</v>
      </c>
      <c r="B405" s="24" t="s">
        <v>66</v>
      </c>
      <c r="C405" s="24" t="s">
        <v>2764</v>
      </c>
      <c r="D405" s="24" t="s">
        <v>410</v>
      </c>
      <c r="E405" s="24" t="s">
        <v>2997</v>
      </c>
    </row>
    <row r="406" spans="1:5" ht="72" customHeight="1">
      <c r="A406" s="24" t="s">
        <v>381</v>
      </c>
      <c r="B406" s="24" t="s">
        <v>66</v>
      </c>
      <c r="C406" s="24" t="s">
        <v>2765</v>
      </c>
      <c r="D406" s="24" t="s">
        <v>387</v>
      </c>
      <c r="E406" s="24" t="s">
        <v>2997</v>
      </c>
    </row>
    <row r="407" spans="1:5" ht="72" customHeight="1">
      <c r="A407" s="24" t="s">
        <v>392</v>
      </c>
      <c r="B407" s="24" t="s">
        <v>66</v>
      </c>
      <c r="C407" s="24" t="s">
        <v>2766</v>
      </c>
      <c r="D407" s="24" t="s">
        <v>3048</v>
      </c>
      <c r="E407" s="24" t="s">
        <v>2997</v>
      </c>
    </row>
    <row r="408" spans="1:5" ht="72" customHeight="1">
      <c r="A408" s="24" t="s">
        <v>1216</v>
      </c>
      <c r="B408" s="24" t="s">
        <v>66</v>
      </c>
      <c r="C408" s="24" t="s">
        <v>2767</v>
      </c>
      <c r="D408" s="24" t="s">
        <v>743</v>
      </c>
      <c r="E408" s="24" t="s">
        <v>2997</v>
      </c>
    </row>
    <row r="409" spans="1:5" ht="72" customHeight="1">
      <c r="A409" s="24" t="s">
        <v>772</v>
      </c>
      <c r="B409" s="24" t="s">
        <v>66</v>
      </c>
      <c r="C409" s="24" t="s">
        <v>723</v>
      </c>
      <c r="D409" s="24" t="s">
        <v>779</v>
      </c>
      <c r="E409" s="24" t="s">
        <v>2997</v>
      </c>
    </row>
    <row r="410" spans="1:5" ht="72" customHeight="1">
      <c r="A410" s="24" t="s">
        <v>787</v>
      </c>
      <c r="B410" s="24" t="s">
        <v>66</v>
      </c>
      <c r="C410" s="24"/>
      <c r="D410" s="24" t="s">
        <v>772</v>
      </c>
      <c r="E410" s="24" t="s">
        <v>2997</v>
      </c>
    </row>
    <row r="411" spans="1:5" ht="72" customHeight="1">
      <c r="A411" s="24" t="s">
        <v>1455</v>
      </c>
      <c r="B411" s="24" t="s">
        <v>66</v>
      </c>
      <c r="C411" s="24"/>
      <c r="D411" s="24" t="s">
        <v>1248</v>
      </c>
      <c r="E411" s="24" t="s">
        <v>2997</v>
      </c>
    </row>
    <row r="412" spans="1:5" ht="72" customHeight="1">
      <c r="A412" s="24" t="s">
        <v>1766</v>
      </c>
      <c r="B412" s="24" t="s">
        <v>66</v>
      </c>
      <c r="C412" s="24"/>
      <c r="D412" s="24" t="s">
        <v>1248</v>
      </c>
      <c r="E412" s="24" t="s">
        <v>2997</v>
      </c>
    </row>
    <row r="413" spans="1:5" ht="110.1" customHeight="1">
      <c r="A413" s="2" t="s">
        <v>806</v>
      </c>
      <c r="B413" s="2" t="s">
        <v>3049</v>
      </c>
      <c r="C413" s="2" t="s">
        <v>2761</v>
      </c>
      <c r="D413" s="2" t="s">
        <v>3050</v>
      </c>
      <c r="E413" s="2" t="s">
        <v>2346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32"/>
  <sheetViews>
    <sheetView workbookViewId="0"/>
  </sheetViews>
  <sheetFormatPr defaultRowHeight="14.25"/>
  <cols>
    <col min="1" max="10" width="20" customWidth="1"/>
  </cols>
  <sheetData>
    <row r="1" spans="1:14" ht="26.1" customHeight="1">
      <c r="A1" s="98" t="s">
        <v>3051</v>
      </c>
      <c r="B1" s="98"/>
      <c r="C1" s="98"/>
      <c r="D1" s="98"/>
      <c r="E1" s="98"/>
      <c r="F1" s="98"/>
      <c r="G1" s="98"/>
      <c r="H1" s="98"/>
      <c r="I1" s="98"/>
      <c r="J1" s="98"/>
      <c r="K1" s="54"/>
      <c r="L1" s="54"/>
      <c r="M1" s="54"/>
      <c r="N1" s="54"/>
    </row>
    <row r="2" spans="1:14" ht="36" customHeight="1">
      <c r="A2" s="40" t="s">
        <v>1832</v>
      </c>
      <c r="B2" s="40" t="s">
        <v>1834</v>
      </c>
      <c r="C2" s="40" t="s">
        <v>2393</v>
      </c>
      <c r="D2" s="40" t="s">
        <v>1836</v>
      </c>
      <c r="E2" s="40" t="s">
        <v>3052</v>
      </c>
      <c r="F2" s="40" t="s">
        <v>2772</v>
      </c>
      <c r="G2" s="40" t="s">
        <v>1839</v>
      </c>
      <c r="H2" s="40" t="s">
        <v>3053</v>
      </c>
      <c r="I2" s="40" t="s">
        <v>3054</v>
      </c>
      <c r="J2" s="40" t="s">
        <v>3055</v>
      </c>
    </row>
    <row r="3" spans="1:14" ht="26.1" customHeight="1">
      <c r="A3" s="38" t="s">
        <v>108</v>
      </c>
      <c r="B3" s="38" t="s">
        <v>109</v>
      </c>
      <c r="C3" s="38" t="s">
        <v>117</v>
      </c>
      <c r="D3" s="38">
        <f>COUNTIFS(Backlog!$B$2:$B$188,A3,Backlog!$C$2:$C$188,B3,Backlog!$L$2:$L$188,C3)</f>
        <v>17</v>
      </c>
      <c r="E3" s="38">
        <f>COUNTIFS(Backlog!$B$2:$B$188,A3,Backlog!$C$2:$C$188,B3,Backlog!$L$2:$L$188,C3,Backlog!$K$2:$K$188,"Done")</f>
        <v>17</v>
      </c>
      <c r="F3" s="38">
        <f t="shared" ref="F3:F32" si="0">D3-E3</f>
        <v>0</v>
      </c>
      <c r="G3" s="38">
        <f>SUMIFS(Backlog!$AS$2:$AS$188,Backlog!$B$2:$B$188,A3,Backlog!$C$2:$C$188,B3,Backlog!$L$2:$L$188,C3)</f>
        <v>172</v>
      </c>
      <c r="H3" s="38">
        <f>SUMIFS(Backlog!$AS$2:$AS$188,Backlog!$B$2:$B$188,A3,Backlog!$C$2:$C$188,B3,Backlog!$L$2:$L$188,C3,Backlog!$K$2:$K$188,"Done")</f>
        <v>172</v>
      </c>
      <c r="I3" s="38">
        <f t="shared" ref="I3:I32" si="1">G3-H3</f>
        <v>0</v>
      </c>
      <c r="J3" s="38">
        <f>COUNTIFS(Backlog!$B$2:$B$188,A3,Backlog!$C$2:$C$188,B3,Backlog!$L$2:$L$188,C3,Backlog!$AM$2:$AM$188,0)</f>
        <v>0</v>
      </c>
    </row>
    <row r="4" spans="1:14" ht="26.1" customHeight="1">
      <c r="A4" s="38" t="s">
        <v>108</v>
      </c>
      <c r="B4" s="38" t="s">
        <v>109</v>
      </c>
      <c r="C4" s="38" t="s">
        <v>36</v>
      </c>
      <c r="D4" s="38">
        <f>COUNTIFS(Backlog!$B$2:$B$188,A4,Backlog!$C$2:$C$188,B4,Backlog!$L$2:$L$188,C4)</f>
        <v>5</v>
      </c>
      <c r="E4" s="38">
        <f>COUNTIFS(Backlog!$B$2:$B$188,A4,Backlog!$C$2:$C$188,B4,Backlog!$L$2:$L$188,C4,Backlog!$K$2:$K$188,"Done")</f>
        <v>5</v>
      </c>
      <c r="F4" s="38">
        <f t="shared" si="0"/>
        <v>0</v>
      </c>
      <c r="G4" s="38">
        <f>SUMIFS(Backlog!$AS$2:$AS$188,Backlog!$B$2:$B$188,A4,Backlog!$C$2:$C$188,B4,Backlog!$L$2:$L$188,C4)</f>
        <v>44</v>
      </c>
      <c r="H4" s="38">
        <f>SUMIFS(Backlog!$AS$2:$AS$188,Backlog!$B$2:$B$188,A4,Backlog!$C$2:$C$188,B4,Backlog!$L$2:$L$188,C4,Backlog!$K$2:$K$188,"Done")</f>
        <v>44</v>
      </c>
      <c r="I4" s="38">
        <f t="shared" si="1"/>
        <v>0</v>
      </c>
      <c r="J4" s="38">
        <f>COUNTIFS(Backlog!$B$2:$B$188,A4,Backlog!$C$2:$C$188,B4,Backlog!$L$2:$L$188,C4,Backlog!$AM$2:$AM$188,0)</f>
        <v>0</v>
      </c>
    </row>
    <row r="5" spans="1:14" ht="26.1" customHeight="1">
      <c r="A5" s="38" t="s">
        <v>108</v>
      </c>
      <c r="B5" s="38" t="s">
        <v>109</v>
      </c>
      <c r="C5" s="38" t="s">
        <v>293</v>
      </c>
      <c r="D5" s="38">
        <f>COUNTIFS(Backlog!$B$2:$B$188,A5,Backlog!$C$2:$C$188,B5,Backlog!$L$2:$L$188,C5)</f>
        <v>4</v>
      </c>
      <c r="E5" s="38">
        <f>COUNTIFS(Backlog!$B$2:$B$188,A5,Backlog!$C$2:$C$188,B5,Backlog!$L$2:$L$188,C5,Backlog!$K$2:$K$188,"Done")</f>
        <v>4</v>
      </c>
      <c r="F5" s="38">
        <f t="shared" si="0"/>
        <v>0</v>
      </c>
      <c r="G5" s="38">
        <f>SUMIFS(Backlog!$AS$2:$AS$188,Backlog!$B$2:$B$188,A5,Backlog!$C$2:$C$188,B5,Backlog!$L$2:$L$188,C5)</f>
        <v>29</v>
      </c>
      <c r="H5" s="38">
        <f>SUMIFS(Backlog!$AS$2:$AS$188,Backlog!$B$2:$B$188,A5,Backlog!$C$2:$C$188,B5,Backlog!$L$2:$L$188,C5,Backlog!$K$2:$K$188,"Done")</f>
        <v>29</v>
      </c>
      <c r="I5" s="38">
        <f t="shared" si="1"/>
        <v>0</v>
      </c>
      <c r="J5" s="38">
        <f>COUNTIFS(Backlog!$B$2:$B$188,A5,Backlog!$C$2:$C$188,B5,Backlog!$L$2:$L$188,C5,Backlog!$AM$2:$AM$188,0)</f>
        <v>0</v>
      </c>
    </row>
    <row r="6" spans="1:14" ht="26.1" customHeight="1">
      <c r="A6" s="38" t="s">
        <v>108</v>
      </c>
      <c r="B6" s="38" t="s">
        <v>426</v>
      </c>
      <c r="C6" s="38" t="s">
        <v>117</v>
      </c>
      <c r="D6" s="38">
        <f>COUNTIFS(Backlog!$B$2:$B$188,A6,Backlog!$C$2:$C$188,B6,Backlog!$L$2:$L$188,C6)</f>
        <v>19</v>
      </c>
      <c r="E6" s="38">
        <f>COUNTIFS(Backlog!$B$2:$B$188,A6,Backlog!$C$2:$C$188,B6,Backlog!$L$2:$L$188,C6,Backlog!$K$2:$K$188,"Done")</f>
        <v>6</v>
      </c>
      <c r="F6" s="38">
        <f t="shared" si="0"/>
        <v>13</v>
      </c>
      <c r="G6" s="38">
        <f>SUMIFS(Backlog!$AS$2:$AS$188,Backlog!$B$2:$B$188,A6,Backlog!$C$2:$C$188,B6,Backlog!$L$2:$L$188,C6)</f>
        <v>59</v>
      </c>
      <c r="H6" s="38">
        <f>SUMIFS(Backlog!$AS$2:$AS$188,Backlog!$B$2:$B$188,A6,Backlog!$C$2:$C$188,B6,Backlog!$L$2:$L$188,C6,Backlog!$K$2:$K$188,"Done")</f>
        <v>40</v>
      </c>
      <c r="I6" s="38">
        <f t="shared" si="1"/>
        <v>19</v>
      </c>
      <c r="J6" s="38">
        <f>COUNTIFS(Backlog!$B$2:$B$188,A6,Backlog!$C$2:$C$188,B6,Backlog!$L$2:$L$188,C6,Backlog!$AM$2:$AM$188,0)</f>
        <v>11</v>
      </c>
    </row>
    <row r="7" spans="1:14" ht="26.1" customHeight="1">
      <c r="A7" s="38" t="s">
        <v>108</v>
      </c>
      <c r="B7" s="38" t="s">
        <v>426</v>
      </c>
      <c r="C7" s="38" t="s">
        <v>36</v>
      </c>
      <c r="D7" s="38">
        <f>COUNTIFS(Backlog!$B$2:$B$188,A7,Backlog!$C$2:$C$188,B7,Backlog!$L$2:$L$188,C7)</f>
        <v>16</v>
      </c>
      <c r="E7" s="38">
        <f>COUNTIFS(Backlog!$B$2:$B$188,A7,Backlog!$C$2:$C$188,B7,Backlog!$L$2:$L$188,C7,Backlog!$K$2:$K$188,"Done")</f>
        <v>7</v>
      </c>
      <c r="F7" s="38">
        <f t="shared" si="0"/>
        <v>9</v>
      </c>
      <c r="G7" s="38">
        <f>SUMIFS(Backlog!$AS$2:$AS$188,Backlog!$B$2:$B$188,A7,Backlog!$C$2:$C$188,B7,Backlog!$L$2:$L$188,C7)</f>
        <v>118</v>
      </c>
      <c r="H7" s="38">
        <f>SUMIFS(Backlog!$AS$2:$AS$188,Backlog!$B$2:$B$188,A7,Backlog!$C$2:$C$188,B7,Backlog!$L$2:$L$188,C7,Backlog!$K$2:$K$188,"Done")</f>
        <v>60</v>
      </c>
      <c r="I7" s="38">
        <f t="shared" si="1"/>
        <v>58</v>
      </c>
      <c r="J7" s="38">
        <f>COUNTIFS(Backlog!$B$2:$B$188,A7,Backlog!$C$2:$C$188,B7,Backlog!$L$2:$L$188,C7,Backlog!$AM$2:$AM$188,0)</f>
        <v>6</v>
      </c>
    </row>
    <row r="8" spans="1:14" ht="26.1" customHeight="1">
      <c r="A8" s="38" t="s">
        <v>108</v>
      </c>
      <c r="B8" s="38" t="s">
        <v>426</v>
      </c>
      <c r="C8" s="38" t="s">
        <v>293</v>
      </c>
      <c r="D8" s="38">
        <f>COUNTIFS(Backlog!$B$2:$B$188,A8,Backlog!$C$2:$C$188,B8,Backlog!$L$2:$L$188,C8)</f>
        <v>7</v>
      </c>
      <c r="E8" s="38">
        <f>COUNTIFS(Backlog!$B$2:$B$188,A8,Backlog!$C$2:$C$188,B8,Backlog!$L$2:$L$188,C8,Backlog!$K$2:$K$188,"Done")</f>
        <v>1</v>
      </c>
      <c r="F8" s="38">
        <f t="shared" si="0"/>
        <v>6</v>
      </c>
      <c r="G8" s="38">
        <f>SUMIFS(Backlog!$AS$2:$AS$188,Backlog!$B$2:$B$188,A8,Backlog!$C$2:$C$188,B8,Backlog!$L$2:$L$188,C8)</f>
        <v>22</v>
      </c>
      <c r="H8" s="38">
        <f>SUMIFS(Backlog!$AS$2:$AS$188,Backlog!$B$2:$B$188,A8,Backlog!$C$2:$C$188,B8,Backlog!$L$2:$L$188,C8,Backlog!$K$2:$K$188,"Done")</f>
        <v>0</v>
      </c>
      <c r="I8" s="38">
        <f t="shared" si="1"/>
        <v>22</v>
      </c>
      <c r="J8" s="38">
        <f>COUNTIFS(Backlog!$B$2:$B$188,A8,Backlog!$C$2:$C$188,B8,Backlog!$L$2:$L$188,C8,Backlog!$AM$2:$AM$188,0)</f>
        <v>5</v>
      </c>
    </row>
    <row r="9" spans="1:14" ht="26.1" customHeight="1">
      <c r="A9" s="38" t="s">
        <v>108</v>
      </c>
      <c r="B9" s="38" t="s">
        <v>807</v>
      </c>
      <c r="C9" s="38" t="s">
        <v>117</v>
      </c>
      <c r="D9" s="38">
        <f>COUNTIFS(Backlog!$B$2:$B$188,A9,Backlog!$C$2:$C$188,B9,Backlog!$L$2:$L$188,C9)</f>
        <v>0</v>
      </c>
      <c r="E9" s="38">
        <f>COUNTIFS(Backlog!$B$2:$B$188,A9,Backlog!$C$2:$C$188,B9,Backlog!$L$2:$L$188,C9,Backlog!$K$2:$K$188,"Done")</f>
        <v>0</v>
      </c>
      <c r="F9" s="38">
        <f t="shared" si="0"/>
        <v>0</v>
      </c>
      <c r="G9" s="38">
        <f>SUMIFS(Backlog!$AS$2:$AS$188,Backlog!$B$2:$B$188,A9,Backlog!$C$2:$C$188,B9,Backlog!$L$2:$L$188,C9)</f>
        <v>0</v>
      </c>
      <c r="H9" s="38">
        <f>SUMIFS(Backlog!$AS$2:$AS$188,Backlog!$B$2:$B$188,A9,Backlog!$C$2:$C$188,B9,Backlog!$L$2:$L$188,C9,Backlog!$K$2:$K$188,"Done")</f>
        <v>0</v>
      </c>
      <c r="I9" s="38">
        <f t="shared" si="1"/>
        <v>0</v>
      </c>
      <c r="J9" s="38">
        <f>COUNTIFS(Backlog!$B$2:$B$188,A9,Backlog!$C$2:$C$188,B9,Backlog!$L$2:$L$188,C9,Backlog!$AM$2:$AM$188,0)</f>
        <v>0</v>
      </c>
    </row>
    <row r="10" spans="1:14" ht="26.1" customHeight="1">
      <c r="A10" s="38" t="s">
        <v>108</v>
      </c>
      <c r="B10" s="38" t="s">
        <v>807</v>
      </c>
      <c r="C10" s="38" t="s">
        <v>36</v>
      </c>
      <c r="D10" s="38">
        <f>COUNTIFS(Backlog!$B$2:$B$188,A10,Backlog!$C$2:$C$188,B10,Backlog!$L$2:$L$188,C10)</f>
        <v>5</v>
      </c>
      <c r="E10" s="38">
        <f>COUNTIFS(Backlog!$B$2:$B$188,A10,Backlog!$C$2:$C$188,B10,Backlog!$L$2:$L$188,C10,Backlog!$K$2:$K$188,"Done")</f>
        <v>0</v>
      </c>
      <c r="F10" s="38">
        <f t="shared" si="0"/>
        <v>5</v>
      </c>
      <c r="G10" s="38">
        <f>SUMIFS(Backlog!$AS$2:$AS$188,Backlog!$B$2:$B$188,A10,Backlog!$C$2:$C$188,B10,Backlog!$L$2:$L$188,C10)</f>
        <v>36</v>
      </c>
      <c r="H10" s="38">
        <f>SUMIFS(Backlog!$AS$2:$AS$188,Backlog!$B$2:$B$188,A10,Backlog!$C$2:$C$188,B10,Backlog!$L$2:$L$188,C10,Backlog!$K$2:$K$188,"Done")</f>
        <v>0</v>
      </c>
      <c r="I10" s="38">
        <f t="shared" si="1"/>
        <v>36</v>
      </c>
      <c r="J10" s="38">
        <f>COUNTIFS(Backlog!$B$2:$B$188,A10,Backlog!$C$2:$C$188,B10,Backlog!$L$2:$L$188,C10,Backlog!$AM$2:$AM$188,0)</f>
        <v>1</v>
      </c>
    </row>
    <row r="11" spans="1:14" ht="26.1" customHeight="1">
      <c r="A11" s="38" t="s">
        <v>108</v>
      </c>
      <c r="B11" s="38" t="s">
        <v>807</v>
      </c>
      <c r="C11" s="38" t="s">
        <v>293</v>
      </c>
      <c r="D11" s="38">
        <f>COUNTIFS(Backlog!$B$2:$B$188,A11,Backlog!$C$2:$C$188,B11,Backlog!$L$2:$L$188,C11)</f>
        <v>0</v>
      </c>
      <c r="E11" s="38">
        <f>COUNTIFS(Backlog!$B$2:$B$188,A11,Backlog!$C$2:$C$188,B11,Backlog!$L$2:$L$188,C11,Backlog!$K$2:$K$188,"Done")</f>
        <v>0</v>
      </c>
      <c r="F11" s="38">
        <f t="shared" si="0"/>
        <v>0</v>
      </c>
      <c r="G11" s="38">
        <f>SUMIFS(Backlog!$AS$2:$AS$188,Backlog!$B$2:$B$188,A11,Backlog!$C$2:$C$188,B11,Backlog!$L$2:$L$188,C11)</f>
        <v>0</v>
      </c>
      <c r="H11" s="38">
        <f>SUMIFS(Backlog!$AS$2:$AS$188,Backlog!$B$2:$B$188,A11,Backlog!$C$2:$C$188,B11,Backlog!$L$2:$L$188,C11,Backlog!$K$2:$K$188,"Done")</f>
        <v>0</v>
      </c>
      <c r="I11" s="38">
        <f t="shared" si="1"/>
        <v>0</v>
      </c>
      <c r="J11" s="38">
        <f>COUNTIFS(Backlog!$B$2:$B$188,A11,Backlog!$C$2:$C$188,B11,Backlog!$L$2:$L$188,C11,Backlog!$AM$2:$AM$188,0)</f>
        <v>0</v>
      </c>
    </row>
    <row r="12" spans="1:14" ht="26.1" customHeight="1">
      <c r="A12" s="38" t="s">
        <v>108</v>
      </c>
      <c r="B12" s="38" t="s">
        <v>858</v>
      </c>
      <c r="C12" s="38" t="s">
        <v>117</v>
      </c>
      <c r="D12" s="38">
        <f>COUNTIFS(Backlog!$B$2:$B$188,A12,Backlog!$C$2:$C$188,B12,Backlog!$L$2:$L$188,C12)</f>
        <v>0</v>
      </c>
      <c r="E12" s="38">
        <f>COUNTIFS(Backlog!$B$2:$B$188,A12,Backlog!$C$2:$C$188,B12,Backlog!$L$2:$L$188,C12,Backlog!$K$2:$K$188,"Done")</f>
        <v>0</v>
      </c>
      <c r="F12" s="38">
        <f t="shared" si="0"/>
        <v>0</v>
      </c>
      <c r="G12" s="38">
        <f>SUMIFS(Backlog!$AS$2:$AS$188,Backlog!$B$2:$B$188,A12,Backlog!$C$2:$C$188,B12,Backlog!$L$2:$L$188,C12)</f>
        <v>0</v>
      </c>
      <c r="H12" s="38">
        <f>SUMIFS(Backlog!$AS$2:$AS$188,Backlog!$B$2:$B$188,A12,Backlog!$C$2:$C$188,B12,Backlog!$L$2:$L$188,C12,Backlog!$K$2:$K$188,"Done")</f>
        <v>0</v>
      </c>
      <c r="I12" s="38">
        <f t="shared" si="1"/>
        <v>0</v>
      </c>
      <c r="J12" s="38">
        <f>COUNTIFS(Backlog!$B$2:$B$188,A12,Backlog!$C$2:$C$188,B12,Backlog!$L$2:$L$188,C12,Backlog!$AM$2:$AM$188,0)</f>
        <v>0</v>
      </c>
    </row>
    <row r="13" spans="1:14" ht="26.1" customHeight="1">
      <c r="A13" s="38" t="s">
        <v>108</v>
      </c>
      <c r="B13" s="38" t="s">
        <v>858</v>
      </c>
      <c r="C13" s="38" t="s">
        <v>36</v>
      </c>
      <c r="D13" s="38">
        <f>COUNTIFS(Backlog!$B$2:$B$188,A13,Backlog!$C$2:$C$188,B13,Backlog!$L$2:$L$188,C13)</f>
        <v>1</v>
      </c>
      <c r="E13" s="38">
        <f>COUNTIFS(Backlog!$B$2:$B$188,A13,Backlog!$C$2:$C$188,B13,Backlog!$L$2:$L$188,C13,Backlog!$K$2:$K$188,"Done")</f>
        <v>0</v>
      </c>
      <c r="F13" s="38">
        <f t="shared" si="0"/>
        <v>1</v>
      </c>
      <c r="G13" s="38">
        <f>SUMIFS(Backlog!$AS$2:$AS$188,Backlog!$B$2:$B$188,A13,Backlog!$C$2:$C$188,B13,Backlog!$L$2:$L$188,C13)</f>
        <v>10</v>
      </c>
      <c r="H13" s="38">
        <f>SUMIFS(Backlog!$AS$2:$AS$188,Backlog!$B$2:$B$188,A13,Backlog!$C$2:$C$188,B13,Backlog!$L$2:$L$188,C13,Backlog!$K$2:$K$188,"Done")</f>
        <v>0</v>
      </c>
      <c r="I13" s="38">
        <f t="shared" si="1"/>
        <v>10</v>
      </c>
      <c r="J13" s="38">
        <f>COUNTIFS(Backlog!$B$2:$B$188,A13,Backlog!$C$2:$C$188,B13,Backlog!$L$2:$L$188,C13,Backlog!$AM$2:$AM$188,0)</f>
        <v>0</v>
      </c>
    </row>
    <row r="14" spans="1:14" ht="26.1" customHeight="1">
      <c r="A14" s="38" t="s">
        <v>108</v>
      </c>
      <c r="B14" s="38" t="s">
        <v>858</v>
      </c>
      <c r="C14" s="38" t="s">
        <v>293</v>
      </c>
      <c r="D14" s="38">
        <f>COUNTIFS(Backlog!$B$2:$B$188,A14,Backlog!$C$2:$C$188,B14,Backlog!$L$2:$L$188,C14)</f>
        <v>10</v>
      </c>
      <c r="E14" s="38">
        <f>COUNTIFS(Backlog!$B$2:$B$188,A14,Backlog!$C$2:$C$188,B14,Backlog!$L$2:$L$188,C14,Backlog!$K$2:$K$188,"Done")</f>
        <v>6</v>
      </c>
      <c r="F14" s="38">
        <f t="shared" si="0"/>
        <v>4</v>
      </c>
      <c r="G14" s="38">
        <f>SUMIFS(Backlog!$AS$2:$AS$188,Backlog!$B$2:$B$188,A14,Backlog!$C$2:$C$188,B14,Backlog!$L$2:$L$188,C14)</f>
        <v>94</v>
      </c>
      <c r="H14" s="38">
        <f>SUMIFS(Backlog!$AS$2:$AS$188,Backlog!$B$2:$B$188,A14,Backlog!$C$2:$C$188,B14,Backlog!$L$2:$L$188,C14,Backlog!$K$2:$K$188,"Done")</f>
        <v>56</v>
      </c>
      <c r="I14" s="38">
        <f t="shared" si="1"/>
        <v>38</v>
      </c>
      <c r="J14" s="38">
        <f>COUNTIFS(Backlog!$B$2:$B$188,A14,Backlog!$C$2:$C$188,B14,Backlog!$L$2:$L$188,C14,Backlog!$AM$2:$AM$188,0)</f>
        <v>0</v>
      </c>
    </row>
    <row r="15" spans="1:14" ht="26.1" customHeight="1">
      <c r="A15" s="38" t="s">
        <v>108</v>
      </c>
      <c r="B15" s="38" t="s">
        <v>1103</v>
      </c>
      <c r="C15" s="38" t="s">
        <v>117</v>
      </c>
      <c r="D15" s="38">
        <f>COUNTIFS(Backlog!$B$2:$B$188,A15,Backlog!$C$2:$C$188,B15,Backlog!$L$2:$L$188,C15)</f>
        <v>12</v>
      </c>
      <c r="E15" s="38">
        <f>COUNTIFS(Backlog!$B$2:$B$188,A15,Backlog!$C$2:$C$188,B15,Backlog!$L$2:$L$188,C15,Backlog!$K$2:$K$188,"Done")</f>
        <v>0</v>
      </c>
      <c r="F15" s="38">
        <f t="shared" si="0"/>
        <v>12</v>
      </c>
      <c r="G15" s="38">
        <f>SUMIFS(Backlog!$AS$2:$AS$188,Backlog!$B$2:$B$188,A15,Backlog!$C$2:$C$188,B15,Backlog!$L$2:$L$188,C15)</f>
        <v>90</v>
      </c>
      <c r="H15" s="38">
        <f>SUMIFS(Backlog!$AS$2:$AS$188,Backlog!$B$2:$B$188,A15,Backlog!$C$2:$C$188,B15,Backlog!$L$2:$L$188,C15,Backlog!$K$2:$K$188,"Done")</f>
        <v>0</v>
      </c>
      <c r="I15" s="38">
        <f t="shared" si="1"/>
        <v>90</v>
      </c>
      <c r="J15" s="38">
        <f>COUNTIFS(Backlog!$B$2:$B$188,A15,Backlog!$C$2:$C$188,B15,Backlog!$L$2:$L$188,C15,Backlog!$AM$2:$AM$188,0)</f>
        <v>3</v>
      </c>
    </row>
    <row r="16" spans="1:14" ht="26.1" customHeight="1">
      <c r="A16" s="38" t="s">
        <v>108</v>
      </c>
      <c r="B16" s="38" t="s">
        <v>1103</v>
      </c>
      <c r="C16" s="38" t="s">
        <v>36</v>
      </c>
      <c r="D16" s="38">
        <f>COUNTIFS(Backlog!$B$2:$B$188,A16,Backlog!$C$2:$C$188,B16,Backlog!$L$2:$L$188,C16)</f>
        <v>2</v>
      </c>
      <c r="E16" s="38">
        <f>COUNTIFS(Backlog!$B$2:$B$188,A16,Backlog!$C$2:$C$188,B16,Backlog!$L$2:$L$188,C16,Backlog!$K$2:$K$188,"Done")</f>
        <v>0</v>
      </c>
      <c r="F16" s="38">
        <f t="shared" si="0"/>
        <v>2</v>
      </c>
      <c r="G16" s="38">
        <f>SUMIFS(Backlog!$AS$2:$AS$188,Backlog!$B$2:$B$188,A16,Backlog!$C$2:$C$188,B16,Backlog!$L$2:$L$188,C16)</f>
        <v>18</v>
      </c>
      <c r="H16" s="38">
        <f>SUMIFS(Backlog!$AS$2:$AS$188,Backlog!$B$2:$B$188,A16,Backlog!$C$2:$C$188,B16,Backlog!$L$2:$L$188,C16,Backlog!$K$2:$K$188,"Done")</f>
        <v>0</v>
      </c>
      <c r="I16" s="38">
        <f t="shared" si="1"/>
        <v>18</v>
      </c>
      <c r="J16" s="38">
        <f>COUNTIFS(Backlog!$B$2:$B$188,A16,Backlog!$C$2:$C$188,B16,Backlog!$L$2:$L$188,C16,Backlog!$AM$2:$AM$188,0)</f>
        <v>0</v>
      </c>
    </row>
    <row r="17" spans="1:10" ht="26.1" customHeight="1">
      <c r="A17" s="38" t="s">
        <v>108</v>
      </c>
      <c r="B17" s="38" t="s">
        <v>1103</v>
      </c>
      <c r="C17" s="38" t="s">
        <v>293</v>
      </c>
      <c r="D17" s="38">
        <f>COUNTIFS(Backlog!$B$2:$B$188,A17,Backlog!$C$2:$C$188,B17,Backlog!$L$2:$L$188,C17)</f>
        <v>1</v>
      </c>
      <c r="E17" s="38">
        <f>COUNTIFS(Backlog!$B$2:$B$188,A17,Backlog!$C$2:$C$188,B17,Backlog!$L$2:$L$188,C17,Backlog!$K$2:$K$188,"Done")</f>
        <v>0</v>
      </c>
      <c r="F17" s="38">
        <f t="shared" si="0"/>
        <v>1</v>
      </c>
      <c r="G17" s="38">
        <f>SUMIFS(Backlog!$AS$2:$AS$188,Backlog!$B$2:$B$188,A17,Backlog!$C$2:$C$188,B17,Backlog!$L$2:$L$188,C17)</f>
        <v>8</v>
      </c>
      <c r="H17" s="38">
        <f>SUMIFS(Backlog!$AS$2:$AS$188,Backlog!$B$2:$B$188,A17,Backlog!$C$2:$C$188,B17,Backlog!$L$2:$L$188,C17,Backlog!$K$2:$K$188,"Done")</f>
        <v>0</v>
      </c>
      <c r="I17" s="38">
        <f t="shared" si="1"/>
        <v>8</v>
      </c>
      <c r="J17" s="38">
        <f>COUNTIFS(Backlog!$B$2:$B$188,A17,Backlog!$C$2:$C$188,B17,Backlog!$L$2:$L$188,C17,Backlog!$AM$2:$AM$188,0)</f>
        <v>0</v>
      </c>
    </row>
    <row r="18" spans="1:10" ht="26.1" customHeight="1">
      <c r="A18" s="38" t="s">
        <v>1243</v>
      </c>
      <c r="B18" s="38" t="s">
        <v>109</v>
      </c>
      <c r="C18" s="38" t="s">
        <v>117</v>
      </c>
      <c r="D18" s="38">
        <f>COUNTIFS(Backlog!$B$2:$B$188,A18,Backlog!$C$2:$C$188,B18,Backlog!$L$2:$L$188,C18)</f>
        <v>8</v>
      </c>
      <c r="E18" s="38">
        <f>COUNTIFS(Backlog!$B$2:$B$188,A18,Backlog!$C$2:$C$188,B18,Backlog!$L$2:$L$188,C18,Backlog!$K$2:$K$188,"Done")</f>
        <v>0</v>
      </c>
      <c r="F18" s="38">
        <f t="shared" si="0"/>
        <v>8</v>
      </c>
      <c r="G18" s="38">
        <f>SUMIFS(Backlog!$AS$2:$AS$188,Backlog!$B$2:$B$188,A18,Backlog!$C$2:$C$188,B18,Backlog!$L$2:$L$188,C18)</f>
        <v>84</v>
      </c>
      <c r="H18" s="38">
        <f>SUMIFS(Backlog!$AS$2:$AS$188,Backlog!$B$2:$B$188,A18,Backlog!$C$2:$C$188,B18,Backlog!$L$2:$L$188,C18,Backlog!$K$2:$K$188,"Done")</f>
        <v>0</v>
      </c>
      <c r="I18" s="38">
        <f t="shared" si="1"/>
        <v>84</v>
      </c>
      <c r="J18" s="38">
        <f>COUNTIFS(Backlog!$B$2:$B$188,A18,Backlog!$C$2:$C$188,B18,Backlog!$L$2:$L$188,C18,Backlog!$AM$2:$AM$188,0)</f>
        <v>1</v>
      </c>
    </row>
    <row r="19" spans="1:10" ht="26.1" customHeight="1">
      <c r="A19" s="38" t="s">
        <v>1243</v>
      </c>
      <c r="B19" s="38" t="s">
        <v>109</v>
      </c>
      <c r="C19" s="38" t="s">
        <v>36</v>
      </c>
      <c r="D19" s="38">
        <f>COUNTIFS(Backlog!$B$2:$B$188,A19,Backlog!$C$2:$C$188,B19,Backlog!$L$2:$L$188,C19)</f>
        <v>0</v>
      </c>
      <c r="E19" s="38">
        <f>COUNTIFS(Backlog!$B$2:$B$188,A19,Backlog!$C$2:$C$188,B19,Backlog!$L$2:$L$188,C19,Backlog!$K$2:$K$188,"Done")</f>
        <v>0</v>
      </c>
      <c r="F19" s="38">
        <f t="shared" si="0"/>
        <v>0</v>
      </c>
      <c r="G19" s="38">
        <f>SUMIFS(Backlog!$AS$2:$AS$188,Backlog!$B$2:$B$188,A19,Backlog!$C$2:$C$188,B19,Backlog!$L$2:$L$188,C19)</f>
        <v>0</v>
      </c>
      <c r="H19" s="38">
        <f>SUMIFS(Backlog!$AS$2:$AS$188,Backlog!$B$2:$B$188,A19,Backlog!$C$2:$C$188,B19,Backlog!$L$2:$L$188,C19,Backlog!$K$2:$K$188,"Done")</f>
        <v>0</v>
      </c>
      <c r="I19" s="38">
        <f t="shared" si="1"/>
        <v>0</v>
      </c>
      <c r="J19" s="38">
        <f>COUNTIFS(Backlog!$B$2:$B$188,A19,Backlog!$C$2:$C$188,B19,Backlog!$L$2:$L$188,C19,Backlog!$AM$2:$AM$188,0)</f>
        <v>0</v>
      </c>
    </row>
    <row r="20" spans="1:10" ht="26.1" customHeight="1">
      <c r="A20" s="38" t="s">
        <v>1243</v>
      </c>
      <c r="B20" s="38" t="s">
        <v>109</v>
      </c>
      <c r="C20" s="38" t="s">
        <v>293</v>
      </c>
      <c r="D20" s="38">
        <f>COUNTIFS(Backlog!$B$2:$B$188,A20,Backlog!$C$2:$C$188,B20,Backlog!$L$2:$L$188,C20)</f>
        <v>2</v>
      </c>
      <c r="E20" s="38">
        <f>COUNTIFS(Backlog!$B$2:$B$188,A20,Backlog!$C$2:$C$188,B20,Backlog!$L$2:$L$188,C20,Backlog!$K$2:$K$188,"Done")</f>
        <v>0</v>
      </c>
      <c r="F20" s="38">
        <f t="shared" si="0"/>
        <v>2</v>
      </c>
      <c r="G20" s="38">
        <f>SUMIFS(Backlog!$AS$2:$AS$188,Backlog!$B$2:$B$188,A20,Backlog!$C$2:$C$188,B20,Backlog!$L$2:$L$188,C20)</f>
        <v>0</v>
      </c>
      <c r="H20" s="38">
        <f>SUMIFS(Backlog!$AS$2:$AS$188,Backlog!$B$2:$B$188,A20,Backlog!$C$2:$C$188,B20,Backlog!$L$2:$L$188,C20,Backlog!$K$2:$K$188,"Done")</f>
        <v>0</v>
      </c>
      <c r="I20" s="38">
        <f t="shared" si="1"/>
        <v>0</v>
      </c>
      <c r="J20" s="38">
        <f>COUNTIFS(Backlog!$B$2:$B$188,A20,Backlog!$C$2:$C$188,B20,Backlog!$L$2:$L$188,C20,Backlog!$AM$2:$AM$188,0)</f>
        <v>2</v>
      </c>
    </row>
    <row r="21" spans="1:10" ht="26.1" customHeight="1">
      <c r="A21" s="38" t="s">
        <v>1243</v>
      </c>
      <c r="B21" s="38" t="s">
        <v>426</v>
      </c>
      <c r="C21" s="38" t="s">
        <v>117</v>
      </c>
      <c r="D21" s="38">
        <f>COUNTIFS(Backlog!$B$2:$B$188,A21,Backlog!$C$2:$C$188,B21,Backlog!$L$2:$L$188,C21)</f>
        <v>5</v>
      </c>
      <c r="E21" s="38">
        <f>COUNTIFS(Backlog!$B$2:$B$188,A21,Backlog!$C$2:$C$188,B21,Backlog!$L$2:$L$188,C21,Backlog!$K$2:$K$188,"Done")</f>
        <v>0</v>
      </c>
      <c r="F21" s="38">
        <f t="shared" si="0"/>
        <v>5</v>
      </c>
      <c r="G21" s="38">
        <f>SUMIFS(Backlog!$AS$2:$AS$188,Backlog!$B$2:$B$188,A21,Backlog!$C$2:$C$188,B21,Backlog!$L$2:$L$188,C21)</f>
        <v>36</v>
      </c>
      <c r="H21" s="38">
        <f>SUMIFS(Backlog!$AS$2:$AS$188,Backlog!$B$2:$B$188,A21,Backlog!$C$2:$C$188,B21,Backlog!$L$2:$L$188,C21,Backlog!$K$2:$K$188,"Done")</f>
        <v>0</v>
      </c>
      <c r="I21" s="38">
        <f t="shared" si="1"/>
        <v>36</v>
      </c>
      <c r="J21" s="38">
        <f>COUNTIFS(Backlog!$B$2:$B$188,A21,Backlog!$C$2:$C$188,B21,Backlog!$L$2:$L$188,C21,Backlog!$AM$2:$AM$188,0)</f>
        <v>1</v>
      </c>
    </row>
    <row r="22" spans="1:10" ht="26.1" customHeight="1">
      <c r="A22" s="38" t="s">
        <v>1243</v>
      </c>
      <c r="B22" s="38" t="s">
        <v>426</v>
      </c>
      <c r="C22" s="38" t="s">
        <v>36</v>
      </c>
      <c r="D22" s="38">
        <f>COUNTIFS(Backlog!$B$2:$B$188,A22,Backlog!$C$2:$C$188,B22,Backlog!$L$2:$L$188,C22)</f>
        <v>7</v>
      </c>
      <c r="E22" s="38">
        <f>COUNTIFS(Backlog!$B$2:$B$188,A22,Backlog!$C$2:$C$188,B22,Backlog!$L$2:$L$188,C22,Backlog!$K$2:$K$188,"Done")</f>
        <v>0</v>
      </c>
      <c r="F22" s="38">
        <f t="shared" si="0"/>
        <v>7</v>
      </c>
      <c r="G22" s="38">
        <f>SUMIFS(Backlog!$AS$2:$AS$188,Backlog!$B$2:$B$188,A22,Backlog!$C$2:$C$188,B22,Backlog!$L$2:$L$188,C22)</f>
        <v>70</v>
      </c>
      <c r="H22" s="38">
        <f>SUMIFS(Backlog!$AS$2:$AS$188,Backlog!$B$2:$B$188,A22,Backlog!$C$2:$C$188,B22,Backlog!$L$2:$L$188,C22,Backlog!$K$2:$K$188,"Done")</f>
        <v>0</v>
      </c>
      <c r="I22" s="38">
        <f t="shared" si="1"/>
        <v>70</v>
      </c>
      <c r="J22" s="38">
        <f>COUNTIFS(Backlog!$B$2:$B$188,A22,Backlog!$C$2:$C$188,B22,Backlog!$L$2:$L$188,C22,Backlog!$AM$2:$AM$188,0)</f>
        <v>0</v>
      </c>
    </row>
    <row r="23" spans="1:10" ht="26.1" customHeight="1">
      <c r="A23" s="38" t="s">
        <v>1243</v>
      </c>
      <c r="B23" s="38" t="s">
        <v>426</v>
      </c>
      <c r="C23" s="38" t="s">
        <v>293</v>
      </c>
      <c r="D23" s="38">
        <f>COUNTIFS(Backlog!$B$2:$B$188,A23,Backlog!$C$2:$C$188,B23,Backlog!$L$2:$L$188,C23)</f>
        <v>0</v>
      </c>
      <c r="E23" s="38">
        <f>COUNTIFS(Backlog!$B$2:$B$188,A23,Backlog!$C$2:$C$188,B23,Backlog!$L$2:$L$188,C23,Backlog!$K$2:$K$188,"Done")</f>
        <v>0</v>
      </c>
      <c r="F23" s="38">
        <f t="shared" si="0"/>
        <v>0</v>
      </c>
      <c r="G23" s="38">
        <f>SUMIFS(Backlog!$AS$2:$AS$188,Backlog!$B$2:$B$188,A23,Backlog!$C$2:$C$188,B23,Backlog!$L$2:$L$188,C23)</f>
        <v>0</v>
      </c>
      <c r="H23" s="38">
        <f>SUMIFS(Backlog!$AS$2:$AS$188,Backlog!$B$2:$B$188,A23,Backlog!$C$2:$C$188,B23,Backlog!$L$2:$L$188,C23,Backlog!$K$2:$K$188,"Done")</f>
        <v>0</v>
      </c>
      <c r="I23" s="38">
        <f t="shared" si="1"/>
        <v>0</v>
      </c>
      <c r="J23" s="38">
        <f>COUNTIFS(Backlog!$B$2:$B$188,A23,Backlog!$C$2:$C$188,B23,Backlog!$L$2:$L$188,C23,Backlog!$AM$2:$AM$188,0)</f>
        <v>0</v>
      </c>
    </row>
    <row r="24" spans="1:10" ht="26.1" customHeight="1">
      <c r="A24" s="38" t="s">
        <v>1243</v>
      </c>
      <c r="B24" s="38" t="s">
        <v>807</v>
      </c>
      <c r="C24" s="38" t="s">
        <v>117</v>
      </c>
      <c r="D24" s="38">
        <f>COUNTIFS(Backlog!$B$2:$B$188,A24,Backlog!$C$2:$C$188,B24,Backlog!$L$2:$L$188,C24)</f>
        <v>0</v>
      </c>
      <c r="E24" s="38">
        <f>COUNTIFS(Backlog!$B$2:$B$188,A24,Backlog!$C$2:$C$188,B24,Backlog!$L$2:$L$188,C24,Backlog!$K$2:$K$188,"Done")</f>
        <v>0</v>
      </c>
      <c r="F24" s="38">
        <f t="shared" si="0"/>
        <v>0</v>
      </c>
      <c r="G24" s="38">
        <f>SUMIFS(Backlog!$AS$2:$AS$188,Backlog!$B$2:$B$188,A24,Backlog!$C$2:$C$188,B24,Backlog!$L$2:$L$188,C24)</f>
        <v>0</v>
      </c>
      <c r="H24" s="38">
        <f>SUMIFS(Backlog!$AS$2:$AS$188,Backlog!$B$2:$B$188,A24,Backlog!$C$2:$C$188,B24,Backlog!$L$2:$L$188,C24,Backlog!$K$2:$K$188,"Done")</f>
        <v>0</v>
      </c>
      <c r="I24" s="38">
        <f t="shared" si="1"/>
        <v>0</v>
      </c>
      <c r="J24" s="38">
        <f>COUNTIFS(Backlog!$B$2:$B$188,A24,Backlog!$C$2:$C$188,B24,Backlog!$L$2:$L$188,C24,Backlog!$AM$2:$AM$188,0)</f>
        <v>0</v>
      </c>
    </row>
    <row r="25" spans="1:10" ht="26.1" customHeight="1">
      <c r="A25" s="38" t="s">
        <v>1243</v>
      </c>
      <c r="B25" s="38" t="s">
        <v>807</v>
      </c>
      <c r="C25" s="38" t="s">
        <v>36</v>
      </c>
      <c r="D25" s="38">
        <f>COUNTIFS(Backlog!$B$2:$B$188,A25,Backlog!$C$2:$C$188,B25,Backlog!$L$2:$L$188,C25)</f>
        <v>5</v>
      </c>
      <c r="E25" s="38">
        <f>COUNTIFS(Backlog!$B$2:$B$188,A25,Backlog!$C$2:$C$188,B25,Backlog!$L$2:$L$188,C25,Backlog!$K$2:$K$188,"Done")</f>
        <v>0</v>
      </c>
      <c r="F25" s="38">
        <f t="shared" si="0"/>
        <v>5</v>
      </c>
      <c r="G25" s="38">
        <f>SUMIFS(Backlog!$AS$2:$AS$188,Backlog!$B$2:$B$188,A25,Backlog!$C$2:$C$188,B25,Backlog!$L$2:$L$188,C25)</f>
        <v>24</v>
      </c>
      <c r="H25" s="38">
        <f>SUMIFS(Backlog!$AS$2:$AS$188,Backlog!$B$2:$B$188,A25,Backlog!$C$2:$C$188,B25,Backlog!$L$2:$L$188,C25,Backlog!$K$2:$K$188,"Done")</f>
        <v>0</v>
      </c>
      <c r="I25" s="38">
        <f t="shared" si="1"/>
        <v>24</v>
      </c>
      <c r="J25" s="38">
        <f>COUNTIFS(Backlog!$B$2:$B$188,A25,Backlog!$C$2:$C$188,B25,Backlog!$L$2:$L$188,C25,Backlog!$AM$2:$AM$188,0)</f>
        <v>3</v>
      </c>
    </row>
    <row r="26" spans="1:10" ht="26.1" customHeight="1">
      <c r="A26" s="38" t="s">
        <v>1243</v>
      </c>
      <c r="B26" s="38" t="s">
        <v>807</v>
      </c>
      <c r="C26" s="38" t="s">
        <v>293</v>
      </c>
      <c r="D26" s="38">
        <f>COUNTIFS(Backlog!$B$2:$B$188,A26,Backlog!$C$2:$C$188,B26,Backlog!$L$2:$L$188,C26)</f>
        <v>3</v>
      </c>
      <c r="E26" s="38">
        <f>COUNTIFS(Backlog!$B$2:$B$188,A26,Backlog!$C$2:$C$188,B26,Backlog!$L$2:$L$188,C26,Backlog!$K$2:$K$188,"Done")</f>
        <v>0</v>
      </c>
      <c r="F26" s="38">
        <f t="shared" si="0"/>
        <v>3</v>
      </c>
      <c r="G26" s="38">
        <f>SUMIFS(Backlog!$AS$2:$AS$188,Backlog!$B$2:$B$188,A26,Backlog!$C$2:$C$188,B26,Backlog!$L$2:$L$188,C26)</f>
        <v>34</v>
      </c>
      <c r="H26" s="38">
        <f>SUMIFS(Backlog!$AS$2:$AS$188,Backlog!$B$2:$B$188,A26,Backlog!$C$2:$C$188,B26,Backlog!$L$2:$L$188,C26,Backlog!$K$2:$K$188,"Done")</f>
        <v>0</v>
      </c>
      <c r="I26" s="38">
        <f t="shared" si="1"/>
        <v>34</v>
      </c>
      <c r="J26" s="38">
        <f>COUNTIFS(Backlog!$B$2:$B$188,A26,Backlog!$C$2:$C$188,B26,Backlog!$L$2:$L$188,C26,Backlog!$AM$2:$AM$188,0)</f>
        <v>0</v>
      </c>
    </row>
    <row r="27" spans="1:10" ht="26.1" customHeight="1">
      <c r="A27" s="38" t="s">
        <v>1243</v>
      </c>
      <c r="B27" s="38" t="s">
        <v>858</v>
      </c>
      <c r="C27" s="38" t="s">
        <v>117</v>
      </c>
      <c r="D27" s="38">
        <f>COUNTIFS(Backlog!$B$2:$B$188,A27,Backlog!$C$2:$C$188,B27,Backlog!$L$2:$L$188,C27)</f>
        <v>3</v>
      </c>
      <c r="E27" s="38">
        <f>COUNTIFS(Backlog!$B$2:$B$188,A27,Backlog!$C$2:$C$188,B27,Backlog!$L$2:$L$188,C27,Backlog!$K$2:$K$188,"Done")</f>
        <v>0</v>
      </c>
      <c r="F27" s="38">
        <f t="shared" si="0"/>
        <v>3</v>
      </c>
      <c r="G27" s="38">
        <f>SUMIFS(Backlog!$AS$2:$AS$188,Backlog!$B$2:$B$188,A27,Backlog!$C$2:$C$188,B27,Backlog!$L$2:$L$188,C27)</f>
        <v>20</v>
      </c>
      <c r="H27" s="38">
        <f>SUMIFS(Backlog!$AS$2:$AS$188,Backlog!$B$2:$B$188,A27,Backlog!$C$2:$C$188,B27,Backlog!$L$2:$L$188,C27,Backlog!$K$2:$K$188,"Done")</f>
        <v>0</v>
      </c>
      <c r="I27" s="38">
        <f t="shared" si="1"/>
        <v>20</v>
      </c>
      <c r="J27" s="38">
        <f>COUNTIFS(Backlog!$B$2:$B$188,A27,Backlog!$C$2:$C$188,B27,Backlog!$L$2:$L$188,C27,Backlog!$AM$2:$AM$188,0)</f>
        <v>1</v>
      </c>
    </row>
    <row r="28" spans="1:10" ht="26.1" customHeight="1">
      <c r="A28" s="38" t="s">
        <v>1243</v>
      </c>
      <c r="B28" s="38" t="s">
        <v>858</v>
      </c>
      <c r="C28" s="38" t="s">
        <v>36</v>
      </c>
      <c r="D28" s="38">
        <f>COUNTIFS(Backlog!$B$2:$B$188,A28,Backlog!$C$2:$C$188,B28,Backlog!$L$2:$L$188,C28)</f>
        <v>1</v>
      </c>
      <c r="E28" s="38">
        <f>COUNTIFS(Backlog!$B$2:$B$188,A28,Backlog!$C$2:$C$188,B28,Backlog!$L$2:$L$188,C28,Backlog!$K$2:$K$188,"Done")</f>
        <v>0</v>
      </c>
      <c r="F28" s="38">
        <f t="shared" si="0"/>
        <v>1</v>
      </c>
      <c r="G28" s="38">
        <f>SUMIFS(Backlog!$AS$2:$AS$188,Backlog!$B$2:$B$188,A28,Backlog!$C$2:$C$188,B28,Backlog!$L$2:$L$188,C28)</f>
        <v>11</v>
      </c>
      <c r="H28" s="38">
        <f>SUMIFS(Backlog!$AS$2:$AS$188,Backlog!$B$2:$B$188,A28,Backlog!$C$2:$C$188,B28,Backlog!$L$2:$L$188,C28,Backlog!$K$2:$K$188,"Done")</f>
        <v>0</v>
      </c>
      <c r="I28" s="38">
        <f t="shared" si="1"/>
        <v>11</v>
      </c>
      <c r="J28" s="38">
        <f>COUNTIFS(Backlog!$B$2:$B$188,A28,Backlog!$C$2:$C$188,B28,Backlog!$L$2:$L$188,C28,Backlog!$AM$2:$AM$188,0)</f>
        <v>0</v>
      </c>
    </row>
    <row r="29" spans="1:10" ht="26.1" customHeight="1">
      <c r="A29" s="38" t="s">
        <v>1243</v>
      </c>
      <c r="B29" s="38" t="s">
        <v>858</v>
      </c>
      <c r="C29" s="38" t="s">
        <v>293</v>
      </c>
      <c r="D29" s="38">
        <f>COUNTIFS(Backlog!$B$2:$B$188,A29,Backlog!$C$2:$C$188,B29,Backlog!$L$2:$L$188,C29)</f>
        <v>36</v>
      </c>
      <c r="E29" s="38">
        <f>COUNTIFS(Backlog!$B$2:$B$188,A29,Backlog!$C$2:$C$188,B29,Backlog!$L$2:$L$188,C29,Backlog!$K$2:$K$188,"Done")</f>
        <v>0</v>
      </c>
      <c r="F29" s="38">
        <f t="shared" si="0"/>
        <v>36</v>
      </c>
      <c r="G29" s="38">
        <f>SUMIFS(Backlog!$AS$2:$AS$188,Backlog!$B$2:$B$188,A29,Backlog!$C$2:$C$188,B29,Backlog!$L$2:$L$188,C29)</f>
        <v>346</v>
      </c>
      <c r="H29" s="38">
        <f>SUMIFS(Backlog!$AS$2:$AS$188,Backlog!$B$2:$B$188,A29,Backlog!$C$2:$C$188,B29,Backlog!$L$2:$L$188,C29,Backlog!$K$2:$K$188,"Done")</f>
        <v>0</v>
      </c>
      <c r="I29" s="38">
        <f t="shared" si="1"/>
        <v>346</v>
      </c>
      <c r="J29" s="38">
        <f>COUNTIFS(Backlog!$B$2:$B$188,A29,Backlog!$C$2:$C$188,B29,Backlog!$L$2:$L$188,C29,Backlog!$AM$2:$AM$188,0)</f>
        <v>5</v>
      </c>
    </row>
    <row r="30" spans="1:10" ht="26.1" customHeight="1">
      <c r="A30" s="38" t="s">
        <v>1243</v>
      </c>
      <c r="B30" s="38" t="s">
        <v>1103</v>
      </c>
      <c r="C30" s="38" t="s">
        <v>117</v>
      </c>
      <c r="D30" s="38">
        <f>COUNTIFS(Backlog!$B$2:$B$188,A30,Backlog!$C$2:$C$188,B30,Backlog!$L$2:$L$188,C30)</f>
        <v>1</v>
      </c>
      <c r="E30" s="38">
        <f>COUNTIFS(Backlog!$B$2:$B$188,A30,Backlog!$C$2:$C$188,B30,Backlog!$L$2:$L$188,C30,Backlog!$K$2:$K$188,"Done")</f>
        <v>0</v>
      </c>
      <c r="F30" s="38">
        <f t="shared" si="0"/>
        <v>1</v>
      </c>
      <c r="G30" s="38">
        <f>SUMIFS(Backlog!$AS$2:$AS$188,Backlog!$B$2:$B$188,A30,Backlog!$C$2:$C$188,B30,Backlog!$L$2:$L$188,C30)</f>
        <v>12</v>
      </c>
      <c r="H30" s="38">
        <f>SUMIFS(Backlog!$AS$2:$AS$188,Backlog!$B$2:$B$188,A30,Backlog!$C$2:$C$188,B30,Backlog!$L$2:$L$188,C30,Backlog!$K$2:$K$188,"Done")</f>
        <v>0</v>
      </c>
      <c r="I30" s="38">
        <f t="shared" si="1"/>
        <v>12</v>
      </c>
      <c r="J30" s="38">
        <f>COUNTIFS(Backlog!$B$2:$B$188,A30,Backlog!$C$2:$C$188,B30,Backlog!$L$2:$L$188,C30,Backlog!$AM$2:$AM$188,0)</f>
        <v>0</v>
      </c>
    </row>
    <row r="31" spans="1:10" ht="26.1" customHeight="1">
      <c r="A31" s="38" t="s">
        <v>1243</v>
      </c>
      <c r="B31" s="38" t="s">
        <v>1103</v>
      </c>
      <c r="C31" s="38" t="s">
        <v>36</v>
      </c>
      <c r="D31" s="38">
        <f>COUNTIFS(Backlog!$B$2:$B$188,A31,Backlog!$C$2:$C$188,B31,Backlog!$L$2:$L$188,C31)</f>
        <v>1</v>
      </c>
      <c r="E31" s="38">
        <f>COUNTIFS(Backlog!$B$2:$B$188,A31,Backlog!$C$2:$C$188,B31,Backlog!$L$2:$L$188,C31,Backlog!$K$2:$K$188,"Done")</f>
        <v>0</v>
      </c>
      <c r="F31" s="38">
        <f t="shared" si="0"/>
        <v>1</v>
      </c>
      <c r="G31" s="38">
        <f>SUMIFS(Backlog!$AS$2:$AS$188,Backlog!$B$2:$B$188,A31,Backlog!$C$2:$C$188,B31,Backlog!$L$2:$L$188,C31)</f>
        <v>12</v>
      </c>
      <c r="H31" s="38">
        <f>SUMIFS(Backlog!$AS$2:$AS$188,Backlog!$B$2:$B$188,A31,Backlog!$C$2:$C$188,B31,Backlog!$L$2:$L$188,C31,Backlog!$K$2:$K$188,"Done")</f>
        <v>0</v>
      </c>
      <c r="I31" s="38">
        <f t="shared" si="1"/>
        <v>12</v>
      </c>
      <c r="J31" s="38">
        <f>COUNTIFS(Backlog!$B$2:$B$188,A31,Backlog!$C$2:$C$188,B31,Backlog!$L$2:$L$188,C31,Backlog!$AM$2:$AM$188,0)</f>
        <v>0</v>
      </c>
    </row>
    <row r="32" spans="1:10" ht="26.1" customHeight="1">
      <c r="A32" s="38" t="s">
        <v>1243</v>
      </c>
      <c r="B32" s="38" t="s">
        <v>1103</v>
      </c>
      <c r="C32" s="38" t="s">
        <v>293</v>
      </c>
      <c r="D32" s="38">
        <f>COUNTIFS(Backlog!$B$2:$B$188,A32,Backlog!$C$2:$C$188,B32,Backlog!$L$2:$L$188,C32)</f>
        <v>0</v>
      </c>
      <c r="E32" s="38">
        <f>COUNTIFS(Backlog!$B$2:$B$188,A32,Backlog!$C$2:$C$188,B32,Backlog!$L$2:$L$188,C32,Backlog!$K$2:$K$188,"Done")</f>
        <v>0</v>
      </c>
      <c r="F32" s="38">
        <f t="shared" si="0"/>
        <v>0</v>
      </c>
      <c r="G32" s="38">
        <f>SUMIFS(Backlog!$AS$2:$AS$188,Backlog!$B$2:$B$188,A32,Backlog!$C$2:$C$188,B32,Backlog!$L$2:$L$188,C32)</f>
        <v>0</v>
      </c>
      <c r="H32" s="38">
        <f>SUMIFS(Backlog!$AS$2:$AS$188,Backlog!$B$2:$B$188,A32,Backlog!$C$2:$C$188,B32,Backlog!$L$2:$L$188,C32,Backlog!$K$2:$K$188,"Done")</f>
        <v>0</v>
      </c>
      <c r="I32" s="38">
        <f t="shared" si="1"/>
        <v>0</v>
      </c>
      <c r="J32" s="38">
        <f>COUNTIFS(Backlog!$B$2:$B$188,A32,Backlog!$C$2:$C$188,B32,Backlog!$L$2:$L$188,C32,Backlog!$AM$2:$AM$188,0)</f>
        <v>0</v>
      </c>
    </row>
  </sheetData>
  <mergeCells count="1">
    <mergeCell ref="A1:J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02"/>
  <sheetViews>
    <sheetView workbookViewId="0"/>
  </sheetViews>
  <sheetFormatPr defaultRowHeight="14.25"/>
  <cols>
    <col min="1" max="1" width="26" customWidth="1"/>
    <col min="2" max="2" width="10" customWidth="1"/>
    <col min="3" max="3" width="120" customWidth="1"/>
  </cols>
  <sheetData>
    <row r="1" spans="1:3" ht="32.1" customHeight="1">
      <c r="A1" s="26" t="s">
        <v>3056</v>
      </c>
      <c r="B1" s="26" t="s">
        <v>3057</v>
      </c>
      <c r="C1" s="26" t="s">
        <v>3058</v>
      </c>
    </row>
    <row r="2" spans="1:3" ht="32.1" customHeight="1">
      <c r="A2" s="24" t="s">
        <v>3059</v>
      </c>
      <c r="B2" s="24">
        <v>1</v>
      </c>
      <c r="C2" s="24" t="s">
        <v>3060</v>
      </c>
    </row>
    <row r="3" spans="1:3" ht="32.1" customHeight="1">
      <c r="A3" s="24" t="s">
        <v>3059</v>
      </c>
      <c r="B3" s="24">
        <v>2</v>
      </c>
      <c r="C3" s="24" t="s">
        <v>3061</v>
      </c>
    </row>
    <row r="4" spans="1:3" ht="32.1" customHeight="1">
      <c r="A4" s="24" t="s">
        <v>3059</v>
      </c>
      <c r="B4" s="24">
        <v>3</v>
      </c>
      <c r="C4" s="24" t="s">
        <v>3062</v>
      </c>
    </row>
    <row r="5" spans="1:3" ht="32.1" customHeight="1">
      <c r="A5" s="24" t="s">
        <v>3059</v>
      </c>
      <c r="B5" s="24">
        <v>4</v>
      </c>
      <c r="C5" s="24" t="s">
        <v>3063</v>
      </c>
    </row>
    <row r="6" spans="1:3" ht="32.1" customHeight="1">
      <c r="A6" s="24" t="s">
        <v>3059</v>
      </c>
      <c r="B6" s="24">
        <v>5</v>
      </c>
      <c r="C6" s="24" t="s">
        <v>3064</v>
      </c>
    </row>
    <row r="7" spans="1:3" ht="32.1" customHeight="1">
      <c r="A7" s="24" t="s">
        <v>3059</v>
      </c>
      <c r="B7" s="24">
        <v>6</v>
      </c>
      <c r="C7" s="24" t="s">
        <v>3065</v>
      </c>
    </row>
    <row r="8" spans="1:3" ht="32.1" customHeight="1">
      <c r="A8" s="24" t="s">
        <v>3059</v>
      </c>
      <c r="B8" s="24">
        <v>7</v>
      </c>
      <c r="C8" s="24" t="s">
        <v>3066</v>
      </c>
    </row>
    <row r="9" spans="1:3" ht="32.1" customHeight="1">
      <c r="A9" s="24" t="s">
        <v>3059</v>
      </c>
      <c r="B9" s="24">
        <v>8</v>
      </c>
      <c r="C9" s="24" t="s">
        <v>3067</v>
      </c>
    </row>
    <row r="10" spans="1:3" ht="32.1" customHeight="1">
      <c r="A10" s="24" t="s">
        <v>3059</v>
      </c>
      <c r="B10" s="24">
        <v>9</v>
      </c>
      <c r="C10" s="24" t="s">
        <v>3068</v>
      </c>
    </row>
    <row r="11" spans="1:3" ht="32.1" customHeight="1">
      <c r="A11" s="24" t="s">
        <v>3059</v>
      </c>
      <c r="B11" s="24">
        <v>10</v>
      </c>
      <c r="C11" s="24" t="s">
        <v>3069</v>
      </c>
    </row>
    <row r="12" spans="1:3" ht="32.1" customHeight="1">
      <c r="A12" s="24" t="s">
        <v>3059</v>
      </c>
      <c r="B12" s="24">
        <v>11</v>
      </c>
      <c r="C12" s="24" t="s">
        <v>3070</v>
      </c>
    </row>
    <row r="13" spans="1:3" ht="32.1" customHeight="1">
      <c r="A13" s="24" t="s">
        <v>3071</v>
      </c>
      <c r="B13" s="24">
        <v>1</v>
      </c>
      <c r="C13" s="24" t="s">
        <v>3072</v>
      </c>
    </row>
    <row r="14" spans="1:3" ht="32.1" customHeight="1">
      <c r="A14" s="24" t="s">
        <v>3071</v>
      </c>
      <c r="B14" s="24">
        <v>2</v>
      </c>
      <c r="C14" s="24" t="s">
        <v>3073</v>
      </c>
    </row>
    <row r="15" spans="1:3" ht="32.1" customHeight="1">
      <c r="A15" s="24" t="s">
        <v>3071</v>
      </c>
      <c r="B15" s="24">
        <v>3</v>
      </c>
      <c r="C15" s="24" t="s">
        <v>3074</v>
      </c>
    </row>
    <row r="16" spans="1:3" ht="32.1" customHeight="1">
      <c r="A16" s="24" t="s">
        <v>3071</v>
      </c>
      <c r="B16" s="24">
        <v>4</v>
      </c>
      <c r="C16" s="24" t="s">
        <v>3075</v>
      </c>
    </row>
    <row r="17" spans="1:3" ht="32.1" customHeight="1">
      <c r="A17" s="24" t="s">
        <v>3071</v>
      </c>
      <c r="B17" s="24">
        <v>5</v>
      </c>
      <c r="C17" s="24" t="s">
        <v>3076</v>
      </c>
    </row>
    <row r="18" spans="1:3" ht="32.1" customHeight="1">
      <c r="A18" s="24" t="s">
        <v>3071</v>
      </c>
      <c r="B18" s="24">
        <v>6</v>
      </c>
      <c r="C18" s="24" t="s">
        <v>3077</v>
      </c>
    </row>
    <row r="19" spans="1:3" ht="32.1" customHeight="1">
      <c r="A19" s="24" t="s">
        <v>3071</v>
      </c>
      <c r="B19" s="24">
        <v>7</v>
      </c>
      <c r="C19" s="24" t="s">
        <v>3078</v>
      </c>
    </row>
    <row r="20" spans="1:3" ht="32.1" customHeight="1">
      <c r="A20" s="24" t="s">
        <v>3071</v>
      </c>
      <c r="B20" s="24">
        <v>8</v>
      </c>
      <c r="C20" s="24" t="s">
        <v>3079</v>
      </c>
    </row>
    <row r="21" spans="1:3" ht="32.1" customHeight="1">
      <c r="A21" s="24" t="s">
        <v>3071</v>
      </c>
      <c r="B21" s="24">
        <v>9</v>
      </c>
      <c r="C21" s="24" t="s">
        <v>3080</v>
      </c>
    </row>
    <row r="22" spans="1:3" ht="32.1" customHeight="1">
      <c r="A22" s="24" t="s">
        <v>3071</v>
      </c>
      <c r="B22" s="24">
        <v>10</v>
      </c>
      <c r="C22" s="24" t="s">
        <v>3081</v>
      </c>
    </row>
    <row r="23" spans="1:3" ht="32.1" customHeight="1">
      <c r="A23" s="24" t="s">
        <v>3071</v>
      </c>
      <c r="B23" s="24">
        <v>11</v>
      </c>
      <c r="C23" s="24" t="s">
        <v>3082</v>
      </c>
    </row>
    <row r="24" spans="1:3" ht="32.1" customHeight="1">
      <c r="A24" s="24" t="s">
        <v>3071</v>
      </c>
      <c r="B24" s="24">
        <v>12</v>
      </c>
      <c r="C24" s="24" t="s">
        <v>3083</v>
      </c>
    </row>
    <row r="25" spans="1:3" ht="32.1" customHeight="1">
      <c r="A25" s="24" t="s">
        <v>3071</v>
      </c>
      <c r="B25" s="24">
        <v>13</v>
      </c>
      <c r="C25" s="24" t="s">
        <v>3084</v>
      </c>
    </row>
    <row r="26" spans="1:3" ht="32.1" customHeight="1">
      <c r="A26" s="24" t="s">
        <v>3071</v>
      </c>
      <c r="B26" s="24">
        <v>14</v>
      </c>
      <c r="C26" s="24" t="s">
        <v>3085</v>
      </c>
    </row>
    <row r="27" spans="1:3" ht="32.1" customHeight="1">
      <c r="A27" s="24" t="s">
        <v>3071</v>
      </c>
      <c r="B27" s="24">
        <v>15</v>
      </c>
      <c r="C27" s="24" t="s">
        <v>3086</v>
      </c>
    </row>
    <row r="28" spans="1:3" ht="32.1" customHeight="1">
      <c r="A28" s="24" t="s">
        <v>3071</v>
      </c>
      <c r="B28" s="24">
        <v>16</v>
      </c>
      <c r="C28" s="24" t="s">
        <v>3087</v>
      </c>
    </row>
    <row r="29" spans="1:3" ht="32.1" customHeight="1">
      <c r="A29" s="24" t="s">
        <v>3071</v>
      </c>
      <c r="B29" s="24">
        <v>17</v>
      </c>
      <c r="C29" s="24" t="s">
        <v>3088</v>
      </c>
    </row>
    <row r="30" spans="1:3" ht="32.1" customHeight="1">
      <c r="A30" s="24" t="s">
        <v>3071</v>
      </c>
      <c r="B30" s="24">
        <v>18</v>
      </c>
      <c r="C30" s="24" t="s">
        <v>3089</v>
      </c>
    </row>
    <row r="31" spans="1:3" ht="32.1" customHeight="1">
      <c r="A31" s="24" t="s">
        <v>3071</v>
      </c>
      <c r="B31" s="24">
        <v>19</v>
      </c>
      <c r="C31" s="24" t="s">
        <v>3090</v>
      </c>
    </row>
    <row r="32" spans="1:3" ht="32.1" customHeight="1">
      <c r="A32" s="24" t="s">
        <v>3071</v>
      </c>
      <c r="B32" s="24">
        <v>20</v>
      </c>
      <c r="C32" s="24" t="s">
        <v>3091</v>
      </c>
    </row>
    <row r="33" spans="1:3" ht="32.1" customHeight="1">
      <c r="A33" s="24" t="s">
        <v>3071</v>
      </c>
      <c r="B33" s="24">
        <v>21</v>
      </c>
      <c r="C33" s="24" t="s">
        <v>3092</v>
      </c>
    </row>
    <row r="34" spans="1:3" ht="32.1" customHeight="1">
      <c r="A34" s="24" t="s">
        <v>3071</v>
      </c>
      <c r="B34" s="24">
        <v>22</v>
      </c>
      <c r="C34" s="24" t="s">
        <v>3093</v>
      </c>
    </row>
    <row r="35" spans="1:3" ht="32.1" customHeight="1">
      <c r="A35" s="24" t="s">
        <v>3071</v>
      </c>
      <c r="B35" s="24">
        <v>23</v>
      </c>
      <c r="C35" s="24" t="s">
        <v>3094</v>
      </c>
    </row>
    <row r="36" spans="1:3" ht="32.1" customHeight="1">
      <c r="A36" s="24" t="s">
        <v>3071</v>
      </c>
      <c r="B36" s="24">
        <v>24</v>
      </c>
      <c r="C36" s="24" t="s">
        <v>3095</v>
      </c>
    </row>
    <row r="37" spans="1:3" ht="32.1" customHeight="1">
      <c r="A37" s="24" t="s">
        <v>3071</v>
      </c>
      <c r="B37" s="24">
        <v>25</v>
      </c>
      <c r="C37" s="24" t="s">
        <v>3096</v>
      </c>
    </row>
    <row r="38" spans="1:3" ht="32.1" customHeight="1">
      <c r="A38" s="24" t="s">
        <v>3071</v>
      </c>
      <c r="B38" s="24">
        <v>26</v>
      </c>
      <c r="C38" s="24" t="s">
        <v>3097</v>
      </c>
    </row>
    <row r="39" spans="1:3" ht="32.1" customHeight="1">
      <c r="A39" s="24" t="s">
        <v>3071</v>
      </c>
      <c r="B39" s="24">
        <v>27</v>
      </c>
      <c r="C39" s="24" t="s">
        <v>3098</v>
      </c>
    </row>
    <row r="40" spans="1:3" ht="32.1" customHeight="1">
      <c r="A40" s="24" t="s">
        <v>3071</v>
      </c>
      <c r="B40" s="24">
        <v>28</v>
      </c>
      <c r="C40" s="24" t="s">
        <v>3099</v>
      </c>
    </row>
    <row r="41" spans="1:3" ht="32.1" customHeight="1">
      <c r="A41" s="24" t="s">
        <v>3071</v>
      </c>
      <c r="B41" s="24">
        <v>29</v>
      </c>
      <c r="C41" s="24" t="s">
        <v>3100</v>
      </c>
    </row>
    <row r="42" spans="1:3" ht="32.1" customHeight="1">
      <c r="A42" s="24" t="s">
        <v>3071</v>
      </c>
      <c r="B42" s="24">
        <v>30</v>
      </c>
      <c r="C42" s="24" t="s">
        <v>3101</v>
      </c>
    </row>
    <row r="43" spans="1:3" ht="32.1" customHeight="1">
      <c r="A43" s="24" t="s">
        <v>3071</v>
      </c>
      <c r="B43" s="24">
        <v>31</v>
      </c>
      <c r="C43" s="24" t="s">
        <v>3102</v>
      </c>
    </row>
    <row r="44" spans="1:3" ht="32.1" customHeight="1">
      <c r="A44" s="24" t="s">
        <v>3071</v>
      </c>
      <c r="B44" s="24">
        <v>32</v>
      </c>
      <c r="C44" s="24" t="s">
        <v>3103</v>
      </c>
    </row>
    <row r="45" spans="1:3" ht="32.1" customHeight="1">
      <c r="A45" s="24" t="s">
        <v>3071</v>
      </c>
      <c r="B45" s="24">
        <v>33</v>
      </c>
      <c r="C45" s="24" t="s">
        <v>3104</v>
      </c>
    </row>
    <row r="46" spans="1:3" ht="32.1" customHeight="1">
      <c r="A46" s="24" t="s">
        <v>3071</v>
      </c>
      <c r="B46" s="24">
        <v>34</v>
      </c>
      <c r="C46" s="24" t="s">
        <v>3105</v>
      </c>
    </row>
    <row r="47" spans="1:3" ht="32.1" customHeight="1">
      <c r="A47" s="24" t="s">
        <v>3071</v>
      </c>
      <c r="B47" s="24">
        <v>35</v>
      </c>
      <c r="C47" s="24" t="s">
        <v>3106</v>
      </c>
    </row>
    <row r="48" spans="1:3" ht="32.1" customHeight="1">
      <c r="A48" s="24" t="s">
        <v>3107</v>
      </c>
      <c r="B48" s="24">
        <v>1</v>
      </c>
      <c r="C48" s="24" t="s">
        <v>3108</v>
      </c>
    </row>
    <row r="49" spans="1:3" ht="32.1" customHeight="1">
      <c r="A49" s="24" t="s">
        <v>3107</v>
      </c>
      <c r="B49" s="24">
        <v>2</v>
      </c>
      <c r="C49" s="24" t="s">
        <v>3109</v>
      </c>
    </row>
    <row r="50" spans="1:3" ht="32.1" customHeight="1">
      <c r="A50" s="24" t="s">
        <v>3107</v>
      </c>
      <c r="B50" s="24">
        <v>3</v>
      </c>
      <c r="C50" s="24" t="s">
        <v>3110</v>
      </c>
    </row>
    <row r="51" spans="1:3" ht="32.1" customHeight="1">
      <c r="A51" s="24" t="s">
        <v>3107</v>
      </c>
      <c r="B51" s="24">
        <v>4</v>
      </c>
      <c r="C51" s="24" t="s">
        <v>3111</v>
      </c>
    </row>
    <row r="52" spans="1:3" ht="32.1" customHeight="1">
      <c r="A52" s="24" t="s">
        <v>3107</v>
      </c>
      <c r="B52" s="24">
        <v>5</v>
      </c>
      <c r="C52" s="24" t="s">
        <v>3112</v>
      </c>
    </row>
    <row r="53" spans="1:3" ht="32.1" customHeight="1">
      <c r="A53" s="24" t="s">
        <v>3107</v>
      </c>
      <c r="B53" s="24">
        <v>6</v>
      </c>
      <c r="C53" s="24" t="s">
        <v>3113</v>
      </c>
    </row>
    <row r="54" spans="1:3" ht="32.1" customHeight="1">
      <c r="A54" s="24" t="s">
        <v>3107</v>
      </c>
      <c r="B54" s="24">
        <v>7</v>
      </c>
      <c r="C54" s="24" t="s">
        <v>3114</v>
      </c>
    </row>
    <row r="55" spans="1:3" ht="32.1" customHeight="1">
      <c r="A55" s="24" t="s">
        <v>3107</v>
      </c>
      <c r="B55" s="24">
        <v>8</v>
      </c>
      <c r="C55" s="24" t="s">
        <v>3115</v>
      </c>
    </row>
    <row r="56" spans="1:3" ht="32.1" customHeight="1">
      <c r="A56" s="24" t="s">
        <v>3107</v>
      </c>
      <c r="B56" s="24">
        <v>9</v>
      </c>
      <c r="C56" s="24" t="s">
        <v>3116</v>
      </c>
    </row>
    <row r="57" spans="1:3" ht="32.1" customHeight="1">
      <c r="A57" s="24" t="s">
        <v>3107</v>
      </c>
      <c r="B57" s="24">
        <v>10</v>
      </c>
      <c r="C57" s="24" t="s">
        <v>3117</v>
      </c>
    </row>
    <row r="58" spans="1:3" ht="32.1" customHeight="1">
      <c r="A58" s="24" t="s">
        <v>3107</v>
      </c>
      <c r="B58" s="24">
        <v>11</v>
      </c>
      <c r="C58" s="24" t="s">
        <v>3118</v>
      </c>
    </row>
    <row r="59" spans="1:3" ht="32.1" customHeight="1">
      <c r="A59" s="24" t="s">
        <v>3107</v>
      </c>
      <c r="B59" s="24">
        <v>12</v>
      </c>
      <c r="C59" s="24" t="s">
        <v>3119</v>
      </c>
    </row>
    <row r="60" spans="1:3" ht="32.1" customHeight="1">
      <c r="A60" s="24" t="s">
        <v>3107</v>
      </c>
      <c r="B60" s="24">
        <v>13</v>
      </c>
      <c r="C60" s="24" t="s">
        <v>3120</v>
      </c>
    </row>
    <row r="61" spans="1:3" ht="32.1" customHeight="1">
      <c r="A61" s="24" t="s">
        <v>3107</v>
      </c>
      <c r="B61" s="24">
        <v>14</v>
      </c>
      <c r="C61" s="24" t="s">
        <v>3121</v>
      </c>
    </row>
    <row r="62" spans="1:3" ht="32.1" customHeight="1">
      <c r="A62" s="24" t="s">
        <v>3107</v>
      </c>
      <c r="B62" s="24">
        <v>15</v>
      </c>
      <c r="C62" s="24" t="s">
        <v>3122</v>
      </c>
    </row>
    <row r="63" spans="1:3" ht="32.1" customHeight="1">
      <c r="A63" s="24" t="s">
        <v>3107</v>
      </c>
      <c r="B63" s="24">
        <v>16</v>
      </c>
      <c r="C63" s="24" t="s">
        <v>3123</v>
      </c>
    </row>
    <row r="64" spans="1:3" ht="32.1" customHeight="1">
      <c r="A64" s="24" t="s">
        <v>3107</v>
      </c>
      <c r="B64" s="24">
        <v>17</v>
      </c>
      <c r="C64" s="24" t="s">
        <v>3124</v>
      </c>
    </row>
    <row r="65" spans="1:3" ht="32.1" customHeight="1">
      <c r="A65" s="24" t="s">
        <v>3107</v>
      </c>
      <c r="B65" s="24">
        <v>18</v>
      </c>
      <c r="C65" s="24" t="s">
        <v>3125</v>
      </c>
    </row>
    <row r="66" spans="1:3" ht="32.1" customHeight="1">
      <c r="A66" s="24" t="s">
        <v>3107</v>
      </c>
      <c r="B66" s="24">
        <v>19</v>
      </c>
      <c r="C66" s="24" t="s">
        <v>3126</v>
      </c>
    </row>
    <row r="67" spans="1:3" ht="32.1" customHeight="1">
      <c r="A67" s="24" t="s">
        <v>3107</v>
      </c>
      <c r="B67" s="24">
        <v>20</v>
      </c>
      <c r="C67" s="24" t="s">
        <v>3127</v>
      </c>
    </row>
    <row r="68" spans="1:3" ht="32.1" customHeight="1">
      <c r="A68" s="24" t="s">
        <v>3107</v>
      </c>
      <c r="B68" s="24">
        <v>21</v>
      </c>
      <c r="C68" s="24" t="s">
        <v>3128</v>
      </c>
    </row>
    <row r="69" spans="1:3" ht="32.1" customHeight="1">
      <c r="A69" s="24" t="s">
        <v>3107</v>
      </c>
      <c r="B69" s="24">
        <v>22</v>
      </c>
      <c r="C69" s="24" t="s">
        <v>3129</v>
      </c>
    </row>
    <row r="70" spans="1:3" ht="32.1" customHeight="1">
      <c r="A70" s="24" t="s">
        <v>3107</v>
      </c>
      <c r="B70" s="24">
        <v>23</v>
      </c>
      <c r="C70" s="24" t="s">
        <v>3130</v>
      </c>
    </row>
    <row r="71" spans="1:3" ht="32.1" customHeight="1">
      <c r="A71" s="24" t="s">
        <v>3107</v>
      </c>
      <c r="B71" s="24">
        <v>24</v>
      </c>
      <c r="C71" s="24" t="s">
        <v>3131</v>
      </c>
    </row>
    <row r="72" spans="1:3" ht="32.1" customHeight="1">
      <c r="A72" s="24" t="s">
        <v>3107</v>
      </c>
      <c r="B72" s="24">
        <v>25</v>
      </c>
      <c r="C72" s="24" t="s">
        <v>3132</v>
      </c>
    </row>
    <row r="73" spans="1:3" ht="32.1" customHeight="1">
      <c r="A73" s="24" t="s">
        <v>3107</v>
      </c>
      <c r="B73" s="24">
        <v>26</v>
      </c>
      <c r="C73" s="24" t="s">
        <v>3133</v>
      </c>
    </row>
    <row r="74" spans="1:3" ht="32.1" customHeight="1">
      <c r="A74" s="24" t="s">
        <v>3107</v>
      </c>
      <c r="B74" s="24">
        <v>27</v>
      </c>
      <c r="C74" s="24" t="s">
        <v>3134</v>
      </c>
    </row>
    <row r="75" spans="1:3" ht="32.1" customHeight="1">
      <c r="A75" s="24" t="s">
        <v>3107</v>
      </c>
      <c r="B75" s="24">
        <v>28</v>
      </c>
      <c r="C75" s="24" t="s">
        <v>3135</v>
      </c>
    </row>
    <row r="76" spans="1:3" ht="32.1" customHeight="1">
      <c r="A76" s="24" t="s">
        <v>3107</v>
      </c>
      <c r="B76" s="24">
        <v>29</v>
      </c>
      <c r="C76" s="24" t="s">
        <v>3136</v>
      </c>
    </row>
    <row r="77" spans="1:3" ht="32.1" customHeight="1">
      <c r="A77" s="24" t="s">
        <v>3107</v>
      </c>
      <c r="B77" s="24">
        <v>30</v>
      </c>
      <c r="C77" s="24" t="s">
        <v>3137</v>
      </c>
    </row>
    <row r="78" spans="1:3" ht="32.1" customHeight="1">
      <c r="A78" s="24" t="s">
        <v>3107</v>
      </c>
      <c r="B78" s="24">
        <v>31</v>
      </c>
      <c r="C78" s="24" t="s">
        <v>3138</v>
      </c>
    </row>
    <row r="79" spans="1:3" ht="32.1" customHeight="1">
      <c r="A79" s="24" t="s">
        <v>3107</v>
      </c>
      <c r="B79" s="24">
        <v>32</v>
      </c>
      <c r="C79" s="24" t="s">
        <v>3139</v>
      </c>
    </row>
    <row r="80" spans="1:3" ht="32.1" customHeight="1">
      <c r="A80" s="24" t="s">
        <v>3107</v>
      </c>
      <c r="B80" s="24">
        <v>33</v>
      </c>
      <c r="C80" s="24" t="s">
        <v>3140</v>
      </c>
    </row>
    <row r="81" spans="1:3" ht="32.1" customHeight="1">
      <c r="A81" s="24" t="s">
        <v>3107</v>
      </c>
      <c r="B81" s="24">
        <v>34</v>
      </c>
      <c r="C81" s="24" t="s">
        <v>3141</v>
      </c>
    </row>
    <row r="82" spans="1:3" ht="32.1" customHeight="1">
      <c r="A82" s="24" t="s">
        <v>3107</v>
      </c>
      <c r="B82" s="24">
        <v>35</v>
      </c>
      <c r="C82" s="24" t="s">
        <v>3142</v>
      </c>
    </row>
    <row r="83" spans="1:3" ht="32.1" customHeight="1">
      <c r="A83" s="24" t="s">
        <v>3107</v>
      </c>
      <c r="B83" s="24">
        <v>36</v>
      </c>
      <c r="C83" s="24" t="s">
        <v>3143</v>
      </c>
    </row>
    <row r="84" spans="1:3" ht="32.1" customHeight="1">
      <c r="A84" s="24" t="s">
        <v>3107</v>
      </c>
      <c r="B84" s="24">
        <v>37</v>
      </c>
      <c r="C84" s="24" t="s">
        <v>3144</v>
      </c>
    </row>
    <row r="85" spans="1:3" ht="32.1" customHeight="1">
      <c r="A85" s="24" t="s">
        <v>3107</v>
      </c>
      <c r="B85" s="24">
        <v>38</v>
      </c>
      <c r="C85" s="24" t="s">
        <v>3145</v>
      </c>
    </row>
    <row r="86" spans="1:3" ht="32.1" customHeight="1">
      <c r="A86" s="24" t="s">
        <v>3146</v>
      </c>
      <c r="B86" s="24">
        <v>1</v>
      </c>
      <c r="C86" s="24" t="s">
        <v>3147</v>
      </c>
    </row>
    <row r="87" spans="1:3" ht="32.1" customHeight="1">
      <c r="A87" s="24" t="s">
        <v>3146</v>
      </c>
      <c r="B87" s="24">
        <v>2</v>
      </c>
      <c r="C87" s="24" t="s">
        <v>3148</v>
      </c>
    </row>
    <row r="88" spans="1:3" ht="32.1" customHeight="1">
      <c r="A88" s="24" t="s">
        <v>3146</v>
      </c>
      <c r="B88" s="24">
        <v>3</v>
      </c>
      <c r="C88" s="24" t="s">
        <v>3149</v>
      </c>
    </row>
    <row r="89" spans="1:3" ht="32.1" customHeight="1">
      <c r="A89" s="24" t="s">
        <v>3146</v>
      </c>
      <c r="B89" s="24">
        <v>4</v>
      </c>
      <c r="C89" s="24" t="s">
        <v>3150</v>
      </c>
    </row>
    <row r="90" spans="1:3" ht="32.1" customHeight="1">
      <c r="A90" s="24" t="s">
        <v>3146</v>
      </c>
      <c r="B90" s="24">
        <v>5</v>
      </c>
      <c r="C90" s="24" t="s">
        <v>3151</v>
      </c>
    </row>
    <row r="91" spans="1:3" ht="32.1" customHeight="1">
      <c r="A91" s="24" t="s">
        <v>3146</v>
      </c>
      <c r="B91" s="24">
        <v>6</v>
      </c>
      <c r="C91" s="24" t="s">
        <v>3152</v>
      </c>
    </row>
    <row r="92" spans="1:3" ht="32.1" customHeight="1">
      <c r="A92" s="24" t="s">
        <v>3146</v>
      </c>
      <c r="B92" s="24">
        <v>7</v>
      </c>
      <c r="C92" s="24" t="s">
        <v>3153</v>
      </c>
    </row>
    <row r="93" spans="1:3" ht="32.1" customHeight="1">
      <c r="A93" s="24" t="s">
        <v>3146</v>
      </c>
      <c r="B93" s="24">
        <v>8</v>
      </c>
      <c r="C93" s="24" t="s">
        <v>3154</v>
      </c>
    </row>
    <row r="94" spans="1:3" ht="32.1" customHeight="1">
      <c r="A94" s="24" t="s">
        <v>3146</v>
      </c>
      <c r="B94" s="24">
        <v>9</v>
      </c>
      <c r="C94" s="24" t="s">
        <v>3155</v>
      </c>
    </row>
    <row r="95" spans="1:3" ht="32.1" customHeight="1">
      <c r="A95" s="24" t="s">
        <v>3146</v>
      </c>
      <c r="B95" s="24">
        <v>10</v>
      </c>
      <c r="C95" s="24" t="s">
        <v>3156</v>
      </c>
    </row>
    <row r="96" spans="1:3" ht="32.1" customHeight="1">
      <c r="A96" s="24" t="s">
        <v>3146</v>
      </c>
      <c r="B96" s="24">
        <v>11</v>
      </c>
      <c r="C96" s="24" t="s">
        <v>3157</v>
      </c>
    </row>
    <row r="97" spans="1:3" ht="32.1" customHeight="1">
      <c r="A97" s="24" t="s">
        <v>3146</v>
      </c>
      <c r="B97" s="24">
        <v>12</v>
      </c>
      <c r="C97" s="24" t="s">
        <v>3158</v>
      </c>
    </row>
    <row r="98" spans="1:3" ht="32.1" customHeight="1">
      <c r="A98" s="24" t="s">
        <v>3146</v>
      </c>
      <c r="B98" s="24">
        <v>13</v>
      </c>
      <c r="C98" s="24" t="s">
        <v>3159</v>
      </c>
    </row>
    <row r="99" spans="1:3" ht="32.1" customHeight="1">
      <c r="A99" s="24" t="s">
        <v>3146</v>
      </c>
      <c r="B99" s="24">
        <v>14</v>
      </c>
      <c r="C99" s="24" t="s">
        <v>3160</v>
      </c>
    </row>
    <row r="100" spans="1:3" ht="32.1" customHeight="1">
      <c r="A100" s="24" t="s">
        <v>3146</v>
      </c>
      <c r="B100" s="24">
        <v>15</v>
      </c>
      <c r="C100" s="24" t="s">
        <v>3161</v>
      </c>
    </row>
    <row r="101" spans="1:3" ht="32.1" customHeight="1">
      <c r="A101" s="24" t="s">
        <v>3146</v>
      </c>
      <c r="B101" s="24">
        <v>16</v>
      </c>
      <c r="C101" s="24" t="s">
        <v>3162</v>
      </c>
    </row>
    <row r="102" spans="1:3" ht="32.1" customHeight="1">
      <c r="A102" s="24" t="s">
        <v>3146</v>
      </c>
      <c r="B102" s="24">
        <v>17</v>
      </c>
      <c r="C102" s="24" t="s">
        <v>3163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21"/>
  <sheetViews>
    <sheetView workbookViewId="0"/>
  </sheetViews>
  <sheetFormatPr defaultRowHeight="14.25"/>
  <cols>
    <col min="1" max="1" width="27" customWidth="1"/>
    <col min="2" max="4" width="13" customWidth="1"/>
    <col min="5" max="5" width="42" customWidth="1"/>
    <col min="7" max="15" width="12" customWidth="1"/>
  </cols>
  <sheetData>
    <row r="1" spans="1:16" ht="36" customHeight="1">
      <c r="A1" s="118" t="s">
        <v>3164</v>
      </c>
      <c r="B1" s="118"/>
      <c r="C1" s="118"/>
      <c r="D1" s="118"/>
      <c r="E1" s="119"/>
      <c r="F1" s="119"/>
      <c r="G1" s="119"/>
      <c r="H1" s="119"/>
      <c r="I1" s="119"/>
      <c r="J1" s="119"/>
      <c r="K1" s="119"/>
      <c r="L1" s="119"/>
      <c r="M1" s="119"/>
      <c r="N1" s="119"/>
      <c r="O1" s="120"/>
      <c r="P1" s="28"/>
    </row>
    <row r="2" spans="1:16" ht="32.1" customHeight="1">
      <c r="A2" s="121" t="s">
        <v>3165</v>
      </c>
      <c r="B2" s="121"/>
      <c r="C2" s="121"/>
      <c r="D2" s="121"/>
      <c r="E2" s="121"/>
      <c r="F2" s="121"/>
      <c r="G2" s="121"/>
      <c r="H2" s="121"/>
      <c r="I2" s="121"/>
      <c r="J2" s="121"/>
      <c r="K2" s="121"/>
      <c r="L2" s="121"/>
      <c r="M2" s="121"/>
      <c r="N2" s="121"/>
      <c r="O2" s="121"/>
      <c r="P2" s="29"/>
    </row>
    <row r="3" spans="1:16" ht="32.1" customHeight="1">
      <c r="A3" s="51"/>
      <c r="B3" s="51"/>
      <c r="C3" s="51"/>
      <c r="D3" s="51"/>
      <c r="E3" s="52"/>
      <c r="F3" s="52"/>
    </row>
    <row r="4" spans="1:16" ht="33.950000000000003" customHeight="1">
      <c r="A4" s="39" t="s">
        <v>2808</v>
      </c>
      <c r="B4" s="39" t="s">
        <v>108</v>
      </c>
      <c r="C4" s="39" t="s">
        <v>1243</v>
      </c>
      <c r="D4" s="39" t="s">
        <v>3166</v>
      </c>
      <c r="E4" s="31" t="s">
        <v>2812</v>
      </c>
      <c r="G4" t="s">
        <v>63</v>
      </c>
      <c r="H4" t="s">
        <v>108</v>
      </c>
      <c r="I4" t="s">
        <v>1243</v>
      </c>
    </row>
    <row r="5" spans="1:16" ht="38.1" customHeight="1">
      <c r="A5" s="49" t="s">
        <v>1836</v>
      </c>
      <c r="B5" s="49">
        <f>COUNTIF(Backlog!$B$2:$B$188,"M2")</f>
        <v>115</v>
      </c>
      <c r="C5" s="49">
        <f>COUNTIF(Backlog!$B$2:$B$188,"M3")</f>
        <v>72</v>
      </c>
      <c r="D5" s="49">
        <f t="shared" ref="D5:D11" si="0">B5+C5</f>
        <v>187</v>
      </c>
      <c r="E5" s="50" t="s">
        <v>3167</v>
      </c>
      <c r="G5" t="s">
        <v>116</v>
      </c>
      <c r="H5">
        <f>COUNTIFS(Backlog!$B$2:$B$188,"M2",Backlog!$K$2:$K$188,G5)</f>
        <v>62</v>
      </c>
      <c r="I5">
        <f>COUNTIFS(Backlog!$B$2:$B$188,"M3",Backlog!$K$2:$K$188,G5)</f>
        <v>0</v>
      </c>
    </row>
    <row r="6" spans="1:16" ht="38.1" customHeight="1">
      <c r="A6" s="49" t="s">
        <v>116</v>
      </c>
      <c r="B6" s="49">
        <f>COUNTIFS(Backlog!$B$2:$B$188,"M2",Backlog!$K$2:$K$188,"Done")</f>
        <v>62</v>
      </c>
      <c r="C6" s="49">
        <f>COUNTIFS(Backlog!$B$2:$B$188,"M3",Backlog!$K$2:$K$188,"Done")</f>
        <v>0</v>
      </c>
      <c r="D6" s="49">
        <f t="shared" si="0"/>
        <v>62</v>
      </c>
      <c r="E6" s="50" t="s">
        <v>3168</v>
      </c>
      <c r="G6" t="s">
        <v>653</v>
      </c>
      <c r="H6">
        <f>COUNTIFS(Backlog!$B$2:$B$188,"M2",Backlog!$K$2:$K$188,G6)</f>
        <v>3</v>
      </c>
      <c r="I6">
        <f>COUNTIFS(Backlog!$B$2:$B$188,"M3",Backlog!$K$2:$K$188,G6)</f>
        <v>0</v>
      </c>
    </row>
    <row r="7" spans="1:16" ht="38.1" customHeight="1">
      <c r="A7" s="49" t="s">
        <v>1838</v>
      </c>
      <c r="B7" s="49">
        <f>COUNTIFS(Backlog!$B$2:$B$188,"M2",Backlog!$K$2:$K$188,"In Progress")</f>
        <v>3</v>
      </c>
      <c r="C7" s="49">
        <f>COUNTIFS(Backlog!$B$2:$B$188,"M3",Backlog!$K$2:$K$188,"In Progress")</f>
        <v>0</v>
      </c>
      <c r="D7" s="49">
        <f t="shared" si="0"/>
        <v>3</v>
      </c>
      <c r="E7" s="50" t="s">
        <v>3169</v>
      </c>
      <c r="G7" t="s">
        <v>455</v>
      </c>
      <c r="H7">
        <f>COUNTIFS(Backlog!$B$2:$B$188,"M2",Backlog!$K$2:$K$188,G7)</f>
        <v>50</v>
      </c>
      <c r="I7">
        <f>COUNTIFS(Backlog!$B$2:$B$188,"M3",Backlog!$K$2:$K$188,G7)</f>
        <v>72</v>
      </c>
    </row>
    <row r="8" spans="1:16" ht="38.1" customHeight="1">
      <c r="A8" s="49" t="s">
        <v>3170</v>
      </c>
      <c r="B8" s="49">
        <f>COUNTIFS(Backlog!$B$2:$B$188,"M2",Backlog!$K$2:$K$188,"Not Started")</f>
        <v>50</v>
      </c>
      <c r="C8" s="49">
        <f>COUNTIFS(Backlog!$B$2:$B$188,"M3",Backlog!$K$2:$K$188,"Not Started")</f>
        <v>72</v>
      </c>
      <c r="D8" s="49">
        <f t="shared" si="0"/>
        <v>122</v>
      </c>
      <c r="E8" s="50" t="s">
        <v>3171</v>
      </c>
    </row>
    <row r="9" spans="1:16" ht="38.1" customHeight="1">
      <c r="A9" s="49" t="s">
        <v>3172</v>
      </c>
      <c r="B9" s="49">
        <f>SUMIF(Backlog!$B$2:$B$188,"M2",Backlog!$AS$2:$AS$188)</f>
        <v>872</v>
      </c>
      <c r="C9" s="49">
        <f>SUMIF(Backlog!$B$2:$B$188,"M3",Backlog!$AS$2:$AS$188)</f>
        <v>649</v>
      </c>
      <c r="D9" s="49">
        <f t="shared" si="0"/>
        <v>1521</v>
      </c>
      <c r="E9" s="50" t="s">
        <v>3173</v>
      </c>
    </row>
    <row r="10" spans="1:16" ht="38.1" customHeight="1">
      <c r="A10" s="49" t="s">
        <v>3174</v>
      </c>
      <c r="B10" s="49">
        <f>SUMIFS(Backlog!$AS$2:$AS$188,Backlog!$B$2:$B$188,"M2",Backlog!$K$2:$K$188,"&lt;&gt;Done")</f>
        <v>299</v>
      </c>
      <c r="C10" s="49">
        <f>SUMIFS(Backlog!$AS$2:$AS$188,Backlog!$B$2:$B$188,"M3",Backlog!$K$2:$K$188,"&lt;&gt;Done")</f>
        <v>649</v>
      </c>
      <c r="D10" s="49">
        <f t="shared" si="0"/>
        <v>948</v>
      </c>
      <c r="E10" s="50" t="s">
        <v>3175</v>
      </c>
    </row>
    <row r="11" spans="1:16" ht="38.1" customHeight="1">
      <c r="A11" s="49" t="s">
        <v>3176</v>
      </c>
      <c r="B11" s="49">
        <f>COUNTIFS(Backlog!$B$2:$B$188,"M2",Backlog!$AM$2:$AM$188,0)</f>
        <v>26</v>
      </c>
      <c r="C11" s="49">
        <f>COUNTIFS(Backlog!$B$2:$B$188,"M3",Backlog!$AM$2:$AM$188,0)</f>
        <v>13</v>
      </c>
      <c r="D11" s="49">
        <f t="shared" si="0"/>
        <v>39</v>
      </c>
      <c r="E11" s="50" t="s">
        <v>3177</v>
      </c>
    </row>
    <row r="12" spans="1:16" ht="38.1" customHeight="1">
      <c r="A12" s="49"/>
      <c r="B12" s="49"/>
      <c r="C12" s="49"/>
      <c r="D12" s="49"/>
      <c r="E12" s="50"/>
    </row>
    <row r="13" spans="1:16" ht="38.1" customHeight="1">
      <c r="A13" s="49"/>
      <c r="B13" s="49"/>
      <c r="C13" s="49"/>
      <c r="D13" s="49"/>
      <c r="E13" s="50"/>
    </row>
    <row r="14" spans="1:16" ht="38.1" customHeight="1">
      <c r="A14" s="122" t="s">
        <v>3178</v>
      </c>
      <c r="B14" s="122"/>
      <c r="C14" s="122"/>
      <c r="D14" s="122"/>
      <c r="E14" s="123"/>
    </row>
    <row r="15" spans="1:16" ht="38.1" customHeight="1">
      <c r="A15" s="116" t="s">
        <v>3179</v>
      </c>
      <c r="B15" s="116"/>
      <c r="C15" s="116"/>
      <c r="D15" s="116"/>
      <c r="E15" s="117"/>
    </row>
    <row r="16" spans="1:16" ht="38.1" customHeight="1">
      <c r="A16" s="49"/>
      <c r="B16" s="49"/>
      <c r="C16" s="49"/>
      <c r="D16" s="49"/>
      <c r="E16" s="50"/>
    </row>
    <row r="17" spans="1:5" ht="38.1" customHeight="1">
      <c r="A17" s="116" t="s">
        <v>3180</v>
      </c>
      <c r="B17" s="116"/>
      <c r="C17" s="116"/>
      <c r="D17" s="116"/>
      <c r="E17" s="117"/>
    </row>
    <row r="18" spans="1:5" ht="38.1" customHeight="1">
      <c r="A18" s="49"/>
      <c r="B18" s="49"/>
      <c r="C18" s="49"/>
      <c r="D18" s="49"/>
      <c r="E18" s="50"/>
    </row>
    <row r="19" spans="1:5" ht="38.1" customHeight="1">
      <c r="A19" s="116" t="s">
        <v>3181</v>
      </c>
      <c r="B19" s="116"/>
      <c r="C19" s="116"/>
      <c r="D19" s="116"/>
      <c r="E19" s="117"/>
    </row>
    <row r="20" spans="1:5" ht="38.1" customHeight="1">
      <c r="A20" s="49"/>
      <c r="B20" s="49"/>
      <c r="C20" s="49"/>
      <c r="D20" s="49"/>
      <c r="E20" s="50"/>
    </row>
    <row r="21" spans="1:5" ht="38.1" customHeight="1">
      <c r="A21" s="116" t="s">
        <v>3182</v>
      </c>
      <c r="B21" s="116"/>
      <c r="C21" s="116"/>
      <c r="D21" s="116"/>
      <c r="E21" s="117"/>
    </row>
  </sheetData>
  <mergeCells count="7">
    <mergeCell ref="A19:E19"/>
    <mergeCell ref="A21:E21"/>
    <mergeCell ref="A1:O1"/>
    <mergeCell ref="A2:O2"/>
    <mergeCell ref="A14:E14"/>
    <mergeCell ref="A15:E15"/>
    <mergeCell ref="A17:E17"/>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27"/>
  <sheetViews>
    <sheetView workbookViewId="0"/>
  </sheetViews>
  <sheetFormatPr defaultRowHeight="14.25"/>
  <cols>
    <col min="1" max="5" width="20" customWidth="1"/>
    <col min="6" max="7" width="40" customWidth="1"/>
  </cols>
  <sheetData>
    <row r="1" spans="1:7" ht="36" customHeight="1">
      <c r="A1" s="37" t="s">
        <v>3183</v>
      </c>
      <c r="B1" s="37" t="s">
        <v>3184</v>
      </c>
      <c r="C1" s="37" t="s">
        <v>3185</v>
      </c>
      <c r="D1" s="37" t="s">
        <v>3186</v>
      </c>
      <c r="E1" s="37" t="s">
        <v>3187</v>
      </c>
      <c r="F1" s="37" t="s">
        <v>3188</v>
      </c>
      <c r="G1" s="37" t="s">
        <v>63</v>
      </c>
    </row>
    <row r="2" spans="1:7" ht="48" customHeight="1">
      <c r="A2" s="32" t="s">
        <v>806</v>
      </c>
      <c r="B2" s="32" t="s">
        <v>1349</v>
      </c>
      <c r="C2" s="32" t="s">
        <v>108</v>
      </c>
      <c r="D2" s="32" t="s">
        <v>1243</v>
      </c>
      <c r="E2" s="32" t="s">
        <v>3189</v>
      </c>
      <c r="F2" s="32" t="s">
        <v>3190</v>
      </c>
      <c r="G2" s="32" t="s">
        <v>3191</v>
      </c>
    </row>
    <row r="3" spans="1:7" ht="48" customHeight="1">
      <c r="A3" s="32" t="s">
        <v>806</v>
      </c>
      <c r="B3" s="32" t="s">
        <v>1356</v>
      </c>
      <c r="C3" s="32" t="s">
        <v>108</v>
      </c>
      <c r="D3" s="32" t="s">
        <v>1243</v>
      </c>
      <c r="E3" s="32" t="s">
        <v>3189</v>
      </c>
      <c r="F3" s="32" t="s">
        <v>3190</v>
      </c>
      <c r="G3" s="32" t="s">
        <v>3191</v>
      </c>
    </row>
    <row r="4" spans="1:7" ht="48" customHeight="1">
      <c r="A4" s="32" t="s">
        <v>806</v>
      </c>
      <c r="B4" s="32" t="s">
        <v>1367</v>
      </c>
      <c r="C4" s="32" t="s">
        <v>108</v>
      </c>
      <c r="D4" s="32" t="s">
        <v>1243</v>
      </c>
      <c r="E4" s="32" t="s">
        <v>3189</v>
      </c>
      <c r="F4" s="32" t="s">
        <v>3190</v>
      </c>
      <c r="G4" s="32" t="s">
        <v>3191</v>
      </c>
    </row>
    <row r="5" spans="1:7" ht="48" customHeight="1">
      <c r="A5" s="32" t="s">
        <v>806</v>
      </c>
      <c r="B5" s="32" t="s">
        <v>1377</v>
      </c>
      <c r="C5" s="32" t="s">
        <v>108</v>
      </c>
      <c r="D5" s="32" t="s">
        <v>1243</v>
      </c>
      <c r="E5" s="32" t="s">
        <v>3189</v>
      </c>
      <c r="F5" s="32" t="s">
        <v>3190</v>
      </c>
      <c r="G5" s="32" t="s">
        <v>3191</v>
      </c>
    </row>
    <row r="6" spans="1:7" ht="48" customHeight="1">
      <c r="A6" s="32" t="s">
        <v>806</v>
      </c>
      <c r="B6" s="32" t="s">
        <v>1384</v>
      </c>
      <c r="C6" s="32" t="s">
        <v>108</v>
      </c>
      <c r="D6" s="32" t="s">
        <v>1243</v>
      </c>
      <c r="E6" s="32" t="s">
        <v>3189</v>
      </c>
      <c r="F6" s="32" t="s">
        <v>3190</v>
      </c>
      <c r="G6" s="32" t="s">
        <v>3191</v>
      </c>
    </row>
    <row r="7" spans="1:7" ht="48" customHeight="1">
      <c r="A7" s="2" t="s">
        <v>806</v>
      </c>
      <c r="B7" s="2" t="s">
        <v>1791</v>
      </c>
      <c r="C7" s="2" t="s">
        <v>108</v>
      </c>
      <c r="D7" s="2" t="s">
        <v>108</v>
      </c>
      <c r="E7" s="2" t="s">
        <v>3189</v>
      </c>
      <c r="F7" s="2" t="s">
        <v>3190</v>
      </c>
      <c r="G7" s="2" t="s">
        <v>3191</v>
      </c>
    </row>
    <row r="8" spans="1:7" ht="48" customHeight="1">
      <c r="A8" s="2" t="s">
        <v>806</v>
      </c>
      <c r="B8" s="2" t="s">
        <v>1817</v>
      </c>
      <c r="C8" s="2" t="s">
        <v>108</v>
      </c>
      <c r="D8" s="2" t="s">
        <v>108</v>
      </c>
      <c r="E8" s="2" t="s">
        <v>3189</v>
      </c>
      <c r="F8" s="2" t="s">
        <v>3190</v>
      </c>
      <c r="G8" s="2" t="s">
        <v>3191</v>
      </c>
    </row>
    <row r="9" spans="1:7" ht="48" customHeight="1">
      <c r="A9" s="2" t="s">
        <v>1791</v>
      </c>
      <c r="B9" s="2" t="s">
        <v>463</v>
      </c>
      <c r="C9" s="2" t="s">
        <v>108</v>
      </c>
      <c r="D9" s="2" t="s">
        <v>108</v>
      </c>
      <c r="E9" s="2" t="s">
        <v>3189</v>
      </c>
      <c r="F9" s="2" t="s">
        <v>3190</v>
      </c>
      <c r="G9" s="2" t="s">
        <v>3191</v>
      </c>
    </row>
    <row r="10" spans="1:7" ht="48" customHeight="1">
      <c r="A10" s="2" t="s">
        <v>1791</v>
      </c>
      <c r="B10" s="2" t="s">
        <v>522</v>
      </c>
      <c r="C10" s="2" t="s">
        <v>108</v>
      </c>
      <c r="D10" s="2" t="s">
        <v>108</v>
      </c>
      <c r="E10" s="2" t="s">
        <v>3189</v>
      </c>
      <c r="F10" s="2" t="s">
        <v>3190</v>
      </c>
      <c r="G10" s="2" t="s">
        <v>3191</v>
      </c>
    </row>
    <row r="11" spans="1:7" ht="48" customHeight="1">
      <c r="A11" s="2" t="s">
        <v>1791</v>
      </c>
      <c r="B11" s="2" t="s">
        <v>749</v>
      </c>
      <c r="C11" s="2" t="s">
        <v>108</v>
      </c>
      <c r="D11" s="2" t="s">
        <v>108</v>
      </c>
      <c r="E11" s="2" t="s">
        <v>3189</v>
      </c>
      <c r="F11" s="2" t="s">
        <v>3190</v>
      </c>
      <c r="G11" s="2" t="s">
        <v>3191</v>
      </c>
    </row>
    <row r="12" spans="1:7" ht="48" customHeight="1">
      <c r="A12" s="2" t="s">
        <v>1791</v>
      </c>
      <c r="B12" s="2" t="s">
        <v>787</v>
      </c>
      <c r="C12" s="2" t="s">
        <v>108</v>
      </c>
      <c r="D12" s="2" t="s">
        <v>108</v>
      </c>
      <c r="E12" s="2" t="s">
        <v>3189</v>
      </c>
      <c r="F12" s="2" t="s">
        <v>3190</v>
      </c>
      <c r="G12" s="2" t="s">
        <v>3191</v>
      </c>
    </row>
    <row r="13" spans="1:7" ht="48" customHeight="1">
      <c r="A13" s="2" t="s">
        <v>1791</v>
      </c>
      <c r="B13" s="2" t="s">
        <v>489</v>
      </c>
      <c r="C13" s="2" t="s">
        <v>108</v>
      </c>
      <c r="D13" s="2" t="s">
        <v>108</v>
      </c>
      <c r="E13" s="2" t="s">
        <v>3189</v>
      </c>
      <c r="F13" s="2" t="s">
        <v>3190</v>
      </c>
      <c r="G13" s="2" t="s">
        <v>3191</v>
      </c>
    </row>
    <row r="14" spans="1:7" ht="48" customHeight="1">
      <c r="A14" s="2" t="s">
        <v>1791</v>
      </c>
      <c r="B14" s="2" t="s">
        <v>1177</v>
      </c>
      <c r="C14" s="2" t="s">
        <v>108</v>
      </c>
      <c r="D14" s="2" t="s">
        <v>108</v>
      </c>
      <c r="E14" s="2" t="s">
        <v>3189</v>
      </c>
      <c r="F14" s="2" t="s">
        <v>3190</v>
      </c>
      <c r="G14" s="2" t="s">
        <v>3191</v>
      </c>
    </row>
    <row r="15" spans="1:7" ht="48" customHeight="1">
      <c r="A15" s="2" t="s">
        <v>1817</v>
      </c>
      <c r="B15" s="2" t="s">
        <v>610</v>
      </c>
      <c r="C15" s="2" t="s">
        <v>108</v>
      </c>
      <c r="D15" s="2" t="s">
        <v>108</v>
      </c>
      <c r="E15" s="2" t="s">
        <v>3189</v>
      </c>
      <c r="F15" s="2" t="s">
        <v>3190</v>
      </c>
      <c r="G15" s="2" t="s">
        <v>3191</v>
      </c>
    </row>
    <row r="16" spans="1:7" ht="48" customHeight="1">
      <c r="A16" s="2" t="s">
        <v>1817</v>
      </c>
      <c r="B16" s="2" t="s">
        <v>622</v>
      </c>
      <c r="C16" s="2" t="s">
        <v>108</v>
      </c>
      <c r="D16" s="2" t="s">
        <v>108</v>
      </c>
      <c r="E16" s="2" t="s">
        <v>3189</v>
      </c>
      <c r="F16" s="2" t="s">
        <v>3190</v>
      </c>
      <c r="G16" s="2" t="s">
        <v>3191</v>
      </c>
    </row>
    <row r="17" spans="1:7" ht="48" customHeight="1">
      <c r="A17" s="2" t="s">
        <v>1817</v>
      </c>
      <c r="B17" s="2" t="s">
        <v>629</v>
      </c>
      <c r="C17" s="2" t="s">
        <v>108</v>
      </c>
      <c r="D17" s="2" t="s">
        <v>108</v>
      </c>
      <c r="E17" s="2" t="s">
        <v>3189</v>
      </c>
      <c r="F17" s="2" t="s">
        <v>3190</v>
      </c>
      <c r="G17" s="2" t="s">
        <v>3191</v>
      </c>
    </row>
    <row r="18" spans="1:7" ht="48" customHeight="1">
      <c r="A18" s="2" t="s">
        <v>1817</v>
      </c>
      <c r="B18" s="2" t="s">
        <v>648</v>
      </c>
      <c r="C18" s="2" t="s">
        <v>108</v>
      </c>
      <c r="D18" s="2" t="s">
        <v>108</v>
      </c>
      <c r="E18" s="2" t="s">
        <v>3189</v>
      </c>
      <c r="F18" s="2" t="s">
        <v>3190</v>
      </c>
      <c r="G18" s="2" t="s">
        <v>3191</v>
      </c>
    </row>
    <row r="19" spans="1:7" ht="48" customHeight="1">
      <c r="A19" s="2" t="s">
        <v>1821</v>
      </c>
      <c r="B19" s="2" t="s">
        <v>812</v>
      </c>
      <c r="C19" s="2" t="s">
        <v>1243</v>
      </c>
      <c r="D19" s="2" t="s">
        <v>1243</v>
      </c>
      <c r="E19" s="2" t="s">
        <v>3189</v>
      </c>
      <c r="F19" s="2" t="s">
        <v>3190</v>
      </c>
      <c r="G19" s="2" t="s">
        <v>3191</v>
      </c>
    </row>
    <row r="20" spans="1:7" ht="48" customHeight="1">
      <c r="A20" s="2" t="s">
        <v>1821</v>
      </c>
      <c r="B20" s="2" t="s">
        <v>1455</v>
      </c>
      <c r="C20" s="2" t="s">
        <v>1243</v>
      </c>
      <c r="D20" s="2" t="s">
        <v>1243</v>
      </c>
      <c r="E20" s="2" t="s">
        <v>3189</v>
      </c>
      <c r="F20" s="2" t="s">
        <v>3190</v>
      </c>
      <c r="G20" s="2" t="s">
        <v>3191</v>
      </c>
    </row>
    <row r="21" spans="1:7" ht="48" customHeight="1">
      <c r="A21" s="2" t="s">
        <v>1821</v>
      </c>
      <c r="B21" s="2" t="s">
        <v>1766</v>
      </c>
      <c r="C21" s="2" t="s">
        <v>1243</v>
      </c>
      <c r="D21" s="2" t="s">
        <v>1243</v>
      </c>
      <c r="E21" s="2" t="s">
        <v>3189</v>
      </c>
      <c r="F21" s="2" t="s">
        <v>3190</v>
      </c>
      <c r="G21" s="2" t="s">
        <v>3191</v>
      </c>
    </row>
    <row r="22" spans="1:7" ht="48" customHeight="1">
      <c r="A22" s="2" t="s">
        <v>1821</v>
      </c>
      <c r="B22" s="2" t="s">
        <v>1349</v>
      </c>
      <c r="C22" s="2" t="s">
        <v>1243</v>
      </c>
      <c r="D22" s="2" t="s">
        <v>1243</v>
      </c>
      <c r="E22" s="2" t="s">
        <v>3189</v>
      </c>
      <c r="F22" s="2" t="s">
        <v>3190</v>
      </c>
      <c r="G22" s="2" t="s">
        <v>3191</v>
      </c>
    </row>
    <row r="23" spans="1:7" ht="48" customHeight="1">
      <c r="A23" s="2" t="s">
        <v>1821</v>
      </c>
      <c r="B23" s="2" t="s">
        <v>1356</v>
      </c>
      <c r="C23" s="2" t="s">
        <v>1243</v>
      </c>
      <c r="D23" s="2" t="s">
        <v>1243</v>
      </c>
      <c r="E23" s="2" t="s">
        <v>3189</v>
      </c>
      <c r="F23" s="2" t="s">
        <v>3190</v>
      </c>
      <c r="G23" s="2" t="s">
        <v>3191</v>
      </c>
    </row>
    <row r="24" spans="1:7" ht="48" customHeight="1">
      <c r="A24" s="2" t="s">
        <v>1821</v>
      </c>
      <c r="B24" s="2" t="s">
        <v>1367</v>
      </c>
      <c r="C24" s="2" t="s">
        <v>1243</v>
      </c>
      <c r="D24" s="2" t="s">
        <v>1243</v>
      </c>
      <c r="E24" s="2" t="s">
        <v>3189</v>
      </c>
      <c r="F24" s="2" t="s">
        <v>3190</v>
      </c>
      <c r="G24" s="2" t="s">
        <v>3191</v>
      </c>
    </row>
    <row r="25" spans="1:7" ht="48" customHeight="1">
      <c r="A25" s="2" t="s">
        <v>1821</v>
      </c>
      <c r="B25" s="2" t="s">
        <v>1377</v>
      </c>
      <c r="C25" s="2" t="s">
        <v>1243</v>
      </c>
      <c r="D25" s="2" t="s">
        <v>1243</v>
      </c>
      <c r="E25" s="2" t="s">
        <v>3189</v>
      </c>
      <c r="F25" s="2" t="s">
        <v>3190</v>
      </c>
      <c r="G25" s="2" t="s">
        <v>3191</v>
      </c>
    </row>
    <row r="26" spans="1:7" ht="48" customHeight="1">
      <c r="A26" s="2" t="s">
        <v>1821</v>
      </c>
      <c r="B26" s="2" t="s">
        <v>1384</v>
      </c>
      <c r="C26" s="2" t="s">
        <v>1243</v>
      </c>
      <c r="D26" s="2" t="s">
        <v>1243</v>
      </c>
      <c r="E26" s="2" t="s">
        <v>3189</v>
      </c>
      <c r="F26" s="2" t="s">
        <v>3190</v>
      </c>
      <c r="G26" s="2" t="s">
        <v>3191</v>
      </c>
    </row>
    <row r="27" spans="1:7" ht="105" customHeight="1">
      <c r="A27" s="2" t="s">
        <v>772</v>
      </c>
      <c r="B27" s="2" t="s">
        <v>476</v>
      </c>
      <c r="C27" s="2" t="s">
        <v>108</v>
      </c>
      <c r="D27" s="2" t="s">
        <v>108</v>
      </c>
      <c r="E27" s="2" t="s">
        <v>3192</v>
      </c>
      <c r="F27" s="2" t="s">
        <v>3193</v>
      </c>
      <c r="G27" s="2" t="s">
        <v>3194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84"/>
  <sheetViews>
    <sheetView workbookViewId="0"/>
  </sheetViews>
  <sheetFormatPr defaultRowHeight="14.25"/>
  <cols>
    <col min="1" max="3" width="20" customWidth="1"/>
    <col min="4" max="4" width="58" customWidth="1"/>
    <col min="5" max="6" width="20" customWidth="1"/>
    <col min="7" max="7" width="34" customWidth="1"/>
  </cols>
  <sheetData>
    <row r="1" spans="1:7" ht="36" customHeight="1">
      <c r="A1" s="37" t="s">
        <v>53</v>
      </c>
      <c r="B1" s="37" t="s">
        <v>2880</v>
      </c>
      <c r="C1" s="37" t="s">
        <v>3195</v>
      </c>
      <c r="D1" s="37" t="s">
        <v>2875</v>
      </c>
      <c r="E1" s="37" t="s">
        <v>1852</v>
      </c>
      <c r="F1" s="37" t="s">
        <v>3196</v>
      </c>
      <c r="G1" s="37" t="s">
        <v>3197</v>
      </c>
    </row>
    <row r="2" spans="1:7" ht="26.1" customHeight="1">
      <c r="A2" s="32" t="s">
        <v>522</v>
      </c>
      <c r="B2" s="48">
        <v>16</v>
      </c>
      <c r="C2" s="48">
        <v>1.7999999999999998</v>
      </c>
      <c r="D2" s="73" t="s">
        <v>3198</v>
      </c>
      <c r="E2" s="32" t="str">
        <f>IF(INDEX(Backlog!$L$2:$L$180,MATCH($A2,Backlog!$A$2:$A$180,0))="","",INDEX(Backlog!$L$2:$L$180,MATCH($A2,Backlog!$A$2:$A$180,0)))</f>
        <v>Worker 3</v>
      </c>
      <c r="F2" s="32">
        <f>IF(INDEX(Backlog!$J$2:$J$180,MATCH($A2,Backlog!$A$2:$A$180,0))="","",INDEX(Backlog!$J$2:$J$180,MATCH($A2,Backlog!$A$2:$A$180,0)))</f>
        <v>12</v>
      </c>
      <c r="G2" s="32" t="str">
        <f>IF(INDEX(Backlog!$AR$2:$AR$180,MATCH($A2,Backlog!$A$2:$A$180,0))="","",INDEX(Backlog!$AR$2:$AR$180,MATCH($A2,Backlog!$A$2:$A$180,0)))</f>
        <v>RE-ESTIMATE REQUIRED</v>
      </c>
    </row>
    <row r="3" spans="1:7" ht="26.1" customHeight="1">
      <c r="A3" s="32" t="s">
        <v>548</v>
      </c>
      <c r="B3" s="48">
        <v>8</v>
      </c>
      <c r="C3" s="48">
        <v>1.2000000000000002</v>
      </c>
      <c r="D3" s="73" t="s">
        <v>3198</v>
      </c>
      <c r="E3" s="32" t="str">
        <f>IF(INDEX(Backlog!$L$2:$L$180,MATCH($A3,Backlog!$A$2:$A$180,0))="","",INDEX(Backlog!$L$2:$L$180,MATCH($A3,Backlog!$A$2:$A$180,0)))</f>
        <v>Worker 1</v>
      </c>
      <c r="F3" s="32" t="str">
        <f>IF(INDEX(Backlog!$J$2:$J$180,MATCH($A3,Backlog!$A$2:$A$180,0))="","",INDEX(Backlog!$J$2:$J$180,MATCH($A3,Backlog!$A$2:$A$180,0)))</f>
        <v/>
      </c>
      <c r="G3" s="32" t="str">
        <f>IF(INDEX(Backlog!$AR$2:$AR$180,MATCH($A3,Backlog!$A$2:$A$180,0))="","",INDEX(Backlog!$AR$2:$AR$180,MATCH($A3,Backlog!$A$2:$A$180,0)))</f>
        <v>RE-ESTIMATE REQUIRED</v>
      </c>
    </row>
    <row r="4" spans="1:7" ht="26.1" customHeight="1">
      <c r="A4" s="32" t="s">
        <v>787</v>
      </c>
      <c r="B4" s="48"/>
      <c r="C4" s="48"/>
      <c r="D4" s="73" t="s">
        <v>3199</v>
      </c>
      <c r="E4" s="32" t="str">
        <f>IF(INDEX(Backlog!$L$2:$L$180,MATCH($A4,Backlog!$A$2:$A$180,0))="","",INDEX(Backlog!$L$2:$L$180,MATCH($A4,Backlog!$A$2:$A$180,0)))</f>
        <v>Worker 2</v>
      </c>
      <c r="F4" s="32" t="str">
        <f>IF(INDEX(Backlog!$J$2:$J$180,MATCH($A4,Backlog!$A$2:$A$180,0))="","",INDEX(Backlog!$J$2:$J$180,MATCH($A4,Backlog!$A$2:$A$180,0)))</f>
        <v/>
      </c>
      <c r="G4" s="32" t="str">
        <f>IF(INDEX(Backlog!$AR$2:$AR$180,MATCH($A4,Backlog!$A$2:$A$180,0))="","",INDEX(Backlog!$AR$2:$AR$180,MATCH($A4,Backlog!$A$2:$A$180,0)))</f>
        <v>UNESTIMATED</v>
      </c>
    </row>
    <row r="5" spans="1:7" ht="26.1" customHeight="1">
      <c r="A5" s="32" t="s">
        <v>1455</v>
      </c>
      <c r="B5" s="48"/>
      <c r="C5" s="48"/>
      <c r="D5" s="73" t="s">
        <v>3199</v>
      </c>
      <c r="E5" s="32" t="str">
        <f>IF(INDEX(Backlog!$L$2:$L$180,MATCH($A5,Backlog!$A$2:$A$180,0))="","",INDEX(Backlog!$L$2:$L$180,MATCH($A5,Backlog!$A$2:$A$180,0)))</f>
        <v>Worker 2</v>
      </c>
      <c r="F5" s="32" t="str">
        <f>IF(INDEX(Backlog!$J$2:$J$180,MATCH($A5,Backlog!$A$2:$A$180,0))="","",INDEX(Backlog!$J$2:$J$180,MATCH($A5,Backlog!$A$2:$A$180,0)))</f>
        <v/>
      </c>
      <c r="G5" s="32" t="str">
        <f>IF(INDEX(Backlog!$AR$2:$AR$180,MATCH($A5,Backlog!$A$2:$A$180,0))="","",INDEX(Backlog!$AR$2:$AR$180,MATCH($A5,Backlog!$A$2:$A$180,0)))</f>
        <v>UNESTIMATED</v>
      </c>
    </row>
    <row r="6" spans="1:7" ht="26.1" customHeight="1">
      <c r="A6" s="32" t="s">
        <v>1766</v>
      </c>
      <c r="B6" s="48"/>
      <c r="C6" s="48"/>
      <c r="D6" s="73" t="s">
        <v>3199</v>
      </c>
      <c r="E6" s="32" t="str">
        <f>IF(INDEX(Backlog!$L$2:$L$180,MATCH($A6,Backlog!$A$2:$A$180,0))="","",INDEX(Backlog!$L$2:$L$180,MATCH($A6,Backlog!$A$2:$A$180,0)))</f>
        <v>Worker 3</v>
      </c>
      <c r="F6" s="32" t="str">
        <f>IF(INDEX(Backlog!$J$2:$J$180,MATCH($A6,Backlog!$A$2:$A$180,0))="","",INDEX(Backlog!$J$2:$J$180,MATCH($A6,Backlog!$A$2:$A$180,0)))</f>
        <v/>
      </c>
      <c r="G6" s="32" t="str">
        <f>IF(INDEX(Backlog!$AR$2:$AR$180,MATCH($A6,Backlog!$A$2:$A$180,0))="","",INDEX(Backlog!$AR$2:$AR$180,MATCH($A6,Backlog!$A$2:$A$180,0)))</f>
        <v>UNESTIMATED</v>
      </c>
    </row>
    <row r="7" spans="1:7" ht="51.95" customHeight="1">
      <c r="A7" s="2" t="s">
        <v>1791</v>
      </c>
      <c r="B7" s="6">
        <v>40</v>
      </c>
      <c r="C7" s="6">
        <v>40</v>
      </c>
      <c r="D7" s="74" t="s">
        <v>3200</v>
      </c>
      <c r="E7" s="2" t="s">
        <v>36</v>
      </c>
      <c r="F7" s="2" t="str">
        <f>IF(INDEX(Backlog!$J$2:$J$180,MATCH($A7,Backlog!$A$2:$A$180,0))="","",INDEX(Backlog!$J$2:$J$180,MATCH($A7,Backlog!$A$2:$A$180,0)))</f>
        <v/>
      </c>
      <c r="G7" s="2" t="str">
        <f>IF(INDEX(Backlog!$AR$2:$AR$180,MATCH($A7,Backlog!$A$2:$A$180,0))="","",INDEX(Backlog!$AR$2:$AR$180,MATCH($A7,Backlog!$A$2:$A$180,0)))</f>
        <v>UNCONFIRMED DESIGN ESTIMATE</v>
      </c>
    </row>
    <row r="8" spans="1:7" ht="51.95" customHeight="1">
      <c r="A8" s="115" t="s">
        <v>1817</v>
      </c>
      <c r="B8" s="124">
        <v>16</v>
      </c>
      <c r="C8" s="124">
        <v>16</v>
      </c>
      <c r="D8" s="125" t="s">
        <v>3200</v>
      </c>
      <c r="E8" s="115" t="s">
        <v>36</v>
      </c>
      <c r="F8" s="115" t="str">
        <f>IF(INDEX(Backlog!$J$2:$J$180,MATCH($A8,Backlog!$A$2:$A$180,0))="","",INDEX(Backlog!$J$2:$J$180,MATCH($A8,Backlog!$A$2:$A$180,0)))</f>
        <v/>
      </c>
      <c r="G8" s="115" t="str">
        <f>IF(INDEX(Backlog!$AR$2:$AR$180,MATCH($A8,Backlog!$A$2:$A$180,0))="","",INDEX(Backlog!$AR$2:$AR$180,MATCH($A8,Backlog!$A$2:$A$180,0)))</f>
        <v>RE-ESTIMATE REQUIRED — v4.11.0 visual scope delta</v>
      </c>
    </row>
    <row r="9" spans="1:7" ht="51.95" customHeight="1">
      <c r="A9" s="2" t="s">
        <v>1821</v>
      </c>
      <c r="B9" s="6">
        <v>32</v>
      </c>
      <c r="C9" s="6">
        <v>32</v>
      </c>
      <c r="D9" s="74" t="s">
        <v>3200</v>
      </c>
      <c r="E9" s="2" t="s">
        <v>36</v>
      </c>
      <c r="F9" s="2" t="str">
        <f>IF(INDEX(Backlog!$J$2:$J$180,MATCH($A9,Backlog!$A$2:$A$180,0))="","",INDEX(Backlog!$J$2:$J$180,MATCH($A9,Backlog!$A$2:$A$180,0)))</f>
        <v/>
      </c>
      <c r="G9" s="2" t="str">
        <f>IF(INDEX(Backlog!$AR$2:$AR$180,MATCH($A9,Backlog!$A$2:$A$180,0))="","",INDEX(Backlog!$AR$2:$AR$180,MATCH($A9,Backlog!$A$2:$A$180,0)))</f>
        <v>UNCONFIRMED DESIGN ESTIMATE</v>
      </c>
    </row>
    <row r="10" spans="1:7" ht="54" customHeight="1">
      <c r="A10" s="2" t="s">
        <v>489</v>
      </c>
      <c r="B10" s="6">
        <v>12</v>
      </c>
      <c r="C10" s="6">
        <v>2</v>
      </c>
      <c r="D10" s="74" t="s">
        <v>3201</v>
      </c>
      <c r="E10" s="2" t="str">
        <f>IF(INDEX(Backlog!$L$2:$L$180,MATCH($A10,Backlog!$A$2:$A$180,0))="","",INDEX(Backlog!$L$2:$L$180,MATCH($A10,Backlog!$A$2:$A$180,0)))</f>
        <v>Worker 2</v>
      </c>
      <c r="F10" s="2">
        <f>IF(INDEX(Backlog!$J$2:$J$180,MATCH($A10,Backlog!$A$2:$A$180,0))="","",INDEX(Backlog!$J$2:$J$180,MATCH($A10,Backlog!$A$2:$A$180,0)))</f>
        <v>12</v>
      </c>
      <c r="G10" s="2" t="str">
        <f>IF(INDEX(Backlog!$AR$2:$AR$180,MATCH($A10,Backlog!$A$2:$A$180,0))="","",INDEX(Backlog!$AR$2:$AR$180,MATCH($A10,Backlog!$A$2:$A$180,0)))</f>
        <v>RE-ESTIMATE REQUIRED</v>
      </c>
    </row>
    <row r="11" spans="1:7" ht="54" customHeight="1">
      <c r="A11" s="2" t="s">
        <v>508</v>
      </c>
      <c r="B11" s="6">
        <v>6</v>
      </c>
      <c r="C11" s="6">
        <v>0.89999999999999991</v>
      </c>
      <c r="D11" s="74" t="s">
        <v>3201</v>
      </c>
      <c r="E11" s="2" t="str">
        <f>IF(INDEX(Backlog!$L$2:$L$180,MATCH($A11,Backlog!$A$2:$A$180,0))="","",INDEX(Backlog!$L$2:$L$180,MATCH($A11,Backlog!$A$2:$A$180,0)))</f>
        <v>Worker 1</v>
      </c>
      <c r="F11" s="2">
        <f>IF(INDEX(Backlog!$J$2:$J$180,MATCH($A11,Backlog!$A$2:$A$180,0))="","",INDEX(Backlog!$J$2:$J$180,MATCH($A11,Backlog!$A$2:$A$180,0)))</f>
        <v>6</v>
      </c>
      <c r="G11" s="2" t="str">
        <f>IF(INDEX(Backlog!$AR$2:$AR$180,MATCH($A11,Backlog!$A$2:$A$180,0))="","",INDEX(Backlog!$AR$2:$AR$180,MATCH($A11,Backlog!$A$2:$A$180,0)))</f>
        <v>RE-ESTIMATE REQUIRED</v>
      </c>
    </row>
    <row r="12" spans="1:7" ht="54" customHeight="1">
      <c r="A12" s="2" t="s">
        <v>514</v>
      </c>
      <c r="B12" s="6">
        <v>14</v>
      </c>
      <c r="C12" s="6">
        <v>1.2000000000000002</v>
      </c>
      <c r="D12" s="74" t="s">
        <v>3201</v>
      </c>
      <c r="E12" s="2" t="str">
        <f>IF(INDEX(Backlog!$L$2:$L$180,MATCH($A12,Backlog!$A$2:$A$180,0))="","",INDEX(Backlog!$L$2:$L$180,MATCH($A12,Backlog!$A$2:$A$180,0)))</f>
        <v>Worker 1</v>
      </c>
      <c r="F12" s="2">
        <f>IF(INDEX(Backlog!$J$2:$J$180,MATCH($A12,Backlog!$A$2:$A$180,0))="","",INDEX(Backlog!$J$2:$J$180,MATCH($A12,Backlog!$A$2:$A$180,0)))</f>
        <v>14</v>
      </c>
      <c r="G12" s="2" t="str">
        <f>IF(INDEX(Backlog!$AR$2:$AR$180,MATCH($A12,Backlog!$A$2:$A$180,0))="","",INDEX(Backlog!$AR$2:$AR$180,MATCH($A12,Backlog!$A$2:$A$180,0)))</f>
        <v>RE-ESTIMATE REQUIRED</v>
      </c>
    </row>
    <row r="13" spans="1:7" ht="54" customHeight="1">
      <c r="A13" s="2" t="s">
        <v>659</v>
      </c>
      <c r="B13" s="6">
        <v>8</v>
      </c>
      <c r="C13" s="6">
        <v>3.4</v>
      </c>
      <c r="D13" s="74" t="s">
        <v>3201</v>
      </c>
      <c r="E13" s="2" t="str">
        <f>IF(INDEX(Backlog!$L$2:$L$180,MATCH($A13,Backlog!$A$2:$A$180,0))="","",INDEX(Backlog!$L$2:$L$180,MATCH($A13,Backlog!$A$2:$A$180,0)))</f>
        <v>Worker 1</v>
      </c>
      <c r="F13" s="2">
        <f>IF(INDEX(Backlog!$J$2:$J$180,MATCH($A13,Backlog!$A$2:$A$180,0))="","",INDEX(Backlog!$J$2:$J$180,MATCH($A13,Backlog!$A$2:$A$180,0)))</f>
        <v>8</v>
      </c>
      <c r="G13" s="2" t="str">
        <f>IF(INDEX(Backlog!$AR$2:$AR$180,MATCH($A13,Backlog!$A$2:$A$180,0))="","",INDEX(Backlog!$AR$2:$AR$180,MATCH($A13,Backlog!$A$2:$A$180,0)))</f>
        <v>RE-ESTIMATE REQUIRED</v>
      </c>
    </row>
    <row r="14" spans="1:7" ht="54" customHeight="1">
      <c r="A14" s="2" t="s">
        <v>696</v>
      </c>
      <c r="B14" s="6">
        <v>12</v>
      </c>
      <c r="C14" s="6">
        <v>4.8</v>
      </c>
      <c r="D14" s="74" t="s">
        <v>3201</v>
      </c>
      <c r="E14" s="2" t="str">
        <f>IF(INDEX(Backlog!$L$2:$L$180,MATCH($A14,Backlog!$A$2:$A$180,0))="","",INDEX(Backlog!$L$2:$L$180,MATCH($A14,Backlog!$A$2:$A$180,0)))</f>
        <v>Worker 2</v>
      </c>
      <c r="F14" s="2">
        <f>IF(INDEX(Backlog!$J$2:$J$180,MATCH($A14,Backlog!$A$2:$A$180,0))="","",INDEX(Backlog!$J$2:$J$180,MATCH($A14,Backlog!$A$2:$A$180,0)))</f>
        <v>12</v>
      </c>
      <c r="G14" s="2" t="str">
        <f>IF(INDEX(Backlog!$AR$2:$AR$180,MATCH($A14,Backlog!$A$2:$A$180,0))="","",INDEX(Backlog!$AR$2:$AR$180,MATCH($A14,Backlog!$A$2:$A$180,0)))</f>
        <v>RE-ESTIMATE REQUIRED</v>
      </c>
    </row>
    <row r="15" spans="1:7" ht="54" customHeight="1">
      <c r="A15" s="2" t="s">
        <v>759</v>
      </c>
      <c r="B15" s="6">
        <v>6</v>
      </c>
      <c r="C15" s="6">
        <v>2.5499999999999998</v>
      </c>
      <c r="D15" s="74" t="s">
        <v>3201</v>
      </c>
      <c r="E15" s="2" t="str">
        <f>IF(INDEX(Backlog!$L$2:$L$180,MATCH($A15,Backlog!$A$2:$A$180,0))="","",INDEX(Backlog!$L$2:$L$180,MATCH($A15,Backlog!$A$2:$A$180,0)))</f>
        <v>Worker 2</v>
      </c>
      <c r="F15" s="2">
        <f>IF(INDEX(Backlog!$J$2:$J$180,MATCH($A15,Backlog!$A$2:$A$180,0))="","",INDEX(Backlog!$J$2:$J$180,MATCH($A15,Backlog!$A$2:$A$180,0)))</f>
        <v>6</v>
      </c>
      <c r="G15" s="2" t="str">
        <f>IF(INDEX(Backlog!$AR$2:$AR$180,MATCH($A15,Backlog!$A$2:$A$180,0))="","",INDEX(Backlog!$AR$2:$AR$180,MATCH($A15,Backlog!$A$2:$A$180,0)))</f>
        <v>RE-ESTIMATE REQUIRED</v>
      </c>
    </row>
    <row r="16" spans="1:7" ht="54" customHeight="1">
      <c r="A16" s="2" t="s">
        <v>1117</v>
      </c>
      <c r="B16" s="6">
        <v>8</v>
      </c>
      <c r="C16" s="6">
        <v>1.2000000000000002</v>
      </c>
      <c r="D16" s="74" t="s">
        <v>3201</v>
      </c>
      <c r="E16" s="2" t="str">
        <f>IF(INDEX(Backlog!$L$2:$L$180,MATCH($A16,Backlog!$A$2:$A$180,0))="","",INDEX(Backlog!$L$2:$L$180,MATCH($A16,Backlog!$A$2:$A$180,0)))</f>
        <v>Worker 1</v>
      </c>
      <c r="F16" s="2">
        <f>IF(INDEX(Backlog!$J$2:$J$180,MATCH($A16,Backlog!$A$2:$A$180,0))="","",INDEX(Backlog!$J$2:$J$180,MATCH($A16,Backlog!$A$2:$A$180,0)))</f>
        <v>8</v>
      </c>
      <c r="G16" s="2" t="str">
        <f>IF(INDEX(Backlog!$AR$2:$AR$180,MATCH($A16,Backlog!$A$2:$A$180,0))="","",INDEX(Backlog!$AR$2:$AR$180,MATCH($A16,Backlog!$A$2:$A$180,0)))</f>
        <v>RE-ESTIMATE REQUIRED</v>
      </c>
    </row>
    <row r="17" spans="1:8" ht="54" customHeight="1">
      <c r="A17" s="2" t="s">
        <v>1149</v>
      </c>
      <c r="B17" s="6">
        <v>16</v>
      </c>
      <c r="C17" s="6">
        <v>1.7999999999999998</v>
      </c>
      <c r="D17" s="74" t="s">
        <v>3201</v>
      </c>
      <c r="E17" s="2" t="str">
        <f>IF(INDEX(Backlog!$L$2:$L$180,MATCH($A17,Backlog!$A$2:$A$180,0))="","",INDEX(Backlog!$L$2:$L$180,MATCH($A17,Backlog!$A$2:$A$180,0)))</f>
        <v>Worker 1</v>
      </c>
      <c r="F17" s="2">
        <f>IF(INDEX(Backlog!$J$2:$J$180,MATCH($A17,Backlog!$A$2:$A$180,0))="","",INDEX(Backlog!$J$2:$J$180,MATCH($A17,Backlog!$A$2:$A$180,0)))</f>
        <v>16</v>
      </c>
      <c r="G17" s="2" t="str">
        <f>IF(INDEX(Backlog!$AR$2:$AR$180,MATCH($A17,Backlog!$A$2:$A$180,0))="","",INDEX(Backlog!$AR$2:$AR$180,MATCH($A17,Backlog!$A$2:$A$180,0)))</f>
        <v>RE-ESTIMATE REQUIRED</v>
      </c>
    </row>
    <row r="18" spans="1:8" ht="54" customHeight="1">
      <c r="A18" s="2" t="s">
        <v>1160</v>
      </c>
      <c r="B18" s="6">
        <v>14</v>
      </c>
      <c r="C18" s="6">
        <v>3.2</v>
      </c>
      <c r="D18" s="74" t="s">
        <v>3201</v>
      </c>
      <c r="E18" s="2" t="str">
        <f>IF(INDEX(Backlog!$L$2:$L$180,MATCH($A18,Backlog!$A$2:$A$180,0))="","",INDEX(Backlog!$L$2:$L$180,MATCH($A18,Backlog!$A$2:$A$180,0)))</f>
        <v>Worker 1</v>
      </c>
      <c r="F18" s="2">
        <f>IF(INDEX(Backlog!$J$2:$J$180,MATCH($A18,Backlog!$A$2:$A$180,0))="","",INDEX(Backlog!$J$2:$J$180,MATCH($A18,Backlog!$A$2:$A$180,0)))</f>
        <v>14</v>
      </c>
      <c r="G18" s="2" t="str">
        <f>IF(INDEX(Backlog!$AR$2:$AR$180,MATCH($A18,Backlog!$A$2:$A$180,0))="","",INDEX(Backlog!$AR$2:$AR$180,MATCH($A18,Backlog!$A$2:$A$180,0)))</f>
        <v>RE-ESTIMATE REQUIRED</v>
      </c>
    </row>
    <row r="19" spans="1:8" ht="54" customHeight="1">
      <c r="A19" s="2" t="s">
        <v>1242</v>
      </c>
      <c r="B19" s="6">
        <v>24</v>
      </c>
      <c r="C19" s="6">
        <v>1.7999999999999998</v>
      </c>
      <c r="D19" s="74" t="s">
        <v>3201</v>
      </c>
      <c r="E19" s="2" t="str">
        <f>IF(INDEX(Backlog!$L$2:$L$180,MATCH($A19,Backlog!$A$2:$A$180,0))="","",INDEX(Backlog!$L$2:$L$180,MATCH($A19,Backlog!$A$2:$A$180,0)))</f>
        <v>Worker 1</v>
      </c>
      <c r="F19" s="2">
        <f>IF(INDEX(Backlog!$J$2:$J$180,MATCH($A19,Backlog!$A$2:$A$180,0))="","",INDEX(Backlog!$J$2:$J$180,MATCH($A19,Backlog!$A$2:$A$180,0)))</f>
        <v>24</v>
      </c>
      <c r="G19" s="2" t="str">
        <f>IF(INDEX(Backlog!$AR$2:$AR$180,MATCH($A19,Backlog!$A$2:$A$180,0))="","",INDEX(Backlog!$AR$2:$AR$180,MATCH($A19,Backlog!$A$2:$A$180,0)))</f>
        <v>RE-ESTIMATE REQUIRED</v>
      </c>
    </row>
    <row r="20" spans="1:8" ht="54" customHeight="1">
      <c r="A20" s="2" t="s">
        <v>1289</v>
      </c>
      <c r="B20" s="6">
        <v>12</v>
      </c>
      <c r="C20" s="6">
        <v>4.32</v>
      </c>
      <c r="D20" s="74" t="s">
        <v>3201</v>
      </c>
      <c r="E20" s="2" t="str">
        <f>IF(INDEX(Backlog!$L$2:$L$180,MATCH($A20,Backlog!$A$2:$A$180,0))="","",INDEX(Backlog!$L$2:$L$180,MATCH($A20,Backlog!$A$2:$A$180,0)))</f>
        <v>Worker 3</v>
      </c>
      <c r="F20" s="2">
        <f>IF(INDEX(Backlog!$J$2:$J$180,MATCH($A20,Backlog!$A$2:$A$180,0))="","",INDEX(Backlog!$J$2:$J$180,MATCH($A20,Backlog!$A$2:$A$180,0)))</f>
        <v>12</v>
      </c>
      <c r="G20" s="2" t="str">
        <f>IF(INDEX(Backlog!$AR$2:$AR$180,MATCH($A20,Backlog!$A$2:$A$180,0))="","",INDEX(Backlog!$AR$2:$AR$180,MATCH($A20,Backlog!$A$2:$A$180,0)))</f>
        <v>RE-ESTIMATE REQUIRED</v>
      </c>
    </row>
    <row r="21" spans="1:8" ht="54" customHeight="1">
      <c r="A21" s="2" t="s">
        <v>1296</v>
      </c>
      <c r="B21" s="6">
        <v>12</v>
      </c>
      <c r="C21" s="6">
        <v>4.32</v>
      </c>
      <c r="D21" s="74" t="s">
        <v>3201</v>
      </c>
      <c r="E21" s="2" t="str">
        <f>IF(INDEX(Backlog!$L$2:$L$180,MATCH($A21,Backlog!$A$2:$A$180,0))="","",INDEX(Backlog!$L$2:$L$180,MATCH($A21,Backlog!$A$2:$A$180,0)))</f>
        <v>Worker 3</v>
      </c>
      <c r="F21" s="2">
        <f>IF(INDEX(Backlog!$J$2:$J$180,MATCH($A21,Backlog!$A$2:$A$180,0))="","",INDEX(Backlog!$J$2:$J$180,MATCH($A21,Backlog!$A$2:$A$180,0)))</f>
        <v>12</v>
      </c>
      <c r="G21" s="2" t="str">
        <f>IF(INDEX(Backlog!$AR$2:$AR$180,MATCH($A21,Backlog!$A$2:$A$180,0))="","",INDEX(Backlog!$AR$2:$AR$180,MATCH($A21,Backlog!$A$2:$A$180,0)))</f>
        <v>RE-ESTIMATE REQUIRED</v>
      </c>
    </row>
    <row r="22" spans="1:8" ht="54" customHeight="1">
      <c r="A22" s="2" t="s">
        <v>1310</v>
      </c>
      <c r="B22" s="6">
        <v>8</v>
      </c>
      <c r="C22" s="6">
        <v>1.2000000000000002</v>
      </c>
      <c r="D22" s="74" t="s">
        <v>3201</v>
      </c>
      <c r="E22" s="2" t="str">
        <f>IF(INDEX(Backlog!$L$2:$L$180,MATCH($A22,Backlog!$A$2:$A$180,0))="","",INDEX(Backlog!$L$2:$L$180,MATCH($A22,Backlog!$A$2:$A$180,0)))</f>
        <v>Worker 1</v>
      </c>
      <c r="F22" s="2">
        <f>IF(INDEX(Backlog!$J$2:$J$180,MATCH($A22,Backlog!$A$2:$A$180,0))="","",INDEX(Backlog!$J$2:$J$180,MATCH($A22,Backlog!$A$2:$A$180,0)))</f>
        <v>8</v>
      </c>
      <c r="G22" s="2" t="str">
        <f>IF(INDEX(Backlog!$AR$2:$AR$180,MATCH($A22,Backlog!$A$2:$A$180,0))="","",INDEX(Backlog!$AR$2:$AR$180,MATCH($A22,Backlog!$A$2:$A$180,0)))</f>
        <v>RE-ESTIMATE REQUIRED</v>
      </c>
    </row>
    <row r="23" spans="1:8" ht="54" customHeight="1">
      <c r="A23" s="2" t="s">
        <v>812</v>
      </c>
      <c r="B23" s="6">
        <v>30</v>
      </c>
      <c r="C23" s="6">
        <v>11.2</v>
      </c>
      <c r="D23" s="74" t="s">
        <v>3201</v>
      </c>
      <c r="E23" s="2" t="str">
        <f>IF(INDEX(Backlog!$L$2:$L$180,MATCH($A23,Backlog!$A$2:$A$180,0))="","",INDEX(Backlog!$L$2:$L$180,MATCH($A23,Backlog!$A$2:$A$180,0)))</f>
        <v>Worker 2</v>
      </c>
      <c r="F23" s="2">
        <f>IF(INDEX(Backlog!$J$2:$J$180,MATCH($A23,Backlog!$A$2:$A$180,0))="","",INDEX(Backlog!$J$2:$J$180,MATCH($A23,Backlog!$A$2:$A$180,0)))</f>
        <v>30</v>
      </c>
      <c r="G23" s="2" t="str">
        <f>IF(INDEX(Backlog!$AR$2:$AR$180,MATCH($A23,Backlog!$A$2:$A$180,0))="","",INDEX(Backlog!$AR$2:$AR$180,MATCH($A23,Backlog!$A$2:$A$180,0)))</f>
        <v>RE-ESTIMATE REQUIRED</v>
      </c>
    </row>
    <row r="24" spans="1:8" ht="54" customHeight="1">
      <c r="A24" s="2" t="s">
        <v>1586</v>
      </c>
      <c r="B24" s="6">
        <v>8</v>
      </c>
      <c r="C24" s="6">
        <v>1.2000000000000002</v>
      </c>
      <c r="D24" s="74" t="s">
        <v>3201</v>
      </c>
      <c r="E24" s="2" t="str">
        <f>IF(INDEX(Backlog!$L$2:$L$180,MATCH($A24,Backlog!$A$2:$A$180,0))="","",INDEX(Backlog!$L$2:$L$180,MATCH($A24,Backlog!$A$2:$A$180,0)))</f>
        <v>Worker 3</v>
      </c>
      <c r="F24" s="2">
        <f>IF(INDEX(Backlog!$J$2:$J$180,MATCH($A24,Backlog!$A$2:$A$180,0))="","",INDEX(Backlog!$J$2:$J$180,MATCH($A24,Backlog!$A$2:$A$180,0)))</f>
        <v>8</v>
      </c>
      <c r="G24" s="2" t="str">
        <f>IF(INDEX(Backlog!$AR$2:$AR$180,MATCH($A24,Backlog!$A$2:$A$180,0))="","",INDEX(Backlog!$AR$2:$AR$180,MATCH($A24,Backlog!$A$2:$A$180,0)))</f>
        <v>RE-ESTIMATE REQUIRED</v>
      </c>
    </row>
    <row r="25" spans="1:8" ht="54" customHeight="1">
      <c r="A25" s="2" t="s">
        <v>1593</v>
      </c>
      <c r="B25" s="6">
        <v>10</v>
      </c>
      <c r="C25" s="6">
        <v>1.5</v>
      </c>
      <c r="D25" s="74" t="s">
        <v>3201</v>
      </c>
      <c r="E25" s="2" t="str">
        <f>IF(INDEX(Backlog!$L$2:$L$180,MATCH($A25,Backlog!$A$2:$A$180,0))="","",INDEX(Backlog!$L$2:$L$180,MATCH($A25,Backlog!$A$2:$A$180,0)))</f>
        <v>Worker 3</v>
      </c>
      <c r="F25" s="2">
        <f>IF(INDEX(Backlog!$J$2:$J$180,MATCH($A25,Backlog!$A$2:$A$180,0))="","",INDEX(Backlog!$J$2:$J$180,MATCH($A25,Backlog!$A$2:$A$180,0)))</f>
        <v>10</v>
      </c>
      <c r="G25" s="2" t="str">
        <f>IF(INDEX(Backlog!$AR$2:$AR$180,MATCH($A25,Backlog!$A$2:$A$180,0))="","",INDEX(Backlog!$AR$2:$AR$180,MATCH($A25,Backlog!$A$2:$A$180,0)))</f>
        <v>RE-ESTIMATE REQUIRED</v>
      </c>
    </row>
    <row r="26" spans="1:8" ht="54" customHeight="1">
      <c r="A26" s="2" t="s">
        <v>1625</v>
      </c>
      <c r="B26" s="6">
        <v>12</v>
      </c>
      <c r="C26" s="6">
        <v>7.2</v>
      </c>
      <c r="D26" s="74" t="s">
        <v>3201</v>
      </c>
      <c r="E26" s="2" t="str">
        <f>IF(INDEX(Backlog!$L$2:$L$180,MATCH($A26,Backlog!$A$2:$A$180,0))="","",INDEX(Backlog!$L$2:$L$180,MATCH($A26,Backlog!$A$2:$A$180,0)))</f>
        <v>Worker 1</v>
      </c>
      <c r="F26" s="2">
        <f>IF(INDEX(Backlog!$J$2:$J$180,MATCH($A26,Backlog!$A$2:$A$180,0))="","",INDEX(Backlog!$J$2:$J$180,MATCH($A26,Backlog!$A$2:$A$180,0)))</f>
        <v>12</v>
      </c>
      <c r="G26" s="2" t="str">
        <f>IF(INDEX(Backlog!$AR$2:$AR$180,MATCH($A26,Backlog!$A$2:$A$180,0))="","",INDEX(Backlog!$AR$2:$AR$180,MATCH($A26,Backlog!$A$2:$A$180,0)))</f>
        <v>RE-ESTIMATE REQUIRED</v>
      </c>
    </row>
    <row r="27" spans="1:8" ht="54" customHeight="1">
      <c r="A27" s="2" t="s">
        <v>1655</v>
      </c>
      <c r="B27" s="6">
        <v>12</v>
      </c>
      <c r="C27" s="6">
        <v>1.7999999999999998</v>
      </c>
      <c r="D27" s="74" t="s">
        <v>3201</v>
      </c>
      <c r="E27" s="2" t="str">
        <f>IF(INDEX(Backlog!$L$2:$L$180,MATCH($A27,Backlog!$A$2:$A$180,0))="","",INDEX(Backlog!$L$2:$L$180,MATCH($A27,Backlog!$A$2:$A$180,0)))</f>
        <v>Worker 3</v>
      </c>
      <c r="F27" s="2">
        <f>IF(INDEX(Backlog!$J$2:$J$180,MATCH($A27,Backlog!$A$2:$A$180,0))="","",INDEX(Backlog!$J$2:$J$180,MATCH($A27,Backlog!$A$2:$A$180,0)))</f>
        <v>12</v>
      </c>
      <c r="G27" s="2" t="str">
        <f>IF(INDEX(Backlog!$AR$2:$AR$180,MATCH($A27,Backlog!$A$2:$A$180,0))="","",INDEX(Backlog!$AR$2:$AR$180,MATCH($A27,Backlog!$A$2:$A$180,0)))</f>
        <v>RE-ESTIMATE REQUIRED</v>
      </c>
    </row>
    <row r="28" spans="1:8" ht="54" customHeight="1">
      <c r="A28" s="2" t="s">
        <v>1685</v>
      </c>
      <c r="B28" s="6">
        <v>12</v>
      </c>
      <c r="C28" s="6">
        <v>2</v>
      </c>
      <c r="D28" s="74" t="s">
        <v>3201</v>
      </c>
      <c r="E28" s="2" t="str">
        <f>IF(INDEX(Backlog!$L$2:$L$180,MATCH($A28,Backlog!$A$2:$A$180,0))="","",INDEX(Backlog!$L$2:$L$180,MATCH($A28,Backlog!$A$2:$A$180,0)))</f>
        <v>Worker 3</v>
      </c>
      <c r="F28" s="2">
        <f>IF(INDEX(Backlog!$J$2:$J$180,MATCH($A28,Backlog!$A$2:$A$180,0))="","",INDEX(Backlog!$J$2:$J$180,MATCH($A28,Backlog!$A$2:$A$180,0)))</f>
        <v>12</v>
      </c>
      <c r="G28" s="2" t="str">
        <f>IF(INDEX(Backlog!$AR$2:$AR$180,MATCH($A28,Backlog!$A$2:$A$180,0))="","",INDEX(Backlog!$AR$2:$AR$180,MATCH($A28,Backlog!$A$2:$A$180,0)))</f>
        <v>RE-ESTIMATE REQUIRED</v>
      </c>
    </row>
    <row r="32" spans="1:8" ht="32.1" customHeight="1">
      <c r="A32" s="126" t="s">
        <v>3202</v>
      </c>
      <c r="B32" s="126"/>
      <c r="C32" s="126"/>
      <c r="D32" s="126"/>
      <c r="E32" s="126"/>
      <c r="F32" s="126"/>
      <c r="G32" s="126"/>
      <c r="H32" s="126"/>
    </row>
    <row r="33" spans="1:8" ht="32.1" customHeight="1">
      <c r="A33" s="85" t="s">
        <v>2392</v>
      </c>
      <c r="B33" s="85" t="s">
        <v>3203</v>
      </c>
      <c r="C33" s="85" t="s">
        <v>3204</v>
      </c>
      <c r="D33" s="85" t="s">
        <v>3205</v>
      </c>
      <c r="E33" s="85" t="s">
        <v>3206</v>
      </c>
      <c r="F33" s="85" t="s">
        <v>3207</v>
      </c>
      <c r="G33" s="85" t="s">
        <v>3208</v>
      </c>
      <c r="H33" s="85" t="s">
        <v>3209</v>
      </c>
    </row>
    <row r="34" spans="1:8" ht="99.95" customHeight="1">
      <c r="A34" s="2" t="s">
        <v>425</v>
      </c>
      <c r="B34" s="2" t="s">
        <v>3210</v>
      </c>
      <c r="C34" s="90">
        <f>INDEX('Source Review'!$F$2:$F$52,MATCH($A34,'Source Review'!$A$2:$A$52,0))</f>
        <v>0</v>
      </c>
      <c r="D34" s="90">
        <f>INDEX('Source Review'!$G$2:$G$52,MATCH($A34,'Source Review'!$A$2:$A$52,0))</f>
        <v>0</v>
      </c>
      <c r="E34" s="90">
        <f>INDEX('Source Review'!$H$2:$H$52,MATCH($A34,'Source Review'!$A$2:$A$52,0))</f>
        <v>0</v>
      </c>
      <c r="F34" s="2" t="s">
        <v>3211</v>
      </c>
      <c r="G34" s="2" t="s">
        <v>3212</v>
      </c>
      <c r="H34" s="2" t="s">
        <v>3213</v>
      </c>
    </row>
    <row r="35" spans="1:8" ht="99.95" customHeight="1">
      <c r="A35" s="2" t="s">
        <v>439</v>
      </c>
      <c r="B35" s="2" t="s">
        <v>3210</v>
      </c>
      <c r="C35" s="90">
        <f>INDEX('Source Review'!$F$2:$F$52,MATCH($A35,'Source Review'!$A$2:$A$52,0))</f>
        <v>0</v>
      </c>
      <c r="D35" s="90">
        <f>INDEX('Source Review'!$G$2:$G$52,MATCH($A35,'Source Review'!$A$2:$A$52,0))</f>
        <v>0</v>
      </c>
      <c r="E35" s="90">
        <f>INDEX('Source Review'!$H$2:$H$52,MATCH($A35,'Source Review'!$A$2:$A$52,0))</f>
        <v>0</v>
      </c>
      <c r="F35" s="2" t="s">
        <v>3214</v>
      </c>
      <c r="G35" s="2" t="s">
        <v>3215</v>
      </c>
      <c r="H35" s="2" t="s">
        <v>3216</v>
      </c>
    </row>
    <row r="36" spans="1:8" ht="99.95" customHeight="1">
      <c r="A36" s="2" t="s">
        <v>445</v>
      </c>
      <c r="B36" s="2" t="s">
        <v>3217</v>
      </c>
      <c r="C36" s="90">
        <f>INDEX('Source Review'!$F$2:$F$52,MATCH($A36,'Source Review'!$A$2:$A$52,0))</f>
        <v>0</v>
      </c>
      <c r="D36" s="90">
        <f>INDEX('Source Review'!$G$2:$G$52,MATCH($A36,'Source Review'!$A$2:$A$52,0))</f>
        <v>0</v>
      </c>
      <c r="E36" s="90">
        <f>INDEX('Source Review'!$H$2:$H$52,MATCH($A36,'Source Review'!$A$2:$A$52,0))</f>
        <v>0</v>
      </c>
      <c r="F36" s="2" t="s">
        <v>3218</v>
      </c>
      <c r="G36" s="2" t="s">
        <v>3219</v>
      </c>
      <c r="H36" s="2" t="s">
        <v>3220</v>
      </c>
    </row>
    <row r="37" spans="1:8" ht="99.95" customHeight="1">
      <c r="A37" s="2" t="s">
        <v>451</v>
      </c>
      <c r="B37" s="2" t="s">
        <v>3221</v>
      </c>
      <c r="C37" s="90">
        <f>INDEX('Source Review'!$F$2:$F$52,MATCH($A37,'Source Review'!$A$2:$A$52,0))</f>
        <v>6</v>
      </c>
      <c r="D37" s="90">
        <f>INDEX('Source Review'!$G$2:$G$52,MATCH($A37,'Source Review'!$A$2:$A$52,0))</f>
        <v>9</v>
      </c>
      <c r="E37" s="90">
        <f>INDEX('Source Review'!$H$2:$H$52,MATCH($A37,'Source Review'!$A$2:$A$52,0))</f>
        <v>14</v>
      </c>
      <c r="F37" s="2" t="s">
        <v>3222</v>
      </c>
      <c r="G37" s="2" t="s">
        <v>3223</v>
      </c>
      <c r="H37" s="2" t="s">
        <v>3224</v>
      </c>
    </row>
    <row r="38" spans="1:8" ht="99.95" customHeight="1">
      <c r="A38" s="2" t="s">
        <v>463</v>
      </c>
      <c r="B38" s="2" t="s">
        <v>3225</v>
      </c>
      <c r="C38" s="90">
        <f>INDEX('Source Review'!$F$2:$F$52,MATCH($A38,'Source Review'!$A$2:$A$52,0))</f>
        <v>0</v>
      </c>
      <c r="D38" s="90">
        <f>INDEX('Source Review'!$G$2:$G$52,MATCH($A38,'Source Review'!$A$2:$A$52,0))</f>
        <v>0</v>
      </c>
      <c r="E38" s="90">
        <f>INDEX('Source Review'!$H$2:$H$52,MATCH($A38,'Source Review'!$A$2:$A$52,0))</f>
        <v>0</v>
      </c>
      <c r="F38" s="2" t="s">
        <v>3226</v>
      </c>
      <c r="G38" s="2" t="s">
        <v>3227</v>
      </c>
      <c r="H38" s="2" t="s">
        <v>3228</v>
      </c>
    </row>
    <row r="39" spans="1:8" ht="99.95" customHeight="1">
      <c r="A39" s="2" t="s">
        <v>476</v>
      </c>
      <c r="B39" s="2" t="s">
        <v>31</v>
      </c>
      <c r="C39" s="90" t="str">
        <f>INDEX('Source Review'!$F$2:$F$52,MATCH($A39,'Source Review'!$A$2:$A$52,0))</f>
        <v>UNCONFIRMED</v>
      </c>
      <c r="D39" s="90" t="str">
        <f>INDEX('Source Review'!$G$2:$G$52,MATCH($A39,'Source Review'!$A$2:$A$52,0))</f>
        <v>UNCONFIRMED</v>
      </c>
      <c r="E39" s="90" t="str">
        <f>INDEX('Source Review'!$H$2:$H$52,MATCH($A39,'Source Review'!$A$2:$A$52,0))</f>
        <v>UNCONFIRMED</v>
      </c>
      <c r="F39" s="2" t="s">
        <v>484</v>
      </c>
      <c r="G39" s="2" t="s">
        <v>3229</v>
      </c>
      <c r="H39" s="2" t="s">
        <v>3230</v>
      </c>
    </row>
    <row r="40" spans="1:8" ht="99.95" customHeight="1">
      <c r="A40" s="2" t="s">
        <v>489</v>
      </c>
      <c r="B40" s="2" t="s">
        <v>3231</v>
      </c>
      <c r="C40" s="90">
        <f>INDEX('Source Review'!$F$2:$F$52,MATCH($A40,'Source Review'!$A$2:$A$52,0))</f>
        <v>12</v>
      </c>
      <c r="D40" s="90">
        <f>INDEX('Source Review'!$G$2:$G$52,MATCH($A40,'Source Review'!$A$2:$A$52,0))</f>
        <v>18</v>
      </c>
      <c r="E40" s="90">
        <f>INDEX('Source Review'!$H$2:$H$52,MATCH($A40,'Source Review'!$A$2:$A$52,0))</f>
        <v>28</v>
      </c>
      <c r="F40" s="2" t="s">
        <v>3232</v>
      </c>
      <c r="G40" s="2" t="s">
        <v>3233</v>
      </c>
      <c r="H40" s="2" t="s">
        <v>3234</v>
      </c>
    </row>
    <row r="41" spans="1:8" ht="99.95" customHeight="1">
      <c r="A41" s="2" t="s">
        <v>498</v>
      </c>
      <c r="B41" s="2" t="s">
        <v>3235</v>
      </c>
      <c r="C41" s="90">
        <f>INDEX('Source Review'!$F$2:$F$52,MATCH($A41,'Source Review'!$A$2:$A$52,0))</f>
        <v>4</v>
      </c>
      <c r="D41" s="90">
        <f>INDEX('Source Review'!$G$2:$G$52,MATCH($A41,'Source Review'!$A$2:$A$52,0))</f>
        <v>7</v>
      </c>
      <c r="E41" s="90">
        <f>INDEX('Source Review'!$H$2:$H$52,MATCH($A41,'Source Review'!$A$2:$A$52,0))</f>
        <v>12</v>
      </c>
      <c r="F41" s="2" t="s">
        <v>3236</v>
      </c>
      <c r="G41" s="2" t="s">
        <v>3237</v>
      </c>
      <c r="H41" s="2" t="s">
        <v>3238</v>
      </c>
    </row>
    <row r="42" spans="1:8" ht="99.95" customHeight="1">
      <c r="A42" s="2" t="s">
        <v>508</v>
      </c>
      <c r="B42" s="2" t="s">
        <v>3239</v>
      </c>
      <c r="C42" s="90">
        <f>INDEX('Source Review'!$F$2:$F$52,MATCH($A42,'Source Review'!$A$2:$A$52,0))</f>
        <v>4</v>
      </c>
      <c r="D42" s="90">
        <f>INDEX('Source Review'!$G$2:$G$52,MATCH($A42,'Source Review'!$A$2:$A$52,0))</f>
        <v>6</v>
      </c>
      <c r="E42" s="90">
        <f>INDEX('Source Review'!$H$2:$H$52,MATCH($A42,'Source Review'!$A$2:$A$52,0))</f>
        <v>10</v>
      </c>
      <c r="F42" s="2" t="s">
        <v>3240</v>
      </c>
      <c r="G42" s="2" t="s">
        <v>3241</v>
      </c>
      <c r="H42" s="2" t="s">
        <v>3242</v>
      </c>
    </row>
    <row r="43" spans="1:8" ht="99.95" customHeight="1">
      <c r="A43" s="2" t="s">
        <v>514</v>
      </c>
      <c r="B43" s="2" t="s">
        <v>3243</v>
      </c>
      <c r="C43" s="90">
        <f>INDEX('Source Review'!$F$2:$F$52,MATCH($A43,'Source Review'!$A$2:$A$52,0))</f>
        <v>8</v>
      </c>
      <c r="D43" s="90">
        <f>INDEX('Source Review'!$G$2:$G$52,MATCH($A43,'Source Review'!$A$2:$A$52,0))</f>
        <v>14</v>
      </c>
      <c r="E43" s="90">
        <f>INDEX('Source Review'!$H$2:$H$52,MATCH($A43,'Source Review'!$A$2:$A$52,0))</f>
        <v>22</v>
      </c>
      <c r="F43" s="2" t="s">
        <v>3244</v>
      </c>
      <c r="G43" s="2" t="s">
        <v>3245</v>
      </c>
      <c r="H43" s="2" t="s">
        <v>3246</v>
      </c>
    </row>
    <row r="44" spans="1:8" ht="99.95" customHeight="1">
      <c r="A44" s="2" t="s">
        <v>522</v>
      </c>
      <c r="B44" s="2" t="s">
        <v>3247</v>
      </c>
      <c r="C44" s="90">
        <f>INDEX('Source Review'!$F$2:$F$52,MATCH($A44,'Source Review'!$A$2:$A$52,0))</f>
        <v>18</v>
      </c>
      <c r="D44" s="90">
        <f>INDEX('Source Review'!$G$2:$G$52,MATCH($A44,'Source Review'!$A$2:$A$52,0))</f>
        <v>28</v>
      </c>
      <c r="E44" s="90">
        <f>INDEX('Source Review'!$H$2:$H$52,MATCH($A44,'Source Review'!$A$2:$A$52,0))</f>
        <v>44</v>
      </c>
      <c r="F44" s="2" t="s">
        <v>3248</v>
      </c>
      <c r="G44" s="2" t="s">
        <v>3249</v>
      </c>
      <c r="H44" s="2" t="s">
        <v>3250</v>
      </c>
    </row>
    <row r="45" spans="1:8" ht="99.95" customHeight="1">
      <c r="A45" s="2" t="s">
        <v>539</v>
      </c>
      <c r="B45" s="2" t="s">
        <v>3251</v>
      </c>
      <c r="C45" s="90">
        <f>INDEX('Source Review'!$F$2:$F$52,MATCH($A45,'Source Review'!$A$2:$A$52,0))</f>
        <v>12</v>
      </c>
      <c r="D45" s="90">
        <f>INDEX('Source Review'!$G$2:$G$52,MATCH($A45,'Source Review'!$A$2:$A$52,0))</f>
        <v>20</v>
      </c>
      <c r="E45" s="90">
        <f>INDEX('Source Review'!$H$2:$H$52,MATCH($A45,'Source Review'!$A$2:$A$52,0))</f>
        <v>32</v>
      </c>
      <c r="F45" s="2" t="s">
        <v>3252</v>
      </c>
      <c r="G45" s="2" t="s">
        <v>3253</v>
      </c>
      <c r="H45" s="2" t="s">
        <v>3254</v>
      </c>
    </row>
    <row r="46" spans="1:8" ht="99.95" customHeight="1">
      <c r="A46" s="2" t="s">
        <v>548</v>
      </c>
      <c r="B46" s="2" t="s">
        <v>3255</v>
      </c>
      <c r="C46" s="90">
        <f>INDEX('Source Review'!$F$2:$F$52,MATCH($A46,'Source Review'!$A$2:$A$52,0))</f>
        <v>22</v>
      </c>
      <c r="D46" s="90">
        <f>INDEX('Source Review'!$G$2:$G$52,MATCH($A46,'Source Review'!$A$2:$A$52,0))</f>
        <v>34</v>
      </c>
      <c r="E46" s="90">
        <f>INDEX('Source Review'!$H$2:$H$52,MATCH($A46,'Source Review'!$A$2:$A$52,0))</f>
        <v>52</v>
      </c>
      <c r="F46" s="2" t="s">
        <v>3256</v>
      </c>
      <c r="G46" s="2" t="s">
        <v>3257</v>
      </c>
      <c r="H46" s="2" t="s">
        <v>3258</v>
      </c>
    </row>
    <row r="47" spans="1:8" ht="99.95" customHeight="1">
      <c r="A47" s="2" t="s">
        <v>559</v>
      </c>
      <c r="B47" s="2" t="s">
        <v>3259</v>
      </c>
      <c r="C47" s="90">
        <f>INDEX('Source Review'!$F$2:$F$52,MATCH($A47,'Source Review'!$A$2:$A$52,0))</f>
        <v>6</v>
      </c>
      <c r="D47" s="90">
        <f>INDEX('Source Review'!$G$2:$G$52,MATCH($A47,'Source Review'!$A$2:$A$52,0))</f>
        <v>10</v>
      </c>
      <c r="E47" s="90">
        <f>INDEX('Source Review'!$H$2:$H$52,MATCH($A47,'Source Review'!$A$2:$A$52,0))</f>
        <v>18</v>
      </c>
      <c r="F47" s="2" t="s">
        <v>3260</v>
      </c>
      <c r="G47" s="2" t="s">
        <v>3261</v>
      </c>
      <c r="H47" s="2" t="s">
        <v>3262</v>
      </c>
    </row>
    <row r="48" spans="1:8" ht="99.95" customHeight="1">
      <c r="A48" s="2" t="s">
        <v>567</v>
      </c>
      <c r="B48" s="2" t="s">
        <v>3263</v>
      </c>
      <c r="C48" s="90">
        <f>INDEX('Source Review'!$F$2:$F$52,MATCH($A48,'Source Review'!$A$2:$A$52,0))</f>
        <v>0</v>
      </c>
      <c r="D48" s="90">
        <f>INDEX('Source Review'!$G$2:$G$52,MATCH($A48,'Source Review'!$A$2:$A$52,0))</f>
        <v>0</v>
      </c>
      <c r="E48" s="90">
        <f>INDEX('Source Review'!$H$2:$H$52,MATCH($A48,'Source Review'!$A$2:$A$52,0))</f>
        <v>0</v>
      </c>
      <c r="F48" s="2" t="s">
        <v>3264</v>
      </c>
      <c r="G48" s="2" t="s">
        <v>3265</v>
      </c>
      <c r="H48" s="2" t="s">
        <v>3266</v>
      </c>
    </row>
    <row r="49" spans="1:8" ht="99.95" customHeight="1">
      <c r="A49" s="2" t="s">
        <v>579</v>
      </c>
      <c r="B49" s="2" t="s">
        <v>3267</v>
      </c>
      <c r="C49" s="90">
        <f>INDEX('Source Review'!$F$2:$F$52,MATCH($A49,'Source Review'!$A$2:$A$52,0))</f>
        <v>6</v>
      </c>
      <c r="D49" s="90">
        <f>INDEX('Source Review'!$G$2:$G$52,MATCH($A49,'Source Review'!$A$2:$A$52,0))</f>
        <v>9</v>
      </c>
      <c r="E49" s="90">
        <f>INDEX('Source Review'!$H$2:$H$52,MATCH($A49,'Source Review'!$A$2:$A$52,0))</f>
        <v>14</v>
      </c>
      <c r="F49" s="2" t="s">
        <v>3268</v>
      </c>
      <c r="G49" s="2" t="s">
        <v>3269</v>
      </c>
      <c r="H49" s="2" t="s">
        <v>3270</v>
      </c>
    </row>
    <row r="50" spans="1:8" ht="99.95" customHeight="1">
      <c r="A50" s="2" t="s">
        <v>595</v>
      </c>
      <c r="B50" s="2" t="s">
        <v>3271</v>
      </c>
      <c r="C50" s="90">
        <f>INDEX('Source Review'!$F$2:$F$52,MATCH($A50,'Source Review'!$A$2:$A$52,0))</f>
        <v>0</v>
      </c>
      <c r="D50" s="90">
        <f>INDEX('Source Review'!$G$2:$G$52,MATCH($A50,'Source Review'!$A$2:$A$52,0))</f>
        <v>0</v>
      </c>
      <c r="E50" s="90">
        <f>INDEX('Source Review'!$H$2:$H$52,MATCH($A50,'Source Review'!$A$2:$A$52,0))</f>
        <v>0</v>
      </c>
      <c r="F50" s="2" t="s">
        <v>3272</v>
      </c>
      <c r="G50" s="2" t="s">
        <v>3273</v>
      </c>
      <c r="H50" s="2" t="s">
        <v>3274</v>
      </c>
    </row>
    <row r="51" spans="1:8" ht="99.95" customHeight="1">
      <c r="A51" s="2" t="s">
        <v>610</v>
      </c>
      <c r="B51" s="2" t="s">
        <v>3275</v>
      </c>
      <c r="C51" s="90">
        <f>INDEX('Source Review'!$F$2:$F$52,MATCH($A51,'Source Review'!$A$2:$A$52,0))</f>
        <v>10</v>
      </c>
      <c r="D51" s="90">
        <f>INDEX('Source Review'!$G$2:$G$52,MATCH($A51,'Source Review'!$A$2:$A$52,0))</f>
        <v>16</v>
      </c>
      <c r="E51" s="90">
        <f>INDEX('Source Review'!$H$2:$H$52,MATCH($A51,'Source Review'!$A$2:$A$52,0))</f>
        <v>26</v>
      </c>
      <c r="F51" s="2" t="s">
        <v>3276</v>
      </c>
      <c r="G51" s="2" t="s">
        <v>3277</v>
      </c>
      <c r="H51" s="2" t="s">
        <v>3278</v>
      </c>
    </row>
    <row r="52" spans="1:8" ht="99.95" customHeight="1">
      <c r="A52" s="2" t="s">
        <v>622</v>
      </c>
      <c r="B52" s="2" t="s">
        <v>3279</v>
      </c>
      <c r="C52" s="90">
        <f>INDEX('Source Review'!$F$2:$F$52,MATCH($A52,'Source Review'!$A$2:$A$52,0))</f>
        <v>10</v>
      </c>
      <c r="D52" s="90">
        <f>INDEX('Source Review'!$G$2:$G$52,MATCH($A52,'Source Review'!$A$2:$A$52,0))</f>
        <v>16</v>
      </c>
      <c r="E52" s="90">
        <f>INDEX('Source Review'!$H$2:$H$52,MATCH($A52,'Source Review'!$A$2:$A$52,0))</f>
        <v>26</v>
      </c>
      <c r="F52" s="2" t="s">
        <v>3280</v>
      </c>
      <c r="G52" s="2" t="s">
        <v>3281</v>
      </c>
      <c r="H52" s="2" t="s">
        <v>3282</v>
      </c>
    </row>
    <row r="53" spans="1:8" ht="99.95" customHeight="1">
      <c r="A53" s="2" t="s">
        <v>629</v>
      </c>
      <c r="B53" s="2" t="s">
        <v>3283</v>
      </c>
      <c r="C53" s="90">
        <f>INDEX('Source Review'!$F$2:$F$52,MATCH($A53,'Source Review'!$A$2:$A$52,0))</f>
        <v>10</v>
      </c>
      <c r="D53" s="90">
        <f>INDEX('Source Review'!$G$2:$G$52,MATCH($A53,'Source Review'!$A$2:$A$52,0))</f>
        <v>16</v>
      </c>
      <c r="E53" s="90">
        <f>INDEX('Source Review'!$H$2:$H$52,MATCH($A53,'Source Review'!$A$2:$A$52,0))</f>
        <v>28</v>
      </c>
      <c r="F53" s="2" t="s">
        <v>3284</v>
      </c>
      <c r="G53" s="2" t="s">
        <v>3285</v>
      </c>
      <c r="H53" s="2" t="s">
        <v>3286</v>
      </c>
    </row>
    <row r="54" spans="1:8" ht="99.95" customHeight="1">
      <c r="A54" s="2" t="s">
        <v>636</v>
      </c>
      <c r="B54" s="2" t="s">
        <v>3287</v>
      </c>
      <c r="C54" s="90">
        <f>INDEX('Source Review'!$F$2:$F$52,MATCH($A54,'Source Review'!$A$2:$A$52,0))</f>
        <v>5</v>
      </c>
      <c r="D54" s="90">
        <f>INDEX('Source Review'!$G$2:$G$52,MATCH($A54,'Source Review'!$A$2:$A$52,0))</f>
        <v>8</v>
      </c>
      <c r="E54" s="90">
        <f>INDEX('Source Review'!$H$2:$H$52,MATCH($A54,'Source Review'!$A$2:$A$52,0))</f>
        <v>13</v>
      </c>
      <c r="F54" s="2" t="s">
        <v>3288</v>
      </c>
      <c r="G54" s="2" t="s">
        <v>3289</v>
      </c>
      <c r="H54" s="2" t="s">
        <v>3290</v>
      </c>
    </row>
    <row r="55" spans="1:8" ht="99.95" customHeight="1">
      <c r="A55" s="2" t="s">
        <v>648</v>
      </c>
      <c r="B55" s="2" t="s">
        <v>3291</v>
      </c>
      <c r="C55" s="90">
        <f>INDEX('Source Review'!$F$2:$F$52,MATCH($A55,'Source Review'!$A$2:$A$52,0))</f>
        <v>5</v>
      </c>
      <c r="D55" s="90">
        <f>INDEX('Source Review'!$G$2:$G$52,MATCH($A55,'Source Review'!$A$2:$A$52,0))</f>
        <v>8</v>
      </c>
      <c r="E55" s="90">
        <f>INDEX('Source Review'!$H$2:$H$52,MATCH($A55,'Source Review'!$A$2:$A$52,0))</f>
        <v>14</v>
      </c>
      <c r="F55" s="2" t="s">
        <v>3292</v>
      </c>
      <c r="G55" s="2" t="s">
        <v>3293</v>
      </c>
      <c r="H55" s="2" t="s">
        <v>3294</v>
      </c>
    </row>
    <row r="56" spans="1:8" ht="99.95" customHeight="1">
      <c r="A56" s="2" t="s">
        <v>659</v>
      </c>
      <c r="B56" s="2" t="s">
        <v>3295</v>
      </c>
      <c r="C56" s="90">
        <f>INDEX('Source Review'!$F$2:$F$52,MATCH($A56,'Source Review'!$A$2:$A$52,0))</f>
        <v>6</v>
      </c>
      <c r="D56" s="90">
        <f>INDEX('Source Review'!$G$2:$G$52,MATCH($A56,'Source Review'!$A$2:$A$52,0))</f>
        <v>11</v>
      </c>
      <c r="E56" s="90">
        <f>INDEX('Source Review'!$H$2:$H$52,MATCH($A56,'Source Review'!$A$2:$A$52,0))</f>
        <v>18</v>
      </c>
      <c r="F56" s="2" t="s">
        <v>3296</v>
      </c>
      <c r="G56" s="2" t="s">
        <v>3297</v>
      </c>
      <c r="H56" s="2" t="s">
        <v>3298</v>
      </c>
    </row>
    <row r="57" spans="1:8" ht="99.95" customHeight="1">
      <c r="A57" s="2" t="s">
        <v>671</v>
      </c>
      <c r="B57" s="2" t="s">
        <v>3299</v>
      </c>
      <c r="C57" s="90">
        <f>INDEX('Source Review'!$F$2:$F$52,MATCH($A57,'Source Review'!$A$2:$A$52,0))</f>
        <v>0</v>
      </c>
      <c r="D57" s="90">
        <f>INDEX('Source Review'!$G$2:$G$52,MATCH($A57,'Source Review'!$A$2:$A$52,0))</f>
        <v>0</v>
      </c>
      <c r="E57" s="90">
        <f>INDEX('Source Review'!$H$2:$H$52,MATCH($A57,'Source Review'!$A$2:$A$52,0))</f>
        <v>0</v>
      </c>
      <c r="F57" s="2" t="s">
        <v>3300</v>
      </c>
      <c r="G57" s="2" t="s">
        <v>3301</v>
      </c>
      <c r="H57" s="2" t="s">
        <v>3302</v>
      </c>
    </row>
    <row r="58" spans="1:8" ht="99.95" customHeight="1">
      <c r="A58" s="2" t="s">
        <v>686</v>
      </c>
      <c r="B58" s="2" t="s">
        <v>3303</v>
      </c>
      <c r="C58" s="90">
        <f>INDEX('Source Review'!$F$2:$F$52,MATCH($A58,'Source Review'!$A$2:$A$52,0))</f>
        <v>0</v>
      </c>
      <c r="D58" s="90">
        <f>INDEX('Source Review'!$G$2:$G$52,MATCH($A58,'Source Review'!$A$2:$A$52,0))</f>
        <v>0</v>
      </c>
      <c r="E58" s="90">
        <f>INDEX('Source Review'!$H$2:$H$52,MATCH($A58,'Source Review'!$A$2:$A$52,0))</f>
        <v>0</v>
      </c>
      <c r="F58" s="2" t="s">
        <v>3304</v>
      </c>
      <c r="G58" s="2" t="s">
        <v>3305</v>
      </c>
      <c r="H58" s="2" t="s">
        <v>3306</v>
      </c>
    </row>
    <row r="59" spans="1:8" ht="99.95" customHeight="1">
      <c r="A59" s="2" t="s">
        <v>696</v>
      </c>
      <c r="B59" s="2" t="s">
        <v>3307</v>
      </c>
      <c r="C59" s="90">
        <f>INDEX('Source Review'!$F$2:$F$52,MATCH($A59,'Source Review'!$A$2:$A$52,0))</f>
        <v>5</v>
      </c>
      <c r="D59" s="90">
        <f>INDEX('Source Review'!$G$2:$G$52,MATCH($A59,'Source Review'!$A$2:$A$52,0))</f>
        <v>9</v>
      </c>
      <c r="E59" s="90">
        <f>INDEX('Source Review'!$H$2:$H$52,MATCH($A59,'Source Review'!$A$2:$A$52,0))</f>
        <v>15</v>
      </c>
      <c r="F59" s="2" t="s">
        <v>3308</v>
      </c>
      <c r="G59" s="2" t="s">
        <v>3309</v>
      </c>
      <c r="H59" s="2" t="s">
        <v>3310</v>
      </c>
    </row>
    <row r="60" spans="1:8" ht="99.95" customHeight="1">
      <c r="A60" s="2" t="s">
        <v>710</v>
      </c>
      <c r="B60" s="2" t="s">
        <v>3311</v>
      </c>
      <c r="C60" s="90">
        <f>INDEX('Source Review'!$F$2:$F$52,MATCH($A60,'Source Review'!$A$2:$A$52,0))</f>
        <v>0</v>
      </c>
      <c r="D60" s="90">
        <f>INDEX('Source Review'!$G$2:$G$52,MATCH($A60,'Source Review'!$A$2:$A$52,0))</f>
        <v>0</v>
      </c>
      <c r="E60" s="90">
        <f>INDEX('Source Review'!$H$2:$H$52,MATCH($A60,'Source Review'!$A$2:$A$52,0))</f>
        <v>0</v>
      </c>
      <c r="F60" s="2" t="s">
        <v>3312</v>
      </c>
      <c r="G60" s="2" t="s">
        <v>3313</v>
      </c>
      <c r="H60" s="2" t="s">
        <v>3314</v>
      </c>
    </row>
    <row r="61" spans="1:8" ht="99.95" customHeight="1">
      <c r="A61" s="2" t="s">
        <v>723</v>
      </c>
      <c r="B61" s="2" t="s">
        <v>3315</v>
      </c>
      <c r="C61" s="90">
        <f>INDEX('Source Review'!$F$2:$F$52,MATCH($A61,'Source Review'!$A$2:$A$52,0))</f>
        <v>6</v>
      </c>
      <c r="D61" s="90">
        <f>INDEX('Source Review'!$G$2:$G$52,MATCH($A61,'Source Review'!$A$2:$A$52,0))</f>
        <v>10</v>
      </c>
      <c r="E61" s="90">
        <f>INDEX('Source Review'!$H$2:$H$52,MATCH($A61,'Source Review'!$A$2:$A$52,0))</f>
        <v>16</v>
      </c>
      <c r="F61" s="2" t="s">
        <v>3316</v>
      </c>
      <c r="G61" s="2" t="s">
        <v>3317</v>
      </c>
      <c r="H61" s="2" t="s">
        <v>3318</v>
      </c>
    </row>
    <row r="62" spans="1:8" ht="99.95" customHeight="1">
      <c r="A62" s="2" t="s">
        <v>737</v>
      </c>
      <c r="B62" s="2" t="s">
        <v>3319</v>
      </c>
      <c r="C62" s="90">
        <f>INDEX('Source Review'!$F$2:$F$52,MATCH($A62,'Source Review'!$A$2:$A$52,0))</f>
        <v>8</v>
      </c>
      <c r="D62" s="90">
        <f>INDEX('Source Review'!$G$2:$G$52,MATCH($A62,'Source Review'!$A$2:$A$52,0))</f>
        <v>14</v>
      </c>
      <c r="E62" s="90">
        <f>INDEX('Source Review'!$H$2:$H$52,MATCH($A62,'Source Review'!$A$2:$A$52,0))</f>
        <v>22</v>
      </c>
      <c r="F62" s="2" t="s">
        <v>3320</v>
      </c>
      <c r="G62" s="2" t="s">
        <v>3321</v>
      </c>
      <c r="H62" s="2" t="s">
        <v>3322</v>
      </c>
    </row>
    <row r="63" spans="1:8" ht="99.95" customHeight="1">
      <c r="A63" s="2" t="s">
        <v>749</v>
      </c>
      <c r="B63" s="2" t="s">
        <v>3323</v>
      </c>
      <c r="C63" s="90">
        <f>INDEX('Source Review'!$F$2:$F$52,MATCH($A63,'Source Review'!$A$2:$A$52,0))</f>
        <v>0</v>
      </c>
      <c r="D63" s="90">
        <f>INDEX('Source Review'!$G$2:$G$52,MATCH($A63,'Source Review'!$A$2:$A$52,0))</f>
        <v>0</v>
      </c>
      <c r="E63" s="90">
        <f>INDEX('Source Review'!$H$2:$H$52,MATCH($A63,'Source Review'!$A$2:$A$52,0))</f>
        <v>0</v>
      </c>
      <c r="F63" s="2" t="s">
        <v>3324</v>
      </c>
      <c r="G63" s="2" t="s">
        <v>3325</v>
      </c>
      <c r="H63" s="2" t="s">
        <v>3326</v>
      </c>
    </row>
    <row r="64" spans="1:8" ht="99.95" customHeight="1">
      <c r="A64" s="2" t="s">
        <v>759</v>
      </c>
      <c r="B64" s="2" t="s">
        <v>3327</v>
      </c>
      <c r="C64" s="90">
        <f>INDEX('Source Review'!$F$2:$F$52,MATCH($A64,'Source Review'!$A$2:$A$52,0))</f>
        <v>2</v>
      </c>
      <c r="D64" s="90">
        <f>INDEX('Source Review'!$G$2:$G$52,MATCH($A64,'Source Review'!$A$2:$A$52,0))</f>
        <v>4</v>
      </c>
      <c r="E64" s="90">
        <f>INDEX('Source Review'!$H$2:$H$52,MATCH($A64,'Source Review'!$A$2:$A$52,0))</f>
        <v>7</v>
      </c>
      <c r="F64" s="2" t="s">
        <v>3328</v>
      </c>
      <c r="G64" s="2" t="s">
        <v>3329</v>
      </c>
      <c r="H64" s="2" t="s">
        <v>3330</v>
      </c>
    </row>
    <row r="65" spans="1:8" ht="99.95" customHeight="1">
      <c r="A65" s="2" t="s">
        <v>772</v>
      </c>
      <c r="B65" s="2" t="s">
        <v>3331</v>
      </c>
      <c r="C65" s="90">
        <f>INDEX('Source Review'!$F$2:$F$52,MATCH($A65,'Source Review'!$A$2:$A$52,0))</f>
        <v>16</v>
      </c>
      <c r="D65" s="90">
        <f>INDEX('Source Review'!$G$2:$G$52,MATCH($A65,'Source Review'!$A$2:$A$52,0))</f>
        <v>26</v>
      </c>
      <c r="E65" s="90">
        <f>INDEX('Source Review'!$H$2:$H$52,MATCH($A65,'Source Review'!$A$2:$A$52,0))</f>
        <v>42</v>
      </c>
      <c r="F65" s="2" t="s">
        <v>3332</v>
      </c>
      <c r="G65" s="2" t="s">
        <v>3333</v>
      </c>
      <c r="H65" s="2" t="s">
        <v>3334</v>
      </c>
    </row>
    <row r="66" spans="1:8" ht="99.95" customHeight="1">
      <c r="A66" s="2" t="s">
        <v>787</v>
      </c>
      <c r="B66" s="2" t="s">
        <v>3335</v>
      </c>
      <c r="C66" s="90">
        <f>INDEX('Source Review'!$F$2:$F$52,MATCH($A66,'Source Review'!$A$2:$A$52,0))</f>
        <v>1</v>
      </c>
      <c r="D66" s="90">
        <f>INDEX('Source Review'!$G$2:$G$52,MATCH($A66,'Source Review'!$A$2:$A$52,0))</f>
        <v>3</v>
      </c>
      <c r="E66" s="90">
        <f>INDEX('Source Review'!$H$2:$H$52,MATCH($A66,'Source Review'!$A$2:$A$52,0))</f>
        <v>6</v>
      </c>
      <c r="F66" s="2" t="s">
        <v>3336</v>
      </c>
      <c r="G66" s="2" t="s">
        <v>3337</v>
      </c>
      <c r="H66" s="2" t="s">
        <v>3338</v>
      </c>
    </row>
    <row r="67" spans="1:8" ht="99.95" customHeight="1">
      <c r="A67" s="2" t="s">
        <v>1117</v>
      </c>
      <c r="B67" s="2" t="s">
        <v>3339</v>
      </c>
      <c r="C67" s="90">
        <f>INDEX('Source Review'!$F$2:$F$52,MATCH($A67,'Source Review'!$A$2:$A$52,0))</f>
        <v>12</v>
      </c>
      <c r="D67" s="90">
        <f>INDEX('Source Review'!$G$2:$G$52,MATCH($A67,'Source Review'!$A$2:$A$52,0))</f>
        <v>20</v>
      </c>
      <c r="E67" s="90">
        <f>INDEX('Source Review'!$H$2:$H$52,MATCH($A67,'Source Review'!$A$2:$A$52,0))</f>
        <v>32</v>
      </c>
      <c r="F67" s="2" t="s">
        <v>3340</v>
      </c>
      <c r="G67" s="2" t="s">
        <v>3341</v>
      </c>
      <c r="H67" s="2" t="s">
        <v>3342</v>
      </c>
    </row>
    <row r="68" spans="1:8" ht="99.95" customHeight="1">
      <c r="A68" s="2" t="s">
        <v>1149</v>
      </c>
      <c r="B68" s="2" t="s">
        <v>3343</v>
      </c>
      <c r="C68" s="90">
        <f>INDEX('Source Review'!$F$2:$F$52,MATCH($A68,'Source Review'!$A$2:$A$52,0))</f>
        <v>10</v>
      </c>
      <c r="D68" s="90">
        <f>INDEX('Source Review'!$G$2:$G$52,MATCH($A68,'Source Review'!$A$2:$A$52,0))</f>
        <v>18</v>
      </c>
      <c r="E68" s="90">
        <f>INDEX('Source Review'!$H$2:$H$52,MATCH($A68,'Source Review'!$A$2:$A$52,0))</f>
        <v>30</v>
      </c>
      <c r="F68" s="2" t="s">
        <v>3344</v>
      </c>
      <c r="G68" s="2" t="s">
        <v>3345</v>
      </c>
      <c r="H68" s="2" t="s">
        <v>3346</v>
      </c>
    </row>
    <row r="69" spans="1:8" ht="99.95" customHeight="1">
      <c r="A69" s="2" t="s">
        <v>1160</v>
      </c>
      <c r="B69" s="2" t="s">
        <v>3347</v>
      </c>
      <c r="C69" s="90">
        <f>INDEX('Source Review'!$F$2:$F$52,MATCH($A69,'Source Review'!$A$2:$A$52,0))</f>
        <v>12</v>
      </c>
      <c r="D69" s="90">
        <f>INDEX('Source Review'!$G$2:$G$52,MATCH($A69,'Source Review'!$A$2:$A$52,0))</f>
        <v>20</v>
      </c>
      <c r="E69" s="90">
        <f>INDEX('Source Review'!$H$2:$H$52,MATCH($A69,'Source Review'!$A$2:$A$52,0))</f>
        <v>36</v>
      </c>
      <c r="F69" s="2" t="s">
        <v>3348</v>
      </c>
      <c r="G69" s="2" t="s">
        <v>3349</v>
      </c>
      <c r="H69" s="2" t="s">
        <v>3350</v>
      </c>
    </row>
    <row r="70" spans="1:8" ht="99.95" customHeight="1">
      <c r="A70" s="2" t="s">
        <v>1242</v>
      </c>
      <c r="B70" s="2" t="s">
        <v>3351</v>
      </c>
      <c r="C70" s="90">
        <f>INDEX('Source Review'!$F$2:$F$52,MATCH($A70,'Source Review'!$A$2:$A$52,0))</f>
        <v>16</v>
      </c>
      <c r="D70" s="90">
        <f>INDEX('Source Review'!$G$2:$G$52,MATCH($A70,'Source Review'!$A$2:$A$52,0))</f>
        <v>28</v>
      </c>
      <c r="E70" s="90">
        <f>INDEX('Source Review'!$H$2:$H$52,MATCH($A70,'Source Review'!$A$2:$A$52,0))</f>
        <v>44</v>
      </c>
      <c r="F70" s="2" t="s">
        <v>3352</v>
      </c>
      <c r="G70" s="2" t="s">
        <v>3353</v>
      </c>
      <c r="H70" s="2" t="s">
        <v>3354</v>
      </c>
    </row>
    <row r="71" spans="1:8" ht="99.95" customHeight="1">
      <c r="A71" s="2" t="s">
        <v>1289</v>
      </c>
      <c r="B71" s="2" t="s">
        <v>3355</v>
      </c>
      <c r="C71" s="90">
        <f>INDEX('Source Review'!$F$2:$F$52,MATCH($A71,'Source Review'!$A$2:$A$52,0))</f>
        <v>8</v>
      </c>
      <c r="D71" s="90">
        <f>INDEX('Source Review'!$G$2:$G$52,MATCH($A71,'Source Review'!$A$2:$A$52,0))</f>
        <v>14</v>
      </c>
      <c r="E71" s="90">
        <f>INDEX('Source Review'!$H$2:$H$52,MATCH($A71,'Source Review'!$A$2:$A$52,0))</f>
        <v>24</v>
      </c>
      <c r="F71" s="2" t="s">
        <v>3356</v>
      </c>
      <c r="G71" s="2" t="s">
        <v>3357</v>
      </c>
      <c r="H71" s="2" t="s">
        <v>3358</v>
      </c>
    </row>
    <row r="72" spans="1:8" ht="99.95" customHeight="1">
      <c r="A72" s="2" t="s">
        <v>1296</v>
      </c>
      <c r="B72" s="2" t="s">
        <v>3359</v>
      </c>
      <c r="C72" s="90">
        <f>INDEX('Source Review'!$F$2:$F$52,MATCH($A72,'Source Review'!$A$2:$A$52,0))</f>
        <v>8</v>
      </c>
      <c r="D72" s="90">
        <f>INDEX('Source Review'!$G$2:$G$52,MATCH($A72,'Source Review'!$A$2:$A$52,0))</f>
        <v>16</v>
      </c>
      <c r="E72" s="90">
        <f>INDEX('Source Review'!$H$2:$H$52,MATCH($A72,'Source Review'!$A$2:$A$52,0))</f>
        <v>28</v>
      </c>
      <c r="F72" s="2" t="s">
        <v>3360</v>
      </c>
      <c r="G72" s="2" t="s">
        <v>3361</v>
      </c>
      <c r="H72" s="2" t="s">
        <v>3362</v>
      </c>
    </row>
    <row r="73" spans="1:8" ht="99.95" customHeight="1">
      <c r="A73" s="2" t="s">
        <v>1310</v>
      </c>
      <c r="B73" s="2" t="s">
        <v>3363</v>
      </c>
      <c r="C73" s="90">
        <f>INDEX('Source Review'!$F$2:$F$52,MATCH($A73,'Source Review'!$A$2:$A$52,0))</f>
        <v>8</v>
      </c>
      <c r="D73" s="90">
        <f>INDEX('Source Review'!$G$2:$G$52,MATCH($A73,'Source Review'!$A$2:$A$52,0))</f>
        <v>14</v>
      </c>
      <c r="E73" s="90">
        <f>INDEX('Source Review'!$H$2:$H$52,MATCH($A73,'Source Review'!$A$2:$A$52,0))</f>
        <v>24</v>
      </c>
      <c r="F73" s="2" t="s">
        <v>3364</v>
      </c>
      <c r="G73" s="2" t="s">
        <v>3365</v>
      </c>
      <c r="H73" s="2" t="s">
        <v>3366</v>
      </c>
    </row>
    <row r="74" spans="1:8" ht="99.95" customHeight="1">
      <c r="A74" s="2" t="s">
        <v>812</v>
      </c>
      <c r="B74" s="2" t="s">
        <v>3367</v>
      </c>
      <c r="C74" s="90">
        <f>INDEX('Source Review'!$F$2:$F$52,MATCH($A74,'Source Review'!$A$2:$A$52,0))</f>
        <v>24</v>
      </c>
      <c r="D74" s="90">
        <f>INDEX('Source Review'!$G$2:$G$52,MATCH($A74,'Source Review'!$A$2:$A$52,0))</f>
        <v>40</v>
      </c>
      <c r="E74" s="90">
        <f>INDEX('Source Review'!$H$2:$H$52,MATCH($A74,'Source Review'!$A$2:$A$52,0))</f>
        <v>64</v>
      </c>
      <c r="F74" s="2" t="s">
        <v>3368</v>
      </c>
      <c r="G74" s="2" t="s">
        <v>3369</v>
      </c>
      <c r="H74" s="2" t="s">
        <v>3370</v>
      </c>
    </row>
    <row r="75" spans="1:8" ht="99.95" customHeight="1">
      <c r="A75" s="2" t="s">
        <v>1455</v>
      </c>
      <c r="B75" s="2" t="s">
        <v>3371</v>
      </c>
      <c r="C75" s="90">
        <f>INDEX('Source Review'!$F$2:$F$52,MATCH($A75,'Source Review'!$A$2:$A$52,0))</f>
        <v>16</v>
      </c>
      <c r="D75" s="90">
        <f>INDEX('Source Review'!$G$2:$G$52,MATCH($A75,'Source Review'!$A$2:$A$52,0))</f>
        <v>26</v>
      </c>
      <c r="E75" s="90">
        <f>INDEX('Source Review'!$H$2:$H$52,MATCH($A75,'Source Review'!$A$2:$A$52,0))</f>
        <v>42</v>
      </c>
      <c r="F75" s="2" t="s">
        <v>3372</v>
      </c>
      <c r="G75" s="2" t="s">
        <v>3373</v>
      </c>
      <c r="H75" s="2" t="s">
        <v>3374</v>
      </c>
    </row>
    <row r="76" spans="1:8" ht="99.95" customHeight="1">
      <c r="A76" s="2" t="s">
        <v>1586</v>
      </c>
      <c r="B76" s="2" t="s">
        <v>3375</v>
      </c>
      <c r="C76" s="90">
        <f>INDEX('Source Review'!$F$2:$F$52,MATCH($A76,'Source Review'!$A$2:$A$52,0))</f>
        <v>14</v>
      </c>
      <c r="D76" s="90">
        <f>INDEX('Source Review'!$G$2:$G$52,MATCH($A76,'Source Review'!$A$2:$A$52,0))</f>
        <v>24</v>
      </c>
      <c r="E76" s="90">
        <f>INDEX('Source Review'!$H$2:$H$52,MATCH($A76,'Source Review'!$A$2:$A$52,0))</f>
        <v>40</v>
      </c>
      <c r="F76" s="2" t="s">
        <v>3376</v>
      </c>
      <c r="G76" s="2" t="s">
        <v>3377</v>
      </c>
      <c r="H76" s="2" t="s">
        <v>3378</v>
      </c>
    </row>
    <row r="77" spans="1:8" ht="99.95" customHeight="1">
      <c r="A77" s="2" t="s">
        <v>1593</v>
      </c>
      <c r="B77" s="2" t="s">
        <v>3379</v>
      </c>
      <c r="C77" s="90">
        <f>INDEX('Source Review'!$F$2:$F$52,MATCH($A77,'Source Review'!$A$2:$A$52,0))</f>
        <v>8</v>
      </c>
      <c r="D77" s="90">
        <f>INDEX('Source Review'!$G$2:$G$52,MATCH($A77,'Source Review'!$A$2:$A$52,0))</f>
        <v>14</v>
      </c>
      <c r="E77" s="90">
        <f>INDEX('Source Review'!$H$2:$H$52,MATCH($A77,'Source Review'!$A$2:$A$52,0))</f>
        <v>24</v>
      </c>
      <c r="F77" s="2" t="s">
        <v>3380</v>
      </c>
      <c r="G77" s="2" t="s">
        <v>3381</v>
      </c>
      <c r="H77" s="2" t="s">
        <v>3382</v>
      </c>
    </row>
    <row r="78" spans="1:8" ht="99.95" customHeight="1">
      <c r="A78" s="2" t="s">
        <v>1625</v>
      </c>
      <c r="B78" s="2" t="s">
        <v>3383</v>
      </c>
      <c r="C78" s="90">
        <f>INDEX('Source Review'!$F$2:$F$52,MATCH($A78,'Source Review'!$A$2:$A$52,0))</f>
        <v>8</v>
      </c>
      <c r="D78" s="90">
        <f>INDEX('Source Review'!$G$2:$G$52,MATCH($A78,'Source Review'!$A$2:$A$52,0))</f>
        <v>14</v>
      </c>
      <c r="E78" s="90">
        <f>INDEX('Source Review'!$H$2:$H$52,MATCH($A78,'Source Review'!$A$2:$A$52,0))</f>
        <v>24</v>
      </c>
      <c r="F78" s="2" t="s">
        <v>3384</v>
      </c>
      <c r="G78" s="2" t="s">
        <v>3385</v>
      </c>
      <c r="H78" s="2" t="s">
        <v>3386</v>
      </c>
    </row>
    <row r="79" spans="1:8" ht="99.95" customHeight="1">
      <c r="A79" s="2" t="s">
        <v>1655</v>
      </c>
      <c r="B79" s="2" t="s">
        <v>3387</v>
      </c>
      <c r="C79" s="90">
        <f>INDEX('Source Review'!$F$2:$F$52,MATCH($A79,'Source Review'!$A$2:$A$52,0))</f>
        <v>8</v>
      </c>
      <c r="D79" s="90">
        <f>INDEX('Source Review'!$G$2:$G$52,MATCH($A79,'Source Review'!$A$2:$A$52,0))</f>
        <v>14</v>
      </c>
      <c r="E79" s="90">
        <f>INDEX('Source Review'!$H$2:$H$52,MATCH($A79,'Source Review'!$A$2:$A$52,0))</f>
        <v>24</v>
      </c>
      <c r="F79" s="2" t="s">
        <v>3388</v>
      </c>
      <c r="G79" s="2" t="s">
        <v>3389</v>
      </c>
      <c r="H79" s="2" t="s">
        <v>3390</v>
      </c>
    </row>
    <row r="80" spans="1:8" ht="99.95" customHeight="1">
      <c r="A80" s="2" t="s">
        <v>1685</v>
      </c>
      <c r="B80" s="2" t="s">
        <v>3391</v>
      </c>
      <c r="C80" s="90">
        <f>INDEX('Source Review'!$F$2:$F$52,MATCH($A80,'Source Review'!$A$2:$A$52,0))</f>
        <v>8</v>
      </c>
      <c r="D80" s="90">
        <f>INDEX('Source Review'!$G$2:$G$52,MATCH($A80,'Source Review'!$A$2:$A$52,0))</f>
        <v>14</v>
      </c>
      <c r="E80" s="90">
        <f>INDEX('Source Review'!$H$2:$H$52,MATCH($A80,'Source Review'!$A$2:$A$52,0))</f>
        <v>24</v>
      </c>
      <c r="F80" s="2" t="s">
        <v>3392</v>
      </c>
      <c r="G80" s="2" t="s">
        <v>3393</v>
      </c>
      <c r="H80" s="2" t="s">
        <v>3394</v>
      </c>
    </row>
    <row r="81" spans="1:8" ht="99.95" customHeight="1">
      <c r="A81" s="2" t="s">
        <v>1766</v>
      </c>
      <c r="B81" s="2" t="s">
        <v>3395</v>
      </c>
      <c r="C81" s="90">
        <f>INDEX('Source Review'!$F$2:$F$52,MATCH($A81,'Source Review'!$A$2:$A$52,0))</f>
        <v>10</v>
      </c>
      <c r="D81" s="90">
        <f>INDEX('Source Review'!$G$2:$G$52,MATCH($A81,'Source Review'!$A$2:$A$52,0))</f>
        <v>18</v>
      </c>
      <c r="E81" s="90">
        <f>INDEX('Source Review'!$H$2:$H$52,MATCH($A81,'Source Review'!$A$2:$A$52,0))</f>
        <v>30</v>
      </c>
      <c r="F81" s="2" t="s">
        <v>3396</v>
      </c>
      <c r="G81" s="2" t="s">
        <v>3397</v>
      </c>
      <c r="H81" s="2" t="s">
        <v>3398</v>
      </c>
    </row>
    <row r="82" spans="1:8" ht="99.95" customHeight="1">
      <c r="A82" s="2" t="s">
        <v>1791</v>
      </c>
      <c r="B82" s="2" t="s">
        <v>3399</v>
      </c>
      <c r="C82" s="90">
        <f>INDEX('Source Review'!$F$2:$F$52,MATCH($A82,'Source Review'!$A$2:$A$52,0))</f>
        <v>28</v>
      </c>
      <c r="D82" s="90">
        <f>INDEX('Source Review'!$G$2:$G$52,MATCH($A82,'Source Review'!$A$2:$A$52,0))</f>
        <v>44</v>
      </c>
      <c r="E82" s="90">
        <f>INDEX('Source Review'!$H$2:$H$52,MATCH($A82,'Source Review'!$A$2:$A$52,0))</f>
        <v>68</v>
      </c>
      <c r="F82" s="2" t="s">
        <v>3400</v>
      </c>
      <c r="G82" s="2" t="s">
        <v>3401</v>
      </c>
      <c r="H82" s="2" t="s">
        <v>3402</v>
      </c>
    </row>
    <row r="83" spans="1:8" ht="99.95" customHeight="1">
      <c r="A83" s="2" t="s">
        <v>1817</v>
      </c>
      <c r="B83" s="2" t="s">
        <v>3403</v>
      </c>
      <c r="C83" s="90">
        <f>INDEX('Source Review'!$F$2:$F$52,MATCH($A83,'Source Review'!$A$2:$A$52,0))</f>
        <v>6</v>
      </c>
      <c r="D83" s="90">
        <f>INDEX('Source Review'!$G$2:$G$52,MATCH($A83,'Source Review'!$A$2:$A$52,0))</f>
        <v>10</v>
      </c>
      <c r="E83" s="90">
        <f>INDEX('Source Review'!$H$2:$H$52,MATCH($A83,'Source Review'!$A$2:$A$52,0))</f>
        <v>16</v>
      </c>
      <c r="F83" s="2" t="s">
        <v>3404</v>
      </c>
      <c r="G83" s="2" t="s">
        <v>3405</v>
      </c>
      <c r="H83" s="2" t="s">
        <v>3406</v>
      </c>
    </row>
    <row r="84" spans="1:8" ht="99.95" customHeight="1">
      <c r="A84" s="2" t="s">
        <v>1821</v>
      </c>
      <c r="B84" s="2" t="s">
        <v>3407</v>
      </c>
      <c r="C84" s="90">
        <f>INDEX('Source Review'!$F$2:$F$52,MATCH($A84,'Source Review'!$A$2:$A$52,0))</f>
        <v>24</v>
      </c>
      <c r="D84" s="90">
        <f>INDEX('Source Review'!$G$2:$G$52,MATCH($A84,'Source Review'!$A$2:$A$52,0))</f>
        <v>40</v>
      </c>
      <c r="E84" s="90">
        <f>INDEX('Source Review'!$H$2:$H$52,MATCH($A84,'Source Review'!$A$2:$A$52,0))</f>
        <v>64</v>
      </c>
      <c r="F84" s="2" t="s">
        <v>3408</v>
      </c>
      <c r="G84" s="2" t="s">
        <v>3409</v>
      </c>
      <c r="H84" s="2" t="s">
        <v>3410</v>
      </c>
    </row>
  </sheetData>
  <mergeCells count="2">
    <mergeCell ref="A8:G8"/>
    <mergeCell ref="A32:H3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854"/>
  <sheetViews>
    <sheetView workbookViewId="0"/>
  </sheetViews>
  <sheetFormatPr defaultRowHeight="14.25"/>
  <cols>
    <col min="1" max="2" width="12" customWidth="1"/>
    <col min="3" max="6" width="40" customWidth="1"/>
  </cols>
  <sheetData>
    <row r="1" spans="1:6" ht="36" customHeight="1">
      <c r="A1" s="37" t="s">
        <v>53</v>
      </c>
      <c r="B1" s="37" t="s">
        <v>3411</v>
      </c>
      <c r="C1" s="37" t="s">
        <v>3412</v>
      </c>
      <c r="D1" s="37" t="s">
        <v>3413</v>
      </c>
      <c r="E1" s="37" t="s">
        <v>3414</v>
      </c>
      <c r="F1" s="37" t="s">
        <v>2892</v>
      </c>
    </row>
    <row r="2" spans="1:6" ht="69.95" customHeight="1">
      <c r="A2" s="32" t="s">
        <v>107</v>
      </c>
      <c r="B2" s="32" t="s">
        <v>3415</v>
      </c>
      <c r="C2" s="32" t="s">
        <v>93</v>
      </c>
      <c r="D2" s="32"/>
      <c r="E2" s="32" t="s">
        <v>140</v>
      </c>
      <c r="F2" s="32" t="s">
        <v>3416</v>
      </c>
    </row>
    <row r="3" spans="1:6" ht="69.95" customHeight="1">
      <c r="A3" s="32" t="s">
        <v>107</v>
      </c>
      <c r="B3" s="32" t="s">
        <v>3417</v>
      </c>
      <c r="C3" s="32" t="s">
        <v>94</v>
      </c>
      <c r="D3" s="32"/>
      <c r="E3" s="32" t="s">
        <v>141</v>
      </c>
      <c r="F3" s="32" t="s">
        <v>3416</v>
      </c>
    </row>
    <row r="4" spans="1:6" ht="69.95" customHeight="1">
      <c r="A4" s="32" t="s">
        <v>107</v>
      </c>
      <c r="B4" s="32" t="s">
        <v>3418</v>
      </c>
      <c r="C4" s="32" t="s">
        <v>96</v>
      </c>
      <c r="D4" s="32"/>
      <c r="E4" s="32" t="s">
        <v>142</v>
      </c>
      <c r="F4" s="32" t="s">
        <v>3416</v>
      </c>
    </row>
    <row r="5" spans="1:6" ht="69.95" customHeight="1">
      <c r="A5" s="32" t="s">
        <v>143</v>
      </c>
      <c r="B5" s="32" t="s">
        <v>3415</v>
      </c>
      <c r="C5" s="32" t="s">
        <v>93</v>
      </c>
      <c r="D5" s="32"/>
      <c r="E5" s="32" t="s">
        <v>140</v>
      </c>
      <c r="F5" s="32" t="s">
        <v>3416</v>
      </c>
    </row>
    <row r="6" spans="1:6" ht="69.95" customHeight="1">
      <c r="A6" s="32" t="s">
        <v>143</v>
      </c>
      <c r="B6" s="32" t="s">
        <v>3417</v>
      </c>
      <c r="C6" s="32" t="s">
        <v>94</v>
      </c>
      <c r="D6" s="32"/>
      <c r="E6" s="32" t="s">
        <v>141</v>
      </c>
      <c r="F6" s="32" t="s">
        <v>3416</v>
      </c>
    </row>
    <row r="7" spans="1:6" ht="69.95" customHeight="1">
      <c r="A7" s="32" t="s">
        <v>143</v>
      </c>
      <c r="B7" s="32" t="s">
        <v>3418</v>
      </c>
      <c r="C7" s="32" t="s">
        <v>96</v>
      </c>
      <c r="D7" s="32"/>
      <c r="E7" s="32" t="s">
        <v>142</v>
      </c>
      <c r="F7" s="32" t="s">
        <v>3416</v>
      </c>
    </row>
    <row r="8" spans="1:6" ht="69.95" customHeight="1">
      <c r="A8" s="32" t="s">
        <v>158</v>
      </c>
      <c r="B8" s="32" t="s">
        <v>3415</v>
      </c>
      <c r="C8" s="32" t="s">
        <v>93</v>
      </c>
      <c r="D8" s="32"/>
      <c r="E8" s="32" t="s">
        <v>140</v>
      </c>
      <c r="F8" s="32" t="s">
        <v>3416</v>
      </c>
    </row>
    <row r="9" spans="1:6" ht="69.95" customHeight="1">
      <c r="A9" s="32" t="s">
        <v>158</v>
      </c>
      <c r="B9" s="32" t="s">
        <v>3417</v>
      </c>
      <c r="C9" s="32" t="s">
        <v>94</v>
      </c>
      <c r="D9" s="32"/>
      <c r="E9" s="32" t="s">
        <v>141</v>
      </c>
      <c r="F9" s="32" t="s">
        <v>3416</v>
      </c>
    </row>
    <row r="10" spans="1:6" ht="69.95" customHeight="1">
      <c r="A10" s="32" t="s">
        <v>158</v>
      </c>
      <c r="B10" s="32" t="s">
        <v>3418</v>
      </c>
      <c r="C10" s="32" t="s">
        <v>96</v>
      </c>
      <c r="D10" s="32"/>
      <c r="E10" s="32" t="s">
        <v>142</v>
      </c>
      <c r="F10" s="32" t="s">
        <v>3416</v>
      </c>
    </row>
    <row r="11" spans="1:6" ht="69.95" customHeight="1">
      <c r="A11" s="32" t="s">
        <v>168</v>
      </c>
      <c r="B11" s="32" t="s">
        <v>3415</v>
      </c>
      <c r="C11" s="32" t="s">
        <v>93</v>
      </c>
      <c r="D11" s="32"/>
      <c r="E11" s="32" t="s">
        <v>140</v>
      </c>
      <c r="F11" s="32" t="s">
        <v>3416</v>
      </c>
    </row>
    <row r="12" spans="1:6" ht="69.95" customHeight="1">
      <c r="A12" s="32" t="s">
        <v>168</v>
      </c>
      <c r="B12" s="32" t="s">
        <v>3417</v>
      </c>
      <c r="C12" s="32" t="s">
        <v>94</v>
      </c>
      <c r="D12" s="32"/>
      <c r="E12" s="32" t="s">
        <v>141</v>
      </c>
      <c r="F12" s="32" t="s">
        <v>3416</v>
      </c>
    </row>
    <row r="13" spans="1:6" ht="69.95" customHeight="1">
      <c r="A13" s="32" t="s">
        <v>168</v>
      </c>
      <c r="B13" s="32" t="s">
        <v>3418</v>
      </c>
      <c r="C13" s="32" t="s">
        <v>96</v>
      </c>
      <c r="D13" s="32"/>
      <c r="E13" s="32" t="s">
        <v>142</v>
      </c>
      <c r="F13" s="32" t="s">
        <v>3416</v>
      </c>
    </row>
    <row r="14" spans="1:6" ht="69.95" customHeight="1">
      <c r="A14" s="32" t="s">
        <v>180</v>
      </c>
      <c r="B14" s="32" t="s">
        <v>3415</v>
      </c>
      <c r="C14" s="32" t="s">
        <v>93</v>
      </c>
      <c r="D14" s="32"/>
      <c r="E14" s="32" t="s">
        <v>140</v>
      </c>
      <c r="F14" s="32" t="s">
        <v>3416</v>
      </c>
    </row>
    <row r="15" spans="1:6" ht="69.95" customHeight="1">
      <c r="A15" s="32" t="s">
        <v>180</v>
      </c>
      <c r="B15" s="32" t="s">
        <v>3417</v>
      </c>
      <c r="C15" s="32" t="s">
        <v>94</v>
      </c>
      <c r="D15" s="32"/>
      <c r="E15" s="32" t="s">
        <v>141</v>
      </c>
      <c r="F15" s="32" t="s">
        <v>3416</v>
      </c>
    </row>
    <row r="16" spans="1:6" ht="69.95" customHeight="1">
      <c r="A16" s="32" t="s">
        <v>180</v>
      </c>
      <c r="B16" s="32" t="s">
        <v>3418</v>
      </c>
      <c r="C16" s="32" t="s">
        <v>96</v>
      </c>
      <c r="D16" s="32"/>
      <c r="E16" s="32" t="s">
        <v>142</v>
      </c>
      <c r="F16" s="32" t="s">
        <v>3416</v>
      </c>
    </row>
    <row r="17" spans="1:6" ht="69.95" customHeight="1">
      <c r="A17" s="32" t="s">
        <v>192</v>
      </c>
      <c r="B17" s="32" t="s">
        <v>3415</v>
      </c>
      <c r="C17" s="32" t="s">
        <v>93</v>
      </c>
      <c r="D17" s="32"/>
      <c r="E17" s="32" t="s">
        <v>140</v>
      </c>
      <c r="F17" s="32" t="s">
        <v>3416</v>
      </c>
    </row>
    <row r="18" spans="1:6" ht="69.95" customHeight="1">
      <c r="A18" s="32" t="s">
        <v>192</v>
      </c>
      <c r="B18" s="32" t="s">
        <v>3417</v>
      </c>
      <c r="C18" s="32" t="s">
        <v>94</v>
      </c>
      <c r="D18" s="32"/>
      <c r="E18" s="32" t="s">
        <v>141</v>
      </c>
      <c r="F18" s="32" t="s">
        <v>3416</v>
      </c>
    </row>
    <row r="19" spans="1:6" ht="69.95" customHeight="1">
      <c r="A19" s="32" t="s">
        <v>192</v>
      </c>
      <c r="B19" s="32" t="s">
        <v>3418</v>
      </c>
      <c r="C19" s="32" t="s">
        <v>96</v>
      </c>
      <c r="D19" s="32"/>
      <c r="E19" s="32" t="s">
        <v>142</v>
      </c>
      <c r="F19" s="32" t="s">
        <v>3416</v>
      </c>
    </row>
    <row r="20" spans="1:6" ht="69.95" customHeight="1">
      <c r="A20" s="32" t="s">
        <v>199</v>
      </c>
      <c r="B20" s="32" t="s">
        <v>3415</v>
      </c>
      <c r="C20" s="32" t="s">
        <v>93</v>
      </c>
      <c r="D20" s="32"/>
      <c r="E20" s="32" t="s">
        <v>140</v>
      </c>
      <c r="F20" s="32" t="s">
        <v>3416</v>
      </c>
    </row>
    <row r="21" spans="1:6" ht="69.95" customHeight="1">
      <c r="A21" s="32" t="s">
        <v>199</v>
      </c>
      <c r="B21" s="32" t="s">
        <v>3417</v>
      </c>
      <c r="C21" s="32" t="s">
        <v>94</v>
      </c>
      <c r="D21" s="32"/>
      <c r="E21" s="32" t="s">
        <v>141</v>
      </c>
      <c r="F21" s="32" t="s">
        <v>3416</v>
      </c>
    </row>
    <row r="22" spans="1:6" ht="69.95" customHeight="1">
      <c r="A22" s="32" t="s">
        <v>199</v>
      </c>
      <c r="B22" s="32" t="s">
        <v>3418</v>
      </c>
      <c r="C22" s="32" t="s">
        <v>96</v>
      </c>
      <c r="D22" s="32"/>
      <c r="E22" s="32" t="s">
        <v>142</v>
      </c>
      <c r="F22" s="32" t="s">
        <v>3416</v>
      </c>
    </row>
    <row r="23" spans="1:6" ht="69.95" customHeight="1">
      <c r="A23" s="32" t="s">
        <v>211</v>
      </c>
      <c r="B23" s="32" t="s">
        <v>3415</v>
      </c>
      <c r="C23" s="32" t="s">
        <v>93</v>
      </c>
      <c r="D23" s="32"/>
      <c r="E23" s="32" t="s">
        <v>140</v>
      </c>
      <c r="F23" s="32" t="s">
        <v>3416</v>
      </c>
    </row>
    <row r="24" spans="1:6" ht="69.95" customHeight="1">
      <c r="A24" s="32" t="s">
        <v>211</v>
      </c>
      <c r="B24" s="32" t="s">
        <v>3417</v>
      </c>
      <c r="C24" s="32" t="s">
        <v>94</v>
      </c>
      <c r="D24" s="32"/>
      <c r="E24" s="32" t="s">
        <v>141</v>
      </c>
      <c r="F24" s="32" t="s">
        <v>3416</v>
      </c>
    </row>
    <row r="25" spans="1:6" ht="69.95" customHeight="1">
      <c r="A25" s="32" t="s">
        <v>211</v>
      </c>
      <c r="B25" s="32" t="s">
        <v>3418</v>
      </c>
      <c r="C25" s="32" t="s">
        <v>96</v>
      </c>
      <c r="D25" s="32"/>
      <c r="E25" s="32" t="s">
        <v>142</v>
      </c>
      <c r="F25" s="32" t="s">
        <v>3416</v>
      </c>
    </row>
    <row r="26" spans="1:6" ht="69.95" customHeight="1">
      <c r="A26" s="32" t="s">
        <v>219</v>
      </c>
      <c r="B26" s="32" t="s">
        <v>3415</v>
      </c>
      <c r="C26" s="32" t="s">
        <v>93</v>
      </c>
      <c r="D26" s="32"/>
      <c r="E26" s="32" t="s">
        <v>140</v>
      </c>
      <c r="F26" s="32" t="s">
        <v>3416</v>
      </c>
    </row>
    <row r="27" spans="1:6" ht="69.95" customHeight="1">
      <c r="A27" s="32" t="s">
        <v>219</v>
      </c>
      <c r="B27" s="32" t="s">
        <v>3417</v>
      </c>
      <c r="C27" s="32" t="s">
        <v>94</v>
      </c>
      <c r="D27" s="32"/>
      <c r="E27" s="32" t="s">
        <v>141</v>
      </c>
      <c r="F27" s="32" t="s">
        <v>3416</v>
      </c>
    </row>
    <row r="28" spans="1:6" ht="69.95" customHeight="1">
      <c r="A28" s="32" t="s">
        <v>219</v>
      </c>
      <c r="B28" s="32" t="s">
        <v>3418</v>
      </c>
      <c r="C28" s="32" t="s">
        <v>96</v>
      </c>
      <c r="D28" s="32"/>
      <c r="E28" s="32" t="s">
        <v>142</v>
      </c>
      <c r="F28" s="32" t="s">
        <v>3416</v>
      </c>
    </row>
    <row r="29" spans="1:6" ht="69.95" customHeight="1">
      <c r="A29" s="32" t="s">
        <v>118</v>
      </c>
      <c r="B29" s="32" t="s">
        <v>3415</v>
      </c>
      <c r="C29" s="32" t="s">
        <v>93</v>
      </c>
      <c r="D29" s="32"/>
      <c r="E29" s="32" t="s">
        <v>140</v>
      </c>
      <c r="F29" s="32" t="s">
        <v>3416</v>
      </c>
    </row>
    <row r="30" spans="1:6" ht="69.95" customHeight="1">
      <c r="A30" s="32" t="s">
        <v>118</v>
      </c>
      <c r="B30" s="32" t="s">
        <v>3417</v>
      </c>
      <c r="C30" s="32" t="s">
        <v>94</v>
      </c>
      <c r="D30" s="32"/>
      <c r="E30" s="32" t="s">
        <v>141</v>
      </c>
      <c r="F30" s="32" t="s">
        <v>3416</v>
      </c>
    </row>
    <row r="31" spans="1:6" ht="69.95" customHeight="1">
      <c r="A31" s="32" t="s">
        <v>118</v>
      </c>
      <c r="B31" s="32" t="s">
        <v>3418</v>
      </c>
      <c r="C31" s="32" t="s">
        <v>96</v>
      </c>
      <c r="D31" s="32"/>
      <c r="E31" s="32" t="s">
        <v>142</v>
      </c>
      <c r="F31" s="32" t="s">
        <v>3416</v>
      </c>
    </row>
    <row r="32" spans="1:6" ht="69.95" customHeight="1">
      <c r="A32" s="32" t="s">
        <v>239</v>
      </c>
      <c r="B32" s="32" t="s">
        <v>3415</v>
      </c>
      <c r="C32" s="32" t="s">
        <v>93</v>
      </c>
      <c r="D32" s="32"/>
      <c r="E32" s="32" t="s">
        <v>140</v>
      </c>
      <c r="F32" s="32" t="s">
        <v>3416</v>
      </c>
    </row>
    <row r="33" spans="1:6" ht="69.95" customHeight="1">
      <c r="A33" s="32" t="s">
        <v>239</v>
      </c>
      <c r="B33" s="32" t="s">
        <v>3417</v>
      </c>
      <c r="C33" s="32" t="s">
        <v>94</v>
      </c>
      <c r="D33" s="32"/>
      <c r="E33" s="32" t="s">
        <v>141</v>
      </c>
      <c r="F33" s="32" t="s">
        <v>3416</v>
      </c>
    </row>
    <row r="34" spans="1:6" ht="69.95" customHeight="1">
      <c r="A34" s="32" t="s">
        <v>239</v>
      </c>
      <c r="B34" s="32" t="s">
        <v>3418</v>
      </c>
      <c r="C34" s="32" t="s">
        <v>96</v>
      </c>
      <c r="D34" s="32"/>
      <c r="E34" s="32" t="s">
        <v>142</v>
      </c>
      <c r="F34" s="32" t="s">
        <v>3416</v>
      </c>
    </row>
    <row r="35" spans="1:6" ht="69.95" customHeight="1">
      <c r="A35" s="32" t="s">
        <v>252</v>
      </c>
      <c r="B35" s="32" t="s">
        <v>3415</v>
      </c>
      <c r="C35" s="32" t="s">
        <v>93</v>
      </c>
      <c r="D35" s="32"/>
      <c r="E35" s="32" t="s">
        <v>140</v>
      </c>
      <c r="F35" s="32" t="s">
        <v>3416</v>
      </c>
    </row>
    <row r="36" spans="1:6" ht="69.95" customHeight="1">
      <c r="A36" s="32" t="s">
        <v>252</v>
      </c>
      <c r="B36" s="32" t="s">
        <v>3417</v>
      </c>
      <c r="C36" s="32" t="s">
        <v>94</v>
      </c>
      <c r="D36" s="32"/>
      <c r="E36" s="32" t="s">
        <v>141</v>
      </c>
      <c r="F36" s="32" t="s">
        <v>3416</v>
      </c>
    </row>
    <row r="37" spans="1:6" ht="69.95" customHeight="1">
      <c r="A37" s="32" t="s">
        <v>252</v>
      </c>
      <c r="B37" s="32" t="s">
        <v>3418</v>
      </c>
      <c r="C37" s="32" t="s">
        <v>96</v>
      </c>
      <c r="D37" s="32"/>
      <c r="E37" s="32" t="s">
        <v>142</v>
      </c>
      <c r="F37" s="32" t="s">
        <v>3416</v>
      </c>
    </row>
    <row r="38" spans="1:6" ht="69.95" customHeight="1">
      <c r="A38" s="32" t="s">
        <v>262</v>
      </c>
      <c r="B38" s="32" t="s">
        <v>3415</v>
      </c>
      <c r="C38" s="32" t="s">
        <v>93</v>
      </c>
      <c r="D38" s="32"/>
      <c r="E38" s="32" t="s">
        <v>140</v>
      </c>
      <c r="F38" s="32" t="s">
        <v>3416</v>
      </c>
    </row>
    <row r="39" spans="1:6" ht="69.95" customHeight="1">
      <c r="A39" s="32" t="s">
        <v>262</v>
      </c>
      <c r="B39" s="32" t="s">
        <v>3417</v>
      </c>
      <c r="C39" s="32" t="s">
        <v>94</v>
      </c>
      <c r="D39" s="32"/>
      <c r="E39" s="32" t="s">
        <v>141</v>
      </c>
      <c r="F39" s="32" t="s">
        <v>3416</v>
      </c>
    </row>
    <row r="40" spans="1:6" ht="69.95" customHeight="1">
      <c r="A40" s="32" t="s">
        <v>262</v>
      </c>
      <c r="B40" s="32" t="s">
        <v>3418</v>
      </c>
      <c r="C40" s="32" t="s">
        <v>96</v>
      </c>
      <c r="D40" s="32"/>
      <c r="E40" s="32" t="s">
        <v>142</v>
      </c>
      <c r="F40" s="32" t="s">
        <v>3416</v>
      </c>
    </row>
    <row r="41" spans="1:6" ht="69.95" customHeight="1">
      <c r="A41" s="32" t="s">
        <v>274</v>
      </c>
      <c r="B41" s="32" t="s">
        <v>3415</v>
      </c>
      <c r="C41" s="32" t="s">
        <v>93</v>
      </c>
      <c r="D41" s="32"/>
      <c r="E41" s="32" t="s">
        <v>140</v>
      </c>
      <c r="F41" s="32" t="s">
        <v>3416</v>
      </c>
    </row>
    <row r="42" spans="1:6" ht="69.95" customHeight="1">
      <c r="A42" s="32" t="s">
        <v>274</v>
      </c>
      <c r="B42" s="32" t="s">
        <v>3417</v>
      </c>
      <c r="C42" s="32" t="s">
        <v>94</v>
      </c>
      <c r="D42" s="32"/>
      <c r="E42" s="32" t="s">
        <v>141</v>
      </c>
      <c r="F42" s="32" t="s">
        <v>3416</v>
      </c>
    </row>
    <row r="43" spans="1:6" ht="69.95" customHeight="1">
      <c r="A43" s="32" t="s">
        <v>274</v>
      </c>
      <c r="B43" s="32" t="s">
        <v>3418</v>
      </c>
      <c r="C43" s="32" t="s">
        <v>96</v>
      </c>
      <c r="D43" s="32"/>
      <c r="E43" s="32" t="s">
        <v>142</v>
      </c>
      <c r="F43" s="32" t="s">
        <v>3416</v>
      </c>
    </row>
    <row r="44" spans="1:6" ht="69.95" customHeight="1">
      <c r="A44" s="32" t="s">
        <v>287</v>
      </c>
      <c r="B44" s="32" t="s">
        <v>3415</v>
      </c>
      <c r="C44" s="32" t="s">
        <v>93</v>
      </c>
      <c r="D44" s="32"/>
      <c r="E44" s="32" t="s">
        <v>140</v>
      </c>
      <c r="F44" s="32" t="s">
        <v>3416</v>
      </c>
    </row>
    <row r="45" spans="1:6" ht="69.95" customHeight="1">
      <c r="A45" s="32" t="s">
        <v>287</v>
      </c>
      <c r="B45" s="32" t="s">
        <v>3417</v>
      </c>
      <c r="C45" s="32" t="s">
        <v>94</v>
      </c>
      <c r="D45" s="32"/>
      <c r="E45" s="32" t="s">
        <v>141</v>
      </c>
      <c r="F45" s="32" t="s">
        <v>3416</v>
      </c>
    </row>
    <row r="46" spans="1:6" ht="69.95" customHeight="1">
      <c r="A46" s="32" t="s">
        <v>287</v>
      </c>
      <c r="B46" s="32" t="s">
        <v>3418</v>
      </c>
      <c r="C46" s="32" t="s">
        <v>96</v>
      </c>
      <c r="D46" s="32"/>
      <c r="E46" s="32" t="s">
        <v>142</v>
      </c>
      <c r="F46" s="32" t="s">
        <v>3416</v>
      </c>
    </row>
    <row r="47" spans="1:6" ht="69.95" customHeight="1">
      <c r="A47" s="32" t="s">
        <v>299</v>
      </c>
      <c r="B47" s="32" t="s">
        <v>3415</v>
      </c>
      <c r="C47" s="32" t="s">
        <v>93</v>
      </c>
      <c r="D47" s="32"/>
      <c r="E47" s="32" t="s">
        <v>140</v>
      </c>
      <c r="F47" s="32" t="s">
        <v>3416</v>
      </c>
    </row>
    <row r="48" spans="1:6" ht="69.95" customHeight="1">
      <c r="A48" s="32" t="s">
        <v>299</v>
      </c>
      <c r="B48" s="32" t="s">
        <v>3417</v>
      </c>
      <c r="C48" s="32" t="s">
        <v>94</v>
      </c>
      <c r="D48" s="32"/>
      <c r="E48" s="32" t="s">
        <v>141</v>
      </c>
      <c r="F48" s="32" t="s">
        <v>3416</v>
      </c>
    </row>
    <row r="49" spans="1:6" ht="69.95" customHeight="1">
      <c r="A49" s="32" t="s">
        <v>299</v>
      </c>
      <c r="B49" s="32" t="s">
        <v>3418</v>
      </c>
      <c r="C49" s="32" t="s">
        <v>96</v>
      </c>
      <c r="D49" s="32"/>
      <c r="E49" s="32" t="s">
        <v>142</v>
      </c>
      <c r="F49" s="32" t="s">
        <v>3416</v>
      </c>
    </row>
    <row r="50" spans="1:6" ht="69.95" customHeight="1">
      <c r="A50" s="32" t="s">
        <v>309</v>
      </c>
      <c r="B50" s="32" t="s">
        <v>3415</v>
      </c>
      <c r="C50" s="32" t="s">
        <v>93</v>
      </c>
      <c r="D50" s="32"/>
      <c r="E50" s="32" t="s">
        <v>140</v>
      </c>
      <c r="F50" s="32" t="s">
        <v>3416</v>
      </c>
    </row>
    <row r="51" spans="1:6" ht="69.95" customHeight="1">
      <c r="A51" s="32" t="s">
        <v>309</v>
      </c>
      <c r="B51" s="32" t="s">
        <v>3417</v>
      </c>
      <c r="C51" s="32" t="s">
        <v>94</v>
      </c>
      <c r="D51" s="32"/>
      <c r="E51" s="32" t="s">
        <v>141</v>
      </c>
      <c r="F51" s="32" t="s">
        <v>3416</v>
      </c>
    </row>
    <row r="52" spans="1:6" ht="69.95" customHeight="1">
      <c r="A52" s="32" t="s">
        <v>309</v>
      </c>
      <c r="B52" s="32" t="s">
        <v>3418</v>
      </c>
      <c r="C52" s="32" t="s">
        <v>96</v>
      </c>
      <c r="D52" s="32"/>
      <c r="E52" s="32" t="s">
        <v>142</v>
      </c>
      <c r="F52" s="32" t="s">
        <v>3416</v>
      </c>
    </row>
    <row r="53" spans="1:6" ht="69.95" customHeight="1">
      <c r="A53" s="32" t="s">
        <v>322</v>
      </c>
      <c r="B53" s="32" t="s">
        <v>3415</v>
      </c>
      <c r="C53" s="32" t="s">
        <v>93</v>
      </c>
      <c r="D53" s="32"/>
      <c r="E53" s="32" t="s">
        <v>140</v>
      </c>
      <c r="F53" s="32" t="s">
        <v>3416</v>
      </c>
    </row>
    <row r="54" spans="1:6" ht="69.95" customHeight="1">
      <c r="A54" s="32" t="s">
        <v>322</v>
      </c>
      <c r="B54" s="32" t="s">
        <v>3417</v>
      </c>
      <c r="C54" s="32" t="s">
        <v>94</v>
      </c>
      <c r="D54" s="32"/>
      <c r="E54" s="32" t="s">
        <v>141</v>
      </c>
      <c r="F54" s="32" t="s">
        <v>3416</v>
      </c>
    </row>
    <row r="55" spans="1:6" ht="69.95" customHeight="1">
      <c r="A55" s="32" t="s">
        <v>322</v>
      </c>
      <c r="B55" s="32" t="s">
        <v>3418</v>
      </c>
      <c r="C55" s="32" t="s">
        <v>96</v>
      </c>
      <c r="D55" s="32"/>
      <c r="E55" s="32" t="s">
        <v>142</v>
      </c>
      <c r="F55" s="32" t="s">
        <v>3416</v>
      </c>
    </row>
    <row r="56" spans="1:6" ht="69.95" customHeight="1">
      <c r="A56" s="32" t="s">
        <v>334</v>
      </c>
      <c r="B56" s="32" t="s">
        <v>3415</v>
      </c>
      <c r="C56" s="32" t="s">
        <v>93</v>
      </c>
      <c r="D56" s="32"/>
      <c r="E56" s="32" t="s">
        <v>140</v>
      </c>
      <c r="F56" s="32" t="s">
        <v>3416</v>
      </c>
    </row>
    <row r="57" spans="1:6" ht="69.95" customHeight="1">
      <c r="A57" s="32" t="s">
        <v>334</v>
      </c>
      <c r="B57" s="32" t="s">
        <v>3417</v>
      </c>
      <c r="C57" s="32" t="s">
        <v>94</v>
      </c>
      <c r="D57" s="32"/>
      <c r="E57" s="32" t="s">
        <v>141</v>
      </c>
      <c r="F57" s="32" t="s">
        <v>3416</v>
      </c>
    </row>
    <row r="58" spans="1:6" ht="69.95" customHeight="1">
      <c r="A58" s="32" t="s">
        <v>334</v>
      </c>
      <c r="B58" s="32" t="s">
        <v>3418</v>
      </c>
      <c r="C58" s="32" t="s">
        <v>96</v>
      </c>
      <c r="D58" s="32"/>
      <c r="E58" s="32" t="s">
        <v>142</v>
      </c>
      <c r="F58" s="32" t="s">
        <v>3416</v>
      </c>
    </row>
    <row r="59" spans="1:6" ht="69.95" customHeight="1">
      <c r="A59" s="32" t="s">
        <v>346</v>
      </c>
      <c r="B59" s="32" t="s">
        <v>3415</v>
      </c>
      <c r="C59" s="32" t="s">
        <v>93</v>
      </c>
      <c r="D59" s="32"/>
      <c r="E59" s="32" t="s">
        <v>140</v>
      </c>
      <c r="F59" s="32" t="s">
        <v>3416</v>
      </c>
    </row>
    <row r="60" spans="1:6" ht="69.95" customHeight="1">
      <c r="A60" s="32" t="s">
        <v>346</v>
      </c>
      <c r="B60" s="32" t="s">
        <v>3417</v>
      </c>
      <c r="C60" s="32" t="s">
        <v>94</v>
      </c>
      <c r="D60" s="32"/>
      <c r="E60" s="32" t="s">
        <v>141</v>
      </c>
      <c r="F60" s="32" t="s">
        <v>3416</v>
      </c>
    </row>
    <row r="61" spans="1:6" ht="69.95" customHeight="1">
      <c r="A61" s="32" t="s">
        <v>346</v>
      </c>
      <c r="B61" s="32" t="s">
        <v>3418</v>
      </c>
      <c r="C61" s="32" t="s">
        <v>96</v>
      </c>
      <c r="D61" s="32"/>
      <c r="E61" s="32" t="s">
        <v>142</v>
      </c>
      <c r="F61" s="32" t="s">
        <v>3416</v>
      </c>
    </row>
    <row r="62" spans="1:6" ht="69.95" customHeight="1">
      <c r="A62" s="32" t="s">
        <v>356</v>
      </c>
      <c r="B62" s="32" t="s">
        <v>3419</v>
      </c>
      <c r="C62" s="32" t="s">
        <v>65</v>
      </c>
      <c r="D62" s="32" t="s">
        <v>431</v>
      </c>
      <c r="E62" s="32" t="s">
        <v>274</v>
      </c>
      <c r="F62" s="32" t="s">
        <v>3420</v>
      </c>
    </row>
    <row r="63" spans="1:6" ht="69.95" customHeight="1">
      <c r="A63" s="32" t="s">
        <v>356</v>
      </c>
      <c r="B63" s="32" t="s">
        <v>3421</v>
      </c>
      <c r="C63" s="32" t="s">
        <v>66</v>
      </c>
      <c r="D63" s="32" t="s">
        <v>432</v>
      </c>
      <c r="E63" s="32" t="s">
        <v>361</v>
      </c>
      <c r="F63" s="32" t="s">
        <v>3420</v>
      </c>
    </row>
    <row r="64" spans="1:6" ht="69.95" customHeight="1">
      <c r="A64" s="32" t="s">
        <v>356</v>
      </c>
      <c r="B64" s="32" t="s">
        <v>3415</v>
      </c>
      <c r="C64" s="32" t="s">
        <v>93</v>
      </c>
      <c r="D64" s="32"/>
      <c r="E64" s="32" t="s">
        <v>140</v>
      </c>
      <c r="F64" s="32" t="s">
        <v>3416</v>
      </c>
    </row>
    <row r="65" spans="1:6" ht="69.95" customHeight="1">
      <c r="A65" s="32" t="s">
        <v>356</v>
      </c>
      <c r="B65" s="32" t="s">
        <v>3417</v>
      </c>
      <c r="C65" s="32" t="s">
        <v>94</v>
      </c>
      <c r="D65" s="32"/>
      <c r="E65" s="32" t="s">
        <v>141</v>
      </c>
      <c r="F65" s="32" t="s">
        <v>3416</v>
      </c>
    </row>
    <row r="66" spans="1:6" ht="69.95" customHeight="1">
      <c r="A66" s="32" t="s">
        <v>356</v>
      </c>
      <c r="B66" s="32" t="s">
        <v>3418</v>
      </c>
      <c r="C66" s="32" t="s">
        <v>96</v>
      </c>
      <c r="D66" s="32"/>
      <c r="E66" s="32" t="s">
        <v>142</v>
      </c>
      <c r="F66" s="32" t="s">
        <v>3416</v>
      </c>
    </row>
    <row r="67" spans="1:6" ht="69.95" customHeight="1">
      <c r="A67" s="32" t="s">
        <v>368</v>
      </c>
      <c r="B67" s="32" t="s">
        <v>3419</v>
      </c>
      <c r="C67" s="32" t="s">
        <v>65</v>
      </c>
      <c r="D67" s="32" t="s">
        <v>425</v>
      </c>
      <c r="E67" s="32" t="s">
        <v>373</v>
      </c>
      <c r="F67" s="32" t="s">
        <v>3420</v>
      </c>
    </row>
    <row r="68" spans="1:6" ht="69.95" customHeight="1">
      <c r="A68" s="32" t="s">
        <v>368</v>
      </c>
      <c r="B68" s="32" t="s">
        <v>3421</v>
      </c>
      <c r="C68" s="32" t="s">
        <v>66</v>
      </c>
      <c r="D68" s="32" t="s">
        <v>443</v>
      </c>
      <c r="E68" s="32" t="s">
        <v>374</v>
      </c>
      <c r="F68" s="32" t="s">
        <v>3420</v>
      </c>
    </row>
    <row r="69" spans="1:6" ht="69.95" customHeight="1">
      <c r="A69" s="32" t="s">
        <v>368</v>
      </c>
      <c r="B69" s="32" t="s">
        <v>3415</v>
      </c>
      <c r="C69" s="32" t="s">
        <v>93</v>
      </c>
      <c r="D69" s="32"/>
      <c r="E69" s="32" t="s">
        <v>140</v>
      </c>
      <c r="F69" s="32" t="s">
        <v>3416</v>
      </c>
    </row>
    <row r="70" spans="1:6" ht="69.95" customHeight="1">
      <c r="A70" s="32" t="s">
        <v>368</v>
      </c>
      <c r="B70" s="32" t="s">
        <v>3417</v>
      </c>
      <c r="C70" s="32" t="s">
        <v>94</v>
      </c>
      <c r="D70" s="32"/>
      <c r="E70" s="32" t="s">
        <v>141</v>
      </c>
      <c r="F70" s="32" t="s">
        <v>3416</v>
      </c>
    </row>
    <row r="71" spans="1:6" ht="69.95" customHeight="1">
      <c r="A71" s="32" t="s">
        <v>368</v>
      </c>
      <c r="B71" s="32" t="s">
        <v>3418</v>
      </c>
      <c r="C71" s="32" t="s">
        <v>96</v>
      </c>
      <c r="D71" s="32"/>
      <c r="E71" s="32" t="s">
        <v>142</v>
      </c>
      <c r="F71" s="32" t="s">
        <v>3416</v>
      </c>
    </row>
    <row r="72" spans="1:6" ht="69.95" customHeight="1">
      <c r="A72" s="32" t="s">
        <v>381</v>
      </c>
      <c r="B72" s="32" t="s">
        <v>3419</v>
      </c>
      <c r="C72" s="32" t="s">
        <v>65</v>
      </c>
      <c r="D72" s="32" t="s">
        <v>439</v>
      </c>
      <c r="E72" s="32" t="s">
        <v>386</v>
      </c>
      <c r="F72" s="32" t="s">
        <v>3420</v>
      </c>
    </row>
    <row r="73" spans="1:6" ht="69.95" customHeight="1">
      <c r="A73" s="32" t="s">
        <v>381</v>
      </c>
      <c r="B73" s="32" t="s">
        <v>3421</v>
      </c>
      <c r="C73" s="32" t="s">
        <v>66</v>
      </c>
      <c r="D73" s="32" t="s">
        <v>449</v>
      </c>
      <c r="E73" s="32" t="s">
        <v>387</v>
      </c>
      <c r="F73" s="32" t="s">
        <v>3420</v>
      </c>
    </row>
    <row r="74" spans="1:6" ht="69.95" customHeight="1">
      <c r="A74" s="32" t="s">
        <v>381</v>
      </c>
      <c r="B74" s="32" t="s">
        <v>3415</v>
      </c>
      <c r="C74" s="32" t="s">
        <v>93</v>
      </c>
      <c r="D74" s="32"/>
      <c r="E74" s="32" t="s">
        <v>140</v>
      </c>
      <c r="F74" s="32" t="s">
        <v>3416</v>
      </c>
    </row>
    <row r="75" spans="1:6" ht="69.95" customHeight="1">
      <c r="A75" s="32" t="s">
        <v>381</v>
      </c>
      <c r="B75" s="32" t="s">
        <v>3417</v>
      </c>
      <c r="C75" s="32" t="s">
        <v>94</v>
      </c>
      <c r="D75" s="32"/>
      <c r="E75" s="32" t="s">
        <v>141</v>
      </c>
      <c r="F75" s="32" t="s">
        <v>3416</v>
      </c>
    </row>
    <row r="76" spans="1:6" ht="69.95" customHeight="1">
      <c r="A76" s="32" t="s">
        <v>381</v>
      </c>
      <c r="B76" s="32" t="s">
        <v>3418</v>
      </c>
      <c r="C76" s="32" t="s">
        <v>96</v>
      </c>
      <c r="D76" s="32"/>
      <c r="E76" s="32" t="s">
        <v>142</v>
      </c>
      <c r="F76" s="32" t="s">
        <v>3416</v>
      </c>
    </row>
    <row r="77" spans="1:6" ht="69.95" customHeight="1">
      <c r="A77" s="32" t="s">
        <v>392</v>
      </c>
      <c r="B77" s="32" t="s">
        <v>3419</v>
      </c>
      <c r="C77" s="32" t="s">
        <v>65</v>
      </c>
      <c r="D77" s="32" t="s">
        <v>456</v>
      </c>
      <c r="E77" s="32" t="s">
        <v>397</v>
      </c>
      <c r="F77" s="32" t="s">
        <v>3420</v>
      </c>
    </row>
    <row r="78" spans="1:6" ht="69.95" customHeight="1">
      <c r="A78" s="32" t="s">
        <v>392</v>
      </c>
      <c r="B78" s="32" t="s">
        <v>3421</v>
      </c>
      <c r="C78" s="32" t="s">
        <v>66</v>
      </c>
      <c r="D78" s="32" t="s">
        <v>457</v>
      </c>
      <c r="E78" s="32" t="s">
        <v>398</v>
      </c>
      <c r="F78" s="32" t="s">
        <v>3420</v>
      </c>
    </row>
    <row r="79" spans="1:6" ht="69.95" customHeight="1">
      <c r="A79" s="32" t="s">
        <v>392</v>
      </c>
      <c r="B79" s="32" t="s">
        <v>3415</v>
      </c>
      <c r="C79" s="32" t="s">
        <v>93</v>
      </c>
      <c r="D79" s="32"/>
      <c r="E79" s="32" t="s">
        <v>140</v>
      </c>
      <c r="F79" s="32" t="s">
        <v>3416</v>
      </c>
    </row>
    <row r="80" spans="1:6" ht="69.95" customHeight="1">
      <c r="A80" s="32" t="s">
        <v>392</v>
      </c>
      <c r="B80" s="32" t="s">
        <v>3417</v>
      </c>
      <c r="C80" s="32" t="s">
        <v>94</v>
      </c>
      <c r="D80" s="32"/>
      <c r="E80" s="32" t="s">
        <v>141</v>
      </c>
      <c r="F80" s="32" t="s">
        <v>3416</v>
      </c>
    </row>
    <row r="81" spans="1:6" ht="69.95" customHeight="1">
      <c r="A81" s="32" t="s">
        <v>392</v>
      </c>
      <c r="B81" s="32" t="s">
        <v>3418</v>
      </c>
      <c r="C81" s="32" t="s">
        <v>96</v>
      </c>
      <c r="D81" s="32"/>
      <c r="E81" s="32" t="s">
        <v>142</v>
      </c>
      <c r="F81" s="32" t="s">
        <v>3416</v>
      </c>
    </row>
    <row r="82" spans="1:6" ht="69.95" customHeight="1">
      <c r="A82" s="32" t="s">
        <v>405</v>
      </c>
      <c r="B82" s="32" t="s">
        <v>3419</v>
      </c>
      <c r="C82" s="32" t="s">
        <v>65</v>
      </c>
      <c r="D82" s="32" t="s">
        <v>468</v>
      </c>
      <c r="E82" s="32" t="s">
        <v>368</v>
      </c>
      <c r="F82" s="32" t="s">
        <v>3420</v>
      </c>
    </row>
    <row r="83" spans="1:6" ht="69.95" customHeight="1">
      <c r="A83" s="32" t="s">
        <v>405</v>
      </c>
      <c r="B83" s="32" t="s">
        <v>3421</v>
      </c>
      <c r="C83" s="32" t="s">
        <v>66</v>
      </c>
      <c r="D83" s="32" t="s">
        <v>469</v>
      </c>
      <c r="E83" s="32" t="s">
        <v>410</v>
      </c>
      <c r="F83" s="32" t="s">
        <v>3420</v>
      </c>
    </row>
    <row r="84" spans="1:6" ht="69.95" customHeight="1">
      <c r="A84" s="32" t="s">
        <v>405</v>
      </c>
      <c r="B84" s="32" t="s">
        <v>3415</v>
      </c>
      <c r="C84" s="32" t="s">
        <v>93</v>
      </c>
      <c r="D84" s="32"/>
      <c r="E84" s="32" t="s">
        <v>140</v>
      </c>
      <c r="F84" s="32" t="s">
        <v>3416</v>
      </c>
    </row>
    <row r="85" spans="1:6" ht="69.95" customHeight="1">
      <c r="A85" s="32" t="s">
        <v>405</v>
      </c>
      <c r="B85" s="32" t="s">
        <v>3417</v>
      </c>
      <c r="C85" s="32" t="s">
        <v>94</v>
      </c>
      <c r="D85" s="32"/>
      <c r="E85" s="32" t="s">
        <v>141</v>
      </c>
      <c r="F85" s="32" t="s">
        <v>3416</v>
      </c>
    </row>
    <row r="86" spans="1:6" ht="69.95" customHeight="1">
      <c r="A86" s="32" t="s">
        <v>405</v>
      </c>
      <c r="B86" s="32" t="s">
        <v>3418</v>
      </c>
      <c r="C86" s="32" t="s">
        <v>96</v>
      </c>
      <c r="D86" s="32"/>
      <c r="E86" s="32" t="s">
        <v>142</v>
      </c>
      <c r="F86" s="32" t="s">
        <v>3416</v>
      </c>
    </row>
    <row r="87" spans="1:6" ht="69.95" customHeight="1">
      <c r="A87" s="32" t="s">
        <v>414</v>
      </c>
      <c r="B87" s="32" t="s">
        <v>3419</v>
      </c>
      <c r="C87" s="32" t="s">
        <v>65</v>
      </c>
      <c r="D87" s="32" t="s">
        <v>463</v>
      </c>
      <c r="E87" s="32" t="s">
        <v>158</v>
      </c>
      <c r="F87" s="32" t="s">
        <v>3420</v>
      </c>
    </row>
    <row r="88" spans="1:6" ht="69.95" customHeight="1">
      <c r="A88" s="32" t="s">
        <v>414</v>
      </c>
      <c r="B88" s="32" t="s">
        <v>3421</v>
      </c>
      <c r="C88" s="32" t="s">
        <v>66</v>
      </c>
      <c r="D88" s="32" t="s">
        <v>2732</v>
      </c>
      <c r="E88" s="32" t="s">
        <v>368</v>
      </c>
      <c r="F88" s="32" t="s">
        <v>3420</v>
      </c>
    </row>
    <row r="89" spans="1:6" ht="69.95" customHeight="1">
      <c r="A89" s="32" t="s">
        <v>414</v>
      </c>
      <c r="B89" s="32" t="s">
        <v>3415</v>
      </c>
      <c r="C89" s="32" t="s">
        <v>93</v>
      </c>
      <c r="D89" s="32"/>
      <c r="E89" s="32" t="s">
        <v>140</v>
      </c>
      <c r="F89" s="32" t="s">
        <v>3416</v>
      </c>
    </row>
    <row r="90" spans="1:6" ht="69.95" customHeight="1">
      <c r="A90" s="32" t="s">
        <v>414</v>
      </c>
      <c r="B90" s="32" t="s">
        <v>3417</v>
      </c>
      <c r="C90" s="32" t="s">
        <v>94</v>
      </c>
      <c r="D90" s="32"/>
      <c r="E90" s="32" t="s">
        <v>141</v>
      </c>
      <c r="F90" s="32" t="s">
        <v>3416</v>
      </c>
    </row>
    <row r="91" spans="1:6" ht="69.95" customHeight="1">
      <c r="A91" s="32" t="s">
        <v>414</v>
      </c>
      <c r="B91" s="32" t="s">
        <v>3418</v>
      </c>
      <c r="C91" s="32" t="s">
        <v>96</v>
      </c>
      <c r="D91" s="32"/>
      <c r="E91" s="32" t="s">
        <v>142</v>
      </c>
      <c r="F91" s="32" t="s">
        <v>3416</v>
      </c>
    </row>
    <row r="92" spans="1:6" ht="69.95" customHeight="1">
      <c r="A92" s="32" t="s">
        <v>425</v>
      </c>
      <c r="B92" s="32" t="s">
        <v>3419</v>
      </c>
      <c r="C92" s="32" t="s">
        <v>65</v>
      </c>
      <c r="D92" s="32" t="s">
        <v>493</v>
      </c>
      <c r="E92" s="32" t="s">
        <v>431</v>
      </c>
      <c r="F92" s="32" t="s">
        <v>3420</v>
      </c>
    </row>
    <row r="93" spans="1:6" ht="69.95" customHeight="1">
      <c r="A93" s="32" t="s">
        <v>425</v>
      </c>
      <c r="B93" s="32" t="s">
        <v>3421</v>
      </c>
      <c r="C93" s="32" t="s">
        <v>66</v>
      </c>
      <c r="D93" s="32" t="s">
        <v>457</v>
      </c>
      <c r="E93" s="32" t="s">
        <v>432</v>
      </c>
      <c r="F93" s="32" t="s">
        <v>3420</v>
      </c>
    </row>
    <row r="94" spans="1:6" ht="69.95" customHeight="1">
      <c r="A94" s="32" t="s">
        <v>425</v>
      </c>
      <c r="B94" s="32" t="s">
        <v>3415</v>
      </c>
      <c r="C94" s="32" t="s">
        <v>93</v>
      </c>
      <c r="D94" s="32"/>
      <c r="E94" s="32" t="s">
        <v>140</v>
      </c>
      <c r="F94" s="32" t="s">
        <v>3416</v>
      </c>
    </row>
    <row r="95" spans="1:6" ht="69.95" customHeight="1">
      <c r="A95" s="32" t="s">
        <v>425</v>
      </c>
      <c r="B95" s="32" t="s">
        <v>3417</v>
      </c>
      <c r="C95" s="32" t="s">
        <v>94</v>
      </c>
      <c r="D95" s="32"/>
      <c r="E95" s="32" t="s">
        <v>141</v>
      </c>
      <c r="F95" s="32" t="s">
        <v>3416</v>
      </c>
    </row>
    <row r="96" spans="1:6" ht="69.95" customHeight="1">
      <c r="A96" s="32" t="s">
        <v>425</v>
      </c>
      <c r="B96" s="32" t="s">
        <v>3418</v>
      </c>
      <c r="C96" s="32" t="s">
        <v>96</v>
      </c>
      <c r="D96" s="32"/>
      <c r="E96" s="32" t="s">
        <v>142</v>
      </c>
      <c r="F96" s="32" t="s">
        <v>3416</v>
      </c>
    </row>
    <row r="97" spans="1:6" ht="69.95" customHeight="1">
      <c r="A97" s="32" t="s">
        <v>439</v>
      </c>
      <c r="B97" s="32" t="s">
        <v>3419</v>
      </c>
      <c r="C97" s="32" t="s">
        <v>65</v>
      </c>
      <c r="D97" s="32" t="s">
        <v>503</v>
      </c>
      <c r="E97" s="32" t="s">
        <v>425</v>
      </c>
      <c r="F97" s="32" t="s">
        <v>3420</v>
      </c>
    </row>
    <row r="98" spans="1:6" ht="69.95" customHeight="1">
      <c r="A98" s="32" t="s">
        <v>439</v>
      </c>
      <c r="B98" s="32" t="s">
        <v>3421</v>
      </c>
      <c r="C98" s="32" t="s">
        <v>66</v>
      </c>
      <c r="D98" s="32" t="s">
        <v>504</v>
      </c>
      <c r="E98" s="32" t="s">
        <v>443</v>
      </c>
      <c r="F98" s="32" t="s">
        <v>3420</v>
      </c>
    </row>
    <row r="99" spans="1:6" ht="69.95" customHeight="1">
      <c r="A99" s="32" t="s">
        <v>439</v>
      </c>
      <c r="B99" s="32" t="s">
        <v>3415</v>
      </c>
      <c r="C99" s="32" t="s">
        <v>93</v>
      </c>
      <c r="D99" s="32"/>
      <c r="E99" s="32" t="s">
        <v>140</v>
      </c>
      <c r="F99" s="32" t="s">
        <v>3416</v>
      </c>
    </row>
    <row r="100" spans="1:6" ht="69.95" customHeight="1">
      <c r="A100" s="32" t="s">
        <v>439</v>
      </c>
      <c r="B100" s="32" t="s">
        <v>3417</v>
      </c>
      <c r="C100" s="32" t="s">
        <v>94</v>
      </c>
      <c r="D100" s="32"/>
      <c r="E100" s="32" t="s">
        <v>141</v>
      </c>
      <c r="F100" s="32" t="s">
        <v>3416</v>
      </c>
    </row>
    <row r="101" spans="1:6" ht="69.95" customHeight="1">
      <c r="A101" s="32" t="s">
        <v>439</v>
      </c>
      <c r="B101" s="32" t="s">
        <v>3418</v>
      </c>
      <c r="C101" s="32" t="s">
        <v>96</v>
      </c>
      <c r="D101" s="32"/>
      <c r="E101" s="32" t="s">
        <v>142</v>
      </c>
      <c r="F101" s="32" t="s">
        <v>3416</v>
      </c>
    </row>
    <row r="102" spans="1:6" ht="69.95" customHeight="1">
      <c r="A102" s="32" t="s">
        <v>445</v>
      </c>
      <c r="B102" s="32" t="s">
        <v>3419</v>
      </c>
      <c r="C102" s="32" t="s">
        <v>65</v>
      </c>
      <c r="D102" s="32" t="s">
        <v>512</v>
      </c>
      <c r="E102" s="32" t="s">
        <v>439</v>
      </c>
      <c r="F102" s="32" t="s">
        <v>3420</v>
      </c>
    </row>
    <row r="103" spans="1:6" ht="69.95" customHeight="1">
      <c r="A103" s="32" t="s">
        <v>445</v>
      </c>
      <c r="B103" s="32" t="s">
        <v>3421</v>
      </c>
      <c r="C103" s="32" t="s">
        <v>66</v>
      </c>
      <c r="D103" s="32" t="s">
        <v>457</v>
      </c>
      <c r="E103" s="32" t="s">
        <v>449</v>
      </c>
      <c r="F103" s="32" t="s">
        <v>3420</v>
      </c>
    </row>
    <row r="104" spans="1:6" ht="69.95" customHeight="1">
      <c r="A104" s="32" t="s">
        <v>445</v>
      </c>
      <c r="B104" s="32" t="s">
        <v>3415</v>
      </c>
      <c r="C104" s="32" t="s">
        <v>93</v>
      </c>
      <c r="D104" s="32"/>
      <c r="E104" s="32" t="s">
        <v>140</v>
      </c>
      <c r="F104" s="32" t="s">
        <v>3416</v>
      </c>
    </row>
    <row r="105" spans="1:6" ht="69.95" customHeight="1">
      <c r="A105" s="32" t="s">
        <v>445</v>
      </c>
      <c r="B105" s="32" t="s">
        <v>3417</v>
      </c>
      <c r="C105" s="32" t="s">
        <v>94</v>
      </c>
      <c r="D105" s="32"/>
      <c r="E105" s="32" t="s">
        <v>141</v>
      </c>
      <c r="F105" s="32" t="s">
        <v>3416</v>
      </c>
    </row>
    <row r="106" spans="1:6" ht="69.95" customHeight="1">
      <c r="A106" s="32" t="s">
        <v>445</v>
      </c>
      <c r="B106" s="32" t="s">
        <v>3418</v>
      </c>
      <c r="C106" s="32" t="s">
        <v>96</v>
      </c>
      <c r="D106" s="32"/>
      <c r="E106" s="32" t="s">
        <v>142</v>
      </c>
      <c r="F106" s="32" t="s">
        <v>3416</v>
      </c>
    </row>
    <row r="107" spans="1:6" ht="69.95" customHeight="1">
      <c r="A107" s="32" t="s">
        <v>451</v>
      </c>
      <c r="B107" s="32" t="s">
        <v>3419</v>
      </c>
      <c r="C107" s="32" t="s">
        <v>65</v>
      </c>
      <c r="D107" s="32" t="s">
        <v>519</v>
      </c>
      <c r="E107" s="32" t="s">
        <v>456</v>
      </c>
      <c r="F107" s="32" t="s">
        <v>3420</v>
      </c>
    </row>
    <row r="108" spans="1:6" ht="69.95" customHeight="1">
      <c r="A108" s="32" t="s">
        <v>451</v>
      </c>
      <c r="B108" s="32" t="s">
        <v>3421</v>
      </c>
      <c r="C108" s="32" t="s">
        <v>66</v>
      </c>
      <c r="D108" s="32" t="s">
        <v>520</v>
      </c>
      <c r="E108" s="32" t="s">
        <v>457</v>
      </c>
      <c r="F108" s="32" t="s">
        <v>3420</v>
      </c>
    </row>
    <row r="109" spans="1:6" ht="69.95" customHeight="1">
      <c r="A109" s="32" t="s">
        <v>451</v>
      </c>
      <c r="B109" s="32" t="s">
        <v>3415</v>
      </c>
      <c r="C109" s="32" t="s">
        <v>93</v>
      </c>
      <c r="D109" s="32"/>
      <c r="E109" s="32" t="s">
        <v>462</v>
      </c>
      <c r="F109" s="32" t="s">
        <v>3416</v>
      </c>
    </row>
    <row r="110" spans="1:6" ht="69.95" customHeight="1">
      <c r="A110" s="32" t="s">
        <v>451</v>
      </c>
      <c r="B110" s="32" t="s">
        <v>3417</v>
      </c>
      <c r="C110" s="32" t="s">
        <v>94</v>
      </c>
      <c r="D110" s="32"/>
      <c r="E110" s="32" t="s">
        <v>141</v>
      </c>
      <c r="F110" s="32" t="s">
        <v>3416</v>
      </c>
    </row>
    <row r="111" spans="1:6" ht="69.95" customHeight="1">
      <c r="A111" s="32" t="s">
        <v>451</v>
      </c>
      <c r="B111" s="32" t="s">
        <v>3418</v>
      </c>
      <c r="C111" s="32" t="s">
        <v>96</v>
      </c>
      <c r="D111" s="32"/>
      <c r="E111" s="32" t="s">
        <v>142</v>
      </c>
      <c r="F111" s="32" t="s">
        <v>3416</v>
      </c>
    </row>
    <row r="112" spans="1:6" ht="69.95" customHeight="1">
      <c r="A112" s="32" t="s">
        <v>463</v>
      </c>
      <c r="B112" s="32" t="s">
        <v>3422</v>
      </c>
      <c r="C112" s="32" t="s">
        <v>63</v>
      </c>
      <c r="D112" s="32" t="s">
        <v>653</v>
      </c>
      <c r="E112" s="32" t="s">
        <v>116</v>
      </c>
      <c r="F112" s="32" t="s">
        <v>3423</v>
      </c>
    </row>
    <row r="113" spans="1:6" ht="69.95" customHeight="1">
      <c r="A113" s="32" t="s">
        <v>463</v>
      </c>
      <c r="B113" s="32" t="s">
        <v>3419</v>
      </c>
      <c r="C113" s="32" t="s">
        <v>65</v>
      </c>
      <c r="D113" s="32" t="s">
        <v>527</v>
      </c>
      <c r="E113" s="32" t="s">
        <v>468</v>
      </c>
      <c r="F113" s="32" t="s">
        <v>3420</v>
      </c>
    </row>
    <row r="114" spans="1:6" ht="69.95" customHeight="1">
      <c r="A114" s="32" t="s">
        <v>463</v>
      </c>
      <c r="B114" s="32" t="s">
        <v>3421</v>
      </c>
      <c r="C114" s="32" t="s">
        <v>66</v>
      </c>
      <c r="D114" s="32" t="s">
        <v>528</v>
      </c>
      <c r="E114" s="32" t="s">
        <v>469</v>
      </c>
      <c r="F114" s="32" t="s">
        <v>3420</v>
      </c>
    </row>
    <row r="115" spans="1:6" ht="69.95" customHeight="1">
      <c r="A115" s="32" t="s">
        <v>463</v>
      </c>
      <c r="B115" s="32" t="s">
        <v>3424</v>
      </c>
      <c r="C115" s="32" t="s">
        <v>76</v>
      </c>
      <c r="D115" s="32" t="s">
        <v>435</v>
      </c>
      <c r="E115" s="32" t="s">
        <v>470</v>
      </c>
      <c r="F115" s="32" t="s">
        <v>3425</v>
      </c>
    </row>
    <row r="116" spans="1:6" ht="69.95" customHeight="1">
      <c r="A116" s="32" t="s">
        <v>463</v>
      </c>
      <c r="B116" s="32" t="s">
        <v>3426</v>
      </c>
      <c r="C116" s="32" t="s">
        <v>77</v>
      </c>
      <c r="D116" s="32"/>
      <c r="E116" s="32" t="s">
        <v>12</v>
      </c>
      <c r="F116" s="32" t="s">
        <v>3427</v>
      </c>
    </row>
    <row r="117" spans="1:6" ht="69.95" customHeight="1">
      <c r="A117" s="32" t="s">
        <v>463</v>
      </c>
      <c r="B117" s="32" t="s">
        <v>3428</v>
      </c>
      <c r="C117" s="32" t="s">
        <v>87</v>
      </c>
      <c r="D117" s="32"/>
      <c r="E117" s="32" t="s">
        <v>3429</v>
      </c>
      <c r="F117" s="32" t="s">
        <v>3430</v>
      </c>
    </row>
    <row r="118" spans="1:6" ht="69.95" customHeight="1">
      <c r="A118" s="32" t="s">
        <v>463</v>
      </c>
      <c r="B118" s="32" t="s">
        <v>3415</v>
      </c>
      <c r="C118" s="32" t="s">
        <v>93</v>
      </c>
      <c r="D118" s="32"/>
      <c r="E118" s="32" t="s">
        <v>3431</v>
      </c>
      <c r="F118" s="32" t="s">
        <v>3432</v>
      </c>
    </row>
    <row r="119" spans="1:6" ht="69.95" customHeight="1">
      <c r="A119" s="32" t="s">
        <v>463</v>
      </c>
      <c r="B119" s="32" t="s">
        <v>3417</v>
      </c>
      <c r="C119" s="32" t="s">
        <v>94</v>
      </c>
      <c r="D119" s="32"/>
      <c r="E119" s="32" t="s">
        <v>3429</v>
      </c>
      <c r="F119" s="32" t="s">
        <v>3433</v>
      </c>
    </row>
    <row r="120" spans="1:6" ht="69.95" customHeight="1">
      <c r="A120" s="32" t="s">
        <v>463</v>
      </c>
      <c r="B120" s="32" t="s">
        <v>3434</v>
      </c>
      <c r="C120" s="32" t="s">
        <v>95</v>
      </c>
      <c r="D120" s="32"/>
      <c r="E120" s="32" t="s">
        <v>475</v>
      </c>
      <c r="F120" s="32" t="s">
        <v>3435</v>
      </c>
    </row>
    <row r="121" spans="1:6" ht="69.95" customHeight="1">
      <c r="A121" s="32" t="s">
        <v>463</v>
      </c>
      <c r="B121" s="32" t="s">
        <v>3418</v>
      </c>
      <c r="C121" s="32" t="s">
        <v>96</v>
      </c>
      <c r="D121" s="32"/>
      <c r="E121" s="32" t="s">
        <v>142</v>
      </c>
      <c r="F121" s="32" t="s">
        <v>3416</v>
      </c>
    </row>
    <row r="122" spans="1:6" ht="69.95" customHeight="1">
      <c r="A122" s="32" t="s">
        <v>476</v>
      </c>
      <c r="B122" s="32" t="s">
        <v>3419</v>
      </c>
      <c r="C122" s="32" t="s">
        <v>65</v>
      </c>
      <c r="D122" s="32" t="s">
        <v>543</v>
      </c>
      <c r="E122" s="32" t="s">
        <v>463</v>
      </c>
      <c r="F122" s="32" t="s">
        <v>3420</v>
      </c>
    </row>
    <row r="123" spans="1:6" ht="69.95" customHeight="1">
      <c r="A123" s="32" t="s">
        <v>476</v>
      </c>
      <c r="B123" s="32" t="s">
        <v>3421</v>
      </c>
      <c r="C123" s="32" t="s">
        <v>66</v>
      </c>
      <c r="D123" s="32" t="s">
        <v>544</v>
      </c>
      <c r="E123" s="32" t="s">
        <v>2732</v>
      </c>
      <c r="F123" s="32" t="s">
        <v>3420</v>
      </c>
    </row>
    <row r="124" spans="1:6" ht="69.95" customHeight="1">
      <c r="A124" s="32" t="s">
        <v>476</v>
      </c>
      <c r="B124" s="32" t="s">
        <v>3415</v>
      </c>
      <c r="C124" s="32" t="s">
        <v>93</v>
      </c>
      <c r="D124" s="32"/>
      <c r="E124" s="32" t="s">
        <v>462</v>
      </c>
      <c r="F124" s="32" t="s">
        <v>3416</v>
      </c>
    </row>
    <row r="125" spans="1:6" ht="69.95" customHeight="1">
      <c r="A125" s="32" t="s">
        <v>476</v>
      </c>
      <c r="B125" s="32" t="s">
        <v>3417</v>
      </c>
      <c r="C125" s="32" t="s">
        <v>94</v>
      </c>
      <c r="D125" s="32"/>
      <c r="E125" s="32" t="s">
        <v>141</v>
      </c>
      <c r="F125" s="32" t="s">
        <v>3416</v>
      </c>
    </row>
    <row r="126" spans="1:6" ht="69.95" customHeight="1">
      <c r="A126" s="32" t="s">
        <v>476</v>
      </c>
      <c r="B126" s="32" t="s">
        <v>3418</v>
      </c>
      <c r="C126" s="32" t="s">
        <v>96</v>
      </c>
      <c r="D126" s="32"/>
      <c r="E126" s="32" t="s">
        <v>142</v>
      </c>
      <c r="F126" s="32" t="s">
        <v>3416</v>
      </c>
    </row>
    <row r="127" spans="1:6" ht="69.95" customHeight="1">
      <c r="A127" s="32" t="s">
        <v>489</v>
      </c>
      <c r="B127" s="32" t="s">
        <v>3436</v>
      </c>
      <c r="C127" s="32" t="s">
        <v>60</v>
      </c>
      <c r="D127" s="32" t="s">
        <v>2924</v>
      </c>
      <c r="E127" s="32" t="s">
        <v>491</v>
      </c>
      <c r="F127" s="32" t="s">
        <v>3437</v>
      </c>
    </row>
    <row r="128" spans="1:6" ht="69.95" customHeight="1">
      <c r="A128" s="32" t="s">
        <v>489</v>
      </c>
      <c r="B128" s="32" t="s">
        <v>3438</v>
      </c>
      <c r="C128" s="32" t="s">
        <v>61</v>
      </c>
      <c r="D128" s="32" t="s">
        <v>2927</v>
      </c>
      <c r="E128" s="32" t="s">
        <v>492</v>
      </c>
      <c r="F128" s="32" t="s">
        <v>3439</v>
      </c>
    </row>
    <row r="129" spans="1:6" ht="69.95" customHeight="1">
      <c r="A129" s="32" t="s">
        <v>489</v>
      </c>
      <c r="B129" s="32" t="s">
        <v>3419</v>
      </c>
      <c r="C129" s="32" t="s">
        <v>65</v>
      </c>
      <c r="D129" s="32" t="s">
        <v>553</v>
      </c>
      <c r="E129" s="32" t="s">
        <v>493</v>
      </c>
      <c r="F129" s="32" t="s">
        <v>3420</v>
      </c>
    </row>
    <row r="130" spans="1:6" ht="69.95" customHeight="1">
      <c r="A130" s="32" t="s">
        <v>489</v>
      </c>
      <c r="B130" s="32" t="s">
        <v>3421</v>
      </c>
      <c r="C130" s="32" t="s">
        <v>66</v>
      </c>
      <c r="D130" s="32" t="s">
        <v>554</v>
      </c>
      <c r="E130" s="32" t="s">
        <v>457</v>
      </c>
      <c r="F130" s="32" t="s">
        <v>3420</v>
      </c>
    </row>
    <row r="131" spans="1:6" ht="69.95" customHeight="1">
      <c r="A131" s="32" t="s">
        <v>489</v>
      </c>
      <c r="B131" s="32" t="s">
        <v>3440</v>
      </c>
      <c r="C131" s="32" t="s">
        <v>81</v>
      </c>
      <c r="D131" s="32" t="s">
        <v>2963</v>
      </c>
      <c r="E131" s="32" t="s">
        <v>495</v>
      </c>
      <c r="F131" s="32" t="s">
        <v>3441</v>
      </c>
    </row>
    <row r="132" spans="1:6" ht="69.95" customHeight="1">
      <c r="A132" s="32" t="s">
        <v>489</v>
      </c>
      <c r="B132" s="32" t="s">
        <v>3442</v>
      </c>
      <c r="C132" s="32" t="s">
        <v>88</v>
      </c>
      <c r="D132" s="32" t="s">
        <v>3443</v>
      </c>
      <c r="E132" s="32" t="s">
        <v>3444</v>
      </c>
      <c r="F132" s="32" t="s">
        <v>3416</v>
      </c>
    </row>
    <row r="133" spans="1:6" ht="69.95" customHeight="1">
      <c r="A133" s="32" t="s">
        <v>489</v>
      </c>
      <c r="B133" s="32" t="s">
        <v>3415</v>
      </c>
      <c r="C133" s="32" t="s">
        <v>93</v>
      </c>
      <c r="D133" s="32"/>
      <c r="E133" s="32" t="s">
        <v>462</v>
      </c>
      <c r="F133" s="32" t="s">
        <v>3416</v>
      </c>
    </row>
    <row r="134" spans="1:6" ht="69.95" customHeight="1">
      <c r="A134" s="32" t="s">
        <v>489</v>
      </c>
      <c r="B134" s="32" t="s">
        <v>3417</v>
      </c>
      <c r="C134" s="32" t="s">
        <v>94</v>
      </c>
      <c r="D134" s="32"/>
      <c r="E134" s="32" t="s">
        <v>141</v>
      </c>
      <c r="F134" s="32" t="s">
        <v>3416</v>
      </c>
    </row>
    <row r="135" spans="1:6" ht="69.95" customHeight="1">
      <c r="A135" s="32" t="s">
        <v>489</v>
      </c>
      <c r="B135" s="32" t="s">
        <v>3418</v>
      </c>
      <c r="C135" s="32" t="s">
        <v>96</v>
      </c>
      <c r="D135" s="32"/>
      <c r="E135" s="32" t="s">
        <v>142</v>
      </c>
      <c r="F135" s="32" t="s">
        <v>3416</v>
      </c>
    </row>
    <row r="136" spans="1:6" ht="69.95" customHeight="1">
      <c r="A136" s="32" t="s">
        <v>498</v>
      </c>
      <c r="B136" s="32" t="s">
        <v>3419</v>
      </c>
      <c r="C136" s="32" t="s">
        <v>65</v>
      </c>
      <c r="D136" s="32" t="s">
        <v>563</v>
      </c>
      <c r="E136" s="32" t="s">
        <v>503</v>
      </c>
      <c r="F136" s="32" t="s">
        <v>3420</v>
      </c>
    </row>
    <row r="137" spans="1:6" ht="69.95" customHeight="1">
      <c r="A137" s="32" t="s">
        <v>498</v>
      </c>
      <c r="B137" s="32" t="s">
        <v>3421</v>
      </c>
      <c r="C137" s="32" t="s">
        <v>66</v>
      </c>
      <c r="D137" s="32" t="s">
        <v>564</v>
      </c>
      <c r="E137" s="32" t="s">
        <v>504</v>
      </c>
      <c r="F137" s="32" t="s">
        <v>3420</v>
      </c>
    </row>
    <row r="138" spans="1:6" ht="69.95" customHeight="1">
      <c r="A138" s="32" t="s">
        <v>498</v>
      </c>
      <c r="B138" s="32" t="s">
        <v>3415</v>
      </c>
      <c r="C138" s="32" t="s">
        <v>93</v>
      </c>
      <c r="D138" s="32"/>
      <c r="E138" s="32" t="s">
        <v>462</v>
      </c>
      <c r="F138" s="32" t="s">
        <v>3416</v>
      </c>
    </row>
    <row r="139" spans="1:6" ht="69.95" customHeight="1">
      <c r="A139" s="32" t="s">
        <v>498</v>
      </c>
      <c r="B139" s="32" t="s">
        <v>3417</v>
      </c>
      <c r="C139" s="32" t="s">
        <v>94</v>
      </c>
      <c r="D139" s="32"/>
      <c r="E139" s="32" t="s">
        <v>141</v>
      </c>
      <c r="F139" s="32" t="s">
        <v>3416</v>
      </c>
    </row>
    <row r="140" spans="1:6" ht="69.95" customHeight="1">
      <c r="A140" s="32" t="s">
        <v>498</v>
      </c>
      <c r="B140" s="32" t="s">
        <v>3418</v>
      </c>
      <c r="C140" s="32" t="s">
        <v>96</v>
      </c>
      <c r="D140" s="32"/>
      <c r="E140" s="32" t="s">
        <v>142</v>
      </c>
      <c r="F140" s="32" t="s">
        <v>3416</v>
      </c>
    </row>
    <row r="141" spans="1:6" ht="69.95" customHeight="1">
      <c r="A141" s="32" t="s">
        <v>508</v>
      </c>
      <c r="B141" s="32" t="s">
        <v>3419</v>
      </c>
      <c r="C141" s="32" t="s">
        <v>65</v>
      </c>
      <c r="D141" s="32" t="s">
        <v>1247</v>
      </c>
      <c r="E141" s="32" t="s">
        <v>512</v>
      </c>
      <c r="F141" s="32" t="s">
        <v>3420</v>
      </c>
    </row>
    <row r="142" spans="1:6" ht="69.95" customHeight="1">
      <c r="A142" s="32" t="s">
        <v>508</v>
      </c>
      <c r="B142" s="32" t="s">
        <v>3421</v>
      </c>
      <c r="C142" s="32" t="s">
        <v>66</v>
      </c>
      <c r="D142" s="32" t="s">
        <v>1248</v>
      </c>
      <c r="E142" s="32" t="s">
        <v>457</v>
      </c>
      <c r="F142" s="32" t="s">
        <v>3420</v>
      </c>
    </row>
    <row r="143" spans="1:6" ht="69.95" customHeight="1">
      <c r="A143" s="32" t="s">
        <v>508</v>
      </c>
      <c r="B143" s="32" t="s">
        <v>3415</v>
      </c>
      <c r="C143" s="32" t="s">
        <v>93</v>
      </c>
      <c r="D143" s="32"/>
      <c r="E143" s="32" t="s">
        <v>462</v>
      </c>
      <c r="F143" s="32" t="s">
        <v>3416</v>
      </c>
    </row>
    <row r="144" spans="1:6" ht="69.95" customHeight="1">
      <c r="A144" s="32" t="s">
        <v>508</v>
      </c>
      <c r="B144" s="32" t="s">
        <v>3417</v>
      </c>
      <c r="C144" s="32" t="s">
        <v>94</v>
      </c>
      <c r="D144" s="32"/>
      <c r="E144" s="32" t="s">
        <v>141</v>
      </c>
      <c r="F144" s="32" t="s">
        <v>3416</v>
      </c>
    </row>
    <row r="145" spans="1:6" ht="69.95" customHeight="1">
      <c r="A145" s="32" t="s">
        <v>508</v>
      </c>
      <c r="B145" s="32" t="s">
        <v>3418</v>
      </c>
      <c r="C145" s="32" t="s">
        <v>96</v>
      </c>
      <c r="D145" s="32"/>
      <c r="E145" s="32" t="s">
        <v>142</v>
      </c>
      <c r="F145" s="32" t="s">
        <v>3416</v>
      </c>
    </row>
    <row r="146" spans="1:6" ht="69.95" customHeight="1">
      <c r="A146" s="32" t="s">
        <v>514</v>
      </c>
      <c r="B146" s="32" t="s">
        <v>3419</v>
      </c>
      <c r="C146" s="32" t="s">
        <v>65</v>
      </c>
      <c r="D146" s="32" t="s">
        <v>118</v>
      </c>
      <c r="E146" s="32" t="s">
        <v>519</v>
      </c>
      <c r="F146" s="32" t="s">
        <v>3420</v>
      </c>
    </row>
    <row r="147" spans="1:6" ht="69.95" customHeight="1">
      <c r="A147" s="32" t="s">
        <v>514</v>
      </c>
      <c r="B147" s="32" t="s">
        <v>3421</v>
      </c>
      <c r="C147" s="32" t="s">
        <v>66</v>
      </c>
      <c r="D147" s="32" t="s">
        <v>3445</v>
      </c>
      <c r="E147" s="32" t="s">
        <v>520</v>
      </c>
      <c r="F147" s="32" t="s">
        <v>3420</v>
      </c>
    </row>
    <row r="148" spans="1:6" ht="69.95" customHeight="1">
      <c r="A148" s="32" t="s">
        <v>514</v>
      </c>
      <c r="B148" s="32" t="s">
        <v>3415</v>
      </c>
      <c r="C148" s="32" t="s">
        <v>93</v>
      </c>
      <c r="D148" s="32"/>
      <c r="E148" s="32" t="s">
        <v>462</v>
      </c>
      <c r="F148" s="32" t="s">
        <v>3416</v>
      </c>
    </row>
    <row r="149" spans="1:6" ht="69.95" customHeight="1">
      <c r="A149" s="32" t="s">
        <v>514</v>
      </c>
      <c r="B149" s="32" t="s">
        <v>3417</v>
      </c>
      <c r="C149" s="32" t="s">
        <v>94</v>
      </c>
      <c r="D149" s="32"/>
      <c r="E149" s="32" t="s">
        <v>141</v>
      </c>
      <c r="F149" s="32" t="s">
        <v>3416</v>
      </c>
    </row>
    <row r="150" spans="1:6" ht="69.95" customHeight="1">
      <c r="A150" s="32" t="s">
        <v>514</v>
      </c>
      <c r="B150" s="32" t="s">
        <v>3418</v>
      </c>
      <c r="C150" s="32" t="s">
        <v>96</v>
      </c>
      <c r="D150" s="32"/>
      <c r="E150" s="32" t="s">
        <v>142</v>
      </c>
      <c r="F150" s="32" t="s">
        <v>3416</v>
      </c>
    </row>
    <row r="151" spans="1:6" ht="69.95" customHeight="1">
      <c r="A151" s="32" t="s">
        <v>522</v>
      </c>
      <c r="B151" s="32" t="s">
        <v>3446</v>
      </c>
      <c r="C151" s="32" t="s">
        <v>62</v>
      </c>
      <c r="D151" s="32">
        <v>16</v>
      </c>
      <c r="E151" s="32"/>
      <c r="F151" s="32" t="s">
        <v>3447</v>
      </c>
    </row>
    <row r="152" spans="1:6" ht="69.95" customHeight="1">
      <c r="A152" s="32" t="s">
        <v>522</v>
      </c>
      <c r="B152" s="32" t="s">
        <v>3419</v>
      </c>
      <c r="C152" s="32" t="s">
        <v>65</v>
      </c>
      <c r="D152" s="32" t="s">
        <v>585</v>
      </c>
      <c r="E152" s="32" t="s">
        <v>527</v>
      </c>
      <c r="F152" s="32" t="s">
        <v>3420</v>
      </c>
    </row>
    <row r="153" spans="1:6" ht="69.95" customHeight="1">
      <c r="A153" s="32" t="s">
        <v>522</v>
      </c>
      <c r="B153" s="32" t="s">
        <v>3421</v>
      </c>
      <c r="C153" s="32" t="s">
        <v>66</v>
      </c>
      <c r="D153" s="32" t="s">
        <v>586</v>
      </c>
      <c r="E153" s="32" t="s">
        <v>528</v>
      </c>
      <c r="F153" s="32" t="s">
        <v>3420</v>
      </c>
    </row>
    <row r="154" spans="1:6" ht="69.95" customHeight="1">
      <c r="A154" s="32" t="s">
        <v>522</v>
      </c>
      <c r="B154" s="32" t="s">
        <v>3448</v>
      </c>
      <c r="C154" s="32" t="s">
        <v>70</v>
      </c>
      <c r="D154" s="32">
        <v>1.7999999999999998</v>
      </c>
      <c r="E154" s="32"/>
      <c r="F154" s="32" t="s">
        <v>3449</v>
      </c>
    </row>
    <row r="155" spans="1:6" ht="69.95" customHeight="1">
      <c r="A155" s="32" t="s">
        <v>522</v>
      </c>
      <c r="B155" s="32" t="s">
        <v>3442</v>
      </c>
      <c r="C155" s="32" t="s">
        <v>88</v>
      </c>
      <c r="D155" s="32" t="s">
        <v>3443</v>
      </c>
      <c r="E155" s="32" t="s">
        <v>536</v>
      </c>
      <c r="F155" s="32" t="s">
        <v>3450</v>
      </c>
    </row>
    <row r="156" spans="1:6" ht="69.95" customHeight="1">
      <c r="A156" s="32" t="s">
        <v>522</v>
      </c>
      <c r="B156" s="32" t="s">
        <v>3451</v>
      </c>
      <c r="C156" s="32" t="s">
        <v>3452</v>
      </c>
      <c r="D156" s="32">
        <v>1</v>
      </c>
      <c r="E156" s="32">
        <v>0</v>
      </c>
      <c r="F156" s="32" t="s">
        <v>3416</v>
      </c>
    </row>
    <row r="157" spans="1:6" ht="69.95" customHeight="1">
      <c r="A157" s="32" t="s">
        <v>522</v>
      </c>
      <c r="B157" s="32" t="s">
        <v>3415</v>
      </c>
      <c r="C157" s="32" t="s">
        <v>93</v>
      </c>
      <c r="D157" s="32"/>
      <c r="E157" s="32" t="s">
        <v>3453</v>
      </c>
      <c r="F157" s="32" t="s">
        <v>3416</v>
      </c>
    </row>
    <row r="158" spans="1:6" ht="69.95" customHeight="1">
      <c r="A158" s="32" t="s">
        <v>522</v>
      </c>
      <c r="B158" s="32" t="s">
        <v>3417</v>
      </c>
      <c r="C158" s="32" t="s">
        <v>94</v>
      </c>
      <c r="D158" s="32"/>
      <c r="E158" s="32" t="s">
        <v>141</v>
      </c>
      <c r="F158" s="32" t="s">
        <v>3416</v>
      </c>
    </row>
    <row r="159" spans="1:6" ht="69.95" customHeight="1">
      <c r="A159" s="32" t="s">
        <v>522</v>
      </c>
      <c r="B159" s="32" t="s">
        <v>3418</v>
      </c>
      <c r="C159" s="32" t="s">
        <v>96</v>
      </c>
      <c r="D159" s="32"/>
      <c r="E159" s="32" t="s">
        <v>486</v>
      </c>
      <c r="F159" s="32" t="s">
        <v>3416</v>
      </c>
    </row>
    <row r="160" spans="1:6" ht="69.95" customHeight="1">
      <c r="A160" s="32" t="s">
        <v>539</v>
      </c>
      <c r="B160" s="32" t="s">
        <v>3419</v>
      </c>
      <c r="C160" s="32" t="s">
        <v>65</v>
      </c>
      <c r="D160" s="32" t="s">
        <v>601</v>
      </c>
      <c r="E160" s="32" t="s">
        <v>543</v>
      </c>
      <c r="F160" s="32" t="s">
        <v>3420</v>
      </c>
    </row>
    <row r="161" spans="1:6" ht="69.95" customHeight="1">
      <c r="A161" s="32" t="s">
        <v>539</v>
      </c>
      <c r="B161" s="32" t="s">
        <v>3421</v>
      </c>
      <c r="C161" s="32" t="s">
        <v>66</v>
      </c>
      <c r="D161" s="32" t="s">
        <v>602</v>
      </c>
      <c r="E161" s="32" t="s">
        <v>544</v>
      </c>
      <c r="F161" s="32" t="s">
        <v>3420</v>
      </c>
    </row>
    <row r="162" spans="1:6" ht="69.95" customHeight="1">
      <c r="A162" s="32" t="s">
        <v>539</v>
      </c>
      <c r="B162" s="32" t="s">
        <v>3415</v>
      </c>
      <c r="C162" s="32" t="s">
        <v>93</v>
      </c>
      <c r="D162" s="32"/>
      <c r="E162" s="32" t="s">
        <v>462</v>
      </c>
      <c r="F162" s="32" t="s">
        <v>3416</v>
      </c>
    </row>
    <row r="163" spans="1:6" ht="69.95" customHeight="1">
      <c r="A163" s="32" t="s">
        <v>539</v>
      </c>
      <c r="B163" s="32" t="s">
        <v>3417</v>
      </c>
      <c r="C163" s="32" t="s">
        <v>94</v>
      </c>
      <c r="D163" s="32"/>
      <c r="E163" s="32" t="s">
        <v>141</v>
      </c>
      <c r="F163" s="32" t="s">
        <v>3416</v>
      </c>
    </row>
    <row r="164" spans="1:6" ht="69.95" customHeight="1">
      <c r="A164" s="32" t="s">
        <v>539</v>
      </c>
      <c r="B164" s="32" t="s">
        <v>3418</v>
      </c>
      <c r="C164" s="32" t="s">
        <v>96</v>
      </c>
      <c r="D164" s="32"/>
      <c r="E164" s="32" t="s">
        <v>142</v>
      </c>
      <c r="F164" s="32" t="s">
        <v>3416</v>
      </c>
    </row>
    <row r="165" spans="1:6" ht="69.95" customHeight="1">
      <c r="A165" s="32" t="s">
        <v>548</v>
      </c>
      <c r="B165" s="32" t="s">
        <v>3446</v>
      </c>
      <c r="C165" s="32" t="s">
        <v>62</v>
      </c>
      <c r="D165" s="32">
        <v>8</v>
      </c>
      <c r="E165" s="32"/>
      <c r="F165" s="32" t="s">
        <v>3447</v>
      </c>
    </row>
    <row r="166" spans="1:6" ht="69.95" customHeight="1">
      <c r="A166" s="32" t="s">
        <v>548</v>
      </c>
      <c r="B166" s="32" t="s">
        <v>3419</v>
      </c>
      <c r="C166" s="32" t="s">
        <v>65</v>
      </c>
      <c r="D166" s="32" t="s">
        <v>567</v>
      </c>
      <c r="E166" s="32" t="s">
        <v>553</v>
      </c>
      <c r="F166" s="32" t="s">
        <v>3420</v>
      </c>
    </row>
    <row r="167" spans="1:6" ht="69.95" customHeight="1">
      <c r="A167" s="32" t="s">
        <v>548</v>
      </c>
      <c r="B167" s="32" t="s">
        <v>3421</v>
      </c>
      <c r="C167" s="32" t="s">
        <v>66</v>
      </c>
      <c r="D167" s="32" t="s">
        <v>613</v>
      </c>
      <c r="E167" s="32" t="s">
        <v>554</v>
      </c>
      <c r="F167" s="32" t="s">
        <v>3420</v>
      </c>
    </row>
    <row r="168" spans="1:6" ht="69.95" customHeight="1">
      <c r="A168" s="32" t="s">
        <v>548</v>
      </c>
      <c r="B168" s="32" t="s">
        <v>3448</v>
      </c>
      <c r="C168" s="32" t="s">
        <v>70</v>
      </c>
      <c r="D168" s="32">
        <v>1.2000000000000002</v>
      </c>
      <c r="E168" s="32"/>
      <c r="F168" s="32" t="s">
        <v>3449</v>
      </c>
    </row>
    <row r="169" spans="1:6" ht="69.95" customHeight="1">
      <c r="A169" s="32" t="s">
        <v>548</v>
      </c>
      <c r="B169" s="32" t="s">
        <v>3442</v>
      </c>
      <c r="C169" s="32" t="s">
        <v>88</v>
      </c>
      <c r="D169" s="32" t="s">
        <v>3443</v>
      </c>
      <c r="E169" s="32" t="s">
        <v>536</v>
      </c>
      <c r="F169" s="32" t="s">
        <v>3450</v>
      </c>
    </row>
    <row r="170" spans="1:6" ht="69.95" customHeight="1">
      <c r="A170" s="32" t="s">
        <v>548</v>
      </c>
      <c r="B170" s="32" t="s">
        <v>3451</v>
      </c>
      <c r="C170" s="32" t="s">
        <v>3452</v>
      </c>
      <c r="D170" s="32">
        <v>1</v>
      </c>
      <c r="E170" s="32">
        <v>0</v>
      </c>
      <c r="F170" s="32" t="s">
        <v>3416</v>
      </c>
    </row>
    <row r="171" spans="1:6" ht="69.95" customHeight="1">
      <c r="A171" s="32" t="s">
        <v>548</v>
      </c>
      <c r="B171" s="32" t="s">
        <v>3415</v>
      </c>
      <c r="C171" s="32" t="s">
        <v>93</v>
      </c>
      <c r="D171" s="32"/>
      <c r="E171" s="32" t="s">
        <v>462</v>
      </c>
      <c r="F171" s="32" t="s">
        <v>3416</v>
      </c>
    </row>
    <row r="172" spans="1:6" ht="69.95" customHeight="1">
      <c r="A172" s="32" t="s">
        <v>548</v>
      </c>
      <c r="B172" s="32" t="s">
        <v>3417</v>
      </c>
      <c r="C172" s="32" t="s">
        <v>94</v>
      </c>
      <c r="D172" s="32"/>
      <c r="E172" s="32" t="s">
        <v>141</v>
      </c>
      <c r="F172" s="32" t="s">
        <v>3416</v>
      </c>
    </row>
    <row r="173" spans="1:6" ht="69.95" customHeight="1">
      <c r="A173" s="32" t="s">
        <v>548</v>
      </c>
      <c r="B173" s="32" t="s">
        <v>3418</v>
      </c>
      <c r="C173" s="32" t="s">
        <v>96</v>
      </c>
      <c r="D173" s="32"/>
      <c r="E173" s="32" t="s">
        <v>486</v>
      </c>
      <c r="F173" s="32" t="s">
        <v>3416</v>
      </c>
    </row>
    <row r="174" spans="1:6" ht="69.95" customHeight="1">
      <c r="A174" s="32" t="s">
        <v>559</v>
      </c>
      <c r="B174" s="32" t="s">
        <v>3419</v>
      </c>
      <c r="C174" s="32" t="s">
        <v>65</v>
      </c>
      <c r="D174" s="32" t="s">
        <v>610</v>
      </c>
      <c r="E174" s="32" t="s">
        <v>563</v>
      </c>
      <c r="F174" s="32" t="s">
        <v>3420</v>
      </c>
    </row>
    <row r="175" spans="1:6" ht="69.95" customHeight="1">
      <c r="A175" s="32" t="s">
        <v>559</v>
      </c>
      <c r="B175" s="32" t="s">
        <v>3421</v>
      </c>
      <c r="C175" s="32" t="s">
        <v>66</v>
      </c>
      <c r="D175" s="32" t="s">
        <v>624</v>
      </c>
      <c r="E175" s="32" t="s">
        <v>564</v>
      </c>
      <c r="F175" s="32" t="s">
        <v>3420</v>
      </c>
    </row>
    <row r="176" spans="1:6" ht="69.95" customHeight="1">
      <c r="A176" s="32" t="s">
        <v>559</v>
      </c>
      <c r="B176" s="32" t="s">
        <v>3415</v>
      </c>
      <c r="C176" s="32" t="s">
        <v>93</v>
      </c>
      <c r="D176" s="32"/>
      <c r="E176" s="32" t="s">
        <v>462</v>
      </c>
      <c r="F176" s="32" t="s">
        <v>3416</v>
      </c>
    </row>
    <row r="177" spans="1:6" ht="69.95" customHeight="1">
      <c r="A177" s="32" t="s">
        <v>559</v>
      </c>
      <c r="B177" s="32" t="s">
        <v>3417</v>
      </c>
      <c r="C177" s="32" t="s">
        <v>94</v>
      </c>
      <c r="D177" s="32"/>
      <c r="E177" s="32" t="s">
        <v>141</v>
      </c>
      <c r="F177" s="32" t="s">
        <v>3416</v>
      </c>
    </row>
    <row r="178" spans="1:6" ht="69.95" customHeight="1">
      <c r="A178" s="32" t="s">
        <v>559</v>
      </c>
      <c r="B178" s="32" t="s">
        <v>3418</v>
      </c>
      <c r="C178" s="32" t="s">
        <v>96</v>
      </c>
      <c r="D178" s="32"/>
      <c r="E178" s="32" t="s">
        <v>142</v>
      </c>
      <c r="F178" s="32" t="s">
        <v>3416</v>
      </c>
    </row>
    <row r="179" spans="1:6" ht="69.95" customHeight="1">
      <c r="A179" s="32" t="s">
        <v>567</v>
      </c>
      <c r="B179" s="32" t="s">
        <v>3419</v>
      </c>
      <c r="C179" s="32" t="s">
        <v>65</v>
      </c>
      <c r="D179" s="32" t="s">
        <v>2750</v>
      </c>
      <c r="E179" s="32" t="s">
        <v>118</v>
      </c>
      <c r="F179" s="32" t="s">
        <v>3420</v>
      </c>
    </row>
    <row r="180" spans="1:6" ht="69.95" customHeight="1">
      <c r="A180" s="32" t="s">
        <v>567</v>
      </c>
      <c r="B180" s="32" t="s">
        <v>3421</v>
      </c>
      <c r="C180" s="32" t="s">
        <v>66</v>
      </c>
      <c r="D180" s="32" t="s">
        <v>631</v>
      </c>
      <c r="E180" s="32" t="s">
        <v>3445</v>
      </c>
      <c r="F180" s="32" t="s">
        <v>3420</v>
      </c>
    </row>
    <row r="181" spans="1:6" ht="69.95" customHeight="1">
      <c r="A181" s="32" t="s">
        <v>567</v>
      </c>
      <c r="B181" s="32" t="s">
        <v>3415</v>
      </c>
      <c r="C181" s="32" t="s">
        <v>93</v>
      </c>
      <c r="D181" s="32"/>
      <c r="E181" s="32" t="s">
        <v>140</v>
      </c>
      <c r="F181" s="32" t="s">
        <v>3416</v>
      </c>
    </row>
    <row r="182" spans="1:6" ht="69.95" customHeight="1">
      <c r="A182" s="32" t="s">
        <v>567</v>
      </c>
      <c r="B182" s="32" t="s">
        <v>3417</v>
      </c>
      <c r="C182" s="32" t="s">
        <v>94</v>
      </c>
      <c r="D182" s="32"/>
      <c r="E182" s="32" t="s">
        <v>141</v>
      </c>
      <c r="F182" s="32" t="s">
        <v>3416</v>
      </c>
    </row>
    <row r="183" spans="1:6" ht="69.95" customHeight="1">
      <c r="A183" s="32" t="s">
        <v>567</v>
      </c>
      <c r="B183" s="32" t="s">
        <v>3418</v>
      </c>
      <c r="C183" s="32" t="s">
        <v>96</v>
      </c>
      <c r="D183" s="32"/>
      <c r="E183" s="32" t="s">
        <v>142</v>
      </c>
      <c r="F183" s="32" t="s">
        <v>3416</v>
      </c>
    </row>
    <row r="184" spans="1:6" ht="69.95" customHeight="1">
      <c r="A184" s="32" t="s">
        <v>579</v>
      </c>
      <c r="B184" s="32" t="s">
        <v>3419</v>
      </c>
      <c r="C184" s="32" t="s">
        <v>65</v>
      </c>
      <c r="D184" s="32" t="s">
        <v>641</v>
      </c>
      <c r="E184" s="32" t="s">
        <v>585</v>
      </c>
      <c r="F184" s="32" t="s">
        <v>3420</v>
      </c>
    </row>
    <row r="185" spans="1:6" ht="69.95" customHeight="1">
      <c r="A185" s="32" t="s">
        <v>579</v>
      </c>
      <c r="B185" s="32" t="s">
        <v>3421</v>
      </c>
      <c r="C185" s="32" t="s">
        <v>66</v>
      </c>
      <c r="D185" s="32" t="s">
        <v>642</v>
      </c>
      <c r="E185" s="32" t="s">
        <v>586</v>
      </c>
      <c r="F185" s="32" t="s">
        <v>3420</v>
      </c>
    </row>
    <row r="186" spans="1:6" ht="69.95" customHeight="1">
      <c r="A186" s="32" t="s">
        <v>579</v>
      </c>
      <c r="B186" s="32" t="s">
        <v>3415</v>
      </c>
      <c r="C186" s="32" t="s">
        <v>93</v>
      </c>
      <c r="D186" s="32"/>
      <c r="E186" s="32" t="s">
        <v>462</v>
      </c>
      <c r="F186" s="32" t="s">
        <v>3416</v>
      </c>
    </row>
    <row r="187" spans="1:6" ht="69.95" customHeight="1">
      <c r="A187" s="32" t="s">
        <v>579</v>
      </c>
      <c r="B187" s="32" t="s">
        <v>3417</v>
      </c>
      <c r="C187" s="32" t="s">
        <v>94</v>
      </c>
      <c r="D187" s="32"/>
      <c r="E187" s="32" t="s">
        <v>141</v>
      </c>
      <c r="F187" s="32" t="s">
        <v>3416</v>
      </c>
    </row>
    <row r="188" spans="1:6" ht="69.95" customHeight="1">
      <c r="A188" s="32" t="s">
        <v>579</v>
      </c>
      <c r="B188" s="32" t="s">
        <v>3418</v>
      </c>
      <c r="C188" s="32" t="s">
        <v>96</v>
      </c>
      <c r="D188" s="32"/>
      <c r="E188" s="32" t="s">
        <v>142</v>
      </c>
      <c r="F188" s="32" t="s">
        <v>3416</v>
      </c>
    </row>
    <row r="189" spans="1:6" ht="69.95" customHeight="1">
      <c r="A189" s="32" t="s">
        <v>595</v>
      </c>
      <c r="B189" s="32" t="s">
        <v>3419</v>
      </c>
      <c r="C189" s="32" t="s">
        <v>65</v>
      </c>
      <c r="D189" s="32" t="s">
        <v>654</v>
      </c>
      <c r="E189" s="32" t="s">
        <v>601</v>
      </c>
      <c r="F189" s="32" t="s">
        <v>3420</v>
      </c>
    </row>
    <row r="190" spans="1:6" ht="69.95" customHeight="1">
      <c r="A190" s="32" t="s">
        <v>595</v>
      </c>
      <c r="B190" s="32" t="s">
        <v>3421</v>
      </c>
      <c r="C190" s="32" t="s">
        <v>66</v>
      </c>
      <c r="D190" s="32" t="s">
        <v>655</v>
      </c>
      <c r="E190" s="32" t="s">
        <v>602</v>
      </c>
      <c r="F190" s="32" t="s">
        <v>3420</v>
      </c>
    </row>
    <row r="191" spans="1:6" ht="69.95" customHeight="1">
      <c r="A191" s="32" t="s">
        <v>595</v>
      </c>
      <c r="B191" s="32" t="s">
        <v>3415</v>
      </c>
      <c r="C191" s="32" t="s">
        <v>93</v>
      </c>
      <c r="D191" s="32"/>
      <c r="E191" s="32" t="s">
        <v>140</v>
      </c>
      <c r="F191" s="32" t="s">
        <v>3416</v>
      </c>
    </row>
    <row r="192" spans="1:6" ht="69.95" customHeight="1">
      <c r="A192" s="32" t="s">
        <v>595</v>
      </c>
      <c r="B192" s="32" t="s">
        <v>3417</v>
      </c>
      <c r="C192" s="32" t="s">
        <v>94</v>
      </c>
      <c r="D192" s="32"/>
      <c r="E192" s="32" t="s">
        <v>141</v>
      </c>
      <c r="F192" s="32" t="s">
        <v>3416</v>
      </c>
    </row>
    <row r="193" spans="1:6" ht="69.95" customHeight="1">
      <c r="A193" s="32" t="s">
        <v>595</v>
      </c>
      <c r="B193" s="32" t="s">
        <v>3418</v>
      </c>
      <c r="C193" s="32" t="s">
        <v>96</v>
      </c>
      <c r="D193" s="32"/>
      <c r="E193" s="32" t="s">
        <v>142</v>
      </c>
      <c r="F193" s="32" t="s">
        <v>3416</v>
      </c>
    </row>
    <row r="194" spans="1:6" ht="69.95" customHeight="1">
      <c r="A194" s="32" t="s">
        <v>610</v>
      </c>
      <c r="B194" s="32" t="s">
        <v>3419</v>
      </c>
      <c r="C194" s="32" t="s">
        <v>65</v>
      </c>
      <c r="D194" s="32" t="s">
        <v>664</v>
      </c>
      <c r="E194" s="32" t="s">
        <v>567</v>
      </c>
      <c r="F194" s="32" t="s">
        <v>3420</v>
      </c>
    </row>
    <row r="195" spans="1:6" ht="69.95" customHeight="1">
      <c r="A195" s="32" t="s">
        <v>610</v>
      </c>
      <c r="B195" s="32" t="s">
        <v>3421</v>
      </c>
      <c r="C195" s="32" t="s">
        <v>66</v>
      </c>
      <c r="D195" s="32" t="s">
        <v>665</v>
      </c>
      <c r="E195" s="32" t="s">
        <v>613</v>
      </c>
      <c r="F195" s="32" t="s">
        <v>3420</v>
      </c>
    </row>
    <row r="196" spans="1:6" ht="69.95" customHeight="1">
      <c r="A196" s="32" t="s">
        <v>610</v>
      </c>
      <c r="B196" s="32" t="s">
        <v>3415</v>
      </c>
      <c r="C196" s="32" t="s">
        <v>93</v>
      </c>
      <c r="D196" s="32"/>
      <c r="E196" s="32" t="s">
        <v>462</v>
      </c>
      <c r="F196" s="32" t="s">
        <v>3416</v>
      </c>
    </row>
    <row r="197" spans="1:6" ht="69.95" customHeight="1">
      <c r="A197" s="32" t="s">
        <v>610</v>
      </c>
      <c r="B197" s="32" t="s">
        <v>3417</v>
      </c>
      <c r="C197" s="32" t="s">
        <v>94</v>
      </c>
      <c r="D197" s="32"/>
      <c r="E197" s="32" t="s">
        <v>141</v>
      </c>
      <c r="F197" s="32" t="s">
        <v>3416</v>
      </c>
    </row>
    <row r="198" spans="1:6" ht="69.95" customHeight="1">
      <c r="A198" s="32" t="s">
        <v>610</v>
      </c>
      <c r="B198" s="32" t="s">
        <v>3418</v>
      </c>
      <c r="C198" s="32" t="s">
        <v>96</v>
      </c>
      <c r="D198" s="32"/>
      <c r="E198" s="32" t="s">
        <v>142</v>
      </c>
      <c r="F198" s="32" t="s">
        <v>3416</v>
      </c>
    </row>
    <row r="199" spans="1:6" ht="69.95" customHeight="1">
      <c r="A199" s="32" t="s">
        <v>622</v>
      </c>
      <c r="B199" s="32" t="s">
        <v>3419</v>
      </c>
      <c r="C199" s="32" t="s">
        <v>65</v>
      </c>
      <c r="D199" s="32" t="s">
        <v>677</v>
      </c>
      <c r="E199" s="32" t="s">
        <v>610</v>
      </c>
      <c r="F199" s="32" t="s">
        <v>3420</v>
      </c>
    </row>
    <row r="200" spans="1:6" ht="69.95" customHeight="1">
      <c r="A200" s="32" t="s">
        <v>622</v>
      </c>
      <c r="B200" s="32" t="s">
        <v>3421</v>
      </c>
      <c r="C200" s="32" t="s">
        <v>66</v>
      </c>
      <c r="D200" s="32" t="s">
        <v>678</v>
      </c>
      <c r="E200" s="32" t="s">
        <v>624</v>
      </c>
      <c r="F200" s="32" t="s">
        <v>3420</v>
      </c>
    </row>
    <row r="201" spans="1:6" ht="69.95" customHeight="1">
      <c r="A201" s="32" t="s">
        <v>622</v>
      </c>
      <c r="B201" s="32" t="s">
        <v>3415</v>
      </c>
      <c r="C201" s="32" t="s">
        <v>93</v>
      </c>
      <c r="D201" s="32"/>
      <c r="E201" s="32" t="s">
        <v>462</v>
      </c>
      <c r="F201" s="32" t="s">
        <v>3416</v>
      </c>
    </row>
    <row r="202" spans="1:6" ht="69.95" customHeight="1">
      <c r="A202" s="32" t="s">
        <v>622</v>
      </c>
      <c r="B202" s="32" t="s">
        <v>3417</v>
      </c>
      <c r="C202" s="32" t="s">
        <v>94</v>
      </c>
      <c r="D202" s="32"/>
      <c r="E202" s="32" t="s">
        <v>141</v>
      </c>
      <c r="F202" s="32" t="s">
        <v>3416</v>
      </c>
    </row>
    <row r="203" spans="1:6" ht="69.95" customHeight="1">
      <c r="A203" s="32" t="s">
        <v>622</v>
      </c>
      <c r="B203" s="32" t="s">
        <v>3418</v>
      </c>
      <c r="C203" s="32" t="s">
        <v>96</v>
      </c>
      <c r="D203" s="32"/>
      <c r="E203" s="32" t="s">
        <v>142</v>
      </c>
      <c r="F203" s="32" t="s">
        <v>3416</v>
      </c>
    </row>
    <row r="204" spans="1:6" ht="69.95" customHeight="1">
      <c r="A204" s="32" t="s">
        <v>629</v>
      </c>
      <c r="B204" s="32" t="s">
        <v>3419</v>
      </c>
      <c r="C204" s="32" t="s">
        <v>65</v>
      </c>
      <c r="D204" s="32" t="s">
        <v>690</v>
      </c>
      <c r="E204" s="32" t="s">
        <v>2750</v>
      </c>
      <c r="F204" s="32" t="s">
        <v>3420</v>
      </c>
    </row>
    <row r="205" spans="1:6" ht="69.95" customHeight="1">
      <c r="A205" s="32" t="s">
        <v>629</v>
      </c>
      <c r="B205" s="32" t="s">
        <v>3421</v>
      </c>
      <c r="C205" s="32" t="s">
        <v>66</v>
      </c>
      <c r="D205" s="32" t="s">
        <v>691</v>
      </c>
      <c r="E205" s="32" t="s">
        <v>631</v>
      </c>
      <c r="F205" s="32" t="s">
        <v>3420</v>
      </c>
    </row>
    <row r="206" spans="1:6" ht="69.95" customHeight="1">
      <c r="A206" s="32" t="s">
        <v>629</v>
      </c>
      <c r="B206" s="32" t="s">
        <v>3415</v>
      </c>
      <c r="C206" s="32" t="s">
        <v>93</v>
      </c>
      <c r="D206" s="32"/>
      <c r="E206" s="32" t="s">
        <v>462</v>
      </c>
      <c r="F206" s="32" t="s">
        <v>3416</v>
      </c>
    </row>
    <row r="207" spans="1:6" ht="69.95" customHeight="1">
      <c r="A207" s="32" t="s">
        <v>629</v>
      </c>
      <c r="B207" s="32" t="s">
        <v>3417</v>
      </c>
      <c r="C207" s="32" t="s">
        <v>94</v>
      </c>
      <c r="D207" s="32"/>
      <c r="E207" s="32" t="s">
        <v>141</v>
      </c>
      <c r="F207" s="32" t="s">
        <v>3416</v>
      </c>
    </row>
    <row r="208" spans="1:6" ht="69.95" customHeight="1">
      <c r="A208" s="32" t="s">
        <v>629</v>
      </c>
      <c r="B208" s="32" t="s">
        <v>3418</v>
      </c>
      <c r="C208" s="32" t="s">
        <v>96</v>
      </c>
      <c r="D208" s="32"/>
      <c r="E208" s="32" t="s">
        <v>142</v>
      </c>
      <c r="F208" s="32" t="s">
        <v>3416</v>
      </c>
    </row>
    <row r="209" spans="1:6" ht="69.95" customHeight="1">
      <c r="A209" s="32" t="s">
        <v>636</v>
      </c>
      <c r="B209" s="32" t="s">
        <v>3419</v>
      </c>
      <c r="C209" s="32" t="s">
        <v>65</v>
      </c>
      <c r="D209" s="32" t="s">
        <v>700</v>
      </c>
      <c r="E209" s="32" t="s">
        <v>641</v>
      </c>
      <c r="F209" s="32" t="s">
        <v>3420</v>
      </c>
    </row>
    <row r="210" spans="1:6" ht="69.95" customHeight="1">
      <c r="A210" s="32" t="s">
        <v>636</v>
      </c>
      <c r="B210" s="32" t="s">
        <v>3421</v>
      </c>
      <c r="C210" s="32" t="s">
        <v>66</v>
      </c>
      <c r="D210" s="32" t="s">
        <v>701</v>
      </c>
      <c r="E210" s="32" t="s">
        <v>642</v>
      </c>
      <c r="F210" s="32" t="s">
        <v>3420</v>
      </c>
    </row>
    <row r="211" spans="1:6" ht="69.95" customHeight="1">
      <c r="A211" s="32" t="s">
        <v>636</v>
      </c>
      <c r="B211" s="32" t="s">
        <v>3415</v>
      </c>
      <c r="C211" s="32" t="s">
        <v>93</v>
      </c>
      <c r="D211" s="32"/>
      <c r="E211" s="32" t="s">
        <v>462</v>
      </c>
      <c r="F211" s="32" t="s">
        <v>3416</v>
      </c>
    </row>
    <row r="212" spans="1:6" ht="69.95" customHeight="1">
      <c r="A212" s="32" t="s">
        <v>636</v>
      </c>
      <c r="B212" s="32" t="s">
        <v>3417</v>
      </c>
      <c r="C212" s="32" t="s">
        <v>94</v>
      </c>
      <c r="D212" s="32"/>
      <c r="E212" s="32" t="s">
        <v>141</v>
      </c>
      <c r="F212" s="32" t="s">
        <v>3416</v>
      </c>
    </row>
    <row r="213" spans="1:6" ht="69.95" customHeight="1">
      <c r="A213" s="32" t="s">
        <v>636</v>
      </c>
      <c r="B213" s="32" t="s">
        <v>3418</v>
      </c>
      <c r="C213" s="32" t="s">
        <v>96</v>
      </c>
      <c r="D213" s="32"/>
      <c r="E213" s="32" t="s">
        <v>142</v>
      </c>
      <c r="F213" s="32" t="s">
        <v>3416</v>
      </c>
    </row>
    <row r="214" spans="1:6" ht="69.95" customHeight="1">
      <c r="A214" s="32" t="s">
        <v>648</v>
      </c>
      <c r="B214" s="32" t="s">
        <v>3419</v>
      </c>
      <c r="C214" s="32" t="s">
        <v>65</v>
      </c>
      <c r="D214" s="32" t="s">
        <v>714</v>
      </c>
      <c r="E214" s="32" t="s">
        <v>654</v>
      </c>
      <c r="F214" s="32" t="s">
        <v>3420</v>
      </c>
    </row>
    <row r="215" spans="1:6" ht="69.95" customHeight="1">
      <c r="A215" s="32" t="s">
        <v>648</v>
      </c>
      <c r="B215" s="32" t="s">
        <v>3421</v>
      </c>
      <c r="C215" s="32" t="s">
        <v>66</v>
      </c>
      <c r="D215" s="32" t="s">
        <v>715</v>
      </c>
      <c r="E215" s="32" t="s">
        <v>655</v>
      </c>
      <c r="F215" s="32" t="s">
        <v>3420</v>
      </c>
    </row>
    <row r="216" spans="1:6" ht="69.95" customHeight="1">
      <c r="A216" s="32" t="s">
        <v>648</v>
      </c>
      <c r="B216" s="32" t="s">
        <v>3415</v>
      </c>
      <c r="C216" s="32" t="s">
        <v>93</v>
      </c>
      <c r="D216" s="32"/>
      <c r="E216" s="32" t="s">
        <v>462</v>
      </c>
      <c r="F216" s="32" t="s">
        <v>3416</v>
      </c>
    </row>
    <row r="217" spans="1:6" ht="69.95" customHeight="1">
      <c r="A217" s="32" t="s">
        <v>648</v>
      </c>
      <c r="B217" s="32" t="s">
        <v>3417</v>
      </c>
      <c r="C217" s="32" t="s">
        <v>94</v>
      </c>
      <c r="D217" s="32"/>
      <c r="E217" s="32" t="s">
        <v>141</v>
      </c>
      <c r="F217" s="32" t="s">
        <v>3416</v>
      </c>
    </row>
    <row r="218" spans="1:6" ht="69.95" customHeight="1">
      <c r="A218" s="32" t="s">
        <v>648</v>
      </c>
      <c r="B218" s="32" t="s">
        <v>3418</v>
      </c>
      <c r="C218" s="32" t="s">
        <v>96</v>
      </c>
      <c r="D218" s="32"/>
      <c r="E218" s="32" t="s">
        <v>142</v>
      </c>
      <c r="F218" s="32" t="s">
        <v>3416</v>
      </c>
    </row>
    <row r="219" spans="1:6" ht="69.95" customHeight="1">
      <c r="A219" s="32" t="s">
        <v>659</v>
      </c>
      <c r="B219" s="32" t="s">
        <v>3419</v>
      </c>
      <c r="C219" s="32" t="s">
        <v>65</v>
      </c>
      <c r="D219" s="32" t="s">
        <v>3454</v>
      </c>
      <c r="E219" s="32" t="s">
        <v>664</v>
      </c>
      <c r="F219" s="32" t="s">
        <v>3420</v>
      </c>
    </row>
    <row r="220" spans="1:6" ht="69.95" customHeight="1">
      <c r="A220" s="32" t="s">
        <v>659</v>
      </c>
      <c r="B220" s="32" t="s">
        <v>3421</v>
      </c>
      <c r="C220" s="32" t="s">
        <v>66</v>
      </c>
      <c r="D220" s="32" t="s">
        <v>728</v>
      </c>
      <c r="E220" s="32" t="s">
        <v>665</v>
      </c>
      <c r="F220" s="32" t="s">
        <v>3420</v>
      </c>
    </row>
    <row r="221" spans="1:6" ht="69.95" customHeight="1">
      <c r="A221" s="32" t="s">
        <v>659</v>
      </c>
      <c r="B221" s="32" t="s">
        <v>3415</v>
      </c>
      <c r="C221" s="32" t="s">
        <v>93</v>
      </c>
      <c r="D221" s="32"/>
      <c r="E221" s="32" t="s">
        <v>462</v>
      </c>
      <c r="F221" s="32" t="s">
        <v>3416</v>
      </c>
    </row>
    <row r="222" spans="1:6" ht="69.95" customHeight="1">
      <c r="A222" s="32" t="s">
        <v>659</v>
      </c>
      <c r="B222" s="32" t="s">
        <v>3417</v>
      </c>
      <c r="C222" s="32" t="s">
        <v>94</v>
      </c>
      <c r="D222" s="32"/>
      <c r="E222" s="32" t="s">
        <v>141</v>
      </c>
      <c r="F222" s="32" t="s">
        <v>3416</v>
      </c>
    </row>
    <row r="223" spans="1:6" ht="69.95" customHeight="1">
      <c r="A223" s="32" t="s">
        <v>659</v>
      </c>
      <c r="B223" s="32" t="s">
        <v>3418</v>
      </c>
      <c r="C223" s="32" t="s">
        <v>96</v>
      </c>
      <c r="D223" s="32"/>
      <c r="E223" s="32" t="s">
        <v>142</v>
      </c>
      <c r="F223" s="32" t="s">
        <v>3416</v>
      </c>
    </row>
    <row r="224" spans="1:6" ht="69.95" customHeight="1">
      <c r="A224" s="32" t="s">
        <v>671</v>
      </c>
      <c r="B224" s="32" t="s">
        <v>3419</v>
      </c>
      <c r="C224" s="32" t="s">
        <v>65</v>
      </c>
      <c r="D224" s="32" t="s">
        <v>1761</v>
      </c>
      <c r="E224" s="32" t="s">
        <v>677</v>
      </c>
      <c r="F224" s="32" t="s">
        <v>3420</v>
      </c>
    </row>
    <row r="225" spans="1:6" ht="69.95" customHeight="1">
      <c r="A225" s="32" t="s">
        <v>671</v>
      </c>
      <c r="B225" s="32" t="s">
        <v>3421</v>
      </c>
      <c r="C225" s="32" t="s">
        <v>66</v>
      </c>
      <c r="D225" s="32" t="s">
        <v>1248</v>
      </c>
      <c r="E225" s="32" t="s">
        <v>678</v>
      </c>
      <c r="F225" s="32" t="s">
        <v>3420</v>
      </c>
    </row>
    <row r="226" spans="1:6" ht="69.95" customHeight="1">
      <c r="A226" s="32" t="s">
        <v>671</v>
      </c>
      <c r="B226" s="32" t="s">
        <v>3415</v>
      </c>
      <c r="C226" s="32" t="s">
        <v>93</v>
      </c>
      <c r="D226" s="32"/>
      <c r="E226" s="32" t="s">
        <v>140</v>
      </c>
      <c r="F226" s="32" t="s">
        <v>3416</v>
      </c>
    </row>
    <row r="227" spans="1:6" ht="69.95" customHeight="1">
      <c r="A227" s="32" t="s">
        <v>671</v>
      </c>
      <c r="B227" s="32" t="s">
        <v>3417</v>
      </c>
      <c r="C227" s="32" t="s">
        <v>94</v>
      </c>
      <c r="D227" s="32"/>
      <c r="E227" s="32" t="s">
        <v>141</v>
      </c>
      <c r="F227" s="32" t="s">
        <v>3416</v>
      </c>
    </row>
    <row r="228" spans="1:6" ht="69.95" customHeight="1">
      <c r="A228" s="32" t="s">
        <v>671</v>
      </c>
      <c r="B228" s="32" t="s">
        <v>3418</v>
      </c>
      <c r="C228" s="32" t="s">
        <v>96</v>
      </c>
      <c r="D228" s="32"/>
      <c r="E228" s="32" t="s">
        <v>142</v>
      </c>
      <c r="F228" s="32" t="s">
        <v>3416</v>
      </c>
    </row>
    <row r="229" spans="1:6" ht="69.95" customHeight="1">
      <c r="A229" s="32" t="s">
        <v>686</v>
      </c>
      <c r="B229" s="32" t="s">
        <v>3419</v>
      </c>
      <c r="C229" s="32" t="s">
        <v>65</v>
      </c>
      <c r="D229" s="32" t="s">
        <v>2977</v>
      </c>
      <c r="E229" s="32" t="s">
        <v>690</v>
      </c>
      <c r="F229" s="32" t="s">
        <v>3420</v>
      </c>
    </row>
    <row r="230" spans="1:6" ht="69.95" customHeight="1">
      <c r="A230" s="32" t="s">
        <v>686</v>
      </c>
      <c r="B230" s="32" t="s">
        <v>3421</v>
      </c>
      <c r="C230" s="32" t="s">
        <v>66</v>
      </c>
      <c r="D230" s="32" t="s">
        <v>743</v>
      </c>
      <c r="E230" s="32" t="s">
        <v>691</v>
      </c>
      <c r="F230" s="32" t="s">
        <v>3420</v>
      </c>
    </row>
    <row r="231" spans="1:6" ht="69.95" customHeight="1">
      <c r="A231" s="32" t="s">
        <v>686</v>
      </c>
      <c r="B231" s="32" t="s">
        <v>3415</v>
      </c>
      <c r="C231" s="32" t="s">
        <v>93</v>
      </c>
      <c r="D231" s="32"/>
      <c r="E231" s="32" t="s">
        <v>140</v>
      </c>
      <c r="F231" s="32" t="s">
        <v>3416</v>
      </c>
    </row>
    <row r="232" spans="1:6" ht="69.95" customHeight="1">
      <c r="A232" s="32" t="s">
        <v>686</v>
      </c>
      <c r="B232" s="32" t="s">
        <v>3417</v>
      </c>
      <c r="C232" s="32" t="s">
        <v>94</v>
      </c>
      <c r="D232" s="32"/>
      <c r="E232" s="32" t="s">
        <v>141</v>
      </c>
      <c r="F232" s="32" t="s">
        <v>3416</v>
      </c>
    </row>
    <row r="233" spans="1:6" ht="69.95" customHeight="1">
      <c r="A233" s="32" t="s">
        <v>686</v>
      </c>
      <c r="B233" s="32" t="s">
        <v>3418</v>
      </c>
      <c r="C233" s="32" t="s">
        <v>96</v>
      </c>
      <c r="D233" s="32"/>
      <c r="E233" s="32" t="s">
        <v>142</v>
      </c>
      <c r="F233" s="32" t="s">
        <v>3416</v>
      </c>
    </row>
    <row r="234" spans="1:6" ht="69.95" customHeight="1">
      <c r="A234" s="32" t="s">
        <v>696</v>
      </c>
      <c r="B234" s="32" t="s">
        <v>3419</v>
      </c>
      <c r="C234" s="32" t="s">
        <v>65</v>
      </c>
      <c r="D234" s="32" t="s">
        <v>753</v>
      </c>
      <c r="E234" s="32" t="s">
        <v>700</v>
      </c>
      <c r="F234" s="32" t="s">
        <v>3420</v>
      </c>
    </row>
    <row r="235" spans="1:6" ht="69.95" customHeight="1">
      <c r="A235" s="32" t="s">
        <v>696</v>
      </c>
      <c r="B235" s="32" t="s">
        <v>3421</v>
      </c>
      <c r="C235" s="32" t="s">
        <v>66</v>
      </c>
      <c r="D235" s="32" t="s">
        <v>754</v>
      </c>
      <c r="E235" s="32" t="s">
        <v>701</v>
      </c>
      <c r="F235" s="32" t="s">
        <v>3420</v>
      </c>
    </row>
    <row r="236" spans="1:6" ht="69.95" customHeight="1">
      <c r="A236" s="32" t="s">
        <v>696</v>
      </c>
      <c r="B236" s="32" t="s">
        <v>3415</v>
      </c>
      <c r="C236" s="32" t="s">
        <v>93</v>
      </c>
      <c r="D236" s="32"/>
      <c r="E236" s="32" t="s">
        <v>3453</v>
      </c>
      <c r="F236" s="32" t="s">
        <v>3416</v>
      </c>
    </row>
    <row r="237" spans="1:6" ht="69.95" customHeight="1">
      <c r="A237" s="32" t="s">
        <v>696</v>
      </c>
      <c r="B237" s="32" t="s">
        <v>3417</v>
      </c>
      <c r="C237" s="32" t="s">
        <v>94</v>
      </c>
      <c r="D237" s="32"/>
      <c r="E237" s="32" t="s">
        <v>141</v>
      </c>
      <c r="F237" s="32" t="s">
        <v>3416</v>
      </c>
    </row>
    <row r="238" spans="1:6" ht="69.95" customHeight="1">
      <c r="A238" s="32" t="s">
        <v>696</v>
      </c>
      <c r="B238" s="32" t="s">
        <v>3418</v>
      </c>
      <c r="C238" s="32" t="s">
        <v>96</v>
      </c>
      <c r="D238" s="32"/>
      <c r="E238" s="32" t="s">
        <v>142</v>
      </c>
      <c r="F238" s="32" t="s">
        <v>3416</v>
      </c>
    </row>
    <row r="239" spans="1:6" ht="69.95" customHeight="1">
      <c r="A239" s="32" t="s">
        <v>710</v>
      </c>
      <c r="B239" s="32" t="s">
        <v>3419</v>
      </c>
      <c r="C239" s="32" t="s">
        <v>65</v>
      </c>
      <c r="D239" s="32" t="s">
        <v>567</v>
      </c>
      <c r="E239" s="32" t="s">
        <v>714</v>
      </c>
      <c r="F239" s="32" t="s">
        <v>3420</v>
      </c>
    </row>
    <row r="240" spans="1:6" ht="69.95" customHeight="1">
      <c r="A240" s="32" t="s">
        <v>710</v>
      </c>
      <c r="B240" s="32" t="s">
        <v>3421</v>
      </c>
      <c r="C240" s="32" t="s">
        <v>66</v>
      </c>
      <c r="D240" s="32" t="s">
        <v>764</v>
      </c>
      <c r="E240" s="32" t="s">
        <v>715</v>
      </c>
      <c r="F240" s="32" t="s">
        <v>3420</v>
      </c>
    </row>
    <row r="241" spans="1:6" ht="69.95" customHeight="1">
      <c r="A241" s="32" t="s">
        <v>710</v>
      </c>
      <c r="B241" s="32" t="s">
        <v>3415</v>
      </c>
      <c r="C241" s="32" t="s">
        <v>93</v>
      </c>
      <c r="D241" s="32"/>
      <c r="E241" s="32" t="s">
        <v>140</v>
      </c>
      <c r="F241" s="32" t="s">
        <v>3416</v>
      </c>
    </row>
    <row r="242" spans="1:6" ht="69.95" customHeight="1">
      <c r="A242" s="32" t="s">
        <v>710</v>
      </c>
      <c r="B242" s="32" t="s">
        <v>3417</v>
      </c>
      <c r="C242" s="32" t="s">
        <v>94</v>
      </c>
      <c r="D242" s="32"/>
      <c r="E242" s="32" t="s">
        <v>141</v>
      </c>
      <c r="F242" s="32" t="s">
        <v>3416</v>
      </c>
    </row>
    <row r="243" spans="1:6" ht="69.95" customHeight="1">
      <c r="A243" s="32" t="s">
        <v>710</v>
      </c>
      <c r="B243" s="32" t="s">
        <v>3418</v>
      </c>
      <c r="C243" s="32" t="s">
        <v>96</v>
      </c>
      <c r="D243" s="32"/>
      <c r="E243" s="32" t="s">
        <v>142</v>
      </c>
      <c r="F243" s="32" t="s">
        <v>3416</v>
      </c>
    </row>
    <row r="244" spans="1:6" ht="69.95" customHeight="1">
      <c r="A244" s="32" t="s">
        <v>723</v>
      </c>
      <c r="B244" s="32" t="s">
        <v>3419</v>
      </c>
      <c r="C244" s="32" t="s">
        <v>65</v>
      </c>
      <c r="D244" s="32" t="s">
        <v>852</v>
      </c>
      <c r="E244" s="32" t="s">
        <v>727</v>
      </c>
      <c r="F244" s="32" t="s">
        <v>3455</v>
      </c>
    </row>
    <row r="245" spans="1:6" ht="69.95" customHeight="1">
      <c r="A245" s="32" t="s">
        <v>723</v>
      </c>
      <c r="B245" s="32" t="s">
        <v>3421</v>
      </c>
      <c r="C245" s="32" t="s">
        <v>66</v>
      </c>
      <c r="D245" s="32" t="s">
        <v>586</v>
      </c>
      <c r="E245" s="32" t="s">
        <v>728</v>
      </c>
      <c r="F245" s="32" t="s">
        <v>3420</v>
      </c>
    </row>
    <row r="246" spans="1:6" ht="69.95" customHeight="1">
      <c r="A246" s="32" t="s">
        <v>723</v>
      </c>
      <c r="B246" s="32" t="s">
        <v>3456</v>
      </c>
      <c r="C246" s="32" t="s">
        <v>72</v>
      </c>
      <c r="D246" s="32" t="s">
        <v>2987</v>
      </c>
      <c r="E246" s="32" t="s">
        <v>3457</v>
      </c>
      <c r="F246" s="32" t="s">
        <v>3458</v>
      </c>
    </row>
    <row r="247" spans="1:6" ht="69.95" customHeight="1">
      <c r="A247" s="32" t="s">
        <v>723</v>
      </c>
      <c r="B247" s="32" t="s">
        <v>3415</v>
      </c>
      <c r="C247" s="32" t="s">
        <v>93</v>
      </c>
      <c r="D247" s="32"/>
      <c r="E247" s="32" t="s">
        <v>462</v>
      </c>
      <c r="F247" s="32" t="s">
        <v>3416</v>
      </c>
    </row>
    <row r="248" spans="1:6" ht="69.95" customHeight="1">
      <c r="A248" s="32" t="s">
        <v>723</v>
      </c>
      <c r="B248" s="32" t="s">
        <v>3417</v>
      </c>
      <c r="C248" s="32" t="s">
        <v>94</v>
      </c>
      <c r="D248" s="32"/>
      <c r="E248" s="32" t="s">
        <v>141</v>
      </c>
      <c r="F248" s="32" t="s">
        <v>3416</v>
      </c>
    </row>
    <row r="249" spans="1:6" ht="69.95" customHeight="1">
      <c r="A249" s="32" t="s">
        <v>723</v>
      </c>
      <c r="B249" s="32" t="s">
        <v>3418</v>
      </c>
      <c r="C249" s="32" t="s">
        <v>96</v>
      </c>
      <c r="D249" s="32"/>
      <c r="E249" s="32" t="s">
        <v>142</v>
      </c>
      <c r="F249" s="32" t="s">
        <v>3416</v>
      </c>
    </row>
    <row r="250" spans="1:6" ht="69.95" customHeight="1">
      <c r="A250" s="32" t="s">
        <v>737</v>
      </c>
      <c r="B250" s="32" t="s">
        <v>3438</v>
      </c>
      <c r="C250" s="32" t="s">
        <v>61</v>
      </c>
      <c r="D250" s="32" t="s">
        <v>3459</v>
      </c>
      <c r="E250" s="32" t="s">
        <v>3460</v>
      </c>
      <c r="F250" s="32" t="s">
        <v>3420</v>
      </c>
    </row>
    <row r="251" spans="1:6" ht="69.95" customHeight="1">
      <c r="A251" s="32" t="s">
        <v>737</v>
      </c>
      <c r="B251" s="32" t="s">
        <v>3419</v>
      </c>
      <c r="C251" s="32" t="s">
        <v>65</v>
      </c>
      <c r="D251" s="32"/>
      <c r="E251" s="32" t="s">
        <v>3461</v>
      </c>
      <c r="F251" s="32" t="s">
        <v>3462</v>
      </c>
    </row>
    <row r="252" spans="1:6" ht="69.95" customHeight="1">
      <c r="A252" s="32" t="s">
        <v>737</v>
      </c>
      <c r="B252" s="32" t="s">
        <v>3421</v>
      </c>
      <c r="C252" s="32" t="s">
        <v>66</v>
      </c>
      <c r="D252" s="32" t="s">
        <v>812</v>
      </c>
      <c r="E252" s="32" t="s">
        <v>743</v>
      </c>
      <c r="F252" s="32" t="s">
        <v>3420</v>
      </c>
    </row>
    <row r="253" spans="1:6" ht="69.95" customHeight="1">
      <c r="A253" s="32" t="s">
        <v>737</v>
      </c>
      <c r="B253" s="32" t="s">
        <v>3456</v>
      </c>
      <c r="C253" s="32" t="s">
        <v>72</v>
      </c>
      <c r="D253" s="32" t="s">
        <v>814</v>
      </c>
      <c r="E253" s="32" t="s">
        <v>745</v>
      </c>
      <c r="F253" s="32" t="s">
        <v>3458</v>
      </c>
    </row>
    <row r="254" spans="1:6" ht="69.95" customHeight="1">
      <c r="A254" s="32" t="s">
        <v>737</v>
      </c>
      <c r="B254" s="32" t="s">
        <v>3463</v>
      </c>
      <c r="C254" s="32" t="s">
        <v>74</v>
      </c>
      <c r="D254" s="32" t="s">
        <v>816</v>
      </c>
      <c r="E254" s="32" t="s">
        <v>747</v>
      </c>
      <c r="F254" s="32" t="s">
        <v>3420</v>
      </c>
    </row>
    <row r="255" spans="1:6" ht="69.95" customHeight="1">
      <c r="A255" s="32" t="s">
        <v>737</v>
      </c>
      <c r="B255" s="32" t="s">
        <v>3464</v>
      </c>
      <c r="C255" s="32" t="s">
        <v>92</v>
      </c>
      <c r="D255" s="32" t="s">
        <v>2761</v>
      </c>
      <c r="E255" s="32"/>
      <c r="F255" s="32" t="s">
        <v>3420</v>
      </c>
    </row>
    <row r="256" spans="1:6" ht="69.95" customHeight="1">
      <c r="A256" s="32" t="s">
        <v>737</v>
      </c>
      <c r="B256" s="32" t="s">
        <v>3415</v>
      </c>
      <c r="C256" s="32" t="s">
        <v>93</v>
      </c>
      <c r="D256" s="32"/>
      <c r="E256" s="32" t="s">
        <v>462</v>
      </c>
      <c r="F256" s="32" t="s">
        <v>3416</v>
      </c>
    </row>
    <row r="257" spans="1:6" ht="69.95" customHeight="1">
      <c r="A257" s="32" t="s">
        <v>737</v>
      </c>
      <c r="B257" s="32" t="s">
        <v>3417</v>
      </c>
      <c r="C257" s="32" t="s">
        <v>94</v>
      </c>
      <c r="D257" s="32"/>
      <c r="E257" s="32" t="s">
        <v>141</v>
      </c>
      <c r="F257" s="32" t="s">
        <v>3416</v>
      </c>
    </row>
    <row r="258" spans="1:6" ht="69.95" customHeight="1">
      <c r="A258" s="32" t="s">
        <v>737</v>
      </c>
      <c r="B258" s="32" t="s">
        <v>3418</v>
      </c>
      <c r="C258" s="32" t="s">
        <v>96</v>
      </c>
      <c r="D258" s="32"/>
      <c r="E258" s="32" t="s">
        <v>142</v>
      </c>
      <c r="F258" s="32" t="s">
        <v>3416</v>
      </c>
    </row>
    <row r="259" spans="1:6" ht="69.95" customHeight="1">
      <c r="A259" s="32" t="s">
        <v>749</v>
      </c>
      <c r="B259" s="32" t="s">
        <v>3419</v>
      </c>
      <c r="C259" s="32" t="s">
        <v>65</v>
      </c>
      <c r="D259" s="32" t="s">
        <v>827</v>
      </c>
      <c r="E259" s="32" t="s">
        <v>753</v>
      </c>
      <c r="F259" s="32" t="s">
        <v>3420</v>
      </c>
    </row>
    <row r="260" spans="1:6" ht="69.95" customHeight="1">
      <c r="A260" s="32" t="s">
        <v>749</v>
      </c>
      <c r="B260" s="32" t="s">
        <v>3421</v>
      </c>
      <c r="C260" s="32" t="s">
        <v>66</v>
      </c>
      <c r="D260" s="32" t="s">
        <v>828</v>
      </c>
      <c r="E260" s="32" t="s">
        <v>754</v>
      </c>
      <c r="F260" s="32" t="s">
        <v>3420</v>
      </c>
    </row>
    <row r="261" spans="1:6" ht="69.95" customHeight="1">
      <c r="A261" s="32" t="s">
        <v>749</v>
      </c>
      <c r="B261" s="32" t="s">
        <v>3415</v>
      </c>
      <c r="C261" s="32" t="s">
        <v>93</v>
      </c>
      <c r="D261" s="32"/>
      <c r="E261" s="32" t="s">
        <v>140</v>
      </c>
      <c r="F261" s="32" t="s">
        <v>3416</v>
      </c>
    </row>
    <row r="262" spans="1:6" ht="69.95" customHeight="1">
      <c r="A262" s="32" t="s">
        <v>749</v>
      </c>
      <c r="B262" s="32" t="s">
        <v>3417</v>
      </c>
      <c r="C262" s="32" t="s">
        <v>94</v>
      </c>
      <c r="D262" s="32"/>
      <c r="E262" s="32" t="s">
        <v>141</v>
      </c>
      <c r="F262" s="32" t="s">
        <v>3416</v>
      </c>
    </row>
    <row r="263" spans="1:6" ht="69.95" customHeight="1">
      <c r="A263" s="32" t="s">
        <v>749</v>
      </c>
      <c r="B263" s="32" t="s">
        <v>3418</v>
      </c>
      <c r="C263" s="32" t="s">
        <v>96</v>
      </c>
      <c r="D263" s="32"/>
      <c r="E263" s="32" t="s">
        <v>142</v>
      </c>
      <c r="F263" s="32" t="s">
        <v>3416</v>
      </c>
    </row>
    <row r="264" spans="1:6" ht="69.95" customHeight="1">
      <c r="A264" s="32" t="s">
        <v>759</v>
      </c>
      <c r="B264" s="32" t="s">
        <v>3419</v>
      </c>
      <c r="C264" s="32" t="s">
        <v>65</v>
      </c>
      <c r="D264" s="32" t="s">
        <v>838</v>
      </c>
      <c r="E264" s="32" t="s">
        <v>567</v>
      </c>
      <c r="F264" s="32" t="s">
        <v>3420</v>
      </c>
    </row>
    <row r="265" spans="1:6" ht="69.95" customHeight="1">
      <c r="A265" s="32" t="s">
        <v>759</v>
      </c>
      <c r="B265" s="32" t="s">
        <v>3421</v>
      </c>
      <c r="C265" s="32" t="s">
        <v>66</v>
      </c>
      <c r="D265" s="32" t="s">
        <v>743</v>
      </c>
      <c r="E265" s="32" t="s">
        <v>764</v>
      </c>
      <c r="F265" s="32" t="s">
        <v>3420</v>
      </c>
    </row>
    <row r="266" spans="1:6" ht="69.95" customHeight="1">
      <c r="A266" s="32" t="s">
        <v>759</v>
      </c>
      <c r="B266" s="32" t="s">
        <v>3415</v>
      </c>
      <c r="C266" s="32" t="s">
        <v>93</v>
      </c>
      <c r="D266" s="32"/>
      <c r="E266" s="32" t="s">
        <v>462</v>
      </c>
      <c r="F266" s="32" t="s">
        <v>3416</v>
      </c>
    </row>
    <row r="267" spans="1:6" ht="69.95" customHeight="1">
      <c r="A267" s="32" t="s">
        <v>759</v>
      </c>
      <c r="B267" s="32" t="s">
        <v>3417</v>
      </c>
      <c r="C267" s="32" t="s">
        <v>94</v>
      </c>
      <c r="D267" s="32"/>
      <c r="E267" s="32" t="s">
        <v>141</v>
      </c>
      <c r="F267" s="32" t="s">
        <v>3416</v>
      </c>
    </row>
    <row r="268" spans="1:6" ht="69.95" customHeight="1">
      <c r="A268" s="32" t="s">
        <v>759</v>
      </c>
      <c r="B268" s="32" t="s">
        <v>3418</v>
      </c>
      <c r="C268" s="32" t="s">
        <v>96</v>
      </c>
      <c r="D268" s="32"/>
      <c r="E268" s="32" t="s">
        <v>142</v>
      </c>
      <c r="F268" s="32" t="s">
        <v>3416</v>
      </c>
    </row>
    <row r="269" spans="1:6" ht="69.95" customHeight="1">
      <c r="A269" s="32" t="s">
        <v>772</v>
      </c>
      <c r="B269" s="32" t="s">
        <v>3419</v>
      </c>
      <c r="C269" s="32" t="s">
        <v>65</v>
      </c>
      <c r="D269" s="32"/>
      <c r="E269" s="32" t="s">
        <v>2970</v>
      </c>
      <c r="F269" s="32" t="s">
        <v>3420</v>
      </c>
    </row>
    <row r="270" spans="1:6" ht="69.95" customHeight="1">
      <c r="A270" s="32" t="s">
        <v>772</v>
      </c>
      <c r="B270" s="32" t="s">
        <v>3421</v>
      </c>
      <c r="C270" s="32" t="s">
        <v>66</v>
      </c>
      <c r="D270" s="32" t="s">
        <v>865</v>
      </c>
      <c r="E270" s="32" t="s">
        <v>779</v>
      </c>
      <c r="F270" s="32" t="s">
        <v>3420</v>
      </c>
    </row>
    <row r="271" spans="1:6" ht="69.95" customHeight="1">
      <c r="A271" s="32" t="s">
        <v>772</v>
      </c>
      <c r="B271" s="32" t="s">
        <v>3456</v>
      </c>
      <c r="C271" s="32" t="s">
        <v>72</v>
      </c>
      <c r="D271" s="32" t="s">
        <v>2992</v>
      </c>
      <c r="E271" s="32" t="s">
        <v>3465</v>
      </c>
      <c r="F271" s="32" t="s">
        <v>3458</v>
      </c>
    </row>
    <row r="272" spans="1:6" ht="69.95" customHeight="1">
      <c r="A272" s="32" t="s">
        <v>772</v>
      </c>
      <c r="B272" s="32" t="s">
        <v>3415</v>
      </c>
      <c r="C272" s="32" t="s">
        <v>93</v>
      </c>
      <c r="D272" s="32"/>
      <c r="E272" s="32" t="s">
        <v>3453</v>
      </c>
      <c r="F272" s="32" t="s">
        <v>3416</v>
      </c>
    </row>
    <row r="273" spans="1:6" ht="69.95" customHeight="1">
      <c r="A273" s="32" t="s">
        <v>772</v>
      </c>
      <c r="B273" s="32" t="s">
        <v>3417</v>
      </c>
      <c r="C273" s="32" t="s">
        <v>94</v>
      </c>
      <c r="D273" s="32"/>
      <c r="E273" s="32" t="s">
        <v>141</v>
      </c>
      <c r="F273" s="32" t="s">
        <v>3416</v>
      </c>
    </row>
    <row r="274" spans="1:6" ht="69.95" customHeight="1">
      <c r="A274" s="32" t="s">
        <v>772</v>
      </c>
      <c r="B274" s="32" t="s">
        <v>3418</v>
      </c>
      <c r="C274" s="32" t="s">
        <v>96</v>
      </c>
      <c r="D274" s="32"/>
      <c r="E274" s="32" t="s">
        <v>142</v>
      </c>
      <c r="F274" s="32" t="s">
        <v>3416</v>
      </c>
    </row>
    <row r="275" spans="1:6" ht="69.95" customHeight="1">
      <c r="A275" s="32" t="s">
        <v>787</v>
      </c>
      <c r="B275" s="32" t="s">
        <v>3419</v>
      </c>
      <c r="C275" s="32" t="s">
        <v>65</v>
      </c>
      <c r="D275" s="32"/>
      <c r="E275" s="32" t="s">
        <v>792</v>
      </c>
      <c r="F275" s="32" t="s">
        <v>3420</v>
      </c>
    </row>
    <row r="276" spans="1:6" ht="69.95" customHeight="1">
      <c r="A276" s="32" t="s">
        <v>787</v>
      </c>
      <c r="B276" s="32" t="s">
        <v>3421</v>
      </c>
      <c r="C276" s="32" t="s">
        <v>66</v>
      </c>
      <c r="D276" s="32" t="s">
        <v>879</v>
      </c>
      <c r="E276" s="32" t="s">
        <v>793</v>
      </c>
      <c r="F276" s="32" t="s">
        <v>3420</v>
      </c>
    </row>
    <row r="277" spans="1:6" ht="69.95" customHeight="1">
      <c r="A277" s="32" t="s">
        <v>787</v>
      </c>
      <c r="B277" s="32" t="s">
        <v>3456</v>
      </c>
      <c r="C277" s="32" t="s">
        <v>72</v>
      </c>
      <c r="D277" s="32" t="s">
        <v>2995</v>
      </c>
      <c r="E277" s="32" t="s">
        <v>795</v>
      </c>
      <c r="F277" s="32" t="s">
        <v>3458</v>
      </c>
    </row>
    <row r="278" spans="1:6" ht="69.95" customHeight="1">
      <c r="A278" s="32" t="s">
        <v>787</v>
      </c>
      <c r="B278" s="32" t="s">
        <v>3428</v>
      </c>
      <c r="C278" s="32" t="s">
        <v>87</v>
      </c>
      <c r="D278" s="32" t="s">
        <v>3466</v>
      </c>
      <c r="E278" s="32" t="s">
        <v>3467</v>
      </c>
      <c r="F278" s="32" t="s">
        <v>3468</v>
      </c>
    </row>
    <row r="279" spans="1:6" ht="69.95" customHeight="1">
      <c r="A279" s="32" t="s">
        <v>787</v>
      </c>
      <c r="B279" s="32" t="s">
        <v>3442</v>
      </c>
      <c r="C279" s="32" t="s">
        <v>88</v>
      </c>
      <c r="D279" s="32" t="s">
        <v>3469</v>
      </c>
      <c r="E279" s="32" t="s">
        <v>802</v>
      </c>
      <c r="F279" s="32" t="s">
        <v>3470</v>
      </c>
    </row>
    <row r="280" spans="1:6" ht="69.95" customHeight="1">
      <c r="A280" s="32" t="s">
        <v>787</v>
      </c>
      <c r="B280" s="32" t="s">
        <v>3415</v>
      </c>
      <c r="C280" s="32" t="s">
        <v>93</v>
      </c>
      <c r="D280" s="32"/>
      <c r="E280" s="32" t="s">
        <v>3471</v>
      </c>
      <c r="F280" s="32" t="s">
        <v>3472</v>
      </c>
    </row>
    <row r="281" spans="1:6" ht="69.95" customHeight="1">
      <c r="A281" s="32" t="s">
        <v>787</v>
      </c>
      <c r="B281" s="32" t="s">
        <v>3417</v>
      </c>
      <c r="C281" s="32" t="s">
        <v>94</v>
      </c>
      <c r="D281" s="32"/>
      <c r="E281" s="32" t="s">
        <v>3473</v>
      </c>
      <c r="F281" s="32" t="s">
        <v>3474</v>
      </c>
    </row>
    <row r="282" spans="1:6" ht="69.95" customHeight="1">
      <c r="A282" s="32" t="s">
        <v>787</v>
      </c>
      <c r="B282" s="32" t="s">
        <v>3418</v>
      </c>
      <c r="C282" s="32" t="s">
        <v>96</v>
      </c>
      <c r="D282" s="32"/>
      <c r="E282" s="32" t="s">
        <v>805</v>
      </c>
      <c r="F282" s="32" t="s">
        <v>3416</v>
      </c>
    </row>
    <row r="283" spans="1:6" ht="69.95" customHeight="1">
      <c r="A283" s="32" t="s">
        <v>806</v>
      </c>
      <c r="B283" s="32" t="s">
        <v>3438</v>
      </c>
      <c r="C283" s="32" t="s">
        <v>61</v>
      </c>
      <c r="D283" s="32" t="s">
        <v>3475</v>
      </c>
      <c r="E283" s="32" t="s">
        <v>3476</v>
      </c>
      <c r="F283" s="32" t="s">
        <v>3477</v>
      </c>
    </row>
    <row r="284" spans="1:6" ht="69.95" customHeight="1">
      <c r="A284" s="32" t="s">
        <v>806</v>
      </c>
      <c r="B284" s="32" t="s">
        <v>3421</v>
      </c>
      <c r="C284" s="32" t="s">
        <v>66</v>
      </c>
      <c r="D284" s="32" t="s">
        <v>888</v>
      </c>
      <c r="E284" s="32" t="s">
        <v>812</v>
      </c>
      <c r="F284" s="32" t="s">
        <v>3420</v>
      </c>
    </row>
    <row r="285" spans="1:6" ht="69.95" customHeight="1">
      <c r="A285" s="32" t="s">
        <v>806</v>
      </c>
      <c r="B285" s="32" t="s">
        <v>3456</v>
      </c>
      <c r="C285" s="32" t="s">
        <v>72</v>
      </c>
      <c r="D285" s="32" t="s">
        <v>3478</v>
      </c>
      <c r="E285" s="32" t="s">
        <v>814</v>
      </c>
      <c r="F285" s="32" t="s">
        <v>3420</v>
      </c>
    </row>
    <row r="286" spans="1:6" ht="69.95" customHeight="1">
      <c r="A286" s="32" t="s">
        <v>806</v>
      </c>
      <c r="B286" s="32" t="s">
        <v>3463</v>
      </c>
      <c r="C286" s="32" t="s">
        <v>74</v>
      </c>
      <c r="D286" s="32" t="s">
        <v>126</v>
      </c>
      <c r="E286" s="32" t="s">
        <v>816</v>
      </c>
      <c r="F286" s="32" t="s">
        <v>3420</v>
      </c>
    </row>
    <row r="287" spans="1:6" ht="69.95" customHeight="1">
      <c r="A287" s="32" t="s">
        <v>806</v>
      </c>
      <c r="B287" s="32" t="s">
        <v>3464</v>
      </c>
      <c r="C287" s="32" t="s">
        <v>92</v>
      </c>
      <c r="D287" s="32"/>
      <c r="E287" s="32" t="s">
        <v>2761</v>
      </c>
      <c r="F287" s="32" t="s">
        <v>3420</v>
      </c>
    </row>
    <row r="288" spans="1:6" ht="69.95" customHeight="1">
      <c r="A288" s="32" t="s">
        <v>806</v>
      </c>
      <c r="B288" s="32" t="s">
        <v>3415</v>
      </c>
      <c r="C288" s="32" t="s">
        <v>93</v>
      </c>
      <c r="D288" s="32"/>
      <c r="E288" s="32" t="s">
        <v>462</v>
      </c>
      <c r="F288" s="32" t="s">
        <v>3416</v>
      </c>
    </row>
    <row r="289" spans="1:6" ht="69.95" customHeight="1">
      <c r="A289" s="32" t="s">
        <v>806</v>
      </c>
      <c r="B289" s="32" t="s">
        <v>3417</v>
      </c>
      <c r="C289" s="32" t="s">
        <v>94</v>
      </c>
      <c r="D289" s="32"/>
      <c r="E289" s="32" t="s">
        <v>141</v>
      </c>
      <c r="F289" s="32" t="s">
        <v>3416</v>
      </c>
    </row>
    <row r="290" spans="1:6" ht="69.95" customHeight="1">
      <c r="A290" s="32" t="s">
        <v>806</v>
      </c>
      <c r="B290" s="32" t="s">
        <v>3418</v>
      </c>
      <c r="C290" s="32" t="s">
        <v>96</v>
      </c>
      <c r="D290" s="32"/>
      <c r="E290" s="32" t="s">
        <v>142</v>
      </c>
      <c r="F290" s="32" t="s">
        <v>3416</v>
      </c>
    </row>
    <row r="291" spans="1:6" ht="69.95" customHeight="1">
      <c r="A291" s="32" t="s">
        <v>642</v>
      </c>
      <c r="B291" s="32" t="s">
        <v>3419</v>
      </c>
      <c r="C291" s="32" t="s">
        <v>65</v>
      </c>
      <c r="D291" s="32"/>
      <c r="E291" s="32" t="s">
        <v>827</v>
      </c>
      <c r="F291" s="32" t="s">
        <v>3420</v>
      </c>
    </row>
    <row r="292" spans="1:6" ht="69.95" customHeight="1">
      <c r="A292" s="32" t="s">
        <v>642</v>
      </c>
      <c r="B292" s="32" t="s">
        <v>3421</v>
      </c>
      <c r="C292" s="32" t="s">
        <v>66</v>
      </c>
      <c r="D292" s="32" t="s">
        <v>895</v>
      </c>
      <c r="E292" s="32" t="s">
        <v>828</v>
      </c>
      <c r="F292" s="32" t="s">
        <v>3420</v>
      </c>
    </row>
    <row r="293" spans="1:6" ht="69.95" customHeight="1">
      <c r="A293" s="32" t="s">
        <v>642</v>
      </c>
      <c r="B293" s="32" t="s">
        <v>3415</v>
      </c>
      <c r="C293" s="32" t="s">
        <v>93</v>
      </c>
      <c r="D293" s="32"/>
      <c r="E293" s="32" t="s">
        <v>462</v>
      </c>
      <c r="F293" s="32" t="s">
        <v>3416</v>
      </c>
    </row>
    <row r="294" spans="1:6" ht="69.95" customHeight="1">
      <c r="A294" s="32" t="s">
        <v>642</v>
      </c>
      <c r="B294" s="32" t="s">
        <v>3417</v>
      </c>
      <c r="C294" s="32" t="s">
        <v>94</v>
      </c>
      <c r="D294" s="32"/>
      <c r="E294" s="32" t="s">
        <v>141</v>
      </c>
      <c r="F294" s="32" t="s">
        <v>3416</v>
      </c>
    </row>
    <row r="295" spans="1:6" ht="69.95" customHeight="1">
      <c r="A295" s="32" t="s">
        <v>642</v>
      </c>
      <c r="B295" s="32" t="s">
        <v>3418</v>
      </c>
      <c r="C295" s="32" t="s">
        <v>96</v>
      </c>
      <c r="D295" s="32"/>
      <c r="E295" s="32" t="s">
        <v>142</v>
      </c>
      <c r="F295" s="32" t="s">
        <v>3416</v>
      </c>
    </row>
    <row r="296" spans="1:6" ht="69.95" customHeight="1">
      <c r="A296" s="32" t="s">
        <v>833</v>
      </c>
      <c r="B296" s="32" t="s">
        <v>3419</v>
      </c>
      <c r="C296" s="32" t="s">
        <v>65</v>
      </c>
      <c r="D296" s="32"/>
      <c r="E296" s="32" t="s">
        <v>838</v>
      </c>
      <c r="F296" s="32" t="s">
        <v>3420</v>
      </c>
    </row>
    <row r="297" spans="1:6" ht="69.95" customHeight="1">
      <c r="A297" s="32" t="s">
        <v>833</v>
      </c>
      <c r="B297" s="32" t="s">
        <v>3421</v>
      </c>
      <c r="C297" s="32" t="s">
        <v>66</v>
      </c>
      <c r="D297" s="32" t="s">
        <v>903</v>
      </c>
      <c r="E297" s="32" t="s">
        <v>743</v>
      </c>
      <c r="F297" s="32" t="s">
        <v>3420</v>
      </c>
    </row>
    <row r="298" spans="1:6" ht="69.95" customHeight="1">
      <c r="A298" s="32" t="s">
        <v>833</v>
      </c>
      <c r="B298" s="32" t="s">
        <v>3415</v>
      </c>
      <c r="C298" s="32" t="s">
        <v>93</v>
      </c>
      <c r="D298" s="32"/>
      <c r="E298" s="32" t="s">
        <v>462</v>
      </c>
      <c r="F298" s="32" t="s">
        <v>3416</v>
      </c>
    </row>
    <row r="299" spans="1:6" ht="69.95" customHeight="1">
      <c r="A299" s="32" t="s">
        <v>833</v>
      </c>
      <c r="B299" s="32" t="s">
        <v>3417</v>
      </c>
      <c r="C299" s="32" t="s">
        <v>94</v>
      </c>
      <c r="D299" s="32"/>
      <c r="E299" s="32" t="s">
        <v>141</v>
      </c>
      <c r="F299" s="32" t="s">
        <v>3416</v>
      </c>
    </row>
    <row r="300" spans="1:6" ht="69.95" customHeight="1">
      <c r="A300" s="32" t="s">
        <v>833</v>
      </c>
      <c r="B300" s="32" t="s">
        <v>3418</v>
      </c>
      <c r="C300" s="32" t="s">
        <v>96</v>
      </c>
      <c r="D300" s="32"/>
      <c r="E300" s="32" t="s">
        <v>142</v>
      </c>
      <c r="F300" s="32" t="s">
        <v>3416</v>
      </c>
    </row>
    <row r="301" spans="1:6" ht="69.95" customHeight="1">
      <c r="A301" s="32" t="s">
        <v>847</v>
      </c>
      <c r="B301" s="32" t="s">
        <v>3419</v>
      </c>
      <c r="C301" s="32" t="s">
        <v>65</v>
      </c>
      <c r="D301" s="32"/>
      <c r="E301" s="32" t="s">
        <v>852</v>
      </c>
      <c r="F301" s="32" t="s">
        <v>3420</v>
      </c>
    </row>
    <row r="302" spans="1:6" ht="69.95" customHeight="1">
      <c r="A302" s="32" t="s">
        <v>847</v>
      </c>
      <c r="B302" s="32" t="s">
        <v>3421</v>
      </c>
      <c r="C302" s="32" t="s">
        <v>66</v>
      </c>
      <c r="D302" s="32" t="s">
        <v>912</v>
      </c>
      <c r="E302" s="32" t="s">
        <v>586</v>
      </c>
      <c r="F302" s="32" t="s">
        <v>3420</v>
      </c>
    </row>
    <row r="303" spans="1:6" ht="69.95" customHeight="1">
      <c r="A303" s="32" t="s">
        <v>847</v>
      </c>
      <c r="B303" s="32" t="s">
        <v>3415</v>
      </c>
      <c r="C303" s="32" t="s">
        <v>93</v>
      </c>
      <c r="D303" s="32"/>
      <c r="E303" s="32" t="s">
        <v>462</v>
      </c>
      <c r="F303" s="32" t="s">
        <v>3416</v>
      </c>
    </row>
    <row r="304" spans="1:6" ht="69.95" customHeight="1">
      <c r="A304" s="32" t="s">
        <v>847</v>
      </c>
      <c r="B304" s="32" t="s">
        <v>3417</v>
      </c>
      <c r="C304" s="32" t="s">
        <v>94</v>
      </c>
      <c r="D304" s="32"/>
      <c r="E304" s="32" t="s">
        <v>141</v>
      </c>
      <c r="F304" s="32" t="s">
        <v>3416</v>
      </c>
    </row>
    <row r="305" spans="1:6" ht="69.95" customHeight="1">
      <c r="A305" s="32" t="s">
        <v>847</v>
      </c>
      <c r="B305" s="32" t="s">
        <v>3418</v>
      </c>
      <c r="C305" s="32" t="s">
        <v>96</v>
      </c>
      <c r="D305" s="32"/>
      <c r="E305" s="32" t="s">
        <v>142</v>
      </c>
      <c r="F305" s="32" t="s">
        <v>3416</v>
      </c>
    </row>
    <row r="306" spans="1:6" ht="69.95" customHeight="1">
      <c r="A306" s="32" t="s">
        <v>857</v>
      </c>
      <c r="B306" s="32" t="s">
        <v>3421</v>
      </c>
      <c r="C306" s="32" t="s">
        <v>66</v>
      </c>
      <c r="D306" s="32" t="s">
        <v>919</v>
      </c>
      <c r="E306" s="32" t="s">
        <v>865</v>
      </c>
      <c r="F306" s="32" t="s">
        <v>3420</v>
      </c>
    </row>
    <row r="307" spans="1:6" ht="69.95" customHeight="1">
      <c r="A307" s="32" t="s">
        <v>857</v>
      </c>
      <c r="B307" s="32" t="s">
        <v>3415</v>
      </c>
      <c r="C307" s="32" t="s">
        <v>93</v>
      </c>
      <c r="D307" s="32"/>
      <c r="E307" s="32" t="s">
        <v>140</v>
      </c>
      <c r="F307" s="32" t="s">
        <v>3416</v>
      </c>
    </row>
    <row r="308" spans="1:6" ht="69.95" customHeight="1">
      <c r="A308" s="32" t="s">
        <v>857</v>
      </c>
      <c r="B308" s="32" t="s">
        <v>3417</v>
      </c>
      <c r="C308" s="32" t="s">
        <v>94</v>
      </c>
      <c r="D308" s="32"/>
      <c r="E308" s="32" t="s">
        <v>141</v>
      </c>
      <c r="F308" s="32" t="s">
        <v>3416</v>
      </c>
    </row>
    <row r="309" spans="1:6" ht="69.95" customHeight="1">
      <c r="A309" s="32" t="s">
        <v>857</v>
      </c>
      <c r="B309" s="32" t="s">
        <v>3418</v>
      </c>
      <c r="C309" s="32" t="s">
        <v>96</v>
      </c>
      <c r="D309" s="32"/>
      <c r="E309" s="32" t="s">
        <v>142</v>
      </c>
      <c r="F309" s="32" t="s">
        <v>3416</v>
      </c>
    </row>
    <row r="310" spans="1:6" ht="69.95" customHeight="1">
      <c r="A310" s="32" t="s">
        <v>874</v>
      </c>
      <c r="B310" s="32" t="s">
        <v>3421</v>
      </c>
      <c r="C310" s="32" t="s">
        <v>66</v>
      </c>
      <c r="D310" s="32" t="s">
        <v>912</v>
      </c>
      <c r="E310" s="32" t="s">
        <v>879</v>
      </c>
      <c r="F310" s="32" t="s">
        <v>3420</v>
      </c>
    </row>
    <row r="311" spans="1:6" ht="69.95" customHeight="1">
      <c r="A311" s="32" t="s">
        <v>874</v>
      </c>
      <c r="B311" s="32" t="s">
        <v>3415</v>
      </c>
      <c r="C311" s="32" t="s">
        <v>93</v>
      </c>
      <c r="D311" s="32"/>
      <c r="E311" s="32" t="s">
        <v>140</v>
      </c>
      <c r="F311" s="32" t="s">
        <v>3416</v>
      </c>
    </row>
    <row r="312" spans="1:6" ht="69.95" customHeight="1">
      <c r="A312" s="32" t="s">
        <v>874</v>
      </c>
      <c r="B312" s="32" t="s">
        <v>3417</v>
      </c>
      <c r="C312" s="32" t="s">
        <v>94</v>
      </c>
      <c r="D312" s="32"/>
      <c r="E312" s="32" t="s">
        <v>141</v>
      </c>
      <c r="F312" s="32" t="s">
        <v>3416</v>
      </c>
    </row>
    <row r="313" spans="1:6" ht="69.95" customHeight="1">
      <c r="A313" s="32" t="s">
        <v>874</v>
      </c>
      <c r="B313" s="32" t="s">
        <v>3418</v>
      </c>
      <c r="C313" s="32" t="s">
        <v>96</v>
      </c>
      <c r="D313" s="32"/>
      <c r="E313" s="32" t="s">
        <v>142</v>
      </c>
      <c r="F313" s="32" t="s">
        <v>3416</v>
      </c>
    </row>
    <row r="314" spans="1:6" ht="69.95" customHeight="1">
      <c r="A314" s="32" t="s">
        <v>883</v>
      </c>
      <c r="B314" s="32" t="s">
        <v>3419</v>
      </c>
      <c r="C314" s="32" t="s">
        <v>65</v>
      </c>
      <c r="D314" s="32" t="s">
        <v>934</v>
      </c>
      <c r="E314" s="32"/>
      <c r="F314" s="32" t="s">
        <v>3420</v>
      </c>
    </row>
    <row r="315" spans="1:6" ht="69.95" customHeight="1">
      <c r="A315" s="32" t="s">
        <v>883</v>
      </c>
      <c r="B315" s="32" t="s">
        <v>3421</v>
      </c>
      <c r="C315" s="32" t="s">
        <v>66</v>
      </c>
      <c r="D315" s="32" t="s">
        <v>912</v>
      </c>
      <c r="E315" s="32" t="s">
        <v>888</v>
      </c>
      <c r="F315" s="32" t="s">
        <v>3420</v>
      </c>
    </row>
    <row r="316" spans="1:6" ht="69.95" customHeight="1">
      <c r="A316" s="32" t="s">
        <v>883</v>
      </c>
      <c r="B316" s="32" t="s">
        <v>3415</v>
      </c>
      <c r="C316" s="32" t="s">
        <v>93</v>
      </c>
      <c r="D316" s="32"/>
      <c r="E316" s="32" t="s">
        <v>140</v>
      </c>
      <c r="F316" s="32" t="s">
        <v>3416</v>
      </c>
    </row>
    <row r="317" spans="1:6" ht="69.95" customHeight="1">
      <c r="A317" s="32" t="s">
        <v>883</v>
      </c>
      <c r="B317" s="32" t="s">
        <v>3417</v>
      </c>
      <c r="C317" s="32" t="s">
        <v>94</v>
      </c>
      <c r="D317" s="32"/>
      <c r="E317" s="32" t="s">
        <v>141</v>
      </c>
      <c r="F317" s="32" t="s">
        <v>3416</v>
      </c>
    </row>
    <row r="318" spans="1:6" ht="69.95" customHeight="1">
      <c r="A318" s="32" t="s">
        <v>883</v>
      </c>
      <c r="B318" s="32" t="s">
        <v>3418</v>
      </c>
      <c r="C318" s="32" t="s">
        <v>96</v>
      </c>
      <c r="D318" s="32"/>
      <c r="E318" s="32" t="s">
        <v>142</v>
      </c>
      <c r="F318" s="32" t="s">
        <v>3416</v>
      </c>
    </row>
    <row r="319" spans="1:6" ht="69.95" customHeight="1">
      <c r="A319" s="32" t="s">
        <v>891</v>
      </c>
      <c r="B319" s="32" t="s">
        <v>3421</v>
      </c>
      <c r="C319" s="32" t="s">
        <v>66</v>
      </c>
      <c r="D319" s="32" t="s">
        <v>941</v>
      </c>
      <c r="E319" s="32" t="s">
        <v>895</v>
      </c>
      <c r="F319" s="32" t="s">
        <v>3420</v>
      </c>
    </row>
    <row r="320" spans="1:6" ht="69.95" customHeight="1">
      <c r="A320" s="32" t="s">
        <v>891</v>
      </c>
      <c r="B320" s="32" t="s">
        <v>3415</v>
      </c>
      <c r="C320" s="32" t="s">
        <v>93</v>
      </c>
      <c r="D320" s="32"/>
      <c r="E320" s="32" t="s">
        <v>140</v>
      </c>
      <c r="F320" s="32" t="s">
        <v>3416</v>
      </c>
    </row>
    <row r="321" spans="1:6" ht="69.95" customHeight="1">
      <c r="A321" s="32" t="s">
        <v>891</v>
      </c>
      <c r="B321" s="32" t="s">
        <v>3417</v>
      </c>
      <c r="C321" s="32" t="s">
        <v>94</v>
      </c>
      <c r="D321" s="32"/>
      <c r="E321" s="32" t="s">
        <v>141</v>
      </c>
      <c r="F321" s="32" t="s">
        <v>3416</v>
      </c>
    </row>
    <row r="322" spans="1:6" ht="69.95" customHeight="1">
      <c r="A322" s="32" t="s">
        <v>891</v>
      </c>
      <c r="B322" s="32" t="s">
        <v>3418</v>
      </c>
      <c r="C322" s="32" t="s">
        <v>96</v>
      </c>
      <c r="D322" s="32"/>
      <c r="E322" s="32" t="s">
        <v>142</v>
      </c>
      <c r="F322" s="32" t="s">
        <v>3416</v>
      </c>
    </row>
    <row r="323" spans="1:6" ht="69.95" customHeight="1">
      <c r="A323" s="32" t="s">
        <v>897</v>
      </c>
      <c r="B323" s="32" t="s">
        <v>3421</v>
      </c>
      <c r="C323" s="32" t="s">
        <v>66</v>
      </c>
      <c r="D323" s="32" t="s">
        <v>948</v>
      </c>
      <c r="E323" s="32" t="s">
        <v>903</v>
      </c>
      <c r="F323" s="32" t="s">
        <v>3420</v>
      </c>
    </row>
    <row r="324" spans="1:6" ht="69.95" customHeight="1">
      <c r="A324" s="32" t="s">
        <v>897</v>
      </c>
      <c r="B324" s="32" t="s">
        <v>3415</v>
      </c>
      <c r="C324" s="32" t="s">
        <v>93</v>
      </c>
      <c r="D324" s="32"/>
      <c r="E324" s="32" t="s">
        <v>140</v>
      </c>
      <c r="F324" s="32" t="s">
        <v>3416</v>
      </c>
    </row>
    <row r="325" spans="1:6" ht="69.95" customHeight="1">
      <c r="A325" s="32" t="s">
        <v>897</v>
      </c>
      <c r="B325" s="32" t="s">
        <v>3417</v>
      </c>
      <c r="C325" s="32" t="s">
        <v>94</v>
      </c>
      <c r="D325" s="32"/>
      <c r="E325" s="32" t="s">
        <v>141</v>
      </c>
      <c r="F325" s="32" t="s">
        <v>3416</v>
      </c>
    </row>
    <row r="326" spans="1:6" ht="69.95" customHeight="1">
      <c r="A326" s="32" t="s">
        <v>897</v>
      </c>
      <c r="B326" s="32" t="s">
        <v>3418</v>
      </c>
      <c r="C326" s="32" t="s">
        <v>96</v>
      </c>
      <c r="D326" s="32"/>
      <c r="E326" s="32" t="s">
        <v>142</v>
      </c>
      <c r="F326" s="32" t="s">
        <v>3416</v>
      </c>
    </row>
    <row r="327" spans="1:6" ht="69.95" customHeight="1">
      <c r="A327" s="32" t="s">
        <v>907</v>
      </c>
      <c r="B327" s="32" t="s">
        <v>3421</v>
      </c>
      <c r="C327" s="32" t="s">
        <v>66</v>
      </c>
      <c r="D327" s="32" t="s">
        <v>956</v>
      </c>
      <c r="E327" s="32" t="s">
        <v>912</v>
      </c>
      <c r="F327" s="32" t="s">
        <v>3420</v>
      </c>
    </row>
    <row r="328" spans="1:6" ht="69.95" customHeight="1">
      <c r="A328" s="32" t="s">
        <v>907</v>
      </c>
      <c r="B328" s="32" t="s">
        <v>3415</v>
      </c>
      <c r="C328" s="32" t="s">
        <v>93</v>
      </c>
      <c r="D328" s="32"/>
      <c r="E328" s="32" t="s">
        <v>140</v>
      </c>
      <c r="F328" s="32" t="s">
        <v>3416</v>
      </c>
    </row>
    <row r="329" spans="1:6" ht="69.95" customHeight="1">
      <c r="A329" s="32" t="s">
        <v>907</v>
      </c>
      <c r="B329" s="32" t="s">
        <v>3417</v>
      </c>
      <c r="C329" s="32" t="s">
        <v>94</v>
      </c>
      <c r="D329" s="32"/>
      <c r="E329" s="32" t="s">
        <v>141</v>
      </c>
      <c r="F329" s="32" t="s">
        <v>3416</v>
      </c>
    </row>
    <row r="330" spans="1:6" ht="69.95" customHeight="1">
      <c r="A330" s="32" t="s">
        <v>907</v>
      </c>
      <c r="B330" s="32" t="s">
        <v>3418</v>
      </c>
      <c r="C330" s="32" t="s">
        <v>96</v>
      </c>
      <c r="D330" s="32"/>
      <c r="E330" s="32" t="s">
        <v>142</v>
      </c>
      <c r="F330" s="32" t="s">
        <v>3416</v>
      </c>
    </row>
    <row r="331" spans="1:6" ht="69.95" customHeight="1">
      <c r="A331" s="32" t="s">
        <v>914</v>
      </c>
      <c r="B331" s="32" t="s">
        <v>3421</v>
      </c>
      <c r="C331" s="32" t="s">
        <v>66</v>
      </c>
      <c r="D331" s="32" t="s">
        <v>965</v>
      </c>
      <c r="E331" s="32" t="s">
        <v>919</v>
      </c>
      <c r="F331" s="32" t="s">
        <v>3420</v>
      </c>
    </row>
    <row r="332" spans="1:6" ht="69.95" customHeight="1">
      <c r="A332" s="32" t="s">
        <v>914</v>
      </c>
      <c r="B332" s="32" t="s">
        <v>3415</v>
      </c>
      <c r="C332" s="32" t="s">
        <v>93</v>
      </c>
      <c r="D332" s="32"/>
      <c r="E332" s="32" t="s">
        <v>140</v>
      </c>
      <c r="F332" s="32" t="s">
        <v>3416</v>
      </c>
    </row>
    <row r="333" spans="1:6" ht="69.95" customHeight="1">
      <c r="A333" s="32" t="s">
        <v>914</v>
      </c>
      <c r="B333" s="32" t="s">
        <v>3417</v>
      </c>
      <c r="C333" s="32" t="s">
        <v>94</v>
      </c>
      <c r="D333" s="32"/>
      <c r="E333" s="32" t="s">
        <v>141</v>
      </c>
      <c r="F333" s="32" t="s">
        <v>3416</v>
      </c>
    </row>
    <row r="334" spans="1:6" ht="69.95" customHeight="1">
      <c r="A334" s="32" t="s">
        <v>914</v>
      </c>
      <c r="B334" s="32" t="s">
        <v>3418</v>
      </c>
      <c r="C334" s="32" t="s">
        <v>96</v>
      </c>
      <c r="D334" s="32"/>
      <c r="E334" s="32" t="s">
        <v>142</v>
      </c>
      <c r="F334" s="32" t="s">
        <v>3416</v>
      </c>
    </row>
    <row r="335" spans="1:6" ht="69.95" customHeight="1">
      <c r="A335" s="32" t="s">
        <v>923</v>
      </c>
      <c r="B335" s="32" t="s">
        <v>3421</v>
      </c>
      <c r="C335" s="32" t="s">
        <v>66</v>
      </c>
      <c r="D335" s="32" t="s">
        <v>965</v>
      </c>
      <c r="E335" s="32" t="s">
        <v>912</v>
      </c>
      <c r="F335" s="32" t="s">
        <v>3420</v>
      </c>
    </row>
    <row r="336" spans="1:6" ht="69.95" customHeight="1">
      <c r="A336" s="32" t="s">
        <v>923</v>
      </c>
      <c r="B336" s="32" t="s">
        <v>3415</v>
      </c>
      <c r="C336" s="32" t="s">
        <v>93</v>
      </c>
      <c r="D336" s="32"/>
      <c r="E336" s="32" t="s">
        <v>140</v>
      </c>
      <c r="F336" s="32" t="s">
        <v>3416</v>
      </c>
    </row>
    <row r="337" spans="1:6" ht="69.95" customHeight="1">
      <c r="A337" s="32" t="s">
        <v>923</v>
      </c>
      <c r="B337" s="32" t="s">
        <v>3417</v>
      </c>
      <c r="C337" s="32" t="s">
        <v>94</v>
      </c>
      <c r="D337" s="32"/>
      <c r="E337" s="32" t="s">
        <v>141</v>
      </c>
      <c r="F337" s="32" t="s">
        <v>3416</v>
      </c>
    </row>
    <row r="338" spans="1:6" ht="69.95" customHeight="1">
      <c r="A338" s="32" t="s">
        <v>923</v>
      </c>
      <c r="B338" s="32" t="s">
        <v>3418</v>
      </c>
      <c r="C338" s="32" t="s">
        <v>96</v>
      </c>
      <c r="D338" s="32"/>
      <c r="E338" s="32" t="s">
        <v>142</v>
      </c>
      <c r="F338" s="32" t="s">
        <v>3416</v>
      </c>
    </row>
    <row r="339" spans="1:6" ht="69.95" customHeight="1">
      <c r="A339" s="32" t="s">
        <v>929</v>
      </c>
      <c r="B339" s="32" t="s">
        <v>3419</v>
      </c>
      <c r="C339" s="32" t="s">
        <v>65</v>
      </c>
      <c r="D339" s="32"/>
      <c r="E339" s="32" t="s">
        <v>934</v>
      </c>
      <c r="F339" s="32" t="s">
        <v>3420</v>
      </c>
    </row>
    <row r="340" spans="1:6" ht="69.95" customHeight="1">
      <c r="A340" s="32" t="s">
        <v>929</v>
      </c>
      <c r="B340" s="32" t="s">
        <v>3421</v>
      </c>
      <c r="C340" s="32" t="s">
        <v>66</v>
      </c>
      <c r="D340" s="32" t="s">
        <v>965</v>
      </c>
      <c r="E340" s="32" t="s">
        <v>912</v>
      </c>
      <c r="F340" s="32" t="s">
        <v>3420</v>
      </c>
    </row>
    <row r="341" spans="1:6" ht="69.95" customHeight="1">
      <c r="A341" s="32" t="s">
        <v>929</v>
      </c>
      <c r="B341" s="32" t="s">
        <v>3415</v>
      </c>
      <c r="C341" s="32" t="s">
        <v>93</v>
      </c>
      <c r="D341" s="32"/>
      <c r="E341" s="32" t="s">
        <v>140</v>
      </c>
      <c r="F341" s="32" t="s">
        <v>3416</v>
      </c>
    </row>
    <row r="342" spans="1:6" ht="69.95" customHeight="1">
      <c r="A342" s="32" t="s">
        <v>929</v>
      </c>
      <c r="B342" s="32" t="s">
        <v>3417</v>
      </c>
      <c r="C342" s="32" t="s">
        <v>94</v>
      </c>
      <c r="D342" s="32"/>
      <c r="E342" s="32" t="s">
        <v>141</v>
      </c>
      <c r="F342" s="32" t="s">
        <v>3416</v>
      </c>
    </row>
    <row r="343" spans="1:6" ht="69.95" customHeight="1">
      <c r="A343" s="32" t="s">
        <v>929</v>
      </c>
      <c r="B343" s="32" t="s">
        <v>3418</v>
      </c>
      <c r="C343" s="32" t="s">
        <v>96</v>
      </c>
      <c r="D343" s="32"/>
      <c r="E343" s="32" t="s">
        <v>142</v>
      </c>
      <c r="F343" s="32" t="s">
        <v>3416</v>
      </c>
    </row>
    <row r="344" spans="1:6" ht="69.95" customHeight="1">
      <c r="A344" s="32" t="s">
        <v>936</v>
      </c>
      <c r="B344" s="32" t="s">
        <v>3421</v>
      </c>
      <c r="C344" s="32" t="s">
        <v>66</v>
      </c>
      <c r="D344" s="32"/>
      <c r="E344" s="32" t="s">
        <v>941</v>
      </c>
      <c r="F344" s="32" t="s">
        <v>3420</v>
      </c>
    </row>
    <row r="345" spans="1:6" ht="69.95" customHeight="1">
      <c r="A345" s="32" t="s">
        <v>936</v>
      </c>
      <c r="B345" s="32" t="s">
        <v>3415</v>
      </c>
      <c r="C345" s="32" t="s">
        <v>93</v>
      </c>
      <c r="D345" s="32"/>
      <c r="E345" s="32" t="s">
        <v>140</v>
      </c>
      <c r="F345" s="32" t="s">
        <v>3416</v>
      </c>
    </row>
    <row r="346" spans="1:6" ht="69.95" customHeight="1">
      <c r="A346" s="32" t="s">
        <v>936</v>
      </c>
      <c r="B346" s="32" t="s">
        <v>3417</v>
      </c>
      <c r="C346" s="32" t="s">
        <v>94</v>
      </c>
      <c r="D346" s="32"/>
      <c r="E346" s="32" t="s">
        <v>141</v>
      </c>
      <c r="F346" s="32" t="s">
        <v>3416</v>
      </c>
    </row>
    <row r="347" spans="1:6" ht="69.95" customHeight="1">
      <c r="A347" s="32" t="s">
        <v>936</v>
      </c>
      <c r="B347" s="32" t="s">
        <v>3418</v>
      </c>
      <c r="C347" s="32" t="s">
        <v>96</v>
      </c>
      <c r="D347" s="32"/>
      <c r="E347" s="32" t="s">
        <v>142</v>
      </c>
      <c r="F347" s="32" t="s">
        <v>3416</v>
      </c>
    </row>
    <row r="348" spans="1:6" ht="69.95" customHeight="1">
      <c r="A348" s="32" t="s">
        <v>943</v>
      </c>
      <c r="B348" s="32" t="s">
        <v>3419</v>
      </c>
      <c r="C348" s="32" t="s">
        <v>65</v>
      </c>
      <c r="D348" s="32" t="s">
        <v>996</v>
      </c>
      <c r="E348" s="32"/>
      <c r="F348" s="32" t="s">
        <v>3420</v>
      </c>
    </row>
    <row r="349" spans="1:6" ht="69.95" customHeight="1">
      <c r="A349" s="32" t="s">
        <v>943</v>
      </c>
      <c r="B349" s="32" t="s">
        <v>3421</v>
      </c>
      <c r="C349" s="32" t="s">
        <v>66</v>
      </c>
      <c r="D349" s="32" t="s">
        <v>997</v>
      </c>
      <c r="E349" s="32" t="s">
        <v>948</v>
      </c>
      <c r="F349" s="32" t="s">
        <v>3420</v>
      </c>
    </row>
    <row r="350" spans="1:6" ht="69.95" customHeight="1">
      <c r="A350" s="32" t="s">
        <v>943</v>
      </c>
      <c r="B350" s="32" t="s">
        <v>3415</v>
      </c>
      <c r="C350" s="32" t="s">
        <v>93</v>
      </c>
      <c r="D350" s="32"/>
      <c r="E350" s="32" t="s">
        <v>140</v>
      </c>
      <c r="F350" s="32" t="s">
        <v>3416</v>
      </c>
    </row>
    <row r="351" spans="1:6" ht="69.95" customHeight="1">
      <c r="A351" s="32" t="s">
        <v>943</v>
      </c>
      <c r="B351" s="32" t="s">
        <v>3417</v>
      </c>
      <c r="C351" s="32" t="s">
        <v>94</v>
      </c>
      <c r="D351" s="32"/>
      <c r="E351" s="32" t="s">
        <v>141</v>
      </c>
      <c r="F351" s="32" t="s">
        <v>3416</v>
      </c>
    </row>
    <row r="352" spans="1:6" ht="69.95" customHeight="1">
      <c r="A352" s="32" t="s">
        <v>943</v>
      </c>
      <c r="B352" s="32" t="s">
        <v>3418</v>
      </c>
      <c r="C352" s="32" t="s">
        <v>96</v>
      </c>
      <c r="D352" s="32"/>
      <c r="E352" s="32" t="s">
        <v>142</v>
      </c>
      <c r="F352" s="32" t="s">
        <v>3416</v>
      </c>
    </row>
    <row r="353" spans="1:6" ht="69.95" customHeight="1">
      <c r="A353" s="32" t="s">
        <v>951</v>
      </c>
      <c r="B353" s="32" t="s">
        <v>3419</v>
      </c>
      <c r="C353" s="32" t="s">
        <v>65</v>
      </c>
      <c r="D353" s="32" t="s">
        <v>309</v>
      </c>
      <c r="E353" s="32"/>
      <c r="F353" s="32" t="s">
        <v>3420</v>
      </c>
    </row>
    <row r="354" spans="1:6" ht="69.95" customHeight="1">
      <c r="A354" s="32" t="s">
        <v>951</v>
      </c>
      <c r="B354" s="32" t="s">
        <v>3421</v>
      </c>
      <c r="C354" s="32" t="s">
        <v>66</v>
      </c>
      <c r="D354" s="32" t="s">
        <v>1007</v>
      </c>
      <c r="E354" s="32" t="s">
        <v>956</v>
      </c>
      <c r="F354" s="32" t="s">
        <v>3420</v>
      </c>
    </row>
    <row r="355" spans="1:6" ht="69.95" customHeight="1">
      <c r="A355" s="32" t="s">
        <v>951</v>
      </c>
      <c r="B355" s="32" t="s">
        <v>3415</v>
      </c>
      <c r="C355" s="32" t="s">
        <v>93</v>
      </c>
      <c r="D355" s="32"/>
      <c r="E355" s="32" t="s">
        <v>140</v>
      </c>
      <c r="F355" s="32" t="s">
        <v>3416</v>
      </c>
    </row>
    <row r="356" spans="1:6" ht="69.95" customHeight="1">
      <c r="A356" s="32" t="s">
        <v>951</v>
      </c>
      <c r="B356" s="32" t="s">
        <v>3417</v>
      </c>
      <c r="C356" s="32" t="s">
        <v>94</v>
      </c>
      <c r="D356" s="32"/>
      <c r="E356" s="32" t="s">
        <v>141</v>
      </c>
      <c r="F356" s="32" t="s">
        <v>3416</v>
      </c>
    </row>
    <row r="357" spans="1:6" ht="69.95" customHeight="1">
      <c r="A357" s="32" t="s">
        <v>951</v>
      </c>
      <c r="B357" s="32" t="s">
        <v>3418</v>
      </c>
      <c r="C357" s="32" t="s">
        <v>96</v>
      </c>
      <c r="D357" s="32"/>
      <c r="E357" s="32" t="s">
        <v>142</v>
      </c>
      <c r="F357" s="32" t="s">
        <v>3416</v>
      </c>
    </row>
    <row r="358" spans="1:6" ht="69.95" customHeight="1">
      <c r="A358" s="32" t="s">
        <v>960</v>
      </c>
      <c r="B358" s="32" t="s">
        <v>3419</v>
      </c>
      <c r="C358" s="32" t="s">
        <v>65</v>
      </c>
      <c r="D358" s="32" t="s">
        <v>1016</v>
      </c>
      <c r="E358" s="32"/>
      <c r="F358" s="32" t="s">
        <v>3420</v>
      </c>
    </row>
    <row r="359" spans="1:6" ht="69.95" customHeight="1">
      <c r="A359" s="32" t="s">
        <v>960</v>
      </c>
      <c r="B359" s="32" t="s">
        <v>3421</v>
      </c>
      <c r="C359" s="32" t="s">
        <v>66</v>
      </c>
      <c r="D359" s="32" t="s">
        <v>1017</v>
      </c>
      <c r="E359" s="32" t="s">
        <v>965</v>
      </c>
      <c r="F359" s="32" t="s">
        <v>3420</v>
      </c>
    </row>
    <row r="360" spans="1:6" ht="69.95" customHeight="1">
      <c r="A360" s="32" t="s">
        <v>960</v>
      </c>
      <c r="B360" s="32" t="s">
        <v>3415</v>
      </c>
      <c r="C360" s="32" t="s">
        <v>93</v>
      </c>
      <c r="D360" s="32"/>
      <c r="E360" s="32" t="s">
        <v>140</v>
      </c>
      <c r="F360" s="32" t="s">
        <v>3416</v>
      </c>
    </row>
    <row r="361" spans="1:6" ht="69.95" customHeight="1">
      <c r="A361" s="32" t="s">
        <v>960</v>
      </c>
      <c r="B361" s="32" t="s">
        <v>3417</v>
      </c>
      <c r="C361" s="32" t="s">
        <v>94</v>
      </c>
      <c r="D361" s="32"/>
      <c r="E361" s="32" t="s">
        <v>141</v>
      </c>
      <c r="F361" s="32" t="s">
        <v>3416</v>
      </c>
    </row>
    <row r="362" spans="1:6" ht="69.95" customHeight="1">
      <c r="A362" s="32" t="s">
        <v>960</v>
      </c>
      <c r="B362" s="32" t="s">
        <v>3418</v>
      </c>
      <c r="C362" s="32" t="s">
        <v>96</v>
      </c>
      <c r="D362" s="32"/>
      <c r="E362" s="32" t="s">
        <v>142</v>
      </c>
      <c r="F362" s="32" t="s">
        <v>3416</v>
      </c>
    </row>
    <row r="363" spans="1:6" ht="69.95" customHeight="1">
      <c r="A363" s="32" t="s">
        <v>969</v>
      </c>
      <c r="B363" s="32" t="s">
        <v>3419</v>
      </c>
      <c r="C363" s="32" t="s">
        <v>65</v>
      </c>
      <c r="D363" s="32" t="s">
        <v>299</v>
      </c>
      <c r="E363" s="32"/>
      <c r="F363" s="32" t="s">
        <v>3420</v>
      </c>
    </row>
    <row r="364" spans="1:6" ht="69.95" customHeight="1">
      <c r="A364" s="32" t="s">
        <v>969</v>
      </c>
      <c r="B364" s="32" t="s">
        <v>3421</v>
      </c>
      <c r="C364" s="32" t="s">
        <v>66</v>
      </c>
      <c r="D364" s="32" t="s">
        <v>1026</v>
      </c>
      <c r="E364" s="32" t="s">
        <v>965</v>
      </c>
      <c r="F364" s="32" t="s">
        <v>3420</v>
      </c>
    </row>
    <row r="365" spans="1:6" ht="69.95" customHeight="1">
      <c r="A365" s="32" t="s">
        <v>969</v>
      </c>
      <c r="B365" s="32" t="s">
        <v>3415</v>
      </c>
      <c r="C365" s="32" t="s">
        <v>93</v>
      </c>
      <c r="D365" s="32"/>
      <c r="E365" s="32" t="s">
        <v>140</v>
      </c>
      <c r="F365" s="32" t="s">
        <v>3416</v>
      </c>
    </row>
    <row r="366" spans="1:6" ht="69.95" customHeight="1">
      <c r="A366" s="32" t="s">
        <v>969</v>
      </c>
      <c r="B366" s="32" t="s">
        <v>3417</v>
      </c>
      <c r="C366" s="32" t="s">
        <v>94</v>
      </c>
      <c r="D366" s="32"/>
      <c r="E366" s="32" t="s">
        <v>141</v>
      </c>
      <c r="F366" s="32" t="s">
        <v>3416</v>
      </c>
    </row>
    <row r="367" spans="1:6" ht="69.95" customHeight="1">
      <c r="A367" s="32" t="s">
        <v>969</v>
      </c>
      <c r="B367" s="32" t="s">
        <v>3418</v>
      </c>
      <c r="C367" s="32" t="s">
        <v>96</v>
      </c>
      <c r="D367" s="32"/>
      <c r="E367" s="32" t="s">
        <v>142</v>
      </c>
      <c r="F367" s="32" t="s">
        <v>3416</v>
      </c>
    </row>
    <row r="368" spans="1:6" ht="69.95" customHeight="1">
      <c r="A368" s="32" t="s">
        <v>975</v>
      </c>
      <c r="B368" s="32" t="s">
        <v>3419</v>
      </c>
      <c r="C368" s="32" t="s">
        <v>65</v>
      </c>
      <c r="D368" s="32" t="s">
        <v>1033</v>
      </c>
      <c r="E368" s="32"/>
      <c r="F368" s="32" t="s">
        <v>3420</v>
      </c>
    </row>
    <row r="369" spans="1:6" ht="69.95" customHeight="1">
      <c r="A369" s="32" t="s">
        <v>975</v>
      </c>
      <c r="B369" s="32" t="s">
        <v>3421</v>
      </c>
      <c r="C369" s="32" t="s">
        <v>66</v>
      </c>
      <c r="D369" s="32" t="s">
        <v>1034</v>
      </c>
      <c r="E369" s="32" t="s">
        <v>965</v>
      </c>
      <c r="F369" s="32" t="s">
        <v>3420</v>
      </c>
    </row>
    <row r="370" spans="1:6" ht="69.95" customHeight="1">
      <c r="A370" s="32" t="s">
        <v>975</v>
      </c>
      <c r="B370" s="32" t="s">
        <v>3415</v>
      </c>
      <c r="C370" s="32" t="s">
        <v>93</v>
      </c>
      <c r="D370" s="32"/>
      <c r="E370" s="32" t="s">
        <v>140</v>
      </c>
      <c r="F370" s="32" t="s">
        <v>3416</v>
      </c>
    </row>
    <row r="371" spans="1:6" ht="69.95" customHeight="1">
      <c r="A371" s="32" t="s">
        <v>975</v>
      </c>
      <c r="B371" s="32" t="s">
        <v>3417</v>
      </c>
      <c r="C371" s="32" t="s">
        <v>94</v>
      </c>
      <c r="D371" s="32"/>
      <c r="E371" s="32" t="s">
        <v>141</v>
      </c>
      <c r="F371" s="32" t="s">
        <v>3416</v>
      </c>
    </row>
    <row r="372" spans="1:6" ht="69.95" customHeight="1">
      <c r="A372" s="32" t="s">
        <v>975</v>
      </c>
      <c r="B372" s="32" t="s">
        <v>3418</v>
      </c>
      <c r="C372" s="32" t="s">
        <v>96</v>
      </c>
      <c r="D372" s="32"/>
      <c r="E372" s="32" t="s">
        <v>142</v>
      </c>
      <c r="F372" s="32" t="s">
        <v>3416</v>
      </c>
    </row>
    <row r="373" spans="1:6" ht="69.95" customHeight="1">
      <c r="A373" s="32" t="s">
        <v>982</v>
      </c>
      <c r="B373" s="32" t="s">
        <v>3419</v>
      </c>
      <c r="C373" s="32" t="s">
        <v>65</v>
      </c>
      <c r="D373" s="32" t="s">
        <v>1026</v>
      </c>
      <c r="E373" s="32"/>
      <c r="F373" s="32" t="s">
        <v>3420</v>
      </c>
    </row>
    <row r="374" spans="1:6" ht="69.95" customHeight="1">
      <c r="A374" s="32" t="s">
        <v>982</v>
      </c>
      <c r="B374" s="32" t="s">
        <v>3421</v>
      </c>
      <c r="C374" s="32" t="s">
        <v>66</v>
      </c>
      <c r="D374" s="32" t="s">
        <v>1042</v>
      </c>
      <c r="E374" s="32"/>
      <c r="F374" s="32" t="s">
        <v>3420</v>
      </c>
    </row>
    <row r="375" spans="1:6" ht="69.95" customHeight="1">
      <c r="A375" s="32" t="s">
        <v>982</v>
      </c>
      <c r="B375" s="32" t="s">
        <v>3415</v>
      </c>
      <c r="C375" s="32" t="s">
        <v>93</v>
      </c>
      <c r="D375" s="32"/>
      <c r="E375" s="32" t="s">
        <v>140</v>
      </c>
      <c r="F375" s="32" t="s">
        <v>3416</v>
      </c>
    </row>
    <row r="376" spans="1:6" ht="69.95" customHeight="1">
      <c r="A376" s="32" t="s">
        <v>982</v>
      </c>
      <c r="B376" s="32" t="s">
        <v>3417</v>
      </c>
      <c r="C376" s="32" t="s">
        <v>94</v>
      </c>
      <c r="D376" s="32"/>
      <c r="E376" s="32" t="s">
        <v>141</v>
      </c>
      <c r="F376" s="32" t="s">
        <v>3416</v>
      </c>
    </row>
    <row r="377" spans="1:6" ht="69.95" customHeight="1">
      <c r="A377" s="32" t="s">
        <v>982</v>
      </c>
      <c r="B377" s="32" t="s">
        <v>3418</v>
      </c>
      <c r="C377" s="32" t="s">
        <v>96</v>
      </c>
      <c r="D377" s="32"/>
      <c r="E377" s="32" t="s">
        <v>142</v>
      </c>
      <c r="F377" s="32" t="s">
        <v>3416</v>
      </c>
    </row>
    <row r="378" spans="1:6" ht="69.95" customHeight="1">
      <c r="A378" s="32" t="s">
        <v>990</v>
      </c>
      <c r="B378" s="32" t="s">
        <v>3419</v>
      </c>
      <c r="C378" s="32" t="s">
        <v>65</v>
      </c>
      <c r="D378" s="32" t="s">
        <v>1051</v>
      </c>
      <c r="E378" s="32" t="s">
        <v>996</v>
      </c>
      <c r="F378" s="32" t="s">
        <v>3420</v>
      </c>
    </row>
    <row r="379" spans="1:6" ht="69.95" customHeight="1">
      <c r="A379" s="32" t="s">
        <v>990</v>
      </c>
      <c r="B379" s="32" t="s">
        <v>3421</v>
      </c>
      <c r="C379" s="32" t="s">
        <v>66</v>
      </c>
      <c r="D379" s="32"/>
      <c r="E379" s="32" t="s">
        <v>997</v>
      </c>
      <c r="F379" s="32" t="s">
        <v>3420</v>
      </c>
    </row>
    <row r="380" spans="1:6" ht="69.95" customHeight="1">
      <c r="A380" s="32" t="s">
        <v>990</v>
      </c>
      <c r="B380" s="32" t="s">
        <v>3415</v>
      </c>
      <c r="C380" s="32" t="s">
        <v>93</v>
      </c>
      <c r="D380" s="32"/>
      <c r="E380" s="32" t="s">
        <v>462</v>
      </c>
      <c r="F380" s="32" t="s">
        <v>3416</v>
      </c>
    </row>
    <row r="381" spans="1:6" ht="69.95" customHeight="1">
      <c r="A381" s="32" t="s">
        <v>990</v>
      </c>
      <c r="B381" s="32" t="s">
        <v>3417</v>
      </c>
      <c r="C381" s="32" t="s">
        <v>94</v>
      </c>
      <c r="D381" s="32"/>
      <c r="E381" s="32" t="s">
        <v>141</v>
      </c>
      <c r="F381" s="32" t="s">
        <v>3416</v>
      </c>
    </row>
    <row r="382" spans="1:6" ht="69.95" customHeight="1">
      <c r="A382" s="32" t="s">
        <v>990</v>
      </c>
      <c r="B382" s="32" t="s">
        <v>3418</v>
      </c>
      <c r="C382" s="32" t="s">
        <v>96</v>
      </c>
      <c r="D382" s="32"/>
      <c r="E382" s="32" t="s">
        <v>142</v>
      </c>
      <c r="F382" s="32" t="s">
        <v>3416</v>
      </c>
    </row>
    <row r="383" spans="1:6" ht="69.95" customHeight="1">
      <c r="A383" s="32" t="s">
        <v>1002</v>
      </c>
      <c r="B383" s="32" t="s">
        <v>3419</v>
      </c>
      <c r="C383" s="32" t="s">
        <v>65</v>
      </c>
      <c r="D383" s="32" t="s">
        <v>1062</v>
      </c>
      <c r="E383" s="32" t="s">
        <v>309</v>
      </c>
      <c r="F383" s="32" t="s">
        <v>3420</v>
      </c>
    </row>
    <row r="384" spans="1:6" ht="69.95" customHeight="1">
      <c r="A384" s="32" t="s">
        <v>1002</v>
      </c>
      <c r="B384" s="32" t="s">
        <v>3421</v>
      </c>
      <c r="C384" s="32" t="s">
        <v>66</v>
      </c>
      <c r="D384" s="32" t="s">
        <v>743</v>
      </c>
      <c r="E384" s="32" t="s">
        <v>1007</v>
      </c>
      <c r="F384" s="32" t="s">
        <v>3420</v>
      </c>
    </row>
    <row r="385" spans="1:6" ht="69.95" customHeight="1">
      <c r="A385" s="32" t="s">
        <v>1002</v>
      </c>
      <c r="B385" s="32" t="s">
        <v>3415</v>
      </c>
      <c r="C385" s="32" t="s">
        <v>93</v>
      </c>
      <c r="D385" s="32"/>
      <c r="E385" s="32" t="s">
        <v>462</v>
      </c>
      <c r="F385" s="32" t="s">
        <v>3416</v>
      </c>
    </row>
    <row r="386" spans="1:6" ht="69.95" customHeight="1">
      <c r="A386" s="32" t="s">
        <v>1002</v>
      </c>
      <c r="B386" s="32" t="s">
        <v>3417</v>
      </c>
      <c r="C386" s="32" t="s">
        <v>94</v>
      </c>
      <c r="D386" s="32"/>
      <c r="E386" s="32" t="s">
        <v>141</v>
      </c>
      <c r="F386" s="32" t="s">
        <v>3416</v>
      </c>
    </row>
    <row r="387" spans="1:6" ht="69.95" customHeight="1">
      <c r="A387" s="32" t="s">
        <v>1002</v>
      </c>
      <c r="B387" s="32" t="s">
        <v>3418</v>
      </c>
      <c r="C387" s="32" t="s">
        <v>96</v>
      </c>
      <c r="D387" s="32"/>
      <c r="E387" s="32" t="s">
        <v>142</v>
      </c>
      <c r="F387" s="32" t="s">
        <v>3416</v>
      </c>
    </row>
    <row r="388" spans="1:6" ht="69.95" customHeight="1">
      <c r="A388" s="32" t="s">
        <v>1011</v>
      </c>
      <c r="B388" s="32" t="s">
        <v>3419</v>
      </c>
      <c r="C388" s="32" t="s">
        <v>65</v>
      </c>
      <c r="D388" s="32" t="s">
        <v>1074</v>
      </c>
      <c r="E388" s="32" t="s">
        <v>1016</v>
      </c>
      <c r="F388" s="32" t="s">
        <v>3420</v>
      </c>
    </row>
    <row r="389" spans="1:6" ht="69.95" customHeight="1">
      <c r="A389" s="32" t="s">
        <v>1011</v>
      </c>
      <c r="B389" s="32" t="s">
        <v>3421</v>
      </c>
      <c r="C389" s="32" t="s">
        <v>66</v>
      </c>
      <c r="D389" s="32" t="s">
        <v>1075</v>
      </c>
      <c r="E389" s="32" t="s">
        <v>1017</v>
      </c>
      <c r="F389" s="32" t="s">
        <v>3420</v>
      </c>
    </row>
    <row r="390" spans="1:6" ht="69.95" customHeight="1">
      <c r="A390" s="32" t="s">
        <v>1011</v>
      </c>
      <c r="B390" s="32" t="s">
        <v>3415</v>
      </c>
      <c r="C390" s="32" t="s">
        <v>93</v>
      </c>
      <c r="D390" s="32"/>
      <c r="E390" s="32" t="s">
        <v>140</v>
      </c>
      <c r="F390" s="32" t="s">
        <v>3416</v>
      </c>
    </row>
    <row r="391" spans="1:6" ht="69.95" customHeight="1">
      <c r="A391" s="32" t="s">
        <v>1011</v>
      </c>
      <c r="B391" s="32" t="s">
        <v>3417</v>
      </c>
      <c r="C391" s="32" t="s">
        <v>94</v>
      </c>
      <c r="D391" s="32"/>
      <c r="E391" s="32" t="s">
        <v>141</v>
      </c>
      <c r="F391" s="32" t="s">
        <v>3416</v>
      </c>
    </row>
    <row r="392" spans="1:6" ht="69.95" customHeight="1">
      <c r="A392" s="32" t="s">
        <v>1011</v>
      </c>
      <c r="B392" s="32" t="s">
        <v>3418</v>
      </c>
      <c r="C392" s="32" t="s">
        <v>96</v>
      </c>
      <c r="D392" s="32"/>
      <c r="E392" s="32" t="s">
        <v>142</v>
      </c>
      <c r="F392" s="32" t="s">
        <v>3416</v>
      </c>
    </row>
    <row r="393" spans="1:6" ht="69.95" customHeight="1">
      <c r="A393" s="32" t="s">
        <v>1021</v>
      </c>
      <c r="B393" s="32" t="s">
        <v>3419</v>
      </c>
      <c r="C393" s="32" t="s">
        <v>65</v>
      </c>
      <c r="D393" s="32" t="s">
        <v>1082</v>
      </c>
      <c r="E393" s="32" t="s">
        <v>299</v>
      </c>
      <c r="F393" s="32" t="s">
        <v>3420</v>
      </c>
    </row>
    <row r="394" spans="1:6" ht="69.95" customHeight="1">
      <c r="A394" s="32" t="s">
        <v>1021</v>
      </c>
      <c r="B394" s="32" t="s">
        <v>3421</v>
      </c>
      <c r="C394" s="32" t="s">
        <v>66</v>
      </c>
      <c r="D394" s="32" t="s">
        <v>1083</v>
      </c>
      <c r="E394" s="32" t="s">
        <v>1026</v>
      </c>
      <c r="F394" s="32" t="s">
        <v>3420</v>
      </c>
    </row>
    <row r="395" spans="1:6" ht="69.95" customHeight="1">
      <c r="A395" s="32" t="s">
        <v>1021</v>
      </c>
      <c r="B395" s="32" t="s">
        <v>3415</v>
      </c>
      <c r="C395" s="32" t="s">
        <v>93</v>
      </c>
      <c r="D395" s="32"/>
      <c r="E395" s="32" t="s">
        <v>140</v>
      </c>
      <c r="F395" s="32" t="s">
        <v>3416</v>
      </c>
    </row>
    <row r="396" spans="1:6" ht="69.95" customHeight="1">
      <c r="A396" s="32" t="s">
        <v>1021</v>
      </c>
      <c r="B396" s="32" t="s">
        <v>3417</v>
      </c>
      <c r="C396" s="32" t="s">
        <v>94</v>
      </c>
      <c r="D396" s="32"/>
      <c r="E396" s="32" t="s">
        <v>141</v>
      </c>
      <c r="F396" s="32" t="s">
        <v>3416</v>
      </c>
    </row>
    <row r="397" spans="1:6" ht="69.95" customHeight="1">
      <c r="A397" s="32" t="s">
        <v>1021</v>
      </c>
      <c r="B397" s="32" t="s">
        <v>3418</v>
      </c>
      <c r="C397" s="32" t="s">
        <v>96</v>
      </c>
      <c r="D397" s="32"/>
      <c r="E397" s="32" t="s">
        <v>142</v>
      </c>
      <c r="F397" s="32" t="s">
        <v>3416</v>
      </c>
    </row>
    <row r="398" spans="1:6" ht="69.95" customHeight="1">
      <c r="A398" s="32" t="s">
        <v>1026</v>
      </c>
      <c r="B398" s="32" t="s">
        <v>3419</v>
      </c>
      <c r="C398" s="32" t="s">
        <v>65</v>
      </c>
      <c r="D398" s="32" t="s">
        <v>1094</v>
      </c>
      <c r="E398" s="32" t="s">
        <v>1033</v>
      </c>
      <c r="F398" s="32" t="s">
        <v>3420</v>
      </c>
    </row>
    <row r="399" spans="1:6" ht="69.95" customHeight="1">
      <c r="A399" s="32" t="s">
        <v>1026</v>
      </c>
      <c r="B399" s="32" t="s">
        <v>3421</v>
      </c>
      <c r="C399" s="32" t="s">
        <v>66</v>
      </c>
      <c r="D399" s="32" t="s">
        <v>1095</v>
      </c>
      <c r="E399" s="32" t="s">
        <v>1034</v>
      </c>
      <c r="F399" s="32" t="s">
        <v>3420</v>
      </c>
    </row>
    <row r="400" spans="1:6" ht="69.95" customHeight="1">
      <c r="A400" s="32" t="s">
        <v>1026</v>
      </c>
      <c r="B400" s="32" t="s">
        <v>3415</v>
      </c>
      <c r="C400" s="32" t="s">
        <v>93</v>
      </c>
      <c r="D400" s="32"/>
      <c r="E400" s="32" t="s">
        <v>140</v>
      </c>
      <c r="F400" s="32" t="s">
        <v>3416</v>
      </c>
    </row>
    <row r="401" spans="1:6" ht="69.95" customHeight="1">
      <c r="A401" s="32" t="s">
        <v>1026</v>
      </c>
      <c r="B401" s="32" t="s">
        <v>3417</v>
      </c>
      <c r="C401" s="32" t="s">
        <v>94</v>
      </c>
      <c r="D401" s="32"/>
      <c r="E401" s="32" t="s">
        <v>141</v>
      </c>
      <c r="F401" s="32" t="s">
        <v>3416</v>
      </c>
    </row>
    <row r="402" spans="1:6" ht="69.95" customHeight="1">
      <c r="A402" s="32" t="s">
        <v>1026</v>
      </c>
      <c r="B402" s="32" t="s">
        <v>3418</v>
      </c>
      <c r="C402" s="32" t="s">
        <v>96</v>
      </c>
      <c r="D402" s="32"/>
      <c r="E402" s="32" t="s">
        <v>142</v>
      </c>
      <c r="F402" s="32" t="s">
        <v>3416</v>
      </c>
    </row>
    <row r="403" spans="1:6" ht="69.95" customHeight="1">
      <c r="A403" s="32" t="s">
        <v>1037</v>
      </c>
      <c r="B403" s="32" t="s">
        <v>3419</v>
      </c>
      <c r="C403" s="32" t="s">
        <v>65</v>
      </c>
      <c r="D403" s="32" t="s">
        <v>1108</v>
      </c>
      <c r="E403" s="32" t="s">
        <v>1026</v>
      </c>
      <c r="F403" s="32" t="s">
        <v>3420</v>
      </c>
    </row>
    <row r="404" spans="1:6" ht="69.95" customHeight="1">
      <c r="A404" s="32" t="s">
        <v>1037</v>
      </c>
      <c r="B404" s="32" t="s">
        <v>3421</v>
      </c>
      <c r="C404" s="32" t="s">
        <v>66</v>
      </c>
      <c r="D404" s="32" t="s">
        <v>1109</v>
      </c>
      <c r="E404" s="32" t="s">
        <v>1042</v>
      </c>
      <c r="F404" s="32" t="s">
        <v>3420</v>
      </c>
    </row>
    <row r="405" spans="1:6" ht="69.95" customHeight="1">
      <c r="A405" s="32" t="s">
        <v>1037</v>
      </c>
      <c r="B405" s="32" t="s">
        <v>3415</v>
      </c>
      <c r="C405" s="32" t="s">
        <v>93</v>
      </c>
      <c r="D405" s="32"/>
      <c r="E405" s="32" t="s">
        <v>140</v>
      </c>
      <c r="F405" s="32" t="s">
        <v>3416</v>
      </c>
    </row>
    <row r="406" spans="1:6" ht="69.95" customHeight="1">
      <c r="A406" s="32" t="s">
        <v>1037</v>
      </c>
      <c r="B406" s="32" t="s">
        <v>3417</v>
      </c>
      <c r="C406" s="32" t="s">
        <v>94</v>
      </c>
      <c r="D406" s="32"/>
      <c r="E406" s="32" t="s">
        <v>141</v>
      </c>
      <c r="F406" s="32" t="s">
        <v>3416</v>
      </c>
    </row>
    <row r="407" spans="1:6" ht="69.95" customHeight="1">
      <c r="A407" s="32" t="s">
        <v>1037</v>
      </c>
      <c r="B407" s="32" t="s">
        <v>3418</v>
      </c>
      <c r="C407" s="32" t="s">
        <v>96</v>
      </c>
      <c r="D407" s="32"/>
      <c r="E407" s="32" t="s">
        <v>142</v>
      </c>
      <c r="F407" s="32" t="s">
        <v>3416</v>
      </c>
    </row>
    <row r="408" spans="1:6" ht="69.95" customHeight="1">
      <c r="A408" s="32" t="s">
        <v>1046</v>
      </c>
      <c r="B408" s="32" t="s">
        <v>3419</v>
      </c>
      <c r="C408" s="32" t="s">
        <v>65</v>
      </c>
      <c r="D408" s="32"/>
      <c r="E408" s="32" t="s">
        <v>1051</v>
      </c>
      <c r="F408" s="32" t="s">
        <v>3420</v>
      </c>
    </row>
    <row r="409" spans="1:6" ht="69.95" customHeight="1">
      <c r="A409" s="32" t="s">
        <v>1046</v>
      </c>
      <c r="B409" s="32" t="s">
        <v>3421</v>
      </c>
      <c r="C409" s="32" t="s">
        <v>66</v>
      </c>
      <c r="D409" s="32" t="s">
        <v>1121</v>
      </c>
      <c r="E409" s="32"/>
      <c r="F409" s="32" t="s">
        <v>3420</v>
      </c>
    </row>
    <row r="410" spans="1:6" ht="69.95" customHeight="1">
      <c r="A410" s="32" t="s">
        <v>1046</v>
      </c>
      <c r="B410" s="32" t="s">
        <v>3415</v>
      </c>
      <c r="C410" s="32" t="s">
        <v>93</v>
      </c>
      <c r="D410" s="32"/>
      <c r="E410" s="32" t="s">
        <v>462</v>
      </c>
      <c r="F410" s="32" t="s">
        <v>3416</v>
      </c>
    </row>
    <row r="411" spans="1:6" ht="69.95" customHeight="1">
      <c r="A411" s="32" t="s">
        <v>1046</v>
      </c>
      <c r="B411" s="32" t="s">
        <v>3417</v>
      </c>
      <c r="C411" s="32" t="s">
        <v>94</v>
      </c>
      <c r="D411" s="32"/>
      <c r="E411" s="32" t="s">
        <v>141</v>
      </c>
      <c r="F411" s="32" t="s">
        <v>3416</v>
      </c>
    </row>
    <row r="412" spans="1:6" ht="69.95" customHeight="1">
      <c r="A412" s="32" t="s">
        <v>1046</v>
      </c>
      <c r="B412" s="32" t="s">
        <v>3418</v>
      </c>
      <c r="C412" s="32" t="s">
        <v>96</v>
      </c>
      <c r="D412" s="32"/>
      <c r="E412" s="32" t="s">
        <v>142</v>
      </c>
      <c r="F412" s="32" t="s">
        <v>3416</v>
      </c>
    </row>
    <row r="413" spans="1:6" ht="69.95" customHeight="1">
      <c r="A413" s="32" t="s">
        <v>1056</v>
      </c>
      <c r="B413" s="32" t="s">
        <v>3419</v>
      </c>
      <c r="C413" s="32" t="s">
        <v>65</v>
      </c>
      <c r="D413" s="32" t="s">
        <v>1129</v>
      </c>
      <c r="E413" s="32" t="s">
        <v>1062</v>
      </c>
      <c r="F413" s="32" t="s">
        <v>3420</v>
      </c>
    </row>
    <row r="414" spans="1:6" ht="69.95" customHeight="1">
      <c r="A414" s="32" t="s">
        <v>1056</v>
      </c>
      <c r="B414" s="32" t="s">
        <v>3421</v>
      </c>
      <c r="C414" s="32" t="s">
        <v>66</v>
      </c>
      <c r="D414" s="32" t="s">
        <v>1109</v>
      </c>
      <c r="E414" s="32" t="s">
        <v>743</v>
      </c>
      <c r="F414" s="32" t="s">
        <v>3420</v>
      </c>
    </row>
    <row r="415" spans="1:6" ht="69.95" customHeight="1">
      <c r="A415" s="32" t="s">
        <v>1056</v>
      </c>
      <c r="B415" s="32" t="s">
        <v>3415</v>
      </c>
      <c r="C415" s="32" t="s">
        <v>93</v>
      </c>
      <c r="D415" s="32"/>
      <c r="E415" s="32" t="s">
        <v>462</v>
      </c>
      <c r="F415" s="32" t="s">
        <v>3416</v>
      </c>
    </row>
    <row r="416" spans="1:6" ht="69.95" customHeight="1">
      <c r="A416" s="32" t="s">
        <v>1056</v>
      </c>
      <c r="B416" s="32" t="s">
        <v>3417</v>
      </c>
      <c r="C416" s="32" t="s">
        <v>94</v>
      </c>
      <c r="D416" s="32"/>
      <c r="E416" s="32" t="s">
        <v>141</v>
      </c>
      <c r="F416" s="32" t="s">
        <v>3416</v>
      </c>
    </row>
    <row r="417" spans="1:6" ht="69.95" customHeight="1">
      <c r="A417" s="32" t="s">
        <v>1056</v>
      </c>
      <c r="B417" s="32" t="s">
        <v>3418</v>
      </c>
      <c r="C417" s="32" t="s">
        <v>96</v>
      </c>
      <c r="D417" s="32"/>
      <c r="E417" s="32" t="s">
        <v>142</v>
      </c>
      <c r="F417" s="32" t="s">
        <v>3416</v>
      </c>
    </row>
    <row r="418" spans="1:6" ht="69.95" customHeight="1">
      <c r="A418" s="32" t="s">
        <v>1068</v>
      </c>
      <c r="B418" s="32" t="s">
        <v>3419</v>
      </c>
      <c r="C418" s="32" t="s">
        <v>65</v>
      </c>
      <c r="D418" s="32"/>
      <c r="E418" s="32" t="s">
        <v>1074</v>
      </c>
      <c r="F418" s="32" t="s">
        <v>3420</v>
      </c>
    </row>
    <row r="419" spans="1:6" ht="69.95" customHeight="1">
      <c r="A419" s="32" t="s">
        <v>1068</v>
      </c>
      <c r="B419" s="32" t="s">
        <v>3421</v>
      </c>
      <c r="C419" s="32" t="s">
        <v>66</v>
      </c>
      <c r="D419" s="32" t="s">
        <v>743</v>
      </c>
      <c r="E419" s="32" t="s">
        <v>1075</v>
      </c>
      <c r="F419" s="32" t="s">
        <v>3420</v>
      </c>
    </row>
    <row r="420" spans="1:6" ht="69.95" customHeight="1">
      <c r="A420" s="32" t="s">
        <v>1068</v>
      </c>
      <c r="B420" s="32" t="s">
        <v>3415</v>
      </c>
      <c r="C420" s="32" t="s">
        <v>93</v>
      </c>
      <c r="D420" s="32"/>
      <c r="E420" s="32" t="s">
        <v>140</v>
      </c>
      <c r="F420" s="32" t="s">
        <v>3416</v>
      </c>
    </row>
    <row r="421" spans="1:6" ht="69.95" customHeight="1">
      <c r="A421" s="32" t="s">
        <v>1068</v>
      </c>
      <c r="B421" s="32" t="s">
        <v>3417</v>
      </c>
      <c r="C421" s="32" t="s">
        <v>94</v>
      </c>
      <c r="D421" s="32"/>
      <c r="E421" s="32" t="s">
        <v>141</v>
      </c>
      <c r="F421" s="32" t="s">
        <v>3416</v>
      </c>
    </row>
    <row r="422" spans="1:6" ht="69.95" customHeight="1">
      <c r="A422" s="32" t="s">
        <v>1068</v>
      </c>
      <c r="B422" s="32" t="s">
        <v>3418</v>
      </c>
      <c r="C422" s="32" t="s">
        <v>96</v>
      </c>
      <c r="D422" s="32"/>
      <c r="E422" s="32" t="s">
        <v>142</v>
      </c>
      <c r="F422" s="32" t="s">
        <v>3416</v>
      </c>
    </row>
    <row r="423" spans="1:6" ht="69.95" customHeight="1">
      <c r="A423" s="32" t="s">
        <v>1078</v>
      </c>
      <c r="B423" s="32" t="s">
        <v>3419</v>
      </c>
      <c r="C423" s="32" t="s">
        <v>65</v>
      </c>
      <c r="D423" s="32"/>
      <c r="E423" s="32" t="s">
        <v>1082</v>
      </c>
      <c r="F423" s="32" t="s">
        <v>3420</v>
      </c>
    </row>
    <row r="424" spans="1:6" ht="69.95" customHeight="1">
      <c r="A424" s="32" t="s">
        <v>1078</v>
      </c>
      <c r="B424" s="32" t="s">
        <v>3421</v>
      </c>
      <c r="C424" s="32" t="s">
        <v>66</v>
      </c>
      <c r="D424" s="32" t="s">
        <v>1141</v>
      </c>
      <c r="E424" s="32" t="s">
        <v>1083</v>
      </c>
      <c r="F424" s="32" t="s">
        <v>3420</v>
      </c>
    </row>
    <row r="425" spans="1:6" ht="69.95" customHeight="1">
      <c r="A425" s="32" t="s">
        <v>1078</v>
      </c>
      <c r="B425" s="32" t="s">
        <v>3415</v>
      </c>
      <c r="C425" s="32" t="s">
        <v>93</v>
      </c>
      <c r="D425" s="32"/>
      <c r="E425" s="32" t="s">
        <v>140</v>
      </c>
      <c r="F425" s="32" t="s">
        <v>3416</v>
      </c>
    </row>
    <row r="426" spans="1:6" ht="69.95" customHeight="1">
      <c r="A426" s="32" t="s">
        <v>1078</v>
      </c>
      <c r="B426" s="32" t="s">
        <v>3417</v>
      </c>
      <c r="C426" s="32" t="s">
        <v>94</v>
      </c>
      <c r="D426" s="32"/>
      <c r="E426" s="32" t="s">
        <v>141</v>
      </c>
      <c r="F426" s="32" t="s">
        <v>3416</v>
      </c>
    </row>
    <row r="427" spans="1:6" ht="69.95" customHeight="1">
      <c r="A427" s="32" t="s">
        <v>1078</v>
      </c>
      <c r="B427" s="32" t="s">
        <v>3418</v>
      </c>
      <c r="C427" s="32" t="s">
        <v>96</v>
      </c>
      <c r="D427" s="32"/>
      <c r="E427" s="32" t="s">
        <v>142</v>
      </c>
      <c r="F427" s="32" t="s">
        <v>3416</v>
      </c>
    </row>
    <row r="428" spans="1:6" ht="69.95" customHeight="1">
      <c r="A428" s="32" t="s">
        <v>1088</v>
      </c>
      <c r="B428" s="32" t="s">
        <v>3419</v>
      </c>
      <c r="C428" s="32" t="s">
        <v>65</v>
      </c>
      <c r="D428" s="32"/>
      <c r="E428" s="32" t="s">
        <v>1094</v>
      </c>
      <c r="F428" s="32" t="s">
        <v>3420</v>
      </c>
    </row>
    <row r="429" spans="1:6" ht="69.95" customHeight="1">
      <c r="A429" s="32" t="s">
        <v>1088</v>
      </c>
      <c r="B429" s="32" t="s">
        <v>3421</v>
      </c>
      <c r="C429" s="32" t="s">
        <v>66</v>
      </c>
      <c r="D429" s="32"/>
      <c r="E429" s="32" t="s">
        <v>1095</v>
      </c>
      <c r="F429" s="32" t="s">
        <v>3420</v>
      </c>
    </row>
    <row r="430" spans="1:6" ht="69.95" customHeight="1">
      <c r="A430" s="32" t="s">
        <v>1088</v>
      </c>
      <c r="B430" s="32" t="s">
        <v>3415</v>
      </c>
      <c r="C430" s="32" t="s">
        <v>93</v>
      </c>
      <c r="D430" s="32"/>
      <c r="E430" s="32" t="s">
        <v>462</v>
      </c>
      <c r="F430" s="32" t="s">
        <v>3416</v>
      </c>
    </row>
    <row r="431" spans="1:6" ht="69.95" customHeight="1">
      <c r="A431" s="32" t="s">
        <v>1088</v>
      </c>
      <c r="B431" s="32" t="s">
        <v>3417</v>
      </c>
      <c r="C431" s="32" t="s">
        <v>94</v>
      </c>
      <c r="D431" s="32"/>
      <c r="E431" s="32" t="s">
        <v>141</v>
      </c>
      <c r="F431" s="32" t="s">
        <v>3416</v>
      </c>
    </row>
    <row r="432" spans="1:6" ht="69.95" customHeight="1">
      <c r="A432" s="32" t="s">
        <v>1088</v>
      </c>
      <c r="B432" s="32" t="s">
        <v>3418</v>
      </c>
      <c r="C432" s="32" t="s">
        <v>96</v>
      </c>
      <c r="D432" s="32"/>
      <c r="E432" s="32" t="s">
        <v>142</v>
      </c>
      <c r="F432" s="32" t="s">
        <v>3416</v>
      </c>
    </row>
    <row r="433" spans="1:6" ht="69.95" customHeight="1">
      <c r="A433" s="32" t="s">
        <v>1102</v>
      </c>
      <c r="B433" s="32" t="s">
        <v>3419</v>
      </c>
      <c r="C433" s="32" t="s">
        <v>65</v>
      </c>
      <c r="D433" s="32" t="s">
        <v>1136</v>
      </c>
      <c r="E433" s="32" t="s">
        <v>1108</v>
      </c>
      <c r="F433" s="32" t="s">
        <v>3420</v>
      </c>
    </row>
    <row r="434" spans="1:6" ht="69.95" customHeight="1">
      <c r="A434" s="32" t="s">
        <v>1102</v>
      </c>
      <c r="B434" s="32" t="s">
        <v>3421</v>
      </c>
      <c r="C434" s="32" t="s">
        <v>66</v>
      </c>
      <c r="D434" s="32" t="s">
        <v>1154</v>
      </c>
      <c r="E434" s="32" t="s">
        <v>1109</v>
      </c>
      <c r="F434" s="32" t="s">
        <v>3420</v>
      </c>
    </row>
    <row r="435" spans="1:6" ht="69.95" customHeight="1">
      <c r="A435" s="32" t="s">
        <v>1102</v>
      </c>
      <c r="B435" s="32" t="s">
        <v>3415</v>
      </c>
      <c r="C435" s="32" t="s">
        <v>93</v>
      </c>
      <c r="D435" s="32"/>
      <c r="E435" s="32" t="s">
        <v>462</v>
      </c>
      <c r="F435" s="32" t="s">
        <v>3416</v>
      </c>
    </row>
    <row r="436" spans="1:6" ht="69.95" customHeight="1">
      <c r="A436" s="32" t="s">
        <v>1102</v>
      </c>
      <c r="B436" s="32" t="s">
        <v>3417</v>
      </c>
      <c r="C436" s="32" t="s">
        <v>94</v>
      </c>
      <c r="D436" s="32"/>
      <c r="E436" s="32" t="s">
        <v>141</v>
      </c>
      <c r="F436" s="32" t="s">
        <v>3416</v>
      </c>
    </row>
    <row r="437" spans="1:6" ht="69.95" customHeight="1">
      <c r="A437" s="32" t="s">
        <v>1102</v>
      </c>
      <c r="B437" s="32" t="s">
        <v>3418</v>
      </c>
      <c r="C437" s="32" t="s">
        <v>96</v>
      </c>
      <c r="D437" s="32"/>
      <c r="E437" s="32" t="s">
        <v>142</v>
      </c>
      <c r="F437" s="32" t="s">
        <v>3416</v>
      </c>
    </row>
    <row r="438" spans="1:6" ht="69.95" customHeight="1">
      <c r="A438" s="32" t="s">
        <v>1117</v>
      </c>
      <c r="B438" s="32" t="s">
        <v>3421</v>
      </c>
      <c r="C438" s="32" t="s">
        <v>66</v>
      </c>
      <c r="D438" s="32" t="s">
        <v>1166</v>
      </c>
      <c r="E438" s="32" t="s">
        <v>1121</v>
      </c>
      <c r="F438" s="32" t="s">
        <v>3420</v>
      </c>
    </row>
    <row r="439" spans="1:6" ht="69.95" customHeight="1">
      <c r="A439" s="32" t="s">
        <v>1117</v>
      </c>
      <c r="B439" s="32" t="s">
        <v>3415</v>
      </c>
      <c r="C439" s="32" t="s">
        <v>93</v>
      </c>
      <c r="D439" s="32"/>
      <c r="E439" s="32" t="s">
        <v>462</v>
      </c>
      <c r="F439" s="32" t="s">
        <v>3416</v>
      </c>
    </row>
    <row r="440" spans="1:6" ht="69.95" customHeight="1">
      <c r="A440" s="32" t="s">
        <v>1117</v>
      </c>
      <c r="B440" s="32" t="s">
        <v>3417</v>
      </c>
      <c r="C440" s="32" t="s">
        <v>94</v>
      </c>
      <c r="D440" s="32"/>
      <c r="E440" s="32" t="s">
        <v>141</v>
      </c>
      <c r="F440" s="32" t="s">
        <v>3416</v>
      </c>
    </row>
    <row r="441" spans="1:6" ht="69.95" customHeight="1">
      <c r="A441" s="32" t="s">
        <v>1117</v>
      </c>
      <c r="B441" s="32" t="s">
        <v>3418</v>
      </c>
      <c r="C441" s="32" t="s">
        <v>96</v>
      </c>
      <c r="D441" s="32"/>
      <c r="E441" s="32" t="s">
        <v>142</v>
      </c>
      <c r="F441" s="32" t="s">
        <v>3416</v>
      </c>
    </row>
    <row r="442" spans="1:6" ht="69.95" customHeight="1">
      <c r="A442" s="32" t="s">
        <v>1125</v>
      </c>
      <c r="B442" s="32" t="s">
        <v>3419</v>
      </c>
      <c r="C442" s="32" t="s">
        <v>65</v>
      </c>
      <c r="D442" s="32"/>
      <c r="E442" s="32" t="s">
        <v>1129</v>
      </c>
      <c r="F442" s="32" t="s">
        <v>3420</v>
      </c>
    </row>
    <row r="443" spans="1:6" ht="69.95" customHeight="1">
      <c r="A443" s="32" t="s">
        <v>1125</v>
      </c>
      <c r="B443" s="32" t="s">
        <v>3421</v>
      </c>
      <c r="C443" s="32" t="s">
        <v>66</v>
      </c>
      <c r="D443" s="32" t="s">
        <v>1174</v>
      </c>
      <c r="E443" s="32" t="s">
        <v>1109</v>
      </c>
      <c r="F443" s="32" t="s">
        <v>3420</v>
      </c>
    </row>
    <row r="444" spans="1:6" ht="69.95" customHeight="1">
      <c r="A444" s="32" t="s">
        <v>1125</v>
      </c>
      <c r="B444" s="32" t="s">
        <v>3415</v>
      </c>
      <c r="C444" s="32" t="s">
        <v>93</v>
      </c>
      <c r="D444" s="32"/>
      <c r="E444" s="32" t="s">
        <v>462</v>
      </c>
      <c r="F444" s="32" t="s">
        <v>3416</v>
      </c>
    </row>
    <row r="445" spans="1:6" ht="69.95" customHeight="1">
      <c r="A445" s="32" t="s">
        <v>1125</v>
      </c>
      <c r="B445" s="32" t="s">
        <v>3417</v>
      </c>
      <c r="C445" s="32" t="s">
        <v>94</v>
      </c>
      <c r="D445" s="32"/>
      <c r="E445" s="32" t="s">
        <v>141</v>
      </c>
      <c r="F445" s="32" t="s">
        <v>3416</v>
      </c>
    </row>
    <row r="446" spans="1:6" ht="69.95" customHeight="1">
      <c r="A446" s="32" t="s">
        <v>1125</v>
      </c>
      <c r="B446" s="32" t="s">
        <v>3418</v>
      </c>
      <c r="C446" s="32" t="s">
        <v>96</v>
      </c>
      <c r="D446" s="32"/>
      <c r="E446" s="32" t="s">
        <v>142</v>
      </c>
      <c r="F446" s="32" t="s">
        <v>3416</v>
      </c>
    </row>
    <row r="447" spans="1:6" ht="69.95" customHeight="1">
      <c r="A447" s="32" t="s">
        <v>1131</v>
      </c>
      <c r="B447" s="32" t="s">
        <v>3436</v>
      </c>
      <c r="C447" s="32" t="s">
        <v>60</v>
      </c>
      <c r="D447" s="32" t="s">
        <v>3479</v>
      </c>
      <c r="E447" s="32" t="s">
        <v>1133</v>
      </c>
      <c r="F447" s="32" t="s">
        <v>3480</v>
      </c>
    </row>
    <row r="448" spans="1:6" ht="69.95" customHeight="1">
      <c r="A448" s="32" t="s">
        <v>1131</v>
      </c>
      <c r="B448" s="32" t="s">
        <v>3438</v>
      </c>
      <c r="C448" s="32" t="s">
        <v>61</v>
      </c>
      <c r="D448" s="32" t="s">
        <v>3481</v>
      </c>
      <c r="E448" s="32" t="s">
        <v>1134</v>
      </c>
      <c r="F448" s="32" t="s">
        <v>3482</v>
      </c>
    </row>
    <row r="449" spans="1:6" ht="69.95" customHeight="1">
      <c r="A449" s="32" t="s">
        <v>1131</v>
      </c>
      <c r="B449" s="32" t="s">
        <v>3419</v>
      </c>
      <c r="C449" s="32" t="s">
        <v>65</v>
      </c>
      <c r="D449" s="32" t="s">
        <v>1182</v>
      </c>
      <c r="E449" s="32"/>
      <c r="F449" s="32" t="s">
        <v>3420</v>
      </c>
    </row>
    <row r="450" spans="1:6" ht="69.95" customHeight="1">
      <c r="A450" s="32" t="s">
        <v>1131</v>
      </c>
      <c r="B450" s="32" t="s">
        <v>3442</v>
      </c>
      <c r="C450" s="32" t="s">
        <v>88</v>
      </c>
      <c r="D450" s="32" t="s">
        <v>137</v>
      </c>
      <c r="E450" s="32" t="s">
        <v>1135</v>
      </c>
      <c r="F450" s="32" t="s">
        <v>3416</v>
      </c>
    </row>
    <row r="451" spans="1:6" ht="69.95" customHeight="1">
      <c r="A451" s="32" t="s">
        <v>1131</v>
      </c>
      <c r="B451" s="32" t="s">
        <v>3415</v>
      </c>
      <c r="C451" s="32" t="s">
        <v>93</v>
      </c>
      <c r="D451" s="32"/>
      <c r="E451" s="32" t="s">
        <v>462</v>
      </c>
      <c r="F451" s="32" t="s">
        <v>3416</v>
      </c>
    </row>
    <row r="452" spans="1:6" ht="69.95" customHeight="1">
      <c r="A452" s="32" t="s">
        <v>1131</v>
      </c>
      <c r="B452" s="32" t="s">
        <v>3417</v>
      </c>
      <c r="C452" s="32" t="s">
        <v>94</v>
      </c>
      <c r="D452" s="32"/>
      <c r="E452" s="32" t="s">
        <v>141</v>
      </c>
      <c r="F452" s="32" t="s">
        <v>3416</v>
      </c>
    </row>
    <row r="453" spans="1:6" ht="69.95" customHeight="1">
      <c r="A453" s="32" t="s">
        <v>1131</v>
      </c>
      <c r="B453" s="32" t="s">
        <v>3418</v>
      </c>
      <c r="C453" s="32" t="s">
        <v>96</v>
      </c>
      <c r="D453" s="32"/>
      <c r="E453" s="32" t="s">
        <v>142</v>
      </c>
      <c r="F453" s="32" t="s">
        <v>3416</v>
      </c>
    </row>
    <row r="454" spans="1:6" ht="69.95" customHeight="1">
      <c r="A454" s="32" t="s">
        <v>1136</v>
      </c>
      <c r="B454" s="32" t="s">
        <v>3421</v>
      </c>
      <c r="C454" s="32" t="s">
        <v>66</v>
      </c>
      <c r="D454" s="32" t="s">
        <v>743</v>
      </c>
      <c r="E454" s="32" t="s">
        <v>1141</v>
      </c>
      <c r="F454" s="32" t="s">
        <v>3420</v>
      </c>
    </row>
    <row r="455" spans="1:6" ht="69.95" customHeight="1">
      <c r="A455" s="32" t="s">
        <v>1136</v>
      </c>
      <c r="B455" s="32" t="s">
        <v>3415</v>
      </c>
      <c r="C455" s="32" t="s">
        <v>93</v>
      </c>
      <c r="D455" s="32"/>
      <c r="E455" s="32" t="s">
        <v>462</v>
      </c>
      <c r="F455" s="32" t="s">
        <v>3416</v>
      </c>
    </row>
    <row r="456" spans="1:6" ht="69.95" customHeight="1">
      <c r="A456" s="32" t="s">
        <v>1136</v>
      </c>
      <c r="B456" s="32" t="s">
        <v>3417</v>
      </c>
      <c r="C456" s="32" t="s">
        <v>94</v>
      </c>
      <c r="D456" s="32"/>
      <c r="E456" s="32" t="s">
        <v>141</v>
      </c>
      <c r="F456" s="32" t="s">
        <v>3416</v>
      </c>
    </row>
    <row r="457" spans="1:6" ht="69.95" customHeight="1">
      <c r="A457" s="32" t="s">
        <v>1136</v>
      </c>
      <c r="B457" s="32" t="s">
        <v>3418</v>
      </c>
      <c r="C457" s="32" t="s">
        <v>96</v>
      </c>
      <c r="D457" s="32"/>
      <c r="E457" s="32" t="s">
        <v>142</v>
      </c>
      <c r="F457" s="32" t="s">
        <v>3416</v>
      </c>
    </row>
    <row r="458" spans="1:6" ht="69.95" customHeight="1">
      <c r="A458" s="32" t="s">
        <v>1144</v>
      </c>
      <c r="B458" s="32" t="s">
        <v>3419</v>
      </c>
      <c r="C458" s="32" t="s">
        <v>65</v>
      </c>
      <c r="D458" s="32" t="s">
        <v>1200</v>
      </c>
      <c r="E458" s="32"/>
      <c r="F458" s="32" t="s">
        <v>3420</v>
      </c>
    </row>
    <row r="459" spans="1:6" ht="69.95" customHeight="1">
      <c r="A459" s="32" t="s">
        <v>1144</v>
      </c>
      <c r="B459" s="32" t="s">
        <v>3415</v>
      </c>
      <c r="C459" s="32" t="s">
        <v>93</v>
      </c>
      <c r="D459" s="32"/>
      <c r="E459" s="32" t="s">
        <v>462</v>
      </c>
      <c r="F459" s="32" t="s">
        <v>3416</v>
      </c>
    </row>
    <row r="460" spans="1:6" ht="69.95" customHeight="1">
      <c r="A460" s="32" t="s">
        <v>1144</v>
      </c>
      <c r="B460" s="32" t="s">
        <v>3417</v>
      </c>
      <c r="C460" s="32" t="s">
        <v>94</v>
      </c>
      <c r="D460" s="32"/>
      <c r="E460" s="32" t="s">
        <v>141</v>
      </c>
      <c r="F460" s="32" t="s">
        <v>3416</v>
      </c>
    </row>
    <row r="461" spans="1:6" ht="69.95" customHeight="1">
      <c r="A461" s="32" t="s">
        <v>1144</v>
      </c>
      <c r="B461" s="32" t="s">
        <v>3418</v>
      </c>
      <c r="C461" s="32" t="s">
        <v>96</v>
      </c>
      <c r="D461" s="32"/>
      <c r="E461" s="32" t="s">
        <v>142</v>
      </c>
      <c r="F461" s="32" t="s">
        <v>3416</v>
      </c>
    </row>
    <row r="462" spans="1:6" ht="69.95" customHeight="1">
      <c r="A462" s="32" t="s">
        <v>1149</v>
      </c>
      <c r="B462" s="32" t="s">
        <v>3419</v>
      </c>
      <c r="C462" s="32" t="s">
        <v>65</v>
      </c>
      <c r="D462" s="32" t="s">
        <v>1211</v>
      </c>
      <c r="E462" s="32" t="s">
        <v>1136</v>
      </c>
      <c r="F462" s="32" t="s">
        <v>3420</v>
      </c>
    </row>
    <row r="463" spans="1:6" ht="69.95" customHeight="1">
      <c r="A463" s="32" t="s">
        <v>1149</v>
      </c>
      <c r="B463" s="32" t="s">
        <v>3421</v>
      </c>
      <c r="C463" s="32" t="s">
        <v>66</v>
      </c>
      <c r="D463" s="32" t="s">
        <v>743</v>
      </c>
      <c r="E463" s="32" t="s">
        <v>1154</v>
      </c>
      <c r="F463" s="32" t="s">
        <v>3420</v>
      </c>
    </row>
    <row r="464" spans="1:6" ht="69.95" customHeight="1">
      <c r="A464" s="32" t="s">
        <v>1149</v>
      </c>
      <c r="B464" s="32" t="s">
        <v>3415</v>
      </c>
      <c r="C464" s="32" t="s">
        <v>93</v>
      </c>
      <c r="D464" s="32"/>
      <c r="E464" s="32" t="s">
        <v>462</v>
      </c>
      <c r="F464" s="32" t="s">
        <v>3416</v>
      </c>
    </row>
    <row r="465" spans="1:6" ht="69.95" customHeight="1">
      <c r="A465" s="32" t="s">
        <v>1149</v>
      </c>
      <c r="B465" s="32" t="s">
        <v>3417</v>
      </c>
      <c r="C465" s="32" t="s">
        <v>94</v>
      </c>
      <c r="D465" s="32"/>
      <c r="E465" s="32" t="s">
        <v>141</v>
      </c>
      <c r="F465" s="32" t="s">
        <v>3416</v>
      </c>
    </row>
    <row r="466" spans="1:6" ht="69.95" customHeight="1">
      <c r="A466" s="32" t="s">
        <v>1149</v>
      </c>
      <c r="B466" s="32" t="s">
        <v>3418</v>
      </c>
      <c r="C466" s="32" t="s">
        <v>96</v>
      </c>
      <c r="D466" s="32"/>
      <c r="E466" s="32" t="s">
        <v>142</v>
      </c>
      <c r="F466" s="32" t="s">
        <v>3416</v>
      </c>
    </row>
    <row r="467" spans="1:6" ht="69.95" customHeight="1">
      <c r="A467" s="32" t="s">
        <v>1160</v>
      </c>
      <c r="B467" s="32" t="s">
        <v>3419</v>
      </c>
      <c r="C467" s="32" t="s">
        <v>65</v>
      </c>
      <c r="D467" s="32" t="s">
        <v>1259</v>
      </c>
      <c r="E467" s="32"/>
      <c r="F467" s="32" t="s">
        <v>3420</v>
      </c>
    </row>
    <row r="468" spans="1:6" ht="69.95" customHeight="1">
      <c r="A468" s="32" t="s">
        <v>1160</v>
      </c>
      <c r="B468" s="32" t="s">
        <v>3421</v>
      </c>
      <c r="C468" s="32" t="s">
        <v>66</v>
      </c>
      <c r="D468" s="32" t="s">
        <v>1260</v>
      </c>
      <c r="E468" s="32" t="s">
        <v>1166</v>
      </c>
      <c r="F468" s="32" t="s">
        <v>3420</v>
      </c>
    </row>
    <row r="469" spans="1:6" ht="69.95" customHeight="1">
      <c r="A469" s="32" t="s">
        <v>1160</v>
      </c>
      <c r="B469" s="32" t="s">
        <v>3415</v>
      </c>
      <c r="C469" s="32" t="s">
        <v>93</v>
      </c>
      <c r="D469" s="32"/>
      <c r="E469" s="32" t="s">
        <v>462</v>
      </c>
      <c r="F469" s="32" t="s">
        <v>3416</v>
      </c>
    </row>
    <row r="470" spans="1:6" ht="69.95" customHeight="1">
      <c r="A470" s="32" t="s">
        <v>1160</v>
      </c>
      <c r="B470" s="32" t="s">
        <v>3417</v>
      </c>
      <c r="C470" s="32" t="s">
        <v>94</v>
      </c>
      <c r="D470" s="32"/>
      <c r="E470" s="32" t="s">
        <v>141</v>
      </c>
      <c r="F470" s="32" t="s">
        <v>3416</v>
      </c>
    </row>
    <row r="471" spans="1:6" ht="69.95" customHeight="1">
      <c r="A471" s="32" t="s">
        <v>1160</v>
      </c>
      <c r="B471" s="32" t="s">
        <v>3418</v>
      </c>
      <c r="C471" s="32" t="s">
        <v>96</v>
      </c>
      <c r="D471" s="32"/>
      <c r="E471" s="32" t="s">
        <v>142</v>
      </c>
      <c r="F471" s="32" t="s">
        <v>3416</v>
      </c>
    </row>
    <row r="472" spans="1:6" ht="69.95" customHeight="1">
      <c r="A472" s="32" t="s">
        <v>1169</v>
      </c>
      <c r="B472" s="32" t="s">
        <v>3421</v>
      </c>
      <c r="C472" s="32" t="s">
        <v>66</v>
      </c>
      <c r="D472" s="32"/>
      <c r="E472" s="32" t="s">
        <v>1174</v>
      </c>
      <c r="F472" s="32" t="s">
        <v>3420</v>
      </c>
    </row>
    <row r="473" spans="1:6" ht="69.95" customHeight="1">
      <c r="A473" s="32" t="s">
        <v>1169</v>
      </c>
      <c r="B473" s="32" t="s">
        <v>3415</v>
      </c>
      <c r="C473" s="32" t="s">
        <v>93</v>
      </c>
      <c r="D473" s="32"/>
      <c r="E473" s="32" t="s">
        <v>462</v>
      </c>
      <c r="F473" s="32" t="s">
        <v>3416</v>
      </c>
    </row>
    <row r="474" spans="1:6" ht="69.95" customHeight="1">
      <c r="A474" s="32" t="s">
        <v>1169</v>
      </c>
      <c r="B474" s="32" t="s">
        <v>3417</v>
      </c>
      <c r="C474" s="32" t="s">
        <v>94</v>
      </c>
      <c r="D474" s="32"/>
      <c r="E474" s="32" t="s">
        <v>141</v>
      </c>
      <c r="F474" s="32" t="s">
        <v>3416</v>
      </c>
    </row>
    <row r="475" spans="1:6" ht="69.95" customHeight="1">
      <c r="A475" s="32" t="s">
        <v>1169</v>
      </c>
      <c r="B475" s="32" t="s">
        <v>3418</v>
      </c>
      <c r="C475" s="32" t="s">
        <v>96</v>
      </c>
      <c r="D475" s="32"/>
      <c r="E475" s="32" t="s">
        <v>142</v>
      </c>
      <c r="F475" s="32" t="s">
        <v>3416</v>
      </c>
    </row>
    <row r="476" spans="1:6" ht="69.95" customHeight="1">
      <c r="A476" s="32" t="s">
        <v>1177</v>
      </c>
      <c r="B476" s="32" t="s">
        <v>3438</v>
      </c>
      <c r="C476" s="32" t="s">
        <v>61</v>
      </c>
      <c r="D476" s="32" t="s">
        <v>3483</v>
      </c>
      <c r="E476" s="32" t="s">
        <v>1181</v>
      </c>
      <c r="F476" s="32" t="s">
        <v>3484</v>
      </c>
    </row>
    <row r="477" spans="1:6" ht="69.95" customHeight="1">
      <c r="A477" s="32" t="s">
        <v>1177</v>
      </c>
      <c r="B477" s="32" t="s">
        <v>3419</v>
      </c>
      <c r="C477" s="32" t="s">
        <v>65</v>
      </c>
      <c r="D477" s="32"/>
      <c r="E477" s="32" t="s">
        <v>1182</v>
      </c>
      <c r="F477" s="32" t="s">
        <v>3420</v>
      </c>
    </row>
    <row r="478" spans="1:6" ht="69.95" customHeight="1">
      <c r="A478" s="32" t="s">
        <v>1177</v>
      </c>
      <c r="B478" s="32" t="s">
        <v>3421</v>
      </c>
      <c r="C478" s="32" t="s">
        <v>66</v>
      </c>
      <c r="D478" s="32"/>
      <c r="E478" s="32" t="s">
        <v>586</v>
      </c>
      <c r="F478" s="32" t="s">
        <v>3420</v>
      </c>
    </row>
    <row r="479" spans="1:6" ht="69.95" customHeight="1">
      <c r="A479" s="32" t="s">
        <v>1177</v>
      </c>
      <c r="B479" s="32" t="s">
        <v>3440</v>
      </c>
      <c r="C479" s="32" t="s">
        <v>81</v>
      </c>
      <c r="D479" s="32"/>
      <c r="E479" s="32" t="s">
        <v>1185</v>
      </c>
      <c r="F479" s="32" t="s">
        <v>3441</v>
      </c>
    </row>
    <row r="480" spans="1:6" ht="69.95" customHeight="1">
      <c r="A480" s="32" t="s">
        <v>1177</v>
      </c>
      <c r="B480" s="32" t="s">
        <v>3442</v>
      </c>
      <c r="C480" s="32" t="s">
        <v>88</v>
      </c>
      <c r="D480" s="32" t="s">
        <v>137</v>
      </c>
      <c r="E480" s="32" t="s">
        <v>1135</v>
      </c>
      <c r="F480" s="32" t="s">
        <v>3416</v>
      </c>
    </row>
    <row r="481" spans="1:6" ht="69.95" customHeight="1">
      <c r="A481" s="32" t="s">
        <v>1177</v>
      </c>
      <c r="B481" s="32" t="s">
        <v>3415</v>
      </c>
      <c r="C481" s="32" t="s">
        <v>93</v>
      </c>
      <c r="D481" s="32"/>
      <c r="E481" s="32" t="s">
        <v>462</v>
      </c>
      <c r="F481" s="32" t="s">
        <v>3416</v>
      </c>
    </row>
    <row r="482" spans="1:6" ht="69.95" customHeight="1">
      <c r="A482" s="32" t="s">
        <v>1177</v>
      </c>
      <c r="B482" s="32" t="s">
        <v>3417</v>
      </c>
      <c r="C482" s="32" t="s">
        <v>94</v>
      </c>
      <c r="D482" s="32"/>
      <c r="E482" s="32" t="s">
        <v>141</v>
      </c>
      <c r="F482" s="32" t="s">
        <v>3416</v>
      </c>
    </row>
    <row r="483" spans="1:6" ht="69.95" customHeight="1">
      <c r="A483" s="32" t="s">
        <v>1177</v>
      </c>
      <c r="B483" s="32" t="s">
        <v>3418</v>
      </c>
      <c r="C483" s="32" t="s">
        <v>96</v>
      </c>
      <c r="D483" s="32"/>
      <c r="E483" s="32" t="s">
        <v>142</v>
      </c>
      <c r="F483" s="32" t="s">
        <v>3416</v>
      </c>
    </row>
    <row r="484" spans="1:6" ht="69.95" customHeight="1">
      <c r="A484" s="32" t="s">
        <v>1187</v>
      </c>
      <c r="B484" s="32" t="s">
        <v>3419</v>
      </c>
      <c r="C484" s="32" t="s">
        <v>65</v>
      </c>
      <c r="D484" s="32" t="s">
        <v>1281</v>
      </c>
      <c r="E484" s="32"/>
      <c r="F484" s="32" t="s">
        <v>3420</v>
      </c>
    </row>
    <row r="485" spans="1:6" ht="69.95" customHeight="1">
      <c r="A485" s="32" t="s">
        <v>1187</v>
      </c>
      <c r="B485" s="32" t="s">
        <v>3421</v>
      </c>
      <c r="C485" s="32" t="s">
        <v>66</v>
      </c>
      <c r="D485" s="32" t="s">
        <v>1248</v>
      </c>
      <c r="E485" s="32" t="s">
        <v>743</v>
      </c>
      <c r="F485" s="32" t="s">
        <v>3420</v>
      </c>
    </row>
    <row r="486" spans="1:6" ht="69.95" customHeight="1">
      <c r="A486" s="32" t="s">
        <v>1187</v>
      </c>
      <c r="B486" s="32" t="s">
        <v>3415</v>
      </c>
      <c r="C486" s="32" t="s">
        <v>93</v>
      </c>
      <c r="D486" s="32"/>
      <c r="E486" s="32" t="s">
        <v>462</v>
      </c>
      <c r="F486" s="32" t="s">
        <v>3416</v>
      </c>
    </row>
    <row r="487" spans="1:6" ht="69.95" customHeight="1">
      <c r="A487" s="32" t="s">
        <v>1187</v>
      </c>
      <c r="B487" s="32" t="s">
        <v>3417</v>
      </c>
      <c r="C487" s="32" t="s">
        <v>94</v>
      </c>
      <c r="D487" s="32"/>
      <c r="E487" s="32" t="s">
        <v>141</v>
      </c>
      <c r="F487" s="32" t="s">
        <v>3416</v>
      </c>
    </row>
    <row r="488" spans="1:6" ht="69.95" customHeight="1">
      <c r="A488" s="32" t="s">
        <v>1187</v>
      </c>
      <c r="B488" s="32" t="s">
        <v>3418</v>
      </c>
      <c r="C488" s="32" t="s">
        <v>96</v>
      </c>
      <c r="D488" s="32"/>
      <c r="E488" s="32" t="s">
        <v>142</v>
      </c>
      <c r="F488" s="32" t="s">
        <v>3416</v>
      </c>
    </row>
    <row r="489" spans="1:6" ht="69.95" customHeight="1">
      <c r="A489" s="32" t="s">
        <v>743</v>
      </c>
      <c r="B489" s="32" t="s">
        <v>3419</v>
      </c>
      <c r="C489" s="32" t="s">
        <v>65</v>
      </c>
      <c r="D489" s="32"/>
      <c r="E489" s="32" t="s">
        <v>1200</v>
      </c>
      <c r="F489" s="32" t="s">
        <v>3420</v>
      </c>
    </row>
    <row r="490" spans="1:6" ht="69.95" customHeight="1">
      <c r="A490" s="32" t="s">
        <v>743</v>
      </c>
      <c r="B490" s="32" t="s">
        <v>3415</v>
      </c>
      <c r="C490" s="32" t="s">
        <v>93</v>
      </c>
      <c r="D490" s="32"/>
      <c r="E490" s="32" t="s">
        <v>462</v>
      </c>
      <c r="F490" s="32" t="s">
        <v>3416</v>
      </c>
    </row>
    <row r="491" spans="1:6" ht="69.95" customHeight="1">
      <c r="A491" s="32" t="s">
        <v>743</v>
      </c>
      <c r="B491" s="32" t="s">
        <v>3417</v>
      </c>
      <c r="C491" s="32" t="s">
        <v>94</v>
      </c>
      <c r="D491" s="32"/>
      <c r="E491" s="32" t="s">
        <v>141</v>
      </c>
      <c r="F491" s="32" t="s">
        <v>3416</v>
      </c>
    </row>
    <row r="492" spans="1:6" ht="69.95" customHeight="1">
      <c r="A492" s="32" t="s">
        <v>743</v>
      </c>
      <c r="B492" s="32" t="s">
        <v>3418</v>
      </c>
      <c r="C492" s="32" t="s">
        <v>96</v>
      </c>
      <c r="D492" s="32"/>
      <c r="E492" s="32" t="s">
        <v>142</v>
      </c>
      <c r="F492" s="32" t="s">
        <v>3416</v>
      </c>
    </row>
    <row r="493" spans="1:6" ht="69.95" customHeight="1">
      <c r="A493" s="32" t="s">
        <v>1206</v>
      </c>
      <c r="B493" s="32" t="s">
        <v>3419</v>
      </c>
      <c r="C493" s="32" t="s">
        <v>65</v>
      </c>
      <c r="D493" s="32"/>
      <c r="E493" s="32" t="s">
        <v>1211</v>
      </c>
      <c r="F493" s="32" t="s">
        <v>3420</v>
      </c>
    </row>
    <row r="494" spans="1:6" ht="69.95" customHeight="1">
      <c r="A494" s="32" t="s">
        <v>1206</v>
      </c>
      <c r="B494" s="32" t="s">
        <v>3421</v>
      </c>
      <c r="C494" s="32" t="s">
        <v>66</v>
      </c>
      <c r="D494" s="32"/>
      <c r="E494" s="32" t="s">
        <v>743</v>
      </c>
      <c r="F494" s="32" t="s">
        <v>3420</v>
      </c>
    </row>
    <row r="495" spans="1:6" ht="69.95" customHeight="1">
      <c r="A495" s="32" t="s">
        <v>1206</v>
      </c>
      <c r="B495" s="32" t="s">
        <v>3415</v>
      </c>
      <c r="C495" s="32" t="s">
        <v>93</v>
      </c>
      <c r="D495" s="32"/>
      <c r="E495" s="32" t="s">
        <v>462</v>
      </c>
      <c r="F495" s="32" t="s">
        <v>3416</v>
      </c>
    </row>
    <row r="496" spans="1:6" ht="69.95" customHeight="1">
      <c r="A496" s="32" t="s">
        <v>1206</v>
      </c>
      <c r="B496" s="32" t="s">
        <v>3417</v>
      </c>
      <c r="C496" s="32" t="s">
        <v>94</v>
      </c>
      <c r="D496" s="32"/>
      <c r="E496" s="32" t="s">
        <v>141</v>
      </c>
      <c r="F496" s="32" t="s">
        <v>3416</v>
      </c>
    </row>
    <row r="497" spans="1:6" ht="69.95" customHeight="1">
      <c r="A497" s="32" t="s">
        <v>1206</v>
      </c>
      <c r="B497" s="32" t="s">
        <v>3418</v>
      </c>
      <c r="C497" s="32" t="s">
        <v>96</v>
      </c>
      <c r="D497" s="32"/>
      <c r="E497" s="32" t="s">
        <v>142</v>
      </c>
      <c r="F497" s="32" t="s">
        <v>3416</v>
      </c>
    </row>
    <row r="498" spans="1:6" ht="69.95" customHeight="1">
      <c r="A498" s="32" t="s">
        <v>1216</v>
      </c>
      <c r="B498" s="32" t="s">
        <v>3419</v>
      </c>
      <c r="C498" s="32" t="s">
        <v>65</v>
      </c>
      <c r="D498" s="32"/>
      <c r="E498" s="32" t="s">
        <v>1222</v>
      </c>
      <c r="F498" s="32" t="s">
        <v>3420</v>
      </c>
    </row>
    <row r="499" spans="1:6" ht="69.95" customHeight="1">
      <c r="A499" s="32" t="s">
        <v>1216</v>
      </c>
      <c r="B499" s="32" t="s">
        <v>3421</v>
      </c>
      <c r="C499" s="32" t="s">
        <v>66</v>
      </c>
      <c r="D499" s="32" t="s">
        <v>1248</v>
      </c>
      <c r="E499" s="32" t="s">
        <v>743</v>
      </c>
      <c r="F499" s="32" t="s">
        <v>3420</v>
      </c>
    </row>
    <row r="500" spans="1:6" ht="69.95" customHeight="1">
      <c r="A500" s="32" t="s">
        <v>1216</v>
      </c>
      <c r="B500" s="32" t="s">
        <v>3415</v>
      </c>
      <c r="C500" s="32" t="s">
        <v>93</v>
      </c>
      <c r="D500" s="32"/>
      <c r="E500" s="32" t="s">
        <v>462</v>
      </c>
      <c r="F500" s="32" t="s">
        <v>3416</v>
      </c>
    </row>
    <row r="501" spans="1:6" ht="69.95" customHeight="1">
      <c r="A501" s="32" t="s">
        <v>1216</v>
      </c>
      <c r="B501" s="32" t="s">
        <v>3417</v>
      </c>
      <c r="C501" s="32" t="s">
        <v>94</v>
      </c>
      <c r="D501" s="32"/>
      <c r="E501" s="32" t="s">
        <v>141</v>
      </c>
      <c r="F501" s="32" t="s">
        <v>3416</v>
      </c>
    </row>
    <row r="502" spans="1:6" ht="69.95" customHeight="1">
      <c r="A502" s="32" t="s">
        <v>1216</v>
      </c>
      <c r="B502" s="32" t="s">
        <v>3418</v>
      </c>
      <c r="C502" s="32" t="s">
        <v>96</v>
      </c>
      <c r="D502" s="32"/>
      <c r="E502" s="32" t="s">
        <v>142</v>
      </c>
      <c r="F502" s="32" t="s">
        <v>3416</v>
      </c>
    </row>
    <row r="503" spans="1:6" ht="69.95" customHeight="1">
      <c r="A503" s="32" t="s">
        <v>1231</v>
      </c>
      <c r="B503" s="32" t="s">
        <v>3419</v>
      </c>
      <c r="C503" s="32" t="s">
        <v>65</v>
      </c>
      <c r="D503" s="32"/>
      <c r="E503" s="32" t="s">
        <v>1236</v>
      </c>
      <c r="F503" s="32" t="s">
        <v>3420</v>
      </c>
    </row>
    <row r="504" spans="1:6" ht="69.95" customHeight="1">
      <c r="A504" s="32" t="s">
        <v>1231</v>
      </c>
      <c r="B504" s="32" t="s">
        <v>3421</v>
      </c>
      <c r="C504" s="32" t="s">
        <v>66</v>
      </c>
      <c r="D504" s="32" t="s">
        <v>1248</v>
      </c>
      <c r="E504" s="32" t="s">
        <v>1237</v>
      </c>
      <c r="F504" s="32" t="s">
        <v>3420</v>
      </c>
    </row>
    <row r="505" spans="1:6" ht="69.95" customHeight="1">
      <c r="A505" s="32" t="s">
        <v>1231</v>
      </c>
      <c r="B505" s="32" t="s">
        <v>3415</v>
      </c>
      <c r="C505" s="32" t="s">
        <v>93</v>
      </c>
      <c r="D505" s="32"/>
      <c r="E505" s="32" t="s">
        <v>462</v>
      </c>
      <c r="F505" s="32" t="s">
        <v>3416</v>
      </c>
    </row>
    <row r="506" spans="1:6" ht="69.95" customHeight="1">
      <c r="A506" s="32" t="s">
        <v>1231</v>
      </c>
      <c r="B506" s="32" t="s">
        <v>3417</v>
      </c>
      <c r="C506" s="32" t="s">
        <v>94</v>
      </c>
      <c r="D506" s="32"/>
      <c r="E506" s="32" t="s">
        <v>141</v>
      </c>
      <c r="F506" s="32" t="s">
        <v>3416</v>
      </c>
    </row>
    <row r="507" spans="1:6" ht="69.95" customHeight="1">
      <c r="A507" s="32" t="s">
        <v>1231</v>
      </c>
      <c r="B507" s="32" t="s">
        <v>3418</v>
      </c>
      <c r="C507" s="32" t="s">
        <v>96</v>
      </c>
      <c r="D507" s="32"/>
      <c r="E507" s="32" t="s">
        <v>142</v>
      </c>
      <c r="F507" s="32" t="s">
        <v>3416</v>
      </c>
    </row>
    <row r="508" spans="1:6" ht="69.95" customHeight="1">
      <c r="A508" s="32" t="s">
        <v>1242</v>
      </c>
      <c r="B508" s="32" t="s">
        <v>3419</v>
      </c>
      <c r="C508" s="32" t="s">
        <v>65</v>
      </c>
      <c r="D508" s="32"/>
      <c r="E508" s="32" t="s">
        <v>1247</v>
      </c>
      <c r="F508" s="32" t="s">
        <v>3420</v>
      </c>
    </row>
    <row r="509" spans="1:6" ht="69.95" customHeight="1">
      <c r="A509" s="32" t="s">
        <v>1242</v>
      </c>
      <c r="B509" s="32" t="s">
        <v>3415</v>
      </c>
      <c r="C509" s="32" t="s">
        <v>93</v>
      </c>
      <c r="D509" s="32"/>
      <c r="E509" s="32" t="s">
        <v>462</v>
      </c>
      <c r="F509" s="32" t="s">
        <v>3416</v>
      </c>
    </row>
    <row r="510" spans="1:6" ht="69.95" customHeight="1">
      <c r="A510" s="32" t="s">
        <v>1242</v>
      </c>
      <c r="B510" s="32" t="s">
        <v>3417</v>
      </c>
      <c r="C510" s="32" t="s">
        <v>94</v>
      </c>
      <c r="D510" s="32"/>
      <c r="E510" s="32" t="s">
        <v>141</v>
      </c>
      <c r="F510" s="32" t="s">
        <v>3416</v>
      </c>
    </row>
    <row r="511" spans="1:6" ht="69.95" customHeight="1">
      <c r="A511" s="32" t="s">
        <v>1242</v>
      </c>
      <c r="B511" s="32" t="s">
        <v>3418</v>
      </c>
      <c r="C511" s="32" t="s">
        <v>96</v>
      </c>
      <c r="D511" s="32"/>
      <c r="E511" s="32" t="s">
        <v>142</v>
      </c>
      <c r="F511" s="32" t="s">
        <v>3416</v>
      </c>
    </row>
    <row r="512" spans="1:6" ht="69.95" customHeight="1">
      <c r="A512" s="32" t="s">
        <v>1255</v>
      </c>
      <c r="B512" s="32" t="s">
        <v>3419</v>
      </c>
      <c r="C512" s="32" t="s">
        <v>65</v>
      </c>
      <c r="D512" s="32" t="s">
        <v>392</v>
      </c>
      <c r="E512" s="32" t="s">
        <v>1259</v>
      </c>
      <c r="F512" s="32" t="s">
        <v>3420</v>
      </c>
    </row>
    <row r="513" spans="1:6" ht="69.95" customHeight="1">
      <c r="A513" s="32" t="s">
        <v>1255</v>
      </c>
      <c r="B513" s="32" t="s">
        <v>3421</v>
      </c>
      <c r="C513" s="32" t="s">
        <v>66</v>
      </c>
      <c r="D513" s="32"/>
      <c r="E513" s="32" t="s">
        <v>1260</v>
      </c>
      <c r="F513" s="32" t="s">
        <v>3420</v>
      </c>
    </row>
    <row r="514" spans="1:6" ht="69.95" customHeight="1">
      <c r="A514" s="32" t="s">
        <v>1255</v>
      </c>
      <c r="B514" s="32" t="s">
        <v>3415</v>
      </c>
      <c r="C514" s="32" t="s">
        <v>93</v>
      </c>
      <c r="D514" s="32"/>
      <c r="E514" s="32" t="s">
        <v>462</v>
      </c>
      <c r="F514" s="32" t="s">
        <v>3416</v>
      </c>
    </row>
    <row r="515" spans="1:6" ht="69.95" customHeight="1">
      <c r="A515" s="32" t="s">
        <v>1255</v>
      </c>
      <c r="B515" s="32" t="s">
        <v>3417</v>
      </c>
      <c r="C515" s="32" t="s">
        <v>94</v>
      </c>
      <c r="D515" s="32"/>
      <c r="E515" s="32" t="s">
        <v>141</v>
      </c>
      <c r="F515" s="32" t="s">
        <v>3416</v>
      </c>
    </row>
    <row r="516" spans="1:6" ht="69.95" customHeight="1">
      <c r="A516" s="32" t="s">
        <v>1255</v>
      </c>
      <c r="B516" s="32" t="s">
        <v>3418</v>
      </c>
      <c r="C516" s="32" t="s">
        <v>96</v>
      </c>
      <c r="D516" s="32"/>
      <c r="E516" s="32" t="s">
        <v>142</v>
      </c>
      <c r="F516" s="32" t="s">
        <v>3416</v>
      </c>
    </row>
    <row r="517" spans="1:6" ht="69.95" customHeight="1">
      <c r="A517" s="32" t="s">
        <v>1264</v>
      </c>
      <c r="B517" s="32" t="s">
        <v>3421</v>
      </c>
      <c r="C517" s="32" t="s">
        <v>66</v>
      </c>
      <c r="D517" s="32" t="s">
        <v>1321</v>
      </c>
      <c r="E517" s="32"/>
      <c r="F517" s="32" t="s">
        <v>3420</v>
      </c>
    </row>
    <row r="518" spans="1:6" ht="69.95" customHeight="1">
      <c r="A518" s="32" t="s">
        <v>1264</v>
      </c>
      <c r="B518" s="32" t="s">
        <v>3415</v>
      </c>
      <c r="C518" s="32" t="s">
        <v>93</v>
      </c>
      <c r="D518" s="32"/>
      <c r="E518" s="32" t="s">
        <v>462</v>
      </c>
      <c r="F518" s="32" t="s">
        <v>3416</v>
      </c>
    </row>
    <row r="519" spans="1:6" ht="69.95" customHeight="1">
      <c r="A519" s="32" t="s">
        <v>1264</v>
      </c>
      <c r="B519" s="32" t="s">
        <v>3417</v>
      </c>
      <c r="C519" s="32" t="s">
        <v>94</v>
      </c>
      <c r="D519" s="32"/>
      <c r="E519" s="32" t="s">
        <v>141</v>
      </c>
      <c r="F519" s="32" t="s">
        <v>3416</v>
      </c>
    </row>
    <row r="520" spans="1:6" ht="69.95" customHeight="1">
      <c r="A520" s="32" t="s">
        <v>1264</v>
      </c>
      <c r="B520" s="32" t="s">
        <v>3418</v>
      </c>
      <c r="C520" s="32" t="s">
        <v>96</v>
      </c>
      <c r="D520" s="32"/>
      <c r="E520" s="32" t="s">
        <v>142</v>
      </c>
      <c r="F520" s="32" t="s">
        <v>3416</v>
      </c>
    </row>
    <row r="521" spans="1:6" ht="69.95" customHeight="1">
      <c r="A521" s="32" t="s">
        <v>1272</v>
      </c>
      <c r="B521" s="32" t="s">
        <v>3419</v>
      </c>
      <c r="C521" s="32" t="s">
        <v>65</v>
      </c>
      <c r="D521" s="32" t="s">
        <v>1326</v>
      </c>
      <c r="E521" s="32"/>
      <c r="F521" s="32" t="s">
        <v>3420</v>
      </c>
    </row>
    <row r="522" spans="1:6" ht="69.95" customHeight="1">
      <c r="A522" s="32" t="s">
        <v>1272</v>
      </c>
      <c r="B522" s="32" t="s">
        <v>3421</v>
      </c>
      <c r="C522" s="32" t="s">
        <v>66</v>
      </c>
      <c r="D522" s="32" t="s">
        <v>1327</v>
      </c>
      <c r="E522" s="32"/>
      <c r="F522" s="32" t="s">
        <v>3420</v>
      </c>
    </row>
    <row r="523" spans="1:6" ht="69.95" customHeight="1">
      <c r="A523" s="32" t="s">
        <v>1272</v>
      </c>
      <c r="B523" s="32" t="s">
        <v>3415</v>
      </c>
      <c r="C523" s="32" t="s">
        <v>93</v>
      </c>
      <c r="D523" s="32"/>
      <c r="E523" s="32" t="s">
        <v>462</v>
      </c>
      <c r="F523" s="32" t="s">
        <v>3416</v>
      </c>
    </row>
    <row r="524" spans="1:6" ht="69.95" customHeight="1">
      <c r="A524" s="32" t="s">
        <v>1272</v>
      </c>
      <c r="B524" s="32" t="s">
        <v>3417</v>
      </c>
      <c r="C524" s="32" t="s">
        <v>94</v>
      </c>
      <c r="D524" s="32"/>
      <c r="E524" s="32" t="s">
        <v>141</v>
      </c>
      <c r="F524" s="32" t="s">
        <v>3416</v>
      </c>
    </row>
    <row r="525" spans="1:6" ht="69.95" customHeight="1">
      <c r="A525" s="32" t="s">
        <v>1272</v>
      </c>
      <c r="B525" s="32" t="s">
        <v>3418</v>
      </c>
      <c r="C525" s="32" t="s">
        <v>96</v>
      </c>
      <c r="D525" s="32"/>
      <c r="E525" s="32" t="s">
        <v>142</v>
      </c>
      <c r="F525" s="32" t="s">
        <v>3416</v>
      </c>
    </row>
    <row r="526" spans="1:6" ht="69.95" customHeight="1">
      <c r="A526" s="32" t="s">
        <v>1276</v>
      </c>
      <c r="B526" s="32" t="s">
        <v>3419</v>
      </c>
      <c r="C526" s="32" t="s">
        <v>65</v>
      </c>
      <c r="D526" s="32"/>
      <c r="E526" s="32" t="s">
        <v>1281</v>
      </c>
      <c r="F526" s="32" t="s">
        <v>3420</v>
      </c>
    </row>
    <row r="527" spans="1:6" ht="69.95" customHeight="1">
      <c r="A527" s="32" t="s">
        <v>1276</v>
      </c>
      <c r="B527" s="32" t="s">
        <v>3421</v>
      </c>
      <c r="C527" s="32" t="s">
        <v>66</v>
      </c>
      <c r="D527" s="32"/>
      <c r="E527" s="32" t="s">
        <v>1248</v>
      </c>
      <c r="F527" s="32" t="s">
        <v>3420</v>
      </c>
    </row>
    <row r="528" spans="1:6" ht="69.95" customHeight="1">
      <c r="A528" s="32" t="s">
        <v>1276</v>
      </c>
      <c r="B528" s="32" t="s">
        <v>3415</v>
      </c>
      <c r="C528" s="32" t="s">
        <v>93</v>
      </c>
      <c r="D528" s="32"/>
      <c r="E528" s="32" t="s">
        <v>462</v>
      </c>
      <c r="F528" s="32" t="s">
        <v>3416</v>
      </c>
    </row>
    <row r="529" spans="1:6" ht="69.95" customHeight="1">
      <c r="A529" s="32" t="s">
        <v>1276</v>
      </c>
      <c r="B529" s="32" t="s">
        <v>3417</v>
      </c>
      <c r="C529" s="32" t="s">
        <v>94</v>
      </c>
      <c r="D529" s="32"/>
      <c r="E529" s="32" t="s">
        <v>141</v>
      </c>
      <c r="F529" s="32" t="s">
        <v>3416</v>
      </c>
    </row>
    <row r="530" spans="1:6" ht="69.95" customHeight="1">
      <c r="A530" s="32" t="s">
        <v>1276</v>
      </c>
      <c r="B530" s="32" t="s">
        <v>3418</v>
      </c>
      <c r="C530" s="32" t="s">
        <v>96</v>
      </c>
      <c r="D530" s="32"/>
      <c r="E530" s="32" t="s">
        <v>142</v>
      </c>
      <c r="F530" s="32" t="s">
        <v>3416</v>
      </c>
    </row>
    <row r="531" spans="1:6" ht="69.95" customHeight="1">
      <c r="A531" s="32" t="s">
        <v>1284</v>
      </c>
      <c r="B531" s="32" t="s">
        <v>3421</v>
      </c>
      <c r="C531" s="32" t="s">
        <v>66</v>
      </c>
      <c r="D531" s="32" t="s">
        <v>1248</v>
      </c>
      <c r="E531" s="32"/>
      <c r="F531" s="32" t="s">
        <v>3420</v>
      </c>
    </row>
    <row r="532" spans="1:6" ht="69.95" customHeight="1">
      <c r="A532" s="32" t="s">
        <v>1284</v>
      </c>
      <c r="B532" s="32" t="s">
        <v>3415</v>
      </c>
      <c r="C532" s="32" t="s">
        <v>93</v>
      </c>
      <c r="D532" s="32"/>
      <c r="E532" s="32" t="s">
        <v>462</v>
      </c>
      <c r="F532" s="32" t="s">
        <v>3416</v>
      </c>
    </row>
    <row r="533" spans="1:6" ht="69.95" customHeight="1">
      <c r="A533" s="32" t="s">
        <v>1284</v>
      </c>
      <c r="B533" s="32" t="s">
        <v>3417</v>
      </c>
      <c r="C533" s="32" t="s">
        <v>94</v>
      </c>
      <c r="D533" s="32"/>
      <c r="E533" s="32" t="s">
        <v>141</v>
      </c>
      <c r="F533" s="32" t="s">
        <v>3416</v>
      </c>
    </row>
    <row r="534" spans="1:6" ht="69.95" customHeight="1">
      <c r="A534" s="32" t="s">
        <v>1284</v>
      </c>
      <c r="B534" s="32" t="s">
        <v>3418</v>
      </c>
      <c r="C534" s="32" t="s">
        <v>96</v>
      </c>
      <c r="D534" s="32"/>
      <c r="E534" s="32" t="s">
        <v>142</v>
      </c>
      <c r="F534" s="32" t="s">
        <v>3416</v>
      </c>
    </row>
    <row r="535" spans="1:6" ht="69.95" customHeight="1">
      <c r="A535" s="32" t="s">
        <v>1289</v>
      </c>
      <c r="B535" s="32" t="s">
        <v>3421</v>
      </c>
      <c r="C535" s="32" t="s">
        <v>66</v>
      </c>
      <c r="D535" s="32" t="s">
        <v>1248</v>
      </c>
      <c r="E535" s="32"/>
      <c r="F535" s="32" t="s">
        <v>3420</v>
      </c>
    </row>
    <row r="536" spans="1:6" ht="69.95" customHeight="1">
      <c r="A536" s="32" t="s">
        <v>1289</v>
      </c>
      <c r="B536" s="32" t="s">
        <v>3415</v>
      </c>
      <c r="C536" s="32" t="s">
        <v>93</v>
      </c>
      <c r="D536" s="32"/>
      <c r="E536" s="32" t="s">
        <v>462</v>
      </c>
      <c r="F536" s="32" t="s">
        <v>3416</v>
      </c>
    </row>
    <row r="537" spans="1:6" ht="69.95" customHeight="1">
      <c r="A537" s="32" t="s">
        <v>1289</v>
      </c>
      <c r="B537" s="32" t="s">
        <v>3417</v>
      </c>
      <c r="C537" s="32" t="s">
        <v>94</v>
      </c>
      <c r="D537" s="32"/>
      <c r="E537" s="32" t="s">
        <v>141</v>
      </c>
      <c r="F537" s="32" t="s">
        <v>3416</v>
      </c>
    </row>
    <row r="538" spans="1:6" ht="69.95" customHeight="1">
      <c r="A538" s="32" t="s">
        <v>1289</v>
      </c>
      <c r="B538" s="32" t="s">
        <v>3418</v>
      </c>
      <c r="C538" s="32" t="s">
        <v>96</v>
      </c>
      <c r="D538" s="32"/>
      <c r="E538" s="32" t="s">
        <v>142</v>
      </c>
      <c r="F538" s="32" t="s">
        <v>3416</v>
      </c>
    </row>
    <row r="539" spans="1:6" ht="69.95" customHeight="1">
      <c r="A539" s="32" t="s">
        <v>1296</v>
      </c>
      <c r="B539" s="32" t="s">
        <v>3419</v>
      </c>
      <c r="C539" s="32" t="s">
        <v>65</v>
      </c>
      <c r="D539" s="32" t="s">
        <v>1347</v>
      </c>
      <c r="E539" s="32"/>
      <c r="F539" s="32" t="s">
        <v>3420</v>
      </c>
    </row>
    <row r="540" spans="1:6" ht="69.95" customHeight="1">
      <c r="A540" s="32" t="s">
        <v>1296</v>
      </c>
      <c r="B540" s="32" t="s">
        <v>3421</v>
      </c>
      <c r="C540" s="32" t="s">
        <v>66</v>
      </c>
      <c r="D540" s="32"/>
      <c r="E540" s="32" t="s">
        <v>1248</v>
      </c>
      <c r="F540" s="32" t="s">
        <v>3420</v>
      </c>
    </row>
    <row r="541" spans="1:6" ht="69.95" customHeight="1">
      <c r="A541" s="32" t="s">
        <v>1296</v>
      </c>
      <c r="B541" s="32" t="s">
        <v>3415</v>
      </c>
      <c r="C541" s="32" t="s">
        <v>93</v>
      </c>
      <c r="D541" s="32"/>
      <c r="E541" s="32" t="s">
        <v>462</v>
      </c>
      <c r="F541" s="32" t="s">
        <v>3416</v>
      </c>
    </row>
    <row r="542" spans="1:6" ht="69.95" customHeight="1">
      <c r="A542" s="32" t="s">
        <v>1296</v>
      </c>
      <c r="B542" s="32" t="s">
        <v>3417</v>
      </c>
      <c r="C542" s="32" t="s">
        <v>94</v>
      </c>
      <c r="D542" s="32"/>
      <c r="E542" s="32" t="s">
        <v>141</v>
      </c>
      <c r="F542" s="32" t="s">
        <v>3416</v>
      </c>
    </row>
    <row r="543" spans="1:6" ht="69.95" customHeight="1">
      <c r="A543" s="32" t="s">
        <v>1296</v>
      </c>
      <c r="B543" s="32" t="s">
        <v>3418</v>
      </c>
      <c r="C543" s="32" t="s">
        <v>96</v>
      </c>
      <c r="D543" s="32"/>
      <c r="E543" s="32" t="s">
        <v>142</v>
      </c>
      <c r="F543" s="32" t="s">
        <v>3416</v>
      </c>
    </row>
    <row r="544" spans="1:6" ht="69.95" customHeight="1">
      <c r="A544" s="32" t="s">
        <v>1301</v>
      </c>
      <c r="B544" s="32" t="s">
        <v>3419</v>
      </c>
      <c r="C544" s="32" t="s">
        <v>65</v>
      </c>
      <c r="D544" s="32" t="s">
        <v>1354</v>
      </c>
      <c r="E544" s="32"/>
      <c r="F544" s="32" t="s">
        <v>3420</v>
      </c>
    </row>
    <row r="545" spans="1:6" ht="69.95" customHeight="1">
      <c r="A545" s="32" t="s">
        <v>1301</v>
      </c>
      <c r="B545" s="32" t="s">
        <v>3421</v>
      </c>
      <c r="C545" s="32" t="s">
        <v>66</v>
      </c>
      <c r="D545" s="32" t="s">
        <v>1154</v>
      </c>
      <c r="E545" s="32" t="s">
        <v>1248</v>
      </c>
      <c r="F545" s="32" t="s">
        <v>3420</v>
      </c>
    </row>
    <row r="546" spans="1:6" ht="69.95" customHeight="1">
      <c r="A546" s="32" t="s">
        <v>1301</v>
      </c>
      <c r="B546" s="32" t="s">
        <v>3415</v>
      </c>
      <c r="C546" s="32" t="s">
        <v>93</v>
      </c>
      <c r="D546" s="32"/>
      <c r="E546" s="32" t="s">
        <v>462</v>
      </c>
      <c r="F546" s="32" t="s">
        <v>3416</v>
      </c>
    </row>
    <row r="547" spans="1:6" ht="69.95" customHeight="1">
      <c r="A547" s="32" t="s">
        <v>1301</v>
      </c>
      <c r="B547" s="32" t="s">
        <v>3417</v>
      </c>
      <c r="C547" s="32" t="s">
        <v>94</v>
      </c>
      <c r="D547" s="32"/>
      <c r="E547" s="32" t="s">
        <v>141</v>
      </c>
      <c r="F547" s="32" t="s">
        <v>3416</v>
      </c>
    </row>
    <row r="548" spans="1:6" ht="69.95" customHeight="1">
      <c r="A548" s="32" t="s">
        <v>1301</v>
      </c>
      <c r="B548" s="32" t="s">
        <v>3418</v>
      </c>
      <c r="C548" s="32" t="s">
        <v>96</v>
      </c>
      <c r="D548" s="32"/>
      <c r="E548" s="32" t="s">
        <v>142</v>
      </c>
      <c r="F548" s="32" t="s">
        <v>3416</v>
      </c>
    </row>
    <row r="549" spans="1:6" ht="69.95" customHeight="1">
      <c r="A549" s="32" t="s">
        <v>1306</v>
      </c>
      <c r="B549" s="32" t="s">
        <v>3419</v>
      </c>
      <c r="C549" s="32" t="s">
        <v>65</v>
      </c>
      <c r="D549" s="32" t="s">
        <v>1362</v>
      </c>
      <c r="E549" s="32"/>
      <c r="F549" s="32" t="s">
        <v>3420</v>
      </c>
    </row>
    <row r="550" spans="1:6" ht="69.95" customHeight="1">
      <c r="A550" s="32" t="s">
        <v>1306</v>
      </c>
      <c r="B550" s="32" t="s">
        <v>3421</v>
      </c>
      <c r="C550" s="32" t="s">
        <v>66</v>
      </c>
      <c r="D550" s="32" t="s">
        <v>1154</v>
      </c>
      <c r="E550" s="32" t="s">
        <v>1248</v>
      </c>
      <c r="F550" s="32" t="s">
        <v>3420</v>
      </c>
    </row>
    <row r="551" spans="1:6" ht="69.95" customHeight="1">
      <c r="A551" s="32" t="s">
        <v>1306</v>
      </c>
      <c r="B551" s="32" t="s">
        <v>3415</v>
      </c>
      <c r="C551" s="32" t="s">
        <v>93</v>
      </c>
      <c r="D551" s="32"/>
      <c r="E551" s="32" t="s">
        <v>462</v>
      </c>
      <c r="F551" s="32" t="s">
        <v>3416</v>
      </c>
    </row>
    <row r="552" spans="1:6" ht="69.95" customHeight="1">
      <c r="A552" s="32" t="s">
        <v>1306</v>
      </c>
      <c r="B552" s="32" t="s">
        <v>3417</v>
      </c>
      <c r="C552" s="32" t="s">
        <v>94</v>
      </c>
      <c r="D552" s="32"/>
      <c r="E552" s="32" t="s">
        <v>141</v>
      </c>
      <c r="F552" s="32" t="s">
        <v>3416</v>
      </c>
    </row>
    <row r="553" spans="1:6" ht="69.95" customHeight="1">
      <c r="A553" s="32" t="s">
        <v>1306</v>
      </c>
      <c r="B553" s="32" t="s">
        <v>3418</v>
      </c>
      <c r="C553" s="32" t="s">
        <v>96</v>
      </c>
      <c r="D553" s="32"/>
      <c r="E553" s="32" t="s">
        <v>142</v>
      </c>
      <c r="F553" s="32" t="s">
        <v>3416</v>
      </c>
    </row>
    <row r="554" spans="1:6" ht="69.95" customHeight="1">
      <c r="A554" s="32" t="s">
        <v>1310</v>
      </c>
      <c r="B554" s="32" t="s">
        <v>3419</v>
      </c>
      <c r="C554" s="32" t="s">
        <v>65</v>
      </c>
      <c r="D554" s="32" t="s">
        <v>1372</v>
      </c>
      <c r="E554" s="32" t="s">
        <v>392</v>
      </c>
      <c r="F554" s="32" t="s">
        <v>3420</v>
      </c>
    </row>
    <row r="555" spans="1:6" ht="69.95" customHeight="1">
      <c r="A555" s="32" t="s">
        <v>1310</v>
      </c>
      <c r="B555" s="32" t="s">
        <v>3421</v>
      </c>
      <c r="C555" s="32" t="s">
        <v>66</v>
      </c>
      <c r="D555" s="32" t="s">
        <v>1373</v>
      </c>
      <c r="E555" s="32"/>
      <c r="F555" s="32" t="s">
        <v>3420</v>
      </c>
    </row>
    <row r="556" spans="1:6" ht="69.95" customHeight="1">
      <c r="A556" s="32" t="s">
        <v>1310</v>
      </c>
      <c r="B556" s="32" t="s">
        <v>3415</v>
      </c>
      <c r="C556" s="32" t="s">
        <v>93</v>
      </c>
      <c r="D556" s="32"/>
      <c r="E556" s="32" t="s">
        <v>462</v>
      </c>
      <c r="F556" s="32" t="s">
        <v>3416</v>
      </c>
    </row>
    <row r="557" spans="1:6" ht="69.95" customHeight="1">
      <c r="A557" s="32" t="s">
        <v>1310</v>
      </c>
      <c r="B557" s="32" t="s">
        <v>3417</v>
      </c>
      <c r="C557" s="32" t="s">
        <v>94</v>
      </c>
      <c r="D557" s="32"/>
      <c r="E557" s="32" t="s">
        <v>141</v>
      </c>
      <c r="F557" s="32" t="s">
        <v>3416</v>
      </c>
    </row>
    <row r="558" spans="1:6" ht="69.95" customHeight="1">
      <c r="A558" s="32" t="s">
        <v>1310</v>
      </c>
      <c r="B558" s="32" t="s">
        <v>3418</v>
      </c>
      <c r="C558" s="32" t="s">
        <v>96</v>
      </c>
      <c r="D558" s="32"/>
      <c r="E558" s="32" t="s">
        <v>142</v>
      </c>
      <c r="F558" s="32" t="s">
        <v>3416</v>
      </c>
    </row>
    <row r="559" spans="1:6" ht="69.95" customHeight="1">
      <c r="A559" s="32" t="s">
        <v>1317</v>
      </c>
      <c r="B559" s="32" t="s">
        <v>3419</v>
      </c>
      <c r="C559" s="32" t="s">
        <v>65</v>
      </c>
      <c r="D559" s="32" t="s">
        <v>1382</v>
      </c>
      <c r="E559" s="32"/>
      <c r="F559" s="32" t="s">
        <v>3420</v>
      </c>
    </row>
    <row r="560" spans="1:6" ht="69.95" customHeight="1">
      <c r="A560" s="32" t="s">
        <v>1317</v>
      </c>
      <c r="B560" s="32" t="s">
        <v>3421</v>
      </c>
      <c r="C560" s="32" t="s">
        <v>66</v>
      </c>
      <c r="D560" s="32" t="s">
        <v>1154</v>
      </c>
      <c r="E560" s="32" t="s">
        <v>1321</v>
      </c>
      <c r="F560" s="32" t="s">
        <v>3420</v>
      </c>
    </row>
    <row r="561" spans="1:6" ht="69.95" customHeight="1">
      <c r="A561" s="32" t="s">
        <v>1317</v>
      </c>
      <c r="B561" s="32" t="s">
        <v>3415</v>
      </c>
      <c r="C561" s="32" t="s">
        <v>93</v>
      </c>
      <c r="D561" s="32"/>
      <c r="E561" s="32" t="s">
        <v>462</v>
      </c>
      <c r="F561" s="32" t="s">
        <v>3416</v>
      </c>
    </row>
    <row r="562" spans="1:6" ht="69.95" customHeight="1">
      <c r="A562" s="32" t="s">
        <v>1317</v>
      </c>
      <c r="B562" s="32" t="s">
        <v>3417</v>
      </c>
      <c r="C562" s="32" t="s">
        <v>94</v>
      </c>
      <c r="D562" s="32"/>
      <c r="E562" s="32" t="s">
        <v>141</v>
      </c>
      <c r="F562" s="32" t="s">
        <v>3416</v>
      </c>
    </row>
    <row r="563" spans="1:6" ht="69.95" customHeight="1">
      <c r="A563" s="32" t="s">
        <v>1317</v>
      </c>
      <c r="B563" s="32" t="s">
        <v>3418</v>
      </c>
      <c r="C563" s="32" t="s">
        <v>96</v>
      </c>
      <c r="D563" s="32"/>
      <c r="E563" s="32" t="s">
        <v>142</v>
      </c>
      <c r="F563" s="32" t="s">
        <v>3416</v>
      </c>
    </row>
    <row r="564" spans="1:6" ht="69.95" customHeight="1">
      <c r="A564" s="32" t="s">
        <v>1154</v>
      </c>
      <c r="B564" s="32" t="s">
        <v>3419</v>
      </c>
      <c r="C564" s="32" t="s">
        <v>65</v>
      </c>
      <c r="D564" s="32" t="s">
        <v>1389</v>
      </c>
      <c r="E564" s="32" t="s">
        <v>1326</v>
      </c>
      <c r="F564" s="32" t="s">
        <v>3420</v>
      </c>
    </row>
    <row r="565" spans="1:6" ht="69.95" customHeight="1">
      <c r="A565" s="32" t="s">
        <v>1154</v>
      </c>
      <c r="B565" s="32" t="s">
        <v>3421</v>
      </c>
      <c r="C565" s="32" t="s">
        <v>66</v>
      </c>
      <c r="D565" s="32" t="s">
        <v>1154</v>
      </c>
      <c r="E565" s="32" t="s">
        <v>1327</v>
      </c>
      <c r="F565" s="32" t="s">
        <v>3420</v>
      </c>
    </row>
    <row r="566" spans="1:6" ht="69.95" customHeight="1">
      <c r="A566" s="32" t="s">
        <v>1154</v>
      </c>
      <c r="B566" s="32" t="s">
        <v>3415</v>
      </c>
      <c r="C566" s="32" t="s">
        <v>93</v>
      </c>
      <c r="D566" s="32"/>
      <c r="E566" s="32" t="s">
        <v>462</v>
      </c>
      <c r="F566" s="32" t="s">
        <v>3416</v>
      </c>
    </row>
    <row r="567" spans="1:6" ht="69.95" customHeight="1">
      <c r="A567" s="32" t="s">
        <v>1154</v>
      </c>
      <c r="B567" s="32" t="s">
        <v>3417</v>
      </c>
      <c r="C567" s="32" t="s">
        <v>94</v>
      </c>
      <c r="D567" s="32"/>
      <c r="E567" s="32" t="s">
        <v>141</v>
      </c>
      <c r="F567" s="32" t="s">
        <v>3416</v>
      </c>
    </row>
    <row r="568" spans="1:6" ht="69.95" customHeight="1">
      <c r="A568" s="32" t="s">
        <v>1154</v>
      </c>
      <c r="B568" s="32" t="s">
        <v>3418</v>
      </c>
      <c r="C568" s="32" t="s">
        <v>96</v>
      </c>
      <c r="D568" s="32"/>
      <c r="E568" s="32" t="s">
        <v>142</v>
      </c>
      <c r="F568" s="32" t="s">
        <v>3416</v>
      </c>
    </row>
    <row r="569" spans="1:6" ht="69.95" customHeight="1">
      <c r="A569" s="32" t="s">
        <v>1330</v>
      </c>
      <c r="B569" s="32" t="s">
        <v>3415</v>
      </c>
      <c r="C569" s="32" t="s">
        <v>93</v>
      </c>
      <c r="D569" s="32"/>
      <c r="E569" s="32" t="s">
        <v>462</v>
      </c>
      <c r="F569" s="32" t="s">
        <v>3416</v>
      </c>
    </row>
    <row r="570" spans="1:6" ht="69.95" customHeight="1">
      <c r="A570" s="32" t="s">
        <v>1330</v>
      </c>
      <c r="B570" s="32" t="s">
        <v>3417</v>
      </c>
      <c r="C570" s="32" t="s">
        <v>94</v>
      </c>
      <c r="D570" s="32"/>
      <c r="E570" s="32" t="s">
        <v>141</v>
      </c>
      <c r="F570" s="32" t="s">
        <v>3416</v>
      </c>
    </row>
    <row r="571" spans="1:6" ht="69.95" customHeight="1">
      <c r="A571" s="32" t="s">
        <v>1330</v>
      </c>
      <c r="B571" s="32" t="s">
        <v>3418</v>
      </c>
      <c r="C571" s="32" t="s">
        <v>96</v>
      </c>
      <c r="D571" s="32"/>
      <c r="E571" s="32" t="s">
        <v>142</v>
      </c>
      <c r="F571" s="32" t="s">
        <v>3416</v>
      </c>
    </row>
    <row r="572" spans="1:6" ht="69.95" customHeight="1">
      <c r="A572" s="32" t="s">
        <v>1335</v>
      </c>
      <c r="B572" s="32" t="s">
        <v>3421</v>
      </c>
      <c r="C572" s="32" t="s">
        <v>66</v>
      </c>
      <c r="D572" s="32"/>
      <c r="E572" s="32" t="s">
        <v>1248</v>
      </c>
      <c r="F572" s="32" t="s">
        <v>3420</v>
      </c>
    </row>
    <row r="573" spans="1:6" ht="69.95" customHeight="1">
      <c r="A573" s="32" t="s">
        <v>1335</v>
      </c>
      <c r="B573" s="32" t="s">
        <v>3415</v>
      </c>
      <c r="C573" s="32" t="s">
        <v>93</v>
      </c>
      <c r="D573" s="32"/>
      <c r="E573" s="32" t="s">
        <v>462</v>
      </c>
      <c r="F573" s="32" t="s">
        <v>3416</v>
      </c>
    </row>
    <row r="574" spans="1:6" ht="69.95" customHeight="1">
      <c r="A574" s="32" t="s">
        <v>1335</v>
      </c>
      <c r="B574" s="32" t="s">
        <v>3417</v>
      </c>
      <c r="C574" s="32" t="s">
        <v>94</v>
      </c>
      <c r="D574" s="32"/>
      <c r="E574" s="32" t="s">
        <v>141</v>
      </c>
      <c r="F574" s="32" t="s">
        <v>3416</v>
      </c>
    </row>
    <row r="575" spans="1:6" ht="69.95" customHeight="1">
      <c r="A575" s="32" t="s">
        <v>1335</v>
      </c>
      <c r="B575" s="32" t="s">
        <v>3418</v>
      </c>
      <c r="C575" s="32" t="s">
        <v>96</v>
      </c>
      <c r="D575" s="32"/>
      <c r="E575" s="32" t="s">
        <v>142</v>
      </c>
      <c r="F575" s="32" t="s">
        <v>3416</v>
      </c>
    </row>
    <row r="576" spans="1:6" ht="69.95" customHeight="1">
      <c r="A576" s="32" t="s">
        <v>1339</v>
      </c>
      <c r="B576" s="32" t="s">
        <v>3419</v>
      </c>
      <c r="C576" s="32" t="s">
        <v>65</v>
      </c>
      <c r="D576" s="32" t="s">
        <v>1416</v>
      </c>
      <c r="E576" s="32"/>
      <c r="F576" s="32" t="s">
        <v>3420</v>
      </c>
    </row>
    <row r="577" spans="1:6" ht="69.95" customHeight="1">
      <c r="A577" s="32" t="s">
        <v>1339</v>
      </c>
      <c r="B577" s="32" t="s">
        <v>3421</v>
      </c>
      <c r="C577" s="32" t="s">
        <v>66</v>
      </c>
      <c r="D577" s="32" t="s">
        <v>1417</v>
      </c>
      <c r="E577" s="32" t="s">
        <v>1248</v>
      </c>
      <c r="F577" s="32" t="s">
        <v>3420</v>
      </c>
    </row>
    <row r="578" spans="1:6" ht="69.95" customHeight="1">
      <c r="A578" s="32" t="s">
        <v>1339</v>
      </c>
      <c r="B578" s="32" t="s">
        <v>3415</v>
      </c>
      <c r="C578" s="32" t="s">
        <v>93</v>
      </c>
      <c r="D578" s="32"/>
      <c r="E578" s="32" t="s">
        <v>462</v>
      </c>
      <c r="F578" s="32" t="s">
        <v>3416</v>
      </c>
    </row>
    <row r="579" spans="1:6" ht="69.95" customHeight="1">
      <c r="A579" s="32" t="s">
        <v>1339</v>
      </c>
      <c r="B579" s="32" t="s">
        <v>3417</v>
      </c>
      <c r="C579" s="32" t="s">
        <v>94</v>
      </c>
      <c r="D579" s="32"/>
      <c r="E579" s="32" t="s">
        <v>141</v>
      </c>
      <c r="F579" s="32" t="s">
        <v>3416</v>
      </c>
    </row>
    <row r="580" spans="1:6" ht="69.95" customHeight="1">
      <c r="A580" s="32" t="s">
        <v>1339</v>
      </c>
      <c r="B580" s="32" t="s">
        <v>3418</v>
      </c>
      <c r="C580" s="32" t="s">
        <v>96</v>
      </c>
      <c r="D580" s="32"/>
      <c r="E580" s="32" t="s">
        <v>142</v>
      </c>
      <c r="F580" s="32" t="s">
        <v>3416</v>
      </c>
    </row>
    <row r="581" spans="1:6" ht="69.95" customHeight="1">
      <c r="A581" s="32" t="s">
        <v>1327</v>
      </c>
      <c r="B581" s="32" t="s">
        <v>3419</v>
      </c>
      <c r="C581" s="32" t="s">
        <v>65</v>
      </c>
      <c r="D581" s="32" t="s">
        <v>1428</v>
      </c>
      <c r="E581" s="32" t="s">
        <v>1347</v>
      </c>
      <c r="F581" s="32" t="s">
        <v>3420</v>
      </c>
    </row>
    <row r="582" spans="1:6" ht="69.95" customHeight="1">
      <c r="A582" s="32" t="s">
        <v>1327</v>
      </c>
      <c r="B582" s="32" t="s">
        <v>3421</v>
      </c>
      <c r="C582" s="32" t="s">
        <v>66</v>
      </c>
      <c r="D582" s="32" t="s">
        <v>1429</v>
      </c>
      <c r="E582" s="32"/>
      <c r="F582" s="32" t="s">
        <v>3420</v>
      </c>
    </row>
    <row r="583" spans="1:6" ht="69.95" customHeight="1">
      <c r="A583" s="32" t="s">
        <v>1327</v>
      </c>
      <c r="B583" s="32" t="s">
        <v>3415</v>
      </c>
      <c r="C583" s="32" t="s">
        <v>93</v>
      </c>
      <c r="D583" s="32"/>
      <c r="E583" s="32" t="s">
        <v>462</v>
      </c>
      <c r="F583" s="32" t="s">
        <v>3416</v>
      </c>
    </row>
    <row r="584" spans="1:6" ht="69.95" customHeight="1">
      <c r="A584" s="32" t="s">
        <v>1327</v>
      </c>
      <c r="B584" s="32" t="s">
        <v>3417</v>
      </c>
      <c r="C584" s="32" t="s">
        <v>94</v>
      </c>
      <c r="D584" s="32"/>
      <c r="E584" s="32" t="s">
        <v>141</v>
      </c>
      <c r="F584" s="32" t="s">
        <v>3416</v>
      </c>
    </row>
    <row r="585" spans="1:6" ht="69.95" customHeight="1">
      <c r="A585" s="32" t="s">
        <v>1327</v>
      </c>
      <c r="B585" s="32" t="s">
        <v>3418</v>
      </c>
      <c r="C585" s="32" t="s">
        <v>96</v>
      </c>
      <c r="D585" s="32"/>
      <c r="E585" s="32" t="s">
        <v>142</v>
      </c>
      <c r="F585" s="32" t="s">
        <v>3416</v>
      </c>
    </row>
    <row r="586" spans="1:6" ht="69.95" customHeight="1">
      <c r="A586" s="32" t="s">
        <v>1349</v>
      </c>
      <c r="B586" s="32" t="s">
        <v>3419</v>
      </c>
      <c r="C586" s="32" t="s">
        <v>65</v>
      </c>
      <c r="D586" s="32" t="s">
        <v>1437</v>
      </c>
      <c r="E586" s="32" t="s">
        <v>1354</v>
      </c>
      <c r="F586" s="32" t="s">
        <v>3420</v>
      </c>
    </row>
    <row r="587" spans="1:6" ht="69.95" customHeight="1">
      <c r="A587" s="32" t="s">
        <v>1349</v>
      </c>
      <c r="B587" s="32" t="s">
        <v>3421</v>
      </c>
      <c r="C587" s="32" t="s">
        <v>66</v>
      </c>
      <c r="D587" s="32" t="s">
        <v>1248</v>
      </c>
      <c r="E587" s="32" t="s">
        <v>1154</v>
      </c>
      <c r="F587" s="32" t="s">
        <v>3420</v>
      </c>
    </row>
    <row r="588" spans="1:6" ht="69.95" customHeight="1">
      <c r="A588" s="32" t="s">
        <v>1349</v>
      </c>
      <c r="B588" s="32" t="s">
        <v>3415</v>
      </c>
      <c r="C588" s="32" t="s">
        <v>93</v>
      </c>
      <c r="D588" s="32"/>
      <c r="E588" s="32" t="s">
        <v>462</v>
      </c>
      <c r="F588" s="32" t="s">
        <v>3416</v>
      </c>
    </row>
    <row r="589" spans="1:6" ht="69.95" customHeight="1">
      <c r="A589" s="32" t="s">
        <v>1349</v>
      </c>
      <c r="B589" s="32" t="s">
        <v>3417</v>
      </c>
      <c r="C589" s="32" t="s">
        <v>94</v>
      </c>
      <c r="D589" s="32"/>
      <c r="E589" s="32" t="s">
        <v>141</v>
      </c>
      <c r="F589" s="32" t="s">
        <v>3416</v>
      </c>
    </row>
    <row r="590" spans="1:6" ht="69.95" customHeight="1">
      <c r="A590" s="32" t="s">
        <v>1349</v>
      </c>
      <c r="B590" s="32" t="s">
        <v>3418</v>
      </c>
      <c r="C590" s="32" t="s">
        <v>96</v>
      </c>
      <c r="D590" s="32"/>
      <c r="E590" s="32" t="s">
        <v>142</v>
      </c>
      <c r="F590" s="32" t="s">
        <v>3416</v>
      </c>
    </row>
    <row r="591" spans="1:6" ht="69.95" customHeight="1">
      <c r="A591" s="32" t="s">
        <v>1356</v>
      </c>
      <c r="B591" s="32" t="s">
        <v>3419</v>
      </c>
      <c r="C591" s="32" t="s">
        <v>65</v>
      </c>
      <c r="D591" s="32" t="s">
        <v>2921</v>
      </c>
      <c r="E591" s="32" t="s">
        <v>1362</v>
      </c>
      <c r="F591" s="32" t="s">
        <v>3420</v>
      </c>
    </row>
    <row r="592" spans="1:6" ht="69.95" customHeight="1">
      <c r="A592" s="32" t="s">
        <v>1356</v>
      </c>
      <c r="B592" s="32" t="s">
        <v>3421</v>
      </c>
      <c r="C592" s="32" t="s">
        <v>66</v>
      </c>
      <c r="D592" s="32" t="s">
        <v>1447</v>
      </c>
      <c r="E592" s="32" t="s">
        <v>1154</v>
      </c>
      <c r="F592" s="32" t="s">
        <v>3420</v>
      </c>
    </row>
    <row r="593" spans="1:6" ht="69.95" customHeight="1">
      <c r="A593" s="32" t="s">
        <v>1356</v>
      </c>
      <c r="B593" s="32" t="s">
        <v>3415</v>
      </c>
      <c r="C593" s="32" t="s">
        <v>93</v>
      </c>
      <c r="D593" s="32"/>
      <c r="E593" s="32" t="s">
        <v>462</v>
      </c>
      <c r="F593" s="32" t="s">
        <v>3416</v>
      </c>
    </row>
    <row r="594" spans="1:6" ht="69.95" customHeight="1">
      <c r="A594" s="32" t="s">
        <v>1356</v>
      </c>
      <c r="B594" s="32" t="s">
        <v>3417</v>
      </c>
      <c r="C594" s="32" t="s">
        <v>94</v>
      </c>
      <c r="D594" s="32"/>
      <c r="E594" s="32" t="s">
        <v>141</v>
      </c>
      <c r="F594" s="32" t="s">
        <v>3416</v>
      </c>
    </row>
    <row r="595" spans="1:6" ht="69.95" customHeight="1">
      <c r="A595" s="32" t="s">
        <v>1356</v>
      </c>
      <c r="B595" s="32" t="s">
        <v>3418</v>
      </c>
      <c r="C595" s="32" t="s">
        <v>96</v>
      </c>
      <c r="D595" s="32"/>
      <c r="E595" s="32" t="s">
        <v>142</v>
      </c>
      <c r="F595" s="32" t="s">
        <v>3416</v>
      </c>
    </row>
    <row r="596" spans="1:6" ht="69.95" customHeight="1">
      <c r="A596" s="32" t="s">
        <v>1367</v>
      </c>
      <c r="B596" s="32" t="s">
        <v>3419</v>
      </c>
      <c r="C596" s="32" t="s">
        <v>65</v>
      </c>
      <c r="D596" s="32" t="s">
        <v>1470</v>
      </c>
      <c r="E596" s="32" t="s">
        <v>1372</v>
      </c>
      <c r="F596" s="32" t="s">
        <v>3420</v>
      </c>
    </row>
    <row r="597" spans="1:6" ht="69.95" customHeight="1">
      <c r="A597" s="32" t="s">
        <v>1367</v>
      </c>
      <c r="B597" s="32" t="s">
        <v>3421</v>
      </c>
      <c r="C597" s="32" t="s">
        <v>66</v>
      </c>
      <c r="D597" s="32" t="s">
        <v>1471</v>
      </c>
      <c r="E597" s="32" t="s">
        <v>1373</v>
      </c>
      <c r="F597" s="32" t="s">
        <v>3420</v>
      </c>
    </row>
    <row r="598" spans="1:6" ht="69.95" customHeight="1">
      <c r="A598" s="32" t="s">
        <v>1367</v>
      </c>
      <c r="B598" s="32" t="s">
        <v>3415</v>
      </c>
      <c r="C598" s="32" t="s">
        <v>93</v>
      </c>
      <c r="D598" s="32"/>
      <c r="E598" s="32" t="s">
        <v>462</v>
      </c>
      <c r="F598" s="32" t="s">
        <v>3416</v>
      </c>
    </row>
    <row r="599" spans="1:6" ht="69.95" customHeight="1">
      <c r="A599" s="32" t="s">
        <v>1367</v>
      </c>
      <c r="B599" s="32" t="s">
        <v>3417</v>
      </c>
      <c r="C599" s="32" t="s">
        <v>94</v>
      </c>
      <c r="D599" s="32"/>
      <c r="E599" s="32" t="s">
        <v>141</v>
      </c>
      <c r="F599" s="32" t="s">
        <v>3416</v>
      </c>
    </row>
    <row r="600" spans="1:6" ht="69.95" customHeight="1">
      <c r="A600" s="32" t="s">
        <v>1367</v>
      </c>
      <c r="B600" s="32" t="s">
        <v>3418</v>
      </c>
      <c r="C600" s="32" t="s">
        <v>96</v>
      </c>
      <c r="D600" s="32"/>
      <c r="E600" s="32" t="s">
        <v>142</v>
      </c>
      <c r="F600" s="32" t="s">
        <v>3416</v>
      </c>
    </row>
    <row r="601" spans="1:6" ht="69.95" customHeight="1">
      <c r="A601" s="32" t="s">
        <v>1377</v>
      </c>
      <c r="B601" s="32" t="s">
        <v>3419</v>
      </c>
      <c r="C601" s="32" t="s">
        <v>65</v>
      </c>
      <c r="D601" s="32" t="s">
        <v>1483</v>
      </c>
      <c r="E601" s="32" t="s">
        <v>1382</v>
      </c>
      <c r="F601" s="32" t="s">
        <v>3420</v>
      </c>
    </row>
    <row r="602" spans="1:6" ht="69.95" customHeight="1">
      <c r="A602" s="32" t="s">
        <v>1377</v>
      </c>
      <c r="B602" s="32" t="s">
        <v>3421</v>
      </c>
      <c r="C602" s="32" t="s">
        <v>66</v>
      </c>
      <c r="D602" s="32" t="s">
        <v>1484</v>
      </c>
      <c r="E602" s="32" t="s">
        <v>1154</v>
      </c>
      <c r="F602" s="32" t="s">
        <v>3420</v>
      </c>
    </row>
    <row r="603" spans="1:6" ht="69.95" customHeight="1">
      <c r="A603" s="32" t="s">
        <v>1377</v>
      </c>
      <c r="B603" s="32" t="s">
        <v>3415</v>
      </c>
      <c r="C603" s="32" t="s">
        <v>93</v>
      </c>
      <c r="D603" s="32"/>
      <c r="E603" s="32" t="s">
        <v>462</v>
      </c>
      <c r="F603" s="32" t="s">
        <v>3416</v>
      </c>
    </row>
    <row r="604" spans="1:6" ht="69.95" customHeight="1">
      <c r="A604" s="32" t="s">
        <v>1377</v>
      </c>
      <c r="B604" s="32" t="s">
        <v>3417</v>
      </c>
      <c r="C604" s="32" t="s">
        <v>94</v>
      </c>
      <c r="D604" s="32"/>
      <c r="E604" s="32" t="s">
        <v>141</v>
      </c>
      <c r="F604" s="32" t="s">
        <v>3416</v>
      </c>
    </row>
    <row r="605" spans="1:6" ht="69.95" customHeight="1">
      <c r="A605" s="32" t="s">
        <v>1377</v>
      </c>
      <c r="B605" s="32" t="s">
        <v>3418</v>
      </c>
      <c r="C605" s="32" t="s">
        <v>96</v>
      </c>
      <c r="D605" s="32"/>
      <c r="E605" s="32" t="s">
        <v>142</v>
      </c>
      <c r="F605" s="32" t="s">
        <v>3416</v>
      </c>
    </row>
    <row r="606" spans="1:6" ht="69.95" customHeight="1">
      <c r="A606" s="32" t="s">
        <v>1384</v>
      </c>
      <c r="B606" s="32" t="s">
        <v>3419</v>
      </c>
      <c r="C606" s="32" t="s">
        <v>65</v>
      </c>
      <c r="D606" s="32" t="s">
        <v>1483</v>
      </c>
      <c r="E606" s="32" t="s">
        <v>1389</v>
      </c>
      <c r="F606" s="32" t="s">
        <v>3420</v>
      </c>
    </row>
    <row r="607" spans="1:6" ht="69.95" customHeight="1">
      <c r="A607" s="32" t="s">
        <v>1384</v>
      </c>
      <c r="B607" s="32" t="s">
        <v>3421</v>
      </c>
      <c r="C607" s="32" t="s">
        <v>66</v>
      </c>
      <c r="D607" s="32" t="s">
        <v>1492</v>
      </c>
      <c r="E607" s="32" t="s">
        <v>1154</v>
      </c>
      <c r="F607" s="32" t="s">
        <v>3420</v>
      </c>
    </row>
    <row r="608" spans="1:6" ht="69.95" customHeight="1">
      <c r="A608" s="32" t="s">
        <v>1384</v>
      </c>
      <c r="B608" s="32" t="s">
        <v>3415</v>
      </c>
      <c r="C608" s="32" t="s">
        <v>93</v>
      </c>
      <c r="D608" s="32"/>
      <c r="E608" s="32" t="s">
        <v>462</v>
      </c>
      <c r="F608" s="32" t="s">
        <v>3416</v>
      </c>
    </row>
    <row r="609" spans="1:6" ht="69.95" customHeight="1">
      <c r="A609" s="32" t="s">
        <v>1384</v>
      </c>
      <c r="B609" s="32" t="s">
        <v>3417</v>
      </c>
      <c r="C609" s="32" t="s">
        <v>94</v>
      </c>
      <c r="D609" s="32"/>
      <c r="E609" s="32" t="s">
        <v>141</v>
      </c>
      <c r="F609" s="32" t="s">
        <v>3416</v>
      </c>
    </row>
    <row r="610" spans="1:6" ht="69.95" customHeight="1">
      <c r="A610" s="32" t="s">
        <v>1384</v>
      </c>
      <c r="B610" s="32" t="s">
        <v>3418</v>
      </c>
      <c r="C610" s="32" t="s">
        <v>96</v>
      </c>
      <c r="D610" s="32"/>
      <c r="E610" s="32" t="s">
        <v>142</v>
      </c>
      <c r="F610" s="32" t="s">
        <v>3416</v>
      </c>
    </row>
    <row r="611" spans="1:6" ht="69.95" customHeight="1">
      <c r="A611" s="32" t="s">
        <v>1393</v>
      </c>
      <c r="B611" s="32" t="s">
        <v>3419</v>
      </c>
      <c r="C611" s="32" t="s">
        <v>65</v>
      </c>
      <c r="D611" s="32" t="s">
        <v>1498</v>
      </c>
      <c r="E611" s="32"/>
      <c r="F611" s="32" t="s">
        <v>3420</v>
      </c>
    </row>
    <row r="612" spans="1:6" ht="69.95" customHeight="1">
      <c r="A612" s="32" t="s">
        <v>1393</v>
      </c>
      <c r="B612" s="32" t="s">
        <v>3421</v>
      </c>
      <c r="C612" s="32" t="s">
        <v>66</v>
      </c>
      <c r="D612" s="32" t="s">
        <v>1499</v>
      </c>
      <c r="E612" s="32"/>
      <c r="F612" s="32" t="s">
        <v>3420</v>
      </c>
    </row>
    <row r="613" spans="1:6" ht="69.95" customHeight="1">
      <c r="A613" s="32" t="s">
        <v>1393</v>
      </c>
      <c r="B613" s="32" t="s">
        <v>3415</v>
      </c>
      <c r="C613" s="32" t="s">
        <v>93</v>
      </c>
      <c r="D613" s="32"/>
      <c r="E613" s="32" t="s">
        <v>462</v>
      </c>
      <c r="F613" s="32" t="s">
        <v>3416</v>
      </c>
    </row>
    <row r="614" spans="1:6" ht="69.95" customHeight="1">
      <c r="A614" s="32" t="s">
        <v>1393</v>
      </c>
      <c r="B614" s="32" t="s">
        <v>3417</v>
      </c>
      <c r="C614" s="32" t="s">
        <v>94</v>
      </c>
      <c r="D614" s="32"/>
      <c r="E614" s="32" t="s">
        <v>141</v>
      </c>
      <c r="F614" s="32" t="s">
        <v>3416</v>
      </c>
    </row>
    <row r="615" spans="1:6" ht="69.95" customHeight="1">
      <c r="A615" s="32" t="s">
        <v>1393</v>
      </c>
      <c r="B615" s="32" t="s">
        <v>3418</v>
      </c>
      <c r="C615" s="32" t="s">
        <v>96</v>
      </c>
      <c r="D615" s="32"/>
      <c r="E615" s="32" t="s">
        <v>142</v>
      </c>
      <c r="F615" s="32" t="s">
        <v>3416</v>
      </c>
    </row>
    <row r="616" spans="1:6" ht="69.95" customHeight="1">
      <c r="A616" s="32" t="s">
        <v>1402</v>
      </c>
      <c r="B616" s="32" t="s">
        <v>3419</v>
      </c>
      <c r="C616" s="32" t="s">
        <v>65</v>
      </c>
      <c r="D616" s="32" t="s">
        <v>1493</v>
      </c>
      <c r="E616" s="32"/>
      <c r="F616" s="32" t="s">
        <v>3420</v>
      </c>
    </row>
    <row r="617" spans="1:6" ht="69.95" customHeight="1">
      <c r="A617" s="32" t="s">
        <v>1402</v>
      </c>
      <c r="B617" s="32" t="s">
        <v>3421</v>
      </c>
      <c r="C617" s="32" t="s">
        <v>66</v>
      </c>
      <c r="D617" s="32" t="s">
        <v>1507</v>
      </c>
      <c r="E617" s="32"/>
      <c r="F617" s="32" t="s">
        <v>3420</v>
      </c>
    </row>
    <row r="618" spans="1:6" ht="69.95" customHeight="1">
      <c r="A618" s="32" t="s">
        <v>1402</v>
      </c>
      <c r="B618" s="32" t="s">
        <v>3415</v>
      </c>
      <c r="C618" s="32" t="s">
        <v>93</v>
      </c>
      <c r="D618" s="32"/>
      <c r="E618" s="32" t="s">
        <v>462</v>
      </c>
      <c r="F618" s="32" t="s">
        <v>3416</v>
      </c>
    </row>
    <row r="619" spans="1:6" ht="69.95" customHeight="1">
      <c r="A619" s="32" t="s">
        <v>1402</v>
      </c>
      <c r="B619" s="32" t="s">
        <v>3417</v>
      </c>
      <c r="C619" s="32" t="s">
        <v>94</v>
      </c>
      <c r="D619" s="32"/>
      <c r="E619" s="32" t="s">
        <v>141</v>
      </c>
      <c r="F619" s="32" t="s">
        <v>3416</v>
      </c>
    </row>
    <row r="620" spans="1:6" ht="69.95" customHeight="1">
      <c r="A620" s="32" t="s">
        <v>1402</v>
      </c>
      <c r="B620" s="32" t="s">
        <v>3418</v>
      </c>
      <c r="C620" s="32" t="s">
        <v>96</v>
      </c>
      <c r="D620" s="32"/>
      <c r="E620" s="32" t="s">
        <v>142</v>
      </c>
      <c r="F620" s="32" t="s">
        <v>3416</v>
      </c>
    </row>
    <row r="621" spans="1:6" ht="69.95" customHeight="1">
      <c r="A621" s="32" t="s">
        <v>1411</v>
      </c>
      <c r="B621" s="32" t="s">
        <v>3419</v>
      </c>
      <c r="C621" s="32" t="s">
        <v>65</v>
      </c>
      <c r="D621" s="32" t="s">
        <v>1512</v>
      </c>
      <c r="E621" s="32" t="s">
        <v>1416</v>
      </c>
      <c r="F621" s="32" t="s">
        <v>3420</v>
      </c>
    </row>
    <row r="622" spans="1:6" ht="69.95" customHeight="1">
      <c r="A622" s="32" t="s">
        <v>1411</v>
      </c>
      <c r="B622" s="32" t="s">
        <v>3421</v>
      </c>
      <c r="C622" s="32" t="s">
        <v>66</v>
      </c>
      <c r="D622" s="32" t="s">
        <v>1513</v>
      </c>
      <c r="E622" s="32" t="s">
        <v>1417</v>
      </c>
      <c r="F622" s="32" t="s">
        <v>3420</v>
      </c>
    </row>
    <row r="623" spans="1:6" ht="69.95" customHeight="1">
      <c r="A623" s="32" t="s">
        <v>1411</v>
      </c>
      <c r="B623" s="32" t="s">
        <v>3415</v>
      </c>
      <c r="C623" s="32" t="s">
        <v>93</v>
      </c>
      <c r="D623" s="32"/>
      <c r="E623" s="32" t="s">
        <v>462</v>
      </c>
      <c r="F623" s="32" t="s">
        <v>3416</v>
      </c>
    </row>
    <row r="624" spans="1:6" ht="69.95" customHeight="1">
      <c r="A624" s="32" t="s">
        <v>1411</v>
      </c>
      <c r="B624" s="32" t="s">
        <v>3417</v>
      </c>
      <c r="C624" s="32" t="s">
        <v>94</v>
      </c>
      <c r="D624" s="32"/>
      <c r="E624" s="32" t="s">
        <v>141</v>
      </c>
      <c r="F624" s="32" t="s">
        <v>3416</v>
      </c>
    </row>
    <row r="625" spans="1:6" ht="69.95" customHeight="1">
      <c r="A625" s="32" t="s">
        <v>1411</v>
      </c>
      <c r="B625" s="32" t="s">
        <v>3418</v>
      </c>
      <c r="C625" s="32" t="s">
        <v>96</v>
      </c>
      <c r="D625" s="32"/>
      <c r="E625" s="32" t="s">
        <v>142</v>
      </c>
      <c r="F625" s="32" t="s">
        <v>3416</v>
      </c>
    </row>
    <row r="626" spans="1:6" ht="69.95" customHeight="1">
      <c r="A626" s="32" t="s">
        <v>1423</v>
      </c>
      <c r="B626" s="32" t="s">
        <v>3419</v>
      </c>
      <c r="C626" s="32" t="s">
        <v>65</v>
      </c>
      <c r="D626" s="32" t="s">
        <v>1519</v>
      </c>
      <c r="E626" s="32" t="s">
        <v>1428</v>
      </c>
      <c r="F626" s="32" t="s">
        <v>3420</v>
      </c>
    </row>
    <row r="627" spans="1:6" ht="69.95" customHeight="1">
      <c r="A627" s="32" t="s">
        <v>1423</v>
      </c>
      <c r="B627" s="32" t="s">
        <v>3421</v>
      </c>
      <c r="C627" s="32" t="s">
        <v>66</v>
      </c>
      <c r="D627" s="32" t="s">
        <v>1520</v>
      </c>
      <c r="E627" s="32" t="s">
        <v>1429</v>
      </c>
      <c r="F627" s="32" t="s">
        <v>3420</v>
      </c>
    </row>
    <row r="628" spans="1:6" ht="69.95" customHeight="1">
      <c r="A628" s="32" t="s">
        <v>1423</v>
      </c>
      <c r="B628" s="32" t="s">
        <v>3415</v>
      </c>
      <c r="C628" s="32" t="s">
        <v>93</v>
      </c>
      <c r="D628" s="32"/>
      <c r="E628" s="32" t="s">
        <v>462</v>
      </c>
      <c r="F628" s="32" t="s">
        <v>3416</v>
      </c>
    </row>
    <row r="629" spans="1:6" ht="69.95" customHeight="1">
      <c r="A629" s="32" t="s">
        <v>1423</v>
      </c>
      <c r="B629" s="32" t="s">
        <v>3417</v>
      </c>
      <c r="C629" s="32" t="s">
        <v>94</v>
      </c>
      <c r="D629" s="32"/>
      <c r="E629" s="32" t="s">
        <v>141</v>
      </c>
      <c r="F629" s="32" t="s">
        <v>3416</v>
      </c>
    </row>
    <row r="630" spans="1:6" ht="69.95" customHeight="1">
      <c r="A630" s="32" t="s">
        <v>1423</v>
      </c>
      <c r="B630" s="32" t="s">
        <v>3418</v>
      </c>
      <c r="C630" s="32" t="s">
        <v>96</v>
      </c>
      <c r="D630" s="32"/>
      <c r="E630" s="32" t="s">
        <v>142</v>
      </c>
      <c r="F630" s="32" t="s">
        <v>3416</v>
      </c>
    </row>
    <row r="631" spans="1:6" ht="69.95" customHeight="1">
      <c r="A631" s="32" t="s">
        <v>1429</v>
      </c>
      <c r="B631" s="32" t="s">
        <v>3419</v>
      </c>
      <c r="C631" s="32" t="s">
        <v>65</v>
      </c>
      <c r="D631" s="32" t="s">
        <v>1526</v>
      </c>
      <c r="E631" s="32" t="s">
        <v>1437</v>
      </c>
      <c r="F631" s="32" t="s">
        <v>3420</v>
      </c>
    </row>
    <row r="632" spans="1:6" ht="69.95" customHeight="1">
      <c r="A632" s="32" t="s">
        <v>1429</v>
      </c>
      <c r="B632" s="32" t="s">
        <v>3421</v>
      </c>
      <c r="C632" s="32" t="s">
        <v>66</v>
      </c>
      <c r="D632" s="32" t="s">
        <v>1527</v>
      </c>
      <c r="E632" s="32" t="s">
        <v>1248</v>
      </c>
      <c r="F632" s="32" t="s">
        <v>3420</v>
      </c>
    </row>
    <row r="633" spans="1:6" ht="69.95" customHeight="1">
      <c r="A633" s="32" t="s">
        <v>1429</v>
      </c>
      <c r="B633" s="32" t="s">
        <v>3415</v>
      </c>
      <c r="C633" s="32" t="s">
        <v>93</v>
      </c>
      <c r="D633" s="32"/>
      <c r="E633" s="32" t="s">
        <v>462</v>
      </c>
      <c r="F633" s="32" t="s">
        <v>3416</v>
      </c>
    </row>
    <row r="634" spans="1:6" ht="69.95" customHeight="1">
      <c r="A634" s="32" t="s">
        <v>1429</v>
      </c>
      <c r="B634" s="32" t="s">
        <v>3417</v>
      </c>
      <c r="C634" s="32" t="s">
        <v>94</v>
      </c>
      <c r="D634" s="32"/>
      <c r="E634" s="32" t="s">
        <v>141</v>
      </c>
      <c r="F634" s="32" t="s">
        <v>3416</v>
      </c>
    </row>
    <row r="635" spans="1:6" ht="69.95" customHeight="1">
      <c r="A635" s="32" t="s">
        <v>1429</v>
      </c>
      <c r="B635" s="32" t="s">
        <v>3418</v>
      </c>
      <c r="C635" s="32" t="s">
        <v>96</v>
      </c>
      <c r="D635" s="32"/>
      <c r="E635" s="32" t="s">
        <v>142</v>
      </c>
      <c r="F635" s="32" t="s">
        <v>3416</v>
      </c>
    </row>
    <row r="636" spans="1:6" ht="69.95" customHeight="1">
      <c r="A636" s="32" t="s">
        <v>812</v>
      </c>
      <c r="B636" s="32" t="s">
        <v>3419</v>
      </c>
      <c r="C636" s="32" t="s">
        <v>65</v>
      </c>
      <c r="D636" s="32" t="s">
        <v>1533</v>
      </c>
      <c r="E636" s="32" t="s">
        <v>2921</v>
      </c>
      <c r="F636" s="32" t="s">
        <v>3420</v>
      </c>
    </row>
    <row r="637" spans="1:6" ht="69.95" customHeight="1">
      <c r="A637" s="32" t="s">
        <v>812</v>
      </c>
      <c r="B637" s="32" t="s">
        <v>3421</v>
      </c>
      <c r="C637" s="32" t="s">
        <v>66</v>
      </c>
      <c r="D637" s="32"/>
      <c r="E637" s="32" t="s">
        <v>1447</v>
      </c>
      <c r="F637" s="32" t="s">
        <v>3420</v>
      </c>
    </row>
    <row r="638" spans="1:6" ht="69.95" customHeight="1">
      <c r="A638" s="32" t="s">
        <v>812</v>
      </c>
      <c r="B638" s="32" t="s">
        <v>3415</v>
      </c>
      <c r="C638" s="32" t="s">
        <v>93</v>
      </c>
      <c r="D638" s="32"/>
      <c r="E638" s="32" t="s">
        <v>462</v>
      </c>
      <c r="F638" s="32" t="s">
        <v>3416</v>
      </c>
    </row>
    <row r="639" spans="1:6" ht="69.95" customHeight="1">
      <c r="A639" s="32" t="s">
        <v>812</v>
      </c>
      <c r="B639" s="32" t="s">
        <v>3417</v>
      </c>
      <c r="C639" s="32" t="s">
        <v>94</v>
      </c>
      <c r="D639" s="32"/>
      <c r="E639" s="32" t="s">
        <v>141</v>
      </c>
      <c r="F639" s="32" t="s">
        <v>3416</v>
      </c>
    </row>
    <row r="640" spans="1:6" ht="69.95" customHeight="1">
      <c r="A640" s="32" t="s">
        <v>812</v>
      </c>
      <c r="B640" s="32" t="s">
        <v>3418</v>
      </c>
      <c r="C640" s="32" t="s">
        <v>96</v>
      </c>
      <c r="D640" s="32"/>
      <c r="E640" s="32" t="s">
        <v>142</v>
      </c>
      <c r="F640" s="32" t="s">
        <v>3416</v>
      </c>
    </row>
    <row r="641" spans="1:6" ht="69.95" customHeight="1">
      <c r="A641" s="32" t="s">
        <v>1455</v>
      </c>
      <c r="B641" s="32" t="s">
        <v>3419</v>
      </c>
      <c r="C641" s="32" t="s">
        <v>65</v>
      </c>
      <c r="D641" s="32" t="s">
        <v>1540</v>
      </c>
      <c r="E641" s="32" t="s">
        <v>1459</v>
      </c>
      <c r="F641" s="32" t="s">
        <v>3420</v>
      </c>
    </row>
    <row r="642" spans="1:6" ht="69.95" customHeight="1">
      <c r="A642" s="32" t="s">
        <v>1455</v>
      </c>
      <c r="B642" s="32" t="s">
        <v>3421</v>
      </c>
      <c r="C642" s="32" t="s">
        <v>66</v>
      </c>
      <c r="D642" s="32"/>
      <c r="E642" s="32" t="s">
        <v>1248</v>
      </c>
      <c r="F642" s="32" t="s">
        <v>3420</v>
      </c>
    </row>
    <row r="643" spans="1:6" ht="69.95" customHeight="1">
      <c r="A643" s="32" t="s">
        <v>1455</v>
      </c>
      <c r="B643" s="32" t="s">
        <v>3442</v>
      </c>
      <c r="C643" s="32" t="s">
        <v>88</v>
      </c>
      <c r="D643" s="32" t="s">
        <v>3469</v>
      </c>
      <c r="E643" s="32" t="s">
        <v>802</v>
      </c>
      <c r="F643" s="32" t="s">
        <v>3470</v>
      </c>
    </row>
    <row r="644" spans="1:6" ht="69.95" customHeight="1">
      <c r="A644" s="32" t="s">
        <v>1455</v>
      </c>
      <c r="B644" s="32" t="s">
        <v>3415</v>
      </c>
      <c r="C644" s="32" t="s">
        <v>93</v>
      </c>
      <c r="D644" s="32"/>
      <c r="E644" s="32" t="s">
        <v>462</v>
      </c>
      <c r="F644" s="32" t="s">
        <v>3416</v>
      </c>
    </row>
    <row r="645" spans="1:6" ht="69.95" customHeight="1">
      <c r="A645" s="32" t="s">
        <v>1455</v>
      </c>
      <c r="B645" s="32" t="s">
        <v>3417</v>
      </c>
      <c r="C645" s="32" t="s">
        <v>94</v>
      </c>
      <c r="D645" s="32"/>
      <c r="E645" s="32" t="s">
        <v>141</v>
      </c>
      <c r="F645" s="32" t="s">
        <v>3416</v>
      </c>
    </row>
    <row r="646" spans="1:6" ht="69.95" customHeight="1">
      <c r="A646" s="32" t="s">
        <v>1455</v>
      </c>
      <c r="B646" s="32" t="s">
        <v>3418</v>
      </c>
      <c r="C646" s="32" t="s">
        <v>96</v>
      </c>
      <c r="D646" s="32"/>
      <c r="E646" s="32" t="s">
        <v>805</v>
      </c>
      <c r="F646" s="32" t="s">
        <v>3416</v>
      </c>
    </row>
    <row r="647" spans="1:6" ht="69.95" customHeight="1">
      <c r="A647" s="32" t="s">
        <v>1465</v>
      </c>
      <c r="B647" s="32" t="s">
        <v>3419</v>
      </c>
      <c r="C647" s="32" t="s">
        <v>65</v>
      </c>
      <c r="D647" s="32" t="s">
        <v>1547</v>
      </c>
      <c r="E647" s="32" t="s">
        <v>1470</v>
      </c>
      <c r="F647" s="32" t="s">
        <v>3420</v>
      </c>
    </row>
    <row r="648" spans="1:6" ht="69.95" customHeight="1">
      <c r="A648" s="32" t="s">
        <v>1465</v>
      </c>
      <c r="B648" s="32" t="s">
        <v>3421</v>
      </c>
      <c r="C648" s="32" t="s">
        <v>66</v>
      </c>
      <c r="D648" s="32" t="s">
        <v>1548</v>
      </c>
      <c r="E648" s="32" t="s">
        <v>1471</v>
      </c>
      <c r="F648" s="32" t="s">
        <v>3420</v>
      </c>
    </row>
    <row r="649" spans="1:6" ht="69.95" customHeight="1">
      <c r="A649" s="32" t="s">
        <v>1465</v>
      </c>
      <c r="B649" s="32" t="s">
        <v>3415</v>
      </c>
      <c r="C649" s="32" t="s">
        <v>93</v>
      </c>
      <c r="D649" s="32"/>
      <c r="E649" s="32" t="s">
        <v>462</v>
      </c>
      <c r="F649" s="32" t="s">
        <v>3416</v>
      </c>
    </row>
    <row r="650" spans="1:6" ht="69.95" customHeight="1">
      <c r="A650" s="32" t="s">
        <v>1465</v>
      </c>
      <c r="B650" s="32" t="s">
        <v>3417</v>
      </c>
      <c r="C650" s="32" t="s">
        <v>94</v>
      </c>
      <c r="D650" s="32"/>
      <c r="E650" s="32" t="s">
        <v>141</v>
      </c>
      <c r="F650" s="32" t="s">
        <v>3416</v>
      </c>
    </row>
    <row r="651" spans="1:6" ht="69.95" customHeight="1">
      <c r="A651" s="32" t="s">
        <v>1465</v>
      </c>
      <c r="B651" s="32" t="s">
        <v>3418</v>
      </c>
      <c r="C651" s="32" t="s">
        <v>96</v>
      </c>
      <c r="D651" s="32"/>
      <c r="E651" s="32" t="s">
        <v>142</v>
      </c>
      <c r="F651" s="32" t="s">
        <v>3416</v>
      </c>
    </row>
    <row r="652" spans="1:6" ht="69.95" customHeight="1">
      <c r="A652" s="32" t="s">
        <v>1479</v>
      </c>
      <c r="B652" s="32" t="s">
        <v>3419</v>
      </c>
      <c r="C652" s="32" t="s">
        <v>65</v>
      </c>
      <c r="D652" s="32" t="s">
        <v>1554</v>
      </c>
      <c r="E652" s="32" t="s">
        <v>1483</v>
      </c>
      <c r="F652" s="32" t="s">
        <v>3420</v>
      </c>
    </row>
    <row r="653" spans="1:6" ht="69.95" customHeight="1">
      <c r="A653" s="32" t="s">
        <v>1479</v>
      </c>
      <c r="B653" s="32" t="s">
        <v>3421</v>
      </c>
      <c r="C653" s="32" t="s">
        <v>66</v>
      </c>
      <c r="D653" s="32" t="s">
        <v>1555</v>
      </c>
      <c r="E653" s="32" t="s">
        <v>1484</v>
      </c>
      <c r="F653" s="32" t="s">
        <v>3420</v>
      </c>
    </row>
    <row r="654" spans="1:6" ht="69.95" customHeight="1">
      <c r="A654" s="32" t="s">
        <v>1479</v>
      </c>
      <c r="B654" s="32" t="s">
        <v>3415</v>
      </c>
      <c r="C654" s="32" t="s">
        <v>93</v>
      </c>
      <c r="D654" s="32"/>
      <c r="E654" s="32" t="s">
        <v>462</v>
      </c>
      <c r="F654" s="32" t="s">
        <v>3416</v>
      </c>
    </row>
    <row r="655" spans="1:6" ht="69.95" customHeight="1">
      <c r="A655" s="32" t="s">
        <v>1479</v>
      </c>
      <c r="B655" s="32" t="s">
        <v>3417</v>
      </c>
      <c r="C655" s="32" t="s">
        <v>94</v>
      </c>
      <c r="D655" s="32"/>
      <c r="E655" s="32" t="s">
        <v>141</v>
      </c>
      <c r="F655" s="32" t="s">
        <v>3416</v>
      </c>
    </row>
    <row r="656" spans="1:6" ht="69.95" customHeight="1">
      <c r="A656" s="32" t="s">
        <v>1479</v>
      </c>
      <c r="B656" s="32" t="s">
        <v>3418</v>
      </c>
      <c r="C656" s="32" t="s">
        <v>96</v>
      </c>
      <c r="D656" s="32"/>
      <c r="E656" s="32" t="s">
        <v>142</v>
      </c>
      <c r="F656" s="32" t="s">
        <v>3416</v>
      </c>
    </row>
    <row r="657" spans="1:6" ht="69.95" customHeight="1">
      <c r="A657" s="32" t="s">
        <v>1487</v>
      </c>
      <c r="B657" s="32" t="s">
        <v>3419</v>
      </c>
      <c r="C657" s="32" t="s">
        <v>65</v>
      </c>
      <c r="D657" s="32" t="s">
        <v>1561</v>
      </c>
      <c r="E657" s="32" t="s">
        <v>1483</v>
      </c>
      <c r="F657" s="32" t="s">
        <v>3420</v>
      </c>
    </row>
    <row r="658" spans="1:6" ht="69.95" customHeight="1">
      <c r="A658" s="32" t="s">
        <v>1487</v>
      </c>
      <c r="B658" s="32" t="s">
        <v>3421</v>
      </c>
      <c r="C658" s="32" t="s">
        <v>66</v>
      </c>
      <c r="D658" s="32" t="s">
        <v>1562</v>
      </c>
      <c r="E658" s="32" t="s">
        <v>1492</v>
      </c>
      <c r="F658" s="32" t="s">
        <v>3420</v>
      </c>
    </row>
    <row r="659" spans="1:6" ht="69.95" customHeight="1">
      <c r="A659" s="32" t="s">
        <v>1487</v>
      </c>
      <c r="B659" s="32" t="s">
        <v>3415</v>
      </c>
      <c r="C659" s="32" t="s">
        <v>93</v>
      </c>
      <c r="D659" s="32"/>
      <c r="E659" s="32" t="s">
        <v>462</v>
      </c>
      <c r="F659" s="32" t="s">
        <v>3416</v>
      </c>
    </row>
    <row r="660" spans="1:6" ht="69.95" customHeight="1">
      <c r="A660" s="32" t="s">
        <v>1487</v>
      </c>
      <c r="B660" s="32" t="s">
        <v>3417</v>
      </c>
      <c r="C660" s="32" t="s">
        <v>94</v>
      </c>
      <c r="D660" s="32"/>
      <c r="E660" s="32" t="s">
        <v>141</v>
      </c>
      <c r="F660" s="32" t="s">
        <v>3416</v>
      </c>
    </row>
    <row r="661" spans="1:6" ht="69.95" customHeight="1">
      <c r="A661" s="32" t="s">
        <v>1487</v>
      </c>
      <c r="B661" s="32" t="s">
        <v>3418</v>
      </c>
      <c r="C661" s="32" t="s">
        <v>96</v>
      </c>
      <c r="D661" s="32"/>
      <c r="E661" s="32" t="s">
        <v>142</v>
      </c>
      <c r="F661" s="32" t="s">
        <v>3416</v>
      </c>
    </row>
    <row r="662" spans="1:6" ht="69.95" customHeight="1">
      <c r="A662" s="32" t="s">
        <v>1493</v>
      </c>
      <c r="B662" s="32" t="s">
        <v>3419</v>
      </c>
      <c r="C662" s="32" t="s">
        <v>65</v>
      </c>
      <c r="D662" s="32" t="s">
        <v>1568</v>
      </c>
      <c r="E662" s="32" t="s">
        <v>1498</v>
      </c>
      <c r="F662" s="32" t="s">
        <v>3420</v>
      </c>
    </row>
    <row r="663" spans="1:6" ht="69.95" customHeight="1">
      <c r="A663" s="32" t="s">
        <v>1493</v>
      </c>
      <c r="B663" s="32" t="s">
        <v>3421</v>
      </c>
      <c r="C663" s="32" t="s">
        <v>66</v>
      </c>
      <c r="D663" s="32" t="s">
        <v>1569</v>
      </c>
      <c r="E663" s="32" t="s">
        <v>1499</v>
      </c>
      <c r="F663" s="32" t="s">
        <v>3420</v>
      </c>
    </row>
    <row r="664" spans="1:6" ht="69.95" customHeight="1">
      <c r="A664" s="32" t="s">
        <v>1493</v>
      </c>
      <c r="B664" s="32" t="s">
        <v>3415</v>
      </c>
      <c r="C664" s="32" t="s">
        <v>93</v>
      </c>
      <c r="D664" s="32"/>
      <c r="E664" s="32" t="s">
        <v>462</v>
      </c>
      <c r="F664" s="32" t="s">
        <v>3416</v>
      </c>
    </row>
    <row r="665" spans="1:6" ht="69.95" customHeight="1">
      <c r="A665" s="32" t="s">
        <v>1493</v>
      </c>
      <c r="B665" s="32" t="s">
        <v>3417</v>
      </c>
      <c r="C665" s="32" t="s">
        <v>94</v>
      </c>
      <c r="D665" s="32"/>
      <c r="E665" s="32" t="s">
        <v>141</v>
      </c>
      <c r="F665" s="32" t="s">
        <v>3416</v>
      </c>
    </row>
    <row r="666" spans="1:6" ht="69.95" customHeight="1">
      <c r="A666" s="32" t="s">
        <v>1493</v>
      </c>
      <c r="B666" s="32" t="s">
        <v>3418</v>
      </c>
      <c r="C666" s="32" t="s">
        <v>96</v>
      </c>
      <c r="D666" s="32"/>
      <c r="E666" s="32" t="s">
        <v>142</v>
      </c>
      <c r="F666" s="32" t="s">
        <v>3416</v>
      </c>
    </row>
    <row r="667" spans="1:6" ht="69.95" customHeight="1">
      <c r="A667" s="32" t="s">
        <v>1503</v>
      </c>
      <c r="B667" s="32" t="s">
        <v>3419</v>
      </c>
      <c r="C667" s="32" t="s">
        <v>65</v>
      </c>
      <c r="D667" s="32" t="s">
        <v>1574</v>
      </c>
      <c r="E667" s="32" t="s">
        <v>1493</v>
      </c>
      <c r="F667" s="32" t="s">
        <v>3420</v>
      </c>
    </row>
    <row r="668" spans="1:6" ht="69.95" customHeight="1">
      <c r="A668" s="32" t="s">
        <v>1503</v>
      </c>
      <c r="B668" s="32" t="s">
        <v>3421</v>
      </c>
      <c r="C668" s="32" t="s">
        <v>66</v>
      </c>
      <c r="D668" s="32" t="s">
        <v>1575</v>
      </c>
      <c r="E668" s="32" t="s">
        <v>1507</v>
      </c>
      <c r="F668" s="32" t="s">
        <v>3420</v>
      </c>
    </row>
    <row r="669" spans="1:6" ht="69.95" customHeight="1">
      <c r="A669" s="32" t="s">
        <v>1503</v>
      </c>
      <c r="B669" s="32" t="s">
        <v>3415</v>
      </c>
      <c r="C669" s="32" t="s">
        <v>93</v>
      </c>
      <c r="D669" s="32"/>
      <c r="E669" s="32" t="s">
        <v>462</v>
      </c>
      <c r="F669" s="32" t="s">
        <v>3416</v>
      </c>
    </row>
    <row r="670" spans="1:6" ht="69.95" customHeight="1">
      <c r="A670" s="32" t="s">
        <v>1503</v>
      </c>
      <c r="B670" s="32" t="s">
        <v>3417</v>
      </c>
      <c r="C670" s="32" t="s">
        <v>94</v>
      </c>
      <c r="D670" s="32"/>
      <c r="E670" s="32" t="s">
        <v>141</v>
      </c>
      <c r="F670" s="32" t="s">
        <v>3416</v>
      </c>
    </row>
    <row r="671" spans="1:6" ht="69.95" customHeight="1">
      <c r="A671" s="32" t="s">
        <v>1503</v>
      </c>
      <c r="B671" s="32" t="s">
        <v>3418</v>
      </c>
      <c r="C671" s="32" t="s">
        <v>96</v>
      </c>
      <c r="D671" s="32"/>
      <c r="E671" s="32" t="s">
        <v>142</v>
      </c>
      <c r="F671" s="32" t="s">
        <v>3416</v>
      </c>
    </row>
    <row r="672" spans="1:6" ht="69.95" customHeight="1">
      <c r="A672" s="32" t="s">
        <v>1508</v>
      </c>
      <c r="B672" s="32" t="s">
        <v>3419</v>
      </c>
      <c r="C672" s="32" t="s">
        <v>65</v>
      </c>
      <c r="D672" s="32" t="s">
        <v>956</v>
      </c>
      <c r="E672" s="32" t="s">
        <v>1512</v>
      </c>
      <c r="F672" s="32" t="s">
        <v>3420</v>
      </c>
    </row>
    <row r="673" spans="1:6" ht="69.95" customHeight="1">
      <c r="A673" s="32" t="s">
        <v>1508</v>
      </c>
      <c r="B673" s="32" t="s">
        <v>3421</v>
      </c>
      <c r="C673" s="32" t="s">
        <v>66</v>
      </c>
      <c r="D673" s="32" t="s">
        <v>1582</v>
      </c>
      <c r="E673" s="32" t="s">
        <v>1513</v>
      </c>
      <c r="F673" s="32" t="s">
        <v>3420</v>
      </c>
    </row>
    <row r="674" spans="1:6" ht="69.95" customHeight="1">
      <c r="A674" s="32" t="s">
        <v>1508</v>
      </c>
      <c r="B674" s="32" t="s">
        <v>3415</v>
      </c>
      <c r="C674" s="32" t="s">
        <v>93</v>
      </c>
      <c r="D674" s="32"/>
      <c r="E674" s="32" t="s">
        <v>462</v>
      </c>
      <c r="F674" s="32" t="s">
        <v>3416</v>
      </c>
    </row>
    <row r="675" spans="1:6" ht="69.95" customHeight="1">
      <c r="A675" s="32" t="s">
        <v>1508</v>
      </c>
      <c r="B675" s="32" t="s">
        <v>3417</v>
      </c>
      <c r="C675" s="32" t="s">
        <v>94</v>
      </c>
      <c r="D675" s="32"/>
      <c r="E675" s="32" t="s">
        <v>141</v>
      </c>
      <c r="F675" s="32" t="s">
        <v>3416</v>
      </c>
    </row>
    <row r="676" spans="1:6" ht="69.95" customHeight="1">
      <c r="A676" s="32" t="s">
        <v>1508</v>
      </c>
      <c r="B676" s="32" t="s">
        <v>3418</v>
      </c>
      <c r="C676" s="32" t="s">
        <v>96</v>
      </c>
      <c r="D676" s="32"/>
      <c r="E676" s="32" t="s">
        <v>142</v>
      </c>
      <c r="F676" s="32" t="s">
        <v>3416</v>
      </c>
    </row>
    <row r="677" spans="1:6" ht="69.95" customHeight="1">
      <c r="A677" s="32" t="s">
        <v>1515</v>
      </c>
      <c r="B677" s="32" t="s">
        <v>3419</v>
      </c>
      <c r="C677" s="32" t="s">
        <v>65</v>
      </c>
      <c r="D677" s="32" t="s">
        <v>1577</v>
      </c>
      <c r="E677" s="32" t="s">
        <v>1519</v>
      </c>
      <c r="F677" s="32" t="s">
        <v>3420</v>
      </c>
    </row>
    <row r="678" spans="1:6" ht="69.95" customHeight="1">
      <c r="A678" s="32" t="s">
        <v>1515</v>
      </c>
      <c r="B678" s="32" t="s">
        <v>3421</v>
      </c>
      <c r="C678" s="32" t="s">
        <v>66</v>
      </c>
      <c r="D678" s="32" t="s">
        <v>1590</v>
      </c>
      <c r="E678" s="32" t="s">
        <v>1520</v>
      </c>
      <c r="F678" s="32" t="s">
        <v>3420</v>
      </c>
    </row>
    <row r="679" spans="1:6" ht="69.95" customHeight="1">
      <c r="A679" s="32" t="s">
        <v>1515</v>
      </c>
      <c r="B679" s="32" t="s">
        <v>3415</v>
      </c>
      <c r="C679" s="32" t="s">
        <v>93</v>
      </c>
      <c r="D679" s="32"/>
      <c r="E679" s="32" t="s">
        <v>462</v>
      </c>
      <c r="F679" s="32" t="s">
        <v>3416</v>
      </c>
    </row>
    <row r="680" spans="1:6" ht="69.95" customHeight="1">
      <c r="A680" s="32" t="s">
        <v>1515</v>
      </c>
      <c r="B680" s="32" t="s">
        <v>3417</v>
      </c>
      <c r="C680" s="32" t="s">
        <v>94</v>
      </c>
      <c r="D680" s="32"/>
      <c r="E680" s="32" t="s">
        <v>141</v>
      </c>
      <c r="F680" s="32" t="s">
        <v>3416</v>
      </c>
    </row>
    <row r="681" spans="1:6" ht="69.95" customHeight="1">
      <c r="A681" s="32" t="s">
        <v>1515</v>
      </c>
      <c r="B681" s="32" t="s">
        <v>3418</v>
      </c>
      <c r="C681" s="32" t="s">
        <v>96</v>
      </c>
      <c r="D681" s="32"/>
      <c r="E681" s="32" t="s">
        <v>142</v>
      </c>
      <c r="F681" s="32" t="s">
        <v>3416</v>
      </c>
    </row>
    <row r="682" spans="1:6" ht="69.95" customHeight="1">
      <c r="A682" s="32" t="s">
        <v>1522</v>
      </c>
      <c r="B682" s="32" t="s">
        <v>3419</v>
      </c>
      <c r="C682" s="32" t="s">
        <v>65</v>
      </c>
      <c r="D682" s="32" t="s">
        <v>1598</v>
      </c>
      <c r="E682" s="32" t="s">
        <v>1526</v>
      </c>
      <c r="F682" s="32" t="s">
        <v>3420</v>
      </c>
    </row>
    <row r="683" spans="1:6" ht="69.95" customHeight="1">
      <c r="A683" s="32" t="s">
        <v>1522</v>
      </c>
      <c r="B683" s="32" t="s">
        <v>3421</v>
      </c>
      <c r="C683" s="32" t="s">
        <v>66</v>
      </c>
      <c r="D683" s="32"/>
      <c r="E683" s="32" t="s">
        <v>1527</v>
      </c>
      <c r="F683" s="32" t="s">
        <v>3420</v>
      </c>
    </row>
    <row r="684" spans="1:6" ht="69.95" customHeight="1">
      <c r="A684" s="32" t="s">
        <v>1522</v>
      </c>
      <c r="B684" s="32" t="s">
        <v>3415</v>
      </c>
      <c r="C684" s="32" t="s">
        <v>93</v>
      </c>
      <c r="D684" s="32"/>
      <c r="E684" s="32" t="s">
        <v>462</v>
      </c>
      <c r="F684" s="32" t="s">
        <v>3416</v>
      </c>
    </row>
    <row r="685" spans="1:6" ht="69.95" customHeight="1">
      <c r="A685" s="32" t="s">
        <v>1522</v>
      </c>
      <c r="B685" s="32" t="s">
        <v>3417</v>
      </c>
      <c r="C685" s="32" t="s">
        <v>94</v>
      </c>
      <c r="D685" s="32"/>
      <c r="E685" s="32" t="s">
        <v>141</v>
      </c>
      <c r="F685" s="32" t="s">
        <v>3416</v>
      </c>
    </row>
    <row r="686" spans="1:6" ht="69.95" customHeight="1">
      <c r="A686" s="32" t="s">
        <v>1522</v>
      </c>
      <c r="B686" s="32" t="s">
        <v>3418</v>
      </c>
      <c r="C686" s="32" t="s">
        <v>96</v>
      </c>
      <c r="D686" s="32"/>
      <c r="E686" s="32" t="s">
        <v>142</v>
      </c>
      <c r="F686" s="32" t="s">
        <v>3416</v>
      </c>
    </row>
    <row r="687" spans="1:6" ht="69.95" customHeight="1">
      <c r="A687" s="32" t="s">
        <v>1529</v>
      </c>
      <c r="B687" s="32" t="s">
        <v>3419</v>
      </c>
      <c r="C687" s="32" t="s">
        <v>65</v>
      </c>
      <c r="D687" s="32" t="s">
        <v>1604</v>
      </c>
      <c r="E687" s="32" t="s">
        <v>1533</v>
      </c>
      <c r="F687" s="32" t="s">
        <v>3420</v>
      </c>
    </row>
    <row r="688" spans="1:6" ht="69.95" customHeight="1">
      <c r="A688" s="32" t="s">
        <v>1529</v>
      </c>
      <c r="B688" s="32" t="s">
        <v>3421</v>
      </c>
      <c r="C688" s="32" t="s">
        <v>66</v>
      </c>
      <c r="D688" s="32" t="s">
        <v>1593</v>
      </c>
      <c r="E688" s="32"/>
      <c r="F688" s="32" t="s">
        <v>3420</v>
      </c>
    </row>
    <row r="689" spans="1:6" ht="69.95" customHeight="1">
      <c r="A689" s="32" t="s">
        <v>1529</v>
      </c>
      <c r="B689" s="32" t="s">
        <v>3415</v>
      </c>
      <c r="C689" s="32" t="s">
        <v>93</v>
      </c>
      <c r="D689" s="32"/>
      <c r="E689" s="32" t="s">
        <v>462</v>
      </c>
      <c r="F689" s="32" t="s">
        <v>3416</v>
      </c>
    </row>
    <row r="690" spans="1:6" ht="69.95" customHeight="1">
      <c r="A690" s="32" t="s">
        <v>1529</v>
      </c>
      <c r="B690" s="32" t="s">
        <v>3417</v>
      </c>
      <c r="C690" s="32" t="s">
        <v>94</v>
      </c>
      <c r="D690" s="32"/>
      <c r="E690" s="32" t="s">
        <v>141</v>
      </c>
      <c r="F690" s="32" t="s">
        <v>3416</v>
      </c>
    </row>
    <row r="691" spans="1:6" ht="69.95" customHeight="1">
      <c r="A691" s="32" t="s">
        <v>1529</v>
      </c>
      <c r="B691" s="32" t="s">
        <v>3418</v>
      </c>
      <c r="C691" s="32" t="s">
        <v>96</v>
      </c>
      <c r="D691" s="32"/>
      <c r="E691" s="32" t="s">
        <v>142</v>
      </c>
      <c r="F691" s="32" t="s">
        <v>3416</v>
      </c>
    </row>
    <row r="692" spans="1:6" ht="69.95" customHeight="1">
      <c r="A692" s="32" t="s">
        <v>1535</v>
      </c>
      <c r="B692" s="32" t="s">
        <v>3419</v>
      </c>
      <c r="C692" s="32" t="s">
        <v>65</v>
      </c>
      <c r="D692" s="32"/>
      <c r="E692" s="32" t="s">
        <v>1540</v>
      </c>
      <c r="F692" s="32" t="s">
        <v>3420</v>
      </c>
    </row>
    <row r="693" spans="1:6" ht="69.95" customHeight="1">
      <c r="A693" s="32" t="s">
        <v>1535</v>
      </c>
      <c r="B693" s="32" t="s">
        <v>3415</v>
      </c>
      <c r="C693" s="32" t="s">
        <v>93</v>
      </c>
      <c r="D693" s="32"/>
      <c r="E693" s="32" t="s">
        <v>462</v>
      </c>
      <c r="F693" s="32" t="s">
        <v>3416</v>
      </c>
    </row>
    <row r="694" spans="1:6" ht="69.95" customHeight="1">
      <c r="A694" s="32" t="s">
        <v>1535</v>
      </c>
      <c r="B694" s="32" t="s">
        <v>3417</v>
      </c>
      <c r="C694" s="32" t="s">
        <v>94</v>
      </c>
      <c r="D694" s="32"/>
      <c r="E694" s="32" t="s">
        <v>141</v>
      </c>
      <c r="F694" s="32" t="s">
        <v>3416</v>
      </c>
    </row>
    <row r="695" spans="1:6" ht="69.95" customHeight="1">
      <c r="A695" s="32" t="s">
        <v>1535</v>
      </c>
      <c r="B695" s="32" t="s">
        <v>3418</v>
      </c>
      <c r="C695" s="32" t="s">
        <v>96</v>
      </c>
      <c r="D695" s="32"/>
      <c r="E695" s="32" t="s">
        <v>142</v>
      </c>
      <c r="F695" s="32" t="s">
        <v>3416</v>
      </c>
    </row>
    <row r="696" spans="1:6" ht="69.95" customHeight="1">
      <c r="A696" s="32" t="s">
        <v>1542</v>
      </c>
      <c r="B696" s="32" t="s">
        <v>3419</v>
      </c>
      <c r="C696" s="32" t="s">
        <v>65</v>
      </c>
      <c r="D696" s="32"/>
      <c r="E696" s="32" t="s">
        <v>1547</v>
      </c>
      <c r="F696" s="32" t="s">
        <v>3420</v>
      </c>
    </row>
    <row r="697" spans="1:6" ht="69.95" customHeight="1">
      <c r="A697" s="32" t="s">
        <v>1542</v>
      </c>
      <c r="B697" s="32" t="s">
        <v>3421</v>
      </c>
      <c r="C697" s="32" t="s">
        <v>66</v>
      </c>
      <c r="D697" s="32"/>
      <c r="E697" s="32" t="s">
        <v>1548</v>
      </c>
      <c r="F697" s="32" t="s">
        <v>3420</v>
      </c>
    </row>
    <row r="698" spans="1:6" ht="69.95" customHeight="1">
      <c r="A698" s="32" t="s">
        <v>1542</v>
      </c>
      <c r="B698" s="32" t="s">
        <v>3415</v>
      </c>
      <c r="C698" s="32" t="s">
        <v>93</v>
      </c>
      <c r="D698" s="32"/>
      <c r="E698" s="32" t="s">
        <v>462</v>
      </c>
      <c r="F698" s="32" t="s">
        <v>3416</v>
      </c>
    </row>
    <row r="699" spans="1:6" ht="69.95" customHeight="1">
      <c r="A699" s="32" t="s">
        <v>1542</v>
      </c>
      <c r="B699" s="32" t="s">
        <v>3417</v>
      </c>
      <c r="C699" s="32" t="s">
        <v>94</v>
      </c>
      <c r="D699" s="32"/>
      <c r="E699" s="32" t="s">
        <v>141</v>
      </c>
      <c r="F699" s="32" t="s">
        <v>3416</v>
      </c>
    </row>
    <row r="700" spans="1:6" ht="69.95" customHeight="1">
      <c r="A700" s="32" t="s">
        <v>1542</v>
      </c>
      <c r="B700" s="32" t="s">
        <v>3418</v>
      </c>
      <c r="C700" s="32" t="s">
        <v>96</v>
      </c>
      <c r="D700" s="32"/>
      <c r="E700" s="32" t="s">
        <v>142</v>
      </c>
      <c r="F700" s="32" t="s">
        <v>3416</v>
      </c>
    </row>
    <row r="701" spans="1:6" ht="69.95" customHeight="1">
      <c r="A701" s="32" t="s">
        <v>1550</v>
      </c>
      <c r="B701" s="32" t="s">
        <v>3419</v>
      </c>
      <c r="C701" s="32" t="s">
        <v>65</v>
      </c>
      <c r="D701" s="32" t="s">
        <v>1622</v>
      </c>
      <c r="E701" s="32" t="s">
        <v>1554</v>
      </c>
      <c r="F701" s="32" t="s">
        <v>3420</v>
      </c>
    </row>
    <row r="702" spans="1:6" ht="69.95" customHeight="1">
      <c r="A702" s="32" t="s">
        <v>1550</v>
      </c>
      <c r="B702" s="32" t="s">
        <v>3421</v>
      </c>
      <c r="C702" s="32" t="s">
        <v>66</v>
      </c>
      <c r="D702" s="32" t="s">
        <v>1248</v>
      </c>
      <c r="E702" s="32" t="s">
        <v>1555</v>
      </c>
      <c r="F702" s="32" t="s">
        <v>3420</v>
      </c>
    </row>
    <row r="703" spans="1:6" ht="69.95" customHeight="1">
      <c r="A703" s="32" t="s">
        <v>1550</v>
      </c>
      <c r="B703" s="32" t="s">
        <v>3415</v>
      </c>
      <c r="C703" s="32" t="s">
        <v>93</v>
      </c>
      <c r="D703" s="32"/>
      <c r="E703" s="32" t="s">
        <v>462</v>
      </c>
      <c r="F703" s="32" t="s">
        <v>3416</v>
      </c>
    </row>
    <row r="704" spans="1:6" ht="69.95" customHeight="1">
      <c r="A704" s="32" t="s">
        <v>1550</v>
      </c>
      <c r="B704" s="32" t="s">
        <v>3417</v>
      </c>
      <c r="C704" s="32" t="s">
        <v>94</v>
      </c>
      <c r="D704" s="32"/>
      <c r="E704" s="32" t="s">
        <v>141</v>
      </c>
      <c r="F704" s="32" t="s">
        <v>3416</v>
      </c>
    </row>
    <row r="705" spans="1:6" ht="69.95" customHeight="1">
      <c r="A705" s="32" t="s">
        <v>1550</v>
      </c>
      <c r="B705" s="32" t="s">
        <v>3418</v>
      </c>
      <c r="C705" s="32" t="s">
        <v>96</v>
      </c>
      <c r="D705" s="32"/>
      <c r="E705" s="32" t="s">
        <v>142</v>
      </c>
      <c r="F705" s="32" t="s">
        <v>3416</v>
      </c>
    </row>
    <row r="706" spans="1:6" ht="69.95" customHeight="1">
      <c r="A706" s="32" t="s">
        <v>1557</v>
      </c>
      <c r="B706" s="32" t="s">
        <v>3419</v>
      </c>
      <c r="C706" s="32" t="s">
        <v>65</v>
      </c>
      <c r="D706" s="32"/>
      <c r="E706" s="32" t="s">
        <v>1561</v>
      </c>
      <c r="F706" s="32" t="s">
        <v>3420</v>
      </c>
    </row>
    <row r="707" spans="1:6" ht="69.95" customHeight="1">
      <c r="A707" s="32" t="s">
        <v>1557</v>
      </c>
      <c r="B707" s="32" t="s">
        <v>3421</v>
      </c>
      <c r="C707" s="32" t="s">
        <v>66</v>
      </c>
      <c r="D707" s="32"/>
      <c r="E707" s="32" t="s">
        <v>1562</v>
      </c>
      <c r="F707" s="32" t="s">
        <v>3420</v>
      </c>
    </row>
    <row r="708" spans="1:6" ht="69.95" customHeight="1">
      <c r="A708" s="32" t="s">
        <v>1557</v>
      </c>
      <c r="B708" s="32" t="s">
        <v>3415</v>
      </c>
      <c r="C708" s="32" t="s">
        <v>93</v>
      </c>
      <c r="D708" s="32"/>
      <c r="E708" s="32" t="s">
        <v>462</v>
      </c>
      <c r="F708" s="32" t="s">
        <v>3416</v>
      </c>
    </row>
    <row r="709" spans="1:6" ht="69.95" customHeight="1">
      <c r="A709" s="32" t="s">
        <v>1557</v>
      </c>
      <c r="B709" s="32" t="s">
        <v>3417</v>
      </c>
      <c r="C709" s="32" t="s">
        <v>94</v>
      </c>
      <c r="D709" s="32"/>
      <c r="E709" s="32" t="s">
        <v>141</v>
      </c>
      <c r="F709" s="32" t="s">
        <v>3416</v>
      </c>
    </row>
    <row r="710" spans="1:6" ht="69.95" customHeight="1">
      <c r="A710" s="32" t="s">
        <v>1557</v>
      </c>
      <c r="B710" s="32" t="s">
        <v>3418</v>
      </c>
      <c r="C710" s="32" t="s">
        <v>96</v>
      </c>
      <c r="D710" s="32"/>
      <c r="E710" s="32" t="s">
        <v>142</v>
      </c>
      <c r="F710" s="32" t="s">
        <v>3416</v>
      </c>
    </row>
    <row r="711" spans="1:6" ht="69.95" customHeight="1">
      <c r="A711" s="32" t="s">
        <v>1564</v>
      </c>
      <c r="B711" s="32" t="s">
        <v>3419</v>
      </c>
      <c r="C711" s="32" t="s">
        <v>65</v>
      </c>
      <c r="D711" s="32" t="s">
        <v>1638</v>
      </c>
      <c r="E711" s="32" t="s">
        <v>1568</v>
      </c>
      <c r="F711" s="32" t="s">
        <v>3420</v>
      </c>
    </row>
    <row r="712" spans="1:6" ht="69.95" customHeight="1">
      <c r="A712" s="32" t="s">
        <v>1564</v>
      </c>
      <c r="B712" s="32" t="s">
        <v>3421</v>
      </c>
      <c r="C712" s="32" t="s">
        <v>66</v>
      </c>
      <c r="D712" s="32" t="s">
        <v>1639</v>
      </c>
      <c r="E712" s="32" t="s">
        <v>1569</v>
      </c>
      <c r="F712" s="32" t="s">
        <v>3420</v>
      </c>
    </row>
    <row r="713" spans="1:6" ht="69.95" customHeight="1">
      <c r="A713" s="32" t="s">
        <v>1564</v>
      </c>
      <c r="B713" s="32" t="s">
        <v>3415</v>
      </c>
      <c r="C713" s="32" t="s">
        <v>93</v>
      </c>
      <c r="D713" s="32"/>
      <c r="E713" s="32" t="s">
        <v>462</v>
      </c>
      <c r="F713" s="32" t="s">
        <v>3416</v>
      </c>
    </row>
    <row r="714" spans="1:6" ht="69.95" customHeight="1">
      <c r="A714" s="32" t="s">
        <v>1564</v>
      </c>
      <c r="B714" s="32" t="s">
        <v>3417</v>
      </c>
      <c r="C714" s="32" t="s">
        <v>94</v>
      </c>
      <c r="D714" s="32"/>
      <c r="E714" s="32" t="s">
        <v>141</v>
      </c>
      <c r="F714" s="32" t="s">
        <v>3416</v>
      </c>
    </row>
    <row r="715" spans="1:6" ht="69.95" customHeight="1">
      <c r="A715" s="32" t="s">
        <v>1564</v>
      </c>
      <c r="B715" s="32" t="s">
        <v>3418</v>
      </c>
      <c r="C715" s="32" t="s">
        <v>96</v>
      </c>
      <c r="D715" s="32"/>
      <c r="E715" s="32" t="s">
        <v>142</v>
      </c>
      <c r="F715" s="32" t="s">
        <v>3416</v>
      </c>
    </row>
    <row r="716" spans="1:6" ht="69.95" customHeight="1">
      <c r="A716" s="32" t="s">
        <v>956</v>
      </c>
      <c r="B716" s="32" t="s">
        <v>3419</v>
      </c>
      <c r="C716" s="32" t="s">
        <v>65</v>
      </c>
      <c r="D716" s="32" t="s">
        <v>1646</v>
      </c>
      <c r="E716" s="32" t="s">
        <v>1574</v>
      </c>
      <c r="F716" s="32" t="s">
        <v>3420</v>
      </c>
    </row>
    <row r="717" spans="1:6" ht="69.95" customHeight="1">
      <c r="A717" s="32" t="s">
        <v>956</v>
      </c>
      <c r="B717" s="32" t="s">
        <v>3421</v>
      </c>
      <c r="C717" s="32" t="s">
        <v>66</v>
      </c>
      <c r="D717" s="32" t="s">
        <v>1647</v>
      </c>
      <c r="E717" s="32" t="s">
        <v>1575</v>
      </c>
      <c r="F717" s="32" t="s">
        <v>3420</v>
      </c>
    </row>
    <row r="718" spans="1:6" ht="69.95" customHeight="1">
      <c r="A718" s="32" t="s">
        <v>956</v>
      </c>
      <c r="B718" s="32" t="s">
        <v>3415</v>
      </c>
      <c r="C718" s="32" t="s">
        <v>93</v>
      </c>
      <c r="D718" s="32"/>
      <c r="E718" s="32" t="s">
        <v>462</v>
      </c>
      <c r="F718" s="32" t="s">
        <v>3416</v>
      </c>
    </row>
    <row r="719" spans="1:6" ht="69.95" customHeight="1">
      <c r="A719" s="32" t="s">
        <v>956</v>
      </c>
      <c r="B719" s="32" t="s">
        <v>3417</v>
      </c>
      <c r="C719" s="32" t="s">
        <v>94</v>
      </c>
      <c r="D719" s="32"/>
      <c r="E719" s="32" t="s">
        <v>141</v>
      </c>
      <c r="F719" s="32" t="s">
        <v>3416</v>
      </c>
    </row>
    <row r="720" spans="1:6" ht="69.95" customHeight="1">
      <c r="A720" s="32" t="s">
        <v>956</v>
      </c>
      <c r="B720" s="32" t="s">
        <v>3418</v>
      </c>
      <c r="C720" s="32" t="s">
        <v>96</v>
      </c>
      <c r="D720" s="32"/>
      <c r="E720" s="32" t="s">
        <v>142</v>
      </c>
      <c r="F720" s="32" t="s">
        <v>3416</v>
      </c>
    </row>
    <row r="721" spans="1:6" ht="69.95" customHeight="1">
      <c r="A721" s="32" t="s">
        <v>1577</v>
      </c>
      <c r="B721" s="32" t="s">
        <v>3419</v>
      </c>
      <c r="C721" s="32" t="s">
        <v>65</v>
      </c>
      <c r="D721" s="32" t="s">
        <v>1653</v>
      </c>
      <c r="E721" s="32" t="s">
        <v>956</v>
      </c>
      <c r="F721" s="32" t="s">
        <v>3420</v>
      </c>
    </row>
    <row r="722" spans="1:6" ht="69.95" customHeight="1">
      <c r="A722" s="32" t="s">
        <v>1577</v>
      </c>
      <c r="B722" s="32" t="s">
        <v>3421</v>
      </c>
      <c r="C722" s="32" t="s">
        <v>66</v>
      </c>
      <c r="D722" s="32" t="s">
        <v>1647</v>
      </c>
      <c r="E722" s="32" t="s">
        <v>1582</v>
      </c>
      <c r="F722" s="32" t="s">
        <v>3420</v>
      </c>
    </row>
    <row r="723" spans="1:6" ht="69.95" customHeight="1">
      <c r="A723" s="32" t="s">
        <v>1577</v>
      </c>
      <c r="B723" s="32" t="s">
        <v>3415</v>
      </c>
      <c r="C723" s="32" t="s">
        <v>93</v>
      </c>
      <c r="D723" s="32"/>
      <c r="E723" s="32" t="s">
        <v>462</v>
      </c>
      <c r="F723" s="32" t="s">
        <v>3416</v>
      </c>
    </row>
    <row r="724" spans="1:6" ht="69.95" customHeight="1">
      <c r="A724" s="32" t="s">
        <v>1577</v>
      </c>
      <c r="B724" s="32" t="s">
        <v>3417</v>
      </c>
      <c r="C724" s="32" t="s">
        <v>94</v>
      </c>
      <c r="D724" s="32"/>
      <c r="E724" s="32" t="s">
        <v>141</v>
      </c>
      <c r="F724" s="32" t="s">
        <v>3416</v>
      </c>
    </row>
    <row r="725" spans="1:6" ht="69.95" customHeight="1">
      <c r="A725" s="32" t="s">
        <v>1577</v>
      </c>
      <c r="B725" s="32" t="s">
        <v>3418</v>
      </c>
      <c r="C725" s="32" t="s">
        <v>96</v>
      </c>
      <c r="D725" s="32"/>
      <c r="E725" s="32" t="s">
        <v>142</v>
      </c>
      <c r="F725" s="32" t="s">
        <v>3416</v>
      </c>
    </row>
    <row r="726" spans="1:6" ht="69.95" customHeight="1">
      <c r="A726" s="32" t="s">
        <v>1586</v>
      </c>
      <c r="B726" s="32" t="s">
        <v>3419</v>
      </c>
      <c r="C726" s="32" t="s">
        <v>65</v>
      </c>
      <c r="D726" s="32" t="s">
        <v>1659</v>
      </c>
      <c r="E726" s="32" t="s">
        <v>1577</v>
      </c>
      <c r="F726" s="32" t="s">
        <v>3420</v>
      </c>
    </row>
    <row r="727" spans="1:6" ht="69.95" customHeight="1">
      <c r="A727" s="32" t="s">
        <v>1586</v>
      </c>
      <c r="B727" s="32" t="s">
        <v>3421</v>
      </c>
      <c r="C727" s="32" t="s">
        <v>66</v>
      </c>
      <c r="D727" s="32" t="s">
        <v>1660</v>
      </c>
      <c r="E727" s="32" t="s">
        <v>1590</v>
      </c>
      <c r="F727" s="32" t="s">
        <v>3420</v>
      </c>
    </row>
    <row r="728" spans="1:6" ht="69.95" customHeight="1">
      <c r="A728" s="32" t="s">
        <v>1586</v>
      </c>
      <c r="B728" s="32" t="s">
        <v>3415</v>
      </c>
      <c r="C728" s="32" t="s">
        <v>93</v>
      </c>
      <c r="D728" s="32"/>
      <c r="E728" s="32" t="s">
        <v>462</v>
      </c>
      <c r="F728" s="32" t="s">
        <v>3416</v>
      </c>
    </row>
    <row r="729" spans="1:6" ht="69.95" customHeight="1">
      <c r="A729" s="32" t="s">
        <v>1586</v>
      </c>
      <c r="B729" s="32" t="s">
        <v>3417</v>
      </c>
      <c r="C729" s="32" t="s">
        <v>94</v>
      </c>
      <c r="D729" s="32"/>
      <c r="E729" s="32" t="s">
        <v>141</v>
      </c>
      <c r="F729" s="32" t="s">
        <v>3416</v>
      </c>
    </row>
    <row r="730" spans="1:6" ht="69.95" customHeight="1">
      <c r="A730" s="32" t="s">
        <v>1586</v>
      </c>
      <c r="B730" s="32" t="s">
        <v>3418</v>
      </c>
      <c r="C730" s="32" t="s">
        <v>96</v>
      </c>
      <c r="D730" s="32"/>
      <c r="E730" s="32" t="s">
        <v>142</v>
      </c>
      <c r="F730" s="32" t="s">
        <v>3416</v>
      </c>
    </row>
    <row r="731" spans="1:6" ht="69.95" customHeight="1">
      <c r="A731" s="32" t="s">
        <v>1593</v>
      </c>
      <c r="B731" s="32" t="s">
        <v>3419</v>
      </c>
      <c r="C731" s="32" t="s">
        <v>65</v>
      </c>
      <c r="D731" s="32" t="s">
        <v>1666</v>
      </c>
      <c r="E731" s="32" t="s">
        <v>1598</v>
      </c>
      <c r="F731" s="32" t="s">
        <v>3420</v>
      </c>
    </row>
    <row r="732" spans="1:6" ht="69.95" customHeight="1">
      <c r="A732" s="32" t="s">
        <v>1593</v>
      </c>
      <c r="B732" s="32" t="s">
        <v>3421</v>
      </c>
      <c r="C732" s="32" t="s">
        <v>66</v>
      </c>
      <c r="D732" s="32" t="s">
        <v>1667</v>
      </c>
      <c r="E732" s="32"/>
      <c r="F732" s="32" t="s">
        <v>3420</v>
      </c>
    </row>
    <row r="733" spans="1:6" ht="69.95" customHeight="1">
      <c r="A733" s="32" t="s">
        <v>1593</v>
      </c>
      <c r="B733" s="32" t="s">
        <v>3415</v>
      </c>
      <c r="C733" s="32" t="s">
        <v>93</v>
      </c>
      <c r="D733" s="32"/>
      <c r="E733" s="32" t="s">
        <v>462</v>
      </c>
      <c r="F733" s="32" t="s">
        <v>3416</v>
      </c>
    </row>
    <row r="734" spans="1:6" ht="69.95" customHeight="1">
      <c r="A734" s="32" t="s">
        <v>1593</v>
      </c>
      <c r="B734" s="32" t="s">
        <v>3417</v>
      </c>
      <c r="C734" s="32" t="s">
        <v>94</v>
      </c>
      <c r="D734" s="32"/>
      <c r="E734" s="32" t="s">
        <v>141</v>
      </c>
      <c r="F734" s="32" t="s">
        <v>3416</v>
      </c>
    </row>
    <row r="735" spans="1:6" ht="69.95" customHeight="1">
      <c r="A735" s="32" t="s">
        <v>1593</v>
      </c>
      <c r="B735" s="32" t="s">
        <v>3418</v>
      </c>
      <c r="C735" s="32" t="s">
        <v>96</v>
      </c>
      <c r="D735" s="32"/>
      <c r="E735" s="32" t="s">
        <v>142</v>
      </c>
      <c r="F735" s="32" t="s">
        <v>3416</v>
      </c>
    </row>
    <row r="736" spans="1:6" ht="69.95" customHeight="1">
      <c r="A736" s="32" t="s">
        <v>1600</v>
      </c>
      <c r="B736" s="32" t="s">
        <v>3419</v>
      </c>
      <c r="C736" s="32" t="s">
        <v>65</v>
      </c>
      <c r="D736" s="32" t="s">
        <v>1674</v>
      </c>
      <c r="E736" s="32" t="s">
        <v>1604</v>
      </c>
      <c r="F736" s="32" t="s">
        <v>3420</v>
      </c>
    </row>
    <row r="737" spans="1:6" ht="69.95" customHeight="1">
      <c r="A737" s="32" t="s">
        <v>1600</v>
      </c>
      <c r="B737" s="32" t="s">
        <v>3421</v>
      </c>
      <c r="C737" s="32" t="s">
        <v>66</v>
      </c>
      <c r="D737" s="32" t="s">
        <v>1675</v>
      </c>
      <c r="E737" s="32" t="s">
        <v>1593</v>
      </c>
      <c r="F737" s="32" t="s">
        <v>3420</v>
      </c>
    </row>
    <row r="738" spans="1:6" ht="69.95" customHeight="1">
      <c r="A738" s="32" t="s">
        <v>1600</v>
      </c>
      <c r="B738" s="32" t="s">
        <v>3415</v>
      </c>
      <c r="C738" s="32" t="s">
        <v>93</v>
      </c>
      <c r="D738" s="32"/>
      <c r="E738" s="32" t="s">
        <v>462</v>
      </c>
      <c r="F738" s="32" t="s">
        <v>3416</v>
      </c>
    </row>
    <row r="739" spans="1:6" ht="69.95" customHeight="1">
      <c r="A739" s="32" t="s">
        <v>1600</v>
      </c>
      <c r="B739" s="32" t="s">
        <v>3417</v>
      </c>
      <c r="C739" s="32" t="s">
        <v>94</v>
      </c>
      <c r="D739" s="32"/>
      <c r="E739" s="32" t="s">
        <v>141</v>
      </c>
      <c r="F739" s="32" t="s">
        <v>3416</v>
      </c>
    </row>
    <row r="740" spans="1:6" ht="69.95" customHeight="1">
      <c r="A740" s="32" t="s">
        <v>1600</v>
      </c>
      <c r="B740" s="32" t="s">
        <v>3418</v>
      </c>
      <c r="C740" s="32" t="s">
        <v>96</v>
      </c>
      <c r="D740" s="32"/>
      <c r="E740" s="32" t="s">
        <v>142</v>
      </c>
      <c r="F740" s="32" t="s">
        <v>3416</v>
      </c>
    </row>
    <row r="741" spans="1:6" ht="69.95" customHeight="1">
      <c r="A741" s="32" t="s">
        <v>1607</v>
      </c>
      <c r="B741" s="32" t="s">
        <v>3419</v>
      </c>
      <c r="C741" s="32" t="s">
        <v>65</v>
      </c>
      <c r="D741" s="32" t="s">
        <v>1682</v>
      </c>
      <c r="E741" s="32"/>
      <c r="F741" s="32" t="s">
        <v>3420</v>
      </c>
    </row>
    <row r="742" spans="1:6" ht="69.95" customHeight="1">
      <c r="A742" s="32" t="s">
        <v>1607</v>
      </c>
      <c r="B742" s="32" t="s">
        <v>3421</v>
      </c>
      <c r="C742" s="32" t="s">
        <v>66</v>
      </c>
      <c r="D742" s="32" t="s">
        <v>1683</v>
      </c>
      <c r="E742" s="32"/>
      <c r="F742" s="32" t="s">
        <v>3420</v>
      </c>
    </row>
    <row r="743" spans="1:6" ht="69.95" customHeight="1">
      <c r="A743" s="32" t="s">
        <v>1607</v>
      </c>
      <c r="B743" s="32" t="s">
        <v>3415</v>
      </c>
      <c r="C743" s="32" t="s">
        <v>93</v>
      </c>
      <c r="D743" s="32"/>
      <c r="E743" s="32" t="s">
        <v>462</v>
      </c>
      <c r="F743" s="32" t="s">
        <v>3416</v>
      </c>
    </row>
    <row r="744" spans="1:6" ht="69.95" customHeight="1">
      <c r="A744" s="32" t="s">
        <v>1607</v>
      </c>
      <c r="B744" s="32" t="s">
        <v>3417</v>
      </c>
      <c r="C744" s="32" t="s">
        <v>94</v>
      </c>
      <c r="D744" s="32"/>
      <c r="E744" s="32" t="s">
        <v>141</v>
      </c>
      <c r="F744" s="32" t="s">
        <v>3416</v>
      </c>
    </row>
    <row r="745" spans="1:6" ht="69.95" customHeight="1">
      <c r="A745" s="32" t="s">
        <v>1607</v>
      </c>
      <c r="B745" s="32" t="s">
        <v>3418</v>
      </c>
      <c r="C745" s="32" t="s">
        <v>96</v>
      </c>
      <c r="D745" s="32"/>
      <c r="E745" s="32" t="s">
        <v>142</v>
      </c>
      <c r="F745" s="32" t="s">
        <v>3416</v>
      </c>
    </row>
    <row r="746" spans="1:6" ht="69.95" customHeight="1">
      <c r="A746" s="32" t="s">
        <v>1614</v>
      </c>
      <c r="B746" s="32" t="s">
        <v>3419</v>
      </c>
      <c r="C746" s="32" t="s">
        <v>65</v>
      </c>
      <c r="D746" s="32" t="s">
        <v>1690</v>
      </c>
      <c r="E746" s="32"/>
      <c r="F746" s="32" t="s">
        <v>3420</v>
      </c>
    </row>
    <row r="747" spans="1:6" ht="69.95" customHeight="1">
      <c r="A747" s="32" t="s">
        <v>1614</v>
      </c>
      <c r="B747" s="32" t="s">
        <v>3421</v>
      </c>
      <c r="C747" s="32" t="s">
        <v>66</v>
      </c>
      <c r="D747" s="32" t="s">
        <v>1683</v>
      </c>
      <c r="E747" s="32"/>
      <c r="F747" s="32" t="s">
        <v>3420</v>
      </c>
    </row>
    <row r="748" spans="1:6" ht="69.95" customHeight="1">
      <c r="A748" s="32" t="s">
        <v>1614</v>
      </c>
      <c r="B748" s="32" t="s">
        <v>3415</v>
      </c>
      <c r="C748" s="32" t="s">
        <v>93</v>
      </c>
      <c r="D748" s="32"/>
      <c r="E748" s="32" t="s">
        <v>462</v>
      </c>
      <c r="F748" s="32" t="s">
        <v>3416</v>
      </c>
    </row>
    <row r="749" spans="1:6" ht="69.95" customHeight="1">
      <c r="A749" s="32" t="s">
        <v>1614</v>
      </c>
      <c r="B749" s="32" t="s">
        <v>3417</v>
      </c>
      <c r="C749" s="32" t="s">
        <v>94</v>
      </c>
      <c r="D749" s="32"/>
      <c r="E749" s="32" t="s">
        <v>141</v>
      </c>
      <c r="F749" s="32" t="s">
        <v>3416</v>
      </c>
    </row>
    <row r="750" spans="1:6" ht="69.95" customHeight="1">
      <c r="A750" s="32" t="s">
        <v>1614</v>
      </c>
      <c r="B750" s="32" t="s">
        <v>3418</v>
      </c>
      <c r="C750" s="32" t="s">
        <v>96</v>
      </c>
      <c r="D750" s="32"/>
      <c r="E750" s="32" t="s">
        <v>142</v>
      </c>
      <c r="F750" s="32" t="s">
        <v>3416</v>
      </c>
    </row>
    <row r="751" spans="1:6" ht="69.95" customHeight="1">
      <c r="A751" s="32" t="s">
        <v>1095</v>
      </c>
      <c r="B751" s="32" t="s">
        <v>3419</v>
      </c>
      <c r="C751" s="32" t="s">
        <v>65</v>
      </c>
      <c r="D751" s="32" t="s">
        <v>1700</v>
      </c>
      <c r="E751" s="32" t="s">
        <v>1622</v>
      </c>
      <c r="F751" s="32" t="s">
        <v>3420</v>
      </c>
    </row>
    <row r="752" spans="1:6" ht="69.95" customHeight="1">
      <c r="A752" s="32" t="s">
        <v>1095</v>
      </c>
      <c r="B752" s="32" t="s">
        <v>3421</v>
      </c>
      <c r="C752" s="32" t="s">
        <v>66</v>
      </c>
      <c r="D752" s="32" t="s">
        <v>1683</v>
      </c>
      <c r="E752" s="32" t="s">
        <v>1248</v>
      </c>
      <c r="F752" s="32" t="s">
        <v>3420</v>
      </c>
    </row>
    <row r="753" spans="1:6" ht="69.95" customHeight="1">
      <c r="A753" s="32" t="s">
        <v>1095</v>
      </c>
      <c r="B753" s="32" t="s">
        <v>3415</v>
      </c>
      <c r="C753" s="32" t="s">
        <v>93</v>
      </c>
      <c r="D753" s="32"/>
      <c r="E753" s="32" t="s">
        <v>462</v>
      </c>
      <c r="F753" s="32" t="s">
        <v>3416</v>
      </c>
    </row>
    <row r="754" spans="1:6" ht="69.95" customHeight="1">
      <c r="A754" s="32" t="s">
        <v>1095</v>
      </c>
      <c r="B754" s="32" t="s">
        <v>3417</v>
      </c>
      <c r="C754" s="32" t="s">
        <v>94</v>
      </c>
      <c r="D754" s="32"/>
      <c r="E754" s="32" t="s">
        <v>141</v>
      </c>
      <c r="F754" s="32" t="s">
        <v>3416</v>
      </c>
    </row>
    <row r="755" spans="1:6" ht="69.95" customHeight="1">
      <c r="A755" s="32" t="s">
        <v>1095</v>
      </c>
      <c r="B755" s="32" t="s">
        <v>3418</v>
      </c>
      <c r="C755" s="32" t="s">
        <v>96</v>
      </c>
      <c r="D755" s="32"/>
      <c r="E755" s="32" t="s">
        <v>142</v>
      </c>
      <c r="F755" s="32" t="s">
        <v>3416</v>
      </c>
    </row>
    <row r="756" spans="1:6" ht="69.95" customHeight="1">
      <c r="A756" s="32" t="s">
        <v>1625</v>
      </c>
      <c r="B756" s="32" t="s">
        <v>3419</v>
      </c>
      <c r="C756" s="32" t="s">
        <v>65</v>
      </c>
      <c r="D756" s="32" t="s">
        <v>1707</v>
      </c>
      <c r="E756" s="32"/>
      <c r="F756" s="32" t="s">
        <v>3420</v>
      </c>
    </row>
    <row r="757" spans="1:6" ht="69.95" customHeight="1">
      <c r="A757" s="32" t="s">
        <v>1625</v>
      </c>
      <c r="B757" s="32" t="s">
        <v>3415</v>
      </c>
      <c r="C757" s="32" t="s">
        <v>93</v>
      </c>
      <c r="D757" s="32"/>
      <c r="E757" s="32" t="s">
        <v>462</v>
      </c>
      <c r="F757" s="32" t="s">
        <v>3416</v>
      </c>
    </row>
    <row r="758" spans="1:6" ht="69.95" customHeight="1">
      <c r="A758" s="32" t="s">
        <v>1625</v>
      </c>
      <c r="B758" s="32" t="s">
        <v>3417</v>
      </c>
      <c r="C758" s="32" t="s">
        <v>94</v>
      </c>
      <c r="D758" s="32"/>
      <c r="E758" s="32" t="s">
        <v>141</v>
      </c>
      <c r="F758" s="32" t="s">
        <v>3416</v>
      </c>
    </row>
    <row r="759" spans="1:6" ht="69.95" customHeight="1">
      <c r="A759" s="32" t="s">
        <v>1625</v>
      </c>
      <c r="B759" s="32" t="s">
        <v>3418</v>
      </c>
      <c r="C759" s="32" t="s">
        <v>96</v>
      </c>
      <c r="D759" s="32"/>
      <c r="E759" s="32" t="s">
        <v>142</v>
      </c>
      <c r="F759" s="32" t="s">
        <v>3416</v>
      </c>
    </row>
    <row r="760" spans="1:6" ht="69.95" customHeight="1">
      <c r="A760" s="32" t="s">
        <v>1633</v>
      </c>
      <c r="B760" s="32" t="s">
        <v>3419</v>
      </c>
      <c r="C760" s="32" t="s">
        <v>65</v>
      </c>
      <c r="D760" s="32" t="s">
        <v>1714</v>
      </c>
      <c r="E760" s="32" t="s">
        <v>1638</v>
      </c>
      <c r="F760" s="32" t="s">
        <v>3420</v>
      </c>
    </row>
    <row r="761" spans="1:6" ht="69.95" customHeight="1">
      <c r="A761" s="32" t="s">
        <v>1633</v>
      </c>
      <c r="B761" s="32" t="s">
        <v>3421</v>
      </c>
      <c r="C761" s="32" t="s">
        <v>66</v>
      </c>
      <c r="D761" s="32" t="s">
        <v>1248</v>
      </c>
      <c r="E761" s="32" t="s">
        <v>1639</v>
      </c>
      <c r="F761" s="32" t="s">
        <v>3420</v>
      </c>
    </row>
    <row r="762" spans="1:6" ht="69.95" customHeight="1">
      <c r="A762" s="32" t="s">
        <v>1633</v>
      </c>
      <c r="B762" s="32" t="s">
        <v>3415</v>
      </c>
      <c r="C762" s="32" t="s">
        <v>93</v>
      </c>
      <c r="D762" s="32"/>
      <c r="E762" s="32" t="s">
        <v>462</v>
      </c>
      <c r="F762" s="32" t="s">
        <v>3416</v>
      </c>
    </row>
    <row r="763" spans="1:6" ht="69.95" customHeight="1">
      <c r="A763" s="32" t="s">
        <v>1633</v>
      </c>
      <c r="B763" s="32" t="s">
        <v>3417</v>
      </c>
      <c r="C763" s="32" t="s">
        <v>94</v>
      </c>
      <c r="D763" s="32"/>
      <c r="E763" s="32" t="s">
        <v>141</v>
      </c>
      <c r="F763" s="32" t="s">
        <v>3416</v>
      </c>
    </row>
    <row r="764" spans="1:6" ht="69.95" customHeight="1">
      <c r="A764" s="32" t="s">
        <v>1633</v>
      </c>
      <c r="B764" s="32" t="s">
        <v>3418</v>
      </c>
      <c r="C764" s="32" t="s">
        <v>96</v>
      </c>
      <c r="D764" s="32"/>
      <c r="E764" s="32" t="s">
        <v>142</v>
      </c>
      <c r="F764" s="32" t="s">
        <v>3416</v>
      </c>
    </row>
    <row r="765" spans="1:6" ht="69.95" customHeight="1">
      <c r="A765" s="32" t="s">
        <v>1641</v>
      </c>
      <c r="B765" s="32" t="s">
        <v>3419</v>
      </c>
      <c r="C765" s="32" t="s">
        <v>65</v>
      </c>
      <c r="D765" s="32" t="s">
        <v>1723</v>
      </c>
      <c r="E765" s="32" t="s">
        <v>1646</v>
      </c>
      <c r="F765" s="32" t="s">
        <v>3420</v>
      </c>
    </row>
    <row r="766" spans="1:6" ht="69.95" customHeight="1">
      <c r="A766" s="32" t="s">
        <v>1641</v>
      </c>
      <c r="B766" s="32" t="s">
        <v>3421</v>
      </c>
      <c r="C766" s="32" t="s">
        <v>66</v>
      </c>
      <c r="D766" s="32" t="s">
        <v>1724</v>
      </c>
      <c r="E766" s="32" t="s">
        <v>1647</v>
      </c>
      <c r="F766" s="32" t="s">
        <v>3420</v>
      </c>
    </row>
    <row r="767" spans="1:6" ht="69.95" customHeight="1">
      <c r="A767" s="32" t="s">
        <v>1641</v>
      </c>
      <c r="B767" s="32" t="s">
        <v>3415</v>
      </c>
      <c r="C767" s="32" t="s">
        <v>93</v>
      </c>
      <c r="D767" s="32"/>
      <c r="E767" s="32" t="s">
        <v>462</v>
      </c>
      <c r="F767" s="32" t="s">
        <v>3416</v>
      </c>
    </row>
    <row r="768" spans="1:6" ht="69.95" customHeight="1">
      <c r="A768" s="32" t="s">
        <v>1641</v>
      </c>
      <c r="B768" s="32" t="s">
        <v>3417</v>
      </c>
      <c r="C768" s="32" t="s">
        <v>94</v>
      </c>
      <c r="D768" s="32"/>
      <c r="E768" s="32" t="s">
        <v>141</v>
      </c>
      <c r="F768" s="32" t="s">
        <v>3416</v>
      </c>
    </row>
    <row r="769" spans="1:6" ht="69.95" customHeight="1">
      <c r="A769" s="32" t="s">
        <v>1641</v>
      </c>
      <c r="B769" s="32" t="s">
        <v>3418</v>
      </c>
      <c r="C769" s="32" t="s">
        <v>96</v>
      </c>
      <c r="D769" s="32"/>
      <c r="E769" s="32" t="s">
        <v>142</v>
      </c>
      <c r="F769" s="32" t="s">
        <v>3416</v>
      </c>
    </row>
    <row r="770" spans="1:6" ht="69.95" customHeight="1">
      <c r="A770" s="32" t="s">
        <v>1649</v>
      </c>
      <c r="B770" s="32" t="s">
        <v>3419</v>
      </c>
      <c r="C770" s="32" t="s">
        <v>65</v>
      </c>
      <c r="D770" s="32" t="s">
        <v>1731</v>
      </c>
      <c r="E770" s="32" t="s">
        <v>1653</v>
      </c>
      <c r="F770" s="32" t="s">
        <v>3420</v>
      </c>
    </row>
    <row r="771" spans="1:6" ht="69.95" customHeight="1">
      <c r="A771" s="32" t="s">
        <v>1649</v>
      </c>
      <c r="B771" s="32" t="s">
        <v>3421</v>
      </c>
      <c r="C771" s="32" t="s">
        <v>66</v>
      </c>
      <c r="D771" s="32" t="s">
        <v>1732</v>
      </c>
      <c r="E771" s="32" t="s">
        <v>1647</v>
      </c>
      <c r="F771" s="32" t="s">
        <v>3420</v>
      </c>
    </row>
    <row r="772" spans="1:6" ht="69.95" customHeight="1">
      <c r="A772" s="32" t="s">
        <v>1649</v>
      </c>
      <c r="B772" s="32" t="s">
        <v>3415</v>
      </c>
      <c r="C772" s="32" t="s">
        <v>93</v>
      </c>
      <c r="D772" s="32"/>
      <c r="E772" s="32" t="s">
        <v>462</v>
      </c>
      <c r="F772" s="32" t="s">
        <v>3416</v>
      </c>
    </row>
    <row r="773" spans="1:6" ht="69.95" customHeight="1">
      <c r="A773" s="32" t="s">
        <v>1649</v>
      </c>
      <c r="B773" s="32" t="s">
        <v>3417</v>
      </c>
      <c r="C773" s="32" t="s">
        <v>94</v>
      </c>
      <c r="D773" s="32"/>
      <c r="E773" s="32" t="s">
        <v>141</v>
      </c>
      <c r="F773" s="32" t="s">
        <v>3416</v>
      </c>
    </row>
    <row r="774" spans="1:6" ht="69.95" customHeight="1">
      <c r="A774" s="32" t="s">
        <v>1649</v>
      </c>
      <c r="B774" s="32" t="s">
        <v>3418</v>
      </c>
      <c r="C774" s="32" t="s">
        <v>96</v>
      </c>
      <c r="D774" s="32"/>
      <c r="E774" s="32" t="s">
        <v>142</v>
      </c>
      <c r="F774" s="32" t="s">
        <v>3416</v>
      </c>
    </row>
    <row r="775" spans="1:6" ht="69.95" customHeight="1">
      <c r="A775" s="32" t="s">
        <v>1655</v>
      </c>
      <c r="B775" s="32" t="s">
        <v>3419</v>
      </c>
      <c r="C775" s="32" t="s">
        <v>65</v>
      </c>
      <c r="D775" s="32" t="s">
        <v>1742</v>
      </c>
      <c r="E775" s="32" t="s">
        <v>1659</v>
      </c>
      <c r="F775" s="32" t="s">
        <v>3420</v>
      </c>
    </row>
    <row r="776" spans="1:6" ht="69.95" customHeight="1">
      <c r="A776" s="32" t="s">
        <v>1655</v>
      </c>
      <c r="B776" s="32" t="s">
        <v>3421</v>
      </c>
      <c r="C776" s="32" t="s">
        <v>66</v>
      </c>
      <c r="D776" s="32" t="s">
        <v>1743</v>
      </c>
      <c r="E776" s="32" t="s">
        <v>1660</v>
      </c>
      <c r="F776" s="32" t="s">
        <v>3420</v>
      </c>
    </row>
    <row r="777" spans="1:6" ht="69.95" customHeight="1">
      <c r="A777" s="32" t="s">
        <v>1655</v>
      </c>
      <c r="B777" s="32" t="s">
        <v>3415</v>
      </c>
      <c r="C777" s="32" t="s">
        <v>93</v>
      </c>
      <c r="D777" s="32"/>
      <c r="E777" s="32" t="s">
        <v>462</v>
      </c>
      <c r="F777" s="32" t="s">
        <v>3416</v>
      </c>
    </row>
    <row r="778" spans="1:6" ht="69.95" customHeight="1">
      <c r="A778" s="32" t="s">
        <v>1655</v>
      </c>
      <c r="B778" s="32" t="s">
        <v>3417</v>
      </c>
      <c r="C778" s="32" t="s">
        <v>94</v>
      </c>
      <c r="D778" s="32"/>
      <c r="E778" s="32" t="s">
        <v>141</v>
      </c>
      <c r="F778" s="32" t="s">
        <v>3416</v>
      </c>
    </row>
    <row r="779" spans="1:6" ht="69.95" customHeight="1">
      <c r="A779" s="32" t="s">
        <v>1655</v>
      </c>
      <c r="B779" s="32" t="s">
        <v>3418</v>
      </c>
      <c r="C779" s="32" t="s">
        <v>96</v>
      </c>
      <c r="D779" s="32"/>
      <c r="E779" s="32" t="s">
        <v>142</v>
      </c>
      <c r="F779" s="32" t="s">
        <v>3416</v>
      </c>
    </row>
    <row r="780" spans="1:6" ht="69.95" customHeight="1">
      <c r="A780" s="32" t="s">
        <v>912</v>
      </c>
      <c r="B780" s="32" t="s">
        <v>3419</v>
      </c>
      <c r="C780" s="32" t="s">
        <v>65</v>
      </c>
      <c r="D780" s="32" t="s">
        <v>1752</v>
      </c>
      <c r="E780" s="32" t="s">
        <v>1666</v>
      </c>
      <c r="F780" s="32" t="s">
        <v>3420</v>
      </c>
    </row>
    <row r="781" spans="1:6" ht="69.95" customHeight="1">
      <c r="A781" s="32" t="s">
        <v>912</v>
      </c>
      <c r="B781" s="32" t="s">
        <v>3421</v>
      </c>
      <c r="C781" s="32" t="s">
        <v>66</v>
      </c>
      <c r="D781" s="32" t="s">
        <v>1753</v>
      </c>
      <c r="E781" s="32" t="s">
        <v>1667</v>
      </c>
      <c r="F781" s="32" t="s">
        <v>3420</v>
      </c>
    </row>
    <row r="782" spans="1:6" ht="69.95" customHeight="1">
      <c r="A782" s="32" t="s">
        <v>912</v>
      </c>
      <c r="B782" s="32" t="s">
        <v>3415</v>
      </c>
      <c r="C782" s="32" t="s">
        <v>93</v>
      </c>
      <c r="D782" s="32"/>
      <c r="E782" s="32" t="s">
        <v>462</v>
      </c>
      <c r="F782" s="32" t="s">
        <v>3416</v>
      </c>
    </row>
    <row r="783" spans="1:6" ht="69.95" customHeight="1">
      <c r="A783" s="32" t="s">
        <v>912</v>
      </c>
      <c r="B783" s="32" t="s">
        <v>3417</v>
      </c>
      <c r="C783" s="32" t="s">
        <v>94</v>
      </c>
      <c r="D783" s="32"/>
      <c r="E783" s="32" t="s">
        <v>141</v>
      </c>
      <c r="F783" s="32" t="s">
        <v>3416</v>
      </c>
    </row>
    <row r="784" spans="1:6" ht="69.95" customHeight="1">
      <c r="A784" s="32" t="s">
        <v>912</v>
      </c>
      <c r="B784" s="32" t="s">
        <v>3418</v>
      </c>
      <c r="C784" s="32" t="s">
        <v>96</v>
      </c>
      <c r="D784" s="32"/>
      <c r="E784" s="32" t="s">
        <v>142</v>
      </c>
      <c r="F784" s="32" t="s">
        <v>3416</v>
      </c>
    </row>
    <row r="785" spans="1:6" ht="69.95" customHeight="1">
      <c r="A785" s="32" t="s">
        <v>1669</v>
      </c>
      <c r="B785" s="32" t="s">
        <v>3419</v>
      </c>
      <c r="C785" s="32" t="s">
        <v>65</v>
      </c>
      <c r="D785" s="32"/>
      <c r="E785" s="32" t="s">
        <v>1674</v>
      </c>
      <c r="F785" s="32" t="s">
        <v>3420</v>
      </c>
    </row>
    <row r="786" spans="1:6" ht="69.95" customHeight="1">
      <c r="A786" s="32" t="s">
        <v>1669</v>
      </c>
      <c r="B786" s="32" t="s">
        <v>3421</v>
      </c>
      <c r="C786" s="32" t="s">
        <v>66</v>
      </c>
      <c r="D786" s="32" t="s">
        <v>1248</v>
      </c>
      <c r="E786" s="32" t="s">
        <v>1675</v>
      </c>
      <c r="F786" s="32" t="s">
        <v>3420</v>
      </c>
    </row>
    <row r="787" spans="1:6" ht="69.95" customHeight="1">
      <c r="A787" s="32" t="s">
        <v>1669</v>
      </c>
      <c r="B787" s="32" t="s">
        <v>3415</v>
      </c>
      <c r="C787" s="32" t="s">
        <v>93</v>
      </c>
      <c r="D787" s="32"/>
      <c r="E787" s="32" t="s">
        <v>462</v>
      </c>
      <c r="F787" s="32" t="s">
        <v>3416</v>
      </c>
    </row>
    <row r="788" spans="1:6" ht="69.95" customHeight="1">
      <c r="A788" s="32" t="s">
        <v>1669</v>
      </c>
      <c r="B788" s="32" t="s">
        <v>3417</v>
      </c>
      <c r="C788" s="32" t="s">
        <v>94</v>
      </c>
      <c r="D788" s="32"/>
      <c r="E788" s="32" t="s">
        <v>141</v>
      </c>
      <c r="F788" s="32" t="s">
        <v>3416</v>
      </c>
    </row>
    <row r="789" spans="1:6" ht="69.95" customHeight="1">
      <c r="A789" s="32" t="s">
        <v>1669</v>
      </c>
      <c r="B789" s="32" t="s">
        <v>3418</v>
      </c>
      <c r="C789" s="32" t="s">
        <v>96</v>
      </c>
      <c r="D789" s="32"/>
      <c r="E789" s="32" t="s">
        <v>142</v>
      </c>
      <c r="F789" s="32" t="s">
        <v>3416</v>
      </c>
    </row>
    <row r="790" spans="1:6" ht="69.95" customHeight="1">
      <c r="A790" s="32" t="s">
        <v>1562</v>
      </c>
      <c r="B790" s="32" t="s">
        <v>3419</v>
      </c>
      <c r="C790" s="32" t="s">
        <v>65</v>
      </c>
      <c r="D790" s="32" t="s">
        <v>2976</v>
      </c>
      <c r="E790" s="32" t="s">
        <v>1682</v>
      </c>
      <c r="F790" s="32" t="s">
        <v>3420</v>
      </c>
    </row>
    <row r="791" spans="1:6" ht="69.95" customHeight="1">
      <c r="A791" s="32" t="s">
        <v>1562</v>
      </c>
      <c r="B791" s="32" t="s">
        <v>3421</v>
      </c>
      <c r="C791" s="32" t="s">
        <v>66</v>
      </c>
      <c r="D791" s="32"/>
      <c r="E791" s="32" t="s">
        <v>1683</v>
      </c>
      <c r="F791" s="32" t="s">
        <v>3420</v>
      </c>
    </row>
    <row r="792" spans="1:6" ht="69.95" customHeight="1">
      <c r="A792" s="32" t="s">
        <v>1562</v>
      </c>
      <c r="B792" s="32" t="s">
        <v>3415</v>
      </c>
      <c r="C792" s="32" t="s">
        <v>93</v>
      </c>
      <c r="D792" s="32"/>
      <c r="E792" s="32" t="s">
        <v>462</v>
      </c>
      <c r="F792" s="32" t="s">
        <v>3416</v>
      </c>
    </row>
    <row r="793" spans="1:6" ht="69.95" customHeight="1">
      <c r="A793" s="32" t="s">
        <v>1562</v>
      </c>
      <c r="B793" s="32" t="s">
        <v>3417</v>
      </c>
      <c r="C793" s="32" t="s">
        <v>94</v>
      </c>
      <c r="D793" s="32"/>
      <c r="E793" s="32" t="s">
        <v>141</v>
      </c>
      <c r="F793" s="32" t="s">
        <v>3416</v>
      </c>
    </row>
    <row r="794" spans="1:6" ht="69.95" customHeight="1">
      <c r="A794" s="32" t="s">
        <v>1562</v>
      </c>
      <c r="B794" s="32" t="s">
        <v>3418</v>
      </c>
      <c r="C794" s="32" t="s">
        <v>96</v>
      </c>
      <c r="D794" s="32"/>
      <c r="E794" s="32" t="s">
        <v>142</v>
      </c>
      <c r="F794" s="32" t="s">
        <v>3416</v>
      </c>
    </row>
    <row r="795" spans="1:6" ht="69.95" customHeight="1">
      <c r="A795" s="32" t="s">
        <v>1685</v>
      </c>
      <c r="B795" s="32" t="s">
        <v>3419</v>
      </c>
      <c r="C795" s="32" t="s">
        <v>65</v>
      </c>
      <c r="D795" s="32" t="s">
        <v>274</v>
      </c>
      <c r="E795" s="32" t="s">
        <v>1690</v>
      </c>
      <c r="F795" s="32" t="s">
        <v>3420</v>
      </c>
    </row>
    <row r="796" spans="1:6" ht="69.95" customHeight="1">
      <c r="A796" s="32" t="s">
        <v>1685</v>
      </c>
      <c r="B796" s="32" t="s">
        <v>3421</v>
      </c>
      <c r="C796" s="32" t="s">
        <v>66</v>
      </c>
      <c r="D796" s="32" t="s">
        <v>361</v>
      </c>
      <c r="E796" s="32" t="s">
        <v>1683</v>
      </c>
      <c r="F796" s="32" t="s">
        <v>3420</v>
      </c>
    </row>
    <row r="797" spans="1:6" ht="69.95" customHeight="1">
      <c r="A797" s="32" t="s">
        <v>1685</v>
      </c>
      <c r="B797" s="32" t="s">
        <v>3415</v>
      </c>
      <c r="C797" s="32" t="s">
        <v>93</v>
      </c>
      <c r="D797" s="32"/>
      <c r="E797" s="32" t="s">
        <v>462</v>
      </c>
      <c r="F797" s="32" t="s">
        <v>3416</v>
      </c>
    </row>
    <row r="798" spans="1:6" ht="69.95" customHeight="1">
      <c r="A798" s="32" t="s">
        <v>1685</v>
      </c>
      <c r="B798" s="32" t="s">
        <v>3417</v>
      </c>
      <c r="C798" s="32" t="s">
        <v>94</v>
      </c>
      <c r="D798" s="32"/>
      <c r="E798" s="32" t="s">
        <v>141</v>
      </c>
      <c r="F798" s="32" t="s">
        <v>3416</v>
      </c>
    </row>
    <row r="799" spans="1:6" ht="69.95" customHeight="1">
      <c r="A799" s="32" t="s">
        <v>1685</v>
      </c>
      <c r="B799" s="32" t="s">
        <v>3418</v>
      </c>
      <c r="C799" s="32" t="s">
        <v>96</v>
      </c>
      <c r="D799" s="32"/>
      <c r="E799" s="32" t="s">
        <v>142</v>
      </c>
      <c r="F799" s="32" t="s">
        <v>3416</v>
      </c>
    </row>
    <row r="800" spans="1:6" ht="69.95" customHeight="1">
      <c r="A800" s="32" t="s">
        <v>1695</v>
      </c>
      <c r="B800" s="32" t="s">
        <v>3419</v>
      </c>
      <c r="C800" s="32" t="s">
        <v>65</v>
      </c>
      <c r="D800" s="32" t="s">
        <v>373</v>
      </c>
      <c r="E800" s="32" t="s">
        <v>1700</v>
      </c>
      <c r="F800" s="32" t="s">
        <v>3420</v>
      </c>
    </row>
    <row r="801" spans="1:6" ht="69.95" customHeight="1">
      <c r="A801" s="32" t="s">
        <v>1695</v>
      </c>
      <c r="B801" s="32" t="s">
        <v>3421</v>
      </c>
      <c r="C801" s="32" t="s">
        <v>66</v>
      </c>
      <c r="D801" s="32" t="s">
        <v>374</v>
      </c>
      <c r="E801" s="32" t="s">
        <v>1683</v>
      </c>
      <c r="F801" s="32" t="s">
        <v>3420</v>
      </c>
    </row>
    <row r="802" spans="1:6" ht="69.95" customHeight="1">
      <c r="A802" s="32" t="s">
        <v>1695</v>
      </c>
      <c r="B802" s="32" t="s">
        <v>3415</v>
      </c>
      <c r="C802" s="32" t="s">
        <v>93</v>
      </c>
      <c r="D802" s="32"/>
      <c r="E802" s="32" t="s">
        <v>462</v>
      </c>
      <c r="F802" s="32" t="s">
        <v>3416</v>
      </c>
    </row>
    <row r="803" spans="1:6" ht="69.95" customHeight="1">
      <c r="A803" s="32" t="s">
        <v>1695</v>
      </c>
      <c r="B803" s="32" t="s">
        <v>3417</v>
      </c>
      <c r="C803" s="32" t="s">
        <v>94</v>
      </c>
      <c r="D803" s="32"/>
      <c r="E803" s="32" t="s">
        <v>141</v>
      </c>
      <c r="F803" s="32" t="s">
        <v>3416</v>
      </c>
    </row>
    <row r="804" spans="1:6" ht="69.95" customHeight="1">
      <c r="A804" s="32" t="s">
        <v>1695</v>
      </c>
      <c r="B804" s="32" t="s">
        <v>3418</v>
      </c>
      <c r="C804" s="32" t="s">
        <v>96</v>
      </c>
      <c r="D804" s="32"/>
      <c r="E804" s="32" t="s">
        <v>142</v>
      </c>
      <c r="F804" s="32" t="s">
        <v>3416</v>
      </c>
    </row>
    <row r="805" spans="1:6" ht="69.95" customHeight="1">
      <c r="A805" s="32" t="s">
        <v>1683</v>
      </c>
      <c r="B805" s="32" t="s">
        <v>3419</v>
      </c>
      <c r="C805" s="32" t="s">
        <v>65</v>
      </c>
      <c r="D805" s="32" t="s">
        <v>158</v>
      </c>
      <c r="E805" s="32" t="s">
        <v>1707</v>
      </c>
      <c r="F805" s="32" t="s">
        <v>3420</v>
      </c>
    </row>
    <row r="806" spans="1:6" ht="69.95" customHeight="1">
      <c r="A806" s="32" t="s">
        <v>1683</v>
      </c>
      <c r="B806" s="32" t="s">
        <v>3421</v>
      </c>
      <c r="C806" s="32" t="s">
        <v>66</v>
      </c>
      <c r="D806" s="32" t="s">
        <v>368</v>
      </c>
      <c r="E806" s="32"/>
      <c r="F806" s="32" t="s">
        <v>3420</v>
      </c>
    </row>
    <row r="807" spans="1:6" ht="69.95" customHeight="1">
      <c r="A807" s="32" t="s">
        <v>1683</v>
      </c>
      <c r="B807" s="32" t="s">
        <v>3415</v>
      </c>
      <c r="C807" s="32" t="s">
        <v>93</v>
      </c>
      <c r="D807" s="32"/>
      <c r="E807" s="32" t="s">
        <v>462</v>
      </c>
      <c r="F807" s="32" t="s">
        <v>3416</v>
      </c>
    </row>
    <row r="808" spans="1:6" ht="69.95" customHeight="1">
      <c r="A808" s="32" t="s">
        <v>1683</v>
      </c>
      <c r="B808" s="32" t="s">
        <v>3417</v>
      </c>
      <c r="C808" s="32" t="s">
        <v>94</v>
      </c>
      <c r="D808" s="32"/>
      <c r="E808" s="32" t="s">
        <v>141</v>
      </c>
      <c r="F808" s="32" t="s">
        <v>3416</v>
      </c>
    </row>
    <row r="809" spans="1:6" ht="69.95" customHeight="1">
      <c r="A809" s="32" t="s">
        <v>1683</v>
      </c>
      <c r="B809" s="32" t="s">
        <v>3418</v>
      </c>
      <c r="C809" s="32" t="s">
        <v>96</v>
      </c>
      <c r="D809" s="32"/>
      <c r="E809" s="32" t="s">
        <v>142</v>
      </c>
      <c r="F809" s="32" t="s">
        <v>3416</v>
      </c>
    </row>
    <row r="810" spans="1:6" ht="69.95" customHeight="1">
      <c r="A810" s="32" t="s">
        <v>1710</v>
      </c>
      <c r="B810" s="32" t="s">
        <v>3419</v>
      </c>
      <c r="C810" s="32" t="s">
        <v>65</v>
      </c>
      <c r="D810" s="32" t="s">
        <v>368</v>
      </c>
      <c r="E810" s="32" t="s">
        <v>1714</v>
      </c>
      <c r="F810" s="32" t="s">
        <v>3420</v>
      </c>
    </row>
    <row r="811" spans="1:6" ht="69.95" customHeight="1">
      <c r="A811" s="32" t="s">
        <v>1710</v>
      </c>
      <c r="B811" s="32" t="s">
        <v>3421</v>
      </c>
      <c r="C811" s="32" t="s">
        <v>66</v>
      </c>
      <c r="D811" s="32" t="s">
        <v>410</v>
      </c>
      <c r="E811" s="32" t="s">
        <v>1248</v>
      </c>
      <c r="F811" s="32" t="s">
        <v>3420</v>
      </c>
    </row>
    <row r="812" spans="1:6" ht="69.95" customHeight="1">
      <c r="A812" s="32" t="s">
        <v>1710</v>
      </c>
      <c r="B812" s="32" t="s">
        <v>3415</v>
      </c>
      <c r="C812" s="32" t="s">
        <v>93</v>
      </c>
      <c r="D812" s="32"/>
      <c r="E812" s="32" t="s">
        <v>462</v>
      </c>
      <c r="F812" s="32" t="s">
        <v>3416</v>
      </c>
    </row>
    <row r="813" spans="1:6" ht="69.95" customHeight="1">
      <c r="A813" s="32" t="s">
        <v>1710</v>
      </c>
      <c r="B813" s="32" t="s">
        <v>3417</v>
      </c>
      <c r="C813" s="32" t="s">
        <v>94</v>
      </c>
      <c r="D813" s="32"/>
      <c r="E813" s="32" t="s">
        <v>141</v>
      </c>
      <c r="F813" s="32" t="s">
        <v>3416</v>
      </c>
    </row>
    <row r="814" spans="1:6" ht="69.95" customHeight="1">
      <c r="A814" s="32" t="s">
        <v>1710</v>
      </c>
      <c r="B814" s="32" t="s">
        <v>3418</v>
      </c>
      <c r="C814" s="32" t="s">
        <v>96</v>
      </c>
      <c r="D814" s="32"/>
      <c r="E814" s="32" t="s">
        <v>142</v>
      </c>
      <c r="F814" s="32" t="s">
        <v>3416</v>
      </c>
    </row>
    <row r="815" spans="1:6" ht="69.95" customHeight="1">
      <c r="A815" s="32" t="s">
        <v>1718</v>
      </c>
      <c r="B815" s="32" t="s">
        <v>3419</v>
      </c>
      <c r="C815" s="32" t="s">
        <v>65</v>
      </c>
      <c r="D815" s="32" t="s">
        <v>386</v>
      </c>
      <c r="E815" s="32" t="s">
        <v>1723</v>
      </c>
      <c r="F815" s="32" t="s">
        <v>3420</v>
      </c>
    </row>
    <row r="816" spans="1:6" ht="69.95" customHeight="1">
      <c r="A816" s="32" t="s">
        <v>1718</v>
      </c>
      <c r="B816" s="32" t="s">
        <v>3421</v>
      </c>
      <c r="C816" s="32" t="s">
        <v>66</v>
      </c>
      <c r="D816" s="32" t="s">
        <v>387</v>
      </c>
      <c r="E816" s="32" t="s">
        <v>1724</v>
      </c>
      <c r="F816" s="32" t="s">
        <v>3420</v>
      </c>
    </row>
    <row r="817" spans="1:6" ht="69.95" customHeight="1">
      <c r="A817" s="32" t="s">
        <v>1718</v>
      </c>
      <c r="B817" s="32" t="s">
        <v>3415</v>
      </c>
      <c r="C817" s="32" t="s">
        <v>93</v>
      </c>
      <c r="D817" s="32"/>
      <c r="E817" s="32" t="s">
        <v>462</v>
      </c>
      <c r="F817" s="32" t="s">
        <v>3416</v>
      </c>
    </row>
    <row r="818" spans="1:6" ht="69.95" customHeight="1">
      <c r="A818" s="32" t="s">
        <v>1718</v>
      </c>
      <c r="B818" s="32" t="s">
        <v>3417</v>
      </c>
      <c r="C818" s="32" t="s">
        <v>94</v>
      </c>
      <c r="D818" s="32"/>
      <c r="E818" s="32" t="s">
        <v>141</v>
      </c>
      <c r="F818" s="32" t="s">
        <v>3416</v>
      </c>
    </row>
    <row r="819" spans="1:6" ht="69.95" customHeight="1">
      <c r="A819" s="32" t="s">
        <v>1718</v>
      </c>
      <c r="B819" s="32" t="s">
        <v>3418</v>
      </c>
      <c r="C819" s="32" t="s">
        <v>96</v>
      </c>
      <c r="D819" s="32"/>
      <c r="E819" s="32" t="s">
        <v>142</v>
      </c>
      <c r="F819" s="32" t="s">
        <v>3416</v>
      </c>
    </row>
    <row r="820" spans="1:6" ht="69.95" customHeight="1">
      <c r="A820" s="32" t="s">
        <v>1726</v>
      </c>
      <c r="B820" s="32" t="s">
        <v>3419</v>
      </c>
      <c r="C820" s="32" t="s">
        <v>65</v>
      </c>
      <c r="D820" s="32" t="s">
        <v>397</v>
      </c>
      <c r="E820" s="32" t="s">
        <v>1731</v>
      </c>
      <c r="F820" s="32" t="s">
        <v>3420</v>
      </c>
    </row>
    <row r="821" spans="1:6" ht="69.95" customHeight="1">
      <c r="A821" s="32" t="s">
        <v>1726</v>
      </c>
      <c r="B821" s="32" t="s">
        <v>3421</v>
      </c>
      <c r="C821" s="32" t="s">
        <v>66</v>
      </c>
      <c r="D821" s="32" t="s">
        <v>398</v>
      </c>
      <c r="E821" s="32" t="s">
        <v>1732</v>
      </c>
      <c r="F821" s="32" t="s">
        <v>3420</v>
      </c>
    </row>
    <row r="822" spans="1:6" ht="69.95" customHeight="1">
      <c r="A822" s="32" t="s">
        <v>1726</v>
      </c>
      <c r="B822" s="32" t="s">
        <v>3415</v>
      </c>
      <c r="C822" s="32" t="s">
        <v>93</v>
      </c>
      <c r="D822" s="32"/>
      <c r="E822" s="32" t="s">
        <v>462</v>
      </c>
      <c r="F822" s="32" t="s">
        <v>3416</v>
      </c>
    </row>
    <row r="823" spans="1:6" ht="69.95" customHeight="1">
      <c r="A823" s="32" t="s">
        <v>1726</v>
      </c>
      <c r="B823" s="32" t="s">
        <v>3417</v>
      </c>
      <c r="C823" s="32" t="s">
        <v>94</v>
      </c>
      <c r="D823" s="32"/>
      <c r="E823" s="32" t="s">
        <v>141</v>
      </c>
      <c r="F823" s="32" t="s">
        <v>3416</v>
      </c>
    </row>
    <row r="824" spans="1:6" ht="69.95" customHeight="1">
      <c r="A824" s="32" t="s">
        <v>1726</v>
      </c>
      <c r="B824" s="32" t="s">
        <v>3418</v>
      </c>
      <c r="C824" s="32" t="s">
        <v>96</v>
      </c>
      <c r="D824" s="32"/>
      <c r="E824" s="32" t="s">
        <v>142</v>
      </c>
      <c r="F824" s="32" t="s">
        <v>3416</v>
      </c>
    </row>
    <row r="825" spans="1:6" ht="69.95" customHeight="1">
      <c r="A825" s="32" t="s">
        <v>1737</v>
      </c>
      <c r="B825" s="32" t="s">
        <v>3419</v>
      </c>
      <c r="C825" s="32" t="s">
        <v>65</v>
      </c>
      <c r="D825" s="32" t="s">
        <v>1222</v>
      </c>
      <c r="E825" s="32" t="s">
        <v>1742</v>
      </c>
      <c r="F825" s="32" t="s">
        <v>3420</v>
      </c>
    </row>
    <row r="826" spans="1:6" ht="69.95" customHeight="1">
      <c r="A826" s="32" t="s">
        <v>1737</v>
      </c>
      <c r="B826" s="32" t="s">
        <v>3421</v>
      </c>
      <c r="C826" s="32" t="s">
        <v>66</v>
      </c>
      <c r="D826" s="32" t="s">
        <v>743</v>
      </c>
      <c r="E826" s="32" t="s">
        <v>1743</v>
      </c>
      <c r="F826" s="32" t="s">
        <v>3420</v>
      </c>
    </row>
    <row r="827" spans="1:6" ht="69.95" customHeight="1">
      <c r="A827" s="32" t="s">
        <v>1737</v>
      </c>
      <c r="B827" s="32" t="s">
        <v>3415</v>
      </c>
      <c r="C827" s="32" t="s">
        <v>93</v>
      </c>
      <c r="D827" s="32"/>
      <c r="E827" s="32" t="s">
        <v>462</v>
      </c>
      <c r="F827" s="32" t="s">
        <v>3416</v>
      </c>
    </row>
    <row r="828" spans="1:6" ht="69.95" customHeight="1">
      <c r="A828" s="32" t="s">
        <v>1737</v>
      </c>
      <c r="B828" s="32" t="s">
        <v>3417</v>
      </c>
      <c r="C828" s="32" t="s">
        <v>94</v>
      </c>
      <c r="D828" s="32"/>
      <c r="E828" s="32" t="s">
        <v>141</v>
      </c>
      <c r="F828" s="32" t="s">
        <v>3416</v>
      </c>
    </row>
    <row r="829" spans="1:6" ht="69.95" customHeight="1">
      <c r="A829" s="32" t="s">
        <v>1737</v>
      </c>
      <c r="B829" s="32" t="s">
        <v>3418</v>
      </c>
      <c r="C829" s="32" t="s">
        <v>96</v>
      </c>
      <c r="D829" s="32"/>
      <c r="E829" s="32" t="s">
        <v>142</v>
      </c>
      <c r="F829" s="32" t="s">
        <v>3416</v>
      </c>
    </row>
    <row r="830" spans="1:6" ht="69.95" customHeight="1">
      <c r="A830" s="32" t="s">
        <v>1743</v>
      </c>
      <c r="B830" s="32" t="s">
        <v>3419</v>
      </c>
      <c r="C830" s="32" t="s">
        <v>65</v>
      </c>
      <c r="D830" s="32" t="s">
        <v>1236</v>
      </c>
      <c r="E830" s="32" t="s">
        <v>1752</v>
      </c>
      <c r="F830" s="32" t="s">
        <v>3420</v>
      </c>
    </row>
    <row r="831" spans="1:6" ht="69.95" customHeight="1">
      <c r="A831" s="32" t="s">
        <v>1743</v>
      </c>
      <c r="B831" s="32" t="s">
        <v>3421</v>
      </c>
      <c r="C831" s="32" t="s">
        <v>66</v>
      </c>
      <c r="D831" s="32" t="s">
        <v>1237</v>
      </c>
      <c r="E831" s="32" t="s">
        <v>1753</v>
      </c>
      <c r="F831" s="32" t="s">
        <v>3420</v>
      </c>
    </row>
    <row r="832" spans="1:6" ht="69.95" customHeight="1">
      <c r="A832" s="32" t="s">
        <v>1743</v>
      </c>
      <c r="B832" s="32" t="s">
        <v>3415</v>
      </c>
      <c r="C832" s="32" t="s">
        <v>93</v>
      </c>
      <c r="D832" s="32"/>
      <c r="E832" s="32" t="s">
        <v>462</v>
      </c>
      <c r="F832" s="32" t="s">
        <v>3416</v>
      </c>
    </row>
    <row r="833" spans="1:6" ht="69.95" customHeight="1">
      <c r="A833" s="32" t="s">
        <v>1743</v>
      </c>
      <c r="B833" s="32" t="s">
        <v>3417</v>
      </c>
      <c r="C833" s="32" t="s">
        <v>94</v>
      </c>
      <c r="D833" s="32"/>
      <c r="E833" s="32" t="s">
        <v>141</v>
      </c>
      <c r="F833" s="32" t="s">
        <v>3416</v>
      </c>
    </row>
    <row r="834" spans="1:6" ht="69.95" customHeight="1">
      <c r="A834" s="32" t="s">
        <v>1743</v>
      </c>
      <c r="B834" s="32" t="s">
        <v>3418</v>
      </c>
      <c r="C834" s="32" t="s">
        <v>96</v>
      </c>
      <c r="D834" s="32"/>
      <c r="E834" s="32" t="s">
        <v>142</v>
      </c>
      <c r="F834" s="32" t="s">
        <v>3416</v>
      </c>
    </row>
    <row r="835" spans="1:6" ht="69.95" customHeight="1">
      <c r="A835" s="32" t="s">
        <v>1757</v>
      </c>
      <c r="B835" s="32" t="s">
        <v>3419</v>
      </c>
      <c r="C835" s="32" t="s">
        <v>65</v>
      </c>
      <c r="D835" s="32" t="s">
        <v>2970</v>
      </c>
      <c r="E835" s="32" t="s">
        <v>1761</v>
      </c>
      <c r="F835" s="32" t="s">
        <v>3420</v>
      </c>
    </row>
    <row r="836" spans="1:6" ht="69.95" customHeight="1">
      <c r="A836" s="32" t="s">
        <v>1757</v>
      </c>
      <c r="B836" s="32" t="s">
        <v>3421</v>
      </c>
      <c r="C836" s="32" t="s">
        <v>66</v>
      </c>
      <c r="D836" s="32" t="s">
        <v>779</v>
      </c>
      <c r="E836" s="32" t="s">
        <v>1248</v>
      </c>
      <c r="F836" s="32" t="s">
        <v>3420</v>
      </c>
    </row>
    <row r="837" spans="1:6" ht="69.95" customHeight="1">
      <c r="A837" s="32" t="s">
        <v>1757</v>
      </c>
      <c r="B837" s="32" t="s">
        <v>3415</v>
      </c>
      <c r="C837" s="32" t="s">
        <v>93</v>
      </c>
      <c r="D837" s="32"/>
      <c r="E837" s="32" t="s">
        <v>462</v>
      </c>
      <c r="F837" s="32" t="s">
        <v>3416</v>
      </c>
    </row>
    <row r="838" spans="1:6" ht="69.95" customHeight="1">
      <c r="A838" s="32" t="s">
        <v>1757</v>
      </c>
      <c r="B838" s="32" t="s">
        <v>3417</v>
      </c>
      <c r="C838" s="32" t="s">
        <v>94</v>
      </c>
      <c r="D838" s="32"/>
      <c r="E838" s="32" t="s">
        <v>141</v>
      </c>
      <c r="F838" s="32" t="s">
        <v>3416</v>
      </c>
    </row>
    <row r="839" spans="1:6" ht="69.95" customHeight="1">
      <c r="A839" s="32" t="s">
        <v>1757</v>
      </c>
      <c r="B839" s="32" t="s">
        <v>3418</v>
      </c>
      <c r="C839" s="32" t="s">
        <v>96</v>
      </c>
      <c r="D839" s="32"/>
      <c r="E839" s="32" t="s">
        <v>142</v>
      </c>
      <c r="F839" s="32" t="s">
        <v>3416</v>
      </c>
    </row>
    <row r="840" spans="1:6" ht="69.95" customHeight="1">
      <c r="A840" s="32" t="s">
        <v>1766</v>
      </c>
      <c r="B840" s="32" t="s">
        <v>3419</v>
      </c>
      <c r="C840" s="32" t="s">
        <v>65</v>
      </c>
      <c r="D840" s="32" t="s">
        <v>792</v>
      </c>
      <c r="E840" s="32" t="s">
        <v>1770</v>
      </c>
      <c r="F840" s="32" t="s">
        <v>3420</v>
      </c>
    </row>
    <row r="841" spans="1:6" ht="69.95" customHeight="1">
      <c r="A841" s="32" t="s">
        <v>1766</v>
      </c>
      <c r="B841" s="32" t="s">
        <v>3421</v>
      </c>
      <c r="C841" s="32" t="s">
        <v>66</v>
      </c>
      <c r="D841" s="32" t="s">
        <v>772</v>
      </c>
      <c r="E841" s="32" t="s">
        <v>1248</v>
      </c>
      <c r="F841" s="32" t="s">
        <v>3420</v>
      </c>
    </row>
    <row r="842" spans="1:6" ht="69.95" customHeight="1">
      <c r="A842" s="32" t="s">
        <v>1766</v>
      </c>
      <c r="B842" s="32" t="s">
        <v>3442</v>
      </c>
      <c r="C842" s="32" t="s">
        <v>88</v>
      </c>
      <c r="D842" s="32" t="s">
        <v>3469</v>
      </c>
      <c r="E842" s="32" t="s">
        <v>802</v>
      </c>
      <c r="F842" s="32" t="s">
        <v>3470</v>
      </c>
    </row>
    <row r="843" spans="1:6" ht="69.95" customHeight="1">
      <c r="A843" s="32" t="s">
        <v>1766</v>
      </c>
      <c r="B843" s="32" t="s">
        <v>3415</v>
      </c>
      <c r="C843" s="32" t="s">
        <v>93</v>
      </c>
      <c r="D843" s="32"/>
      <c r="E843" s="32" t="s">
        <v>462</v>
      </c>
      <c r="F843" s="32" t="s">
        <v>3416</v>
      </c>
    </row>
    <row r="844" spans="1:6" ht="69.95" customHeight="1">
      <c r="A844" s="32" t="s">
        <v>1766</v>
      </c>
      <c r="B844" s="32" t="s">
        <v>3417</v>
      </c>
      <c r="C844" s="32" t="s">
        <v>94</v>
      </c>
      <c r="D844" s="32"/>
      <c r="E844" s="32" t="s">
        <v>141</v>
      </c>
      <c r="F844" s="32" t="s">
        <v>3416</v>
      </c>
    </row>
    <row r="845" spans="1:6" ht="69.95" customHeight="1">
      <c r="A845" s="32" t="s">
        <v>1766</v>
      </c>
      <c r="B845" s="32" t="s">
        <v>3418</v>
      </c>
      <c r="C845" s="32" t="s">
        <v>96</v>
      </c>
      <c r="D845" s="32"/>
      <c r="E845" s="32" t="s">
        <v>805</v>
      </c>
      <c r="F845" s="32" t="s">
        <v>3416</v>
      </c>
    </row>
    <row r="846" spans="1:6" ht="69.95" customHeight="1">
      <c r="A846" s="32" t="s">
        <v>1775</v>
      </c>
      <c r="B846" s="32" t="s">
        <v>3419</v>
      </c>
      <c r="C846" s="32" t="s">
        <v>65</v>
      </c>
      <c r="D846" s="32" t="s">
        <v>1459</v>
      </c>
      <c r="E846" s="32"/>
      <c r="F846" s="32" t="s">
        <v>3420</v>
      </c>
    </row>
    <row r="847" spans="1:6" ht="69.95" customHeight="1">
      <c r="A847" s="32" t="s">
        <v>1775</v>
      </c>
      <c r="B847" s="32" t="s">
        <v>3415</v>
      </c>
      <c r="C847" s="32" t="s">
        <v>93</v>
      </c>
      <c r="D847" s="32"/>
      <c r="E847" s="32" t="s">
        <v>462</v>
      </c>
      <c r="F847" s="32" t="s">
        <v>3416</v>
      </c>
    </row>
    <row r="848" spans="1:6" ht="69.95" customHeight="1">
      <c r="A848" s="32" t="s">
        <v>1775</v>
      </c>
      <c r="B848" s="32" t="s">
        <v>3417</v>
      </c>
      <c r="C848" s="32" t="s">
        <v>94</v>
      </c>
      <c r="D848" s="32"/>
      <c r="E848" s="32" t="s">
        <v>141</v>
      </c>
      <c r="F848" s="32" t="s">
        <v>3416</v>
      </c>
    </row>
    <row r="849" spans="1:6" ht="69.95" customHeight="1">
      <c r="A849" s="32" t="s">
        <v>1775</v>
      </c>
      <c r="B849" s="32" t="s">
        <v>3418</v>
      </c>
      <c r="C849" s="32" t="s">
        <v>96</v>
      </c>
      <c r="D849" s="32"/>
      <c r="E849" s="32" t="s">
        <v>142</v>
      </c>
      <c r="F849" s="32" t="s">
        <v>3416</v>
      </c>
    </row>
    <row r="850" spans="1:6" ht="69.95" customHeight="1">
      <c r="A850" s="32" t="s">
        <v>1248</v>
      </c>
      <c r="B850" s="32" t="s">
        <v>3419</v>
      </c>
      <c r="C850" s="32" t="s">
        <v>65</v>
      </c>
      <c r="D850" s="32" t="s">
        <v>1770</v>
      </c>
      <c r="E850" s="32" t="s">
        <v>2976</v>
      </c>
      <c r="F850" s="32" t="s">
        <v>3420</v>
      </c>
    </row>
    <row r="851" spans="1:6" ht="69.95" customHeight="1">
      <c r="A851" s="32" t="s">
        <v>1248</v>
      </c>
      <c r="B851" s="32" t="s">
        <v>3421</v>
      </c>
      <c r="C851" s="32" t="s">
        <v>66</v>
      </c>
      <c r="D851" s="32" t="s">
        <v>1248</v>
      </c>
      <c r="E851" s="32"/>
      <c r="F851" s="32" t="s">
        <v>3420</v>
      </c>
    </row>
    <row r="852" spans="1:6" ht="69.95" customHeight="1">
      <c r="A852" s="32" t="s">
        <v>1248</v>
      </c>
      <c r="B852" s="32" t="s">
        <v>3415</v>
      </c>
      <c r="C852" s="32" t="s">
        <v>93</v>
      </c>
      <c r="D852" s="32"/>
      <c r="E852" s="32" t="s">
        <v>462</v>
      </c>
      <c r="F852" s="32" t="s">
        <v>3416</v>
      </c>
    </row>
    <row r="853" spans="1:6" ht="69.95" customHeight="1">
      <c r="A853" s="32" t="s">
        <v>1248</v>
      </c>
      <c r="B853" s="32" t="s">
        <v>3417</v>
      </c>
      <c r="C853" s="32" t="s">
        <v>94</v>
      </c>
      <c r="D853" s="32"/>
      <c r="E853" s="32" t="s">
        <v>141</v>
      </c>
      <c r="F853" s="32" t="s">
        <v>3416</v>
      </c>
    </row>
    <row r="854" spans="1:6" ht="69.95" customHeight="1">
      <c r="A854" s="32" t="s">
        <v>1248</v>
      </c>
      <c r="B854" s="32" t="s">
        <v>3418</v>
      </c>
      <c r="C854" s="32" t="s">
        <v>96</v>
      </c>
      <c r="D854" s="32"/>
      <c r="E854" s="32" t="s">
        <v>142</v>
      </c>
      <c r="F854" s="32" t="s">
        <v>3416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6"/>
  <sheetViews>
    <sheetView workbookViewId="0"/>
  </sheetViews>
  <sheetFormatPr defaultRowHeight="14.25"/>
  <cols>
    <col min="1" max="2" width="20" customWidth="1"/>
    <col min="3" max="4" width="42" customWidth="1"/>
  </cols>
  <sheetData>
    <row r="1" spans="1:4" ht="36" customHeight="1">
      <c r="A1" s="37" t="s">
        <v>2829</v>
      </c>
      <c r="B1" s="37" t="s">
        <v>3187</v>
      </c>
      <c r="C1" s="37" t="s">
        <v>3485</v>
      </c>
      <c r="D1" s="37" t="s">
        <v>3486</v>
      </c>
    </row>
    <row r="2" spans="1:4" ht="26.1" customHeight="1">
      <c r="A2" s="32" t="s">
        <v>2065</v>
      </c>
      <c r="B2" s="32" t="s">
        <v>3487</v>
      </c>
      <c r="C2" s="32" t="s">
        <v>671</v>
      </c>
      <c r="D2" s="32" t="s">
        <v>3488</v>
      </c>
    </row>
    <row r="3" spans="1:4" ht="26.1" customHeight="1">
      <c r="A3" s="32" t="s">
        <v>2071</v>
      </c>
      <c r="B3" s="32" t="s">
        <v>3487</v>
      </c>
      <c r="C3" s="32" t="s">
        <v>710</v>
      </c>
      <c r="D3" s="32" t="s">
        <v>3488</v>
      </c>
    </row>
    <row r="4" spans="1:4" ht="26.1" customHeight="1">
      <c r="A4" s="32" t="s">
        <v>2073</v>
      </c>
      <c r="B4" s="32" t="s">
        <v>3487</v>
      </c>
      <c r="C4" s="32" t="s">
        <v>710</v>
      </c>
      <c r="D4" s="32" t="s">
        <v>3488</v>
      </c>
    </row>
    <row r="5" spans="1:4" ht="26.1" customHeight="1">
      <c r="A5" s="32" t="s">
        <v>2124</v>
      </c>
      <c r="B5" s="32" t="s">
        <v>3487</v>
      </c>
      <c r="C5" s="32" t="s">
        <v>425</v>
      </c>
      <c r="D5" s="32" t="s">
        <v>3488</v>
      </c>
    </row>
    <row r="6" spans="1:4" ht="26.1" customHeight="1">
      <c r="A6" s="32" t="s">
        <v>2141</v>
      </c>
      <c r="B6" s="32" t="s">
        <v>3487</v>
      </c>
      <c r="C6" s="32" t="s">
        <v>522</v>
      </c>
      <c r="D6" s="32" t="s">
        <v>3488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179"/>
  <sheetViews>
    <sheetView workbookViewId="0"/>
  </sheetViews>
  <sheetFormatPr defaultRowHeight="14.25"/>
  <cols>
    <col min="1" max="4" width="20" customWidth="1"/>
  </cols>
  <sheetData>
    <row r="1" spans="1:4" ht="36" customHeight="1">
      <c r="A1" s="37" t="s">
        <v>53</v>
      </c>
      <c r="B1" s="37" t="s">
        <v>3489</v>
      </c>
      <c r="C1" s="37" t="s">
        <v>3490</v>
      </c>
      <c r="D1" s="37" t="s">
        <v>3491</v>
      </c>
    </row>
    <row r="2" spans="1:4" ht="26.1" customHeight="1">
      <c r="A2" s="32" t="s">
        <v>143</v>
      </c>
      <c r="B2" s="32" t="s">
        <v>155</v>
      </c>
      <c r="C2" s="72" t="str">
        <f>INDEX(Backlog!$K$2:$K$188,MATCH(A2,Backlog!$A$2:$A$188,0))</f>
        <v>Done</v>
      </c>
      <c r="D2" s="32" t="str">
        <f>INDEX(Backlog!$B$2:$B$188,MATCH(A2,Backlog!$A$2:$A$188,0))</f>
        <v>M2</v>
      </c>
    </row>
    <row r="3" spans="1:4" ht="26.1" customHeight="1">
      <c r="A3" s="32" t="s">
        <v>158</v>
      </c>
      <c r="B3" s="32" t="s">
        <v>155</v>
      </c>
      <c r="C3" s="72" t="str">
        <f>INDEX(Backlog!$K$2:$K$188,MATCH(A3,Backlog!$A$2:$A$188,0))</f>
        <v>Done</v>
      </c>
      <c r="D3" s="32" t="str">
        <f>INDEX(Backlog!$B$2:$B$188,MATCH(A3,Backlog!$A$2:$A$188,0))</f>
        <v>M2</v>
      </c>
    </row>
    <row r="4" spans="1:4" ht="26.1" customHeight="1">
      <c r="A4" s="32" t="s">
        <v>158</v>
      </c>
      <c r="B4" s="32" t="s">
        <v>153</v>
      </c>
      <c r="C4" s="72" t="str">
        <f>INDEX(Backlog!$K$2:$K$188,MATCH(A4,Backlog!$A$2:$A$188,0))</f>
        <v>Done</v>
      </c>
      <c r="D4" s="32" t="str">
        <f>INDEX(Backlog!$B$2:$B$188,MATCH(A4,Backlog!$A$2:$A$188,0))</f>
        <v>M2</v>
      </c>
    </row>
    <row r="5" spans="1:4" ht="26.1" customHeight="1">
      <c r="A5" s="32" t="s">
        <v>168</v>
      </c>
      <c r="B5" s="32" t="s">
        <v>178</v>
      </c>
      <c r="C5" s="72" t="str">
        <f>INDEX(Backlog!$K$2:$K$188,MATCH(A5,Backlog!$A$2:$A$188,0))</f>
        <v>Done</v>
      </c>
      <c r="D5" s="32" t="str">
        <f>INDEX(Backlog!$B$2:$B$188,MATCH(A5,Backlog!$A$2:$A$188,0))</f>
        <v>M2</v>
      </c>
    </row>
    <row r="6" spans="1:4" ht="26.1" customHeight="1">
      <c r="A6" s="32" t="s">
        <v>180</v>
      </c>
      <c r="B6" s="32" t="s">
        <v>176</v>
      </c>
      <c r="C6" s="72" t="str">
        <f>INDEX(Backlog!$K$2:$K$188,MATCH(A6,Backlog!$A$2:$A$188,0))</f>
        <v>Done</v>
      </c>
      <c r="D6" s="32" t="str">
        <f>INDEX(Backlog!$B$2:$B$188,MATCH(A6,Backlog!$A$2:$A$188,0))</f>
        <v>M2</v>
      </c>
    </row>
    <row r="7" spans="1:4" ht="26.1" customHeight="1">
      <c r="A7" s="32" t="s">
        <v>192</v>
      </c>
      <c r="B7" s="32" t="s">
        <v>176</v>
      </c>
      <c r="C7" s="72" t="str">
        <f>INDEX(Backlog!$K$2:$K$188,MATCH(A7,Backlog!$A$2:$A$188,0))</f>
        <v>Done</v>
      </c>
      <c r="D7" s="32" t="str">
        <f>INDEX(Backlog!$B$2:$B$188,MATCH(A7,Backlog!$A$2:$A$188,0))</f>
        <v>M2</v>
      </c>
    </row>
    <row r="8" spans="1:4" ht="26.1" customHeight="1">
      <c r="A8" s="32" t="s">
        <v>199</v>
      </c>
      <c r="B8" s="32" t="s">
        <v>209</v>
      </c>
      <c r="C8" s="72" t="str">
        <f>INDEX(Backlog!$K$2:$K$188,MATCH(A8,Backlog!$A$2:$A$188,0))</f>
        <v>Done</v>
      </c>
      <c r="D8" s="32" t="str">
        <f>INDEX(Backlog!$B$2:$B$188,MATCH(A8,Backlog!$A$2:$A$188,0))</f>
        <v>M2</v>
      </c>
    </row>
    <row r="9" spans="1:4" ht="26.1" customHeight="1">
      <c r="A9" s="32" t="s">
        <v>219</v>
      </c>
      <c r="B9" s="32" t="s">
        <v>227</v>
      </c>
      <c r="C9" s="72" t="str">
        <f>INDEX(Backlog!$K$2:$K$188,MATCH(A9,Backlog!$A$2:$A$188,0))</f>
        <v>Done</v>
      </c>
      <c r="D9" s="32" t="str">
        <f>INDEX(Backlog!$B$2:$B$188,MATCH(A9,Backlog!$A$2:$A$188,0))</f>
        <v>M2</v>
      </c>
    </row>
    <row r="10" spans="1:4" ht="26.1" customHeight="1">
      <c r="A10" s="32" t="s">
        <v>239</v>
      </c>
      <c r="B10" s="32" t="s">
        <v>819</v>
      </c>
      <c r="C10" s="72" t="str">
        <f>INDEX(Backlog!$K$2:$K$188,MATCH(A10,Backlog!$A$2:$A$188,0))</f>
        <v>Done</v>
      </c>
      <c r="D10" s="32" t="str">
        <f>INDEX(Backlog!$B$2:$B$188,MATCH(A10,Backlog!$A$2:$A$188,0))</f>
        <v>M2</v>
      </c>
    </row>
    <row r="11" spans="1:4" ht="26.1" customHeight="1">
      <c r="A11" s="32" t="s">
        <v>239</v>
      </c>
      <c r="B11" s="32" t="s">
        <v>591</v>
      </c>
      <c r="C11" s="72" t="str">
        <f>INDEX(Backlog!$K$2:$K$188,MATCH(A11,Backlog!$A$2:$A$188,0))</f>
        <v>Done</v>
      </c>
      <c r="D11" s="32" t="str">
        <f>INDEX(Backlog!$B$2:$B$188,MATCH(A11,Backlog!$A$2:$A$188,0))</f>
        <v>M2</v>
      </c>
    </row>
    <row r="12" spans="1:4" ht="26.1" customHeight="1">
      <c r="A12" s="32" t="s">
        <v>252</v>
      </c>
      <c r="B12" s="32" t="s">
        <v>261</v>
      </c>
      <c r="C12" s="72" t="str">
        <f>INDEX(Backlog!$K$2:$K$188,MATCH(A12,Backlog!$A$2:$A$188,0))</f>
        <v>Done</v>
      </c>
      <c r="D12" s="32" t="str">
        <f>INDEX(Backlog!$B$2:$B$188,MATCH(A12,Backlog!$A$2:$A$188,0))</f>
        <v>M2</v>
      </c>
    </row>
    <row r="13" spans="1:4" ht="26.1" customHeight="1">
      <c r="A13" s="32" t="s">
        <v>322</v>
      </c>
      <c r="B13" s="32" t="s">
        <v>333</v>
      </c>
      <c r="C13" s="72" t="str">
        <f>INDEX(Backlog!$K$2:$K$188,MATCH(A13,Backlog!$A$2:$A$188,0))</f>
        <v>Done</v>
      </c>
      <c r="D13" s="32" t="str">
        <f>INDEX(Backlog!$B$2:$B$188,MATCH(A13,Backlog!$A$2:$A$188,0))</f>
        <v>M2</v>
      </c>
    </row>
    <row r="14" spans="1:4" ht="26.1" customHeight="1">
      <c r="A14" s="32" t="s">
        <v>334</v>
      </c>
      <c r="B14" s="32" t="s">
        <v>345</v>
      </c>
      <c r="C14" s="72" t="str">
        <f>INDEX(Backlog!$K$2:$K$188,MATCH(A14,Backlog!$A$2:$A$188,0))</f>
        <v>Done</v>
      </c>
      <c r="D14" s="32" t="str">
        <f>INDEX(Backlog!$B$2:$B$188,MATCH(A14,Backlog!$A$2:$A$188,0))</f>
        <v>M2</v>
      </c>
    </row>
    <row r="15" spans="1:4" ht="26.1" customHeight="1">
      <c r="A15" s="32" t="s">
        <v>368</v>
      </c>
      <c r="B15" s="32" t="s">
        <v>165</v>
      </c>
      <c r="C15" s="72" t="str">
        <f>INDEX(Backlog!$K$2:$K$188,MATCH(A15,Backlog!$A$2:$A$188,0))</f>
        <v>Done</v>
      </c>
      <c r="D15" s="32" t="str">
        <f>INDEX(Backlog!$B$2:$B$188,MATCH(A15,Backlog!$A$2:$A$188,0))</f>
        <v>M2</v>
      </c>
    </row>
    <row r="16" spans="1:4" ht="26.1" customHeight="1">
      <c r="A16" s="32" t="s">
        <v>392</v>
      </c>
      <c r="B16" s="32" t="s">
        <v>209</v>
      </c>
      <c r="C16" s="72" t="str">
        <f>INDEX(Backlog!$K$2:$K$188,MATCH(A16,Backlog!$A$2:$A$188,0))</f>
        <v>Done</v>
      </c>
      <c r="D16" s="32" t="str">
        <f>INDEX(Backlog!$B$2:$B$188,MATCH(A16,Backlog!$A$2:$A$188,0))</f>
        <v>M2</v>
      </c>
    </row>
    <row r="17" spans="1:4" ht="26.1" customHeight="1">
      <c r="A17" s="32" t="s">
        <v>392</v>
      </c>
      <c r="B17" s="32" t="s">
        <v>155</v>
      </c>
      <c r="C17" s="72" t="str">
        <f>INDEX(Backlog!$K$2:$K$188,MATCH(A17,Backlog!$A$2:$A$188,0))</f>
        <v>Done</v>
      </c>
      <c r="D17" s="32" t="str">
        <f>INDEX(Backlog!$B$2:$B$188,MATCH(A17,Backlog!$A$2:$A$188,0))</f>
        <v>M2</v>
      </c>
    </row>
    <row r="18" spans="1:4" ht="26.1" customHeight="1">
      <c r="A18" s="32" t="s">
        <v>414</v>
      </c>
      <c r="B18" s="32" t="s">
        <v>155</v>
      </c>
      <c r="C18" s="72" t="str">
        <f>INDEX(Backlog!$K$2:$K$188,MATCH(A18,Backlog!$A$2:$A$188,0))</f>
        <v>Done</v>
      </c>
      <c r="D18" s="32" t="str">
        <f>INDEX(Backlog!$B$2:$B$188,MATCH(A18,Backlog!$A$2:$A$188,0))</f>
        <v>M2</v>
      </c>
    </row>
    <row r="19" spans="1:4" ht="26.1" customHeight="1">
      <c r="A19" s="32" t="s">
        <v>414</v>
      </c>
      <c r="B19" s="32" t="s">
        <v>285</v>
      </c>
      <c r="C19" s="72" t="str">
        <f>INDEX(Backlog!$K$2:$K$188,MATCH(A19,Backlog!$A$2:$A$188,0))</f>
        <v>Done</v>
      </c>
      <c r="D19" s="32" t="str">
        <f>INDEX(Backlog!$B$2:$B$188,MATCH(A19,Backlog!$A$2:$A$188,0))</f>
        <v>M2</v>
      </c>
    </row>
    <row r="20" spans="1:4" ht="26.1" customHeight="1">
      <c r="A20" s="32" t="s">
        <v>489</v>
      </c>
      <c r="B20" s="32" t="s">
        <v>2845</v>
      </c>
      <c r="C20" s="72" t="str">
        <f>INDEX(Backlog!$K$2:$K$188,MATCH(A20,Backlog!$A$2:$A$188,0))</f>
        <v>Not Started</v>
      </c>
      <c r="D20" s="32" t="str">
        <f>INDEX(Backlog!$B$2:$B$188,MATCH(A20,Backlog!$A$2:$A$188,0))</f>
        <v>M2</v>
      </c>
    </row>
    <row r="21" spans="1:4" ht="26.1" customHeight="1">
      <c r="A21" s="32" t="s">
        <v>489</v>
      </c>
      <c r="B21" s="32" t="s">
        <v>607</v>
      </c>
      <c r="C21" s="72" t="str">
        <f>INDEX(Backlog!$K$2:$K$188,MATCH(A21,Backlog!$A$2:$A$188,0))</f>
        <v>Not Started</v>
      </c>
      <c r="D21" s="32" t="str">
        <f>INDEX(Backlog!$B$2:$B$188,MATCH(A21,Backlog!$A$2:$A$188,0))</f>
        <v>M2</v>
      </c>
    </row>
    <row r="22" spans="1:4" ht="26.1" customHeight="1">
      <c r="A22" s="32" t="s">
        <v>489</v>
      </c>
      <c r="B22" s="32" t="s">
        <v>1185</v>
      </c>
      <c r="C22" s="72" t="str">
        <f>INDEX(Backlog!$K$2:$K$188,MATCH(A22,Backlog!$A$2:$A$188,0))</f>
        <v>Not Started</v>
      </c>
      <c r="D22" s="32" t="str">
        <f>INDEX(Backlog!$B$2:$B$188,MATCH(A22,Backlog!$A$2:$A$188,0))</f>
        <v>M2</v>
      </c>
    </row>
    <row r="23" spans="1:4" ht="26.1" customHeight="1">
      <c r="A23" s="32" t="s">
        <v>514</v>
      </c>
      <c r="B23" s="32" t="s">
        <v>176</v>
      </c>
      <c r="C23" s="72" t="str">
        <f>INDEX(Backlog!$K$2:$K$188,MATCH(A23,Backlog!$A$2:$A$188,0))</f>
        <v>Not Started</v>
      </c>
      <c r="D23" s="32" t="str">
        <f>INDEX(Backlog!$B$2:$B$188,MATCH(A23,Backlog!$A$2:$A$188,0))</f>
        <v>M2</v>
      </c>
    </row>
    <row r="24" spans="1:4" ht="26.1" customHeight="1">
      <c r="A24" s="32" t="s">
        <v>522</v>
      </c>
      <c r="B24" s="32" t="s">
        <v>176</v>
      </c>
      <c r="C24" s="72" t="str">
        <f>INDEX(Backlog!$K$2:$K$188,MATCH(A24,Backlog!$A$2:$A$188,0))</f>
        <v>Done</v>
      </c>
      <c r="D24" s="32" t="str">
        <f>INDEX(Backlog!$B$2:$B$188,MATCH(A24,Backlog!$A$2:$A$188,0))</f>
        <v>M2</v>
      </c>
    </row>
    <row r="25" spans="1:4" ht="26.1" customHeight="1">
      <c r="A25" s="32" t="s">
        <v>522</v>
      </c>
      <c r="B25" s="32" t="s">
        <v>2849</v>
      </c>
      <c r="C25" s="72" t="str">
        <f>INDEX(Backlog!$K$2:$K$188,MATCH(A25,Backlog!$A$2:$A$188,0))</f>
        <v>Done</v>
      </c>
      <c r="D25" s="32" t="str">
        <f>INDEX(Backlog!$B$2:$B$188,MATCH(A25,Backlog!$A$2:$A$188,0))</f>
        <v>M2</v>
      </c>
    </row>
    <row r="26" spans="1:4" ht="26.1" customHeight="1">
      <c r="A26" s="32" t="s">
        <v>522</v>
      </c>
      <c r="B26" s="32" t="s">
        <v>1185</v>
      </c>
      <c r="C26" s="72" t="str">
        <f>INDEX(Backlog!$K$2:$K$188,MATCH(A26,Backlog!$A$2:$A$188,0))</f>
        <v>Done</v>
      </c>
      <c r="D26" s="32" t="str">
        <f>INDEX(Backlog!$B$2:$B$188,MATCH(A26,Backlog!$A$2:$A$188,0))</f>
        <v>M2</v>
      </c>
    </row>
    <row r="27" spans="1:4" ht="26.1" customHeight="1">
      <c r="A27" s="32" t="s">
        <v>539</v>
      </c>
      <c r="B27" s="32" t="s">
        <v>533</v>
      </c>
      <c r="C27" s="72" t="str">
        <f>INDEX(Backlog!$K$2:$K$188,MATCH(A27,Backlog!$A$2:$A$188,0))</f>
        <v>Not Started</v>
      </c>
      <c r="D27" s="32" t="str">
        <f>INDEX(Backlog!$B$2:$B$188,MATCH(A27,Backlog!$A$2:$A$188,0))</f>
        <v>M2</v>
      </c>
    </row>
    <row r="28" spans="1:4" ht="26.1" customHeight="1">
      <c r="A28" s="32" t="s">
        <v>548</v>
      </c>
      <c r="B28" s="32" t="s">
        <v>2843</v>
      </c>
      <c r="C28" s="72" t="str">
        <f>INDEX(Backlog!$K$2:$K$188,MATCH(A28,Backlog!$A$2:$A$188,0))</f>
        <v>Not Started</v>
      </c>
      <c r="D28" s="32" t="str">
        <f>INDEX(Backlog!$B$2:$B$188,MATCH(A28,Backlog!$A$2:$A$188,0))</f>
        <v>M2</v>
      </c>
    </row>
    <row r="29" spans="1:4" ht="26.1" customHeight="1">
      <c r="A29" s="32" t="s">
        <v>548</v>
      </c>
      <c r="B29" s="32" t="s">
        <v>1282</v>
      </c>
      <c r="C29" s="72" t="str">
        <f>INDEX(Backlog!$K$2:$K$188,MATCH(A29,Backlog!$A$2:$A$188,0))</f>
        <v>Not Started</v>
      </c>
      <c r="D29" s="32" t="str">
        <f>INDEX(Backlog!$B$2:$B$188,MATCH(A29,Backlog!$A$2:$A$188,0))</f>
        <v>M2</v>
      </c>
    </row>
    <row r="30" spans="1:4" ht="26.1" customHeight="1">
      <c r="A30" s="32" t="s">
        <v>548</v>
      </c>
      <c r="B30" s="32" t="s">
        <v>1185</v>
      </c>
      <c r="C30" s="72" t="str">
        <f>INDEX(Backlog!$K$2:$K$188,MATCH(A30,Backlog!$A$2:$A$188,0))</f>
        <v>Not Started</v>
      </c>
      <c r="D30" s="32" t="str">
        <f>INDEX(Backlog!$B$2:$B$188,MATCH(A30,Backlog!$A$2:$A$188,0))</f>
        <v>M2</v>
      </c>
    </row>
    <row r="31" spans="1:4" ht="26.1" customHeight="1">
      <c r="A31" s="32" t="s">
        <v>559</v>
      </c>
      <c r="B31" s="32" t="s">
        <v>566</v>
      </c>
      <c r="C31" s="72" t="str">
        <f>INDEX(Backlog!$K$2:$K$188,MATCH(A31,Backlog!$A$2:$A$188,0))</f>
        <v>Not Started</v>
      </c>
      <c r="D31" s="32" t="str">
        <f>INDEX(Backlog!$B$2:$B$188,MATCH(A31,Backlog!$A$2:$A$188,0))</f>
        <v>M2</v>
      </c>
    </row>
    <row r="32" spans="1:4" ht="26.1" customHeight="1">
      <c r="A32" s="32" t="s">
        <v>579</v>
      </c>
      <c r="B32" s="32" t="s">
        <v>227</v>
      </c>
      <c r="C32" s="72" t="str">
        <f>INDEX(Backlog!$K$2:$K$188,MATCH(A32,Backlog!$A$2:$A$188,0))</f>
        <v>Not Started</v>
      </c>
      <c r="D32" s="32" t="str">
        <f>INDEX(Backlog!$B$2:$B$188,MATCH(A32,Backlog!$A$2:$A$188,0))</f>
        <v>M2</v>
      </c>
    </row>
    <row r="33" spans="1:4" ht="26.1" customHeight="1">
      <c r="A33" s="32" t="s">
        <v>579</v>
      </c>
      <c r="B33" s="32" t="s">
        <v>333</v>
      </c>
      <c r="C33" s="72" t="str">
        <f>INDEX(Backlog!$K$2:$K$188,MATCH(A33,Backlog!$A$2:$A$188,0))</f>
        <v>Not Started</v>
      </c>
      <c r="D33" s="32" t="str">
        <f>INDEX(Backlog!$B$2:$B$188,MATCH(A33,Backlog!$A$2:$A$188,0))</f>
        <v>M2</v>
      </c>
    </row>
    <row r="34" spans="1:4" ht="26.1" customHeight="1">
      <c r="A34" s="32" t="s">
        <v>595</v>
      </c>
      <c r="B34" s="32" t="s">
        <v>1282</v>
      </c>
      <c r="C34" s="72" t="str">
        <f>INDEX(Backlog!$K$2:$K$188,MATCH(A34,Backlog!$A$2:$A$188,0))</f>
        <v>Done</v>
      </c>
      <c r="D34" s="32" t="str">
        <f>INDEX(Backlog!$B$2:$B$188,MATCH(A34,Backlog!$A$2:$A$188,0))</f>
        <v>M2</v>
      </c>
    </row>
    <row r="35" spans="1:4" ht="26.1" customHeight="1">
      <c r="A35" s="32" t="s">
        <v>595</v>
      </c>
      <c r="B35" s="32" t="s">
        <v>1194</v>
      </c>
      <c r="C35" s="72" t="str">
        <f>INDEX(Backlog!$K$2:$K$188,MATCH(A35,Backlog!$A$2:$A$188,0))</f>
        <v>Done</v>
      </c>
      <c r="D35" s="32" t="str">
        <f>INDEX(Backlog!$B$2:$B$188,MATCH(A35,Backlog!$A$2:$A$188,0))</f>
        <v>M2</v>
      </c>
    </row>
    <row r="36" spans="1:4" ht="26.1" customHeight="1">
      <c r="A36" s="32" t="s">
        <v>648</v>
      </c>
      <c r="B36" s="32" t="s">
        <v>345</v>
      </c>
      <c r="C36" s="72" t="str">
        <f>INDEX(Backlog!$K$2:$K$188,MATCH(A36,Backlog!$A$2:$A$188,0))</f>
        <v>In Progress</v>
      </c>
      <c r="D36" s="32" t="str">
        <f>INDEX(Backlog!$B$2:$B$188,MATCH(A36,Backlog!$A$2:$A$188,0))</f>
        <v>M2</v>
      </c>
    </row>
    <row r="37" spans="1:4" ht="26.1" customHeight="1">
      <c r="A37" s="32" t="s">
        <v>696</v>
      </c>
      <c r="B37" s="32" t="s">
        <v>719</v>
      </c>
      <c r="C37" s="72" t="str">
        <f>INDEX(Backlog!$K$2:$K$188,MATCH(A37,Backlog!$A$2:$A$188,0))</f>
        <v>Done</v>
      </c>
      <c r="D37" s="32" t="str">
        <f>INDEX(Backlog!$B$2:$B$188,MATCH(A37,Backlog!$A$2:$A$188,0))</f>
        <v>M2</v>
      </c>
    </row>
    <row r="38" spans="1:4" ht="26.1" customHeight="1">
      <c r="A38" s="32" t="s">
        <v>696</v>
      </c>
      <c r="B38" s="32" t="s">
        <v>683</v>
      </c>
      <c r="C38" s="72" t="str">
        <f>INDEX(Backlog!$K$2:$K$188,MATCH(A38,Backlog!$A$2:$A$188,0))</f>
        <v>Done</v>
      </c>
      <c r="D38" s="32" t="str">
        <f>INDEX(Backlog!$B$2:$B$188,MATCH(A38,Backlog!$A$2:$A$188,0))</f>
        <v>M2</v>
      </c>
    </row>
    <row r="39" spans="1:4" ht="26.1" customHeight="1">
      <c r="A39" s="32" t="s">
        <v>696</v>
      </c>
      <c r="B39" s="32" t="s">
        <v>798</v>
      </c>
      <c r="C39" s="72" t="str">
        <f>INDEX(Backlog!$K$2:$K$188,MATCH(A39,Backlog!$A$2:$A$188,0))</f>
        <v>Done</v>
      </c>
      <c r="D39" s="32" t="str">
        <f>INDEX(Backlog!$B$2:$B$188,MATCH(A39,Backlog!$A$2:$A$188,0))</f>
        <v>M2</v>
      </c>
    </row>
    <row r="40" spans="1:4" ht="26.1" customHeight="1">
      <c r="A40" s="32" t="s">
        <v>710</v>
      </c>
      <c r="B40" s="32" t="s">
        <v>721</v>
      </c>
      <c r="C40" s="72" t="str">
        <f>INDEX(Backlog!$K$2:$K$188,MATCH(A40,Backlog!$A$2:$A$188,0))</f>
        <v>Done</v>
      </c>
      <c r="D40" s="32" t="str">
        <f>INDEX(Backlog!$B$2:$B$188,MATCH(A40,Backlog!$A$2:$A$188,0))</f>
        <v>M2</v>
      </c>
    </row>
    <row r="41" spans="1:4" ht="26.1" customHeight="1">
      <c r="A41" s="32" t="s">
        <v>723</v>
      </c>
      <c r="B41" s="32" t="s">
        <v>533</v>
      </c>
      <c r="C41" s="72" t="str">
        <f>INDEX(Backlog!$K$2:$K$188,MATCH(A41,Backlog!$A$2:$A$188,0))</f>
        <v>Not Started</v>
      </c>
      <c r="D41" s="32" t="str">
        <f>INDEX(Backlog!$B$2:$B$188,MATCH(A41,Backlog!$A$2:$A$188,0))</f>
        <v>M2</v>
      </c>
    </row>
    <row r="42" spans="1:4" ht="26.1" customHeight="1">
      <c r="A42" s="32" t="s">
        <v>737</v>
      </c>
      <c r="B42" s="32" t="s">
        <v>1282</v>
      </c>
      <c r="C42" s="72" t="str">
        <f>INDEX(Backlog!$K$2:$K$188,MATCH(A42,Backlog!$A$2:$A$188,0))</f>
        <v>Not Started</v>
      </c>
      <c r="D42" s="32" t="str">
        <f>INDEX(Backlog!$B$2:$B$188,MATCH(A42,Backlog!$A$2:$A$188,0))</f>
        <v>M2</v>
      </c>
    </row>
    <row r="43" spans="1:4" ht="26.1" customHeight="1">
      <c r="A43" s="32" t="s">
        <v>737</v>
      </c>
      <c r="B43" s="32" t="s">
        <v>607</v>
      </c>
      <c r="C43" s="72" t="str">
        <f>INDEX(Backlog!$K$2:$K$188,MATCH(A43,Backlog!$A$2:$A$188,0))</f>
        <v>Not Started</v>
      </c>
      <c r="D43" s="32" t="str">
        <f>INDEX(Backlog!$B$2:$B$188,MATCH(A43,Backlog!$A$2:$A$188,0))</f>
        <v>M2</v>
      </c>
    </row>
    <row r="44" spans="1:4" ht="26.1" customHeight="1">
      <c r="A44" s="32" t="s">
        <v>737</v>
      </c>
      <c r="B44" s="32" t="s">
        <v>471</v>
      </c>
      <c r="C44" s="72" t="str">
        <f>INDEX(Backlog!$K$2:$K$188,MATCH(A44,Backlog!$A$2:$A$188,0))</f>
        <v>Not Started</v>
      </c>
      <c r="D44" s="32" t="str">
        <f>INDEX(Backlog!$B$2:$B$188,MATCH(A44,Backlog!$A$2:$A$188,0))</f>
        <v>M2</v>
      </c>
    </row>
    <row r="45" spans="1:4" ht="26.1" customHeight="1">
      <c r="A45" s="32" t="s">
        <v>737</v>
      </c>
      <c r="B45" s="32" t="s">
        <v>732</v>
      </c>
      <c r="C45" s="72" t="str">
        <f>INDEX(Backlog!$K$2:$K$188,MATCH(A45,Backlog!$A$2:$A$188,0))</f>
        <v>Not Started</v>
      </c>
      <c r="D45" s="32" t="str">
        <f>INDEX(Backlog!$B$2:$B$188,MATCH(A45,Backlog!$A$2:$A$188,0))</f>
        <v>M2</v>
      </c>
    </row>
    <row r="46" spans="1:4" ht="26.1" customHeight="1">
      <c r="A46" s="32" t="s">
        <v>749</v>
      </c>
      <c r="B46" s="32" t="s">
        <v>471</v>
      </c>
      <c r="C46" s="72" t="str">
        <f>INDEX(Backlog!$K$2:$K$188,MATCH(A46,Backlog!$A$2:$A$188,0))</f>
        <v>Done</v>
      </c>
      <c r="D46" s="32" t="str">
        <f>INDEX(Backlog!$B$2:$B$188,MATCH(A46,Backlog!$A$2:$A$188,0))</f>
        <v>M2</v>
      </c>
    </row>
    <row r="47" spans="1:4" ht="26.1" customHeight="1">
      <c r="A47" s="32" t="s">
        <v>772</v>
      </c>
      <c r="B47" s="32" t="s">
        <v>732</v>
      </c>
      <c r="C47" s="72" t="str">
        <f>INDEX(Backlog!$K$2:$K$188,MATCH(A47,Backlog!$A$2:$A$188,0))</f>
        <v>In Progress</v>
      </c>
      <c r="D47" s="32" t="str">
        <f>INDEX(Backlog!$B$2:$B$188,MATCH(A47,Backlog!$A$2:$A$188,0))</f>
        <v>M2</v>
      </c>
    </row>
    <row r="48" spans="1:4" ht="26.1" customHeight="1">
      <c r="A48" s="32" t="s">
        <v>772</v>
      </c>
      <c r="B48" s="32" t="s">
        <v>533</v>
      </c>
      <c r="C48" s="72" t="str">
        <f>INDEX(Backlog!$K$2:$K$188,MATCH(A48,Backlog!$A$2:$A$188,0))</f>
        <v>In Progress</v>
      </c>
      <c r="D48" s="32" t="str">
        <f>INDEX(Backlog!$B$2:$B$188,MATCH(A48,Backlog!$A$2:$A$188,0))</f>
        <v>M2</v>
      </c>
    </row>
    <row r="49" spans="1:4" ht="26.1" customHeight="1">
      <c r="A49" s="32" t="s">
        <v>787</v>
      </c>
      <c r="B49" s="32" t="s">
        <v>471</v>
      </c>
      <c r="C49" s="72" t="str">
        <f>INDEX(Backlog!$K$2:$K$188,MATCH(A49,Backlog!$A$2:$A$188,0))</f>
        <v>Done</v>
      </c>
      <c r="D49" s="32" t="str">
        <f>INDEX(Backlog!$B$2:$B$188,MATCH(A49,Backlog!$A$2:$A$188,0))</f>
        <v>M2</v>
      </c>
    </row>
    <row r="50" spans="1:4" ht="26.1" customHeight="1">
      <c r="A50" s="32" t="s">
        <v>787</v>
      </c>
      <c r="B50" s="32" t="s">
        <v>683</v>
      </c>
      <c r="C50" s="72" t="str">
        <f>INDEX(Backlog!$K$2:$K$188,MATCH(A50,Backlog!$A$2:$A$188,0))</f>
        <v>Done</v>
      </c>
      <c r="D50" s="32" t="str">
        <f>INDEX(Backlog!$B$2:$B$188,MATCH(A50,Backlog!$A$2:$A$188,0))</f>
        <v>M2</v>
      </c>
    </row>
    <row r="51" spans="1:4" ht="26.1" customHeight="1">
      <c r="A51" s="32" t="s">
        <v>642</v>
      </c>
      <c r="B51" s="32" t="s">
        <v>591</v>
      </c>
      <c r="C51" s="72" t="str">
        <f>INDEX(Backlog!$K$2:$K$188,MATCH(A51,Backlog!$A$2:$A$188,0))</f>
        <v>Not Started</v>
      </c>
      <c r="D51" s="32" t="str">
        <f>INDEX(Backlog!$B$2:$B$188,MATCH(A51,Backlog!$A$2:$A$188,0))</f>
        <v>M2</v>
      </c>
    </row>
    <row r="52" spans="1:4" ht="26.1" customHeight="1">
      <c r="A52" s="32" t="s">
        <v>847</v>
      </c>
      <c r="B52" s="32" t="s">
        <v>591</v>
      </c>
      <c r="C52" s="72" t="str">
        <f>INDEX(Backlog!$K$2:$K$188,MATCH(A52,Backlog!$A$2:$A$188,0))</f>
        <v>Not Started</v>
      </c>
      <c r="D52" s="32" t="str">
        <f>INDEX(Backlog!$B$2:$B$188,MATCH(A52,Backlog!$A$2:$A$188,0))</f>
        <v>M2</v>
      </c>
    </row>
    <row r="53" spans="1:4" ht="26.1" customHeight="1">
      <c r="A53" s="32" t="s">
        <v>874</v>
      </c>
      <c r="B53" s="32" t="s">
        <v>546</v>
      </c>
      <c r="C53" s="72" t="str">
        <f>INDEX(Backlog!$K$2:$K$188,MATCH(A53,Backlog!$A$2:$A$188,0))</f>
        <v>Done</v>
      </c>
      <c r="D53" s="32" t="str">
        <f>INDEX(Backlog!$B$2:$B$188,MATCH(A53,Backlog!$A$2:$A$188,0))</f>
        <v>M2</v>
      </c>
    </row>
    <row r="54" spans="1:4" ht="26.1" customHeight="1">
      <c r="A54" s="32" t="s">
        <v>969</v>
      </c>
      <c r="B54" s="32" t="s">
        <v>921</v>
      </c>
      <c r="C54" s="72" t="str">
        <f>INDEX(Backlog!$K$2:$K$188,MATCH(A54,Backlog!$A$2:$A$188,0))</f>
        <v>Done</v>
      </c>
      <c r="D54" s="32" t="str">
        <f>INDEX(Backlog!$B$2:$B$188,MATCH(A54,Backlog!$A$2:$A$188,0))</f>
        <v>M2</v>
      </c>
    </row>
    <row r="55" spans="1:4" ht="26.1" customHeight="1">
      <c r="A55" s="32" t="s">
        <v>975</v>
      </c>
      <c r="B55" s="32" t="s">
        <v>981</v>
      </c>
      <c r="C55" s="72" t="str">
        <f>INDEX(Backlog!$K$2:$K$188,MATCH(A55,Backlog!$A$2:$A$188,0))</f>
        <v>Done</v>
      </c>
      <c r="D55" s="32" t="str">
        <f>INDEX(Backlog!$B$2:$B$188,MATCH(A55,Backlog!$A$2:$A$188,0))</f>
        <v>M2</v>
      </c>
    </row>
    <row r="56" spans="1:4" ht="26.1" customHeight="1">
      <c r="A56" s="32" t="s">
        <v>982</v>
      </c>
      <c r="B56" s="32" t="s">
        <v>921</v>
      </c>
      <c r="C56" s="72" t="str">
        <f>INDEX(Backlog!$K$2:$K$188,MATCH(A56,Backlog!$A$2:$A$188,0))</f>
        <v>Done</v>
      </c>
      <c r="D56" s="32" t="str">
        <f>INDEX(Backlog!$B$2:$B$188,MATCH(A56,Backlog!$A$2:$A$188,0))</f>
        <v>M2</v>
      </c>
    </row>
    <row r="57" spans="1:4" ht="26.1" customHeight="1">
      <c r="A57" s="32" t="s">
        <v>982</v>
      </c>
      <c r="B57" s="32" t="s">
        <v>872</v>
      </c>
      <c r="C57" s="72" t="str">
        <f>INDEX(Backlog!$K$2:$K$188,MATCH(A57,Backlog!$A$2:$A$188,0))</f>
        <v>Done</v>
      </c>
      <c r="D57" s="32" t="str">
        <f>INDEX(Backlog!$B$2:$B$188,MATCH(A57,Backlog!$A$2:$A$188,0))</f>
        <v>M2</v>
      </c>
    </row>
    <row r="58" spans="1:4" ht="26.1" customHeight="1">
      <c r="A58" s="32" t="s">
        <v>990</v>
      </c>
      <c r="B58" s="32" t="s">
        <v>227</v>
      </c>
      <c r="C58" s="72" t="str">
        <f>INDEX(Backlog!$K$2:$K$188,MATCH(A58,Backlog!$A$2:$A$188,0))</f>
        <v>Not Started</v>
      </c>
      <c r="D58" s="32" t="str">
        <f>INDEX(Backlog!$B$2:$B$188,MATCH(A58,Backlog!$A$2:$A$188,0))</f>
        <v>M2</v>
      </c>
    </row>
    <row r="59" spans="1:4" ht="26.1" customHeight="1">
      <c r="A59" s="32" t="s">
        <v>1046</v>
      </c>
      <c r="B59" s="32" t="s">
        <v>345</v>
      </c>
      <c r="C59" s="72" t="str">
        <f>INDEX(Backlog!$K$2:$K$188,MATCH(A59,Backlog!$A$2:$A$188,0))</f>
        <v>Not Started</v>
      </c>
      <c r="D59" s="32" t="str">
        <f>INDEX(Backlog!$B$2:$B$188,MATCH(A59,Backlog!$A$2:$A$188,0))</f>
        <v>M2</v>
      </c>
    </row>
    <row r="60" spans="1:4" ht="26.1" customHeight="1">
      <c r="A60" s="32" t="s">
        <v>1056</v>
      </c>
      <c r="B60" s="32" t="s">
        <v>843</v>
      </c>
      <c r="C60" s="72" t="str">
        <f>INDEX(Backlog!$K$2:$K$188,MATCH(A60,Backlog!$A$2:$A$188,0))</f>
        <v>Not Started</v>
      </c>
      <c r="D60" s="32" t="str">
        <f>INDEX(Backlog!$B$2:$B$188,MATCH(A60,Backlog!$A$2:$A$188,0))</f>
        <v>M2</v>
      </c>
    </row>
    <row r="61" spans="1:4" ht="26.1" customHeight="1">
      <c r="A61" s="32" t="s">
        <v>1056</v>
      </c>
      <c r="B61" s="32" t="s">
        <v>646</v>
      </c>
      <c r="C61" s="72" t="str">
        <f>INDEX(Backlog!$K$2:$K$188,MATCH(A61,Backlog!$A$2:$A$188,0))</f>
        <v>Not Started</v>
      </c>
      <c r="D61" s="32" t="str">
        <f>INDEX(Backlog!$B$2:$B$188,MATCH(A61,Backlog!$A$2:$A$188,0))</f>
        <v>M2</v>
      </c>
    </row>
    <row r="62" spans="1:4" ht="26.1" customHeight="1">
      <c r="A62" s="32" t="s">
        <v>1078</v>
      </c>
      <c r="B62" s="32" t="s">
        <v>333</v>
      </c>
      <c r="C62" s="72" t="str">
        <f>INDEX(Backlog!$K$2:$K$188,MATCH(A62,Backlog!$A$2:$A$188,0))</f>
        <v>Done</v>
      </c>
      <c r="D62" s="32" t="str">
        <f>INDEX(Backlog!$B$2:$B$188,MATCH(A62,Backlog!$A$2:$A$188,0))</f>
        <v>M2</v>
      </c>
    </row>
    <row r="63" spans="1:4" ht="26.1" customHeight="1">
      <c r="A63" s="32" t="s">
        <v>1078</v>
      </c>
      <c r="B63" s="32" t="s">
        <v>843</v>
      </c>
      <c r="C63" s="72" t="str">
        <f>INDEX(Backlog!$K$2:$K$188,MATCH(A63,Backlog!$A$2:$A$188,0))</f>
        <v>Done</v>
      </c>
      <c r="D63" s="32" t="str">
        <f>INDEX(Backlog!$B$2:$B$188,MATCH(A63,Backlog!$A$2:$A$188,0))</f>
        <v>M2</v>
      </c>
    </row>
    <row r="64" spans="1:4" ht="26.1" customHeight="1">
      <c r="A64" s="32" t="s">
        <v>1131</v>
      </c>
      <c r="B64" s="32" t="s">
        <v>285</v>
      </c>
      <c r="C64" s="72" t="str">
        <f>INDEX(Backlog!$K$2:$K$188,MATCH(A64,Backlog!$A$2:$A$188,0))</f>
        <v>Not Started</v>
      </c>
      <c r="D64" s="32" t="str">
        <f>INDEX(Backlog!$B$2:$B$188,MATCH(A64,Backlog!$A$2:$A$188,0))</f>
        <v>M2</v>
      </c>
    </row>
    <row r="65" spans="1:4" ht="26.1" customHeight="1">
      <c r="A65" s="32" t="s">
        <v>1149</v>
      </c>
      <c r="B65" s="32" t="s">
        <v>1158</v>
      </c>
      <c r="C65" s="72" t="str">
        <f>INDEX(Backlog!$K$2:$K$188,MATCH(A65,Backlog!$A$2:$A$188,0))</f>
        <v>Not Started</v>
      </c>
      <c r="D65" s="32" t="str">
        <f>INDEX(Backlog!$B$2:$B$188,MATCH(A65,Backlog!$A$2:$A$188,0))</f>
        <v>M2</v>
      </c>
    </row>
    <row r="66" spans="1:4" ht="26.1" customHeight="1">
      <c r="A66" s="32" t="s">
        <v>1160</v>
      </c>
      <c r="B66" s="32" t="s">
        <v>1168</v>
      </c>
      <c r="C66" s="72" t="str">
        <f>INDEX(Backlog!$K$2:$K$188,MATCH(A66,Backlog!$A$2:$A$188,0))</f>
        <v>Not Started</v>
      </c>
      <c r="D66" s="32" t="str">
        <f>INDEX(Backlog!$B$2:$B$188,MATCH(A66,Backlog!$A$2:$A$188,0))</f>
        <v>M2</v>
      </c>
    </row>
    <row r="67" spans="1:4" ht="26.1" customHeight="1">
      <c r="A67" s="32" t="s">
        <v>1177</v>
      </c>
      <c r="B67" s="32" t="s">
        <v>1185</v>
      </c>
      <c r="C67" s="72" t="str">
        <f>INDEX(Backlog!$K$2:$K$188,MATCH(A67,Backlog!$A$2:$A$188,0))</f>
        <v>Not Started</v>
      </c>
      <c r="D67" s="32" t="str">
        <f>INDEX(Backlog!$B$2:$B$188,MATCH(A67,Backlog!$A$2:$A$188,0))</f>
        <v>M2</v>
      </c>
    </row>
    <row r="68" spans="1:4" ht="26.1" customHeight="1">
      <c r="A68" s="32" t="s">
        <v>1187</v>
      </c>
      <c r="B68" s="32" t="s">
        <v>130</v>
      </c>
      <c r="C68" s="72" t="str">
        <f>INDEX(Backlog!$K$2:$K$188,MATCH(A68,Backlog!$A$2:$A$188,0))</f>
        <v>Not Started</v>
      </c>
      <c r="D68" s="32" t="str">
        <f>INDEX(Backlog!$B$2:$B$188,MATCH(A68,Backlog!$A$2:$A$188,0))</f>
        <v>M2</v>
      </c>
    </row>
    <row r="69" spans="1:4" ht="26.1" customHeight="1">
      <c r="A69" s="32" t="s">
        <v>1231</v>
      </c>
      <c r="B69" s="32" t="s">
        <v>285</v>
      </c>
      <c r="C69" s="72" t="str">
        <f>INDEX(Backlog!$K$2:$K$188,MATCH(A69,Backlog!$A$2:$A$188,0))</f>
        <v>Not Started</v>
      </c>
      <c r="D69" s="32" t="str">
        <f>INDEX(Backlog!$B$2:$B$188,MATCH(A69,Backlog!$A$2:$A$188,0))</f>
        <v>M2</v>
      </c>
    </row>
    <row r="70" spans="1:4" ht="26.1" customHeight="1">
      <c r="A70" s="32" t="s">
        <v>1242</v>
      </c>
      <c r="B70" s="32" t="s">
        <v>546</v>
      </c>
      <c r="C70" s="72" t="str">
        <f>INDEX(Backlog!$K$2:$K$188,MATCH(A70,Backlog!$A$2:$A$188,0))</f>
        <v>Not Started</v>
      </c>
      <c r="D70" s="32" t="str">
        <f>INDEX(Backlog!$B$2:$B$188,MATCH(A70,Backlog!$A$2:$A$188,0))</f>
        <v>M3</v>
      </c>
    </row>
    <row r="71" spans="1:4" ht="26.1" customHeight="1">
      <c r="A71" s="32" t="s">
        <v>1272</v>
      </c>
      <c r="B71" s="32" t="s">
        <v>130</v>
      </c>
      <c r="C71" s="72" t="str">
        <f>INDEX(Backlog!$K$2:$K$188,MATCH(A71,Backlog!$A$2:$A$188,0))</f>
        <v>Not Started</v>
      </c>
      <c r="D71" s="32" t="str">
        <f>INDEX(Backlog!$B$2:$B$188,MATCH(A71,Backlog!$A$2:$A$188,0))</f>
        <v>M3</v>
      </c>
    </row>
    <row r="72" spans="1:4" ht="26.1" customHeight="1">
      <c r="A72" s="32" t="s">
        <v>1276</v>
      </c>
      <c r="B72" s="32" t="s">
        <v>577</v>
      </c>
      <c r="C72" s="72" t="str">
        <f>INDEX(Backlog!$K$2:$K$188,MATCH(A72,Backlog!$A$2:$A$188,0))</f>
        <v>Not Started</v>
      </c>
      <c r="D72" s="32" t="str">
        <f>INDEX(Backlog!$B$2:$B$188,MATCH(A72,Backlog!$A$2:$A$188,0))</f>
        <v>M3</v>
      </c>
    </row>
    <row r="73" spans="1:4" ht="26.1" customHeight="1">
      <c r="A73" s="32" t="s">
        <v>1289</v>
      </c>
      <c r="B73" s="32" t="s">
        <v>546</v>
      </c>
      <c r="C73" s="72" t="str">
        <f>INDEX(Backlog!$K$2:$K$188,MATCH(A73,Backlog!$A$2:$A$188,0))</f>
        <v>Not Started</v>
      </c>
      <c r="D73" s="32" t="str">
        <f>INDEX(Backlog!$B$2:$B$188,MATCH(A73,Backlog!$A$2:$A$188,0))</f>
        <v>M3</v>
      </c>
    </row>
    <row r="74" spans="1:4" ht="26.1" customHeight="1">
      <c r="A74" s="32" t="s">
        <v>1296</v>
      </c>
      <c r="B74" s="32" t="s">
        <v>987</v>
      </c>
      <c r="C74" s="72" t="str">
        <f>INDEX(Backlog!$K$2:$K$188,MATCH(A74,Backlog!$A$2:$A$188,0))</f>
        <v>Not Started</v>
      </c>
      <c r="D74" s="32" t="str">
        <f>INDEX(Backlog!$B$2:$B$188,MATCH(A74,Backlog!$A$2:$A$188,0))</f>
        <v>M3</v>
      </c>
    </row>
    <row r="75" spans="1:4" ht="26.1" customHeight="1">
      <c r="A75" s="32" t="s">
        <v>1339</v>
      </c>
      <c r="B75" s="32" t="s">
        <v>1123</v>
      </c>
      <c r="C75" s="72" t="str">
        <f>INDEX(Backlog!$K$2:$K$188,MATCH(A75,Backlog!$A$2:$A$188,0))</f>
        <v>Not Started</v>
      </c>
      <c r="D75" s="32" t="str">
        <f>INDEX(Backlog!$B$2:$B$188,MATCH(A75,Backlog!$A$2:$A$188,0))</f>
        <v>M3</v>
      </c>
    </row>
    <row r="76" spans="1:4" ht="26.1" customHeight="1">
      <c r="A76" s="32" t="s">
        <v>1393</v>
      </c>
      <c r="B76" s="32" t="s">
        <v>798</v>
      </c>
      <c r="C76" s="72" t="str">
        <f>INDEX(Backlog!$K$2:$K$188,MATCH(A76,Backlog!$A$2:$A$188,0))</f>
        <v>Not Started</v>
      </c>
      <c r="D76" s="32" t="str">
        <f>INDEX(Backlog!$B$2:$B$188,MATCH(A76,Backlog!$A$2:$A$188,0))</f>
        <v>M3</v>
      </c>
    </row>
    <row r="77" spans="1:4" ht="26.1" customHeight="1">
      <c r="A77" s="32" t="s">
        <v>812</v>
      </c>
      <c r="B77" s="32" t="s">
        <v>819</v>
      </c>
      <c r="C77" s="72" t="str">
        <f>INDEX(Backlog!$K$2:$K$188,MATCH(A77,Backlog!$A$2:$A$188,0))</f>
        <v>Not Started</v>
      </c>
      <c r="D77" s="32" t="str">
        <f>INDEX(Backlog!$B$2:$B$188,MATCH(A77,Backlog!$A$2:$A$188,0))</f>
        <v>M3</v>
      </c>
    </row>
    <row r="78" spans="1:4" ht="26.1" customHeight="1">
      <c r="A78" s="32" t="s">
        <v>812</v>
      </c>
      <c r="B78" s="32" t="s">
        <v>2852</v>
      </c>
      <c r="C78" s="72" t="str">
        <f>INDEX(Backlog!$K$2:$K$188,MATCH(A78,Backlog!$A$2:$A$188,0))</f>
        <v>Not Started</v>
      </c>
      <c r="D78" s="32" t="str">
        <f>INDEX(Backlog!$B$2:$B$188,MATCH(A78,Backlog!$A$2:$A$188,0))</f>
        <v>M3</v>
      </c>
    </row>
    <row r="79" spans="1:4" ht="26.1" customHeight="1">
      <c r="A79" s="32" t="s">
        <v>812</v>
      </c>
      <c r="B79" s="32" t="s">
        <v>591</v>
      </c>
      <c r="C79" s="72" t="str">
        <f>INDEX(Backlog!$K$2:$K$188,MATCH(A79,Backlog!$A$2:$A$188,0))</f>
        <v>Not Started</v>
      </c>
      <c r="D79" s="32" t="str">
        <f>INDEX(Backlog!$B$2:$B$188,MATCH(A79,Backlog!$A$2:$A$188,0))</f>
        <v>M3</v>
      </c>
    </row>
    <row r="80" spans="1:4" ht="26.1" customHeight="1">
      <c r="A80" s="32" t="s">
        <v>812</v>
      </c>
      <c r="B80" s="32" t="s">
        <v>719</v>
      </c>
      <c r="C80" s="72" t="str">
        <f>INDEX(Backlog!$K$2:$K$188,MATCH(A80,Backlog!$A$2:$A$188,0))</f>
        <v>Not Started</v>
      </c>
      <c r="D80" s="32" t="str">
        <f>INDEX(Backlog!$B$2:$B$188,MATCH(A80,Backlog!$A$2:$A$188,0))</f>
        <v>M3</v>
      </c>
    </row>
    <row r="81" spans="1:4" ht="26.1" customHeight="1">
      <c r="A81" s="32" t="s">
        <v>812</v>
      </c>
      <c r="B81" s="32" t="s">
        <v>683</v>
      </c>
      <c r="C81" s="72" t="str">
        <f>INDEX(Backlog!$K$2:$K$188,MATCH(A81,Backlog!$A$2:$A$188,0))</f>
        <v>Not Started</v>
      </c>
      <c r="D81" s="32" t="str">
        <f>INDEX(Backlog!$B$2:$B$188,MATCH(A81,Backlog!$A$2:$A$188,0))</f>
        <v>M3</v>
      </c>
    </row>
    <row r="82" spans="1:4" ht="26.1" customHeight="1">
      <c r="A82" s="32" t="s">
        <v>812</v>
      </c>
      <c r="B82" s="32" t="s">
        <v>207</v>
      </c>
      <c r="C82" s="72" t="str">
        <f>INDEX(Backlog!$K$2:$K$188,MATCH(A82,Backlog!$A$2:$A$188,0))</f>
        <v>Not Started</v>
      </c>
      <c r="D82" s="32" t="str">
        <f>INDEX(Backlog!$B$2:$B$188,MATCH(A82,Backlog!$A$2:$A$188,0))</f>
        <v>M3</v>
      </c>
    </row>
    <row r="83" spans="1:4" ht="26.1" customHeight="1">
      <c r="A83" s="32" t="s">
        <v>812</v>
      </c>
      <c r="B83" s="32" t="s">
        <v>261</v>
      </c>
      <c r="C83" s="72" t="str">
        <f>INDEX(Backlog!$K$2:$K$188,MATCH(A83,Backlog!$A$2:$A$188,0))</f>
        <v>Not Started</v>
      </c>
      <c r="D83" s="32" t="str">
        <f>INDEX(Backlog!$B$2:$B$188,MATCH(A83,Backlog!$A$2:$A$188,0))</f>
        <v>M3</v>
      </c>
    </row>
    <row r="84" spans="1:4" ht="26.1" customHeight="1">
      <c r="A84" s="32" t="s">
        <v>1455</v>
      </c>
      <c r="B84" s="32" t="s">
        <v>533</v>
      </c>
      <c r="C84" s="72" t="str">
        <f>INDEX(Backlog!$K$2:$K$188,MATCH(A84,Backlog!$A$2:$A$188,0))</f>
        <v>Not Started</v>
      </c>
      <c r="D84" s="32" t="str">
        <f>INDEX(Backlog!$B$2:$B$188,MATCH(A84,Backlog!$A$2:$A$188,0))</f>
        <v>M3</v>
      </c>
    </row>
    <row r="85" spans="1:4" ht="26.1" customHeight="1">
      <c r="A85" s="32" t="s">
        <v>1455</v>
      </c>
      <c r="B85" s="32" t="s">
        <v>1365</v>
      </c>
      <c r="C85" s="72" t="str">
        <f>INDEX(Backlog!$K$2:$K$188,MATCH(A85,Backlog!$A$2:$A$188,0))</f>
        <v>Not Started</v>
      </c>
      <c r="D85" s="32" t="str">
        <f>INDEX(Backlog!$B$2:$B$188,MATCH(A85,Backlog!$A$2:$A$188,0))</f>
        <v>M3</v>
      </c>
    </row>
    <row r="86" spans="1:4" ht="26.1" customHeight="1">
      <c r="A86" s="32" t="s">
        <v>1465</v>
      </c>
      <c r="B86" s="32" t="s">
        <v>1478</v>
      </c>
      <c r="C86" s="72" t="str">
        <f>INDEX(Backlog!$K$2:$K$188,MATCH(A86,Backlog!$A$2:$A$188,0))</f>
        <v>Not Started</v>
      </c>
      <c r="D86" s="32" t="str">
        <f>INDEX(Backlog!$B$2:$B$188,MATCH(A86,Backlog!$A$2:$A$188,0))</f>
        <v>M3</v>
      </c>
    </row>
    <row r="87" spans="1:4" ht="26.1" customHeight="1">
      <c r="A87" s="32" t="s">
        <v>1479</v>
      </c>
      <c r="B87" s="32" t="s">
        <v>333</v>
      </c>
      <c r="C87" s="72" t="str">
        <f>INDEX(Backlog!$K$2:$K$188,MATCH(A87,Backlog!$A$2:$A$188,0))</f>
        <v>Not Started</v>
      </c>
      <c r="D87" s="32" t="str">
        <f>INDEX(Backlog!$B$2:$B$188,MATCH(A87,Backlog!$A$2:$A$188,0))</f>
        <v>M3</v>
      </c>
    </row>
    <row r="88" spans="1:4" ht="26.1" customHeight="1">
      <c r="A88" s="32" t="s">
        <v>1479</v>
      </c>
      <c r="B88" s="32" t="s">
        <v>881</v>
      </c>
      <c r="C88" s="72" t="str">
        <f>INDEX(Backlog!$K$2:$K$188,MATCH(A88,Backlog!$A$2:$A$188,0))</f>
        <v>Not Started</v>
      </c>
      <c r="D88" s="32" t="str">
        <f>INDEX(Backlog!$B$2:$B$188,MATCH(A88,Backlog!$A$2:$A$188,0))</f>
        <v>M3</v>
      </c>
    </row>
    <row r="89" spans="1:4" ht="26.1" customHeight="1">
      <c r="A89" s="32" t="s">
        <v>1515</v>
      </c>
      <c r="B89" s="32" t="s">
        <v>591</v>
      </c>
      <c r="C89" s="72" t="str">
        <f>INDEX(Backlog!$K$2:$K$188,MATCH(A89,Backlog!$A$2:$A$188,0))</f>
        <v>Not Started</v>
      </c>
      <c r="D89" s="32" t="str">
        <f>INDEX(Backlog!$B$2:$B$188,MATCH(A89,Backlog!$A$2:$A$188,0))</f>
        <v>M3</v>
      </c>
    </row>
    <row r="90" spans="1:4" ht="26.1" customHeight="1">
      <c r="A90" s="32" t="s">
        <v>1557</v>
      </c>
      <c r="B90" s="32" t="s">
        <v>1183</v>
      </c>
      <c r="C90" s="72" t="str">
        <f>INDEX(Backlog!$K$2:$K$188,MATCH(A90,Backlog!$A$2:$A$188,0))</f>
        <v>Not Started</v>
      </c>
      <c r="D90" s="32" t="str">
        <f>INDEX(Backlog!$B$2:$B$188,MATCH(A90,Backlog!$A$2:$A$188,0))</f>
        <v>M3</v>
      </c>
    </row>
    <row r="91" spans="1:4" ht="26.1" customHeight="1">
      <c r="A91" s="32" t="s">
        <v>1577</v>
      </c>
      <c r="B91" s="32" t="s">
        <v>1585</v>
      </c>
      <c r="C91" s="72" t="str">
        <f>INDEX(Backlog!$K$2:$K$188,MATCH(A91,Backlog!$A$2:$A$188,0))</f>
        <v>Not Started</v>
      </c>
      <c r="D91" s="32" t="str">
        <f>INDEX(Backlog!$B$2:$B$188,MATCH(A91,Backlog!$A$2:$A$188,0))</f>
        <v>M3</v>
      </c>
    </row>
    <row r="92" spans="1:4" ht="26.1" customHeight="1">
      <c r="A92" s="32" t="s">
        <v>1586</v>
      </c>
      <c r="B92" s="32" t="s">
        <v>2868</v>
      </c>
      <c r="C92" s="72" t="str">
        <f>INDEX(Backlog!$K$2:$K$188,MATCH(A92,Backlog!$A$2:$A$188,0))</f>
        <v>Not Started</v>
      </c>
      <c r="D92" s="32" t="str">
        <f>INDEX(Backlog!$B$2:$B$188,MATCH(A92,Backlog!$A$2:$A$188,0))</f>
        <v>M3</v>
      </c>
    </row>
    <row r="93" spans="1:4" ht="26.1" customHeight="1">
      <c r="A93" s="32" t="s">
        <v>1586</v>
      </c>
      <c r="B93" s="32" t="s">
        <v>1365</v>
      </c>
      <c r="C93" s="72" t="str">
        <f>INDEX(Backlog!$K$2:$K$188,MATCH(A93,Backlog!$A$2:$A$188,0))</f>
        <v>Not Started</v>
      </c>
      <c r="D93" s="32" t="str">
        <f>INDEX(Backlog!$B$2:$B$188,MATCH(A93,Backlog!$A$2:$A$188,0))</f>
        <v>M3</v>
      </c>
    </row>
    <row r="94" spans="1:4" ht="26.1" customHeight="1">
      <c r="A94" s="32" t="s">
        <v>1586</v>
      </c>
      <c r="B94" s="32" t="s">
        <v>2870</v>
      </c>
      <c r="C94" s="72" t="str">
        <f>INDEX(Backlog!$K$2:$K$188,MATCH(A94,Backlog!$A$2:$A$188,0))</f>
        <v>Not Started</v>
      </c>
      <c r="D94" s="32" t="str">
        <f>INDEX(Backlog!$B$2:$B$188,MATCH(A94,Backlog!$A$2:$A$188,0))</f>
        <v>M3</v>
      </c>
    </row>
    <row r="95" spans="1:4" ht="26.1" customHeight="1">
      <c r="A95" s="32" t="s">
        <v>1600</v>
      </c>
      <c r="B95" s="32" t="s">
        <v>333</v>
      </c>
      <c r="C95" s="72" t="str">
        <f>INDEX(Backlog!$K$2:$K$188,MATCH(A95,Backlog!$A$2:$A$188,0))</f>
        <v>Not Started</v>
      </c>
      <c r="D95" s="32" t="str">
        <f>INDEX(Backlog!$B$2:$B$188,MATCH(A95,Backlog!$A$2:$A$188,0))</f>
        <v>M3</v>
      </c>
    </row>
    <row r="96" spans="1:4" ht="26.1" customHeight="1">
      <c r="A96" s="32" t="s">
        <v>1607</v>
      </c>
      <c r="B96" s="32" t="s">
        <v>881</v>
      </c>
      <c r="C96" s="72" t="str">
        <f>INDEX(Backlog!$K$2:$K$188,MATCH(A96,Backlog!$A$2:$A$188,0))</f>
        <v>Not Started</v>
      </c>
      <c r="D96" s="32" t="str">
        <f>INDEX(Backlog!$B$2:$B$188,MATCH(A96,Backlog!$A$2:$A$188,0))</f>
        <v>M3</v>
      </c>
    </row>
    <row r="97" spans="1:4" ht="26.1" customHeight="1">
      <c r="A97" s="32" t="s">
        <v>1607</v>
      </c>
      <c r="B97" s="32" t="s">
        <v>958</v>
      </c>
      <c r="C97" s="72" t="str">
        <f>INDEX(Backlog!$K$2:$K$188,MATCH(A97,Backlog!$A$2:$A$188,0))</f>
        <v>Not Started</v>
      </c>
      <c r="D97" s="32" t="str">
        <f>INDEX(Backlog!$B$2:$B$188,MATCH(A97,Backlog!$A$2:$A$188,0))</f>
        <v>M3</v>
      </c>
    </row>
    <row r="98" spans="1:4" ht="26.1" customHeight="1">
      <c r="A98" s="32" t="s">
        <v>1625</v>
      </c>
      <c r="B98" s="32" t="s">
        <v>1632</v>
      </c>
      <c r="C98" s="72" t="str">
        <f>INDEX(Backlog!$K$2:$K$188,MATCH(A98,Backlog!$A$2:$A$188,0))</f>
        <v>Not Started</v>
      </c>
      <c r="D98" s="32" t="str">
        <f>INDEX(Backlog!$B$2:$B$188,MATCH(A98,Backlog!$A$2:$A$188,0))</f>
        <v>M3</v>
      </c>
    </row>
    <row r="99" spans="1:4" ht="26.1" customHeight="1">
      <c r="A99" s="32" t="s">
        <v>1633</v>
      </c>
      <c r="B99" s="32" t="s">
        <v>345</v>
      </c>
      <c r="C99" s="72" t="str">
        <f>INDEX(Backlog!$K$2:$K$188,MATCH(A99,Backlog!$A$2:$A$188,0))</f>
        <v>Not Started</v>
      </c>
      <c r="D99" s="32" t="str">
        <f>INDEX(Backlog!$B$2:$B$188,MATCH(A99,Backlog!$A$2:$A$188,0))</f>
        <v>M3</v>
      </c>
    </row>
    <row r="100" spans="1:4" ht="26.1" customHeight="1">
      <c r="A100" s="32" t="s">
        <v>1655</v>
      </c>
      <c r="B100" s="32" t="s">
        <v>872</v>
      </c>
      <c r="C100" s="72" t="str">
        <f>INDEX(Backlog!$K$2:$K$188,MATCH(A100,Backlog!$A$2:$A$188,0))</f>
        <v>Not Started</v>
      </c>
      <c r="D100" s="32" t="str">
        <f>INDEX(Backlog!$B$2:$B$188,MATCH(A100,Backlog!$A$2:$A$188,0))</f>
        <v>M3</v>
      </c>
    </row>
    <row r="101" spans="1:4" ht="26.1" customHeight="1">
      <c r="A101" s="32" t="s">
        <v>912</v>
      </c>
      <c r="B101" s="32" t="s">
        <v>921</v>
      </c>
      <c r="C101" s="72" t="str">
        <f>INDEX(Backlog!$K$2:$K$188,MATCH(A101,Backlog!$A$2:$A$188,0))</f>
        <v>Not Started</v>
      </c>
      <c r="D101" s="32" t="str">
        <f>INDEX(Backlog!$B$2:$B$188,MATCH(A101,Backlog!$A$2:$A$188,0))</f>
        <v>M3</v>
      </c>
    </row>
    <row r="102" spans="1:4" ht="26.1" customHeight="1">
      <c r="A102" s="32" t="s">
        <v>912</v>
      </c>
      <c r="B102" s="32" t="s">
        <v>872</v>
      </c>
      <c r="C102" s="72" t="str">
        <f>INDEX(Backlog!$K$2:$K$188,MATCH(A102,Backlog!$A$2:$A$188,0))</f>
        <v>Not Started</v>
      </c>
      <c r="D102" s="32" t="str">
        <f>INDEX(Backlog!$B$2:$B$188,MATCH(A102,Backlog!$A$2:$A$188,0))</f>
        <v>M3</v>
      </c>
    </row>
    <row r="103" spans="1:4" ht="26.1" customHeight="1">
      <c r="A103" s="32" t="s">
        <v>1669</v>
      </c>
      <c r="B103" s="32" t="s">
        <v>905</v>
      </c>
      <c r="C103" s="72" t="str">
        <f>INDEX(Backlog!$K$2:$K$188,MATCH(A103,Backlog!$A$2:$A$188,0))</f>
        <v>Not Started</v>
      </c>
      <c r="D103" s="32" t="str">
        <f>INDEX(Backlog!$B$2:$B$188,MATCH(A103,Backlog!$A$2:$A$188,0))</f>
        <v>M3</v>
      </c>
    </row>
    <row r="104" spans="1:4" ht="26.1" customHeight="1">
      <c r="A104" s="32" t="s">
        <v>1669</v>
      </c>
      <c r="B104" s="32" t="s">
        <v>333</v>
      </c>
      <c r="C104" s="72" t="str">
        <f>INDEX(Backlog!$K$2:$K$188,MATCH(A104,Backlog!$A$2:$A$188,0))</f>
        <v>Not Started</v>
      </c>
      <c r="D104" s="32" t="str">
        <f>INDEX(Backlog!$B$2:$B$188,MATCH(A104,Backlog!$A$2:$A$188,0))</f>
        <v>M3</v>
      </c>
    </row>
    <row r="105" spans="1:4" ht="26.1" customHeight="1">
      <c r="A105" s="32" t="s">
        <v>1562</v>
      </c>
      <c r="B105" s="32" t="s">
        <v>591</v>
      </c>
      <c r="C105" s="72" t="str">
        <f>INDEX(Backlog!$K$2:$K$188,MATCH(A105,Backlog!$A$2:$A$188,0))</f>
        <v>Not Started</v>
      </c>
      <c r="D105" s="32" t="str">
        <f>INDEX(Backlog!$B$2:$B$188,MATCH(A105,Backlog!$A$2:$A$188,0))</f>
        <v>M3</v>
      </c>
    </row>
    <row r="106" spans="1:4" ht="26.1" customHeight="1">
      <c r="A106" s="32" t="s">
        <v>1685</v>
      </c>
      <c r="B106" s="32" t="s">
        <v>1583</v>
      </c>
      <c r="C106" s="72" t="str">
        <f>INDEX(Backlog!$K$2:$K$188,MATCH(A106,Backlog!$A$2:$A$188,0))</f>
        <v>Not Started</v>
      </c>
      <c r="D106" s="32" t="str">
        <f>INDEX(Backlog!$B$2:$B$188,MATCH(A106,Backlog!$A$2:$A$188,0))</f>
        <v>M3</v>
      </c>
    </row>
    <row r="107" spans="1:4" ht="26.1" customHeight="1">
      <c r="A107" s="32" t="s">
        <v>1685</v>
      </c>
      <c r="B107" s="32" t="s">
        <v>1585</v>
      </c>
      <c r="C107" s="72" t="str">
        <f>INDEX(Backlog!$K$2:$K$188,MATCH(A107,Backlog!$A$2:$A$188,0))</f>
        <v>Not Started</v>
      </c>
      <c r="D107" s="32" t="str">
        <f>INDEX(Backlog!$B$2:$B$188,MATCH(A107,Backlog!$A$2:$A$188,0))</f>
        <v>M3</v>
      </c>
    </row>
    <row r="108" spans="1:4" ht="26.1" customHeight="1">
      <c r="A108" s="32" t="s">
        <v>1683</v>
      </c>
      <c r="B108" s="32" t="s">
        <v>566</v>
      </c>
      <c r="C108" s="72" t="str">
        <f>INDEX(Backlog!$K$2:$K$188,MATCH(A108,Backlog!$A$2:$A$188,0))</f>
        <v>Not Started</v>
      </c>
      <c r="D108" s="32" t="str">
        <f>INDEX(Backlog!$B$2:$B$188,MATCH(A108,Backlog!$A$2:$A$188,0))</f>
        <v>M3</v>
      </c>
    </row>
    <row r="109" spans="1:4" ht="26.1" customHeight="1">
      <c r="A109" s="32" t="s">
        <v>1683</v>
      </c>
      <c r="B109" s="32" t="s">
        <v>872</v>
      </c>
      <c r="C109" s="72" t="str">
        <f>INDEX(Backlog!$K$2:$K$188,MATCH(A109,Backlog!$A$2:$A$188,0))</f>
        <v>Not Started</v>
      </c>
      <c r="D109" s="32" t="str">
        <f>INDEX(Backlog!$B$2:$B$188,MATCH(A109,Backlog!$A$2:$A$188,0))</f>
        <v>M3</v>
      </c>
    </row>
    <row r="110" spans="1:4" ht="26.1" customHeight="1">
      <c r="A110" s="32" t="s">
        <v>1683</v>
      </c>
      <c r="B110" s="32" t="s">
        <v>981</v>
      </c>
      <c r="C110" s="72" t="str">
        <f>INDEX(Backlog!$K$2:$K$188,MATCH(A110,Backlog!$A$2:$A$188,0))</f>
        <v>Not Started</v>
      </c>
      <c r="D110" s="32" t="str">
        <f>INDEX(Backlog!$B$2:$B$188,MATCH(A110,Backlog!$A$2:$A$188,0))</f>
        <v>M3</v>
      </c>
    </row>
    <row r="111" spans="1:4" ht="26.1" customHeight="1">
      <c r="A111" s="32" t="s">
        <v>1710</v>
      </c>
      <c r="B111" s="32" t="s">
        <v>872</v>
      </c>
      <c r="C111" s="72" t="str">
        <f>INDEX(Backlog!$K$2:$K$188,MATCH(A111,Backlog!$A$2:$A$188,0))</f>
        <v>Not Started</v>
      </c>
      <c r="D111" s="32" t="str">
        <f>INDEX(Backlog!$B$2:$B$188,MATCH(A111,Backlog!$A$2:$A$188,0))</f>
        <v>M3</v>
      </c>
    </row>
    <row r="112" spans="1:4" ht="26.1" customHeight="1">
      <c r="A112" s="32" t="s">
        <v>1726</v>
      </c>
      <c r="B112" s="32" t="s">
        <v>1736</v>
      </c>
      <c r="C112" s="72" t="str">
        <f>INDEX(Backlog!$K$2:$K$188,MATCH(A112,Backlog!$A$2:$A$188,0))</f>
        <v>Not Started</v>
      </c>
      <c r="D112" s="32" t="str">
        <f>INDEX(Backlog!$B$2:$B$188,MATCH(A112,Backlog!$A$2:$A$188,0))</f>
        <v>M3</v>
      </c>
    </row>
    <row r="113" spans="1:4" ht="26.1" customHeight="1">
      <c r="A113" s="32" t="s">
        <v>1743</v>
      </c>
      <c r="B113" s="32" t="s">
        <v>967</v>
      </c>
      <c r="C113" s="72" t="str">
        <f>INDEX(Backlog!$K$2:$K$188,MATCH(A113,Backlog!$A$2:$A$188,0))</f>
        <v>Not Started</v>
      </c>
      <c r="D113" s="32" t="str">
        <f>INDEX(Backlog!$B$2:$B$188,MATCH(A113,Backlog!$A$2:$A$188,0))</f>
        <v>M3</v>
      </c>
    </row>
    <row r="114" spans="1:4" ht="26.1" customHeight="1">
      <c r="A114" s="32" t="s">
        <v>1757</v>
      </c>
      <c r="B114" s="32" t="s">
        <v>333</v>
      </c>
      <c r="C114" s="72" t="str">
        <f>INDEX(Backlog!$K$2:$K$188,MATCH(A114,Backlog!$A$2:$A$188,0))</f>
        <v>Not Started</v>
      </c>
      <c r="D114" s="32" t="str">
        <f>INDEX(Backlog!$B$2:$B$188,MATCH(A114,Backlog!$A$2:$A$188,0))</f>
        <v>M3</v>
      </c>
    </row>
    <row r="115" spans="1:4" ht="26.1" customHeight="1">
      <c r="A115" s="32" t="s">
        <v>1757</v>
      </c>
      <c r="B115" s="32" t="s">
        <v>958</v>
      </c>
      <c r="C115" s="72" t="str">
        <f>INDEX(Backlog!$K$2:$K$188,MATCH(A115,Backlog!$A$2:$A$188,0))</f>
        <v>Not Started</v>
      </c>
      <c r="D115" s="32" t="str">
        <f>INDEX(Backlog!$B$2:$B$188,MATCH(A115,Backlog!$A$2:$A$188,0))</f>
        <v>M3</v>
      </c>
    </row>
    <row r="116" spans="1:4" ht="26.1" customHeight="1">
      <c r="A116" s="32" t="s">
        <v>1766</v>
      </c>
      <c r="B116" s="32" t="s">
        <v>646</v>
      </c>
      <c r="C116" s="72" t="str">
        <f>INDEX(Backlog!$K$2:$K$188,MATCH(A116,Backlog!$A$2:$A$188,0))</f>
        <v>Not Started</v>
      </c>
      <c r="D116" s="32" t="str">
        <f>INDEX(Backlog!$B$2:$B$188,MATCH(A116,Backlog!$A$2:$A$188,0))</f>
        <v>M3</v>
      </c>
    </row>
    <row r="117" spans="1:4" ht="26.1" customHeight="1">
      <c r="A117" s="32" t="s">
        <v>1766</v>
      </c>
      <c r="B117" s="32" t="s">
        <v>1501</v>
      </c>
      <c r="C117" s="72" t="str">
        <f>INDEX(Backlog!$K$2:$K$188,MATCH(A117,Backlog!$A$2:$A$188,0))</f>
        <v>Not Started</v>
      </c>
      <c r="D117" s="32" t="str">
        <f>INDEX(Backlog!$B$2:$B$188,MATCH(A117,Backlog!$A$2:$A$188,0))</f>
        <v>M3</v>
      </c>
    </row>
    <row r="118" spans="1:4" ht="26.1" customHeight="1">
      <c r="A118" s="32" t="s">
        <v>1775</v>
      </c>
      <c r="B118" s="32" t="s">
        <v>130</v>
      </c>
      <c r="C118" s="72" t="str">
        <f>INDEX(Backlog!$K$2:$K$188,MATCH(A118,Backlog!$A$2:$A$188,0))</f>
        <v>Not Started</v>
      </c>
      <c r="D118" s="32" t="str">
        <f>INDEX(Backlog!$B$2:$B$188,MATCH(A118,Backlog!$A$2:$A$188,0))</f>
        <v>M3</v>
      </c>
    </row>
    <row r="119" spans="1:4" ht="26.1" customHeight="1">
      <c r="A119" s="32" t="s">
        <v>1791</v>
      </c>
      <c r="B119" s="32" t="s">
        <v>1282</v>
      </c>
      <c r="C119" s="72" t="str">
        <f>INDEX(Backlog!$K$2:$K$188,MATCH(A119,Backlog!$A$2:$A$188,0))</f>
        <v>Not Started</v>
      </c>
      <c r="D119" s="32" t="str">
        <f>INDEX(Backlog!$B$2:$B$188,MATCH(A119,Backlog!$A$2:$A$188,0))</f>
        <v>M2</v>
      </c>
    </row>
    <row r="120" spans="1:4">
      <c r="A120" t="s">
        <v>1791</v>
      </c>
      <c r="B120" t="s">
        <v>607</v>
      </c>
      <c r="C120" s="71" t="str">
        <f>INDEX(Backlog!$K$2:$K$188,MATCH(A120,Backlog!$A$2:$A$188,0))</f>
        <v>Not Started</v>
      </c>
      <c r="D120" t="str">
        <f>INDEX(Backlog!$B$2:$B$188,MATCH(A120,Backlog!$A$2:$A$188,0))</f>
        <v>M2</v>
      </c>
    </row>
    <row r="121" spans="1:4">
      <c r="A121" t="s">
        <v>1791</v>
      </c>
      <c r="B121" t="s">
        <v>2843</v>
      </c>
      <c r="C121" s="71" t="str">
        <f>INDEX(Backlog!$K$2:$K$188,MATCH(A121,Backlog!$A$2:$A$188,0))</f>
        <v>Not Started</v>
      </c>
      <c r="D121" t="str">
        <f>INDEX(Backlog!$B$2:$B$188,MATCH(A121,Backlog!$A$2:$A$188,0))</f>
        <v>M2</v>
      </c>
    </row>
    <row r="122" spans="1:4">
      <c r="A122" t="s">
        <v>1791</v>
      </c>
      <c r="B122" t="s">
        <v>1185</v>
      </c>
      <c r="C122" s="71" t="str">
        <f>INDEX(Backlog!$K$2:$K$188,MATCH(A122,Backlog!$A$2:$A$188,0))</f>
        <v>Not Started</v>
      </c>
      <c r="D122" t="str">
        <f>INDEX(Backlog!$B$2:$B$188,MATCH(A122,Backlog!$A$2:$A$188,0))</f>
        <v>M2</v>
      </c>
    </row>
    <row r="123" spans="1:4">
      <c r="A123" t="s">
        <v>1791</v>
      </c>
      <c r="B123" t="s">
        <v>798</v>
      </c>
      <c r="C123" s="71" t="str">
        <f>INDEX(Backlog!$K$2:$K$188,MATCH(A123,Backlog!$A$2:$A$188,0))</f>
        <v>Not Started</v>
      </c>
      <c r="D123" t="str">
        <f>INDEX(Backlog!$B$2:$B$188,MATCH(A123,Backlog!$A$2:$A$188,0))</f>
        <v>M2</v>
      </c>
    </row>
    <row r="124" spans="1:4">
      <c r="A124" t="s">
        <v>1791</v>
      </c>
      <c r="B124" t="s">
        <v>471</v>
      </c>
      <c r="C124" s="71" t="str">
        <f>INDEX(Backlog!$K$2:$K$188,MATCH(A124,Backlog!$A$2:$A$188,0))</f>
        <v>Not Started</v>
      </c>
      <c r="D124" t="str">
        <f>INDEX(Backlog!$B$2:$B$188,MATCH(A124,Backlog!$A$2:$A$188,0))</f>
        <v>M2</v>
      </c>
    </row>
    <row r="125" spans="1:4">
      <c r="A125" t="s">
        <v>1791</v>
      </c>
      <c r="B125" t="s">
        <v>533</v>
      </c>
      <c r="C125" s="71" t="str">
        <f>INDEX(Backlog!$K$2:$K$188,MATCH(A125,Backlog!$A$2:$A$188,0))</f>
        <v>Not Started</v>
      </c>
      <c r="D125" t="str">
        <f>INDEX(Backlog!$B$2:$B$188,MATCH(A125,Backlog!$A$2:$A$188,0))</f>
        <v>M2</v>
      </c>
    </row>
    <row r="126" spans="1:4">
      <c r="A126" t="s">
        <v>1791</v>
      </c>
      <c r="B126" t="s">
        <v>2849</v>
      </c>
      <c r="C126" s="71" t="str">
        <f>INDEX(Backlog!$K$2:$K$188,MATCH(A126,Backlog!$A$2:$A$188,0))</f>
        <v>Not Started</v>
      </c>
      <c r="D126" t="str">
        <f>INDEX(Backlog!$B$2:$B$188,MATCH(A126,Backlog!$A$2:$A$188,0))</f>
        <v>M2</v>
      </c>
    </row>
    <row r="127" spans="1:4">
      <c r="A127" t="s">
        <v>1791</v>
      </c>
      <c r="B127" t="s">
        <v>272</v>
      </c>
      <c r="C127" s="71" t="str">
        <f>INDEX(Backlog!$K$2:$K$188,MATCH(A127,Backlog!$A$2:$A$188,0))</f>
        <v>Not Started</v>
      </c>
      <c r="D127" t="str">
        <f>INDEX(Backlog!$B$2:$B$188,MATCH(A127,Backlog!$A$2:$A$188,0))</f>
        <v>M2</v>
      </c>
    </row>
    <row r="128" spans="1:4">
      <c r="A128" t="s">
        <v>1791</v>
      </c>
      <c r="B128" t="s">
        <v>2852</v>
      </c>
      <c r="C128" s="71" t="str">
        <f>INDEX(Backlog!$K$2:$K$188,MATCH(A128,Backlog!$A$2:$A$188,0))</f>
        <v>Not Started</v>
      </c>
      <c r="D128" t="str">
        <f>INDEX(Backlog!$B$2:$B$188,MATCH(A128,Backlog!$A$2:$A$188,0))</f>
        <v>M2</v>
      </c>
    </row>
    <row r="129" spans="1:4">
      <c r="A129" t="s">
        <v>1791</v>
      </c>
      <c r="B129" t="s">
        <v>719</v>
      </c>
      <c r="C129" s="71" t="str">
        <f>INDEX(Backlog!$K$2:$K$188,MATCH(A129,Backlog!$A$2:$A$188,0))</f>
        <v>Not Started</v>
      </c>
      <c r="D129" t="str">
        <f>INDEX(Backlog!$B$2:$B$188,MATCH(A129,Backlog!$A$2:$A$188,0))</f>
        <v>M2</v>
      </c>
    </row>
    <row r="130" spans="1:4">
      <c r="A130" t="s">
        <v>1791</v>
      </c>
      <c r="B130" t="s">
        <v>683</v>
      </c>
      <c r="C130" s="71" t="str">
        <f>INDEX(Backlog!$K$2:$K$188,MATCH(A130,Backlog!$A$2:$A$188,0))</f>
        <v>Not Started</v>
      </c>
      <c r="D130" t="str">
        <f>INDEX(Backlog!$B$2:$B$188,MATCH(A130,Backlog!$A$2:$A$188,0))</f>
        <v>M2</v>
      </c>
    </row>
    <row r="131" spans="1:4">
      <c r="A131" t="s">
        <v>1791</v>
      </c>
      <c r="B131" t="s">
        <v>721</v>
      </c>
      <c r="C131" s="71" t="str">
        <f>INDEX(Backlog!$K$2:$K$188,MATCH(A131,Backlog!$A$2:$A$188,0))</f>
        <v>Not Started</v>
      </c>
      <c r="D131" t="str">
        <f>INDEX(Backlog!$B$2:$B$188,MATCH(A131,Backlog!$A$2:$A$188,0))</f>
        <v>M2</v>
      </c>
    </row>
    <row r="132" spans="1:4">
      <c r="A132" t="s">
        <v>1791</v>
      </c>
      <c r="B132" t="s">
        <v>437</v>
      </c>
      <c r="C132" s="71" t="str">
        <f>INDEX(Backlog!$K$2:$K$188,MATCH(A132,Backlog!$A$2:$A$188,0))</f>
        <v>Not Started</v>
      </c>
      <c r="D132" t="str">
        <f>INDEX(Backlog!$B$2:$B$188,MATCH(A132,Backlog!$A$2:$A$188,0))</f>
        <v>M2</v>
      </c>
    </row>
    <row r="133" spans="1:4">
      <c r="A133" t="s">
        <v>1791</v>
      </c>
      <c r="B133" t="s">
        <v>2857</v>
      </c>
      <c r="C133" s="71" t="str">
        <f>INDEX(Backlog!$K$2:$K$188,MATCH(A133,Backlog!$A$2:$A$188,0))</f>
        <v>Not Started</v>
      </c>
      <c r="D133" t="str">
        <f>INDEX(Backlog!$B$2:$B$188,MATCH(A133,Backlog!$A$2:$A$188,0))</f>
        <v>M2</v>
      </c>
    </row>
    <row r="134" spans="1:4">
      <c r="A134" t="s">
        <v>1791</v>
      </c>
      <c r="B134" t="s">
        <v>261</v>
      </c>
      <c r="C134" s="71" t="str">
        <f>INDEX(Backlog!$K$2:$K$188,MATCH(A134,Backlog!$A$2:$A$188,0))</f>
        <v>Not Started</v>
      </c>
      <c r="D134" t="str">
        <f>INDEX(Backlog!$B$2:$B$188,MATCH(A134,Backlog!$A$2:$A$188,0))</f>
        <v>M2</v>
      </c>
    </row>
    <row r="135" spans="1:4">
      <c r="A135" t="s">
        <v>1817</v>
      </c>
      <c r="B135" t="s">
        <v>577</v>
      </c>
      <c r="C135" s="71" t="str">
        <f>INDEX(Backlog!$K$2:$K$188,MATCH(A135,Backlog!$A$2:$A$188,0))</f>
        <v>Not Started</v>
      </c>
      <c r="D135" t="str">
        <f>INDEX(Backlog!$B$2:$B$188,MATCH(A135,Backlog!$A$2:$A$188,0))</f>
        <v>M2</v>
      </c>
    </row>
    <row r="136" spans="1:4">
      <c r="A136" t="s">
        <v>1817</v>
      </c>
      <c r="B136" t="s">
        <v>1282</v>
      </c>
      <c r="C136" s="71" t="str">
        <f>INDEX(Backlog!$K$2:$K$188,MATCH(A136,Backlog!$A$2:$A$188,0))</f>
        <v>Not Started</v>
      </c>
      <c r="D136" t="str">
        <f>INDEX(Backlog!$B$2:$B$188,MATCH(A136,Backlog!$A$2:$A$188,0))</f>
        <v>M2</v>
      </c>
    </row>
    <row r="137" spans="1:4">
      <c r="A137" t="s">
        <v>1817</v>
      </c>
      <c r="B137" t="s">
        <v>343</v>
      </c>
      <c r="C137" s="71" t="str">
        <f>INDEX(Backlog!$K$2:$K$188,MATCH(A137,Backlog!$A$2:$A$188,0))</f>
        <v>Not Started</v>
      </c>
      <c r="D137" t="str">
        <f>INDEX(Backlog!$B$2:$B$188,MATCH(A137,Backlog!$A$2:$A$188,0))</f>
        <v>M2</v>
      </c>
    </row>
    <row r="138" spans="1:4">
      <c r="A138" t="s">
        <v>1817</v>
      </c>
      <c r="B138" t="s">
        <v>1391</v>
      </c>
      <c r="C138" s="71" t="str">
        <f>INDEX(Backlog!$K$2:$K$188,MATCH(A138,Backlog!$A$2:$A$188,0))</f>
        <v>Not Started</v>
      </c>
      <c r="D138" t="str">
        <f>INDEX(Backlog!$B$2:$B$188,MATCH(A138,Backlog!$A$2:$A$188,0))</f>
        <v>M2</v>
      </c>
    </row>
    <row r="139" spans="1:4">
      <c r="A139" t="s">
        <v>1821</v>
      </c>
      <c r="B139" t="s">
        <v>819</v>
      </c>
      <c r="C139" s="71" t="str">
        <f>INDEX(Backlog!$K$2:$K$188,MATCH(A139,Backlog!$A$2:$A$188,0))</f>
        <v>Not Started</v>
      </c>
      <c r="D139" t="str">
        <f>INDEX(Backlog!$B$2:$B$188,MATCH(A139,Backlog!$A$2:$A$188,0))</f>
        <v>M3</v>
      </c>
    </row>
    <row r="140" spans="1:4">
      <c r="A140" t="s">
        <v>1821</v>
      </c>
      <c r="B140" t="s">
        <v>272</v>
      </c>
      <c r="C140" s="71" t="str">
        <f>INDEX(Backlog!$K$2:$K$188,MATCH(A140,Backlog!$A$2:$A$188,0))</f>
        <v>Not Started</v>
      </c>
      <c r="D140" t="str">
        <f>INDEX(Backlog!$B$2:$B$188,MATCH(A140,Backlog!$A$2:$A$188,0))</f>
        <v>M3</v>
      </c>
    </row>
    <row r="141" spans="1:4">
      <c r="A141" t="s">
        <v>1821</v>
      </c>
      <c r="B141" t="s">
        <v>2852</v>
      </c>
      <c r="C141" s="71" t="str">
        <f>INDEX(Backlog!$K$2:$K$188,MATCH(A141,Backlog!$A$2:$A$188,0))</f>
        <v>Not Started</v>
      </c>
      <c r="D141" t="str">
        <f>INDEX(Backlog!$B$2:$B$188,MATCH(A141,Backlog!$A$2:$A$188,0))</f>
        <v>M3</v>
      </c>
    </row>
    <row r="142" spans="1:4">
      <c r="A142" t="s">
        <v>1821</v>
      </c>
      <c r="B142" t="s">
        <v>207</v>
      </c>
      <c r="C142" s="71" t="str">
        <f>INDEX(Backlog!$K$2:$K$188,MATCH(A142,Backlog!$A$2:$A$188,0))</f>
        <v>Not Started</v>
      </c>
      <c r="D142" t="str">
        <f>INDEX(Backlog!$B$2:$B$188,MATCH(A142,Backlog!$A$2:$A$188,0))</f>
        <v>M3</v>
      </c>
    </row>
    <row r="143" spans="1:4">
      <c r="A143" t="s">
        <v>1821</v>
      </c>
      <c r="B143" t="s">
        <v>1461</v>
      </c>
      <c r="C143" s="71" t="str">
        <f>INDEX(Backlog!$K$2:$K$188,MATCH(A143,Backlog!$A$2:$A$188,0))</f>
        <v>Not Started</v>
      </c>
      <c r="D143" t="str">
        <f>INDEX(Backlog!$B$2:$B$188,MATCH(A143,Backlog!$A$2:$A$188,0))</f>
        <v>M3</v>
      </c>
    </row>
    <row r="144" spans="1:4">
      <c r="A144" t="s">
        <v>1821</v>
      </c>
      <c r="B144" t="s">
        <v>261</v>
      </c>
      <c r="C144" s="71" t="str">
        <f>INDEX(Backlog!$K$2:$K$188,MATCH(A144,Backlog!$A$2:$A$188,0))</f>
        <v>Not Started</v>
      </c>
      <c r="D144" t="str">
        <f>INDEX(Backlog!$B$2:$B$188,MATCH(A144,Backlog!$A$2:$A$188,0))</f>
        <v>M3</v>
      </c>
    </row>
    <row r="145" spans="1:4">
      <c r="A145" t="s">
        <v>1821</v>
      </c>
      <c r="B145" t="s">
        <v>1158</v>
      </c>
      <c r="C145" s="71" t="str">
        <f>INDEX(Backlog!$K$2:$K$188,MATCH(A145,Backlog!$A$2:$A$188,0))</f>
        <v>Not Started</v>
      </c>
      <c r="D145" t="str">
        <f>INDEX(Backlog!$B$2:$B$188,MATCH(A145,Backlog!$A$2:$A$188,0))</f>
        <v>M3</v>
      </c>
    </row>
    <row r="146" spans="1:4">
      <c r="A146" t="s">
        <v>1821</v>
      </c>
      <c r="B146" t="s">
        <v>1583</v>
      </c>
      <c r="C146" s="71" t="str">
        <f>INDEX(Backlog!$K$2:$K$188,MATCH(A146,Backlog!$A$2:$A$188,0))</f>
        <v>Not Started</v>
      </c>
      <c r="D146" t="str">
        <f>INDEX(Backlog!$B$2:$B$188,MATCH(A146,Backlog!$A$2:$A$188,0))</f>
        <v>M3</v>
      </c>
    </row>
    <row r="147" spans="1:4">
      <c r="A147" t="s">
        <v>1821</v>
      </c>
      <c r="B147" t="s">
        <v>1478</v>
      </c>
      <c r="C147" s="71" t="str">
        <f>INDEX(Backlog!$K$2:$K$188,MATCH(A147,Backlog!$A$2:$A$188,0))</f>
        <v>Not Started</v>
      </c>
      <c r="D147" t="str">
        <f>INDEX(Backlog!$B$2:$B$188,MATCH(A147,Backlog!$A$2:$A$188,0))</f>
        <v>M3</v>
      </c>
    </row>
    <row r="148" spans="1:4">
      <c r="A148" t="s">
        <v>1821</v>
      </c>
      <c r="B148" t="s">
        <v>1736</v>
      </c>
      <c r="C148" s="71" t="str">
        <f>INDEX(Backlog!$K$2:$K$188,MATCH(A148,Backlog!$A$2:$A$188,0))</f>
        <v>Not Started</v>
      </c>
      <c r="D148" t="str">
        <f>INDEX(Backlog!$B$2:$B$188,MATCH(A148,Backlog!$A$2:$A$188,0))</f>
        <v>M3</v>
      </c>
    </row>
    <row r="149" spans="1:4">
      <c r="A149" t="s">
        <v>1821</v>
      </c>
      <c r="B149" t="s">
        <v>1702</v>
      </c>
      <c r="C149" s="71" t="str">
        <f>INDEX(Backlog!$K$2:$K$188,MATCH(A149,Backlog!$A$2:$A$188,0))</f>
        <v>Not Started</v>
      </c>
      <c r="D149" t="str">
        <f>INDEX(Backlog!$B$2:$B$188,MATCH(A149,Backlog!$A$2:$A$188,0))</f>
        <v>M3</v>
      </c>
    </row>
    <row r="150" spans="1:4">
      <c r="A150" t="s">
        <v>12510</v>
      </c>
      <c r="B150" t="s">
        <v>1282</v>
      </c>
      <c r="C150" s="71" t="str">
        <f>INDEX(Backlog!$K$2:$K$188,MATCH(A150,Backlog!$A$2:$A$188,0))</f>
        <v>Not Started</v>
      </c>
      <c r="D150" t="str">
        <f>INDEX(Backlog!$B$2:$B$188,MATCH(A150,Backlog!$A$2:$A$188,0))</f>
        <v>M2</v>
      </c>
    </row>
    <row r="151" spans="1:4">
      <c r="A151" t="s">
        <v>12510</v>
      </c>
      <c r="B151" t="s">
        <v>577</v>
      </c>
      <c r="C151" t="str">
        <f>INDEX(Backlog!$K$2:$K$188,MATCH(A151,Backlog!$A$2:$A$188,0))</f>
        <v>Not Started</v>
      </c>
      <c r="D151" t="str">
        <f>INDEX(Backlog!$B$2:$B$188,MATCH(A151,Backlog!$A$2:$A$188,0))</f>
        <v>M2</v>
      </c>
    </row>
    <row r="152" spans="1:4">
      <c r="A152" t="s">
        <v>12510</v>
      </c>
      <c r="B152" t="s">
        <v>343</v>
      </c>
      <c r="C152" t="str">
        <f>INDEX(Backlog!$K$2:$K$188,MATCH(A152,Backlog!$A$2:$A$188,0))</f>
        <v>Not Started</v>
      </c>
      <c r="D152" t="str">
        <f>INDEX(Backlog!$B$2:$B$188,MATCH(A152,Backlog!$A$2:$A$188,0))</f>
        <v>M2</v>
      </c>
    </row>
    <row r="153" spans="1:4">
      <c r="A153" t="s">
        <v>12510</v>
      </c>
      <c r="B153" t="s">
        <v>178</v>
      </c>
      <c r="C153" t="str">
        <f>INDEX(Backlog!$K$2:$K$188,MATCH(A153,Backlog!$A$2:$A$188,0))</f>
        <v>Not Started</v>
      </c>
      <c r="D153" t="str">
        <f>INDEX(Backlog!$B$2:$B$188,MATCH(A153,Backlog!$A$2:$A$188,0))</f>
        <v>M2</v>
      </c>
    </row>
    <row r="154" spans="1:4">
      <c r="A154" t="s">
        <v>12535</v>
      </c>
      <c r="B154" t="s">
        <v>343</v>
      </c>
      <c r="C154" t="str">
        <f>INDEX(Backlog!$K$2:$K$188,MATCH(A154,Backlog!$A$2:$A$188,0))</f>
        <v>Not Started</v>
      </c>
      <c r="D154" t="str">
        <f>INDEX(Backlog!$B$2:$B$188,MATCH(A154,Backlog!$A$2:$A$188,0))</f>
        <v>M2</v>
      </c>
    </row>
    <row r="155" spans="1:4">
      <c r="A155" t="s">
        <v>12535</v>
      </c>
      <c r="B155" t="s">
        <v>345</v>
      </c>
      <c r="C155" t="str">
        <f>INDEX(Backlog!$K$2:$K$188,MATCH(A155,Backlog!$A$2:$A$188,0))</f>
        <v>Not Started</v>
      </c>
      <c r="D155" t="str">
        <f>INDEX(Backlog!$B$2:$B$188,MATCH(A155,Backlog!$A$2:$A$188,0))</f>
        <v>M2</v>
      </c>
    </row>
    <row r="156" spans="1:4">
      <c r="A156" t="s">
        <v>12543</v>
      </c>
      <c r="B156" t="s">
        <v>343</v>
      </c>
      <c r="C156" t="str">
        <f>INDEX(Backlog!$K$2:$K$188,MATCH(A156,Backlog!$A$2:$A$188,0))</f>
        <v>Not Started</v>
      </c>
      <c r="D156" t="str">
        <f>INDEX(Backlog!$B$2:$B$188,MATCH(A156,Backlog!$A$2:$A$188,0))</f>
        <v>M2</v>
      </c>
    </row>
    <row r="157" spans="1:4">
      <c r="A157" t="s">
        <v>12543</v>
      </c>
      <c r="B157" t="s">
        <v>1185</v>
      </c>
      <c r="C157" t="str">
        <f>INDEX(Backlog!$K$2:$K$188,MATCH(A157,Backlog!$A$2:$A$188,0))</f>
        <v>Not Started</v>
      </c>
      <c r="D157" t="str">
        <f>INDEX(Backlog!$B$2:$B$188,MATCH(A157,Backlog!$A$2:$A$188,0))</f>
        <v>M2</v>
      </c>
    </row>
    <row r="158" spans="1:4">
      <c r="A158" t="s">
        <v>12543</v>
      </c>
      <c r="B158" t="s">
        <v>533</v>
      </c>
      <c r="C158" t="str">
        <f>INDEX(Backlog!$K$2:$K$188,MATCH(A158,Backlog!$A$2:$A$188,0))</f>
        <v>Not Started</v>
      </c>
      <c r="D158" t="str">
        <f>INDEX(Backlog!$B$2:$B$188,MATCH(A158,Backlog!$A$2:$A$188,0))</f>
        <v>M2</v>
      </c>
    </row>
    <row r="159" spans="1:4">
      <c r="A159" t="s">
        <v>12543</v>
      </c>
      <c r="B159" t="s">
        <v>345</v>
      </c>
      <c r="C159" t="str">
        <f>INDEX(Backlog!$K$2:$K$188,MATCH(A159,Backlog!$A$2:$A$188,0))</f>
        <v>Not Started</v>
      </c>
      <c r="D159" t="str">
        <f>INDEX(Backlog!$B$2:$B$188,MATCH(A159,Backlog!$A$2:$A$188,0))</f>
        <v>M2</v>
      </c>
    </row>
    <row r="160" spans="1:4">
      <c r="A160" t="s">
        <v>12552</v>
      </c>
      <c r="B160" t="s">
        <v>1282</v>
      </c>
      <c r="C160" t="str">
        <f>INDEX(Backlog!$K$2:$K$188,MATCH(A160,Backlog!$A$2:$A$188,0))</f>
        <v>Not Started</v>
      </c>
      <c r="D160" t="str">
        <f>INDEX(Backlog!$B$2:$B$188,MATCH(A160,Backlog!$A$2:$A$188,0))</f>
        <v>M2</v>
      </c>
    </row>
    <row r="161" spans="1:4">
      <c r="A161" t="s">
        <v>12552</v>
      </c>
      <c r="B161" t="s">
        <v>577</v>
      </c>
      <c r="C161" t="str">
        <f>INDEX(Backlog!$K$2:$K$188,MATCH(A161,Backlog!$A$2:$A$188,0))</f>
        <v>Not Started</v>
      </c>
      <c r="D161" t="str">
        <f>INDEX(Backlog!$B$2:$B$188,MATCH(A161,Backlog!$A$2:$A$188,0))</f>
        <v>M2</v>
      </c>
    </row>
    <row r="162" spans="1:4">
      <c r="A162" t="s">
        <v>12552</v>
      </c>
      <c r="B162" t="s">
        <v>1185</v>
      </c>
      <c r="C162" t="str">
        <f>INDEX(Backlog!$K$2:$K$188,MATCH(A162,Backlog!$A$2:$A$188,0))</f>
        <v>Not Started</v>
      </c>
      <c r="D162" t="str">
        <f>INDEX(Backlog!$B$2:$B$188,MATCH(A162,Backlog!$A$2:$A$188,0))</f>
        <v>M2</v>
      </c>
    </row>
    <row r="163" spans="1:4">
      <c r="A163" t="s">
        <v>12560</v>
      </c>
      <c r="B163" t="s">
        <v>343</v>
      </c>
      <c r="C163" t="str">
        <f>INDEX(Backlog!$K$2:$K$188,MATCH(A163,Backlog!$A$2:$A$188,0))</f>
        <v>Not Started</v>
      </c>
      <c r="D163" t="str">
        <f>INDEX(Backlog!$B$2:$B$188,MATCH(A163,Backlog!$A$2:$A$188,0))</f>
        <v>M2</v>
      </c>
    </row>
    <row r="164" spans="1:4">
      <c r="A164" t="s">
        <v>12560</v>
      </c>
      <c r="B164" t="s">
        <v>471</v>
      </c>
      <c r="C164" t="str">
        <f>INDEX(Backlog!$K$2:$K$188,MATCH(A164,Backlog!$A$2:$A$188,0))</f>
        <v>Not Started</v>
      </c>
      <c r="D164" t="str">
        <f>INDEX(Backlog!$B$2:$B$188,MATCH(A164,Backlog!$A$2:$A$188,0))</f>
        <v>M2</v>
      </c>
    </row>
    <row r="165" spans="1:4">
      <c r="A165" t="s">
        <v>12560</v>
      </c>
      <c r="B165" t="s">
        <v>719</v>
      </c>
      <c r="C165" t="str">
        <f>INDEX(Backlog!$K$2:$K$188,MATCH(A165,Backlog!$A$2:$A$188,0))</f>
        <v>Not Started</v>
      </c>
      <c r="D165" t="str">
        <f>INDEX(Backlog!$B$2:$B$188,MATCH(A165,Backlog!$A$2:$A$188,0))</f>
        <v>M2</v>
      </c>
    </row>
    <row r="166" spans="1:4">
      <c r="A166" t="s">
        <v>12560</v>
      </c>
      <c r="B166" t="s">
        <v>155</v>
      </c>
      <c r="C166" t="str">
        <f>INDEX(Backlog!$K$2:$K$188,MATCH(A166,Backlog!$A$2:$A$188,0))</f>
        <v>Not Started</v>
      </c>
      <c r="D166" t="str">
        <f>INDEX(Backlog!$B$2:$B$188,MATCH(A166,Backlog!$A$2:$A$188,0))</f>
        <v>M2</v>
      </c>
    </row>
    <row r="167" spans="1:4">
      <c r="A167" t="s">
        <v>12569</v>
      </c>
      <c r="B167" t="s">
        <v>1185</v>
      </c>
      <c r="C167" t="str">
        <f>INDEX(Backlog!$K$2:$K$188,MATCH(A167,Backlog!$A$2:$A$188,0))</f>
        <v>Not Started</v>
      </c>
      <c r="D167" t="str">
        <f>INDEX(Backlog!$B$2:$B$188,MATCH(A167,Backlog!$A$2:$A$188,0))</f>
        <v>M2</v>
      </c>
    </row>
    <row r="168" spans="1:4">
      <c r="A168" t="s">
        <v>12569</v>
      </c>
      <c r="B168" t="s">
        <v>1183</v>
      </c>
      <c r="C168" t="str">
        <f>INDEX(Backlog!$K$2:$K$188,MATCH(A168,Backlog!$A$2:$A$188,0))</f>
        <v>Not Started</v>
      </c>
      <c r="D168" t="str">
        <f>INDEX(Backlog!$B$2:$B$188,MATCH(A168,Backlog!$A$2:$A$188,0))</f>
        <v>M2</v>
      </c>
    </row>
    <row r="169" spans="1:4">
      <c r="A169" t="s">
        <v>12569</v>
      </c>
      <c r="B169" t="s">
        <v>1175</v>
      </c>
      <c r="C169" t="str">
        <f>INDEX(Backlog!$K$2:$K$188,MATCH(A169,Backlog!$A$2:$A$188,0))</f>
        <v>Not Started</v>
      </c>
      <c r="D169" t="str">
        <f>INDEX(Backlog!$B$2:$B$188,MATCH(A169,Backlog!$A$2:$A$188,0))</f>
        <v>M2</v>
      </c>
    </row>
    <row r="170" spans="1:4">
      <c r="A170" t="s">
        <v>12569</v>
      </c>
      <c r="B170" t="s">
        <v>130</v>
      </c>
      <c r="C170" t="str">
        <f>INDEX(Backlog!$K$2:$K$188,MATCH(A170,Backlog!$A$2:$A$188,0))</f>
        <v>Not Started</v>
      </c>
      <c r="D170" t="str">
        <f>INDEX(Backlog!$B$2:$B$188,MATCH(A170,Backlog!$A$2:$A$188,0))</f>
        <v>M2</v>
      </c>
    </row>
    <row r="171" spans="1:4">
      <c r="A171" t="s">
        <v>12578</v>
      </c>
      <c r="B171" t="s">
        <v>1282</v>
      </c>
      <c r="C171" t="str">
        <f>INDEX(Backlog!$K$2:$K$188,MATCH(A171,Backlog!$A$2:$A$188,0))</f>
        <v>Not Started</v>
      </c>
      <c r="D171" t="str">
        <f>INDEX(Backlog!$B$2:$B$188,MATCH(A171,Backlog!$A$2:$A$188,0))</f>
        <v>M2</v>
      </c>
    </row>
    <row r="172" spans="1:4">
      <c r="A172" t="s">
        <v>12578</v>
      </c>
      <c r="B172" t="s">
        <v>607</v>
      </c>
      <c r="C172" t="str">
        <f>INDEX(Backlog!$K$2:$K$188,MATCH(A172,Backlog!$A$2:$A$188,0))</f>
        <v>Not Started</v>
      </c>
      <c r="D172" t="str">
        <f>INDEX(Backlog!$B$2:$B$188,MATCH(A172,Backlog!$A$2:$A$188,0))</f>
        <v>M2</v>
      </c>
    </row>
    <row r="173" spans="1:4">
      <c r="A173" t="s">
        <v>12578</v>
      </c>
      <c r="B173" t="s">
        <v>577</v>
      </c>
      <c r="C173" t="str">
        <f>INDEX(Backlog!$K$2:$K$188,MATCH(A173,Backlog!$A$2:$A$188,0))</f>
        <v>Not Started</v>
      </c>
      <c r="D173" t="str">
        <f>INDEX(Backlog!$B$2:$B$188,MATCH(A173,Backlog!$A$2:$A$188,0))</f>
        <v>M2</v>
      </c>
    </row>
    <row r="174" spans="1:4">
      <c r="A174" t="s">
        <v>12578</v>
      </c>
      <c r="B174" t="s">
        <v>1185</v>
      </c>
      <c r="C174" t="str">
        <f>INDEX(Backlog!$K$2:$K$188,MATCH(A174,Backlog!$A$2:$A$188,0))</f>
        <v>Not Started</v>
      </c>
      <c r="D174" t="str">
        <f>INDEX(Backlog!$B$2:$B$188,MATCH(A174,Backlog!$A$2:$A$188,0))</f>
        <v>M2</v>
      </c>
    </row>
    <row r="175" spans="1:4">
      <c r="A175" t="s">
        <v>12578</v>
      </c>
      <c r="B175" t="s">
        <v>533</v>
      </c>
      <c r="C175" t="str">
        <f>INDEX(Backlog!$K$2:$K$188,MATCH(A175,Backlog!$A$2:$A$188,0))</f>
        <v>Not Started</v>
      </c>
      <c r="D175" t="str">
        <f>INDEX(Backlog!$B$2:$B$188,MATCH(A175,Backlog!$A$2:$A$188,0))</f>
        <v>M2</v>
      </c>
    </row>
    <row r="176" spans="1:4">
      <c r="A176" t="s">
        <v>12588</v>
      </c>
      <c r="B176" t="s">
        <v>1185</v>
      </c>
      <c r="C176" t="str">
        <f>INDEX(Backlog!$K$2:$K$188,MATCH(A176,Backlog!$A$2:$A$188,0))</f>
        <v>Not Started</v>
      </c>
      <c r="D176" t="str">
        <f>INDEX(Backlog!$B$2:$B$188,MATCH(A176,Backlog!$A$2:$A$188,0))</f>
        <v>M2</v>
      </c>
    </row>
    <row r="177" spans="1:4">
      <c r="A177" t="s">
        <v>12588</v>
      </c>
      <c r="B177" t="s">
        <v>619</v>
      </c>
      <c r="C177" t="str">
        <f>INDEX(Backlog!$K$2:$K$188,MATCH(A177,Backlog!$A$2:$A$188,0))</f>
        <v>Not Started</v>
      </c>
      <c r="D177" t="str">
        <f>INDEX(Backlog!$B$2:$B$188,MATCH(A177,Backlog!$A$2:$A$188,0))</f>
        <v>M2</v>
      </c>
    </row>
    <row r="178" spans="1:4">
      <c r="A178" t="s">
        <v>12588</v>
      </c>
      <c r="B178" t="s">
        <v>546</v>
      </c>
      <c r="C178" t="str">
        <f>INDEX(Backlog!$K$2:$K$188,MATCH(A178,Backlog!$A$2:$A$188,0))</f>
        <v>Not Started</v>
      </c>
      <c r="D178" t="str">
        <f>INDEX(Backlog!$B$2:$B$188,MATCH(A178,Backlog!$A$2:$A$188,0))</f>
        <v>M2</v>
      </c>
    </row>
    <row r="179" spans="1:4">
      <c r="A179" t="s">
        <v>12588</v>
      </c>
      <c r="B179" t="s">
        <v>1183</v>
      </c>
      <c r="C179" t="str">
        <f>INDEX(Backlog!$K$2:$K$188,MATCH(A179,Backlog!$A$2:$A$188,0))</f>
        <v>Not Started</v>
      </c>
      <c r="D179" t="str">
        <f>INDEX(Backlog!$B$2:$B$188,MATCH(A179,Backlog!$A$2:$A$188,0))</f>
        <v>M2</v>
      </c>
    </row>
  </sheetData>
  <conditionalFormatting sqref="C2:C150">
    <cfRule type="expression" dxfId="17" priority="1">
      <formula>$C2="Done"</formula>
    </cfRule>
    <cfRule type="expression" dxfId="16" priority="2">
      <formula>$C2="In Progress"</formula>
    </cfRule>
    <cfRule type="expression" dxfId="15" priority="3">
      <formula>$C2="Not Started"</formula>
    </cfRule>
    <cfRule type="expression" dxfId="14" priority="4">
      <formula>$C2="Blocked"</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271"/>
  <sheetViews>
    <sheetView workbookViewId="0"/>
  </sheetViews>
  <sheetFormatPr defaultRowHeight="14.25"/>
  <cols>
    <col min="1" max="1" width="22" customWidth="1"/>
    <col min="2" max="2" width="28" customWidth="1"/>
    <col min="3" max="3" width="32" customWidth="1"/>
    <col min="4" max="4" width="20" customWidth="1"/>
    <col min="5" max="5" width="24" customWidth="1"/>
    <col min="6" max="6" width="32" customWidth="1"/>
    <col min="7" max="7" width="40" customWidth="1"/>
    <col min="8" max="8" width="36" customWidth="1"/>
    <col min="9" max="9" width="28" customWidth="1"/>
    <col min="10" max="10" width="44" customWidth="1"/>
    <col min="11" max="11" width="36" customWidth="1"/>
  </cols>
  <sheetData>
    <row r="1" spans="1:11" ht="30" customHeight="1">
      <c r="A1" s="56" t="s">
        <v>3492</v>
      </c>
      <c r="B1" s="56" t="s">
        <v>3493</v>
      </c>
      <c r="C1" s="56" t="s">
        <v>3494</v>
      </c>
      <c r="D1" s="56" t="s">
        <v>3495</v>
      </c>
      <c r="E1" s="56" t="s">
        <v>3496</v>
      </c>
      <c r="F1" s="56" t="s">
        <v>3497</v>
      </c>
      <c r="G1" s="56" t="s">
        <v>3498</v>
      </c>
      <c r="H1" s="56" t="s">
        <v>3499</v>
      </c>
      <c r="I1" s="56" t="s">
        <v>3500</v>
      </c>
      <c r="J1" s="56" t="s">
        <v>3501</v>
      </c>
      <c r="K1" s="56" t="s">
        <v>3502</v>
      </c>
    </row>
    <row r="2" spans="1:11" ht="60" customHeight="1">
      <c r="A2" s="57" t="s">
        <v>3503</v>
      </c>
      <c r="B2" s="57" t="s">
        <v>3504</v>
      </c>
      <c r="C2" s="57" t="s">
        <v>3505</v>
      </c>
      <c r="D2" s="57" t="s">
        <v>108</v>
      </c>
      <c r="E2" s="57" t="s">
        <v>1791</v>
      </c>
      <c r="F2" s="57" t="s">
        <v>3506</v>
      </c>
      <c r="G2" s="57" t="s">
        <v>3507</v>
      </c>
      <c r="H2" s="57" t="s">
        <v>3508</v>
      </c>
      <c r="I2" s="57" t="s">
        <v>3509</v>
      </c>
      <c r="J2" s="57" t="s">
        <v>3510</v>
      </c>
      <c r="K2" s="57" t="s">
        <v>3511</v>
      </c>
    </row>
    <row r="3" spans="1:11" ht="60" customHeight="1">
      <c r="A3" s="57" t="s">
        <v>3512</v>
      </c>
      <c r="B3" s="57" t="s">
        <v>3504</v>
      </c>
      <c r="C3" s="57" t="s">
        <v>3513</v>
      </c>
      <c r="D3" s="57" t="s">
        <v>108</v>
      </c>
      <c r="E3" s="57" t="s">
        <v>1791</v>
      </c>
      <c r="F3" s="57" t="s">
        <v>3514</v>
      </c>
      <c r="G3" s="57" t="s">
        <v>3515</v>
      </c>
      <c r="H3" s="57" t="s">
        <v>3516</v>
      </c>
      <c r="I3" s="57" t="s">
        <v>3509</v>
      </c>
      <c r="J3" s="57" t="s">
        <v>3517</v>
      </c>
      <c r="K3" s="57" t="s">
        <v>3511</v>
      </c>
    </row>
    <row r="4" spans="1:11" ht="60" customHeight="1">
      <c r="A4" s="57" t="s">
        <v>3518</v>
      </c>
      <c r="B4" s="57" t="s">
        <v>3504</v>
      </c>
      <c r="C4" s="57" t="s">
        <v>3519</v>
      </c>
      <c r="D4" s="57" t="s">
        <v>108</v>
      </c>
      <c r="E4" s="57" t="s">
        <v>1791</v>
      </c>
      <c r="F4" s="57" t="s">
        <v>3520</v>
      </c>
      <c r="G4" s="57" t="s">
        <v>3521</v>
      </c>
      <c r="H4" s="57" t="s">
        <v>3522</v>
      </c>
      <c r="I4" s="57" t="s">
        <v>3509</v>
      </c>
      <c r="J4" s="57" t="s">
        <v>3523</v>
      </c>
      <c r="K4" s="57" t="s">
        <v>3511</v>
      </c>
    </row>
    <row r="5" spans="1:11" ht="60" customHeight="1">
      <c r="A5" s="57" t="s">
        <v>3524</v>
      </c>
      <c r="B5" s="57" t="s">
        <v>3504</v>
      </c>
      <c r="C5" s="57" t="s">
        <v>3525</v>
      </c>
      <c r="D5" s="57" t="s">
        <v>108</v>
      </c>
      <c r="E5" s="57" t="s">
        <v>1791</v>
      </c>
      <c r="F5" s="57" t="s">
        <v>3526</v>
      </c>
      <c r="G5" s="57" t="s">
        <v>3527</v>
      </c>
      <c r="H5" s="57" t="s">
        <v>3528</v>
      </c>
      <c r="I5" s="57" t="s">
        <v>3509</v>
      </c>
      <c r="J5" s="57" t="s">
        <v>3529</v>
      </c>
      <c r="K5" s="57" t="s">
        <v>3511</v>
      </c>
    </row>
    <row r="6" spans="1:11" ht="60" customHeight="1">
      <c r="A6" s="57" t="s">
        <v>3530</v>
      </c>
      <c r="B6" s="57" t="s">
        <v>3504</v>
      </c>
      <c r="C6" s="57" t="s">
        <v>3531</v>
      </c>
      <c r="D6" s="57" t="s">
        <v>108</v>
      </c>
      <c r="E6" s="57" t="s">
        <v>1791</v>
      </c>
      <c r="F6" s="57" t="s">
        <v>3532</v>
      </c>
      <c r="G6" s="57" t="s">
        <v>3533</v>
      </c>
      <c r="H6" s="57" t="s">
        <v>3534</v>
      </c>
      <c r="I6" s="57" t="s">
        <v>3509</v>
      </c>
      <c r="J6" s="57" t="s">
        <v>3535</v>
      </c>
      <c r="K6" s="57" t="s">
        <v>3511</v>
      </c>
    </row>
    <row r="7" spans="1:11" ht="60" customHeight="1">
      <c r="A7" s="57" t="s">
        <v>3536</v>
      </c>
      <c r="B7" s="57" t="s">
        <v>3504</v>
      </c>
      <c r="C7" s="57" t="s">
        <v>3537</v>
      </c>
      <c r="D7" s="57" t="s">
        <v>108</v>
      </c>
      <c r="E7" s="57" t="s">
        <v>1791</v>
      </c>
      <c r="F7" s="57" t="s">
        <v>3538</v>
      </c>
      <c r="G7" s="57" t="s">
        <v>3539</v>
      </c>
      <c r="H7" s="57" t="s">
        <v>3540</v>
      </c>
      <c r="I7" s="57" t="s">
        <v>3509</v>
      </c>
      <c r="J7" s="57" t="s">
        <v>3541</v>
      </c>
      <c r="K7" s="57" t="s">
        <v>3511</v>
      </c>
    </row>
    <row r="8" spans="1:11" ht="60" customHeight="1">
      <c r="A8" s="57" t="s">
        <v>3542</v>
      </c>
      <c r="B8" s="57" t="s">
        <v>3504</v>
      </c>
      <c r="C8" s="57" t="s">
        <v>3543</v>
      </c>
      <c r="D8" s="57" t="s">
        <v>108</v>
      </c>
      <c r="E8" s="57" t="s">
        <v>1791</v>
      </c>
      <c r="F8" s="57" t="s">
        <v>3544</v>
      </c>
      <c r="G8" s="57" t="s">
        <v>3545</v>
      </c>
      <c r="H8" s="57" t="s">
        <v>3546</v>
      </c>
      <c r="I8" s="57" t="s">
        <v>3509</v>
      </c>
      <c r="J8" s="57" t="s">
        <v>3547</v>
      </c>
      <c r="K8" s="57" t="s">
        <v>3511</v>
      </c>
    </row>
    <row r="9" spans="1:11" ht="60" customHeight="1">
      <c r="A9" s="57" t="s">
        <v>3548</v>
      </c>
      <c r="B9" s="57" t="s">
        <v>3504</v>
      </c>
      <c r="C9" s="57" t="s">
        <v>3549</v>
      </c>
      <c r="D9" s="57" t="s">
        <v>108</v>
      </c>
      <c r="E9" s="57" t="s">
        <v>1791</v>
      </c>
      <c r="F9" s="57" t="s">
        <v>3550</v>
      </c>
      <c r="G9" s="57" t="s">
        <v>3551</v>
      </c>
      <c r="H9" s="57" t="s">
        <v>3552</v>
      </c>
      <c r="I9" s="57" t="s">
        <v>3509</v>
      </c>
      <c r="J9" s="57" t="s">
        <v>3553</v>
      </c>
      <c r="K9" s="57" t="s">
        <v>3511</v>
      </c>
    </row>
    <row r="10" spans="1:11" ht="60" customHeight="1">
      <c r="A10" s="57" t="s">
        <v>3554</v>
      </c>
      <c r="B10" s="57" t="s">
        <v>3504</v>
      </c>
      <c r="C10" s="57" t="s">
        <v>3555</v>
      </c>
      <c r="D10" s="57" t="s">
        <v>3556</v>
      </c>
      <c r="E10" s="57" t="s">
        <v>3557</v>
      </c>
      <c r="F10" s="57" t="s">
        <v>3558</v>
      </c>
      <c r="G10" s="57" t="s">
        <v>3559</v>
      </c>
      <c r="H10" s="57" t="s">
        <v>3560</v>
      </c>
      <c r="I10" s="57" t="s">
        <v>3509</v>
      </c>
      <c r="J10" s="57" t="s">
        <v>3561</v>
      </c>
      <c r="K10" s="57" t="s">
        <v>3511</v>
      </c>
    </row>
    <row r="11" spans="1:11" ht="60" customHeight="1">
      <c r="A11" s="57" t="s">
        <v>3562</v>
      </c>
      <c r="B11" s="57" t="s">
        <v>3504</v>
      </c>
      <c r="C11" s="57" t="s">
        <v>3563</v>
      </c>
      <c r="D11" s="57" t="s">
        <v>108</v>
      </c>
      <c r="E11" s="57" t="s">
        <v>1791</v>
      </c>
      <c r="F11" s="57" t="s">
        <v>489</v>
      </c>
      <c r="G11" s="57" t="s">
        <v>3564</v>
      </c>
      <c r="H11" s="57" t="s">
        <v>3565</v>
      </c>
      <c r="I11" s="57" t="s">
        <v>3509</v>
      </c>
      <c r="J11" s="57" t="s">
        <v>3566</v>
      </c>
      <c r="K11" s="57" t="s">
        <v>3511</v>
      </c>
    </row>
    <row r="12" spans="1:11" ht="60" customHeight="1">
      <c r="A12" s="57" t="s">
        <v>3567</v>
      </c>
      <c r="B12" s="57" t="s">
        <v>3504</v>
      </c>
      <c r="C12" s="57" t="s">
        <v>3568</v>
      </c>
      <c r="D12" s="57" t="s">
        <v>108</v>
      </c>
      <c r="E12" s="57" t="s">
        <v>1791</v>
      </c>
      <c r="F12" s="57" t="s">
        <v>3569</v>
      </c>
      <c r="G12" s="57" t="s">
        <v>3570</v>
      </c>
      <c r="H12" s="57" t="s">
        <v>3571</v>
      </c>
      <c r="I12" s="57" t="s">
        <v>3509</v>
      </c>
      <c r="J12" s="57" t="s">
        <v>3572</v>
      </c>
      <c r="K12" s="57" t="s">
        <v>3511</v>
      </c>
    </row>
    <row r="13" spans="1:11" ht="60" customHeight="1">
      <c r="A13" s="57" t="s">
        <v>3573</v>
      </c>
      <c r="B13" s="57" t="s">
        <v>3504</v>
      </c>
      <c r="C13" s="57" t="s">
        <v>3574</v>
      </c>
      <c r="D13" s="57" t="s">
        <v>1243</v>
      </c>
      <c r="E13" s="57" t="s">
        <v>1821</v>
      </c>
      <c r="F13" s="57" t="s">
        <v>1349</v>
      </c>
      <c r="G13" s="57" t="s">
        <v>3575</v>
      </c>
      <c r="H13" s="57" t="s">
        <v>3576</v>
      </c>
      <c r="I13" s="57" t="s">
        <v>3509</v>
      </c>
      <c r="J13" s="57" t="s">
        <v>3577</v>
      </c>
      <c r="K13" s="57" t="s">
        <v>3511</v>
      </c>
    </row>
    <row r="14" spans="1:11" ht="60" customHeight="1">
      <c r="A14" s="57" t="s">
        <v>3578</v>
      </c>
      <c r="B14" s="57" t="s">
        <v>3504</v>
      </c>
      <c r="C14" s="57" t="s">
        <v>3579</v>
      </c>
      <c r="D14" s="57" t="s">
        <v>108</v>
      </c>
      <c r="E14" s="57" t="s">
        <v>1791</v>
      </c>
      <c r="F14" s="57" t="s">
        <v>3580</v>
      </c>
      <c r="G14" s="57" t="s">
        <v>3581</v>
      </c>
      <c r="H14" s="57" t="s">
        <v>3582</v>
      </c>
      <c r="I14" s="57" t="s">
        <v>3509</v>
      </c>
      <c r="J14" s="57" t="s">
        <v>3583</v>
      </c>
      <c r="K14" s="57" t="s">
        <v>3511</v>
      </c>
    </row>
    <row r="15" spans="1:11" ht="60" customHeight="1">
      <c r="A15" s="57" t="s">
        <v>3584</v>
      </c>
      <c r="B15" s="57" t="s">
        <v>3504</v>
      </c>
      <c r="C15" s="57" t="s">
        <v>3585</v>
      </c>
      <c r="D15" s="57" t="s">
        <v>108</v>
      </c>
      <c r="E15" s="57" t="s">
        <v>1791</v>
      </c>
      <c r="F15" s="57" t="s">
        <v>451</v>
      </c>
      <c r="G15" s="57" t="s">
        <v>3586</v>
      </c>
      <c r="H15" s="57" t="s">
        <v>3587</v>
      </c>
      <c r="I15" s="57" t="s">
        <v>3509</v>
      </c>
      <c r="J15" s="57" t="s">
        <v>3588</v>
      </c>
      <c r="K15" s="57" t="s">
        <v>3511</v>
      </c>
    </row>
    <row r="16" spans="1:11" ht="60" customHeight="1">
      <c r="A16" s="57" t="s">
        <v>3589</v>
      </c>
      <c r="B16" s="57" t="s">
        <v>3504</v>
      </c>
      <c r="C16" s="57" t="s">
        <v>3590</v>
      </c>
      <c r="D16" s="57" t="s">
        <v>3556</v>
      </c>
      <c r="E16" s="57" t="s">
        <v>3557</v>
      </c>
      <c r="F16" s="57" t="s">
        <v>3591</v>
      </c>
      <c r="G16" s="57" t="s">
        <v>3592</v>
      </c>
      <c r="H16" s="57" t="s">
        <v>3593</v>
      </c>
      <c r="I16" s="57" t="s">
        <v>3509</v>
      </c>
      <c r="J16" s="57" t="s">
        <v>3594</v>
      </c>
      <c r="K16" s="57" t="s">
        <v>3511</v>
      </c>
    </row>
    <row r="17" spans="1:11" ht="60" customHeight="1">
      <c r="A17" s="57" t="s">
        <v>3595</v>
      </c>
      <c r="B17" s="57" t="s">
        <v>3504</v>
      </c>
      <c r="C17" s="57" t="s">
        <v>3596</v>
      </c>
      <c r="D17" s="57" t="s">
        <v>3556</v>
      </c>
      <c r="E17" s="57" t="s">
        <v>3557</v>
      </c>
      <c r="F17" s="57" t="s">
        <v>3597</v>
      </c>
      <c r="G17" s="57" t="s">
        <v>3598</v>
      </c>
      <c r="H17" s="57" t="s">
        <v>3599</v>
      </c>
      <c r="I17" s="57" t="s">
        <v>3509</v>
      </c>
      <c r="J17" s="57" t="s">
        <v>3600</v>
      </c>
      <c r="K17" s="57" t="s">
        <v>3511</v>
      </c>
    </row>
    <row r="18" spans="1:11" ht="60" customHeight="1">
      <c r="A18" s="57" t="s">
        <v>3601</v>
      </c>
      <c r="B18" s="57" t="s">
        <v>3504</v>
      </c>
      <c r="C18" s="57" t="s">
        <v>3602</v>
      </c>
      <c r="D18" s="57" t="s">
        <v>3556</v>
      </c>
      <c r="E18" s="57" t="s">
        <v>3557</v>
      </c>
      <c r="F18" s="57" t="s">
        <v>3603</v>
      </c>
      <c r="G18" s="57" t="s">
        <v>3604</v>
      </c>
      <c r="H18" s="57" t="s">
        <v>3605</v>
      </c>
      <c r="I18" s="57" t="s">
        <v>3509</v>
      </c>
      <c r="J18" s="57" t="s">
        <v>3606</v>
      </c>
      <c r="K18" s="57" t="s">
        <v>3511</v>
      </c>
    </row>
    <row r="19" spans="1:11" ht="60" customHeight="1">
      <c r="A19" s="57" t="s">
        <v>3607</v>
      </c>
      <c r="B19" s="57" t="s">
        <v>3504</v>
      </c>
      <c r="C19" s="57" t="s">
        <v>3608</v>
      </c>
      <c r="D19" s="57" t="s">
        <v>3556</v>
      </c>
      <c r="E19" s="57" t="s">
        <v>3557</v>
      </c>
      <c r="F19" s="57" t="s">
        <v>3609</v>
      </c>
      <c r="G19" s="57" t="s">
        <v>3610</v>
      </c>
      <c r="H19" s="57" t="s">
        <v>3611</v>
      </c>
      <c r="I19" s="57" t="s">
        <v>3509</v>
      </c>
      <c r="J19" s="57" t="s">
        <v>3612</v>
      </c>
      <c r="K19" s="57" t="s">
        <v>3511</v>
      </c>
    </row>
    <row r="20" spans="1:11" ht="60" customHeight="1">
      <c r="A20" s="57" t="s">
        <v>133</v>
      </c>
      <c r="B20" s="57" t="s">
        <v>3504</v>
      </c>
      <c r="C20" s="57" t="s">
        <v>3613</v>
      </c>
      <c r="D20" s="57" t="s">
        <v>3556</v>
      </c>
      <c r="E20" s="57" t="s">
        <v>3557</v>
      </c>
      <c r="F20" s="57" t="s">
        <v>3614</v>
      </c>
      <c r="G20" s="57" t="s">
        <v>3615</v>
      </c>
      <c r="H20" s="57" t="s">
        <v>3616</v>
      </c>
      <c r="I20" s="57" t="s">
        <v>3509</v>
      </c>
      <c r="J20" s="57" t="s">
        <v>3617</v>
      </c>
      <c r="K20" s="57" t="s">
        <v>3511</v>
      </c>
    </row>
    <row r="21" spans="1:11" ht="60" customHeight="1">
      <c r="A21" s="57" t="s">
        <v>3618</v>
      </c>
      <c r="B21" s="57" t="s">
        <v>3504</v>
      </c>
      <c r="C21" s="57" t="s">
        <v>3619</v>
      </c>
      <c r="D21" s="57" t="s">
        <v>3556</v>
      </c>
      <c r="E21" s="57" t="s">
        <v>3557</v>
      </c>
      <c r="F21" s="57" t="s">
        <v>3620</v>
      </c>
      <c r="G21" s="57" t="s">
        <v>3621</v>
      </c>
      <c r="H21" s="57" t="s">
        <v>3622</v>
      </c>
      <c r="I21" s="57" t="s">
        <v>3509</v>
      </c>
      <c r="J21" s="57" t="s">
        <v>3623</v>
      </c>
      <c r="K21" s="57" t="s">
        <v>3511</v>
      </c>
    </row>
    <row r="22" spans="1:11" ht="60" customHeight="1">
      <c r="A22" s="57" t="s">
        <v>3624</v>
      </c>
      <c r="B22" s="57" t="s">
        <v>3504</v>
      </c>
      <c r="C22" s="57" t="s">
        <v>3625</v>
      </c>
      <c r="D22" s="57" t="s">
        <v>3556</v>
      </c>
      <c r="E22" s="57" t="s">
        <v>3557</v>
      </c>
      <c r="F22" s="57" t="s">
        <v>3626</v>
      </c>
      <c r="G22" s="57" t="s">
        <v>3627</v>
      </c>
      <c r="H22" s="57" t="s">
        <v>3628</v>
      </c>
      <c r="I22" s="57" t="s">
        <v>3509</v>
      </c>
      <c r="J22" s="57" t="s">
        <v>3629</v>
      </c>
      <c r="K22" s="57" t="s">
        <v>3511</v>
      </c>
    </row>
    <row r="23" spans="1:11" ht="60" customHeight="1">
      <c r="A23" s="57" t="s">
        <v>3630</v>
      </c>
      <c r="B23" s="57" t="s">
        <v>3504</v>
      </c>
      <c r="C23" s="57" t="s">
        <v>3631</v>
      </c>
      <c r="D23" s="57" t="s">
        <v>3556</v>
      </c>
      <c r="E23" s="57" t="s">
        <v>3557</v>
      </c>
      <c r="F23" s="57" t="s">
        <v>3632</v>
      </c>
      <c r="G23" s="57" t="s">
        <v>3633</v>
      </c>
      <c r="H23" s="57" t="s">
        <v>3634</v>
      </c>
      <c r="I23" s="57" t="s">
        <v>3509</v>
      </c>
      <c r="J23" s="57" t="s">
        <v>3635</v>
      </c>
      <c r="K23" s="57" t="s">
        <v>3511</v>
      </c>
    </row>
    <row r="24" spans="1:11" ht="60" customHeight="1">
      <c r="A24" s="57" t="s">
        <v>3636</v>
      </c>
      <c r="B24" s="57" t="s">
        <v>3504</v>
      </c>
      <c r="C24" s="57" t="s">
        <v>3637</v>
      </c>
      <c r="D24" s="57" t="s">
        <v>1243</v>
      </c>
      <c r="E24" s="57" t="s">
        <v>1821</v>
      </c>
      <c r="F24" s="57" t="s">
        <v>3638</v>
      </c>
      <c r="G24" s="57" t="s">
        <v>3639</v>
      </c>
      <c r="H24" s="57" t="s">
        <v>3640</v>
      </c>
      <c r="I24" s="57" t="s">
        <v>3509</v>
      </c>
      <c r="J24" s="57" t="s">
        <v>3641</v>
      </c>
      <c r="K24" s="57" t="s">
        <v>3511</v>
      </c>
    </row>
    <row r="25" spans="1:11" ht="60" customHeight="1">
      <c r="A25" s="57" t="s">
        <v>3642</v>
      </c>
      <c r="B25" s="57" t="s">
        <v>3504</v>
      </c>
      <c r="C25" s="57" t="s">
        <v>3643</v>
      </c>
      <c r="D25" s="57" t="s">
        <v>1243</v>
      </c>
      <c r="E25" s="57" t="s">
        <v>1821</v>
      </c>
      <c r="F25" s="57" t="s">
        <v>3644</v>
      </c>
      <c r="G25" s="57" t="s">
        <v>3645</v>
      </c>
      <c r="H25" s="57" t="s">
        <v>3646</v>
      </c>
      <c r="I25" s="57" t="s">
        <v>3509</v>
      </c>
      <c r="J25" s="57" t="s">
        <v>3647</v>
      </c>
      <c r="K25" s="57" t="s">
        <v>3511</v>
      </c>
    </row>
    <row r="26" spans="1:11" ht="60" customHeight="1">
      <c r="A26" s="57" t="s">
        <v>3648</v>
      </c>
      <c r="B26" s="57" t="s">
        <v>3504</v>
      </c>
      <c r="C26" s="57" t="s">
        <v>3649</v>
      </c>
      <c r="D26" s="57" t="s">
        <v>1243</v>
      </c>
      <c r="E26" s="57" t="s">
        <v>1821</v>
      </c>
      <c r="F26" s="57" t="s">
        <v>1695</v>
      </c>
      <c r="G26" s="57" t="s">
        <v>3650</v>
      </c>
      <c r="H26" s="57" t="s">
        <v>3651</v>
      </c>
      <c r="I26" s="57" t="s">
        <v>3509</v>
      </c>
      <c r="J26" s="57" t="s">
        <v>3652</v>
      </c>
      <c r="K26" s="57" t="s">
        <v>3511</v>
      </c>
    </row>
    <row r="27" spans="1:11" ht="60" customHeight="1">
      <c r="A27" s="57" t="s">
        <v>3653</v>
      </c>
      <c r="B27" s="57" t="s">
        <v>3504</v>
      </c>
      <c r="C27" s="57" t="s">
        <v>3654</v>
      </c>
      <c r="D27" s="57" t="s">
        <v>1243</v>
      </c>
      <c r="E27" s="57" t="s">
        <v>1821</v>
      </c>
      <c r="F27" s="57" t="s">
        <v>1766</v>
      </c>
      <c r="G27" s="57" t="s">
        <v>3655</v>
      </c>
      <c r="H27" s="57" t="s">
        <v>3656</v>
      </c>
      <c r="I27" s="57" t="s">
        <v>3509</v>
      </c>
      <c r="J27" s="57" t="s">
        <v>3657</v>
      </c>
      <c r="K27" s="57" t="s">
        <v>3511</v>
      </c>
    </row>
    <row r="28" spans="1:11" ht="60" customHeight="1">
      <c r="A28" s="57" t="s">
        <v>3658</v>
      </c>
      <c r="B28" s="57" t="s">
        <v>3504</v>
      </c>
      <c r="C28" s="57" t="s">
        <v>3659</v>
      </c>
      <c r="D28" s="57" t="s">
        <v>3556</v>
      </c>
      <c r="E28" s="57" t="s">
        <v>3557</v>
      </c>
      <c r="F28" s="57" t="s">
        <v>3660</v>
      </c>
      <c r="G28" s="57" t="s">
        <v>3661</v>
      </c>
      <c r="H28" s="57" t="s">
        <v>3662</v>
      </c>
      <c r="I28" s="57" t="s">
        <v>3509</v>
      </c>
      <c r="J28" s="57" t="s">
        <v>3663</v>
      </c>
      <c r="K28" s="57" t="s">
        <v>3511</v>
      </c>
    </row>
    <row r="29" spans="1:11" ht="60" customHeight="1">
      <c r="A29" s="57" t="s">
        <v>3664</v>
      </c>
      <c r="B29" s="57" t="s">
        <v>3504</v>
      </c>
      <c r="C29" s="57" t="s">
        <v>3665</v>
      </c>
      <c r="D29" s="57" t="s">
        <v>3556</v>
      </c>
      <c r="E29" s="57" t="s">
        <v>3557</v>
      </c>
      <c r="F29" s="57" t="s">
        <v>3666</v>
      </c>
      <c r="G29" s="57" t="s">
        <v>3667</v>
      </c>
      <c r="H29" s="57" t="s">
        <v>3668</v>
      </c>
      <c r="I29" s="57" t="s">
        <v>3509</v>
      </c>
      <c r="J29" s="57" t="s">
        <v>3669</v>
      </c>
      <c r="K29" s="57" t="s">
        <v>3511</v>
      </c>
    </row>
    <row r="30" spans="1:11" ht="60" customHeight="1">
      <c r="A30" s="57" t="s">
        <v>3670</v>
      </c>
      <c r="B30" s="57" t="s">
        <v>3504</v>
      </c>
      <c r="C30" s="57" t="s">
        <v>3671</v>
      </c>
      <c r="D30" s="57" t="s">
        <v>1243</v>
      </c>
      <c r="E30" s="57" t="s">
        <v>1821</v>
      </c>
      <c r="F30" s="57" t="s">
        <v>1710</v>
      </c>
      <c r="G30" s="57" t="s">
        <v>3672</v>
      </c>
      <c r="H30" s="57" t="s">
        <v>3673</v>
      </c>
      <c r="I30" s="57" t="s">
        <v>3509</v>
      </c>
      <c r="J30" s="57" t="s">
        <v>3674</v>
      </c>
      <c r="K30" s="57" t="s">
        <v>3511</v>
      </c>
    </row>
    <row r="31" spans="1:11" ht="60" customHeight="1">
      <c r="A31" s="57" t="s">
        <v>3675</v>
      </c>
      <c r="B31" s="57" t="s">
        <v>3504</v>
      </c>
      <c r="C31" s="57" t="s">
        <v>3676</v>
      </c>
      <c r="D31" s="57" t="s">
        <v>1243</v>
      </c>
      <c r="E31" s="57" t="s">
        <v>1821</v>
      </c>
      <c r="F31" s="57" t="s">
        <v>1455</v>
      </c>
      <c r="G31" s="57" t="s">
        <v>3677</v>
      </c>
      <c r="H31" s="57" t="s">
        <v>3678</v>
      </c>
      <c r="I31" s="57" t="s">
        <v>3509</v>
      </c>
      <c r="J31" s="57" t="s">
        <v>3679</v>
      </c>
      <c r="K31" s="57" t="s">
        <v>3511</v>
      </c>
    </row>
    <row r="32" spans="1:11" ht="60" customHeight="1">
      <c r="A32" s="57" t="s">
        <v>3680</v>
      </c>
      <c r="B32" s="57" t="s">
        <v>3504</v>
      </c>
      <c r="C32" s="57" t="s">
        <v>3681</v>
      </c>
      <c r="D32" s="57" t="s">
        <v>1243</v>
      </c>
      <c r="E32" s="57" t="s">
        <v>1821</v>
      </c>
      <c r="F32" s="57" t="s">
        <v>1356</v>
      </c>
      <c r="G32" s="57" t="s">
        <v>3682</v>
      </c>
      <c r="H32" s="57" t="s">
        <v>3683</v>
      </c>
      <c r="I32" s="57" t="s">
        <v>3509</v>
      </c>
      <c r="J32" s="57" t="s">
        <v>3684</v>
      </c>
      <c r="K32" s="57" t="s">
        <v>3511</v>
      </c>
    </row>
    <row r="33" spans="1:11" ht="60" customHeight="1">
      <c r="A33" s="57" t="s">
        <v>3685</v>
      </c>
      <c r="B33" s="57" t="s">
        <v>3504</v>
      </c>
      <c r="C33" s="57" t="s">
        <v>3686</v>
      </c>
      <c r="D33" s="57" t="s">
        <v>3556</v>
      </c>
      <c r="E33" s="57" t="s">
        <v>3557</v>
      </c>
      <c r="F33" s="57" t="s">
        <v>3687</v>
      </c>
      <c r="G33" s="57" t="s">
        <v>3688</v>
      </c>
      <c r="H33" s="57" t="s">
        <v>3689</v>
      </c>
      <c r="I33" s="57" t="s">
        <v>3509</v>
      </c>
      <c r="J33" s="57" t="s">
        <v>3690</v>
      </c>
      <c r="K33" s="57" t="s">
        <v>3511</v>
      </c>
    </row>
    <row r="34" spans="1:11" ht="60" customHeight="1">
      <c r="A34" s="57" t="s">
        <v>3691</v>
      </c>
      <c r="B34" s="57" t="s">
        <v>3504</v>
      </c>
      <c r="C34" s="57" t="s">
        <v>3692</v>
      </c>
      <c r="D34" s="57" t="s">
        <v>3556</v>
      </c>
      <c r="E34" s="57" t="s">
        <v>3557</v>
      </c>
      <c r="F34" s="57" t="s">
        <v>3693</v>
      </c>
      <c r="G34" s="57" t="s">
        <v>3694</v>
      </c>
      <c r="H34" s="57" t="s">
        <v>3695</v>
      </c>
      <c r="I34" s="57" t="s">
        <v>3509</v>
      </c>
      <c r="J34" s="57" t="s">
        <v>3696</v>
      </c>
      <c r="K34" s="57" t="s">
        <v>3511</v>
      </c>
    </row>
    <row r="35" spans="1:11" ht="60" customHeight="1">
      <c r="A35" s="57" t="s">
        <v>3697</v>
      </c>
      <c r="B35" s="57" t="s">
        <v>3504</v>
      </c>
      <c r="C35" s="57" t="s">
        <v>3698</v>
      </c>
      <c r="D35" s="57" t="s">
        <v>3556</v>
      </c>
      <c r="E35" s="57" t="s">
        <v>3557</v>
      </c>
      <c r="F35" s="57" t="s">
        <v>3693</v>
      </c>
      <c r="G35" s="57" t="s">
        <v>3699</v>
      </c>
      <c r="H35" s="57" t="s">
        <v>3700</v>
      </c>
      <c r="I35" s="57" t="s">
        <v>3509</v>
      </c>
      <c r="J35" s="57" t="s">
        <v>3701</v>
      </c>
      <c r="K35" s="57" t="s">
        <v>3511</v>
      </c>
    </row>
    <row r="36" spans="1:11" ht="60" customHeight="1">
      <c r="A36" s="57" t="s">
        <v>3702</v>
      </c>
      <c r="B36" s="57" t="s">
        <v>3504</v>
      </c>
      <c r="C36" s="57" t="s">
        <v>3703</v>
      </c>
      <c r="D36" s="57" t="s">
        <v>3556</v>
      </c>
      <c r="E36" s="57" t="s">
        <v>3557</v>
      </c>
      <c r="F36" s="57" t="s">
        <v>3704</v>
      </c>
      <c r="G36" s="57" t="s">
        <v>3705</v>
      </c>
      <c r="H36" s="57" t="s">
        <v>3706</v>
      </c>
      <c r="I36" s="57" t="s">
        <v>3509</v>
      </c>
      <c r="J36" s="57" t="s">
        <v>3707</v>
      </c>
      <c r="K36" s="57" t="s">
        <v>3511</v>
      </c>
    </row>
    <row r="37" spans="1:11" ht="60" customHeight="1">
      <c r="A37" s="57" t="s">
        <v>3708</v>
      </c>
      <c r="B37" s="57" t="s">
        <v>3504</v>
      </c>
      <c r="C37" s="57" t="s">
        <v>3709</v>
      </c>
      <c r="D37" s="57" t="s">
        <v>1243</v>
      </c>
      <c r="E37" s="57" t="s">
        <v>1821</v>
      </c>
      <c r="F37" s="57" t="s">
        <v>1367</v>
      </c>
      <c r="G37" s="57" t="s">
        <v>3710</v>
      </c>
      <c r="H37" s="57" t="s">
        <v>3711</v>
      </c>
      <c r="I37" s="57" t="s">
        <v>3509</v>
      </c>
      <c r="J37" s="57" t="s">
        <v>3712</v>
      </c>
      <c r="K37" s="57" t="s">
        <v>3511</v>
      </c>
    </row>
    <row r="38" spans="1:11" ht="60" customHeight="1">
      <c r="A38" s="57" t="s">
        <v>3713</v>
      </c>
      <c r="B38" s="57" t="s">
        <v>3504</v>
      </c>
      <c r="C38" s="57" t="s">
        <v>3714</v>
      </c>
      <c r="D38" s="57" t="s">
        <v>1243</v>
      </c>
      <c r="E38" s="57" t="s">
        <v>1821</v>
      </c>
      <c r="F38" s="57" t="s">
        <v>1367</v>
      </c>
      <c r="G38" s="57" t="s">
        <v>3715</v>
      </c>
      <c r="H38" s="57" t="s">
        <v>3716</v>
      </c>
      <c r="I38" s="57" t="s">
        <v>3509</v>
      </c>
      <c r="J38" s="57" t="s">
        <v>3717</v>
      </c>
      <c r="K38" s="57" t="s">
        <v>3511</v>
      </c>
    </row>
    <row r="39" spans="1:11" ht="60" customHeight="1">
      <c r="A39" s="57" t="s">
        <v>3718</v>
      </c>
      <c r="B39" s="57" t="s">
        <v>3504</v>
      </c>
      <c r="C39" s="57" t="s">
        <v>3719</v>
      </c>
      <c r="D39" s="57" t="s">
        <v>3556</v>
      </c>
      <c r="E39" s="57" t="s">
        <v>3557</v>
      </c>
      <c r="F39" s="57" t="s">
        <v>3720</v>
      </c>
      <c r="G39" s="57" t="s">
        <v>3721</v>
      </c>
      <c r="H39" s="57" t="s">
        <v>3722</v>
      </c>
      <c r="I39" s="57" t="s">
        <v>3509</v>
      </c>
      <c r="J39" s="57" t="s">
        <v>3723</v>
      </c>
      <c r="K39" s="57" t="s">
        <v>3511</v>
      </c>
    </row>
    <row r="40" spans="1:11" ht="60" customHeight="1">
      <c r="A40" s="57" t="s">
        <v>3724</v>
      </c>
      <c r="B40" s="57" t="s">
        <v>3504</v>
      </c>
      <c r="C40" s="57" t="s">
        <v>3725</v>
      </c>
      <c r="D40" s="57" t="s">
        <v>1243</v>
      </c>
      <c r="E40" s="57" t="s">
        <v>1821</v>
      </c>
      <c r="F40" s="57" t="s">
        <v>1384</v>
      </c>
      <c r="G40" s="57" t="s">
        <v>3726</v>
      </c>
      <c r="H40" s="57" t="s">
        <v>3727</v>
      </c>
      <c r="I40" s="57" t="s">
        <v>3509</v>
      </c>
      <c r="J40" s="57" t="s">
        <v>3728</v>
      </c>
      <c r="K40" s="57" t="s">
        <v>3511</v>
      </c>
    </row>
    <row r="41" spans="1:11" ht="60" customHeight="1">
      <c r="A41" s="57" t="s">
        <v>3729</v>
      </c>
      <c r="B41" s="57" t="s">
        <v>3504</v>
      </c>
      <c r="C41" s="57" t="s">
        <v>3730</v>
      </c>
      <c r="D41" s="57" t="s">
        <v>1243</v>
      </c>
      <c r="E41" s="57" t="s">
        <v>1821</v>
      </c>
      <c r="F41" s="57" t="s">
        <v>1377</v>
      </c>
      <c r="G41" s="57" t="s">
        <v>3731</v>
      </c>
      <c r="H41" s="57" t="s">
        <v>3732</v>
      </c>
      <c r="I41" s="57" t="s">
        <v>3509</v>
      </c>
      <c r="J41" s="57" t="s">
        <v>3733</v>
      </c>
      <c r="K41" s="57" t="s">
        <v>3511</v>
      </c>
    </row>
    <row r="42" spans="1:11" ht="60" customHeight="1">
      <c r="A42" s="57" t="s">
        <v>3734</v>
      </c>
      <c r="B42" s="57" t="s">
        <v>3735</v>
      </c>
      <c r="C42" s="57" t="s">
        <v>3736</v>
      </c>
      <c r="D42" s="57" t="s">
        <v>108</v>
      </c>
      <c r="E42" s="57" t="s">
        <v>1791</v>
      </c>
      <c r="F42" s="57" t="s">
        <v>3514</v>
      </c>
      <c r="G42" s="57" t="s">
        <v>3737</v>
      </c>
      <c r="H42" s="57" t="s">
        <v>3734</v>
      </c>
      <c r="I42" s="57" t="s">
        <v>3509</v>
      </c>
      <c r="J42" s="57" t="s">
        <v>3738</v>
      </c>
      <c r="K42" s="57" t="s">
        <v>3739</v>
      </c>
    </row>
    <row r="43" spans="1:11" ht="60" customHeight="1">
      <c r="A43" s="57" t="s">
        <v>3740</v>
      </c>
      <c r="B43" s="57" t="s">
        <v>3735</v>
      </c>
      <c r="C43" s="57" t="s">
        <v>3741</v>
      </c>
      <c r="D43" s="57" t="s">
        <v>108</v>
      </c>
      <c r="E43" s="57" t="s">
        <v>1791</v>
      </c>
      <c r="F43" s="57" t="s">
        <v>3514</v>
      </c>
      <c r="G43" s="57" t="s">
        <v>3742</v>
      </c>
      <c r="H43" s="57" t="s">
        <v>3740</v>
      </c>
      <c r="I43" s="57" t="s">
        <v>3509</v>
      </c>
      <c r="J43" s="57" t="s">
        <v>3738</v>
      </c>
      <c r="K43" s="57" t="s">
        <v>3739</v>
      </c>
    </row>
    <row r="44" spans="1:11" ht="60" customHeight="1">
      <c r="A44" s="57" t="s">
        <v>3743</v>
      </c>
      <c r="B44" s="57" t="s">
        <v>3735</v>
      </c>
      <c r="C44" s="57" t="s">
        <v>3744</v>
      </c>
      <c r="D44" s="57" t="s">
        <v>1243</v>
      </c>
      <c r="E44" s="57" t="s">
        <v>1821</v>
      </c>
      <c r="F44" s="57" t="s">
        <v>812</v>
      </c>
      <c r="G44" s="57" t="s">
        <v>3745</v>
      </c>
      <c r="H44" s="57" t="s">
        <v>3743</v>
      </c>
      <c r="I44" s="57" t="s">
        <v>3509</v>
      </c>
      <c r="J44" s="57" t="s">
        <v>3738</v>
      </c>
      <c r="K44" s="57" t="s">
        <v>3739</v>
      </c>
    </row>
    <row r="45" spans="1:11" ht="60" customHeight="1">
      <c r="A45" s="57" t="s">
        <v>3746</v>
      </c>
      <c r="B45" s="57" t="s">
        <v>3735</v>
      </c>
      <c r="C45" s="57" t="s">
        <v>3747</v>
      </c>
      <c r="D45" s="57" t="s">
        <v>108</v>
      </c>
      <c r="E45" s="57" t="s">
        <v>1791</v>
      </c>
      <c r="F45" s="57" t="s">
        <v>3514</v>
      </c>
      <c r="G45" s="57" t="s">
        <v>3748</v>
      </c>
      <c r="H45" s="57" t="s">
        <v>3746</v>
      </c>
      <c r="I45" s="57" t="s">
        <v>3509</v>
      </c>
      <c r="J45" s="57" t="s">
        <v>3738</v>
      </c>
      <c r="K45" s="57" t="s">
        <v>3739</v>
      </c>
    </row>
    <row r="46" spans="1:11" ht="60" customHeight="1">
      <c r="A46" s="57" t="s">
        <v>3749</v>
      </c>
      <c r="B46" s="57" t="s">
        <v>3735</v>
      </c>
      <c r="C46" s="57" t="s">
        <v>3750</v>
      </c>
      <c r="D46" s="57" t="s">
        <v>108</v>
      </c>
      <c r="E46" s="57" t="s">
        <v>1791</v>
      </c>
      <c r="F46" s="57" t="s">
        <v>3514</v>
      </c>
      <c r="G46" s="57" t="s">
        <v>3751</v>
      </c>
      <c r="H46" s="57" t="s">
        <v>3749</v>
      </c>
      <c r="I46" s="57" t="s">
        <v>3509</v>
      </c>
      <c r="J46" s="57" t="s">
        <v>3738</v>
      </c>
      <c r="K46" s="57" t="s">
        <v>3739</v>
      </c>
    </row>
    <row r="47" spans="1:11" ht="60" customHeight="1">
      <c r="A47" s="57" t="s">
        <v>3752</v>
      </c>
      <c r="B47" s="57" t="s">
        <v>3735</v>
      </c>
      <c r="C47" s="57" t="s">
        <v>3753</v>
      </c>
      <c r="D47" s="57" t="s">
        <v>1243</v>
      </c>
      <c r="E47" s="57" t="s">
        <v>1821</v>
      </c>
      <c r="F47" s="57" t="s">
        <v>812</v>
      </c>
      <c r="G47" s="57" t="s">
        <v>3754</v>
      </c>
      <c r="H47" s="57" t="s">
        <v>3752</v>
      </c>
      <c r="I47" s="57" t="s">
        <v>3509</v>
      </c>
      <c r="J47" s="57" t="s">
        <v>3738</v>
      </c>
      <c r="K47" s="57" t="s">
        <v>3739</v>
      </c>
    </row>
    <row r="48" spans="1:11" ht="60" customHeight="1">
      <c r="A48" s="57" t="s">
        <v>3755</v>
      </c>
      <c r="B48" s="57" t="s">
        <v>3756</v>
      </c>
      <c r="C48" s="57" t="s">
        <v>3757</v>
      </c>
      <c r="D48" s="57" t="s">
        <v>108</v>
      </c>
      <c r="E48" s="57" t="s">
        <v>1791</v>
      </c>
      <c r="F48" s="57" t="s">
        <v>3506</v>
      </c>
      <c r="G48" s="57" t="s">
        <v>3507</v>
      </c>
      <c r="H48" s="57" t="s">
        <v>3758</v>
      </c>
      <c r="I48" s="57" t="s">
        <v>3509</v>
      </c>
      <c r="J48" s="57" t="s">
        <v>3759</v>
      </c>
      <c r="K48" s="57" t="s">
        <v>3760</v>
      </c>
    </row>
    <row r="49" spans="1:11" ht="60" customHeight="1">
      <c r="A49" s="57" t="s">
        <v>3761</v>
      </c>
      <c r="B49" s="57" t="s">
        <v>3756</v>
      </c>
      <c r="C49" s="57" t="s">
        <v>3762</v>
      </c>
      <c r="D49" s="57" t="s">
        <v>108</v>
      </c>
      <c r="E49" s="57" t="s">
        <v>1791</v>
      </c>
      <c r="F49" s="57" t="s">
        <v>3506</v>
      </c>
      <c r="G49" s="57" t="s">
        <v>3507</v>
      </c>
      <c r="H49" s="57" t="s">
        <v>3763</v>
      </c>
      <c r="I49" s="57" t="s">
        <v>3509</v>
      </c>
      <c r="J49" s="57" t="s">
        <v>3764</v>
      </c>
      <c r="K49" s="57" t="s">
        <v>3760</v>
      </c>
    </row>
    <row r="50" spans="1:11" ht="60" customHeight="1">
      <c r="A50" s="57" t="s">
        <v>3765</v>
      </c>
      <c r="B50" s="57" t="s">
        <v>3756</v>
      </c>
      <c r="C50" s="57" t="s">
        <v>3766</v>
      </c>
      <c r="D50" s="57" t="s">
        <v>108</v>
      </c>
      <c r="E50" s="57" t="s">
        <v>1791</v>
      </c>
      <c r="F50" s="57" t="s">
        <v>3520</v>
      </c>
      <c r="G50" s="57" t="s">
        <v>3521</v>
      </c>
      <c r="H50" s="57" t="s">
        <v>3767</v>
      </c>
      <c r="I50" s="57" t="s">
        <v>3509</v>
      </c>
      <c r="J50" s="57" t="s">
        <v>3768</v>
      </c>
      <c r="K50" s="57" t="s">
        <v>3760</v>
      </c>
    </row>
    <row r="51" spans="1:11" ht="60" customHeight="1">
      <c r="A51" s="57" t="s">
        <v>3769</v>
      </c>
      <c r="B51" s="57" t="s">
        <v>3756</v>
      </c>
      <c r="C51" s="57" t="s">
        <v>3770</v>
      </c>
      <c r="D51" s="57" t="s">
        <v>108</v>
      </c>
      <c r="E51" s="57" t="s">
        <v>1791</v>
      </c>
      <c r="F51" s="57" t="s">
        <v>3520</v>
      </c>
      <c r="G51" s="57" t="s">
        <v>3521</v>
      </c>
      <c r="H51" s="57" t="s">
        <v>3771</v>
      </c>
      <c r="I51" s="57" t="s">
        <v>3509</v>
      </c>
      <c r="J51" s="57" t="s">
        <v>3772</v>
      </c>
      <c r="K51" s="57" t="s">
        <v>3760</v>
      </c>
    </row>
    <row r="52" spans="1:11" ht="60" customHeight="1">
      <c r="A52" s="57" t="s">
        <v>3773</v>
      </c>
      <c r="B52" s="57" t="s">
        <v>3756</v>
      </c>
      <c r="C52" s="57" t="s">
        <v>3774</v>
      </c>
      <c r="D52" s="57" t="s">
        <v>108</v>
      </c>
      <c r="E52" s="57" t="s">
        <v>1791</v>
      </c>
      <c r="F52" s="57" t="s">
        <v>3520</v>
      </c>
      <c r="G52" s="57" t="s">
        <v>3521</v>
      </c>
      <c r="H52" s="57" t="s">
        <v>3775</v>
      </c>
      <c r="I52" s="57" t="s">
        <v>3509</v>
      </c>
      <c r="J52" s="57" t="s">
        <v>3776</v>
      </c>
      <c r="K52" s="57" t="s">
        <v>3760</v>
      </c>
    </row>
    <row r="53" spans="1:11" ht="60" customHeight="1">
      <c r="A53" s="57" t="s">
        <v>3777</v>
      </c>
      <c r="B53" s="57" t="s">
        <v>3756</v>
      </c>
      <c r="C53" s="57" t="s">
        <v>3778</v>
      </c>
      <c r="D53" s="57" t="s">
        <v>108</v>
      </c>
      <c r="E53" s="57" t="s">
        <v>1791</v>
      </c>
      <c r="F53" s="57" t="s">
        <v>3520</v>
      </c>
      <c r="G53" s="57" t="s">
        <v>3521</v>
      </c>
      <c r="H53" s="57" t="s">
        <v>3779</v>
      </c>
      <c r="I53" s="57" t="s">
        <v>3509</v>
      </c>
      <c r="J53" s="57" t="s">
        <v>3780</v>
      </c>
      <c r="K53" s="57" t="s">
        <v>3760</v>
      </c>
    </row>
    <row r="54" spans="1:11" ht="60" customHeight="1">
      <c r="A54" s="57" t="s">
        <v>3781</v>
      </c>
      <c r="B54" s="57" t="s">
        <v>3756</v>
      </c>
      <c r="C54" s="57" t="s">
        <v>3782</v>
      </c>
      <c r="D54" s="57" t="s">
        <v>108</v>
      </c>
      <c r="E54" s="57" t="s">
        <v>1791</v>
      </c>
      <c r="F54" s="57" t="s">
        <v>3526</v>
      </c>
      <c r="G54" s="57" t="s">
        <v>3527</v>
      </c>
      <c r="H54" s="57" t="s">
        <v>3783</v>
      </c>
      <c r="I54" s="57" t="s">
        <v>3509</v>
      </c>
      <c r="J54" s="57" t="s">
        <v>3784</v>
      </c>
      <c r="K54" s="57" t="s">
        <v>3760</v>
      </c>
    </row>
    <row r="55" spans="1:11" ht="60" customHeight="1">
      <c r="A55" s="57" t="s">
        <v>3785</v>
      </c>
      <c r="B55" s="57" t="s">
        <v>3756</v>
      </c>
      <c r="C55" s="57" t="s">
        <v>3786</v>
      </c>
      <c r="D55" s="57" t="s">
        <v>108</v>
      </c>
      <c r="E55" s="57" t="s">
        <v>1791</v>
      </c>
      <c r="F55" s="57" t="s">
        <v>3526</v>
      </c>
      <c r="G55" s="57" t="s">
        <v>3527</v>
      </c>
      <c r="H55" s="57" t="s">
        <v>3787</v>
      </c>
      <c r="I55" s="57" t="s">
        <v>3509</v>
      </c>
      <c r="J55" s="57" t="s">
        <v>3788</v>
      </c>
      <c r="K55" s="57" t="s">
        <v>3760</v>
      </c>
    </row>
    <row r="56" spans="1:11" ht="60" customHeight="1">
      <c r="A56" s="57" t="s">
        <v>3789</v>
      </c>
      <c r="B56" s="57" t="s">
        <v>3756</v>
      </c>
      <c r="C56" s="57" t="s">
        <v>3790</v>
      </c>
      <c r="D56" s="57" t="s">
        <v>108</v>
      </c>
      <c r="E56" s="57" t="s">
        <v>1791</v>
      </c>
      <c r="F56" s="57" t="s">
        <v>3532</v>
      </c>
      <c r="G56" s="57" t="s">
        <v>3533</v>
      </c>
      <c r="H56" s="57" t="s">
        <v>3791</v>
      </c>
      <c r="I56" s="57" t="s">
        <v>3509</v>
      </c>
      <c r="J56" s="57" t="s">
        <v>3792</v>
      </c>
      <c r="K56" s="57" t="s">
        <v>3760</v>
      </c>
    </row>
    <row r="57" spans="1:11" ht="60" customHeight="1">
      <c r="A57" s="57" t="s">
        <v>3793</v>
      </c>
      <c r="B57" s="57" t="s">
        <v>3756</v>
      </c>
      <c r="C57" s="57" t="s">
        <v>3794</v>
      </c>
      <c r="D57" s="57" t="s">
        <v>108</v>
      </c>
      <c r="E57" s="57" t="s">
        <v>1791</v>
      </c>
      <c r="F57" s="57" t="s">
        <v>3532</v>
      </c>
      <c r="G57" s="57" t="s">
        <v>3533</v>
      </c>
      <c r="H57" s="57" t="s">
        <v>3795</v>
      </c>
      <c r="I57" s="57" t="s">
        <v>3509</v>
      </c>
      <c r="J57" s="57" t="s">
        <v>3796</v>
      </c>
      <c r="K57" s="57" t="s">
        <v>3760</v>
      </c>
    </row>
    <row r="58" spans="1:11" ht="60" customHeight="1">
      <c r="A58" s="57" t="s">
        <v>3797</v>
      </c>
      <c r="B58" s="57" t="s">
        <v>3756</v>
      </c>
      <c r="C58" s="57" t="s">
        <v>3798</v>
      </c>
      <c r="D58" s="57" t="s">
        <v>108</v>
      </c>
      <c r="E58" s="57" t="s">
        <v>1791</v>
      </c>
      <c r="F58" s="57" t="s">
        <v>3532</v>
      </c>
      <c r="G58" s="57" t="s">
        <v>3533</v>
      </c>
      <c r="H58" s="57" t="s">
        <v>3799</v>
      </c>
      <c r="I58" s="57" t="s">
        <v>3509</v>
      </c>
      <c r="J58" s="57" t="s">
        <v>3800</v>
      </c>
      <c r="K58" s="57" t="s">
        <v>3760</v>
      </c>
    </row>
    <row r="59" spans="1:11" ht="60" customHeight="1">
      <c r="A59" s="57" t="s">
        <v>3801</v>
      </c>
      <c r="B59" s="57" t="s">
        <v>3756</v>
      </c>
      <c r="C59" s="57" t="s">
        <v>3802</v>
      </c>
      <c r="D59" s="57" t="s">
        <v>108</v>
      </c>
      <c r="E59" s="57" t="s">
        <v>1791</v>
      </c>
      <c r="F59" s="57" t="s">
        <v>3538</v>
      </c>
      <c r="G59" s="57" t="s">
        <v>3539</v>
      </c>
      <c r="H59" s="57" t="s">
        <v>3803</v>
      </c>
      <c r="I59" s="57" t="s">
        <v>3509</v>
      </c>
      <c r="J59" s="57" t="s">
        <v>3804</v>
      </c>
      <c r="K59" s="57" t="s">
        <v>3760</v>
      </c>
    </row>
    <row r="60" spans="1:11" ht="60" customHeight="1">
      <c r="A60" s="57" t="s">
        <v>3805</v>
      </c>
      <c r="B60" s="57" t="s">
        <v>3756</v>
      </c>
      <c r="C60" s="57" t="s">
        <v>3806</v>
      </c>
      <c r="D60" s="57" t="s">
        <v>108</v>
      </c>
      <c r="E60" s="57" t="s">
        <v>1791</v>
      </c>
      <c r="F60" s="57" t="s">
        <v>3538</v>
      </c>
      <c r="G60" s="57" t="s">
        <v>3539</v>
      </c>
      <c r="H60" s="57" t="s">
        <v>3807</v>
      </c>
      <c r="I60" s="57" t="s">
        <v>3509</v>
      </c>
      <c r="J60" s="57" t="s">
        <v>3808</v>
      </c>
      <c r="K60" s="57" t="s">
        <v>3760</v>
      </c>
    </row>
    <row r="61" spans="1:11" ht="60" customHeight="1">
      <c r="A61" s="57" t="s">
        <v>3809</v>
      </c>
      <c r="B61" s="57" t="s">
        <v>3810</v>
      </c>
      <c r="C61" s="57" t="s">
        <v>3811</v>
      </c>
      <c r="D61" s="57" t="s">
        <v>108</v>
      </c>
      <c r="E61" s="57" t="s">
        <v>1791</v>
      </c>
      <c r="F61" s="57" t="s">
        <v>3538</v>
      </c>
      <c r="G61" s="57" t="s">
        <v>3539</v>
      </c>
      <c r="H61" s="57" t="s">
        <v>3812</v>
      </c>
      <c r="I61" s="57" t="s">
        <v>3509</v>
      </c>
      <c r="J61" s="57" t="s">
        <v>3813</v>
      </c>
      <c r="K61" s="57" t="s">
        <v>3760</v>
      </c>
    </row>
    <row r="62" spans="1:11" ht="60" customHeight="1">
      <c r="A62" s="57" t="s">
        <v>3814</v>
      </c>
      <c r="B62" s="57" t="s">
        <v>3756</v>
      </c>
      <c r="C62" s="57" t="s">
        <v>3815</v>
      </c>
      <c r="D62" s="57" t="s">
        <v>108</v>
      </c>
      <c r="E62" s="57" t="s">
        <v>1791</v>
      </c>
      <c r="F62" s="57" t="s">
        <v>3544</v>
      </c>
      <c r="G62" s="57" t="s">
        <v>3545</v>
      </c>
      <c r="H62" s="57" t="s">
        <v>3816</v>
      </c>
      <c r="I62" s="57" t="s">
        <v>3509</v>
      </c>
      <c r="J62" s="57" t="s">
        <v>3817</v>
      </c>
      <c r="K62" s="57" t="s">
        <v>3760</v>
      </c>
    </row>
    <row r="63" spans="1:11" ht="60" customHeight="1">
      <c r="A63" s="57" t="s">
        <v>3818</v>
      </c>
      <c r="B63" s="57" t="s">
        <v>3756</v>
      </c>
      <c r="C63" s="57" t="s">
        <v>3819</v>
      </c>
      <c r="D63" s="57" t="s">
        <v>108</v>
      </c>
      <c r="E63" s="57" t="s">
        <v>1791</v>
      </c>
      <c r="F63" s="57" t="s">
        <v>3544</v>
      </c>
      <c r="G63" s="57" t="s">
        <v>3545</v>
      </c>
      <c r="H63" s="57" t="s">
        <v>3820</v>
      </c>
      <c r="I63" s="57" t="s">
        <v>3509</v>
      </c>
      <c r="J63" s="57" t="s">
        <v>3821</v>
      </c>
      <c r="K63" s="57" t="s">
        <v>3760</v>
      </c>
    </row>
    <row r="64" spans="1:11" ht="60" customHeight="1">
      <c r="A64" s="57" t="s">
        <v>3822</v>
      </c>
      <c r="B64" s="57" t="s">
        <v>3756</v>
      </c>
      <c r="C64" s="57" t="s">
        <v>3823</v>
      </c>
      <c r="D64" s="57" t="s">
        <v>108</v>
      </c>
      <c r="E64" s="57" t="s">
        <v>1791</v>
      </c>
      <c r="F64" s="57" t="s">
        <v>3544</v>
      </c>
      <c r="G64" s="57" t="s">
        <v>3545</v>
      </c>
      <c r="H64" s="57" t="s">
        <v>3824</v>
      </c>
      <c r="I64" s="57" t="s">
        <v>3509</v>
      </c>
      <c r="J64" s="57" t="s">
        <v>3825</v>
      </c>
      <c r="K64" s="57" t="s">
        <v>3760</v>
      </c>
    </row>
    <row r="65" spans="1:11" ht="60" customHeight="1">
      <c r="A65" s="57" t="s">
        <v>3826</v>
      </c>
      <c r="B65" s="57" t="s">
        <v>3810</v>
      </c>
      <c r="C65" s="57" t="s">
        <v>3827</v>
      </c>
      <c r="D65" s="57" t="s">
        <v>108</v>
      </c>
      <c r="E65" s="57" t="s">
        <v>1791</v>
      </c>
      <c r="F65" s="57" t="s">
        <v>3544</v>
      </c>
      <c r="G65" s="57" t="s">
        <v>3545</v>
      </c>
      <c r="H65" s="57" t="s">
        <v>3828</v>
      </c>
      <c r="I65" s="57" t="s">
        <v>3509</v>
      </c>
      <c r="J65" s="57" t="s">
        <v>3829</v>
      </c>
      <c r="K65" s="57" t="s">
        <v>3760</v>
      </c>
    </row>
    <row r="66" spans="1:11" ht="60" customHeight="1">
      <c r="A66" s="57" t="s">
        <v>3830</v>
      </c>
      <c r="B66" s="57" t="s">
        <v>3756</v>
      </c>
      <c r="C66" s="57" t="s">
        <v>3831</v>
      </c>
      <c r="D66" s="57" t="s">
        <v>108</v>
      </c>
      <c r="E66" s="57" t="s">
        <v>1791</v>
      </c>
      <c r="F66" s="57" t="s">
        <v>3550</v>
      </c>
      <c r="G66" s="57" t="s">
        <v>3551</v>
      </c>
      <c r="H66" s="57" t="s">
        <v>3832</v>
      </c>
      <c r="I66" s="57" t="s">
        <v>3509</v>
      </c>
      <c r="J66" s="57" t="s">
        <v>3833</v>
      </c>
      <c r="K66" s="57" t="s">
        <v>3760</v>
      </c>
    </row>
    <row r="67" spans="1:11" ht="60" customHeight="1">
      <c r="A67" s="57" t="s">
        <v>3834</v>
      </c>
      <c r="B67" s="57" t="s">
        <v>3756</v>
      </c>
      <c r="C67" s="57" t="s">
        <v>3835</v>
      </c>
      <c r="D67" s="57" t="s">
        <v>3556</v>
      </c>
      <c r="E67" s="57" t="s">
        <v>3557</v>
      </c>
      <c r="F67" s="57" t="s">
        <v>3558</v>
      </c>
      <c r="G67" s="57" t="s">
        <v>3559</v>
      </c>
      <c r="H67" s="57" t="s">
        <v>3836</v>
      </c>
      <c r="I67" s="57" t="s">
        <v>3509</v>
      </c>
      <c r="J67" s="57" t="s">
        <v>3837</v>
      </c>
      <c r="K67" s="57" t="s">
        <v>3760</v>
      </c>
    </row>
    <row r="68" spans="1:11" ht="60" customHeight="1">
      <c r="A68" s="57" t="s">
        <v>3838</v>
      </c>
      <c r="B68" s="57" t="s">
        <v>3756</v>
      </c>
      <c r="C68" s="57" t="s">
        <v>3839</v>
      </c>
      <c r="D68" s="57" t="s">
        <v>3556</v>
      </c>
      <c r="E68" s="57" t="s">
        <v>3557</v>
      </c>
      <c r="F68" s="57" t="s">
        <v>3558</v>
      </c>
      <c r="G68" s="57" t="s">
        <v>3559</v>
      </c>
      <c r="H68" s="57" t="s">
        <v>3840</v>
      </c>
      <c r="I68" s="57" t="s">
        <v>3509</v>
      </c>
      <c r="J68" s="57" t="s">
        <v>3841</v>
      </c>
      <c r="K68" s="57" t="s">
        <v>3760</v>
      </c>
    </row>
    <row r="69" spans="1:11" ht="60" customHeight="1">
      <c r="A69" s="57" t="s">
        <v>3842</v>
      </c>
      <c r="B69" s="57" t="s">
        <v>3756</v>
      </c>
      <c r="C69" s="57" t="s">
        <v>3843</v>
      </c>
      <c r="D69" s="57" t="s">
        <v>3556</v>
      </c>
      <c r="E69" s="57" t="s">
        <v>3557</v>
      </c>
      <c r="F69" s="57" t="s">
        <v>3558</v>
      </c>
      <c r="G69" s="57" t="s">
        <v>3559</v>
      </c>
      <c r="H69" s="57" t="s">
        <v>3844</v>
      </c>
      <c r="I69" s="57" t="s">
        <v>3509</v>
      </c>
      <c r="J69" s="57" t="s">
        <v>3845</v>
      </c>
      <c r="K69" s="57" t="s">
        <v>3760</v>
      </c>
    </row>
    <row r="70" spans="1:11" ht="60" customHeight="1">
      <c r="A70" s="57" t="s">
        <v>3846</v>
      </c>
      <c r="B70" s="57" t="s">
        <v>3756</v>
      </c>
      <c r="C70" s="57" t="s">
        <v>3847</v>
      </c>
      <c r="D70" s="57" t="s">
        <v>3556</v>
      </c>
      <c r="E70" s="57" t="s">
        <v>3557</v>
      </c>
      <c r="F70" s="57" t="s">
        <v>3558</v>
      </c>
      <c r="G70" s="57" t="s">
        <v>3559</v>
      </c>
      <c r="H70" s="57" t="s">
        <v>3848</v>
      </c>
      <c r="I70" s="57" t="s">
        <v>3509</v>
      </c>
      <c r="J70" s="57" t="s">
        <v>3849</v>
      </c>
      <c r="K70" s="57" t="s">
        <v>3760</v>
      </c>
    </row>
    <row r="71" spans="1:11" ht="60" customHeight="1">
      <c r="A71" s="57" t="s">
        <v>3850</v>
      </c>
      <c r="B71" s="57" t="s">
        <v>3756</v>
      </c>
      <c r="C71" s="57" t="s">
        <v>3851</v>
      </c>
      <c r="D71" s="57" t="s">
        <v>3556</v>
      </c>
      <c r="E71" s="57" t="s">
        <v>3557</v>
      </c>
      <c r="F71" s="57" t="s">
        <v>3558</v>
      </c>
      <c r="G71" s="57" t="s">
        <v>3559</v>
      </c>
      <c r="H71" s="57" t="s">
        <v>3852</v>
      </c>
      <c r="I71" s="57" t="s">
        <v>3509</v>
      </c>
      <c r="J71" s="57" t="s">
        <v>3853</v>
      </c>
      <c r="K71" s="57" t="s">
        <v>3760</v>
      </c>
    </row>
    <row r="72" spans="1:11" ht="60" customHeight="1">
      <c r="A72" s="57" t="s">
        <v>3854</v>
      </c>
      <c r="B72" s="57" t="s">
        <v>3756</v>
      </c>
      <c r="C72" s="57" t="s">
        <v>3855</v>
      </c>
      <c r="D72" s="57" t="s">
        <v>3556</v>
      </c>
      <c r="E72" s="57" t="s">
        <v>3557</v>
      </c>
      <c r="F72" s="57" t="s">
        <v>3558</v>
      </c>
      <c r="G72" s="57" t="s">
        <v>3559</v>
      </c>
      <c r="H72" s="57" t="s">
        <v>3856</v>
      </c>
      <c r="I72" s="57" t="s">
        <v>3509</v>
      </c>
      <c r="J72" s="57" t="s">
        <v>3857</v>
      </c>
      <c r="K72" s="57" t="s">
        <v>3760</v>
      </c>
    </row>
    <row r="73" spans="1:11" ht="60" customHeight="1">
      <c r="A73" s="57" t="s">
        <v>3858</v>
      </c>
      <c r="B73" s="57" t="s">
        <v>3756</v>
      </c>
      <c r="C73" s="57" t="s">
        <v>3859</v>
      </c>
      <c r="D73" s="57" t="s">
        <v>3556</v>
      </c>
      <c r="E73" s="57" t="s">
        <v>3557</v>
      </c>
      <c r="F73" s="57" t="s">
        <v>3558</v>
      </c>
      <c r="G73" s="57" t="s">
        <v>3559</v>
      </c>
      <c r="H73" s="57" t="s">
        <v>3860</v>
      </c>
      <c r="I73" s="57" t="s">
        <v>3509</v>
      </c>
      <c r="J73" s="57" t="s">
        <v>3861</v>
      </c>
      <c r="K73" s="57" t="s">
        <v>3760</v>
      </c>
    </row>
    <row r="74" spans="1:11" ht="60" customHeight="1">
      <c r="A74" s="57" t="s">
        <v>3862</v>
      </c>
      <c r="B74" s="57" t="s">
        <v>3756</v>
      </c>
      <c r="C74" s="57" t="s">
        <v>3863</v>
      </c>
      <c r="D74" s="57" t="s">
        <v>3556</v>
      </c>
      <c r="E74" s="57" t="s">
        <v>3557</v>
      </c>
      <c r="F74" s="57" t="s">
        <v>3558</v>
      </c>
      <c r="G74" s="57" t="s">
        <v>3559</v>
      </c>
      <c r="H74" s="57" t="s">
        <v>3864</v>
      </c>
      <c r="I74" s="57" t="s">
        <v>3509</v>
      </c>
      <c r="J74" s="57" t="s">
        <v>3865</v>
      </c>
      <c r="K74" s="57" t="s">
        <v>3760</v>
      </c>
    </row>
    <row r="75" spans="1:11" ht="60" customHeight="1">
      <c r="A75" s="57" t="s">
        <v>3866</v>
      </c>
      <c r="B75" s="57" t="s">
        <v>3756</v>
      </c>
      <c r="C75" s="57" t="s">
        <v>3867</v>
      </c>
      <c r="D75" s="57" t="s">
        <v>3556</v>
      </c>
      <c r="E75" s="57" t="s">
        <v>3557</v>
      </c>
      <c r="F75" s="57" t="s">
        <v>3558</v>
      </c>
      <c r="G75" s="57" t="s">
        <v>3559</v>
      </c>
      <c r="H75" s="57" t="s">
        <v>3868</v>
      </c>
      <c r="I75" s="57" t="s">
        <v>3509</v>
      </c>
      <c r="J75" s="57" t="s">
        <v>3869</v>
      </c>
      <c r="K75" s="57" t="s">
        <v>3760</v>
      </c>
    </row>
    <row r="76" spans="1:11" ht="60" customHeight="1">
      <c r="A76" s="57" t="s">
        <v>3870</v>
      </c>
      <c r="B76" s="57" t="s">
        <v>3756</v>
      </c>
      <c r="C76" s="57" t="s">
        <v>3871</v>
      </c>
      <c r="D76" s="57" t="s">
        <v>3556</v>
      </c>
      <c r="E76" s="57" t="s">
        <v>3557</v>
      </c>
      <c r="F76" s="57" t="s">
        <v>3558</v>
      </c>
      <c r="G76" s="57" t="s">
        <v>3559</v>
      </c>
      <c r="H76" s="57" t="s">
        <v>3872</v>
      </c>
      <c r="I76" s="57" t="s">
        <v>3509</v>
      </c>
      <c r="J76" s="57" t="s">
        <v>3873</v>
      </c>
      <c r="K76" s="57" t="s">
        <v>3760</v>
      </c>
    </row>
    <row r="77" spans="1:11" ht="60" customHeight="1">
      <c r="A77" s="57" t="s">
        <v>3874</v>
      </c>
      <c r="B77" s="57" t="s">
        <v>3756</v>
      </c>
      <c r="C77" s="57" t="s">
        <v>3875</v>
      </c>
      <c r="D77" s="57" t="s">
        <v>3556</v>
      </c>
      <c r="E77" s="57" t="s">
        <v>3557</v>
      </c>
      <c r="F77" s="57" t="s">
        <v>3558</v>
      </c>
      <c r="G77" s="57" t="s">
        <v>3559</v>
      </c>
      <c r="H77" s="57" t="s">
        <v>3876</v>
      </c>
      <c r="I77" s="57" t="s">
        <v>3509</v>
      </c>
      <c r="J77" s="57" t="s">
        <v>3877</v>
      </c>
      <c r="K77" s="57" t="s">
        <v>3760</v>
      </c>
    </row>
    <row r="78" spans="1:11" ht="60" customHeight="1">
      <c r="A78" s="57" t="s">
        <v>3878</v>
      </c>
      <c r="B78" s="57" t="s">
        <v>3756</v>
      </c>
      <c r="C78" s="57" t="s">
        <v>3879</v>
      </c>
      <c r="D78" s="57" t="s">
        <v>108</v>
      </c>
      <c r="E78" s="57" t="s">
        <v>1791</v>
      </c>
      <c r="F78" s="57" t="s">
        <v>489</v>
      </c>
      <c r="G78" s="57" t="s">
        <v>3564</v>
      </c>
      <c r="H78" s="57" t="s">
        <v>3880</v>
      </c>
      <c r="I78" s="57" t="s">
        <v>3509</v>
      </c>
      <c r="J78" s="57" t="s">
        <v>3881</v>
      </c>
      <c r="K78" s="57" t="s">
        <v>3760</v>
      </c>
    </row>
    <row r="79" spans="1:11" ht="60" customHeight="1">
      <c r="A79" s="57" t="s">
        <v>3882</v>
      </c>
      <c r="B79" s="57" t="s">
        <v>3756</v>
      </c>
      <c r="C79" s="57" t="s">
        <v>3883</v>
      </c>
      <c r="D79" s="57" t="s">
        <v>108</v>
      </c>
      <c r="E79" s="57" t="s">
        <v>1791</v>
      </c>
      <c r="F79" s="57" t="s">
        <v>489</v>
      </c>
      <c r="G79" s="57" t="s">
        <v>3564</v>
      </c>
      <c r="H79" s="57" t="s">
        <v>3884</v>
      </c>
      <c r="I79" s="57" t="s">
        <v>3509</v>
      </c>
      <c r="J79" s="57" t="s">
        <v>3885</v>
      </c>
      <c r="K79" s="57" t="s">
        <v>3760</v>
      </c>
    </row>
    <row r="80" spans="1:11" ht="60" customHeight="1">
      <c r="A80" s="57" t="s">
        <v>3886</v>
      </c>
      <c r="B80" s="57" t="s">
        <v>3810</v>
      </c>
      <c r="C80" s="57" t="s">
        <v>3887</v>
      </c>
      <c r="D80" s="57" t="s">
        <v>108</v>
      </c>
      <c r="E80" s="57" t="s">
        <v>1791</v>
      </c>
      <c r="F80" s="57" t="s">
        <v>3569</v>
      </c>
      <c r="G80" s="57" t="s">
        <v>3570</v>
      </c>
      <c r="H80" s="57" t="s">
        <v>3888</v>
      </c>
      <c r="I80" s="57" t="s">
        <v>3509</v>
      </c>
      <c r="J80" s="57" t="s">
        <v>3889</v>
      </c>
      <c r="K80" s="57" t="s">
        <v>3760</v>
      </c>
    </row>
    <row r="81" spans="1:11" ht="60" customHeight="1">
      <c r="A81" s="57" t="s">
        <v>3890</v>
      </c>
      <c r="B81" s="57" t="s">
        <v>3756</v>
      </c>
      <c r="C81" s="57" t="s">
        <v>3891</v>
      </c>
      <c r="D81" s="57" t="s">
        <v>1243</v>
      </c>
      <c r="E81" s="57" t="s">
        <v>1821</v>
      </c>
      <c r="F81" s="57" t="s">
        <v>1349</v>
      </c>
      <c r="G81" s="57" t="s">
        <v>3575</v>
      </c>
      <c r="H81" s="57" t="s">
        <v>3892</v>
      </c>
      <c r="I81" s="57" t="s">
        <v>3509</v>
      </c>
      <c r="J81" s="57" t="s">
        <v>3893</v>
      </c>
      <c r="K81" s="57" t="s">
        <v>3760</v>
      </c>
    </row>
    <row r="82" spans="1:11" ht="60" customHeight="1">
      <c r="A82" s="57" t="s">
        <v>3894</v>
      </c>
      <c r="B82" s="57" t="s">
        <v>3810</v>
      </c>
      <c r="C82" s="57" t="s">
        <v>3895</v>
      </c>
      <c r="D82" s="57" t="s">
        <v>108</v>
      </c>
      <c r="E82" s="57" t="s">
        <v>1791</v>
      </c>
      <c r="F82" s="57" t="s">
        <v>3580</v>
      </c>
      <c r="G82" s="57" t="s">
        <v>3581</v>
      </c>
      <c r="H82" s="57" t="s">
        <v>3896</v>
      </c>
      <c r="I82" s="57" t="s">
        <v>3509</v>
      </c>
      <c r="J82" s="57" t="s">
        <v>3897</v>
      </c>
      <c r="K82" s="57" t="s">
        <v>3760</v>
      </c>
    </row>
    <row r="83" spans="1:11" ht="60" customHeight="1">
      <c r="A83" s="57" t="s">
        <v>3898</v>
      </c>
      <c r="B83" s="57" t="s">
        <v>3756</v>
      </c>
      <c r="C83" s="57" t="s">
        <v>3899</v>
      </c>
      <c r="D83" s="57" t="s">
        <v>108</v>
      </c>
      <c r="E83" s="57" t="s">
        <v>1791</v>
      </c>
      <c r="F83" s="57" t="s">
        <v>451</v>
      </c>
      <c r="G83" s="57" t="s">
        <v>3586</v>
      </c>
      <c r="H83" s="57" t="s">
        <v>3900</v>
      </c>
      <c r="I83" s="57" t="s">
        <v>3509</v>
      </c>
      <c r="J83" s="57" t="s">
        <v>3901</v>
      </c>
      <c r="K83" s="57" t="s">
        <v>3760</v>
      </c>
    </row>
    <row r="84" spans="1:11" ht="60" customHeight="1">
      <c r="A84" s="57" t="s">
        <v>3902</v>
      </c>
      <c r="B84" s="57" t="s">
        <v>3756</v>
      </c>
      <c r="C84" s="57" t="s">
        <v>3903</v>
      </c>
      <c r="D84" s="57" t="s">
        <v>108</v>
      </c>
      <c r="E84" s="57" t="s">
        <v>1791</v>
      </c>
      <c r="F84" s="57" t="s">
        <v>451</v>
      </c>
      <c r="G84" s="57" t="s">
        <v>3586</v>
      </c>
      <c r="H84" s="57" t="s">
        <v>3904</v>
      </c>
      <c r="I84" s="57" t="s">
        <v>3509</v>
      </c>
      <c r="J84" s="57" t="s">
        <v>3905</v>
      </c>
      <c r="K84" s="57" t="s">
        <v>3760</v>
      </c>
    </row>
    <row r="85" spans="1:11" ht="60" customHeight="1">
      <c r="A85" s="57" t="s">
        <v>3906</v>
      </c>
      <c r="B85" s="57" t="s">
        <v>3756</v>
      </c>
      <c r="C85" s="57" t="s">
        <v>3907</v>
      </c>
      <c r="D85" s="57" t="s">
        <v>3556</v>
      </c>
      <c r="E85" s="57" t="s">
        <v>3557</v>
      </c>
      <c r="F85" s="57" t="s">
        <v>3591</v>
      </c>
      <c r="G85" s="57" t="s">
        <v>3592</v>
      </c>
      <c r="H85" s="57" t="s">
        <v>3908</v>
      </c>
      <c r="I85" s="57" t="s">
        <v>3509</v>
      </c>
      <c r="J85" s="57" t="s">
        <v>3909</v>
      </c>
      <c r="K85" s="57" t="s">
        <v>3760</v>
      </c>
    </row>
    <row r="86" spans="1:11" ht="60" customHeight="1">
      <c r="A86" s="57" t="s">
        <v>3910</v>
      </c>
      <c r="B86" s="57" t="s">
        <v>3756</v>
      </c>
      <c r="C86" s="57" t="s">
        <v>3911</v>
      </c>
      <c r="D86" s="57" t="s">
        <v>3556</v>
      </c>
      <c r="E86" s="57" t="s">
        <v>3557</v>
      </c>
      <c r="F86" s="57" t="s">
        <v>3591</v>
      </c>
      <c r="G86" s="57" t="s">
        <v>3592</v>
      </c>
      <c r="H86" s="57" t="s">
        <v>3912</v>
      </c>
      <c r="I86" s="57" t="s">
        <v>3509</v>
      </c>
      <c r="J86" s="57" t="s">
        <v>3913</v>
      </c>
      <c r="K86" s="57" t="s">
        <v>3760</v>
      </c>
    </row>
    <row r="87" spans="1:11" ht="60" customHeight="1">
      <c r="A87" s="57" t="s">
        <v>3914</v>
      </c>
      <c r="B87" s="57" t="s">
        <v>3756</v>
      </c>
      <c r="C87" s="57" t="s">
        <v>3915</v>
      </c>
      <c r="D87" s="57" t="s">
        <v>3556</v>
      </c>
      <c r="E87" s="57" t="s">
        <v>3557</v>
      </c>
      <c r="F87" s="57" t="s">
        <v>3591</v>
      </c>
      <c r="G87" s="57" t="s">
        <v>3592</v>
      </c>
      <c r="H87" s="57" t="s">
        <v>3916</v>
      </c>
      <c r="I87" s="57" t="s">
        <v>3509</v>
      </c>
      <c r="J87" s="57" t="s">
        <v>3917</v>
      </c>
      <c r="K87" s="57" t="s">
        <v>3760</v>
      </c>
    </row>
    <row r="88" spans="1:11" ht="60" customHeight="1">
      <c r="A88" s="57" t="s">
        <v>3918</v>
      </c>
      <c r="B88" s="57" t="s">
        <v>3756</v>
      </c>
      <c r="C88" s="57" t="s">
        <v>3919</v>
      </c>
      <c r="D88" s="57" t="s">
        <v>3556</v>
      </c>
      <c r="E88" s="57" t="s">
        <v>3557</v>
      </c>
      <c r="F88" s="57" t="s">
        <v>3597</v>
      </c>
      <c r="G88" s="57" t="s">
        <v>3598</v>
      </c>
      <c r="H88" s="57" t="s">
        <v>3920</v>
      </c>
      <c r="I88" s="57" t="s">
        <v>3509</v>
      </c>
      <c r="J88" s="57" t="s">
        <v>3921</v>
      </c>
      <c r="K88" s="57" t="s">
        <v>3760</v>
      </c>
    </row>
    <row r="89" spans="1:11" ht="60" customHeight="1">
      <c r="A89" s="57" t="s">
        <v>3922</v>
      </c>
      <c r="B89" s="57" t="s">
        <v>3756</v>
      </c>
      <c r="C89" s="57" t="s">
        <v>3923</v>
      </c>
      <c r="D89" s="57" t="s">
        <v>3556</v>
      </c>
      <c r="E89" s="57" t="s">
        <v>3557</v>
      </c>
      <c r="F89" s="57" t="s">
        <v>3597</v>
      </c>
      <c r="G89" s="57" t="s">
        <v>3598</v>
      </c>
      <c r="H89" s="57" t="s">
        <v>3924</v>
      </c>
      <c r="I89" s="57" t="s">
        <v>3509</v>
      </c>
      <c r="J89" s="57" t="s">
        <v>3925</v>
      </c>
      <c r="K89" s="57" t="s">
        <v>3760</v>
      </c>
    </row>
    <row r="90" spans="1:11" ht="60" customHeight="1">
      <c r="A90" s="57" t="s">
        <v>3926</v>
      </c>
      <c r="B90" s="57" t="s">
        <v>3756</v>
      </c>
      <c r="C90" s="57" t="s">
        <v>3927</v>
      </c>
      <c r="D90" s="57" t="s">
        <v>3556</v>
      </c>
      <c r="E90" s="57" t="s">
        <v>3557</v>
      </c>
      <c r="F90" s="57" t="s">
        <v>3597</v>
      </c>
      <c r="G90" s="57" t="s">
        <v>3598</v>
      </c>
      <c r="H90" s="57" t="s">
        <v>3928</v>
      </c>
      <c r="I90" s="57" t="s">
        <v>3509</v>
      </c>
      <c r="J90" s="57" t="s">
        <v>3929</v>
      </c>
      <c r="K90" s="57" t="s">
        <v>3760</v>
      </c>
    </row>
    <row r="91" spans="1:11" ht="60" customHeight="1">
      <c r="A91" s="57" t="s">
        <v>3930</v>
      </c>
      <c r="B91" s="57" t="s">
        <v>3756</v>
      </c>
      <c r="C91" s="57" t="s">
        <v>3931</v>
      </c>
      <c r="D91" s="57" t="s">
        <v>3556</v>
      </c>
      <c r="E91" s="57" t="s">
        <v>3557</v>
      </c>
      <c r="F91" s="57" t="s">
        <v>3597</v>
      </c>
      <c r="G91" s="57" t="s">
        <v>3598</v>
      </c>
      <c r="H91" s="57" t="s">
        <v>3932</v>
      </c>
      <c r="I91" s="57" t="s">
        <v>3509</v>
      </c>
      <c r="J91" s="57" t="s">
        <v>3933</v>
      </c>
      <c r="K91" s="57" t="s">
        <v>3760</v>
      </c>
    </row>
    <row r="92" spans="1:11" ht="60" customHeight="1">
      <c r="A92" s="57" t="s">
        <v>3934</v>
      </c>
      <c r="B92" s="57" t="s">
        <v>3756</v>
      </c>
      <c r="C92" s="57" t="s">
        <v>3935</v>
      </c>
      <c r="D92" s="57" t="s">
        <v>3556</v>
      </c>
      <c r="E92" s="57" t="s">
        <v>3557</v>
      </c>
      <c r="F92" s="57" t="s">
        <v>3603</v>
      </c>
      <c r="G92" s="57" t="s">
        <v>3604</v>
      </c>
      <c r="H92" s="57" t="s">
        <v>3936</v>
      </c>
      <c r="I92" s="57" t="s">
        <v>3509</v>
      </c>
      <c r="J92" s="57" t="s">
        <v>3937</v>
      </c>
      <c r="K92" s="57" t="s">
        <v>3760</v>
      </c>
    </row>
    <row r="93" spans="1:11" ht="60" customHeight="1">
      <c r="A93" s="57" t="s">
        <v>3938</v>
      </c>
      <c r="B93" s="57" t="s">
        <v>3810</v>
      </c>
      <c r="C93" s="57" t="s">
        <v>3939</v>
      </c>
      <c r="D93" s="57" t="s">
        <v>3556</v>
      </c>
      <c r="E93" s="57" t="s">
        <v>3557</v>
      </c>
      <c r="F93" s="57" t="s">
        <v>3609</v>
      </c>
      <c r="G93" s="57" t="s">
        <v>3610</v>
      </c>
      <c r="H93" s="57" t="s">
        <v>3940</v>
      </c>
      <c r="I93" s="57" t="s">
        <v>3509</v>
      </c>
      <c r="J93" s="57" t="s">
        <v>3941</v>
      </c>
      <c r="K93" s="57" t="s">
        <v>3760</v>
      </c>
    </row>
    <row r="94" spans="1:11" ht="60" customHeight="1">
      <c r="A94" s="57" t="s">
        <v>3942</v>
      </c>
      <c r="B94" s="57" t="s">
        <v>3756</v>
      </c>
      <c r="C94" s="57" t="s">
        <v>3943</v>
      </c>
      <c r="D94" s="57" t="s">
        <v>3556</v>
      </c>
      <c r="E94" s="57" t="s">
        <v>3557</v>
      </c>
      <c r="F94" s="57" t="s">
        <v>3614</v>
      </c>
      <c r="G94" s="57" t="s">
        <v>3615</v>
      </c>
      <c r="H94" s="57" t="s">
        <v>3944</v>
      </c>
      <c r="I94" s="57" t="s">
        <v>3509</v>
      </c>
      <c r="J94" s="57" t="s">
        <v>3945</v>
      </c>
      <c r="K94" s="57" t="s">
        <v>3760</v>
      </c>
    </row>
    <row r="95" spans="1:11" ht="60" customHeight="1">
      <c r="A95" s="57" t="s">
        <v>3946</v>
      </c>
      <c r="B95" s="57" t="s">
        <v>3756</v>
      </c>
      <c r="C95" s="57" t="s">
        <v>3947</v>
      </c>
      <c r="D95" s="57" t="s">
        <v>3556</v>
      </c>
      <c r="E95" s="57" t="s">
        <v>3557</v>
      </c>
      <c r="F95" s="57" t="s">
        <v>3620</v>
      </c>
      <c r="G95" s="57" t="s">
        <v>3621</v>
      </c>
      <c r="H95" s="57" t="s">
        <v>3948</v>
      </c>
      <c r="I95" s="57" t="s">
        <v>3509</v>
      </c>
      <c r="J95" s="57" t="s">
        <v>3949</v>
      </c>
      <c r="K95" s="57" t="s">
        <v>3760</v>
      </c>
    </row>
    <row r="96" spans="1:11" ht="60" customHeight="1">
      <c r="A96" s="57" t="s">
        <v>3950</v>
      </c>
      <c r="B96" s="57" t="s">
        <v>3756</v>
      </c>
      <c r="C96" s="57" t="s">
        <v>3951</v>
      </c>
      <c r="D96" s="57" t="s">
        <v>3556</v>
      </c>
      <c r="E96" s="57" t="s">
        <v>3557</v>
      </c>
      <c r="F96" s="57" t="s">
        <v>3620</v>
      </c>
      <c r="G96" s="57" t="s">
        <v>3621</v>
      </c>
      <c r="H96" s="57" t="s">
        <v>3952</v>
      </c>
      <c r="I96" s="57" t="s">
        <v>3509</v>
      </c>
      <c r="J96" s="57" t="s">
        <v>3953</v>
      </c>
      <c r="K96" s="57" t="s">
        <v>3760</v>
      </c>
    </row>
    <row r="97" spans="1:11" ht="60" customHeight="1">
      <c r="A97" s="57" t="s">
        <v>3954</v>
      </c>
      <c r="B97" s="57" t="s">
        <v>3756</v>
      </c>
      <c r="C97" s="57" t="s">
        <v>3955</v>
      </c>
      <c r="D97" s="57" t="s">
        <v>3556</v>
      </c>
      <c r="E97" s="57" t="s">
        <v>3557</v>
      </c>
      <c r="F97" s="57" t="s">
        <v>3626</v>
      </c>
      <c r="G97" s="57" t="s">
        <v>3627</v>
      </c>
      <c r="H97" s="57" t="s">
        <v>3956</v>
      </c>
      <c r="I97" s="57" t="s">
        <v>3509</v>
      </c>
      <c r="J97" s="57" t="s">
        <v>3957</v>
      </c>
      <c r="K97" s="57" t="s">
        <v>3760</v>
      </c>
    </row>
    <row r="98" spans="1:11" ht="60" customHeight="1">
      <c r="A98" s="57" t="s">
        <v>3958</v>
      </c>
      <c r="B98" s="57" t="s">
        <v>3756</v>
      </c>
      <c r="C98" s="57" t="s">
        <v>3959</v>
      </c>
      <c r="D98" s="57" t="s">
        <v>3556</v>
      </c>
      <c r="E98" s="57" t="s">
        <v>3557</v>
      </c>
      <c r="F98" s="57" t="s">
        <v>3626</v>
      </c>
      <c r="G98" s="57" t="s">
        <v>3627</v>
      </c>
      <c r="H98" s="57" t="s">
        <v>3960</v>
      </c>
      <c r="I98" s="57" t="s">
        <v>3509</v>
      </c>
      <c r="J98" s="57" t="s">
        <v>3961</v>
      </c>
      <c r="K98" s="57" t="s">
        <v>3760</v>
      </c>
    </row>
    <row r="99" spans="1:11" ht="60" customHeight="1">
      <c r="A99" s="57" t="s">
        <v>3962</v>
      </c>
      <c r="B99" s="57" t="s">
        <v>3756</v>
      </c>
      <c r="C99" s="57" t="s">
        <v>3963</v>
      </c>
      <c r="D99" s="57" t="s">
        <v>3556</v>
      </c>
      <c r="E99" s="57" t="s">
        <v>3557</v>
      </c>
      <c r="F99" s="57" t="s">
        <v>3632</v>
      </c>
      <c r="G99" s="57" t="s">
        <v>3633</v>
      </c>
      <c r="H99" s="57" t="s">
        <v>3964</v>
      </c>
      <c r="I99" s="57" t="s">
        <v>3509</v>
      </c>
      <c r="J99" s="57" t="s">
        <v>3965</v>
      </c>
      <c r="K99" s="57" t="s">
        <v>3760</v>
      </c>
    </row>
    <row r="100" spans="1:11" ht="60" customHeight="1">
      <c r="A100" s="57" t="s">
        <v>3966</v>
      </c>
      <c r="B100" s="57" t="s">
        <v>3756</v>
      </c>
      <c r="C100" s="57" t="s">
        <v>3967</v>
      </c>
      <c r="D100" s="57" t="s">
        <v>3556</v>
      </c>
      <c r="E100" s="57" t="s">
        <v>3557</v>
      </c>
      <c r="F100" s="57" t="s">
        <v>3632</v>
      </c>
      <c r="G100" s="57" t="s">
        <v>3633</v>
      </c>
      <c r="H100" s="57" t="s">
        <v>3968</v>
      </c>
      <c r="I100" s="57" t="s">
        <v>3509</v>
      </c>
      <c r="J100" s="57" t="s">
        <v>3969</v>
      </c>
      <c r="K100" s="57" t="s">
        <v>3760</v>
      </c>
    </row>
    <row r="101" spans="1:11" ht="60" customHeight="1">
      <c r="A101" s="57" t="s">
        <v>3970</v>
      </c>
      <c r="B101" s="57" t="s">
        <v>3756</v>
      </c>
      <c r="C101" s="57" t="s">
        <v>3971</v>
      </c>
      <c r="D101" s="57" t="s">
        <v>1243</v>
      </c>
      <c r="E101" s="57" t="s">
        <v>1821</v>
      </c>
      <c r="F101" s="57" t="s">
        <v>3638</v>
      </c>
      <c r="G101" s="57" t="s">
        <v>3639</v>
      </c>
      <c r="H101" s="57" t="s">
        <v>3972</v>
      </c>
      <c r="I101" s="57" t="s">
        <v>3509</v>
      </c>
      <c r="J101" s="57" t="s">
        <v>3973</v>
      </c>
      <c r="K101" s="57" t="s">
        <v>3760</v>
      </c>
    </row>
    <row r="102" spans="1:11" ht="60" customHeight="1">
      <c r="A102" s="57" t="s">
        <v>3974</v>
      </c>
      <c r="B102" s="57" t="s">
        <v>3756</v>
      </c>
      <c r="C102" s="57" t="s">
        <v>3975</v>
      </c>
      <c r="D102" s="57" t="s">
        <v>1243</v>
      </c>
      <c r="E102" s="57" t="s">
        <v>1821</v>
      </c>
      <c r="F102" s="57" t="s">
        <v>3644</v>
      </c>
      <c r="G102" s="57" t="s">
        <v>3645</v>
      </c>
      <c r="H102" s="57" t="s">
        <v>3976</v>
      </c>
      <c r="I102" s="57" t="s">
        <v>3509</v>
      </c>
      <c r="J102" s="57" t="s">
        <v>3977</v>
      </c>
      <c r="K102" s="57" t="s">
        <v>3760</v>
      </c>
    </row>
    <row r="103" spans="1:11" ht="60" customHeight="1">
      <c r="A103" s="57" t="s">
        <v>3978</v>
      </c>
      <c r="B103" s="57" t="s">
        <v>3756</v>
      </c>
      <c r="C103" s="57" t="s">
        <v>3979</v>
      </c>
      <c r="D103" s="57" t="s">
        <v>1243</v>
      </c>
      <c r="E103" s="57" t="s">
        <v>1821</v>
      </c>
      <c r="F103" s="57" t="s">
        <v>1695</v>
      </c>
      <c r="G103" s="57" t="s">
        <v>3650</v>
      </c>
      <c r="H103" s="57" t="s">
        <v>3980</v>
      </c>
      <c r="I103" s="57" t="s">
        <v>3509</v>
      </c>
      <c r="J103" s="57" t="s">
        <v>3981</v>
      </c>
      <c r="K103" s="57" t="s">
        <v>3760</v>
      </c>
    </row>
    <row r="104" spans="1:11" ht="60" customHeight="1">
      <c r="A104" s="57" t="s">
        <v>3982</v>
      </c>
      <c r="B104" s="57" t="s">
        <v>3756</v>
      </c>
      <c r="C104" s="57" t="s">
        <v>3983</v>
      </c>
      <c r="D104" s="57" t="s">
        <v>1243</v>
      </c>
      <c r="E104" s="57" t="s">
        <v>1821</v>
      </c>
      <c r="F104" s="57" t="s">
        <v>1695</v>
      </c>
      <c r="G104" s="57" t="s">
        <v>3650</v>
      </c>
      <c r="H104" s="57" t="s">
        <v>3984</v>
      </c>
      <c r="I104" s="57" t="s">
        <v>3509</v>
      </c>
      <c r="J104" s="57" t="s">
        <v>3985</v>
      </c>
      <c r="K104" s="57" t="s">
        <v>3760</v>
      </c>
    </row>
    <row r="105" spans="1:11" ht="60" customHeight="1">
      <c r="A105" s="57" t="s">
        <v>3986</v>
      </c>
      <c r="B105" s="57" t="s">
        <v>3756</v>
      </c>
      <c r="C105" s="57" t="s">
        <v>3987</v>
      </c>
      <c r="D105" s="57" t="s">
        <v>1243</v>
      </c>
      <c r="E105" s="57" t="s">
        <v>1821</v>
      </c>
      <c r="F105" s="57" t="s">
        <v>1766</v>
      </c>
      <c r="G105" s="57" t="s">
        <v>3655</v>
      </c>
      <c r="H105" s="57" t="s">
        <v>3988</v>
      </c>
      <c r="I105" s="57" t="s">
        <v>3509</v>
      </c>
      <c r="J105" s="57" t="s">
        <v>3989</v>
      </c>
      <c r="K105" s="57" t="s">
        <v>3760</v>
      </c>
    </row>
    <row r="106" spans="1:11" ht="60" customHeight="1">
      <c r="A106" s="57" t="s">
        <v>3990</v>
      </c>
      <c r="B106" s="57" t="s">
        <v>3756</v>
      </c>
      <c r="C106" s="57" t="s">
        <v>3991</v>
      </c>
      <c r="D106" s="57" t="s">
        <v>3556</v>
      </c>
      <c r="E106" s="57" t="s">
        <v>3557</v>
      </c>
      <c r="F106" s="57" t="s">
        <v>3660</v>
      </c>
      <c r="G106" s="57" t="s">
        <v>3661</v>
      </c>
      <c r="H106" s="57" t="s">
        <v>3992</v>
      </c>
      <c r="I106" s="57" t="s">
        <v>3509</v>
      </c>
      <c r="J106" s="57" t="s">
        <v>3993</v>
      </c>
      <c r="K106" s="57" t="s">
        <v>3760</v>
      </c>
    </row>
    <row r="107" spans="1:11" ht="60" customHeight="1">
      <c r="A107" s="57" t="s">
        <v>3994</v>
      </c>
      <c r="B107" s="57" t="s">
        <v>3756</v>
      </c>
      <c r="C107" s="57" t="s">
        <v>3995</v>
      </c>
      <c r="D107" s="57" t="s">
        <v>3556</v>
      </c>
      <c r="E107" s="57" t="s">
        <v>3557</v>
      </c>
      <c r="F107" s="57" t="s">
        <v>3660</v>
      </c>
      <c r="G107" s="57" t="s">
        <v>3661</v>
      </c>
      <c r="H107" s="57" t="s">
        <v>3996</v>
      </c>
      <c r="I107" s="57" t="s">
        <v>3509</v>
      </c>
      <c r="J107" s="57" t="s">
        <v>3997</v>
      </c>
      <c r="K107" s="57" t="s">
        <v>3760</v>
      </c>
    </row>
    <row r="108" spans="1:11" ht="60" customHeight="1">
      <c r="A108" s="57" t="s">
        <v>3998</v>
      </c>
      <c r="B108" s="57" t="s">
        <v>3756</v>
      </c>
      <c r="C108" s="57" t="s">
        <v>3999</v>
      </c>
      <c r="D108" s="57" t="s">
        <v>3556</v>
      </c>
      <c r="E108" s="57" t="s">
        <v>3557</v>
      </c>
      <c r="F108" s="57" t="s">
        <v>3666</v>
      </c>
      <c r="G108" s="57" t="s">
        <v>3667</v>
      </c>
      <c r="H108" s="57" t="s">
        <v>4000</v>
      </c>
      <c r="I108" s="57" t="s">
        <v>3509</v>
      </c>
      <c r="J108" s="57" t="s">
        <v>4001</v>
      </c>
      <c r="K108" s="57" t="s">
        <v>3760</v>
      </c>
    </row>
    <row r="109" spans="1:11" ht="60" customHeight="1">
      <c r="A109" s="57" t="s">
        <v>4002</v>
      </c>
      <c r="B109" s="57" t="s">
        <v>3756</v>
      </c>
      <c r="C109" s="57" t="s">
        <v>4003</v>
      </c>
      <c r="D109" s="57" t="s">
        <v>3556</v>
      </c>
      <c r="E109" s="57" t="s">
        <v>3557</v>
      </c>
      <c r="F109" s="57" t="s">
        <v>3666</v>
      </c>
      <c r="G109" s="57" t="s">
        <v>3667</v>
      </c>
      <c r="H109" s="57" t="s">
        <v>4004</v>
      </c>
      <c r="I109" s="57" t="s">
        <v>3509</v>
      </c>
      <c r="J109" s="57" t="s">
        <v>4005</v>
      </c>
      <c r="K109" s="57" t="s">
        <v>3760</v>
      </c>
    </row>
    <row r="110" spans="1:11" ht="60" customHeight="1">
      <c r="A110" s="57" t="s">
        <v>4006</v>
      </c>
      <c r="B110" s="57" t="s">
        <v>3756</v>
      </c>
      <c r="C110" s="57" t="s">
        <v>4007</v>
      </c>
      <c r="D110" s="57" t="s">
        <v>1243</v>
      </c>
      <c r="E110" s="57" t="s">
        <v>1821</v>
      </c>
      <c r="F110" s="57" t="s">
        <v>1710</v>
      </c>
      <c r="G110" s="57" t="s">
        <v>3672</v>
      </c>
      <c r="H110" s="57" t="s">
        <v>4008</v>
      </c>
      <c r="I110" s="57" t="s">
        <v>3509</v>
      </c>
      <c r="J110" s="57" t="s">
        <v>4009</v>
      </c>
      <c r="K110" s="57" t="s">
        <v>3760</v>
      </c>
    </row>
    <row r="111" spans="1:11" ht="60" customHeight="1">
      <c r="A111" s="57" t="s">
        <v>4010</v>
      </c>
      <c r="B111" s="57" t="s">
        <v>3756</v>
      </c>
      <c r="C111" s="57" t="s">
        <v>4011</v>
      </c>
      <c r="D111" s="57" t="s">
        <v>1243</v>
      </c>
      <c r="E111" s="57" t="s">
        <v>1821</v>
      </c>
      <c r="F111" s="57" t="s">
        <v>1710</v>
      </c>
      <c r="G111" s="57" t="s">
        <v>3672</v>
      </c>
      <c r="H111" s="57" t="s">
        <v>4012</v>
      </c>
      <c r="I111" s="57" t="s">
        <v>3509</v>
      </c>
      <c r="J111" s="57" t="s">
        <v>4013</v>
      </c>
      <c r="K111" s="57" t="s">
        <v>3760</v>
      </c>
    </row>
    <row r="112" spans="1:11" ht="60" customHeight="1">
      <c r="A112" s="57" t="s">
        <v>4014</v>
      </c>
      <c r="B112" s="57" t="s">
        <v>3756</v>
      </c>
      <c r="C112" s="57" t="s">
        <v>4015</v>
      </c>
      <c r="D112" s="57" t="s">
        <v>1243</v>
      </c>
      <c r="E112" s="57" t="s">
        <v>1821</v>
      </c>
      <c r="F112" s="57" t="s">
        <v>1455</v>
      </c>
      <c r="G112" s="57" t="s">
        <v>3677</v>
      </c>
      <c r="H112" s="57" t="s">
        <v>4016</v>
      </c>
      <c r="I112" s="57" t="s">
        <v>3509</v>
      </c>
      <c r="J112" s="57" t="s">
        <v>4017</v>
      </c>
      <c r="K112" s="57" t="s">
        <v>3760</v>
      </c>
    </row>
    <row r="113" spans="1:11" ht="60" customHeight="1">
      <c r="A113" s="57" t="s">
        <v>4018</v>
      </c>
      <c r="B113" s="57" t="s">
        <v>3810</v>
      </c>
      <c r="C113" s="57" t="s">
        <v>4019</v>
      </c>
      <c r="D113" s="57" t="s">
        <v>1243</v>
      </c>
      <c r="E113" s="57" t="s">
        <v>1821</v>
      </c>
      <c r="F113" s="57" t="s">
        <v>1455</v>
      </c>
      <c r="G113" s="57" t="s">
        <v>3677</v>
      </c>
      <c r="H113" s="57" t="s">
        <v>4020</v>
      </c>
      <c r="I113" s="57" t="s">
        <v>3509</v>
      </c>
      <c r="J113" s="57" t="s">
        <v>4021</v>
      </c>
      <c r="K113" s="57" t="s">
        <v>3760</v>
      </c>
    </row>
    <row r="114" spans="1:11" ht="60" customHeight="1">
      <c r="A114" s="57" t="s">
        <v>4022</v>
      </c>
      <c r="B114" s="57" t="s">
        <v>3756</v>
      </c>
      <c r="C114" s="57" t="s">
        <v>4023</v>
      </c>
      <c r="D114" s="57" t="s">
        <v>1243</v>
      </c>
      <c r="E114" s="57" t="s">
        <v>1821</v>
      </c>
      <c r="F114" s="57" t="s">
        <v>1356</v>
      </c>
      <c r="G114" s="57" t="s">
        <v>3682</v>
      </c>
      <c r="H114" s="57" t="s">
        <v>4024</v>
      </c>
      <c r="I114" s="57" t="s">
        <v>3509</v>
      </c>
      <c r="J114" s="57" t="s">
        <v>4025</v>
      </c>
      <c r="K114" s="57" t="s">
        <v>3760</v>
      </c>
    </row>
    <row r="115" spans="1:11" ht="60" customHeight="1">
      <c r="A115" s="57" t="s">
        <v>4026</v>
      </c>
      <c r="B115" s="57" t="s">
        <v>3756</v>
      </c>
      <c r="C115" s="57" t="s">
        <v>4027</v>
      </c>
      <c r="D115" s="57" t="s">
        <v>1243</v>
      </c>
      <c r="E115" s="57" t="s">
        <v>1821</v>
      </c>
      <c r="F115" s="57" t="s">
        <v>1356</v>
      </c>
      <c r="G115" s="57" t="s">
        <v>3682</v>
      </c>
      <c r="H115" s="57" t="s">
        <v>4028</v>
      </c>
      <c r="I115" s="57" t="s">
        <v>3509</v>
      </c>
      <c r="J115" s="57" t="s">
        <v>4029</v>
      </c>
      <c r="K115" s="57" t="s">
        <v>3760</v>
      </c>
    </row>
    <row r="116" spans="1:11" ht="60" customHeight="1">
      <c r="A116" s="57" t="s">
        <v>4030</v>
      </c>
      <c r="B116" s="57" t="s">
        <v>3756</v>
      </c>
      <c r="C116" s="57" t="s">
        <v>4031</v>
      </c>
      <c r="D116" s="57" t="s">
        <v>3556</v>
      </c>
      <c r="E116" s="57" t="s">
        <v>3557</v>
      </c>
      <c r="F116" s="57" t="s">
        <v>3687</v>
      </c>
      <c r="G116" s="57" t="s">
        <v>3688</v>
      </c>
      <c r="H116" s="57" t="s">
        <v>4032</v>
      </c>
      <c r="I116" s="57" t="s">
        <v>3509</v>
      </c>
      <c r="J116" s="57" t="s">
        <v>4033</v>
      </c>
      <c r="K116" s="57" t="s">
        <v>3760</v>
      </c>
    </row>
    <row r="117" spans="1:11" ht="60" customHeight="1">
      <c r="A117" s="57" t="s">
        <v>4034</v>
      </c>
      <c r="B117" s="57" t="s">
        <v>3756</v>
      </c>
      <c r="C117" s="57" t="s">
        <v>4035</v>
      </c>
      <c r="D117" s="57" t="s">
        <v>3556</v>
      </c>
      <c r="E117" s="57" t="s">
        <v>3557</v>
      </c>
      <c r="F117" s="57" t="s">
        <v>3687</v>
      </c>
      <c r="G117" s="57" t="s">
        <v>3688</v>
      </c>
      <c r="H117" s="57" t="s">
        <v>4036</v>
      </c>
      <c r="I117" s="57" t="s">
        <v>3509</v>
      </c>
      <c r="J117" s="57" t="s">
        <v>4037</v>
      </c>
      <c r="K117" s="57" t="s">
        <v>3760</v>
      </c>
    </row>
    <row r="118" spans="1:11" ht="60" customHeight="1">
      <c r="A118" s="57" t="s">
        <v>4038</v>
      </c>
      <c r="B118" s="57" t="s">
        <v>3756</v>
      </c>
      <c r="C118" s="57" t="s">
        <v>4039</v>
      </c>
      <c r="D118" s="57" t="s">
        <v>3556</v>
      </c>
      <c r="E118" s="57" t="s">
        <v>3557</v>
      </c>
      <c r="F118" s="57" t="s">
        <v>3687</v>
      </c>
      <c r="G118" s="57" t="s">
        <v>3688</v>
      </c>
      <c r="H118" s="57" t="s">
        <v>4040</v>
      </c>
      <c r="I118" s="57" t="s">
        <v>3509</v>
      </c>
      <c r="J118" s="57" t="s">
        <v>4041</v>
      </c>
      <c r="K118" s="57" t="s">
        <v>3760</v>
      </c>
    </row>
    <row r="119" spans="1:11" ht="60" customHeight="1">
      <c r="A119" s="57" t="s">
        <v>4042</v>
      </c>
      <c r="B119" s="57" t="s">
        <v>3756</v>
      </c>
      <c r="C119" s="57" t="s">
        <v>4043</v>
      </c>
      <c r="D119" s="57" t="s">
        <v>3556</v>
      </c>
      <c r="E119" s="57" t="s">
        <v>3557</v>
      </c>
      <c r="F119" s="57" t="s">
        <v>3693</v>
      </c>
      <c r="G119" s="57" t="s">
        <v>3694</v>
      </c>
      <c r="H119" s="57" t="s">
        <v>4044</v>
      </c>
      <c r="I119" s="57" t="s">
        <v>3509</v>
      </c>
      <c r="J119" s="57" t="s">
        <v>4045</v>
      </c>
      <c r="K119" s="57" t="s">
        <v>3760</v>
      </c>
    </row>
    <row r="120" spans="1:11" ht="60" customHeight="1">
      <c r="A120" s="57" t="s">
        <v>4046</v>
      </c>
      <c r="B120" s="57" t="s">
        <v>3756</v>
      </c>
      <c r="C120" s="57" t="s">
        <v>4047</v>
      </c>
      <c r="D120" s="57" t="s">
        <v>3556</v>
      </c>
      <c r="E120" s="57" t="s">
        <v>3557</v>
      </c>
      <c r="F120" s="57" t="s">
        <v>3693</v>
      </c>
      <c r="G120" s="57" t="s">
        <v>3699</v>
      </c>
      <c r="H120" s="57" t="s">
        <v>4048</v>
      </c>
      <c r="I120" s="57" t="s">
        <v>3509</v>
      </c>
      <c r="J120" s="57" t="s">
        <v>4049</v>
      </c>
      <c r="K120" s="57" t="s">
        <v>3760</v>
      </c>
    </row>
    <row r="121" spans="1:11" ht="60" customHeight="1">
      <c r="A121" s="57" t="s">
        <v>4050</v>
      </c>
      <c r="B121" s="57" t="s">
        <v>3756</v>
      </c>
      <c r="C121" s="57" t="s">
        <v>4051</v>
      </c>
      <c r="D121" s="57" t="s">
        <v>3556</v>
      </c>
      <c r="E121" s="57" t="s">
        <v>3557</v>
      </c>
      <c r="F121" s="57" t="s">
        <v>3704</v>
      </c>
      <c r="G121" s="57" t="s">
        <v>3705</v>
      </c>
      <c r="H121" s="57" t="s">
        <v>4052</v>
      </c>
      <c r="I121" s="57" t="s">
        <v>3509</v>
      </c>
      <c r="J121" s="57" t="s">
        <v>4053</v>
      </c>
      <c r="K121" s="57" t="s">
        <v>3760</v>
      </c>
    </row>
    <row r="122" spans="1:11" ht="60" customHeight="1">
      <c r="A122" s="57" t="s">
        <v>4054</v>
      </c>
      <c r="B122" s="57" t="s">
        <v>3756</v>
      </c>
      <c r="C122" s="57" t="s">
        <v>4055</v>
      </c>
      <c r="D122" s="57" t="s">
        <v>3556</v>
      </c>
      <c r="E122" s="57" t="s">
        <v>3557</v>
      </c>
      <c r="F122" s="57" t="s">
        <v>3704</v>
      </c>
      <c r="G122" s="57" t="s">
        <v>3705</v>
      </c>
      <c r="H122" s="57" t="s">
        <v>4056</v>
      </c>
      <c r="I122" s="57" t="s">
        <v>3509</v>
      </c>
      <c r="J122" s="57" t="s">
        <v>4057</v>
      </c>
      <c r="K122" s="57" t="s">
        <v>3760</v>
      </c>
    </row>
    <row r="123" spans="1:11" ht="60" customHeight="1">
      <c r="A123" s="57" t="s">
        <v>4058</v>
      </c>
      <c r="B123" s="57" t="s">
        <v>3756</v>
      </c>
      <c r="C123" s="57" t="s">
        <v>4059</v>
      </c>
      <c r="D123" s="57" t="s">
        <v>3556</v>
      </c>
      <c r="E123" s="57" t="s">
        <v>3557</v>
      </c>
      <c r="F123" s="57" t="s">
        <v>3704</v>
      </c>
      <c r="G123" s="57" t="s">
        <v>3705</v>
      </c>
      <c r="H123" s="57" t="s">
        <v>4060</v>
      </c>
      <c r="I123" s="57" t="s">
        <v>3509</v>
      </c>
      <c r="J123" s="57" t="s">
        <v>4061</v>
      </c>
      <c r="K123" s="57" t="s">
        <v>3760</v>
      </c>
    </row>
    <row r="124" spans="1:11" ht="60" customHeight="1">
      <c r="A124" s="57" t="s">
        <v>4062</v>
      </c>
      <c r="B124" s="57" t="s">
        <v>3756</v>
      </c>
      <c r="C124" s="57" t="s">
        <v>4063</v>
      </c>
      <c r="D124" s="57" t="s">
        <v>1243</v>
      </c>
      <c r="E124" s="57" t="s">
        <v>1821</v>
      </c>
      <c r="F124" s="57" t="s">
        <v>1367</v>
      </c>
      <c r="G124" s="57" t="s">
        <v>3710</v>
      </c>
      <c r="H124" s="57" t="s">
        <v>4064</v>
      </c>
      <c r="I124" s="57" t="s">
        <v>3509</v>
      </c>
      <c r="J124" s="57" t="s">
        <v>4065</v>
      </c>
      <c r="K124" s="57" t="s">
        <v>3760</v>
      </c>
    </row>
    <row r="125" spans="1:11" ht="60" customHeight="1">
      <c r="A125" s="57" t="s">
        <v>4066</v>
      </c>
      <c r="B125" s="57" t="s">
        <v>3756</v>
      </c>
      <c r="C125" s="57" t="s">
        <v>4067</v>
      </c>
      <c r="D125" s="57" t="s">
        <v>1243</v>
      </c>
      <c r="E125" s="57" t="s">
        <v>1821</v>
      </c>
      <c r="F125" s="57" t="s">
        <v>1367</v>
      </c>
      <c r="G125" s="57" t="s">
        <v>3715</v>
      </c>
      <c r="H125" s="57" t="s">
        <v>4068</v>
      </c>
      <c r="I125" s="57" t="s">
        <v>3509</v>
      </c>
      <c r="J125" s="57" t="s">
        <v>4069</v>
      </c>
      <c r="K125" s="57" t="s">
        <v>3760</v>
      </c>
    </row>
    <row r="126" spans="1:11" ht="60" customHeight="1">
      <c r="A126" s="57" t="s">
        <v>4070</v>
      </c>
      <c r="B126" s="57" t="s">
        <v>3756</v>
      </c>
      <c r="C126" s="57" t="s">
        <v>4071</v>
      </c>
      <c r="D126" s="57" t="s">
        <v>3556</v>
      </c>
      <c r="E126" s="57" t="s">
        <v>3557</v>
      </c>
      <c r="F126" s="57" t="s">
        <v>3720</v>
      </c>
      <c r="G126" s="57" t="s">
        <v>3721</v>
      </c>
      <c r="H126" s="57" t="s">
        <v>4072</v>
      </c>
      <c r="I126" s="57" t="s">
        <v>3509</v>
      </c>
      <c r="J126" s="57" t="s">
        <v>4073</v>
      </c>
      <c r="K126" s="57" t="s">
        <v>3760</v>
      </c>
    </row>
    <row r="127" spans="1:11" ht="60" customHeight="1">
      <c r="A127" s="57" t="s">
        <v>4074</v>
      </c>
      <c r="B127" s="57" t="s">
        <v>3756</v>
      </c>
      <c r="C127" s="57" t="s">
        <v>4075</v>
      </c>
      <c r="D127" s="57" t="s">
        <v>3556</v>
      </c>
      <c r="E127" s="57" t="s">
        <v>3557</v>
      </c>
      <c r="F127" s="57" t="s">
        <v>3720</v>
      </c>
      <c r="G127" s="57" t="s">
        <v>3721</v>
      </c>
      <c r="H127" s="57" t="s">
        <v>4076</v>
      </c>
      <c r="I127" s="57" t="s">
        <v>3509</v>
      </c>
      <c r="J127" s="57" t="s">
        <v>4077</v>
      </c>
      <c r="K127" s="57" t="s">
        <v>3760</v>
      </c>
    </row>
    <row r="128" spans="1:11" ht="60" customHeight="1">
      <c r="A128" s="57" t="s">
        <v>4078</v>
      </c>
      <c r="B128" s="57" t="s">
        <v>3756</v>
      </c>
      <c r="C128" s="57" t="s">
        <v>4079</v>
      </c>
      <c r="D128" s="57" t="s">
        <v>1243</v>
      </c>
      <c r="E128" s="57" t="s">
        <v>1821</v>
      </c>
      <c r="F128" s="57" t="s">
        <v>1384</v>
      </c>
      <c r="G128" s="57" t="s">
        <v>3726</v>
      </c>
      <c r="H128" s="57" t="s">
        <v>4080</v>
      </c>
      <c r="I128" s="57" t="s">
        <v>3509</v>
      </c>
      <c r="J128" s="57" t="s">
        <v>4081</v>
      </c>
      <c r="K128" s="57" t="s">
        <v>3760</v>
      </c>
    </row>
    <row r="129" spans="1:11" ht="60" customHeight="1">
      <c r="A129" s="57" t="s">
        <v>4082</v>
      </c>
      <c r="B129" s="57" t="s">
        <v>3756</v>
      </c>
      <c r="C129" s="57" t="s">
        <v>4083</v>
      </c>
      <c r="D129" s="57" t="s">
        <v>1243</v>
      </c>
      <c r="E129" s="57" t="s">
        <v>1821</v>
      </c>
      <c r="F129" s="57" t="s">
        <v>1377</v>
      </c>
      <c r="G129" s="57" t="s">
        <v>3731</v>
      </c>
      <c r="H129" s="57" t="s">
        <v>4084</v>
      </c>
      <c r="I129" s="57" t="s">
        <v>3509</v>
      </c>
      <c r="J129" s="57" t="s">
        <v>4085</v>
      </c>
      <c r="K129" s="57" t="s">
        <v>3760</v>
      </c>
    </row>
    <row r="130" spans="1:11" ht="60" customHeight="1">
      <c r="A130" s="57" t="s">
        <v>4086</v>
      </c>
      <c r="B130" s="57" t="s">
        <v>3756</v>
      </c>
      <c r="C130" s="57" t="s">
        <v>4087</v>
      </c>
      <c r="D130" s="57" t="s">
        <v>1243</v>
      </c>
      <c r="E130" s="57" t="s">
        <v>1821</v>
      </c>
      <c r="F130" s="57" t="s">
        <v>1377</v>
      </c>
      <c r="G130" s="57" t="s">
        <v>3731</v>
      </c>
      <c r="H130" s="57" t="s">
        <v>4088</v>
      </c>
      <c r="I130" s="57" t="s">
        <v>3509</v>
      </c>
      <c r="J130" s="57" t="s">
        <v>4089</v>
      </c>
      <c r="K130" s="57" t="s">
        <v>3760</v>
      </c>
    </row>
    <row r="131" spans="1:11" ht="60" customHeight="1">
      <c r="A131" s="57" t="s">
        <v>4090</v>
      </c>
      <c r="B131" s="57" t="s">
        <v>3756</v>
      </c>
      <c r="C131" s="57" t="s">
        <v>4091</v>
      </c>
      <c r="D131" s="57" t="s">
        <v>1243</v>
      </c>
      <c r="E131" s="57" t="s">
        <v>1821</v>
      </c>
      <c r="F131" s="57" t="s">
        <v>1377</v>
      </c>
      <c r="G131" s="57" t="s">
        <v>3731</v>
      </c>
      <c r="H131" s="57" t="s">
        <v>4092</v>
      </c>
      <c r="I131" s="57" t="s">
        <v>3509</v>
      </c>
      <c r="J131" s="57" t="s">
        <v>4093</v>
      </c>
      <c r="K131" s="57" t="s">
        <v>3760</v>
      </c>
    </row>
    <row r="132" spans="1:11" ht="60" customHeight="1">
      <c r="A132" s="57" t="s">
        <v>4094</v>
      </c>
      <c r="B132" s="57" t="s">
        <v>3810</v>
      </c>
      <c r="C132" s="57" t="s">
        <v>4095</v>
      </c>
      <c r="D132" s="57" t="s">
        <v>108</v>
      </c>
      <c r="E132" s="57" t="s">
        <v>1791</v>
      </c>
      <c r="F132" s="57" t="s">
        <v>3514</v>
      </c>
      <c r="G132" s="57" t="s">
        <v>3737</v>
      </c>
      <c r="H132" s="57" t="s">
        <v>4096</v>
      </c>
      <c r="I132" s="57" t="s">
        <v>3509</v>
      </c>
      <c r="J132" s="57" t="s">
        <v>4097</v>
      </c>
      <c r="K132" s="57" t="s">
        <v>3760</v>
      </c>
    </row>
    <row r="133" spans="1:11" ht="60" customHeight="1">
      <c r="A133" s="57" t="s">
        <v>4098</v>
      </c>
      <c r="B133" s="57" t="s">
        <v>3756</v>
      </c>
      <c r="C133" s="57" t="s">
        <v>4099</v>
      </c>
      <c r="D133" s="57" t="s">
        <v>1243</v>
      </c>
      <c r="E133" s="57" t="s">
        <v>1821</v>
      </c>
      <c r="F133" s="57" t="s">
        <v>812</v>
      </c>
      <c r="G133" s="57" t="s">
        <v>3745</v>
      </c>
      <c r="H133" s="57" t="s">
        <v>4100</v>
      </c>
      <c r="I133" s="57" t="s">
        <v>3509</v>
      </c>
      <c r="J133" s="57" t="s">
        <v>4101</v>
      </c>
      <c r="K133" s="57" t="s">
        <v>3760</v>
      </c>
    </row>
    <row r="134" spans="1:11" ht="60" customHeight="1">
      <c r="A134" s="57" t="s">
        <v>4102</v>
      </c>
      <c r="B134" s="57" t="s">
        <v>3810</v>
      </c>
      <c r="C134" s="57" t="s">
        <v>4103</v>
      </c>
      <c r="D134" s="57" t="s">
        <v>1243</v>
      </c>
      <c r="E134" s="57" t="s">
        <v>1821</v>
      </c>
      <c r="F134" s="57" t="s">
        <v>812</v>
      </c>
      <c r="G134" s="57" t="s">
        <v>3754</v>
      </c>
      <c r="H134" s="57" t="s">
        <v>4104</v>
      </c>
      <c r="I134" s="57" t="s">
        <v>3509</v>
      </c>
      <c r="J134" s="57" t="s">
        <v>4105</v>
      </c>
      <c r="K134" s="57" t="s">
        <v>3760</v>
      </c>
    </row>
    <row r="135" spans="1:11" ht="60" customHeight="1">
      <c r="A135" s="57" t="s">
        <v>4106</v>
      </c>
      <c r="B135" s="57" t="s">
        <v>4107</v>
      </c>
      <c r="C135" s="57" t="s">
        <v>4108</v>
      </c>
      <c r="D135" s="57" t="s">
        <v>3556</v>
      </c>
      <c r="E135" s="57" t="s">
        <v>3557</v>
      </c>
      <c r="F135" s="57" t="s">
        <v>4109</v>
      </c>
      <c r="G135" s="57" t="s">
        <v>4110</v>
      </c>
      <c r="H135" s="57" t="s">
        <v>4106</v>
      </c>
      <c r="I135" s="57" t="s">
        <v>3509</v>
      </c>
      <c r="J135" s="57" t="s">
        <v>4111</v>
      </c>
      <c r="K135" s="57" t="s">
        <v>3739</v>
      </c>
    </row>
    <row r="136" spans="1:11" ht="60" customHeight="1">
      <c r="A136" s="57" t="s">
        <v>4112</v>
      </c>
      <c r="B136" s="57" t="s">
        <v>4107</v>
      </c>
      <c r="C136" s="57" t="s">
        <v>4113</v>
      </c>
      <c r="D136" s="57" t="s">
        <v>3556</v>
      </c>
      <c r="E136" s="57" t="s">
        <v>3557</v>
      </c>
      <c r="F136" s="57" t="s">
        <v>4109</v>
      </c>
      <c r="G136" s="57" t="s">
        <v>4110</v>
      </c>
      <c r="H136" s="57" t="s">
        <v>4112</v>
      </c>
      <c r="I136" s="57" t="s">
        <v>3509</v>
      </c>
      <c r="J136" s="57" t="s">
        <v>4111</v>
      </c>
      <c r="K136" s="57" t="s">
        <v>3739</v>
      </c>
    </row>
    <row r="137" spans="1:11" ht="60" customHeight="1">
      <c r="A137" s="57" t="s">
        <v>4114</v>
      </c>
      <c r="B137" s="57" t="s">
        <v>4107</v>
      </c>
      <c r="C137" s="57" t="s">
        <v>4115</v>
      </c>
      <c r="D137" s="57" t="s">
        <v>3556</v>
      </c>
      <c r="E137" s="57" t="s">
        <v>3557</v>
      </c>
      <c r="F137" s="57" t="s">
        <v>4109</v>
      </c>
      <c r="G137" s="57" t="s">
        <v>4110</v>
      </c>
      <c r="H137" s="57" t="s">
        <v>4114</v>
      </c>
      <c r="I137" s="57" t="s">
        <v>3509</v>
      </c>
      <c r="J137" s="57" t="s">
        <v>4111</v>
      </c>
      <c r="K137" s="57" t="s">
        <v>3739</v>
      </c>
    </row>
    <row r="138" spans="1:11" ht="60" customHeight="1">
      <c r="A138" s="57" t="s">
        <v>4116</v>
      </c>
      <c r="B138" s="57" t="s">
        <v>4107</v>
      </c>
      <c r="C138" s="57" t="s">
        <v>4117</v>
      </c>
      <c r="D138" s="57" t="s">
        <v>3556</v>
      </c>
      <c r="E138" s="57" t="s">
        <v>3557</v>
      </c>
      <c r="F138" s="57" t="s">
        <v>4109</v>
      </c>
      <c r="G138" s="57" t="s">
        <v>4118</v>
      </c>
      <c r="H138" s="57" t="s">
        <v>4116</v>
      </c>
      <c r="I138" s="57" t="s">
        <v>3509</v>
      </c>
      <c r="J138" s="57" t="s">
        <v>4111</v>
      </c>
      <c r="K138" s="57" t="s">
        <v>3739</v>
      </c>
    </row>
    <row r="139" spans="1:11" ht="60" customHeight="1">
      <c r="A139" s="57" t="s">
        <v>4119</v>
      </c>
      <c r="B139" s="57" t="s">
        <v>4107</v>
      </c>
      <c r="C139" s="57" t="s">
        <v>4120</v>
      </c>
      <c r="D139" s="57" t="s">
        <v>3556</v>
      </c>
      <c r="E139" s="57" t="s">
        <v>3557</v>
      </c>
      <c r="F139" s="57" t="s">
        <v>4109</v>
      </c>
      <c r="G139" s="57" t="s">
        <v>4118</v>
      </c>
      <c r="H139" s="57" t="s">
        <v>4119</v>
      </c>
      <c r="I139" s="57" t="s">
        <v>3509</v>
      </c>
      <c r="J139" s="57" t="s">
        <v>4111</v>
      </c>
      <c r="K139" s="57" t="s">
        <v>3739</v>
      </c>
    </row>
    <row r="140" spans="1:11" ht="60" customHeight="1">
      <c r="A140" s="57" t="s">
        <v>4121</v>
      </c>
      <c r="B140" s="57" t="s">
        <v>4107</v>
      </c>
      <c r="C140" s="57" t="s">
        <v>4122</v>
      </c>
      <c r="D140" s="57" t="s">
        <v>3556</v>
      </c>
      <c r="E140" s="57" t="s">
        <v>3557</v>
      </c>
      <c r="F140" s="57" t="s">
        <v>4109</v>
      </c>
      <c r="G140" s="57" t="s">
        <v>4118</v>
      </c>
      <c r="H140" s="57" t="s">
        <v>4121</v>
      </c>
      <c r="I140" s="57" t="s">
        <v>3509</v>
      </c>
      <c r="J140" s="57" t="s">
        <v>4111</v>
      </c>
      <c r="K140" s="57" t="s">
        <v>3739</v>
      </c>
    </row>
    <row r="141" spans="1:11" ht="60" customHeight="1">
      <c r="A141" s="57" t="s">
        <v>4123</v>
      </c>
      <c r="B141" s="57" t="s">
        <v>4107</v>
      </c>
      <c r="C141" s="57" t="s">
        <v>4124</v>
      </c>
      <c r="D141" s="57" t="s">
        <v>3556</v>
      </c>
      <c r="E141" s="57" t="s">
        <v>3557</v>
      </c>
      <c r="F141" s="57" t="s">
        <v>4109</v>
      </c>
      <c r="G141" s="57" t="s">
        <v>4118</v>
      </c>
      <c r="H141" s="57" t="s">
        <v>4123</v>
      </c>
      <c r="I141" s="57" t="s">
        <v>3509</v>
      </c>
      <c r="J141" s="57" t="s">
        <v>4111</v>
      </c>
      <c r="K141" s="57" t="s">
        <v>3739</v>
      </c>
    </row>
    <row r="142" spans="1:11" ht="60" customHeight="1">
      <c r="A142" s="57" t="s">
        <v>4125</v>
      </c>
      <c r="B142" s="57" t="s">
        <v>4107</v>
      </c>
      <c r="C142" s="57" t="s">
        <v>4126</v>
      </c>
      <c r="D142" s="57" t="s">
        <v>3556</v>
      </c>
      <c r="E142" s="57" t="s">
        <v>3557</v>
      </c>
      <c r="F142" s="57" t="s">
        <v>4109</v>
      </c>
      <c r="G142" s="57" t="s">
        <v>4118</v>
      </c>
      <c r="H142" s="57" t="s">
        <v>4125</v>
      </c>
      <c r="I142" s="57" t="s">
        <v>3509</v>
      </c>
      <c r="J142" s="57" t="s">
        <v>4111</v>
      </c>
      <c r="K142" s="57" t="s">
        <v>3739</v>
      </c>
    </row>
    <row r="143" spans="1:11" ht="60" customHeight="1">
      <c r="A143" s="57" t="s">
        <v>4127</v>
      </c>
      <c r="B143" s="57" t="s">
        <v>4107</v>
      </c>
      <c r="C143" s="57" t="s">
        <v>4128</v>
      </c>
      <c r="D143" s="57" t="s">
        <v>3556</v>
      </c>
      <c r="E143" s="57" t="s">
        <v>3557</v>
      </c>
      <c r="F143" s="57" t="s">
        <v>4109</v>
      </c>
      <c r="G143" s="57" t="s">
        <v>4118</v>
      </c>
      <c r="H143" s="57" t="s">
        <v>4127</v>
      </c>
      <c r="I143" s="57" t="s">
        <v>3509</v>
      </c>
      <c r="J143" s="57" t="s">
        <v>4111</v>
      </c>
      <c r="K143" s="57" t="s">
        <v>3739</v>
      </c>
    </row>
    <row r="144" spans="1:11" ht="60" customHeight="1">
      <c r="A144" s="57" t="s">
        <v>4129</v>
      </c>
      <c r="B144" s="57" t="s">
        <v>4107</v>
      </c>
      <c r="C144" s="57" t="s">
        <v>4130</v>
      </c>
      <c r="D144" s="57" t="s">
        <v>3556</v>
      </c>
      <c r="E144" s="57" t="s">
        <v>3557</v>
      </c>
      <c r="F144" s="57" t="s">
        <v>4109</v>
      </c>
      <c r="G144" s="57" t="s">
        <v>4118</v>
      </c>
      <c r="H144" s="57" t="s">
        <v>4129</v>
      </c>
      <c r="I144" s="57" t="s">
        <v>3509</v>
      </c>
      <c r="J144" s="57" t="s">
        <v>4111</v>
      </c>
      <c r="K144" s="57" t="s">
        <v>3739</v>
      </c>
    </row>
    <row r="145" spans="1:11" ht="60" customHeight="1">
      <c r="A145" s="57" t="s">
        <v>4131</v>
      </c>
      <c r="B145" s="57" t="s">
        <v>4107</v>
      </c>
      <c r="C145" s="57" t="s">
        <v>4132</v>
      </c>
      <c r="D145" s="57" t="s">
        <v>3556</v>
      </c>
      <c r="E145" s="57" t="s">
        <v>3557</v>
      </c>
      <c r="F145" s="57" t="s">
        <v>4109</v>
      </c>
      <c r="G145" s="57" t="s">
        <v>4118</v>
      </c>
      <c r="H145" s="57" t="s">
        <v>4131</v>
      </c>
      <c r="I145" s="57" t="s">
        <v>3509</v>
      </c>
      <c r="J145" s="57" t="s">
        <v>4111</v>
      </c>
      <c r="K145" s="57" t="s">
        <v>3739</v>
      </c>
    </row>
    <row r="146" spans="1:11" ht="60" customHeight="1">
      <c r="A146" s="57" t="s">
        <v>4133</v>
      </c>
      <c r="B146" s="57" t="s">
        <v>4107</v>
      </c>
      <c r="C146" s="57" t="s">
        <v>4134</v>
      </c>
      <c r="D146" s="57" t="s">
        <v>3556</v>
      </c>
      <c r="E146" s="57" t="s">
        <v>3557</v>
      </c>
      <c r="F146" s="57" t="s">
        <v>4109</v>
      </c>
      <c r="G146" s="57" t="s">
        <v>4118</v>
      </c>
      <c r="H146" s="57" t="s">
        <v>4133</v>
      </c>
      <c r="I146" s="57" t="s">
        <v>3509</v>
      </c>
      <c r="J146" s="57" t="s">
        <v>4111</v>
      </c>
      <c r="K146" s="57" t="s">
        <v>3739</v>
      </c>
    </row>
    <row r="147" spans="1:11" ht="60" customHeight="1">
      <c r="A147" s="57" t="s">
        <v>4135</v>
      </c>
      <c r="B147" s="57" t="s">
        <v>4107</v>
      </c>
      <c r="C147" s="57" t="s">
        <v>4136</v>
      </c>
      <c r="D147" s="57" t="s">
        <v>3556</v>
      </c>
      <c r="E147" s="57" t="s">
        <v>3557</v>
      </c>
      <c r="F147" s="57" t="s">
        <v>4109</v>
      </c>
      <c r="G147" s="57" t="s">
        <v>4118</v>
      </c>
      <c r="H147" s="57" t="s">
        <v>4135</v>
      </c>
      <c r="I147" s="57" t="s">
        <v>3509</v>
      </c>
      <c r="J147" s="57" t="s">
        <v>4111</v>
      </c>
      <c r="K147" s="57" t="s">
        <v>3739</v>
      </c>
    </row>
    <row r="148" spans="1:11" ht="60" customHeight="1">
      <c r="A148" s="57" t="s">
        <v>4137</v>
      </c>
      <c r="B148" s="57" t="s">
        <v>4107</v>
      </c>
      <c r="C148" s="57" t="s">
        <v>4138</v>
      </c>
      <c r="D148" s="57" t="s">
        <v>3556</v>
      </c>
      <c r="E148" s="57" t="s">
        <v>3557</v>
      </c>
      <c r="F148" s="57" t="s">
        <v>4109</v>
      </c>
      <c r="G148" s="57" t="s">
        <v>4118</v>
      </c>
      <c r="H148" s="57" t="s">
        <v>4137</v>
      </c>
      <c r="I148" s="57" t="s">
        <v>3509</v>
      </c>
      <c r="J148" s="57" t="s">
        <v>4111</v>
      </c>
      <c r="K148" s="57" t="s">
        <v>3739</v>
      </c>
    </row>
    <row r="149" spans="1:11" ht="60" customHeight="1">
      <c r="A149" s="57" t="s">
        <v>4139</v>
      </c>
      <c r="B149" s="57" t="s">
        <v>4107</v>
      </c>
      <c r="C149" s="57" t="s">
        <v>4140</v>
      </c>
      <c r="D149" s="57" t="s">
        <v>3556</v>
      </c>
      <c r="E149" s="57" t="s">
        <v>3557</v>
      </c>
      <c r="F149" s="57" t="s">
        <v>4109</v>
      </c>
      <c r="G149" s="57" t="s">
        <v>4118</v>
      </c>
      <c r="H149" s="57" t="s">
        <v>4139</v>
      </c>
      <c r="I149" s="57" t="s">
        <v>3509</v>
      </c>
      <c r="J149" s="57" t="s">
        <v>4111</v>
      </c>
      <c r="K149" s="57" t="s">
        <v>3739</v>
      </c>
    </row>
    <row r="150" spans="1:11" ht="60" customHeight="1">
      <c r="A150" s="57" t="s">
        <v>4141</v>
      </c>
      <c r="B150" s="57" t="s">
        <v>4107</v>
      </c>
      <c r="C150" s="57" t="s">
        <v>4142</v>
      </c>
      <c r="D150" s="57" t="s">
        <v>3556</v>
      </c>
      <c r="E150" s="57" t="s">
        <v>3557</v>
      </c>
      <c r="F150" s="57" t="s">
        <v>4109</v>
      </c>
      <c r="G150" s="57" t="s">
        <v>4118</v>
      </c>
      <c r="H150" s="57" t="s">
        <v>4141</v>
      </c>
      <c r="I150" s="57" t="s">
        <v>3509</v>
      </c>
      <c r="J150" s="57" t="s">
        <v>4111</v>
      </c>
      <c r="K150" s="57" t="s">
        <v>3739</v>
      </c>
    </row>
    <row r="151" spans="1:11" ht="60" customHeight="1">
      <c r="A151" s="57" t="s">
        <v>4143</v>
      </c>
      <c r="B151" s="57" t="s">
        <v>4107</v>
      </c>
      <c r="C151" s="57" t="s">
        <v>4144</v>
      </c>
      <c r="D151" s="57" t="s">
        <v>3556</v>
      </c>
      <c r="E151" s="57" t="s">
        <v>3557</v>
      </c>
      <c r="F151" s="57" t="s">
        <v>4109</v>
      </c>
      <c r="G151" s="57" t="s">
        <v>4145</v>
      </c>
      <c r="H151" s="57" t="s">
        <v>4143</v>
      </c>
      <c r="I151" s="57" t="s">
        <v>3509</v>
      </c>
      <c r="J151" s="57" t="s">
        <v>4111</v>
      </c>
      <c r="K151" s="57" t="s">
        <v>3739</v>
      </c>
    </row>
    <row r="152" spans="1:11" ht="60" customHeight="1">
      <c r="A152" s="57" t="s">
        <v>4146</v>
      </c>
      <c r="B152" s="57" t="s">
        <v>4107</v>
      </c>
      <c r="C152" s="57" t="s">
        <v>4147</v>
      </c>
      <c r="D152" s="57" t="s">
        <v>3556</v>
      </c>
      <c r="E152" s="57" t="s">
        <v>3557</v>
      </c>
      <c r="F152" s="57" t="s">
        <v>4109</v>
      </c>
      <c r="G152" s="57" t="s">
        <v>4145</v>
      </c>
      <c r="H152" s="57" t="s">
        <v>4146</v>
      </c>
      <c r="I152" s="57" t="s">
        <v>3509</v>
      </c>
      <c r="J152" s="57" t="s">
        <v>4111</v>
      </c>
      <c r="K152" s="57" t="s">
        <v>3739</v>
      </c>
    </row>
    <row r="153" spans="1:11" ht="60" customHeight="1">
      <c r="A153" s="57" t="s">
        <v>4148</v>
      </c>
      <c r="B153" s="57" t="s">
        <v>4107</v>
      </c>
      <c r="C153" s="57" t="s">
        <v>4149</v>
      </c>
      <c r="D153" s="57" t="s">
        <v>3556</v>
      </c>
      <c r="E153" s="57" t="s">
        <v>3557</v>
      </c>
      <c r="F153" s="57" t="s">
        <v>4109</v>
      </c>
      <c r="G153" s="57" t="s">
        <v>4145</v>
      </c>
      <c r="H153" s="57" t="s">
        <v>4148</v>
      </c>
      <c r="I153" s="57" t="s">
        <v>3509</v>
      </c>
      <c r="J153" s="57" t="s">
        <v>4111</v>
      </c>
      <c r="K153" s="57" t="s">
        <v>3739</v>
      </c>
    </row>
    <row r="154" spans="1:11" ht="60" customHeight="1">
      <c r="A154" s="57" t="s">
        <v>4150</v>
      </c>
      <c r="B154" s="57" t="s">
        <v>4107</v>
      </c>
      <c r="C154" s="57" t="s">
        <v>4151</v>
      </c>
      <c r="D154" s="57" t="s">
        <v>3556</v>
      </c>
      <c r="E154" s="57" t="s">
        <v>3557</v>
      </c>
      <c r="F154" s="57" t="s">
        <v>4109</v>
      </c>
      <c r="G154" s="57" t="s">
        <v>4145</v>
      </c>
      <c r="H154" s="57" t="s">
        <v>4150</v>
      </c>
      <c r="I154" s="57" t="s">
        <v>3509</v>
      </c>
      <c r="J154" s="57" t="s">
        <v>4111</v>
      </c>
      <c r="K154" s="57" t="s">
        <v>3739</v>
      </c>
    </row>
    <row r="155" spans="1:11" ht="60" customHeight="1">
      <c r="A155" s="57" t="s">
        <v>4152</v>
      </c>
      <c r="B155" s="57" t="s">
        <v>4107</v>
      </c>
      <c r="C155" s="57" t="s">
        <v>4153</v>
      </c>
      <c r="D155" s="57" t="s">
        <v>3556</v>
      </c>
      <c r="E155" s="57" t="s">
        <v>3557</v>
      </c>
      <c r="F155" s="57" t="s">
        <v>4109</v>
      </c>
      <c r="G155" s="57" t="s">
        <v>4145</v>
      </c>
      <c r="H155" s="57" t="s">
        <v>4152</v>
      </c>
      <c r="I155" s="57" t="s">
        <v>3509</v>
      </c>
      <c r="J155" s="57" t="s">
        <v>4111</v>
      </c>
      <c r="K155" s="57" t="s">
        <v>3739</v>
      </c>
    </row>
    <row r="156" spans="1:11" ht="60" customHeight="1">
      <c r="A156" s="57" t="s">
        <v>4154</v>
      </c>
      <c r="B156" s="57" t="s">
        <v>4107</v>
      </c>
      <c r="C156" s="57" t="s">
        <v>4155</v>
      </c>
      <c r="D156" s="57" t="s">
        <v>3556</v>
      </c>
      <c r="E156" s="57" t="s">
        <v>3557</v>
      </c>
      <c r="F156" s="57" t="s">
        <v>4109</v>
      </c>
      <c r="G156" s="57" t="s">
        <v>4145</v>
      </c>
      <c r="H156" s="57" t="s">
        <v>4154</v>
      </c>
      <c r="I156" s="57" t="s">
        <v>3509</v>
      </c>
      <c r="J156" s="57" t="s">
        <v>4111</v>
      </c>
      <c r="K156" s="57" t="s">
        <v>3739</v>
      </c>
    </row>
    <row r="157" spans="1:11" ht="60" customHeight="1">
      <c r="A157" s="57" t="s">
        <v>4156</v>
      </c>
      <c r="B157" s="57" t="s">
        <v>4107</v>
      </c>
      <c r="C157" s="57" t="s">
        <v>4157</v>
      </c>
      <c r="D157" s="57" t="s">
        <v>3556</v>
      </c>
      <c r="E157" s="57" t="s">
        <v>3557</v>
      </c>
      <c r="F157" s="57" t="s">
        <v>4109</v>
      </c>
      <c r="G157" s="57" t="s">
        <v>4145</v>
      </c>
      <c r="H157" s="57" t="s">
        <v>4156</v>
      </c>
      <c r="I157" s="57" t="s">
        <v>3509</v>
      </c>
      <c r="J157" s="57" t="s">
        <v>4111</v>
      </c>
      <c r="K157" s="57" t="s">
        <v>3739</v>
      </c>
    </row>
    <row r="158" spans="1:11" ht="60" customHeight="1">
      <c r="A158" s="57" t="s">
        <v>4158</v>
      </c>
      <c r="B158" s="57" t="s">
        <v>4107</v>
      </c>
      <c r="C158" s="57" t="s">
        <v>4159</v>
      </c>
      <c r="D158" s="57" t="s">
        <v>3556</v>
      </c>
      <c r="E158" s="57" t="s">
        <v>3557</v>
      </c>
      <c r="F158" s="57" t="s">
        <v>4109</v>
      </c>
      <c r="G158" s="57" t="s">
        <v>4160</v>
      </c>
      <c r="H158" s="57" t="s">
        <v>4158</v>
      </c>
      <c r="I158" s="57" t="s">
        <v>3509</v>
      </c>
      <c r="J158" s="57" t="s">
        <v>4111</v>
      </c>
      <c r="K158" s="57" t="s">
        <v>3739</v>
      </c>
    </row>
    <row r="159" spans="1:11" ht="60" customHeight="1">
      <c r="A159" s="57" t="s">
        <v>4161</v>
      </c>
      <c r="B159" s="57" t="s">
        <v>4107</v>
      </c>
      <c r="C159" s="57" t="s">
        <v>4162</v>
      </c>
      <c r="D159" s="57" t="s">
        <v>3556</v>
      </c>
      <c r="E159" s="57" t="s">
        <v>3557</v>
      </c>
      <c r="F159" s="57" t="s">
        <v>4109</v>
      </c>
      <c r="G159" s="57" t="s">
        <v>4160</v>
      </c>
      <c r="H159" s="57" t="s">
        <v>4161</v>
      </c>
      <c r="I159" s="57" t="s">
        <v>3509</v>
      </c>
      <c r="J159" s="57" t="s">
        <v>4111</v>
      </c>
      <c r="K159" s="57" t="s">
        <v>3739</v>
      </c>
    </row>
    <row r="160" spans="1:11" ht="60" customHeight="1">
      <c r="A160" s="57" t="s">
        <v>4163</v>
      </c>
      <c r="B160" s="57" t="s">
        <v>4107</v>
      </c>
      <c r="C160" s="57" t="s">
        <v>4164</v>
      </c>
      <c r="D160" s="57" t="s">
        <v>3556</v>
      </c>
      <c r="E160" s="57" t="s">
        <v>3557</v>
      </c>
      <c r="F160" s="57" t="s">
        <v>4109</v>
      </c>
      <c r="G160" s="57" t="s">
        <v>4160</v>
      </c>
      <c r="H160" s="57" t="s">
        <v>4163</v>
      </c>
      <c r="I160" s="57" t="s">
        <v>3509</v>
      </c>
      <c r="J160" s="57" t="s">
        <v>4111</v>
      </c>
      <c r="K160" s="57" t="s">
        <v>3739</v>
      </c>
    </row>
    <row r="161" spans="1:11" ht="60" customHeight="1">
      <c r="A161" s="57" t="s">
        <v>4165</v>
      </c>
      <c r="B161" s="57" t="s">
        <v>4107</v>
      </c>
      <c r="C161" s="57" t="s">
        <v>4166</v>
      </c>
      <c r="D161" s="57" t="s">
        <v>3556</v>
      </c>
      <c r="E161" s="57" t="s">
        <v>3557</v>
      </c>
      <c r="F161" s="57" t="s">
        <v>4109</v>
      </c>
      <c r="G161" s="57" t="s">
        <v>4160</v>
      </c>
      <c r="H161" s="57" t="s">
        <v>4165</v>
      </c>
      <c r="I161" s="57" t="s">
        <v>3509</v>
      </c>
      <c r="J161" s="57" t="s">
        <v>4111</v>
      </c>
      <c r="K161" s="57" t="s">
        <v>3739</v>
      </c>
    </row>
    <row r="162" spans="1:11" ht="60" customHeight="1">
      <c r="A162" s="57" t="s">
        <v>4167</v>
      </c>
      <c r="B162" s="57" t="s">
        <v>4107</v>
      </c>
      <c r="C162" s="57" t="s">
        <v>4168</v>
      </c>
      <c r="D162" s="57" t="s">
        <v>3556</v>
      </c>
      <c r="E162" s="57" t="s">
        <v>3557</v>
      </c>
      <c r="F162" s="57" t="s">
        <v>4109</v>
      </c>
      <c r="G162" s="57" t="s">
        <v>4160</v>
      </c>
      <c r="H162" s="57" t="s">
        <v>4167</v>
      </c>
      <c r="I162" s="57" t="s">
        <v>3509</v>
      </c>
      <c r="J162" s="57" t="s">
        <v>4111</v>
      </c>
      <c r="K162" s="57" t="s">
        <v>3739</v>
      </c>
    </row>
    <row r="163" spans="1:11" ht="60" customHeight="1">
      <c r="A163" s="57" t="s">
        <v>4169</v>
      </c>
      <c r="B163" s="57" t="s">
        <v>4107</v>
      </c>
      <c r="C163" s="57" t="s">
        <v>4170</v>
      </c>
      <c r="D163" s="57" t="s">
        <v>3556</v>
      </c>
      <c r="E163" s="57" t="s">
        <v>3557</v>
      </c>
      <c r="F163" s="57" t="s">
        <v>4109</v>
      </c>
      <c r="G163" s="57" t="s">
        <v>4160</v>
      </c>
      <c r="H163" s="57" t="s">
        <v>4169</v>
      </c>
      <c r="I163" s="57" t="s">
        <v>3509</v>
      </c>
      <c r="J163" s="57" t="s">
        <v>4111</v>
      </c>
      <c r="K163" s="57" t="s">
        <v>3739</v>
      </c>
    </row>
    <row r="164" spans="1:11" ht="60" customHeight="1">
      <c r="A164" s="57" t="s">
        <v>4171</v>
      </c>
      <c r="B164" s="57" t="s">
        <v>4107</v>
      </c>
      <c r="C164" s="57" t="s">
        <v>4172</v>
      </c>
      <c r="D164" s="57" t="s">
        <v>3556</v>
      </c>
      <c r="E164" s="57" t="s">
        <v>3557</v>
      </c>
      <c r="F164" s="57" t="s">
        <v>4109</v>
      </c>
      <c r="G164" s="57" t="s">
        <v>4160</v>
      </c>
      <c r="H164" s="57" t="s">
        <v>4171</v>
      </c>
      <c r="I164" s="57" t="s">
        <v>3509</v>
      </c>
      <c r="J164" s="57" t="s">
        <v>4111</v>
      </c>
      <c r="K164" s="57" t="s">
        <v>3739</v>
      </c>
    </row>
    <row r="165" spans="1:11" ht="60" customHeight="1">
      <c r="A165" s="57" t="s">
        <v>4173</v>
      </c>
      <c r="B165" s="57" t="s">
        <v>4107</v>
      </c>
      <c r="C165" s="57" t="s">
        <v>4174</v>
      </c>
      <c r="D165" s="57" t="s">
        <v>3556</v>
      </c>
      <c r="E165" s="57" t="s">
        <v>3557</v>
      </c>
      <c r="F165" s="57" t="s">
        <v>4109</v>
      </c>
      <c r="G165" s="57" t="s">
        <v>4160</v>
      </c>
      <c r="H165" s="57" t="s">
        <v>4173</v>
      </c>
      <c r="I165" s="57" t="s">
        <v>3509</v>
      </c>
      <c r="J165" s="57" t="s">
        <v>4111</v>
      </c>
      <c r="K165" s="57" t="s">
        <v>3739</v>
      </c>
    </row>
    <row r="166" spans="1:11" ht="60" customHeight="1">
      <c r="A166" s="57" t="s">
        <v>4175</v>
      </c>
      <c r="B166" s="57" t="s">
        <v>4107</v>
      </c>
      <c r="C166" s="57" t="s">
        <v>4176</v>
      </c>
      <c r="D166" s="57" t="s">
        <v>3556</v>
      </c>
      <c r="E166" s="57" t="s">
        <v>3557</v>
      </c>
      <c r="F166" s="57" t="s">
        <v>4109</v>
      </c>
      <c r="G166" s="57" t="s">
        <v>4160</v>
      </c>
      <c r="H166" s="57" t="s">
        <v>4175</v>
      </c>
      <c r="I166" s="57" t="s">
        <v>3509</v>
      </c>
      <c r="J166" s="57" t="s">
        <v>4111</v>
      </c>
      <c r="K166" s="57" t="s">
        <v>3739</v>
      </c>
    </row>
    <row r="167" spans="1:11" ht="60" customHeight="1">
      <c r="A167" s="57" t="s">
        <v>4177</v>
      </c>
      <c r="B167" s="57" t="s">
        <v>4178</v>
      </c>
      <c r="C167" s="57" t="s">
        <v>4179</v>
      </c>
      <c r="D167" s="57" t="s">
        <v>3556</v>
      </c>
      <c r="E167" s="57" t="s">
        <v>3557</v>
      </c>
      <c r="F167" s="57" t="s">
        <v>4109</v>
      </c>
      <c r="G167" s="57" t="s">
        <v>4180</v>
      </c>
      <c r="H167" s="57" t="s">
        <v>4177</v>
      </c>
      <c r="I167" s="57" t="s">
        <v>3509</v>
      </c>
      <c r="J167" s="57" t="s">
        <v>4181</v>
      </c>
      <c r="K167" s="57" t="s">
        <v>3739</v>
      </c>
    </row>
    <row r="168" spans="1:11" ht="60" customHeight="1">
      <c r="A168" s="57" t="s">
        <v>4182</v>
      </c>
      <c r="B168" s="57" t="s">
        <v>4178</v>
      </c>
      <c r="C168" s="57" t="s">
        <v>4183</v>
      </c>
      <c r="D168" s="57" t="s">
        <v>3556</v>
      </c>
      <c r="E168" s="57" t="s">
        <v>3557</v>
      </c>
      <c r="F168" s="57" t="s">
        <v>4109</v>
      </c>
      <c r="G168" s="57" t="s">
        <v>4180</v>
      </c>
      <c r="H168" s="57" t="s">
        <v>4182</v>
      </c>
      <c r="I168" s="57" t="s">
        <v>3509</v>
      </c>
      <c r="J168" s="57" t="s">
        <v>4181</v>
      </c>
      <c r="K168" s="57" t="s">
        <v>3739</v>
      </c>
    </row>
    <row r="169" spans="1:11" ht="60" customHeight="1">
      <c r="A169" s="57" t="s">
        <v>4184</v>
      </c>
      <c r="B169" s="57" t="s">
        <v>4178</v>
      </c>
      <c r="C169" s="57" t="s">
        <v>4185</v>
      </c>
      <c r="D169" s="57" t="s">
        <v>3556</v>
      </c>
      <c r="E169" s="57" t="s">
        <v>3557</v>
      </c>
      <c r="F169" s="57" t="s">
        <v>4109</v>
      </c>
      <c r="G169" s="57" t="s">
        <v>4180</v>
      </c>
      <c r="H169" s="57" t="s">
        <v>4184</v>
      </c>
      <c r="I169" s="57" t="s">
        <v>3509</v>
      </c>
      <c r="J169" s="57" t="s">
        <v>4181</v>
      </c>
      <c r="K169" s="57" t="s">
        <v>3739</v>
      </c>
    </row>
    <row r="170" spans="1:11" ht="60" customHeight="1">
      <c r="A170" s="57" t="s">
        <v>4186</v>
      </c>
      <c r="B170" s="57" t="s">
        <v>4178</v>
      </c>
      <c r="C170" s="57" t="s">
        <v>4187</v>
      </c>
      <c r="D170" s="57" t="s">
        <v>3556</v>
      </c>
      <c r="E170" s="57" t="s">
        <v>3557</v>
      </c>
      <c r="F170" s="57" t="s">
        <v>4109</v>
      </c>
      <c r="G170" s="57" t="s">
        <v>4180</v>
      </c>
      <c r="H170" s="57" t="s">
        <v>4186</v>
      </c>
      <c r="I170" s="57" t="s">
        <v>3509</v>
      </c>
      <c r="J170" s="57" t="s">
        <v>4181</v>
      </c>
      <c r="K170" s="57" t="s">
        <v>3739</v>
      </c>
    </row>
    <row r="171" spans="1:11" ht="60" customHeight="1">
      <c r="A171" s="57" t="s">
        <v>4188</v>
      </c>
      <c r="B171" s="57" t="s">
        <v>4178</v>
      </c>
      <c r="C171" s="57" t="s">
        <v>4189</v>
      </c>
      <c r="D171" s="57" t="s">
        <v>3556</v>
      </c>
      <c r="E171" s="57" t="s">
        <v>3557</v>
      </c>
      <c r="F171" s="57" t="s">
        <v>4109</v>
      </c>
      <c r="G171" s="57" t="s">
        <v>4180</v>
      </c>
      <c r="H171" s="57" t="s">
        <v>4188</v>
      </c>
      <c r="I171" s="57" t="s">
        <v>3509</v>
      </c>
      <c r="J171" s="57" t="s">
        <v>4181</v>
      </c>
      <c r="K171" s="57" t="s">
        <v>3739</v>
      </c>
    </row>
    <row r="172" spans="1:11" ht="60" customHeight="1">
      <c r="A172" s="57" t="s">
        <v>4190</v>
      </c>
      <c r="B172" s="57" t="s">
        <v>4107</v>
      </c>
      <c r="C172" s="57" t="s">
        <v>4191</v>
      </c>
      <c r="D172" s="57" t="s">
        <v>3556</v>
      </c>
      <c r="E172" s="57" t="s">
        <v>3557</v>
      </c>
      <c r="F172" s="57" t="s">
        <v>4109</v>
      </c>
      <c r="G172" s="57" t="s">
        <v>4192</v>
      </c>
      <c r="H172" s="57" t="s">
        <v>4190</v>
      </c>
      <c r="I172" s="57" t="s">
        <v>3509</v>
      </c>
      <c r="J172" s="57" t="s">
        <v>4111</v>
      </c>
      <c r="K172" s="57" t="s">
        <v>3739</v>
      </c>
    </row>
    <row r="173" spans="1:11" ht="60" customHeight="1">
      <c r="A173" s="57" t="s">
        <v>4193</v>
      </c>
      <c r="B173" s="57" t="s">
        <v>4107</v>
      </c>
      <c r="C173" s="57" t="s">
        <v>2831</v>
      </c>
      <c r="D173" s="57" t="s">
        <v>3556</v>
      </c>
      <c r="E173" s="57" t="s">
        <v>3557</v>
      </c>
      <c r="F173" s="57" t="s">
        <v>4109</v>
      </c>
      <c r="G173" s="57" t="s">
        <v>4192</v>
      </c>
      <c r="H173" s="57" t="s">
        <v>4193</v>
      </c>
      <c r="I173" s="57" t="s">
        <v>3509</v>
      </c>
      <c r="J173" s="57" t="s">
        <v>4111</v>
      </c>
      <c r="K173" s="57" t="s">
        <v>3739</v>
      </c>
    </row>
    <row r="174" spans="1:11" ht="60" customHeight="1">
      <c r="A174" s="57" t="s">
        <v>4194</v>
      </c>
      <c r="B174" s="57" t="s">
        <v>4107</v>
      </c>
      <c r="C174" s="57" t="s">
        <v>4195</v>
      </c>
      <c r="D174" s="57" t="s">
        <v>3556</v>
      </c>
      <c r="E174" s="57" t="s">
        <v>3557</v>
      </c>
      <c r="F174" s="57" t="s">
        <v>4109</v>
      </c>
      <c r="G174" s="57" t="s">
        <v>4192</v>
      </c>
      <c r="H174" s="57" t="s">
        <v>4194</v>
      </c>
      <c r="I174" s="57" t="s">
        <v>3509</v>
      </c>
      <c r="J174" s="57" t="s">
        <v>4111</v>
      </c>
      <c r="K174" s="57" t="s">
        <v>3739</v>
      </c>
    </row>
    <row r="175" spans="1:11" ht="60" customHeight="1">
      <c r="A175" s="57" t="s">
        <v>4196</v>
      </c>
      <c r="B175" s="57" t="s">
        <v>4107</v>
      </c>
      <c r="C175" s="57" t="s">
        <v>4197</v>
      </c>
      <c r="D175" s="57" t="s">
        <v>3556</v>
      </c>
      <c r="E175" s="57" t="s">
        <v>3557</v>
      </c>
      <c r="F175" s="57" t="s">
        <v>4109</v>
      </c>
      <c r="G175" s="57" t="s">
        <v>4192</v>
      </c>
      <c r="H175" s="57" t="s">
        <v>4196</v>
      </c>
      <c r="I175" s="57" t="s">
        <v>3509</v>
      </c>
      <c r="J175" s="57" t="s">
        <v>4111</v>
      </c>
      <c r="K175" s="57" t="s">
        <v>3739</v>
      </c>
    </row>
    <row r="176" spans="1:11" ht="60" customHeight="1">
      <c r="A176" s="57" t="s">
        <v>4198</v>
      </c>
      <c r="B176" s="57" t="s">
        <v>4107</v>
      </c>
      <c r="C176" s="57" t="s">
        <v>4199</v>
      </c>
      <c r="D176" s="57" t="s">
        <v>3556</v>
      </c>
      <c r="E176" s="57" t="s">
        <v>3557</v>
      </c>
      <c r="F176" s="57" t="s">
        <v>4109</v>
      </c>
      <c r="G176" s="57" t="s">
        <v>4192</v>
      </c>
      <c r="H176" s="57" t="s">
        <v>4198</v>
      </c>
      <c r="I176" s="57" t="s">
        <v>3509</v>
      </c>
      <c r="J176" s="57" t="s">
        <v>4111</v>
      </c>
      <c r="K176" s="57" t="s">
        <v>3739</v>
      </c>
    </row>
    <row r="177" spans="1:11" ht="60" customHeight="1">
      <c r="A177" s="57" t="s">
        <v>4200</v>
      </c>
      <c r="B177" s="57" t="s">
        <v>4107</v>
      </c>
      <c r="C177" s="57" t="s">
        <v>4201</v>
      </c>
      <c r="D177" s="57" t="s">
        <v>3556</v>
      </c>
      <c r="E177" s="57" t="s">
        <v>3557</v>
      </c>
      <c r="F177" s="57" t="s">
        <v>4109</v>
      </c>
      <c r="G177" s="57" t="s">
        <v>4192</v>
      </c>
      <c r="H177" s="57" t="s">
        <v>4200</v>
      </c>
      <c r="I177" s="57" t="s">
        <v>3509</v>
      </c>
      <c r="J177" s="57" t="s">
        <v>4111</v>
      </c>
      <c r="K177" s="57" t="s">
        <v>3739</v>
      </c>
    </row>
    <row r="178" spans="1:11" ht="60" customHeight="1">
      <c r="A178" s="57" t="s">
        <v>4202</v>
      </c>
      <c r="B178" s="57" t="s">
        <v>4107</v>
      </c>
      <c r="C178" s="57" t="s">
        <v>4203</v>
      </c>
      <c r="D178" s="57" t="s">
        <v>3556</v>
      </c>
      <c r="E178" s="57" t="s">
        <v>3557</v>
      </c>
      <c r="F178" s="57" t="s">
        <v>4109</v>
      </c>
      <c r="G178" s="57" t="s">
        <v>4192</v>
      </c>
      <c r="H178" s="57" t="s">
        <v>4202</v>
      </c>
      <c r="I178" s="57" t="s">
        <v>3509</v>
      </c>
      <c r="J178" s="57" t="s">
        <v>4111</v>
      </c>
      <c r="K178" s="57" t="s">
        <v>3739</v>
      </c>
    </row>
    <row r="179" spans="1:11" ht="60" customHeight="1">
      <c r="A179" s="57" t="s">
        <v>4204</v>
      </c>
      <c r="B179" s="57" t="s">
        <v>4107</v>
      </c>
      <c r="C179" s="57" t="s">
        <v>4205</v>
      </c>
      <c r="D179" s="57" t="s">
        <v>1243</v>
      </c>
      <c r="E179" s="57" t="s">
        <v>1821</v>
      </c>
      <c r="F179" s="57" t="s">
        <v>4206</v>
      </c>
      <c r="G179" s="57" t="s">
        <v>4207</v>
      </c>
      <c r="H179" s="57" t="s">
        <v>4204</v>
      </c>
      <c r="I179" s="57" t="s">
        <v>3509</v>
      </c>
      <c r="J179" s="57" t="s">
        <v>4111</v>
      </c>
      <c r="K179" s="57" t="s">
        <v>3739</v>
      </c>
    </row>
    <row r="180" spans="1:11" ht="60" customHeight="1">
      <c r="A180" s="57" t="s">
        <v>4208</v>
      </c>
      <c r="B180" s="57" t="s">
        <v>4107</v>
      </c>
      <c r="C180" s="57" t="s">
        <v>4209</v>
      </c>
      <c r="D180" s="57" t="s">
        <v>1243</v>
      </c>
      <c r="E180" s="57" t="s">
        <v>1821</v>
      </c>
      <c r="F180" s="57" t="s">
        <v>4206</v>
      </c>
      <c r="G180" s="57" t="s">
        <v>4207</v>
      </c>
      <c r="H180" s="57" t="s">
        <v>4208</v>
      </c>
      <c r="I180" s="57" t="s">
        <v>3509</v>
      </c>
      <c r="J180" s="57" t="s">
        <v>4111</v>
      </c>
      <c r="K180" s="57" t="s">
        <v>3739</v>
      </c>
    </row>
    <row r="181" spans="1:11" ht="60" customHeight="1">
      <c r="A181" s="57" t="s">
        <v>4210</v>
      </c>
      <c r="B181" s="57" t="s">
        <v>4107</v>
      </c>
      <c r="C181" s="57" t="s">
        <v>4211</v>
      </c>
      <c r="D181" s="57" t="s">
        <v>1243</v>
      </c>
      <c r="E181" s="57" t="s">
        <v>1821</v>
      </c>
      <c r="F181" s="57" t="s">
        <v>4206</v>
      </c>
      <c r="G181" s="57" t="s">
        <v>4207</v>
      </c>
      <c r="H181" s="57" t="s">
        <v>4210</v>
      </c>
      <c r="I181" s="57" t="s">
        <v>3509</v>
      </c>
      <c r="J181" s="57" t="s">
        <v>4111</v>
      </c>
      <c r="K181" s="57" t="s">
        <v>3739</v>
      </c>
    </row>
    <row r="182" spans="1:11" ht="60" customHeight="1">
      <c r="A182" s="57" t="s">
        <v>4212</v>
      </c>
      <c r="B182" s="57" t="s">
        <v>4107</v>
      </c>
      <c r="C182" s="57" t="s">
        <v>4213</v>
      </c>
      <c r="D182" s="57" t="s">
        <v>1243</v>
      </c>
      <c r="E182" s="57" t="s">
        <v>1821</v>
      </c>
      <c r="F182" s="57" t="s">
        <v>4206</v>
      </c>
      <c r="G182" s="57" t="s">
        <v>4207</v>
      </c>
      <c r="H182" s="57" t="s">
        <v>4212</v>
      </c>
      <c r="I182" s="57" t="s">
        <v>3509</v>
      </c>
      <c r="J182" s="57" t="s">
        <v>4111</v>
      </c>
      <c r="K182" s="57" t="s">
        <v>3739</v>
      </c>
    </row>
    <row r="183" spans="1:11" ht="60" customHeight="1">
      <c r="A183" s="57" t="s">
        <v>4214</v>
      </c>
      <c r="B183" s="57" t="s">
        <v>4107</v>
      </c>
      <c r="C183" s="57" t="s">
        <v>4215</v>
      </c>
      <c r="D183" s="57" t="s">
        <v>1243</v>
      </c>
      <c r="E183" s="57" t="s">
        <v>1821</v>
      </c>
      <c r="F183" s="57" t="s">
        <v>4206</v>
      </c>
      <c r="G183" s="57" t="s">
        <v>4207</v>
      </c>
      <c r="H183" s="57" t="s">
        <v>4214</v>
      </c>
      <c r="I183" s="57" t="s">
        <v>3509</v>
      </c>
      <c r="J183" s="57" t="s">
        <v>4111</v>
      </c>
      <c r="K183" s="57" t="s">
        <v>3739</v>
      </c>
    </row>
    <row r="184" spans="1:11" ht="60" customHeight="1">
      <c r="A184" s="57" t="s">
        <v>4216</v>
      </c>
      <c r="B184" s="57" t="s">
        <v>4107</v>
      </c>
      <c r="C184" s="57" t="s">
        <v>4217</v>
      </c>
      <c r="D184" s="57" t="s">
        <v>1243</v>
      </c>
      <c r="E184" s="57" t="s">
        <v>1821</v>
      </c>
      <c r="F184" s="57" t="s">
        <v>4206</v>
      </c>
      <c r="G184" s="57" t="s">
        <v>4207</v>
      </c>
      <c r="H184" s="57" t="s">
        <v>4216</v>
      </c>
      <c r="I184" s="57" t="s">
        <v>3509</v>
      </c>
      <c r="J184" s="57" t="s">
        <v>4111</v>
      </c>
      <c r="K184" s="57" t="s">
        <v>3739</v>
      </c>
    </row>
    <row r="185" spans="1:11" ht="60" customHeight="1">
      <c r="A185" s="57" t="s">
        <v>4218</v>
      </c>
      <c r="B185" s="57" t="s">
        <v>4107</v>
      </c>
      <c r="C185" s="57" t="s">
        <v>4219</v>
      </c>
      <c r="D185" s="57" t="s">
        <v>1243</v>
      </c>
      <c r="E185" s="57" t="s">
        <v>1821</v>
      </c>
      <c r="F185" s="57" t="s">
        <v>4206</v>
      </c>
      <c r="G185" s="57" t="s">
        <v>4207</v>
      </c>
      <c r="H185" s="57" t="s">
        <v>4218</v>
      </c>
      <c r="I185" s="57" t="s">
        <v>3509</v>
      </c>
      <c r="J185" s="57" t="s">
        <v>4111</v>
      </c>
      <c r="K185" s="57" t="s">
        <v>3739</v>
      </c>
    </row>
    <row r="186" spans="1:11" ht="60" customHeight="1">
      <c r="A186" s="57" t="s">
        <v>4220</v>
      </c>
      <c r="B186" s="57" t="s">
        <v>4107</v>
      </c>
      <c r="C186" s="57" t="s">
        <v>4221</v>
      </c>
      <c r="D186" s="57" t="s">
        <v>1243</v>
      </c>
      <c r="E186" s="57" t="s">
        <v>1821</v>
      </c>
      <c r="F186" s="57" t="s">
        <v>4206</v>
      </c>
      <c r="G186" s="57" t="s">
        <v>4207</v>
      </c>
      <c r="H186" s="57" t="s">
        <v>4220</v>
      </c>
      <c r="I186" s="57" t="s">
        <v>3509</v>
      </c>
      <c r="J186" s="57" t="s">
        <v>4111</v>
      </c>
      <c r="K186" s="57" t="s">
        <v>3739</v>
      </c>
    </row>
    <row r="187" spans="1:11" ht="60" customHeight="1">
      <c r="A187" s="57" t="s">
        <v>4222</v>
      </c>
      <c r="B187" s="57" t="s">
        <v>4107</v>
      </c>
      <c r="C187" s="57" t="s">
        <v>4223</v>
      </c>
      <c r="D187" s="57" t="s">
        <v>1243</v>
      </c>
      <c r="E187" s="57" t="s">
        <v>1821</v>
      </c>
      <c r="F187" s="57" t="s">
        <v>4206</v>
      </c>
      <c r="G187" s="57" t="s">
        <v>4224</v>
      </c>
      <c r="H187" s="57" t="s">
        <v>4222</v>
      </c>
      <c r="I187" s="57" t="s">
        <v>3509</v>
      </c>
      <c r="J187" s="57" t="s">
        <v>4111</v>
      </c>
      <c r="K187" s="57" t="s">
        <v>3739</v>
      </c>
    </row>
    <row r="188" spans="1:11" ht="60" customHeight="1">
      <c r="A188" s="57" t="s">
        <v>4225</v>
      </c>
      <c r="B188" s="57" t="s">
        <v>4107</v>
      </c>
      <c r="C188" s="57" t="s">
        <v>4226</v>
      </c>
      <c r="D188" s="57" t="s">
        <v>1243</v>
      </c>
      <c r="E188" s="57" t="s">
        <v>1821</v>
      </c>
      <c r="F188" s="57" t="s">
        <v>4206</v>
      </c>
      <c r="G188" s="57" t="s">
        <v>4224</v>
      </c>
      <c r="H188" s="57" t="s">
        <v>4225</v>
      </c>
      <c r="I188" s="57" t="s">
        <v>3509</v>
      </c>
      <c r="J188" s="57" t="s">
        <v>4111</v>
      </c>
      <c r="K188" s="57" t="s">
        <v>3739</v>
      </c>
    </row>
    <row r="189" spans="1:11" ht="60" customHeight="1">
      <c r="A189" s="57" t="s">
        <v>4227</v>
      </c>
      <c r="B189" s="57" t="s">
        <v>4107</v>
      </c>
      <c r="C189" s="57" t="s">
        <v>4228</v>
      </c>
      <c r="D189" s="57" t="s">
        <v>1243</v>
      </c>
      <c r="E189" s="57" t="s">
        <v>1821</v>
      </c>
      <c r="F189" s="57" t="s">
        <v>4206</v>
      </c>
      <c r="G189" s="57" t="s">
        <v>4224</v>
      </c>
      <c r="H189" s="57" t="s">
        <v>4227</v>
      </c>
      <c r="I189" s="57" t="s">
        <v>3509</v>
      </c>
      <c r="J189" s="57" t="s">
        <v>4111</v>
      </c>
      <c r="K189" s="57" t="s">
        <v>3739</v>
      </c>
    </row>
    <row r="190" spans="1:11" ht="60" customHeight="1">
      <c r="A190" s="57" t="s">
        <v>4229</v>
      </c>
      <c r="B190" s="57" t="s">
        <v>4107</v>
      </c>
      <c r="C190" s="57" t="s">
        <v>4230</v>
      </c>
      <c r="D190" s="57" t="s">
        <v>1243</v>
      </c>
      <c r="E190" s="57" t="s">
        <v>1821</v>
      </c>
      <c r="F190" s="57" t="s">
        <v>4206</v>
      </c>
      <c r="G190" s="57" t="s">
        <v>4224</v>
      </c>
      <c r="H190" s="57" t="s">
        <v>4229</v>
      </c>
      <c r="I190" s="57" t="s">
        <v>3509</v>
      </c>
      <c r="J190" s="57" t="s">
        <v>4111</v>
      </c>
      <c r="K190" s="57" t="s">
        <v>3739</v>
      </c>
    </row>
    <row r="191" spans="1:11" ht="60" customHeight="1">
      <c r="A191" s="57" t="s">
        <v>4231</v>
      </c>
      <c r="B191" s="57" t="s">
        <v>4107</v>
      </c>
      <c r="C191" s="57" t="s">
        <v>4232</v>
      </c>
      <c r="D191" s="57" t="s">
        <v>1243</v>
      </c>
      <c r="E191" s="57" t="s">
        <v>1821</v>
      </c>
      <c r="F191" s="57" t="s">
        <v>4206</v>
      </c>
      <c r="G191" s="57" t="s">
        <v>4224</v>
      </c>
      <c r="H191" s="57" t="s">
        <v>4231</v>
      </c>
      <c r="I191" s="57" t="s">
        <v>3509</v>
      </c>
      <c r="J191" s="57" t="s">
        <v>4111</v>
      </c>
      <c r="K191" s="57" t="s">
        <v>3739</v>
      </c>
    </row>
    <row r="192" spans="1:11" ht="60" customHeight="1">
      <c r="A192" s="57" t="s">
        <v>4233</v>
      </c>
      <c r="B192" s="57" t="s">
        <v>4107</v>
      </c>
      <c r="C192" s="57" t="s">
        <v>4234</v>
      </c>
      <c r="D192" s="57" t="s">
        <v>1243</v>
      </c>
      <c r="E192" s="57" t="s">
        <v>1821</v>
      </c>
      <c r="F192" s="57" t="s">
        <v>4206</v>
      </c>
      <c r="G192" s="57" t="s">
        <v>4224</v>
      </c>
      <c r="H192" s="57" t="s">
        <v>4233</v>
      </c>
      <c r="I192" s="57" t="s">
        <v>3509</v>
      </c>
      <c r="J192" s="57" t="s">
        <v>4111</v>
      </c>
      <c r="K192" s="57" t="s">
        <v>3739</v>
      </c>
    </row>
    <row r="193" spans="1:11" ht="60" customHeight="1">
      <c r="A193" s="57" t="s">
        <v>4235</v>
      </c>
      <c r="B193" s="57" t="s">
        <v>4107</v>
      </c>
      <c r="C193" s="57" t="s">
        <v>4236</v>
      </c>
      <c r="D193" s="57" t="s">
        <v>1243</v>
      </c>
      <c r="E193" s="57" t="s">
        <v>1821</v>
      </c>
      <c r="F193" s="57" t="s">
        <v>4206</v>
      </c>
      <c r="G193" s="57" t="s">
        <v>4224</v>
      </c>
      <c r="H193" s="57" t="s">
        <v>4235</v>
      </c>
      <c r="I193" s="57" t="s">
        <v>3509</v>
      </c>
      <c r="J193" s="57" t="s">
        <v>4111</v>
      </c>
      <c r="K193" s="57" t="s">
        <v>3739</v>
      </c>
    </row>
    <row r="194" spans="1:11" ht="60" customHeight="1">
      <c r="A194" s="57" t="s">
        <v>4237</v>
      </c>
      <c r="B194" s="57" t="s">
        <v>4107</v>
      </c>
      <c r="C194" s="57" t="s">
        <v>4238</v>
      </c>
      <c r="D194" s="57" t="s">
        <v>1243</v>
      </c>
      <c r="E194" s="57" t="s">
        <v>1821</v>
      </c>
      <c r="F194" s="57" t="s">
        <v>4206</v>
      </c>
      <c r="G194" s="57" t="s">
        <v>4224</v>
      </c>
      <c r="H194" s="57" t="s">
        <v>4237</v>
      </c>
      <c r="I194" s="57" t="s">
        <v>3509</v>
      </c>
      <c r="J194" s="57" t="s">
        <v>4111</v>
      </c>
      <c r="K194" s="57" t="s">
        <v>3739</v>
      </c>
    </row>
    <row r="195" spans="1:11" ht="60" customHeight="1">
      <c r="A195" s="57" t="s">
        <v>4239</v>
      </c>
      <c r="B195" s="57" t="s">
        <v>4107</v>
      </c>
      <c r="C195" s="57" t="s">
        <v>1609</v>
      </c>
      <c r="D195" s="57" t="s">
        <v>1243</v>
      </c>
      <c r="E195" s="57" t="s">
        <v>1821</v>
      </c>
      <c r="F195" s="57" t="s">
        <v>4206</v>
      </c>
      <c r="G195" s="57" t="s">
        <v>4224</v>
      </c>
      <c r="H195" s="57" t="s">
        <v>4239</v>
      </c>
      <c r="I195" s="57" t="s">
        <v>3509</v>
      </c>
      <c r="J195" s="57" t="s">
        <v>4111</v>
      </c>
      <c r="K195" s="57" t="s">
        <v>3739</v>
      </c>
    </row>
    <row r="196" spans="1:11" ht="60" customHeight="1">
      <c r="A196" s="57" t="s">
        <v>4240</v>
      </c>
      <c r="B196" s="57" t="s">
        <v>4107</v>
      </c>
      <c r="C196" s="57" t="s">
        <v>4241</v>
      </c>
      <c r="D196" s="57" t="s">
        <v>1243</v>
      </c>
      <c r="E196" s="57" t="s">
        <v>1821</v>
      </c>
      <c r="F196" s="57" t="s">
        <v>4206</v>
      </c>
      <c r="G196" s="57" t="s">
        <v>4224</v>
      </c>
      <c r="H196" s="57" t="s">
        <v>4240</v>
      </c>
      <c r="I196" s="57" t="s">
        <v>3509</v>
      </c>
      <c r="J196" s="57" t="s">
        <v>4111</v>
      </c>
      <c r="K196" s="57" t="s">
        <v>3739</v>
      </c>
    </row>
    <row r="197" spans="1:11" ht="60" customHeight="1">
      <c r="A197" s="57" t="s">
        <v>4242</v>
      </c>
      <c r="B197" s="57" t="s">
        <v>4107</v>
      </c>
      <c r="C197" s="57" t="s">
        <v>4243</v>
      </c>
      <c r="D197" s="57" t="s">
        <v>1243</v>
      </c>
      <c r="E197" s="57" t="s">
        <v>1821</v>
      </c>
      <c r="F197" s="57" t="s">
        <v>4206</v>
      </c>
      <c r="G197" s="57" t="s">
        <v>4244</v>
      </c>
      <c r="H197" s="57" t="s">
        <v>4242</v>
      </c>
      <c r="I197" s="57" t="s">
        <v>3509</v>
      </c>
      <c r="J197" s="57" t="s">
        <v>4111</v>
      </c>
      <c r="K197" s="57" t="s">
        <v>3739</v>
      </c>
    </row>
    <row r="198" spans="1:11" ht="60" customHeight="1">
      <c r="A198" s="57" t="s">
        <v>4245</v>
      </c>
      <c r="B198" s="57" t="s">
        <v>4107</v>
      </c>
      <c r="C198" s="57" t="s">
        <v>4246</v>
      </c>
      <c r="D198" s="57" t="s">
        <v>1243</v>
      </c>
      <c r="E198" s="57" t="s">
        <v>1821</v>
      </c>
      <c r="F198" s="57" t="s">
        <v>4206</v>
      </c>
      <c r="G198" s="57" t="s">
        <v>4244</v>
      </c>
      <c r="H198" s="57" t="s">
        <v>4245</v>
      </c>
      <c r="I198" s="57" t="s">
        <v>3509</v>
      </c>
      <c r="J198" s="57" t="s">
        <v>4111</v>
      </c>
      <c r="K198" s="57" t="s">
        <v>3739</v>
      </c>
    </row>
    <row r="199" spans="1:11" ht="60" customHeight="1">
      <c r="A199" s="57" t="s">
        <v>4247</v>
      </c>
      <c r="B199" s="57" t="s">
        <v>4107</v>
      </c>
      <c r="C199" s="57" t="s">
        <v>4248</v>
      </c>
      <c r="D199" s="57" t="s">
        <v>1243</v>
      </c>
      <c r="E199" s="57" t="s">
        <v>1821</v>
      </c>
      <c r="F199" s="57" t="s">
        <v>4206</v>
      </c>
      <c r="G199" s="57" t="s">
        <v>4244</v>
      </c>
      <c r="H199" s="57" t="s">
        <v>4247</v>
      </c>
      <c r="I199" s="57" t="s">
        <v>3509</v>
      </c>
      <c r="J199" s="57" t="s">
        <v>4111</v>
      </c>
      <c r="K199" s="57" t="s">
        <v>3739</v>
      </c>
    </row>
    <row r="200" spans="1:11" ht="60" customHeight="1">
      <c r="A200" s="57" t="s">
        <v>4249</v>
      </c>
      <c r="B200" s="57" t="s">
        <v>4107</v>
      </c>
      <c r="C200" s="57" t="s">
        <v>4250</v>
      </c>
      <c r="D200" s="57" t="s">
        <v>1243</v>
      </c>
      <c r="E200" s="57" t="s">
        <v>1821</v>
      </c>
      <c r="F200" s="57" t="s">
        <v>4206</v>
      </c>
      <c r="G200" s="57" t="s">
        <v>4244</v>
      </c>
      <c r="H200" s="57" t="s">
        <v>4249</v>
      </c>
      <c r="I200" s="57" t="s">
        <v>3509</v>
      </c>
      <c r="J200" s="57" t="s">
        <v>4111</v>
      </c>
      <c r="K200" s="57" t="s">
        <v>3739</v>
      </c>
    </row>
    <row r="201" spans="1:11" ht="60" customHeight="1">
      <c r="A201" s="57" t="s">
        <v>4251</v>
      </c>
      <c r="B201" s="57" t="s">
        <v>4107</v>
      </c>
      <c r="C201" s="57" t="s">
        <v>4252</v>
      </c>
      <c r="D201" s="57" t="s">
        <v>1243</v>
      </c>
      <c r="E201" s="57" t="s">
        <v>1821</v>
      </c>
      <c r="F201" s="57" t="s">
        <v>4206</v>
      </c>
      <c r="G201" s="57" t="s">
        <v>4244</v>
      </c>
      <c r="H201" s="57" t="s">
        <v>4251</v>
      </c>
      <c r="I201" s="57" t="s">
        <v>3509</v>
      </c>
      <c r="J201" s="57" t="s">
        <v>4111</v>
      </c>
      <c r="K201" s="57" t="s">
        <v>3739</v>
      </c>
    </row>
    <row r="202" spans="1:11" ht="60" customHeight="1">
      <c r="A202" s="57" t="s">
        <v>4253</v>
      </c>
      <c r="B202" s="57" t="s">
        <v>4107</v>
      </c>
      <c r="C202" s="57" t="s">
        <v>4254</v>
      </c>
      <c r="D202" s="57" t="s">
        <v>1243</v>
      </c>
      <c r="E202" s="57" t="s">
        <v>1821</v>
      </c>
      <c r="F202" s="57" t="s">
        <v>4206</v>
      </c>
      <c r="G202" s="57" t="s">
        <v>4255</v>
      </c>
      <c r="H202" s="57" t="s">
        <v>4253</v>
      </c>
      <c r="I202" s="57" t="s">
        <v>3509</v>
      </c>
      <c r="J202" s="57" t="s">
        <v>4111</v>
      </c>
      <c r="K202" s="57" t="s">
        <v>3739</v>
      </c>
    </row>
    <row r="203" spans="1:11" ht="60" customHeight="1">
      <c r="A203" s="57" t="s">
        <v>4256</v>
      </c>
      <c r="B203" s="57" t="s">
        <v>4107</v>
      </c>
      <c r="C203" s="57" t="s">
        <v>4257</v>
      </c>
      <c r="D203" s="57" t="s">
        <v>1243</v>
      </c>
      <c r="E203" s="57" t="s">
        <v>1821</v>
      </c>
      <c r="F203" s="57" t="s">
        <v>4206</v>
      </c>
      <c r="G203" s="57" t="s">
        <v>4255</v>
      </c>
      <c r="H203" s="57" t="s">
        <v>4256</v>
      </c>
      <c r="I203" s="57" t="s">
        <v>3509</v>
      </c>
      <c r="J203" s="57" t="s">
        <v>4111</v>
      </c>
      <c r="K203" s="57" t="s">
        <v>3739</v>
      </c>
    </row>
    <row r="204" spans="1:11" ht="60" customHeight="1">
      <c r="A204" s="57" t="s">
        <v>4258</v>
      </c>
      <c r="B204" s="57" t="s">
        <v>4107</v>
      </c>
      <c r="C204" s="57" t="s">
        <v>4259</v>
      </c>
      <c r="D204" s="57" t="s">
        <v>1243</v>
      </c>
      <c r="E204" s="57" t="s">
        <v>1821</v>
      </c>
      <c r="F204" s="57" t="s">
        <v>4206</v>
      </c>
      <c r="G204" s="57" t="s">
        <v>4255</v>
      </c>
      <c r="H204" s="57" t="s">
        <v>4258</v>
      </c>
      <c r="I204" s="57" t="s">
        <v>3509</v>
      </c>
      <c r="J204" s="57" t="s">
        <v>4111</v>
      </c>
      <c r="K204" s="57" t="s">
        <v>3739</v>
      </c>
    </row>
    <row r="205" spans="1:11" ht="60" customHeight="1">
      <c r="A205" s="57" t="s">
        <v>4260</v>
      </c>
      <c r="B205" s="57" t="s">
        <v>4107</v>
      </c>
      <c r="C205" s="57" t="s">
        <v>4261</v>
      </c>
      <c r="D205" s="57" t="s">
        <v>1243</v>
      </c>
      <c r="E205" s="57" t="s">
        <v>1821</v>
      </c>
      <c r="F205" s="57" t="s">
        <v>4206</v>
      </c>
      <c r="G205" s="57" t="s">
        <v>4255</v>
      </c>
      <c r="H205" s="57" t="s">
        <v>4260</v>
      </c>
      <c r="I205" s="57" t="s">
        <v>3509</v>
      </c>
      <c r="J205" s="57" t="s">
        <v>4111</v>
      </c>
      <c r="K205" s="57" t="s">
        <v>3739</v>
      </c>
    </row>
    <row r="206" spans="1:11" ht="60" customHeight="1">
      <c r="A206" s="57" t="s">
        <v>4262</v>
      </c>
      <c r="B206" s="57" t="s">
        <v>4107</v>
      </c>
      <c r="C206" s="57" t="s">
        <v>4263</v>
      </c>
      <c r="D206" s="57" t="s">
        <v>1243</v>
      </c>
      <c r="E206" s="57" t="s">
        <v>1821</v>
      </c>
      <c r="F206" s="57" t="s">
        <v>4206</v>
      </c>
      <c r="G206" s="57" t="s">
        <v>4255</v>
      </c>
      <c r="H206" s="57" t="s">
        <v>4262</v>
      </c>
      <c r="I206" s="57" t="s">
        <v>3509</v>
      </c>
      <c r="J206" s="57" t="s">
        <v>4111</v>
      </c>
      <c r="K206" s="57" t="s">
        <v>3739</v>
      </c>
    </row>
    <row r="207" spans="1:11" ht="60" customHeight="1">
      <c r="A207" s="57" t="s">
        <v>4264</v>
      </c>
      <c r="B207" s="57" t="s">
        <v>4265</v>
      </c>
      <c r="C207" s="57" t="s">
        <v>4266</v>
      </c>
      <c r="D207" s="57" t="s">
        <v>3556</v>
      </c>
      <c r="E207" s="57" t="s">
        <v>3557</v>
      </c>
      <c r="F207" s="57" t="s">
        <v>4109</v>
      </c>
      <c r="G207" s="57" t="s">
        <v>4267</v>
      </c>
      <c r="H207" s="57" t="s">
        <v>4264</v>
      </c>
      <c r="I207" s="57" t="s">
        <v>3509</v>
      </c>
      <c r="J207" s="57" t="s">
        <v>4268</v>
      </c>
      <c r="K207" s="57" t="s">
        <v>3739</v>
      </c>
    </row>
    <row r="208" spans="1:11" ht="60" customHeight="1">
      <c r="A208" s="57" t="s">
        <v>4269</v>
      </c>
      <c r="B208" s="57" t="s">
        <v>4265</v>
      </c>
      <c r="C208" s="57" t="s">
        <v>945</v>
      </c>
      <c r="D208" s="57" t="s">
        <v>3556</v>
      </c>
      <c r="E208" s="57" t="s">
        <v>3557</v>
      </c>
      <c r="F208" s="57" t="s">
        <v>4109</v>
      </c>
      <c r="G208" s="57" t="s">
        <v>4267</v>
      </c>
      <c r="H208" s="57" t="s">
        <v>4269</v>
      </c>
      <c r="I208" s="57" t="s">
        <v>3509</v>
      </c>
      <c r="J208" s="57" t="s">
        <v>4268</v>
      </c>
      <c r="K208" s="57" t="s">
        <v>3739</v>
      </c>
    </row>
    <row r="209" spans="1:11" ht="60" customHeight="1">
      <c r="A209" s="57" t="s">
        <v>4270</v>
      </c>
      <c r="B209" s="57" t="s">
        <v>4265</v>
      </c>
      <c r="C209" s="57" t="s">
        <v>4271</v>
      </c>
      <c r="D209" s="57" t="s">
        <v>3556</v>
      </c>
      <c r="E209" s="57" t="s">
        <v>3557</v>
      </c>
      <c r="F209" s="57" t="s">
        <v>4109</v>
      </c>
      <c r="G209" s="57" t="s">
        <v>4267</v>
      </c>
      <c r="H209" s="57" t="s">
        <v>4270</v>
      </c>
      <c r="I209" s="57" t="s">
        <v>3509</v>
      </c>
      <c r="J209" s="57" t="s">
        <v>4268</v>
      </c>
      <c r="K209" s="57" t="s">
        <v>3739</v>
      </c>
    </row>
    <row r="210" spans="1:11" ht="60" customHeight="1">
      <c r="A210" s="57" t="s">
        <v>4272</v>
      </c>
      <c r="B210" s="57" t="s">
        <v>4265</v>
      </c>
      <c r="C210" s="57" t="s">
        <v>4273</v>
      </c>
      <c r="D210" s="57" t="s">
        <v>1243</v>
      </c>
      <c r="E210" s="57" t="s">
        <v>1821</v>
      </c>
      <c r="F210" s="57" t="s">
        <v>4206</v>
      </c>
      <c r="G210" s="57" t="s">
        <v>4267</v>
      </c>
      <c r="H210" s="57" t="s">
        <v>4272</v>
      </c>
      <c r="I210" s="57" t="s">
        <v>3509</v>
      </c>
      <c r="J210" s="57" t="s">
        <v>4268</v>
      </c>
      <c r="K210" s="57" t="s">
        <v>3739</v>
      </c>
    </row>
    <row r="211" spans="1:11" ht="60" customHeight="1">
      <c r="A211" s="57" t="s">
        <v>4274</v>
      </c>
      <c r="B211" s="57" t="s">
        <v>4265</v>
      </c>
      <c r="C211" s="57" t="s">
        <v>4275</v>
      </c>
      <c r="D211" s="57" t="s">
        <v>1243</v>
      </c>
      <c r="E211" s="57" t="s">
        <v>1821</v>
      </c>
      <c r="F211" s="57" t="s">
        <v>4206</v>
      </c>
      <c r="G211" s="57" t="s">
        <v>4267</v>
      </c>
      <c r="H211" s="57" t="s">
        <v>4274</v>
      </c>
      <c r="I211" s="57" t="s">
        <v>3509</v>
      </c>
      <c r="J211" s="57" t="s">
        <v>4268</v>
      </c>
      <c r="K211" s="57" t="s">
        <v>3739</v>
      </c>
    </row>
    <row r="212" spans="1:11" ht="60" customHeight="1">
      <c r="A212" s="57" t="s">
        <v>4276</v>
      </c>
      <c r="B212" s="57" t="s">
        <v>4265</v>
      </c>
      <c r="C212" s="57" t="s">
        <v>4277</v>
      </c>
      <c r="D212" s="57" t="s">
        <v>1243</v>
      </c>
      <c r="E212" s="57" t="s">
        <v>1821</v>
      </c>
      <c r="F212" s="57" t="s">
        <v>4206</v>
      </c>
      <c r="G212" s="57" t="s">
        <v>4267</v>
      </c>
      <c r="H212" s="57" t="s">
        <v>4276</v>
      </c>
      <c r="I212" s="57" t="s">
        <v>3509</v>
      </c>
      <c r="J212" s="57" t="s">
        <v>4268</v>
      </c>
      <c r="K212" s="57" t="s">
        <v>3739</v>
      </c>
    </row>
    <row r="213" spans="1:11" ht="60" customHeight="1">
      <c r="A213" s="57" t="s">
        <v>4278</v>
      </c>
      <c r="B213" s="57" t="s">
        <v>4265</v>
      </c>
      <c r="C213" s="57" t="s">
        <v>1495</v>
      </c>
      <c r="D213" s="57" t="s">
        <v>1243</v>
      </c>
      <c r="E213" s="57" t="s">
        <v>1821</v>
      </c>
      <c r="F213" s="57" t="s">
        <v>4206</v>
      </c>
      <c r="G213" s="57" t="s">
        <v>4267</v>
      </c>
      <c r="H213" s="57" t="s">
        <v>4278</v>
      </c>
      <c r="I213" s="57" t="s">
        <v>3509</v>
      </c>
      <c r="J213" s="57" t="s">
        <v>4268</v>
      </c>
      <c r="K213" s="57" t="s">
        <v>3739</v>
      </c>
    </row>
    <row r="214" spans="1:11" ht="60" customHeight="1">
      <c r="A214" s="57" t="s">
        <v>4279</v>
      </c>
      <c r="B214" s="57" t="s">
        <v>4265</v>
      </c>
      <c r="C214" s="57" t="s">
        <v>4280</v>
      </c>
      <c r="D214" s="57" t="s">
        <v>1243</v>
      </c>
      <c r="E214" s="57" t="s">
        <v>1821</v>
      </c>
      <c r="F214" s="57" t="s">
        <v>4206</v>
      </c>
      <c r="G214" s="57" t="s">
        <v>4267</v>
      </c>
      <c r="H214" s="57" t="s">
        <v>4279</v>
      </c>
      <c r="I214" s="57" t="s">
        <v>3509</v>
      </c>
      <c r="J214" s="57" t="s">
        <v>4268</v>
      </c>
      <c r="K214" s="57" t="s">
        <v>3739</v>
      </c>
    </row>
    <row r="215" spans="1:11" ht="60" customHeight="1">
      <c r="A215" s="57" t="s">
        <v>4281</v>
      </c>
      <c r="B215" s="57" t="s">
        <v>4265</v>
      </c>
      <c r="C215" s="57" t="s">
        <v>4282</v>
      </c>
      <c r="D215" s="57" t="s">
        <v>1243</v>
      </c>
      <c r="E215" s="57" t="s">
        <v>1821</v>
      </c>
      <c r="F215" s="57" t="s">
        <v>4206</v>
      </c>
      <c r="G215" s="57" t="s">
        <v>4267</v>
      </c>
      <c r="H215" s="57" t="s">
        <v>4281</v>
      </c>
      <c r="I215" s="57" t="s">
        <v>3509</v>
      </c>
      <c r="J215" s="57" t="s">
        <v>4268</v>
      </c>
      <c r="K215" s="57" t="s">
        <v>3739</v>
      </c>
    </row>
    <row r="216" spans="1:11" ht="60" customHeight="1">
      <c r="A216" s="57" t="s">
        <v>4283</v>
      </c>
      <c r="B216" s="57" t="s">
        <v>4265</v>
      </c>
      <c r="C216" s="57" t="s">
        <v>1619</v>
      </c>
      <c r="D216" s="57" t="s">
        <v>1243</v>
      </c>
      <c r="E216" s="57" t="s">
        <v>1821</v>
      </c>
      <c r="F216" s="57" t="s">
        <v>4206</v>
      </c>
      <c r="G216" s="57" t="s">
        <v>4267</v>
      </c>
      <c r="H216" s="57" t="s">
        <v>4283</v>
      </c>
      <c r="I216" s="57" t="s">
        <v>3509</v>
      </c>
      <c r="J216" s="57" t="s">
        <v>4268</v>
      </c>
      <c r="K216" s="57" t="s">
        <v>3739</v>
      </c>
    </row>
    <row r="217" spans="1:11" ht="60" customHeight="1">
      <c r="A217" s="57" t="s">
        <v>4284</v>
      </c>
      <c r="B217" s="57" t="s">
        <v>4285</v>
      </c>
      <c r="C217" s="57" t="s">
        <v>4286</v>
      </c>
      <c r="D217" s="57" t="s">
        <v>3556</v>
      </c>
      <c r="E217" s="57" t="s">
        <v>3557</v>
      </c>
      <c r="F217" s="57" t="s">
        <v>4109</v>
      </c>
      <c r="G217" s="57" t="s">
        <v>4287</v>
      </c>
      <c r="H217" s="57" t="s">
        <v>4284</v>
      </c>
      <c r="I217" s="57" t="s">
        <v>3509</v>
      </c>
      <c r="J217" s="57" t="s">
        <v>4288</v>
      </c>
      <c r="K217" s="57" t="s">
        <v>3739</v>
      </c>
    </row>
    <row r="218" spans="1:11" ht="60" customHeight="1">
      <c r="A218" s="57" t="s">
        <v>4289</v>
      </c>
      <c r="B218" s="57" t="s">
        <v>4285</v>
      </c>
      <c r="C218" s="57" t="s">
        <v>4117</v>
      </c>
      <c r="D218" s="57" t="s">
        <v>3556</v>
      </c>
      <c r="E218" s="57" t="s">
        <v>3557</v>
      </c>
      <c r="F218" s="57" t="s">
        <v>4109</v>
      </c>
      <c r="G218" s="57" t="s">
        <v>4287</v>
      </c>
      <c r="H218" s="57" t="s">
        <v>4289</v>
      </c>
      <c r="I218" s="57" t="s">
        <v>3509</v>
      </c>
      <c r="J218" s="57" t="s">
        <v>4290</v>
      </c>
      <c r="K218" s="57" t="s">
        <v>3739</v>
      </c>
    </row>
    <row r="219" spans="1:11" ht="60" customHeight="1">
      <c r="A219" s="57" t="s">
        <v>4291</v>
      </c>
      <c r="B219" s="57" t="s">
        <v>4285</v>
      </c>
      <c r="C219" s="57" t="s">
        <v>4120</v>
      </c>
      <c r="D219" s="57" t="s">
        <v>3556</v>
      </c>
      <c r="E219" s="57" t="s">
        <v>3557</v>
      </c>
      <c r="F219" s="57" t="s">
        <v>4109</v>
      </c>
      <c r="G219" s="57" t="s">
        <v>4287</v>
      </c>
      <c r="H219" s="57" t="s">
        <v>4291</v>
      </c>
      <c r="I219" s="57" t="s">
        <v>3509</v>
      </c>
      <c r="J219" s="57" t="s">
        <v>4292</v>
      </c>
      <c r="K219" s="57" t="s">
        <v>3739</v>
      </c>
    </row>
    <row r="220" spans="1:11" ht="60" customHeight="1">
      <c r="A220" s="57" t="s">
        <v>4293</v>
      </c>
      <c r="B220" s="57" t="s">
        <v>4285</v>
      </c>
      <c r="C220" s="57" t="s">
        <v>4122</v>
      </c>
      <c r="D220" s="57" t="s">
        <v>3556</v>
      </c>
      <c r="E220" s="57" t="s">
        <v>3557</v>
      </c>
      <c r="F220" s="57" t="s">
        <v>4109</v>
      </c>
      <c r="G220" s="57" t="s">
        <v>4287</v>
      </c>
      <c r="H220" s="57" t="s">
        <v>4293</v>
      </c>
      <c r="I220" s="57" t="s">
        <v>3509</v>
      </c>
      <c r="J220" s="57" t="s">
        <v>4294</v>
      </c>
      <c r="K220" s="57" t="s">
        <v>3739</v>
      </c>
    </row>
    <row r="221" spans="1:11" ht="60" customHeight="1">
      <c r="A221" s="57" t="s">
        <v>4295</v>
      </c>
      <c r="B221" s="57" t="s">
        <v>4285</v>
      </c>
      <c r="C221" s="57" t="s">
        <v>4126</v>
      </c>
      <c r="D221" s="57" t="s">
        <v>3556</v>
      </c>
      <c r="E221" s="57" t="s">
        <v>3557</v>
      </c>
      <c r="F221" s="57" t="s">
        <v>4109</v>
      </c>
      <c r="G221" s="57" t="s">
        <v>4287</v>
      </c>
      <c r="H221" s="57" t="s">
        <v>4295</v>
      </c>
      <c r="I221" s="57" t="s">
        <v>3509</v>
      </c>
      <c r="J221" s="57" t="s">
        <v>4296</v>
      </c>
      <c r="K221" s="57" t="s">
        <v>3739</v>
      </c>
    </row>
    <row r="222" spans="1:11" ht="60" customHeight="1">
      <c r="A222" s="57" t="s">
        <v>4297</v>
      </c>
      <c r="B222" s="57" t="s">
        <v>4285</v>
      </c>
      <c r="C222" s="57" t="s">
        <v>4138</v>
      </c>
      <c r="D222" s="57" t="s">
        <v>3556</v>
      </c>
      <c r="E222" s="57" t="s">
        <v>3557</v>
      </c>
      <c r="F222" s="57" t="s">
        <v>4109</v>
      </c>
      <c r="G222" s="57" t="s">
        <v>4287</v>
      </c>
      <c r="H222" s="57" t="s">
        <v>4297</v>
      </c>
      <c r="I222" s="57" t="s">
        <v>3509</v>
      </c>
      <c r="J222" s="57" t="s">
        <v>4298</v>
      </c>
      <c r="K222" s="57" t="s">
        <v>3739</v>
      </c>
    </row>
    <row r="223" spans="1:11" ht="60" customHeight="1">
      <c r="A223" s="57" t="s">
        <v>4299</v>
      </c>
      <c r="B223" s="57" t="s">
        <v>4285</v>
      </c>
      <c r="C223" s="57" t="s">
        <v>4300</v>
      </c>
      <c r="D223" s="57" t="s">
        <v>3556</v>
      </c>
      <c r="E223" s="57" t="s">
        <v>3557</v>
      </c>
      <c r="F223" s="57" t="s">
        <v>4109</v>
      </c>
      <c r="G223" s="57" t="s">
        <v>4287</v>
      </c>
      <c r="H223" s="57" t="s">
        <v>4299</v>
      </c>
      <c r="I223" s="57" t="s">
        <v>3509</v>
      </c>
      <c r="J223" s="57" t="s">
        <v>4301</v>
      </c>
      <c r="K223" s="57" t="s">
        <v>3739</v>
      </c>
    </row>
    <row r="224" spans="1:11" ht="60" customHeight="1">
      <c r="A224" s="57" t="s">
        <v>4302</v>
      </c>
      <c r="B224" s="57" t="s">
        <v>4285</v>
      </c>
      <c r="C224" s="57" t="s">
        <v>4130</v>
      </c>
      <c r="D224" s="57" t="s">
        <v>3556</v>
      </c>
      <c r="E224" s="57" t="s">
        <v>3557</v>
      </c>
      <c r="F224" s="57" t="s">
        <v>4109</v>
      </c>
      <c r="G224" s="57" t="s">
        <v>4287</v>
      </c>
      <c r="H224" s="57" t="s">
        <v>4302</v>
      </c>
      <c r="I224" s="57" t="s">
        <v>3509</v>
      </c>
      <c r="J224" s="57" t="s">
        <v>4303</v>
      </c>
      <c r="K224" s="57" t="s">
        <v>3739</v>
      </c>
    </row>
    <row r="225" spans="1:11" ht="60" customHeight="1">
      <c r="A225" s="57" t="s">
        <v>4304</v>
      </c>
      <c r="B225" s="57" t="s">
        <v>4285</v>
      </c>
      <c r="C225" s="57" t="s">
        <v>4305</v>
      </c>
      <c r="D225" s="57" t="s">
        <v>3556</v>
      </c>
      <c r="E225" s="57" t="s">
        <v>3557</v>
      </c>
      <c r="F225" s="57" t="s">
        <v>4109</v>
      </c>
      <c r="G225" s="57" t="s">
        <v>4287</v>
      </c>
      <c r="H225" s="57" t="s">
        <v>4304</v>
      </c>
      <c r="I225" s="57" t="s">
        <v>3509</v>
      </c>
      <c r="J225" s="57" t="s">
        <v>4306</v>
      </c>
      <c r="K225" s="57" t="s">
        <v>3739</v>
      </c>
    </row>
    <row r="226" spans="1:11" ht="60" customHeight="1">
      <c r="A226" s="57" t="s">
        <v>4307</v>
      </c>
      <c r="B226" s="57" t="s">
        <v>4285</v>
      </c>
      <c r="C226" s="57" t="s">
        <v>4308</v>
      </c>
      <c r="D226" s="57" t="s">
        <v>3556</v>
      </c>
      <c r="E226" s="57" t="s">
        <v>3557</v>
      </c>
      <c r="F226" s="57" t="s">
        <v>4109</v>
      </c>
      <c r="G226" s="57" t="s">
        <v>4287</v>
      </c>
      <c r="H226" s="57" t="s">
        <v>4307</v>
      </c>
      <c r="I226" s="57" t="s">
        <v>3509</v>
      </c>
      <c r="J226" s="57" t="s">
        <v>4309</v>
      </c>
      <c r="K226" s="57" t="s">
        <v>3739</v>
      </c>
    </row>
    <row r="227" spans="1:11" ht="60" customHeight="1">
      <c r="A227" s="57" t="s">
        <v>4310</v>
      </c>
      <c r="B227" s="57" t="s">
        <v>4285</v>
      </c>
      <c r="C227" s="57" t="s">
        <v>4311</v>
      </c>
      <c r="D227" s="57" t="s">
        <v>1243</v>
      </c>
      <c r="E227" s="57" t="s">
        <v>1821</v>
      </c>
      <c r="F227" s="57" t="s">
        <v>4312</v>
      </c>
      <c r="G227" s="57" t="s">
        <v>4287</v>
      </c>
      <c r="H227" s="57" t="s">
        <v>4310</v>
      </c>
      <c r="I227" s="57" t="s">
        <v>3509</v>
      </c>
      <c r="J227" s="57" t="s">
        <v>4313</v>
      </c>
      <c r="K227" s="57" t="s">
        <v>3739</v>
      </c>
    </row>
    <row r="228" spans="1:11" ht="60" customHeight="1">
      <c r="A228" s="57" t="s">
        <v>4314</v>
      </c>
      <c r="B228" s="57" t="s">
        <v>4285</v>
      </c>
      <c r="C228" s="57" t="s">
        <v>4241</v>
      </c>
      <c r="D228" s="57" t="s">
        <v>1243</v>
      </c>
      <c r="E228" s="57" t="s">
        <v>1821</v>
      </c>
      <c r="F228" s="57" t="s">
        <v>4312</v>
      </c>
      <c r="G228" s="57" t="s">
        <v>4287</v>
      </c>
      <c r="H228" s="57" t="s">
        <v>4314</v>
      </c>
      <c r="I228" s="57" t="s">
        <v>3509</v>
      </c>
      <c r="J228" s="57" t="s">
        <v>4315</v>
      </c>
      <c r="K228" s="57" t="s">
        <v>3739</v>
      </c>
    </row>
    <row r="229" spans="1:11" ht="60" customHeight="1">
      <c r="A229" s="57" t="s">
        <v>4316</v>
      </c>
      <c r="B229" s="57" t="s">
        <v>4285</v>
      </c>
      <c r="C229" s="57" t="s">
        <v>1544</v>
      </c>
      <c r="D229" s="57" t="s">
        <v>1243</v>
      </c>
      <c r="E229" s="57" t="s">
        <v>1821</v>
      </c>
      <c r="F229" s="57" t="s">
        <v>4312</v>
      </c>
      <c r="G229" s="57" t="s">
        <v>4287</v>
      </c>
      <c r="H229" s="57" t="s">
        <v>4316</v>
      </c>
      <c r="I229" s="57" t="s">
        <v>3509</v>
      </c>
      <c r="J229" s="57" t="s">
        <v>4317</v>
      </c>
      <c r="K229" s="57" t="s">
        <v>3739</v>
      </c>
    </row>
    <row r="230" spans="1:11" ht="60" customHeight="1">
      <c r="A230" s="57" t="s">
        <v>4318</v>
      </c>
      <c r="B230" s="57" t="s">
        <v>4285</v>
      </c>
      <c r="C230" s="57" t="s">
        <v>953</v>
      </c>
      <c r="D230" s="57" t="s">
        <v>1243</v>
      </c>
      <c r="E230" s="57" t="s">
        <v>1821</v>
      </c>
      <c r="F230" s="57" t="s">
        <v>4312</v>
      </c>
      <c r="G230" s="57" t="s">
        <v>4287</v>
      </c>
      <c r="H230" s="57" t="s">
        <v>4318</v>
      </c>
      <c r="I230" s="57" t="s">
        <v>3509</v>
      </c>
      <c r="J230" s="57" t="s">
        <v>4319</v>
      </c>
      <c r="K230" s="57" t="s">
        <v>3739</v>
      </c>
    </row>
    <row r="231" spans="1:11" ht="60" customHeight="1">
      <c r="A231" s="57" t="s">
        <v>4320</v>
      </c>
      <c r="B231" s="57" t="s">
        <v>4285</v>
      </c>
      <c r="C231" s="57" t="s">
        <v>4321</v>
      </c>
      <c r="D231" s="57" t="s">
        <v>3556</v>
      </c>
      <c r="E231" s="57" t="s">
        <v>3557</v>
      </c>
      <c r="F231" s="57" t="s">
        <v>4109</v>
      </c>
      <c r="G231" s="57" t="s">
        <v>4287</v>
      </c>
      <c r="H231" s="57" t="s">
        <v>4320</v>
      </c>
      <c r="I231" s="57" t="s">
        <v>3509</v>
      </c>
      <c r="J231" s="57" t="s">
        <v>4322</v>
      </c>
      <c r="K231" s="57" t="s">
        <v>3739</v>
      </c>
    </row>
    <row r="232" spans="1:11" ht="60" customHeight="1">
      <c r="A232" s="57" t="s">
        <v>4323</v>
      </c>
      <c r="B232" s="57" t="s">
        <v>4285</v>
      </c>
      <c r="C232" s="57" t="s">
        <v>2567</v>
      </c>
      <c r="D232" s="57" t="s">
        <v>3556</v>
      </c>
      <c r="E232" s="57" t="s">
        <v>3557</v>
      </c>
      <c r="F232" s="57" t="s">
        <v>4109</v>
      </c>
      <c r="G232" s="57" t="s">
        <v>4287</v>
      </c>
      <c r="H232" s="57" t="s">
        <v>4323</v>
      </c>
      <c r="I232" s="57" t="s">
        <v>3509</v>
      </c>
      <c r="J232" s="57" t="s">
        <v>4324</v>
      </c>
      <c r="K232" s="57" t="s">
        <v>3739</v>
      </c>
    </row>
    <row r="233" spans="1:11" ht="60" customHeight="1">
      <c r="A233" s="57" t="s">
        <v>4325</v>
      </c>
      <c r="B233" s="57" t="s">
        <v>4326</v>
      </c>
      <c r="C233" s="57" t="s">
        <v>4327</v>
      </c>
      <c r="D233" s="57" t="s">
        <v>3556</v>
      </c>
      <c r="E233" s="57" t="s">
        <v>3557</v>
      </c>
      <c r="F233" s="57" t="s">
        <v>4328</v>
      </c>
      <c r="G233" s="57" t="s">
        <v>4329</v>
      </c>
      <c r="H233" s="57" t="s">
        <v>4325</v>
      </c>
      <c r="I233" s="57" t="s">
        <v>3509</v>
      </c>
      <c r="J233" s="57" t="s">
        <v>4330</v>
      </c>
      <c r="K233" s="57" t="s">
        <v>4331</v>
      </c>
    </row>
    <row r="234" spans="1:11" ht="60" customHeight="1">
      <c r="A234" s="57" t="s">
        <v>4332</v>
      </c>
      <c r="B234" s="57" t="s">
        <v>4326</v>
      </c>
      <c r="C234" s="57" t="s">
        <v>4333</v>
      </c>
      <c r="D234" s="57" t="s">
        <v>3556</v>
      </c>
      <c r="E234" s="57" t="s">
        <v>3557</v>
      </c>
      <c r="F234" s="57" t="s">
        <v>4328</v>
      </c>
      <c r="G234" s="57" t="s">
        <v>4329</v>
      </c>
      <c r="H234" s="57" t="s">
        <v>4332</v>
      </c>
      <c r="I234" s="57" t="s">
        <v>3509</v>
      </c>
      <c r="J234" s="57" t="s">
        <v>4330</v>
      </c>
      <c r="K234" s="57" t="s">
        <v>4331</v>
      </c>
    </row>
    <row r="235" spans="1:11" ht="60" customHeight="1">
      <c r="A235" s="57" t="s">
        <v>4334</v>
      </c>
      <c r="B235" s="57" t="s">
        <v>4326</v>
      </c>
      <c r="C235" s="57" t="s">
        <v>4335</v>
      </c>
      <c r="D235" s="57" t="s">
        <v>3556</v>
      </c>
      <c r="E235" s="57" t="s">
        <v>3557</v>
      </c>
      <c r="F235" s="57" t="s">
        <v>4328</v>
      </c>
      <c r="G235" s="57" t="s">
        <v>4329</v>
      </c>
      <c r="H235" s="57" t="s">
        <v>4334</v>
      </c>
      <c r="I235" s="57" t="s">
        <v>3509</v>
      </c>
      <c r="J235" s="57" t="s">
        <v>4330</v>
      </c>
      <c r="K235" s="57" t="s">
        <v>4331</v>
      </c>
    </row>
    <row r="236" spans="1:11" ht="60" customHeight="1">
      <c r="A236" s="57" t="s">
        <v>4336</v>
      </c>
      <c r="B236" s="57" t="s">
        <v>4326</v>
      </c>
      <c r="C236" s="57" t="s">
        <v>4337</v>
      </c>
      <c r="D236" s="57" t="s">
        <v>3556</v>
      </c>
      <c r="E236" s="57" t="s">
        <v>3557</v>
      </c>
      <c r="F236" s="57" t="s">
        <v>4328</v>
      </c>
      <c r="G236" s="57" t="s">
        <v>4329</v>
      </c>
      <c r="H236" s="57" t="s">
        <v>4336</v>
      </c>
      <c r="I236" s="57" t="s">
        <v>3509</v>
      </c>
      <c r="J236" s="57" t="s">
        <v>4330</v>
      </c>
      <c r="K236" s="57" t="s">
        <v>4331</v>
      </c>
    </row>
    <row r="237" spans="1:11" ht="60" customHeight="1">
      <c r="A237" s="57" t="s">
        <v>4338</v>
      </c>
      <c r="B237" s="57" t="s">
        <v>4326</v>
      </c>
      <c r="C237" s="57" t="s">
        <v>4339</v>
      </c>
      <c r="D237" s="57" t="s">
        <v>3556</v>
      </c>
      <c r="E237" s="57" t="s">
        <v>3557</v>
      </c>
      <c r="F237" s="57" t="s">
        <v>4328</v>
      </c>
      <c r="G237" s="57" t="s">
        <v>4329</v>
      </c>
      <c r="H237" s="57" t="s">
        <v>4338</v>
      </c>
      <c r="I237" s="57" t="s">
        <v>3509</v>
      </c>
      <c r="J237" s="57" t="s">
        <v>4330</v>
      </c>
      <c r="K237" s="57" t="s">
        <v>4331</v>
      </c>
    </row>
    <row r="238" spans="1:11" ht="60" customHeight="1">
      <c r="A238" s="57" t="s">
        <v>4340</v>
      </c>
      <c r="B238" s="57" t="s">
        <v>4326</v>
      </c>
      <c r="C238" s="57" t="s">
        <v>4341</v>
      </c>
      <c r="D238" s="57" t="s">
        <v>3556</v>
      </c>
      <c r="E238" s="57" t="s">
        <v>3557</v>
      </c>
      <c r="F238" s="57" t="s">
        <v>4328</v>
      </c>
      <c r="G238" s="57" t="s">
        <v>4329</v>
      </c>
      <c r="H238" s="57" t="s">
        <v>4340</v>
      </c>
      <c r="I238" s="57" t="s">
        <v>3509</v>
      </c>
      <c r="J238" s="57" t="s">
        <v>4330</v>
      </c>
      <c r="K238" s="57" t="s">
        <v>4331</v>
      </c>
    </row>
    <row r="239" spans="1:11" ht="60" customHeight="1">
      <c r="A239" s="57" t="s">
        <v>4342</v>
      </c>
      <c r="B239" s="57" t="s">
        <v>4326</v>
      </c>
      <c r="C239" s="57" t="s">
        <v>4343</v>
      </c>
      <c r="D239" s="57" t="s">
        <v>1243</v>
      </c>
      <c r="E239" s="57" t="s">
        <v>1821</v>
      </c>
      <c r="F239" s="57" t="s">
        <v>4312</v>
      </c>
      <c r="G239" s="57" t="s">
        <v>4329</v>
      </c>
      <c r="H239" s="57" t="s">
        <v>4342</v>
      </c>
      <c r="I239" s="57" t="s">
        <v>3509</v>
      </c>
      <c r="J239" s="57" t="s">
        <v>4330</v>
      </c>
      <c r="K239" s="57" t="s">
        <v>4331</v>
      </c>
    </row>
    <row r="240" spans="1:11" ht="60" customHeight="1">
      <c r="A240" s="57" t="s">
        <v>4344</v>
      </c>
      <c r="B240" s="57" t="s">
        <v>4326</v>
      </c>
      <c r="C240" s="57" t="s">
        <v>4345</v>
      </c>
      <c r="D240" s="57" t="s">
        <v>1243</v>
      </c>
      <c r="E240" s="57" t="s">
        <v>1821</v>
      </c>
      <c r="F240" s="57" t="s">
        <v>4312</v>
      </c>
      <c r="G240" s="57" t="s">
        <v>4329</v>
      </c>
      <c r="H240" s="57" t="s">
        <v>4344</v>
      </c>
      <c r="I240" s="57" t="s">
        <v>3509</v>
      </c>
      <c r="J240" s="57" t="s">
        <v>4330</v>
      </c>
      <c r="K240" s="57" t="s">
        <v>4331</v>
      </c>
    </row>
    <row r="241" spans="1:11" ht="60" customHeight="1">
      <c r="A241" s="57" t="s">
        <v>4346</v>
      </c>
      <c r="B241" s="57" t="s">
        <v>4326</v>
      </c>
      <c r="C241" s="57" t="s">
        <v>4347</v>
      </c>
      <c r="D241" s="57" t="s">
        <v>3556</v>
      </c>
      <c r="E241" s="57" t="s">
        <v>3557</v>
      </c>
      <c r="F241" s="57" t="s">
        <v>4328</v>
      </c>
      <c r="G241" s="57" t="s">
        <v>4329</v>
      </c>
      <c r="H241" s="57" t="s">
        <v>4346</v>
      </c>
      <c r="I241" s="57" t="s">
        <v>3509</v>
      </c>
      <c r="J241" s="57" t="s">
        <v>4330</v>
      </c>
      <c r="K241" s="57" t="s">
        <v>4331</v>
      </c>
    </row>
    <row r="242" spans="1:11" ht="60" customHeight="1">
      <c r="A242" s="57" t="s">
        <v>4348</v>
      </c>
      <c r="B242" s="57" t="s">
        <v>4326</v>
      </c>
      <c r="C242" s="57" t="s">
        <v>4349</v>
      </c>
      <c r="D242" s="57" t="s">
        <v>3556</v>
      </c>
      <c r="E242" s="57" t="s">
        <v>3557</v>
      </c>
      <c r="F242" s="57" t="s">
        <v>4328</v>
      </c>
      <c r="G242" s="57" t="s">
        <v>4329</v>
      </c>
      <c r="H242" s="57" t="s">
        <v>4348</v>
      </c>
      <c r="I242" s="57" t="s">
        <v>3509</v>
      </c>
      <c r="J242" s="57" t="s">
        <v>4330</v>
      </c>
      <c r="K242" s="57" t="s">
        <v>4331</v>
      </c>
    </row>
    <row r="243" spans="1:11" ht="60" customHeight="1">
      <c r="A243" s="57" t="s">
        <v>4350</v>
      </c>
      <c r="B243" s="57" t="s">
        <v>4326</v>
      </c>
      <c r="C243" s="57" t="s">
        <v>4351</v>
      </c>
      <c r="D243" s="57" t="s">
        <v>3556</v>
      </c>
      <c r="E243" s="57" t="s">
        <v>3557</v>
      </c>
      <c r="F243" s="57" t="s">
        <v>4328</v>
      </c>
      <c r="G243" s="57" t="s">
        <v>4329</v>
      </c>
      <c r="H243" s="57" t="s">
        <v>4350</v>
      </c>
      <c r="I243" s="57" t="s">
        <v>3509</v>
      </c>
      <c r="J243" s="57" t="s">
        <v>4330</v>
      </c>
      <c r="K243" s="57" t="s">
        <v>4331</v>
      </c>
    </row>
    <row r="244" spans="1:11" ht="60" customHeight="1">
      <c r="A244" s="57" t="s">
        <v>4352</v>
      </c>
      <c r="B244" s="57" t="s">
        <v>4353</v>
      </c>
      <c r="C244" s="57" t="s">
        <v>4354</v>
      </c>
      <c r="D244" s="57" t="s">
        <v>3556</v>
      </c>
      <c r="E244" s="57" t="s">
        <v>3557</v>
      </c>
      <c r="F244" s="57" t="s">
        <v>4355</v>
      </c>
      <c r="G244" s="57" t="s">
        <v>4356</v>
      </c>
      <c r="H244" s="57" t="s">
        <v>4350</v>
      </c>
      <c r="I244" s="57" t="s">
        <v>3509</v>
      </c>
      <c r="J244" s="57" t="s">
        <v>4357</v>
      </c>
      <c r="K244" s="57" t="s">
        <v>3739</v>
      </c>
    </row>
    <row r="245" spans="1:11" ht="60" customHeight="1">
      <c r="A245" s="57" t="s">
        <v>4358</v>
      </c>
      <c r="B245" s="57" t="s">
        <v>4353</v>
      </c>
      <c r="C245" s="57" t="s">
        <v>4359</v>
      </c>
      <c r="D245" s="57" t="s">
        <v>3556</v>
      </c>
      <c r="E245" s="57" t="s">
        <v>3557</v>
      </c>
      <c r="F245" s="57" t="s">
        <v>4355</v>
      </c>
      <c r="G245" s="57" t="s">
        <v>4356</v>
      </c>
      <c r="H245" s="57" t="s">
        <v>4350</v>
      </c>
      <c r="I245" s="57" t="s">
        <v>3509</v>
      </c>
      <c r="J245" s="57" t="s">
        <v>4357</v>
      </c>
      <c r="K245" s="57" t="s">
        <v>3739</v>
      </c>
    </row>
    <row r="246" spans="1:11" ht="60" customHeight="1">
      <c r="A246" s="57" t="s">
        <v>4360</v>
      </c>
      <c r="B246" s="57" t="s">
        <v>4353</v>
      </c>
      <c r="C246" s="57" t="s">
        <v>4361</v>
      </c>
      <c r="D246" s="57" t="s">
        <v>3556</v>
      </c>
      <c r="E246" s="57" t="s">
        <v>3557</v>
      </c>
      <c r="F246" s="57" t="s">
        <v>4355</v>
      </c>
      <c r="G246" s="57" t="s">
        <v>4356</v>
      </c>
      <c r="H246" s="57" t="s">
        <v>4350</v>
      </c>
      <c r="I246" s="57" t="s">
        <v>3509</v>
      </c>
      <c r="J246" s="57" t="s">
        <v>4357</v>
      </c>
      <c r="K246" s="57" t="s">
        <v>3739</v>
      </c>
    </row>
    <row r="247" spans="1:11" ht="60" customHeight="1">
      <c r="A247" s="57" t="s">
        <v>4362</v>
      </c>
      <c r="B247" s="57" t="s">
        <v>4353</v>
      </c>
      <c r="C247" s="57" t="s">
        <v>4363</v>
      </c>
      <c r="D247" s="57" t="s">
        <v>3556</v>
      </c>
      <c r="E247" s="57" t="s">
        <v>3557</v>
      </c>
      <c r="F247" s="57" t="s">
        <v>4355</v>
      </c>
      <c r="G247" s="57" t="s">
        <v>4356</v>
      </c>
      <c r="H247" s="57" t="s">
        <v>4350</v>
      </c>
      <c r="I247" s="57" t="s">
        <v>3509</v>
      </c>
      <c r="J247" s="57" t="s">
        <v>4357</v>
      </c>
      <c r="K247" s="57" t="s">
        <v>3739</v>
      </c>
    </row>
    <row r="248" spans="1:11" ht="60" customHeight="1">
      <c r="A248" s="57" t="s">
        <v>4364</v>
      </c>
      <c r="B248" s="57" t="s">
        <v>4353</v>
      </c>
      <c r="C248" s="57" t="s">
        <v>4365</v>
      </c>
      <c r="D248" s="57" t="s">
        <v>3556</v>
      </c>
      <c r="E248" s="57" t="s">
        <v>3557</v>
      </c>
      <c r="F248" s="57" t="s">
        <v>4355</v>
      </c>
      <c r="G248" s="57" t="s">
        <v>4356</v>
      </c>
      <c r="H248" s="57" t="s">
        <v>4350</v>
      </c>
      <c r="I248" s="57" t="s">
        <v>3509</v>
      </c>
      <c r="J248" s="57" t="s">
        <v>4357</v>
      </c>
      <c r="K248" s="57" t="s">
        <v>3739</v>
      </c>
    </row>
    <row r="249" spans="1:11" ht="60" customHeight="1">
      <c r="A249" s="57" t="s">
        <v>4366</v>
      </c>
      <c r="B249" s="57" t="s">
        <v>4353</v>
      </c>
      <c r="C249" s="57" t="s">
        <v>4367</v>
      </c>
      <c r="D249" s="57" t="s">
        <v>3556</v>
      </c>
      <c r="E249" s="57" t="s">
        <v>3557</v>
      </c>
      <c r="F249" s="57" t="s">
        <v>4355</v>
      </c>
      <c r="G249" s="57" t="s">
        <v>4356</v>
      </c>
      <c r="H249" s="57" t="s">
        <v>4350</v>
      </c>
      <c r="I249" s="57" t="s">
        <v>3509</v>
      </c>
      <c r="J249" s="57" t="s">
        <v>4357</v>
      </c>
      <c r="K249" s="57" t="s">
        <v>3739</v>
      </c>
    </row>
    <row r="250" spans="1:11" ht="60" customHeight="1">
      <c r="A250" s="57" t="s">
        <v>4368</v>
      </c>
      <c r="B250" s="57" t="s">
        <v>4353</v>
      </c>
      <c r="C250" s="57" t="s">
        <v>4369</v>
      </c>
      <c r="D250" s="57" t="s">
        <v>3556</v>
      </c>
      <c r="E250" s="57" t="s">
        <v>3557</v>
      </c>
      <c r="F250" s="57" t="s">
        <v>4355</v>
      </c>
      <c r="G250" s="57" t="s">
        <v>4356</v>
      </c>
      <c r="H250" s="57" t="s">
        <v>4350</v>
      </c>
      <c r="I250" s="57" t="s">
        <v>3509</v>
      </c>
      <c r="J250" s="57" t="s">
        <v>4357</v>
      </c>
      <c r="K250" s="57" t="s">
        <v>3739</v>
      </c>
    </row>
    <row r="251" spans="1:11" ht="60" customHeight="1">
      <c r="A251" s="57" t="s">
        <v>4370</v>
      </c>
      <c r="B251" s="57" t="s">
        <v>4353</v>
      </c>
      <c r="C251" s="57" t="s">
        <v>4371</v>
      </c>
      <c r="D251" s="57" t="s">
        <v>3556</v>
      </c>
      <c r="E251" s="57" t="s">
        <v>3557</v>
      </c>
      <c r="F251" s="57" t="s">
        <v>4355</v>
      </c>
      <c r="G251" s="57" t="s">
        <v>4356</v>
      </c>
      <c r="H251" s="57" t="s">
        <v>4350</v>
      </c>
      <c r="I251" s="57" t="s">
        <v>3509</v>
      </c>
      <c r="J251" s="57" t="s">
        <v>4357</v>
      </c>
      <c r="K251" s="57" t="s">
        <v>3739</v>
      </c>
    </row>
    <row r="252" spans="1:11" ht="60" customHeight="1">
      <c r="A252" s="57" t="s">
        <v>4372</v>
      </c>
      <c r="B252" s="57" t="s">
        <v>4353</v>
      </c>
      <c r="C252" s="57" t="s">
        <v>4373</v>
      </c>
      <c r="D252" s="57" t="s">
        <v>3556</v>
      </c>
      <c r="E252" s="57" t="s">
        <v>3557</v>
      </c>
      <c r="F252" s="57" t="s">
        <v>4355</v>
      </c>
      <c r="G252" s="57" t="s">
        <v>4356</v>
      </c>
      <c r="H252" s="57" t="s">
        <v>4350</v>
      </c>
      <c r="I252" s="57" t="s">
        <v>3509</v>
      </c>
      <c r="J252" s="57" t="s">
        <v>4357</v>
      </c>
      <c r="K252" s="57" t="s">
        <v>3739</v>
      </c>
    </row>
    <row r="253" spans="1:11" ht="60" customHeight="1">
      <c r="A253" s="57" t="s">
        <v>4374</v>
      </c>
      <c r="B253" s="57" t="s">
        <v>4353</v>
      </c>
      <c r="C253" s="57" t="s">
        <v>4375</v>
      </c>
      <c r="D253" s="57" t="s">
        <v>3556</v>
      </c>
      <c r="E253" s="57" t="s">
        <v>3557</v>
      </c>
      <c r="F253" s="57" t="s">
        <v>4355</v>
      </c>
      <c r="G253" s="57" t="s">
        <v>4356</v>
      </c>
      <c r="H253" s="57" t="s">
        <v>4350</v>
      </c>
      <c r="I253" s="57" t="s">
        <v>3509</v>
      </c>
      <c r="J253" s="57" t="s">
        <v>4357</v>
      </c>
      <c r="K253" s="57" t="s">
        <v>3739</v>
      </c>
    </row>
    <row r="254" spans="1:11" ht="60" customHeight="1">
      <c r="A254" s="57" t="s">
        <v>4376</v>
      </c>
      <c r="B254" s="57" t="s">
        <v>4353</v>
      </c>
      <c r="C254" s="57" t="s">
        <v>4377</v>
      </c>
      <c r="D254" s="57" t="s">
        <v>3556</v>
      </c>
      <c r="E254" s="57" t="s">
        <v>3557</v>
      </c>
      <c r="F254" s="57" t="s">
        <v>4355</v>
      </c>
      <c r="G254" s="57" t="s">
        <v>4356</v>
      </c>
      <c r="H254" s="57" t="s">
        <v>4350</v>
      </c>
      <c r="I254" s="57" t="s">
        <v>3509</v>
      </c>
      <c r="J254" s="57" t="s">
        <v>4357</v>
      </c>
      <c r="K254" s="57" t="s">
        <v>3739</v>
      </c>
    </row>
    <row r="255" spans="1:11" ht="60" customHeight="1">
      <c r="A255" s="57" t="s">
        <v>4378</v>
      </c>
      <c r="B255" s="57" t="s">
        <v>4353</v>
      </c>
      <c r="C255" s="57" t="s">
        <v>4379</v>
      </c>
      <c r="D255" s="57" t="s">
        <v>3556</v>
      </c>
      <c r="E255" s="57" t="s">
        <v>3557</v>
      </c>
      <c r="F255" s="57" t="s">
        <v>4355</v>
      </c>
      <c r="G255" s="57" t="s">
        <v>4356</v>
      </c>
      <c r="H255" s="57" t="s">
        <v>4350</v>
      </c>
      <c r="I255" s="57" t="s">
        <v>3509</v>
      </c>
      <c r="J255" s="57" t="s">
        <v>4357</v>
      </c>
      <c r="K255" s="57" t="s">
        <v>3739</v>
      </c>
    </row>
    <row r="256" spans="1:11" ht="60" customHeight="1">
      <c r="A256" s="57" t="s">
        <v>4380</v>
      </c>
      <c r="B256" s="57" t="s">
        <v>4353</v>
      </c>
      <c r="C256" s="57" t="s">
        <v>4381</v>
      </c>
      <c r="D256" s="57" t="s">
        <v>3556</v>
      </c>
      <c r="E256" s="57" t="s">
        <v>3557</v>
      </c>
      <c r="F256" s="57" t="s">
        <v>4355</v>
      </c>
      <c r="G256" s="57" t="s">
        <v>4356</v>
      </c>
      <c r="H256" s="57" t="s">
        <v>4350</v>
      </c>
      <c r="I256" s="57" t="s">
        <v>3509</v>
      </c>
      <c r="J256" s="57" t="s">
        <v>4357</v>
      </c>
      <c r="K256" s="57" t="s">
        <v>3739</v>
      </c>
    </row>
    <row r="257" spans="1:11" ht="60" customHeight="1">
      <c r="A257" s="57" t="s">
        <v>4382</v>
      </c>
      <c r="B257" s="57" t="s">
        <v>4353</v>
      </c>
      <c r="C257" s="57" t="s">
        <v>4383</v>
      </c>
      <c r="D257" s="57" t="s">
        <v>3556</v>
      </c>
      <c r="E257" s="57" t="s">
        <v>3557</v>
      </c>
      <c r="F257" s="57" t="s">
        <v>4355</v>
      </c>
      <c r="G257" s="57" t="s">
        <v>4356</v>
      </c>
      <c r="H257" s="57" t="s">
        <v>4350</v>
      </c>
      <c r="I257" s="57" t="s">
        <v>3509</v>
      </c>
      <c r="J257" s="57" t="s">
        <v>4357</v>
      </c>
      <c r="K257" s="57" t="s">
        <v>3739</v>
      </c>
    </row>
    <row r="258" spans="1:11" ht="60" customHeight="1">
      <c r="A258" s="57" t="s">
        <v>4384</v>
      </c>
      <c r="B258" s="57" t="s">
        <v>4353</v>
      </c>
      <c r="C258" s="57" t="s">
        <v>4385</v>
      </c>
      <c r="D258" s="57" t="s">
        <v>3556</v>
      </c>
      <c r="E258" s="57" t="s">
        <v>3557</v>
      </c>
      <c r="F258" s="57" t="s">
        <v>4355</v>
      </c>
      <c r="G258" s="57" t="s">
        <v>4356</v>
      </c>
      <c r="H258" s="57" t="s">
        <v>4350</v>
      </c>
      <c r="I258" s="57" t="s">
        <v>3509</v>
      </c>
      <c r="J258" s="57" t="s">
        <v>4357</v>
      </c>
      <c r="K258" s="57" t="s">
        <v>3739</v>
      </c>
    </row>
    <row r="259" spans="1:11" ht="60" customHeight="1">
      <c r="A259" s="57" t="s">
        <v>4386</v>
      </c>
      <c r="B259" s="57" t="s">
        <v>4353</v>
      </c>
      <c r="C259" s="57" t="s">
        <v>4387</v>
      </c>
      <c r="D259" s="57" t="s">
        <v>3556</v>
      </c>
      <c r="E259" s="57" t="s">
        <v>3557</v>
      </c>
      <c r="F259" s="57" t="s">
        <v>4355</v>
      </c>
      <c r="G259" s="57" t="s">
        <v>4356</v>
      </c>
      <c r="H259" s="57" t="s">
        <v>4350</v>
      </c>
      <c r="I259" s="57" t="s">
        <v>3509</v>
      </c>
      <c r="J259" s="57" t="s">
        <v>4357</v>
      </c>
      <c r="K259" s="57" t="s">
        <v>3739</v>
      </c>
    </row>
    <row r="260" spans="1:11" ht="60" customHeight="1">
      <c r="A260" s="57" t="s">
        <v>4388</v>
      </c>
      <c r="B260" s="57" t="s">
        <v>4353</v>
      </c>
      <c r="C260" s="57" t="s">
        <v>4389</v>
      </c>
      <c r="D260" s="57" t="s">
        <v>3556</v>
      </c>
      <c r="E260" s="57" t="s">
        <v>3557</v>
      </c>
      <c r="F260" s="57" t="s">
        <v>4355</v>
      </c>
      <c r="G260" s="57" t="s">
        <v>4356</v>
      </c>
      <c r="H260" s="57" t="s">
        <v>4350</v>
      </c>
      <c r="I260" s="57" t="s">
        <v>3509</v>
      </c>
      <c r="J260" s="57" t="s">
        <v>4357</v>
      </c>
      <c r="K260" s="57" t="s">
        <v>3739</v>
      </c>
    </row>
    <row r="261" spans="1:11" ht="60" customHeight="1">
      <c r="A261" s="57" t="s">
        <v>4390</v>
      </c>
      <c r="B261" s="57" t="s">
        <v>4353</v>
      </c>
      <c r="C261" s="57" t="s">
        <v>4391</v>
      </c>
      <c r="D261" s="57" t="s">
        <v>3556</v>
      </c>
      <c r="E261" s="57" t="s">
        <v>3557</v>
      </c>
      <c r="F261" s="57" t="s">
        <v>4355</v>
      </c>
      <c r="G261" s="57" t="s">
        <v>4356</v>
      </c>
      <c r="H261" s="57" t="s">
        <v>4350</v>
      </c>
      <c r="I261" s="57" t="s">
        <v>3509</v>
      </c>
      <c r="J261" s="57" t="s">
        <v>4357</v>
      </c>
      <c r="K261" s="57" t="s">
        <v>3739</v>
      </c>
    </row>
    <row r="262" spans="1:11" ht="60" customHeight="1">
      <c r="A262" s="57" t="s">
        <v>4392</v>
      </c>
      <c r="B262" s="57" t="s">
        <v>4353</v>
      </c>
      <c r="C262" s="57" t="s">
        <v>4393</v>
      </c>
      <c r="D262" s="57" t="s">
        <v>3556</v>
      </c>
      <c r="E262" s="57" t="s">
        <v>3557</v>
      </c>
      <c r="F262" s="57" t="s">
        <v>4355</v>
      </c>
      <c r="G262" s="57" t="s">
        <v>4356</v>
      </c>
      <c r="H262" s="57" t="s">
        <v>4350</v>
      </c>
      <c r="I262" s="57" t="s">
        <v>3509</v>
      </c>
      <c r="J262" s="57" t="s">
        <v>4357</v>
      </c>
      <c r="K262" s="57" t="s">
        <v>3739</v>
      </c>
    </row>
    <row r="263" spans="1:11" ht="60" customHeight="1">
      <c r="A263" s="57" t="s">
        <v>4394</v>
      </c>
      <c r="B263" s="57" t="s">
        <v>4353</v>
      </c>
      <c r="C263" s="57" t="s">
        <v>4395</v>
      </c>
      <c r="D263" s="57" t="s">
        <v>3556</v>
      </c>
      <c r="E263" s="57" t="s">
        <v>3557</v>
      </c>
      <c r="F263" s="57" t="s">
        <v>4355</v>
      </c>
      <c r="G263" s="57" t="s">
        <v>4356</v>
      </c>
      <c r="H263" s="57" t="s">
        <v>4350</v>
      </c>
      <c r="I263" s="57" t="s">
        <v>3509</v>
      </c>
      <c r="J263" s="57" t="s">
        <v>4357</v>
      </c>
      <c r="K263" s="57" t="s">
        <v>3739</v>
      </c>
    </row>
    <row r="264" spans="1:11" ht="60" customHeight="1">
      <c r="A264" s="57" t="s">
        <v>4396</v>
      </c>
      <c r="B264" s="57" t="s">
        <v>4353</v>
      </c>
      <c r="C264" s="57" t="s">
        <v>4397</v>
      </c>
      <c r="D264" s="57" t="s">
        <v>3556</v>
      </c>
      <c r="E264" s="57" t="s">
        <v>3557</v>
      </c>
      <c r="F264" s="57" t="s">
        <v>4355</v>
      </c>
      <c r="G264" s="57" t="s">
        <v>4356</v>
      </c>
      <c r="H264" s="57" t="s">
        <v>4350</v>
      </c>
      <c r="I264" s="57" t="s">
        <v>3509</v>
      </c>
      <c r="J264" s="57" t="s">
        <v>4357</v>
      </c>
      <c r="K264" s="57" t="s">
        <v>3739</v>
      </c>
    </row>
    <row r="265" spans="1:11" ht="60" customHeight="1">
      <c r="A265" s="57" t="s">
        <v>4398</v>
      </c>
      <c r="B265" s="57" t="s">
        <v>4353</v>
      </c>
      <c r="C265" s="57" t="s">
        <v>4399</v>
      </c>
      <c r="D265" s="57" t="s">
        <v>3556</v>
      </c>
      <c r="E265" s="57" t="s">
        <v>3557</v>
      </c>
      <c r="F265" s="57" t="s">
        <v>4355</v>
      </c>
      <c r="G265" s="57" t="s">
        <v>4356</v>
      </c>
      <c r="H265" s="57" t="s">
        <v>4350</v>
      </c>
      <c r="I265" s="57" t="s">
        <v>3509</v>
      </c>
      <c r="J265" s="57" t="s">
        <v>4357</v>
      </c>
      <c r="K265" s="57" t="s">
        <v>3739</v>
      </c>
    </row>
    <row r="266" spans="1:11" ht="60" customHeight="1">
      <c r="A266" s="57" t="s">
        <v>4400</v>
      </c>
      <c r="B266" s="57" t="s">
        <v>4401</v>
      </c>
      <c r="C266" s="57" t="s">
        <v>4402</v>
      </c>
      <c r="D266" s="57" t="s">
        <v>108</v>
      </c>
      <c r="E266" s="57" t="s">
        <v>1817</v>
      </c>
      <c r="F266" s="57" t="s">
        <v>4403</v>
      </c>
      <c r="G266" s="57" t="s">
        <v>4404</v>
      </c>
      <c r="H266" s="57" t="s">
        <v>4405</v>
      </c>
      <c r="I266" s="57" t="s">
        <v>4406</v>
      </c>
      <c r="J266" s="57" t="s">
        <v>4407</v>
      </c>
      <c r="K266" s="57" t="s">
        <v>4408</v>
      </c>
    </row>
    <row r="267" spans="1:11" ht="60" customHeight="1">
      <c r="A267" s="57" t="s">
        <v>4409</v>
      </c>
      <c r="B267" s="57" t="s">
        <v>4401</v>
      </c>
      <c r="C267" s="57" t="s">
        <v>4410</v>
      </c>
      <c r="D267" s="57" t="s">
        <v>108</v>
      </c>
      <c r="E267" s="57" t="s">
        <v>1817</v>
      </c>
      <c r="F267" s="57" t="s">
        <v>622</v>
      </c>
      <c r="G267" s="57" t="s">
        <v>4411</v>
      </c>
      <c r="H267" s="57" t="s">
        <v>4405</v>
      </c>
      <c r="I267" s="57" t="s">
        <v>4406</v>
      </c>
      <c r="J267" s="57" t="s">
        <v>4412</v>
      </c>
      <c r="K267" s="57" t="s">
        <v>4408</v>
      </c>
    </row>
    <row r="268" spans="1:11" ht="60" customHeight="1">
      <c r="A268" s="57" t="s">
        <v>4413</v>
      </c>
      <c r="B268" s="57" t="s">
        <v>4401</v>
      </c>
      <c r="C268" s="57" t="s">
        <v>4414</v>
      </c>
      <c r="D268" s="57" t="s">
        <v>108</v>
      </c>
      <c r="E268" s="57" t="s">
        <v>1817</v>
      </c>
      <c r="F268" s="57" t="s">
        <v>622</v>
      </c>
      <c r="G268" s="57" t="s">
        <v>4415</v>
      </c>
      <c r="H268" s="57" t="s">
        <v>4405</v>
      </c>
      <c r="I268" s="57" t="s">
        <v>4406</v>
      </c>
      <c r="J268" s="57" t="s">
        <v>4416</v>
      </c>
      <c r="K268" s="57" t="s">
        <v>4408</v>
      </c>
    </row>
    <row r="269" spans="1:11" ht="60" customHeight="1">
      <c r="A269" s="57" t="s">
        <v>4417</v>
      </c>
      <c r="B269" s="57" t="s">
        <v>4401</v>
      </c>
      <c r="C269" s="57" t="s">
        <v>4418</v>
      </c>
      <c r="D269" s="57" t="s">
        <v>108</v>
      </c>
      <c r="E269" s="57" t="s">
        <v>1817</v>
      </c>
      <c r="F269" s="57" t="s">
        <v>4419</v>
      </c>
      <c r="G269" s="57" t="s">
        <v>4420</v>
      </c>
      <c r="H269" s="57" t="s">
        <v>4405</v>
      </c>
      <c r="I269" s="57" t="s">
        <v>4406</v>
      </c>
      <c r="J269" s="57" t="s">
        <v>4421</v>
      </c>
      <c r="K269" s="57" t="s">
        <v>4408</v>
      </c>
    </row>
    <row r="270" spans="1:11" ht="60" customHeight="1">
      <c r="A270" s="57" t="s">
        <v>4422</v>
      </c>
      <c r="B270" s="57" t="s">
        <v>4401</v>
      </c>
      <c r="C270" s="57" t="s">
        <v>4423</v>
      </c>
      <c r="D270" s="57" t="s">
        <v>108</v>
      </c>
      <c r="E270" s="57" t="s">
        <v>1817</v>
      </c>
      <c r="F270" s="57" t="s">
        <v>629</v>
      </c>
      <c r="G270" s="57" t="s">
        <v>4420</v>
      </c>
      <c r="H270" s="57" t="s">
        <v>4405</v>
      </c>
      <c r="I270" s="57" t="s">
        <v>4406</v>
      </c>
      <c r="J270" s="57" t="s">
        <v>4424</v>
      </c>
      <c r="K270" s="57" t="s">
        <v>4408</v>
      </c>
    </row>
    <row r="271" spans="1:11" ht="60" customHeight="1">
      <c r="A271" s="57" t="s">
        <v>4425</v>
      </c>
      <c r="B271" s="57" t="s">
        <v>4401</v>
      </c>
      <c r="C271" s="57" t="s">
        <v>4426</v>
      </c>
      <c r="D271" s="57" t="s">
        <v>108</v>
      </c>
      <c r="E271" s="57" t="s">
        <v>1817</v>
      </c>
      <c r="F271" s="57" t="s">
        <v>3550</v>
      </c>
      <c r="G271" s="57" t="s">
        <v>4427</v>
      </c>
      <c r="H271" s="57" t="s">
        <v>4405</v>
      </c>
      <c r="I271" s="57" t="s">
        <v>4406</v>
      </c>
      <c r="J271" s="57" t="s">
        <v>4428</v>
      </c>
      <c r="K271" s="57" t="s">
        <v>4408</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271"/>
  <sheetViews>
    <sheetView workbookViewId="0"/>
  </sheetViews>
  <sheetFormatPr defaultRowHeight="14.25"/>
  <cols>
    <col min="1" max="1" width="24" customWidth="1"/>
    <col min="2" max="2" width="12" customWidth="1"/>
    <col min="3" max="3" width="40" customWidth="1"/>
    <col min="4" max="4" width="24" customWidth="1"/>
    <col min="5" max="5" width="32" customWidth="1"/>
    <col min="6" max="6" width="34" customWidth="1"/>
    <col min="7" max="7" width="40" customWidth="1"/>
    <col min="8" max="8" width="20" customWidth="1"/>
    <col min="9" max="9" width="24" customWidth="1"/>
    <col min="10" max="10" width="28" customWidth="1"/>
    <col min="11" max="11" width="40" customWidth="1"/>
  </cols>
  <sheetData>
    <row r="1" spans="1:11" ht="30" customHeight="1">
      <c r="A1" s="56" t="s">
        <v>4429</v>
      </c>
      <c r="B1" s="56" t="s">
        <v>4430</v>
      </c>
      <c r="C1" s="56" t="s">
        <v>4431</v>
      </c>
      <c r="D1" s="56" t="s">
        <v>3187</v>
      </c>
      <c r="E1" s="56" t="s">
        <v>4432</v>
      </c>
      <c r="F1" s="56" t="s">
        <v>4433</v>
      </c>
      <c r="G1" s="56" t="s">
        <v>4286</v>
      </c>
      <c r="H1" s="56" t="s">
        <v>3495</v>
      </c>
      <c r="I1" s="56" t="s">
        <v>3496</v>
      </c>
      <c r="J1" s="56" t="s">
        <v>4434</v>
      </c>
      <c r="K1" s="56" t="s">
        <v>4435</v>
      </c>
    </row>
    <row r="2" spans="1:11" ht="60" customHeight="1">
      <c r="A2" s="57" t="s">
        <v>4436</v>
      </c>
      <c r="B2" s="57" t="s">
        <v>3503</v>
      </c>
      <c r="C2" s="57" t="s">
        <v>4437</v>
      </c>
      <c r="D2" s="57" t="s">
        <v>4438</v>
      </c>
      <c r="E2" s="57" t="s">
        <v>4439</v>
      </c>
      <c r="F2" s="57" t="s">
        <v>4440</v>
      </c>
      <c r="G2" s="57" t="s">
        <v>3507</v>
      </c>
      <c r="H2" s="57" t="s">
        <v>108</v>
      </c>
      <c r="I2" s="57" t="s">
        <v>1791</v>
      </c>
      <c r="J2" s="57" t="s">
        <v>4441</v>
      </c>
      <c r="K2" s="57" t="s">
        <v>4442</v>
      </c>
    </row>
    <row r="3" spans="1:11" ht="60" customHeight="1">
      <c r="A3" s="57" t="s">
        <v>4443</v>
      </c>
      <c r="B3" s="57" t="s">
        <v>3503</v>
      </c>
      <c r="C3" s="57" t="s">
        <v>4444</v>
      </c>
      <c r="D3" s="57" t="s">
        <v>4445</v>
      </c>
      <c r="E3" s="57" t="s">
        <v>4446</v>
      </c>
      <c r="F3" s="57" t="s">
        <v>4440</v>
      </c>
      <c r="G3" s="57" t="s">
        <v>3507</v>
      </c>
      <c r="H3" s="57" t="s">
        <v>108</v>
      </c>
      <c r="I3" s="57" t="s">
        <v>1791</v>
      </c>
      <c r="J3" s="57" t="s">
        <v>4441</v>
      </c>
      <c r="K3" s="57" t="s">
        <v>4442</v>
      </c>
    </row>
    <row r="4" spans="1:11" ht="60" customHeight="1">
      <c r="A4" s="57" t="s">
        <v>4447</v>
      </c>
      <c r="B4" s="57" t="s">
        <v>3503</v>
      </c>
      <c r="C4" s="57" t="s">
        <v>4448</v>
      </c>
      <c r="D4" s="57" t="s">
        <v>4449</v>
      </c>
      <c r="E4" s="57" t="s">
        <v>4450</v>
      </c>
      <c r="F4" s="57" t="s">
        <v>4451</v>
      </c>
      <c r="G4" s="57" t="s">
        <v>3507</v>
      </c>
      <c r="H4" s="57" t="s">
        <v>108</v>
      </c>
      <c r="I4" s="57" t="s">
        <v>1791</v>
      </c>
      <c r="J4" s="57" t="s">
        <v>4441</v>
      </c>
      <c r="K4" s="57" t="s">
        <v>4442</v>
      </c>
    </row>
    <row r="5" spans="1:11" ht="60" customHeight="1">
      <c r="A5" s="57" t="s">
        <v>4452</v>
      </c>
      <c r="B5" s="57" t="s">
        <v>3503</v>
      </c>
      <c r="C5" s="57" t="s">
        <v>4453</v>
      </c>
      <c r="D5" s="57" t="s">
        <v>4438</v>
      </c>
      <c r="E5" s="57" t="s">
        <v>4454</v>
      </c>
      <c r="F5" s="57" t="s">
        <v>4455</v>
      </c>
      <c r="G5" s="57" t="s">
        <v>3507</v>
      </c>
      <c r="H5" s="57" t="s">
        <v>108</v>
      </c>
      <c r="I5" s="57" t="s">
        <v>1791</v>
      </c>
      <c r="J5" s="57" t="s">
        <v>4441</v>
      </c>
      <c r="K5" s="57" t="s">
        <v>4442</v>
      </c>
    </row>
    <row r="6" spans="1:11" ht="60" customHeight="1">
      <c r="A6" s="57" t="s">
        <v>4456</v>
      </c>
      <c r="B6" s="57" t="s">
        <v>3503</v>
      </c>
      <c r="C6" s="57" t="s">
        <v>4457</v>
      </c>
      <c r="D6" s="57" t="s">
        <v>4458</v>
      </c>
      <c r="E6" s="57" t="s">
        <v>4459</v>
      </c>
      <c r="F6" s="57" t="s">
        <v>4440</v>
      </c>
      <c r="G6" s="57" t="s">
        <v>3507</v>
      </c>
      <c r="H6" s="57" t="s">
        <v>108</v>
      </c>
      <c r="I6" s="57" t="s">
        <v>1791</v>
      </c>
      <c r="J6" s="57" t="s">
        <v>4441</v>
      </c>
      <c r="K6" s="57" t="s">
        <v>4442</v>
      </c>
    </row>
    <row r="7" spans="1:11" ht="60" customHeight="1">
      <c r="A7" s="57" t="s">
        <v>4460</v>
      </c>
      <c r="B7" s="57" t="s">
        <v>3512</v>
      </c>
      <c r="C7" s="57" t="s">
        <v>4461</v>
      </c>
      <c r="D7" s="57" t="s">
        <v>4462</v>
      </c>
      <c r="E7" s="57" t="s">
        <v>4463</v>
      </c>
      <c r="F7" s="57" t="s">
        <v>4464</v>
      </c>
      <c r="G7" s="57" t="s">
        <v>3515</v>
      </c>
      <c r="H7" s="57" t="s">
        <v>108</v>
      </c>
      <c r="I7" s="57" t="s">
        <v>1791</v>
      </c>
      <c r="J7" s="57" t="s">
        <v>4441</v>
      </c>
      <c r="K7" s="57" t="s">
        <v>4442</v>
      </c>
    </row>
    <row r="8" spans="1:11" ht="60" customHeight="1">
      <c r="A8" s="57" t="s">
        <v>4465</v>
      </c>
      <c r="B8" s="57" t="s">
        <v>3512</v>
      </c>
      <c r="C8" s="57" t="s">
        <v>4466</v>
      </c>
      <c r="D8" s="57" t="s">
        <v>4467</v>
      </c>
      <c r="E8" s="57" t="s">
        <v>4468</v>
      </c>
      <c r="F8" s="57" t="s">
        <v>4440</v>
      </c>
      <c r="G8" s="57" t="s">
        <v>3515</v>
      </c>
      <c r="H8" s="57" t="s">
        <v>108</v>
      </c>
      <c r="I8" s="57" t="s">
        <v>1791</v>
      </c>
      <c r="J8" s="57" t="s">
        <v>4441</v>
      </c>
      <c r="K8" s="57" t="s">
        <v>4442</v>
      </c>
    </row>
    <row r="9" spans="1:11" ht="60" customHeight="1">
      <c r="A9" s="57" t="s">
        <v>4469</v>
      </c>
      <c r="B9" s="57" t="s">
        <v>3512</v>
      </c>
      <c r="C9" s="57" t="s">
        <v>4470</v>
      </c>
      <c r="D9" s="57" t="s">
        <v>4471</v>
      </c>
      <c r="E9" s="57" t="s">
        <v>4472</v>
      </c>
      <c r="F9" s="57" t="s">
        <v>4473</v>
      </c>
      <c r="G9" s="57" t="s">
        <v>3515</v>
      </c>
      <c r="H9" s="57" t="s">
        <v>108</v>
      </c>
      <c r="I9" s="57" t="s">
        <v>1791</v>
      </c>
      <c r="J9" s="57" t="s">
        <v>4441</v>
      </c>
      <c r="K9" s="57" t="s">
        <v>4442</v>
      </c>
    </row>
    <row r="10" spans="1:11" ht="60" customHeight="1">
      <c r="A10" s="57" t="s">
        <v>4474</v>
      </c>
      <c r="B10" s="57" t="s">
        <v>3512</v>
      </c>
      <c r="C10" s="57" t="s">
        <v>4475</v>
      </c>
      <c r="D10" s="57" t="s">
        <v>4476</v>
      </c>
      <c r="E10" s="57" t="s">
        <v>4477</v>
      </c>
      <c r="F10" s="57" t="s">
        <v>4478</v>
      </c>
      <c r="G10" s="57" t="s">
        <v>3515</v>
      </c>
      <c r="H10" s="57" t="s">
        <v>108</v>
      </c>
      <c r="I10" s="57" t="s">
        <v>1791</v>
      </c>
      <c r="J10" s="57" t="s">
        <v>4441</v>
      </c>
      <c r="K10" s="57" t="s">
        <v>4442</v>
      </c>
    </row>
    <row r="11" spans="1:11" ht="60" customHeight="1">
      <c r="A11" s="57" t="s">
        <v>4479</v>
      </c>
      <c r="B11" s="57" t="s">
        <v>3512</v>
      </c>
      <c r="C11" s="57" t="s">
        <v>4480</v>
      </c>
      <c r="D11" s="57" t="s">
        <v>4481</v>
      </c>
      <c r="E11" s="57" t="s">
        <v>4482</v>
      </c>
      <c r="F11" s="57" t="s">
        <v>4440</v>
      </c>
      <c r="G11" s="57" t="s">
        <v>3515</v>
      </c>
      <c r="H11" s="57" t="s">
        <v>108</v>
      </c>
      <c r="I11" s="57" t="s">
        <v>1791</v>
      </c>
      <c r="J11" s="57" t="s">
        <v>4441</v>
      </c>
      <c r="K11" s="57" t="s">
        <v>4442</v>
      </c>
    </row>
    <row r="12" spans="1:11" ht="60" customHeight="1">
      <c r="A12" s="57" t="s">
        <v>4483</v>
      </c>
      <c r="B12" s="57" t="s">
        <v>3518</v>
      </c>
      <c r="C12" s="57" t="s">
        <v>4480</v>
      </c>
      <c r="D12" s="57" t="s">
        <v>4484</v>
      </c>
      <c r="E12" s="57" t="s">
        <v>4485</v>
      </c>
      <c r="F12" s="57" t="s">
        <v>4440</v>
      </c>
      <c r="G12" s="57" t="s">
        <v>3521</v>
      </c>
      <c r="H12" s="57" t="s">
        <v>108</v>
      </c>
      <c r="I12" s="57" t="s">
        <v>1791</v>
      </c>
      <c r="J12" s="57" t="s">
        <v>4441</v>
      </c>
      <c r="K12" s="57" t="s">
        <v>4442</v>
      </c>
    </row>
    <row r="13" spans="1:11" ht="60" customHeight="1">
      <c r="A13" s="57" t="s">
        <v>4486</v>
      </c>
      <c r="B13" s="57" t="s">
        <v>3518</v>
      </c>
      <c r="C13" s="57" t="s">
        <v>4487</v>
      </c>
      <c r="D13" s="57" t="s">
        <v>4488</v>
      </c>
      <c r="E13" s="57" t="s">
        <v>4489</v>
      </c>
      <c r="F13" s="57" t="s">
        <v>4490</v>
      </c>
      <c r="G13" s="57" t="s">
        <v>3521</v>
      </c>
      <c r="H13" s="57" t="s">
        <v>108</v>
      </c>
      <c r="I13" s="57" t="s">
        <v>1791</v>
      </c>
      <c r="J13" s="57" t="s">
        <v>4441</v>
      </c>
      <c r="K13" s="57" t="s">
        <v>4442</v>
      </c>
    </row>
    <row r="14" spans="1:11" ht="60" customHeight="1">
      <c r="A14" s="57" t="s">
        <v>4491</v>
      </c>
      <c r="B14" s="57" t="s">
        <v>3518</v>
      </c>
      <c r="C14" s="57" t="s">
        <v>4492</v>
      </c>
      <c r="D14" s="57" t="s">
        <v>4481</v>
      </c>
      <c r="E14" s="57" t="s">
        <v>4493</v>
      </c>
      <c r="F14" s="57" t="s">
        <v>4494</v>
      </c>
      <c r="G14" s="57" t="s">
        <v>3521</v>
      </c>
      <c r="H14" s="57" t="s">
        <v>108</v>
      </c>
      <c r="I14" s="57" t="s">
        <v>1791</v>
      </c>
      <c r="J14" s="57" t="s">
        <v>4441</v>
      </c>
      <c r="K14" s="57" t="s">
        <v>4442</v>
      </c>
    </row>
    <row r="15" spans="1:11" ht="60" customHeight="1">
      <c r="A15" s="57" t="s">
        <v>4495</v>
      </c>
      <c r="B15" s="57" t="s">
        <v>3518</v>
      </c>
      <c r="C15" s="57" t="s">
        <v>4496</v>
      </c>
      <c r="D15" s="57" t="s">
        <v>4438</v>
      </c>
      <c r="E15" s="57" t="s">
        <v>4497</v>
      </c>
      <c r="F15" s="57" t="s">
        <v>4440</v>
      </c>
      <c r="G15" s="57" t="s">
        <v>3521</v>
      </c>
      <c r="H15" s="57" t="s">
        <v>108</v>
      </c>
      <c r="I15" s="57" t="s">
        <v>1791</v>
      </c>
      <c r="J15" s="57" t="s">
        <v>4441</v>
      </c>
      <c r="K15" s="57" t="s">
        <v>4442</v>
      </c>
    </row>
    <row r="16" spans="1:11" ht="60" customHeight="1">
      <c r="A16" s="57" t="s">
        <v>4498</v>
      </c>
      <c r="B16" s="57" t="s">
        <v>3518</v>
      </c>
      <c r="C16" s="57" t="s">
        <v>4444</v>
      </c>
      <c r="D16" s="57" t="s">
        <v>4445</v>
      </c>
      <c r="E16" s="57" t="s">
        <v>4499</v>
      </c>
      <c r="F16" s="57" t="s">
        <v>4440</v>
      </c>
      <c r="G16" s="57" t="s">
        <v>3521</v>
      </c>
      <c r="H16" s="57" t="s">
        <v>108</v>
      </c>
      <c r="I16" s="57" t="s">
        <v>1791</v>
      </c>
      <c r="J16" s="57" t="s">
        <v>4441</v>
      </c>
      <c r="K16" s="57" t="s">
        <v>4442</v>
      </c>
    </row>
    <row r="17" spans="1:11" ht="60" customHeight="1">
      <c r="A17" s="57" t="s">
        <v>4500</v>
      </c>
      <c r="B17" s="57" t="s">
        <v>3518</v>
      </c>
      <c r="C17" s="57" t="s">
        <v>4501</v>
      </c>
      <c r="D17" s="57" t="s">
        <v>4502</v>
      </c>
      <c r="E17" s="57" t="s">
        <v>4499</v>
      </c>
      <c r="F17" s="57" t="s">
        <v>4503</v>
      </c>
      <c r="G17" s="57" t="s">
        <v>3521</v>
      </c>
      <c r="H17" s="57" t="s">
        <v>108</v>
      </c>
      <c r="I17" s="57" t="s">
        <v>1791</v>
      </c>
      <c r="J17" s="57" t="s">
        <v>4441</v>
      </c>
      <c r="K17" s="57" t="s">
        <v>4442</v>
      </c>
    </row>
    <row r="18" spans="1:11" ht="60" customHeight="1">
      <c r="A18" s="57" t="s">
        <v>4504</v>
      </c>
      <c r="B18" s="57" t="s">
        <v>3518</v>
      </c>
      <c r="C18" s="57" t="s">
        <v>4505</v>
      </c>
      <c r="D18" s="57" t="s">
        <v>4502</v>
      </c>
      <c r="E18" s="57" t="s">
        <v>4499</v>
      </c>
      <c r="F18" s="57" t="s">
        <v>4440</v>
      </c>
      <c r="G18" s="57" t="s">
        <v>3521</v>
      </c>
      <c r="H18" s="57" t="s">
        <v>108</v>
      </c>
      <c r="I18" s="57" t="s">
        <v>1791</v>
      </c>
      <c r="J18" s="57" t="s">
        <v>4441</v>
      </c>
      <c r="K18" s="57" t="s">
        <v>4442</v>
      </c>
    </row>
    <row r="19" spans="1:11" ht="60" customHeight="1">
      <c r="A19" s="57" t="s">
        <v>4506</v>
      </c>
      <c r="B19" s="57" t="s">
        <v>3518</v>
      </c>
      <c r="C19" s="57" t="s">
        <v>4507</v>
      </c>
      <c r="D19" s="57" t="s">
        <v>4438</v>
      </c>
      <c r="E19" s="57" t="s">
        <v>4499</v>
      </c>
      <c r="F19" s="57" t="s">
        <v>4508</v>
      </c>
      <c r="G19" s="57" t="s">
        <v>3521</v>
      </c>
      <c r="H19" s="57" t="s">
        <v>108</v>
      </c>
      <c r="I19" s="57" t="s">
        <v>1791</v>
      </c>
      <c r="J19" s="57" t="s">
        <v>4441</v>
      </c>
      <c r="K19" s="57" t="s">
        <v>4442</v>
      </c>
    </row>
    <row r="20" spans="1:11" ht="60" customHeight="1">
      <c r="A20" s="57" t="s">
        <v>4509</v>
      </c>
      <c r="B20" s="57" t="s">
        <v>3518</v>
      </c>
      <c r="C20" s="57" t="s">
        <v>4510</v>
      </c>
      <c r="D20" s="57" t="s">
        <v>4511</v>
      </c>
      <c r="E20" s="57" t="s">
        <v>4512</v>
      </c>
      <c r="F20" s="57" t="s">
        <v>4440</v>
      </c>
      <c r="G20" s="57" t="s">
        <v>3521</v>
      </c>
      <c r="H20" s="57" t="s">
        <v>108</v>
      </c>
      <c r="I20" s="57" t="s">
        <v>1791</v>
      </c>
      <c r="J20" s="57" t="s">
        <v>4441</v>
      </c>
      <c r="K20" s="57" t="s">
        <v>4442</v>
      </c>
    </row>
    <row r="21" spans="1:11" ht="60" customHeight="1">
      <c r="A21" s="57" t="s">
        <v>4513</v>
      </c>
      <c r="B21" s="57" t="s">
        <v>3518</v>
      </c>
      <c r="C21" s="57" t="s">
        <v>4514</v>
      </c>
      <c r="D21" s="57" t="s">
        <v>4481</v>
      </c>
      <c r="E21" s="57" t="s">
        <v>4515</v>
      </c>
      <c r="F21" s="57" t="s">
        <v>4516</v>
      </c>
      <c r="G21" s="57" t="s">
        <v>3521</v>
      </c>
      <c r="H21" s="57" t="s">
        <v>108</v>
      </c>
      <c r="I21" s="57" t="s">
        <v>1791</v>
      </c>
      <c r="J21" s="57" t="s">
        <v>4441</v>
      </c>
      <c r="K21" s="57" t="s">
        <v>4442</v>
      </c>
    </row>
    <row r="22" spans="1:11" ht="60" customHeight="1">
      <c r="A22" s="57" t="s">
        <v>4517</v>
      </c>
      <c r="B22" s="57" t="s">
        <v>3518</v>
      </c>
      <c r="C22" s="57" t="s">
        <v>4518</v>
      </c>
      <c r="D22" s="57" t="s">
        <v>4519</v>
      </c>
      <c r="E22" s="57" t="s">
        <v>4520</v>
      </c>
      <c r="F22" s="57" t="s">
        <v>4521</v>
      </c>
      <c r="G22" s="57" t="s">
        <v>3521</v>
      </c>
      <c r="H22" s="57" t="s">
        <v>108</v>
      </c>
      <c r="I22" s="57" t="s">
        <v>1791</v>
      </c>
      <c r="J22" s="57" t="s">
        <v>4441</v>
      </c>
      <c r="K22" s="57" t="s">
        <v>4442</v>
      </c>
    </row>
    <row r="23" spans="1:11" ht="60" customHeight="1">
      <c r="A23" s="57" t="s">
        <v>4522</v>
      </c>
      <c r="B23" s="57" t="s">
        <v>3518</v>
      </c>
      <c r="C23" s="57" t="s">
        <v>4523</v>
      </c>
      <c r="D23" s="57" t="s">
        <v>4524</v>
      </c>
      <c r="E23" s="57" t="s">
        <v>4525</v>
      </c>
      <c r="F23" s="57" t="s">
        <v>4526</v>
      </c>
      <c r="G23" s="57" t="s">
        <v>3521</v>
      </c>
      <c r="H23" s="57" t="s">
        <v>108</v>
      </c>
      <c r="I23" s="57" t="s">
        <v>1791</v>
      </c>
      <c r="J23" s="57" t="s">
        <v>4441</v>
      </c>
      <c r="K23" s="57" t="s">
        <v>4442</v>
      </c>
    </row>
    <row r="24" spans="1:11" ht="60" customHeight="1">
      <c r="A24" s="57" t="s">
        <v>4527</v>
      </c>
      <c r="B24" s="57" t="s">
        <v>3524</v>
      </c>
      <c r="C24" s="57" t="s">
        <v>4528</v>
      </c>
      <c r="D24" s="57" t="s">
        <v>4502</v>
      </c>
      <c r="E24" s="57" t="s">
        <v>4529</v>
      </c>
      <c r="F24" s="57" t="s">
        <v>4530</v>
      </c>
      <c r="G24" s="57" t="s">
        <v>3527</v>
      </c>
      <c r="H24" s="57" t="s">
        <v>108</v>
      </c>
      <c r="I24" s="57" t="s">
        <v>1791</v>
      </c>
      <c r="J24" s="57" t="s">
        <v>4441</v>
      </c>
      <c r="K24" s="57" t="s">
        <v>4442</v>
      </c>
    </row>
    <row r="25" spans="1:11" ht="60" customHeight="1">
      <c r="A25" s="57" t="s">
        <v>4531</v>
      </c>
      <c r="B25" s="57" t="s">
        <v>3524</v>
      </c>
      <c r="C25" s="57" t="s">
        <v>4532</v>
      </c>
      <c r="D25" s="57" t="s">
        <v>4533</v>
      </c>
      <c r="E25" s="57" t="s">
        <v>4534</v>
      </c>
      <c r="F25" s="57" t="s">
        <v>4535</v>
      </c>
      <c r="G25" s="57" t="s">
        <v>3527</v>
      </c>
      <c r="H25" s="57" t="s">
        <v>108</v>
      </c>
      <c r="I25" s="57" t="s">
        <v>1791</v>
      </c>
      <c r="J25" s="57" t="s">
        <v>4441</v>
      </c>
      <c r="K25" s="57" t="s">
        <v>4442</v>
      </c>
    </row>
    <row r="26" spans="1:11" ht="60" customHeight="1">
      <c r="A26" s="57" t="s">
        <v>4536</v>
      </c>
      <c r="B26" s="57" t="s">
        <v>3524</v>
      </c>
      <c r="C26" s="57" t="s">
        <v>4537</v>
      </c>
      <c r="D26" s="57" t="s">
        <v>4519</v>
      </c>
      <c r="E26" s="57" t="s">
        <v>4538</v>
      </c>
      <c r="F26" s="57" t="s">
        <v>4539</v>
      </c>
      <c r="G26" s="57" t="s">
        <v>3527</v>
      </c>
      <c r="H26" s="57" t="s">
        <v>108</v>
      </c>
      <c r="I26" s="57" t="s">
        <v>1791</v>
      </c>
      <c r="J26" s="57" t="s">
        <v>4441</v>
      </c>
      <c r="K26" s="57" t="s">
        <v>4442</v>
      </c>
    </row>
    <row r="27" spans="1:11" ht="60" customHeight="1">
      <c r="A27" s="57" t="s">
        <v>4540</v>
      </c>
      <c r="B27" s="57" t="s">
        <v>3524</v>
      </c>
      <c r="C27" s="57" t="s">
        <v>4541</v>
      </c>
      <c r="D27" s="57" t="s">
        <v>4481</v>
      </c>
      <c r="E27" s="57" t="s">
        <v>4542</v>
      </c>
      <c r="F27" s="57" t="s">
        <v>4543</v>
      </c>
      <c r="G27" s="57" t="s">
        <v>3527</v>
      </c>
      <c r="H27" s="57" t="s">
        <v>108</v>
      </c>
      <c r="I27" s="57" t="s">
        <v>1791</v>
      </c>
      <c r="J27" s="57" t="s">
        <v>4441</v>
      </c>
      <c r="K27" s="57" t="s">
        <v>4442</v>
      </c>
    </row>
    <row r="28" spans="1:11" ht="60" customHeight="1">
      <c r="A28" s="57" t="s">
        <v>4544</v>
      </c>
      <c r="B28" s="57" t="s">
        <v>3524</v>
      </c>
      <c r="C28" s="57" t="s">
        <v>4545</v>
      </c>
      <c r="D28" s="57" t="s">
        <v>4546</v>
      </c>
      <c r="E28" s="57" t="s">
        <v>4547</v>
      </c>
      <c r="F28" s="57" t="s">
        <v>4548</v>
      </c>
      <c r="G28" s="57" t="s">
        <v>3527</v>
      </c>
      <c r="H28" s="57" t="s">
        <v>108</v>
      </c>
      <c r="I28" s="57" t="s">
        <v>1791</v>
      </c>
      <c r="J28" s="57" t="s">
        <v>4441</v>
      </c>
      <c r="K28" s="57" t="s">
        <v>4442</v>
      </c>
    </row>
    <row r="29" spans="1:11" ht="60" customHeight="1">
      <c r="A29" s="57" t="s">
        <v>4549</v>
      </c>
      <c r="B29" s="57" t="s">
        <v>3530</v>
      </c>
      <c r="C29" s="57" t="s">
        <v>4550</v>
      </c>
      <c r="D29" s="57" t="s">
        <v>4551</v>
      </c>
      <c r="E29" s="57" t="s">
        <v>4552</v>
      </c>
      <c r="F29" s="57" t="s">
        <v>4440</v>
      </c>
      <c r="G29" s="57" t="s">
        <v>3533</v>
      </c>
      <c r="H29" s="57" t="s">
        <v>108</v>
      </c>
      <c r="I29" s="57" t="s">
        <v>1791</v>
      </c>
      <c r="J29" s="57" t="s">
        <v>4441</v>
      </c>
      <c r="K29" s="57" t="s">
        <v>4442</v>
      </c>
    </row>
    <row r="30" spans="1:11" ht="60" customHeight="1">
      <c r="A30" s="57" t="s">
        <v>4553</v>
      </c>
      <c r="B30" s="57" t="s">
        <v>3530</v>
      </c>
      <c r="C30" s="57" t="s">
        <v>4554</v>
      </c>
      <c r="D30" s="57" t="s">
        <v>4555</v>
      </c>
      <c r="E30" s="57" t="s">
        <v>4556</v>
      </c>
      <c r="F30" s="57" t="s">
        <v>4557</v>
      </c>
      <c r="G30" s="57" t="s">
        <v>3533</v>
      </c>
      <c r="H30" s="57" t="s">
        <v>108</v>
      </c>
      <c r="I30" s="57" t="s">
        <v>1791</v>
      </c>
      <c r="J30" s="57" t="s">
        <v>4441</v>
      </c>
      <c r="K30" s="57" t="s">
        <v>4442</v>
      </c>
    </row>
    <row r="31" spans="1:11" ht="60" customHeight="1">
      <c r="A31" s="57" t="s">
        <v>4558</v>
      </c>
      <c r="B31" s="57" t="s">
        <v>3530</v>
      </c>
      <c r="C31" s="57" t="s">
        <v>4559</v>
      </c>
      <c r="D31" s="57" t="s">
        <v>4560</v>
      </c>
      <c r="E31" s="57" t="s">
        <v>4561</v>
      </c>
      <c r="F31" s="57" t="s">
        <v>4557</v>
      </c>
      <c r="G31" s="57" t="s">
        <v>3533</v>
      </c>
      <c r="H31" s="57" t="s">
        <v>108</v>
      </c>
      <c r="I31" s="57" t="s">
        <v>1791</v>
      </c>
      <c r="J31" s="57" t="s">
        <v>4441</v>
      </c>
      <c r="K31" s="57" t="s">
        <v>4442</v>
      </c>
    </row>
    <row r="32" spans="1:11" ht="60" customHeight="1">
      <c r="A32" s="57" t="s">
        <v>4562</v>
      </c>
      <c r="B32" s="57" t="s">
        <v>3530</v>
      </c>
      <c r="C32" s="57" t="s">
        <v>4563</v>
      </c>
      <c r="D32" s="57" t="s">
        <v>4564</v>
      </c>
      <c r="E32" s="57" t="s">
        <v>4565</v>
      </c>
      <c r="F32" s="57" t="s">
        <v>4557</v>
      </c>
      <c r="G32" s="57" t="s">
        <v>3533</v>
      </c>
      <c r="H32" s="57" t="s">
        <v>108</v>
      </c>
      <c r="I32" s="57" t="s">
        <v>1791</v>
      </c>
      <c r="J32" s="57" t="s">
        <v>4441</v>
      </c>
      <c r="K32" s="57" t="s">
        <v>4442</v>
      </c>
    </row>
    <row r="33" spans="1:11" ht="60" customHeight="1">
      <c r="A33" s="57" t="s">
        <v>4566</v>
      </c>
      <c r="B33" s="57" t="s">
        <v>3530</v>
      </c>
      <c r="C33" s="57" t="s">
        <v>4567</v>
      </c>
      <c r="D33" s="57" t="s">
        <v>4519</v>
      </c>
      <c r="E33" s="57" t="s">
        <v>4568</v>
      </c>
      <c r="F33" s="57" t="s">
        <v>4569</v>
      </c>
      <c r="G33" s="57" t="s">
        <v>3533</v>
      </c>
      <c r="H33" s="57" t="s">
        <v>108</v>
      </c>
      <c r="I33" s="57" t="s">
        <v>1791</v>
      </c>
      <c r="J33" s="57" t="s">
        <v>4441</v>
      </c>
      <c r="K33" s="57" t="s">
        <v>4442</v>
      </c>
    </row>
    <row r="34" spans="1:11" ht="60" customHeight="1">
      <c r="A34" s="57" t="s">
        <v>4570</v>
      </c>
      <c r="B34" s="57" t="s">
        <v>3536</v>
      </c>
      <c r="C34" s="57" t="s">
        <v>4571</v>
      </c>
      <c r="D34" s="57" t="s">
        <v>4519</v>
      </c>
      <c r="E34" s="57" t="s">
        <v>4572</v>
      </c>
      <c r="F34" s="57" t="s">
        <v>4573</v>
      </c>
      <c r="G34" s="57" t="s">
        <v>3539</v>
      </c>
      <c r="H34" s="57" t="s">
        <v>108</v>
      </c>
      <c r="I34" s="57" t="s">
        <v>1791</v>
      </c>
      <c r="J34" s="57" t="s">
        <v>4441</v>
      </c>
      <c r="K34" s="57" t="s">
        <v>4442</v>
      </c>
    </row>
    <row r="35" spans="1:11" ht="60" customHeight="1">
      <c r="A35" s="57" t="s">
        <v>4574</v>
      </c>
      <c r="B35" s="57" t="s">
        <v>3536</v>
      </c>
      <c r="C35" s="57" t="s">
        <v>4575</v>
      </c>
      <c r="D35" s="57" t="s">
        <v>4533</v>
      </c>
      <c r="E35" s="57" t="s">
        <v>4576</v>
      </c>
      <c r="F35" s="57" t="s">
        <v>4440</v>
      </c>
      <c r="G35" s="57" t="s">
        <v>3539</v>
      </c>
      <c r="H35" s="57" t="s">
        <v>108</v>
      </c>
      <c r="I35" s="57" t="s">
        <v>1791</v>
      </c>
      <c r="J35" s="57" t="s">
        <v>4441</v>
      </c>
      <c r="K35" s="57" t="s">
        <v>4442</v>
      </c>
    </row>
    <row r="36" spans="1:11" ht="60" customHeight="1">
      <c r="A36" s="57" t="s">
        <v>4577</v>
      </c>
      <c r="B36" s="57" t="s">
        <v>3536</v>
      </c>
      <c r="C36" s="57" t="s">
        <v>4578</v>
      </c>
      <c r="D36" s="57" t="s">
        <v>4481</v>
      </c>
      <c r="E36" s="57" t="s">
        <v>4579</v>
      </c>
      <c r="F36" s="57" t="s">
        <v>4580</v>
      </c>
      <c r="G36" s="57" t="s">
        <v>3539</v>
      </c>
      <c r="H36" s="57" t="s">
        <v>108</v>
      </c>
      <c r="I36" s="57" t="s">
        <v>1791</v>
      </c>
      <c r="J36" s="57" t="s">
        <v>4441</v>
      </c>
      <c r="K36" s="57" t="s">
        <v>4442</v>
      </c>
    </row>
    <row r="37" spans="1:11" ht="60" customHeight="1">
      <c r="A37" s="57" t="s">
        <v>4581</v>
      </c>
      <c r="B37" s="57" t="s">
        <v>3536</v>
      </c>
      <c r="C37" s="57" t="s">
        <v>4582</v>
      </c>
      <c r="D37" s="57" t="s">
        <v>4502</v>
      </c>
      <c r="E37" s="57" t="s">
        <v>4583</v>
      </c>
      <c r="F37" s="57" t="s">
        <v>4584</v>
      </c>
      <c r="G37" s="57" t="s">
        <v>3539</v>
      </c>
      <c r="H37" s="57" t="s">
        <v>108</v>
      </c>
      <c r="I37" s="57" t="s">
        <v>1791</v>
      </c>
      <c r="J37" s="57" t="s">
        <v>4441</v>
      </c>
      <c r="K37" s="57" t="s">
        <v>4442</v>
      </c>
    </row>
    <row r="38" spans="1:11" ht="60" customHeight="1">
      <c r="A38" s="57" t="s">
        <v>4585</v>
      </c>
      <c r="B38" s="57" t="s">
        <v>3536</v>
      </c>
      <c r="C38" s="57" t="s">
        <v>4586</v>
      </c>
      <c r="D38" s="57" t="s">
        <v>4587</v>
      </c>
      <c r="E38" s="57" t="s">
        <v>4583</v>
      </c>
      <c r="F38" s="57" t="s">
        <v>4588</v>
      </c>
      <c r="G38" s="57" t="s">
        <v>3539</v>
      </c>
      <c r="H38" s="57" t="s">
        <v>108</v>
      </c>
      <c r="I38" s="57" t="s">
        <v>1791</v>
      </c>
      <c r="J38" s="57" t="s">
        <v>4441</v>
      </c>
      <c r="K38" s="57" t="s">
        <v>4442</v>
      </c>
    </row>
    <row r="39" spans="1:11" ht="60" customHeight="1">
      <c r="A39" s="57" t="s">
        <v>4589</v>
      </c>
      <c r="B39" s="57" t="s">
        <v>3536</v>
      </c>
      <c r="C39" s="57" t="s">
        <v>4590</v>
      </c>
      <c r="D39" s="57" t="s">
        <v>4519</v>
      </c>
      <c r="E39" s="57" t="s">
        <v>4591</v>
      </c>
      <c r="F39" s="57" t="s">
        <v>4592</v>
      </c>
      <c r="G39" s="57" t="s">
        <v>3539</v>
      </c>
      <c r="H39" s="57" t="s">
        <v>108</v>
      </c>
      <c r="I39" s="57" t="s">
        <v>1791</v>
      </c>
      <c r="J39" s="57" t="s">
        <v>4441</v>
      </c>
      <c r="K39" s="57" t="s">
        <v>4442</v>
      </c>
    </row>
    <row r="40" spans="1:11" ht="60" customHeight="1">
      <c r="A40" s="57" t="s">
        <v>4593</v>
      </c>
      <c r="B40" s="57" t="s">
        <v>3542</v>
      </c>
      <c r="C40" s="57" t="s">
        <v>4594</v>
      </c>
      <c r="D40" s="57" t="s">
        <v>4502</v>
      </c>
      <c r="E40" s="57" t="s">
        <v>4595</v>
      </c>
      <c r="F40" s="57" t="s">
        <v>4440</v>
      </c>
      <c r="G40" s="57" t="s">
        <v>3545</v>
      </c>
      <c r="H40" s="57" t="s">
        <v>108</v>
      </c>
      <c r="I40" s="57" t="s">
        <v>1791</v>
      </c>
      <c r="J40" s="57" t="s">
        <v>4441</v>
      </c>
      <c r="K40" s="57" t="s">
        <v>4442</v>
      </c>
    </row>
    <row r="41" spans="1:11" ht="60" customHeight="1">
      <c r="A41" s="57" t="s">
        <v>4596</v>
      </c>
      <c r="B41" s="57" t="s">
        <v>3542</v>
      </c>
      <c r="C41" s="57" t="s">
        <v>4597</v>
      </c>
      <c r="D41" s="57" t="s">
        <v>4598</v>
      </c>
      <c r="E41" s="57" t="s">
        <v>4599</v>
      </c>
      <c r="F41" s="57" t="s">
        <v>4600</v>
      </c>
      <c r="G41" s="57" t="s">
        <v>3545</v>
      </c>
      <c r="H41" s="57" t="s">
        <v>108</v>
      </c>
      <c r="I41" s="57" t="s">
        <v>1791</v>
      </c>
      <c r="J41" s="57" t="s">
        <v>4441</v>
      </c>
      <c r="K41" s="57" t="s">
        <v>4442</v>
      </c>
    </row>
    <row r="42" spans="1:11" ht="60" customHeight="1">
      <c r="A42" s="57" t="s">
        <v>4601</v>
      </c>
      <c r="B42" s="57" t="s">
        <v>3542</v>
      </c>
      <c r="C42" s="57" t="s">
        <v>4602</v>
      </c>
      <c r="D42" s="57" t="s">
        <v>4603</v>
      </c>
      <c r="E42" s="57" t="s">
        <v>4599</v>
      </c>
      <c r="F42" s="57" t="s">
        <v>4604</v>
      </c>
      <c r="G42" s="57" t="s">
        <v>3545</v>
      </c>
      <c r="H42" s="57" t="s">
        <v>108</v>
      </c>
      <c r="I42" s="57" t="s">
        <v>1791</v>
      </c>
      <c r="J42" s="57" t="s">
        <v>4441</v>
      </c>
      <c r="K42" s="57" t="s">
        <v>4442</v>
      </c>
    </row>
    <row r="43" spans="1:11" ht="60" customHeight="1">
      <c r="A43" s="57" t="s">
        <v>4605</v>
      </c>
      <c r="B43" s="57" t="s">
        <v>3542</v>
      </c>
      <c r="C43" s="57" t="s">
        <v>4606</v>
      </c>
      <c r="D43" s="57" t="s">
        <v>4607</v>
      </c>
      <c r="E43" s="57" t="s">
        <v>4599</v>
      </c>
      <c r="F43" s="57" t="s">
        <v>4608</v>
      </c>
      <c r="G43" s="57" t="s">
        <v>3545</v>
      </c>
      <c r="H43" s="57" t="s">
        <v>108</v>
      </c>
      <c r="I43" s="57" t="s">
        <v>1791</v>
      </c>
      <c r="J43" s="57" t="s">
        <v>4441</v>
      </c>
      <c r="K43" s="57" t="s">
        <v>4442</v>
      </c>
    </row>
    <row r="44" spans="1:11" ht="60" customHeight="1">
      <c r="A44" s="57" t="s">
        <v>4609</v>
      </c>
      <c r="B44" s="57" t="s">
        <v>3542</v>
      </c>
      <c r="C44" s="57" t="s">
        <v>4610</v>
      </c>
      <c r="D44" s="57" t="s">
        <v>4611</v>
      </c>
      <c r="E44" s="57" t="s">
        <v>4612</v>
      </c>
      <c r="F44" s="57" t="s">
        <v>4440</v>
      </c>
      <c r="G44" s="57" t="s">
        <v>3545</v>
      </c>
      <c r="H44" s="57" t="s">
        <v>108</v>
      </c>
      <c r="I44" s="57" t="s">
        <v>1791</v>
      </c>
      <c r="J44" s="57" t="s">
        <v>4441</v>
      </c>
      <c r="K44" s="57" t="s">
        <v>4442</v>
      </c>
    </row>
    <row r="45" spans="1:11" ht="60" customHeight="1">
      <c r="A45" s="57" t="s">
        <v>4613</v>
      </c>
      <c r="B45" s="57" t="s">
        <v>3548</v>
      </c>
      <c r="C45" s="57" t="s">
        <v>4614</v>
      </c>
      <c r="D45" s="57" t="s">
        <v>4615</v>
      </c>
      <c r="E45" s="57" t="s">
        <v>4616</v>
      </c>
      <c r="F45" s="57" t="s">
        <v>4616</v>
      </c>
      <c r="G45" s="57" t="s">
        <v>3551</v>
      </c>
      <c r="H45" s="57" t="s">
        <v>108</v>
      </c>
      <c r="I45" s="57" t="s">
        <v>1791</v>
      </c>
      <c r="J45" s="57" t="s">
        <v>4617</v>
      </c>
      <c r="K45" s="57" t="s">
        <v>4618</v>
      </c>
    </row>
    <row r="46" spans="1:11" ht="60" customHeight="1">
      <c r="A46" s="57" t="s">
        <v>4619</v>
      </c>
      <c r="B46" s="57" t="s">
        <v>3554</v>
      </c>
      <c r="C46" s="57" t="s">
        <v>4620</v>
      </c>
      <c r="D46" s="57" t="s">
        <v>4621</v>
      </c>
      <c r="E46" s="57" t="s">
        <v>4622</v>
      </c>
      <c r="F46" s="57" t="s">
        <v>4623</v>
      </c>
      <c r="G46" s="57" t="s">
        <v>3559</v>
      </c>
      <c r="H46" s="57" t="s">
        <v>3556</v>
      </c>
      <c r="I46" s="57" t="s">
        <v>3557</v>
      </c>
      <c r="J46" s="57" t="s">
        <v>4441</v>
      </c>
      <c r="K46" s="57" t="s">
        <v>4442</v>
      </c>
    </row>
    <row r="47" spans="1:11" ht="60" customHeight="1">
      <c r="A47" s="57" t="s">
        <v>4624</v>
      </c>
      <c r="B47" s="57" t="s">
        <v>3554</v>
      </c>
      <c r="C47" s="57" t="s">
        <v>4625</v>
      </c>
      <c r="D47" s="57" t="s">
        <v>4524</v>
      </c>
      <c r="E47" s="57" t="s">
        <v>4626</v>
      </c>
      <c r="F47" s="57" t="s">
        <v>4627</v>
      </c>
      <c r="G47" s="57" t="s">
        <v>3559</v>
      </c>
      <c r="H47" s="57" t="s">
        <v>3556</v>
      </c>
      <c r="I47" s="57" t="s">
        <v>3557</v>
      </c>
      <c r="J47" s="57" t="s">
        <v>4441</v>
      </c>
      <c r="K47" s="57" t="s">
        <v>4442</v>
      </c>
    </row>
    <row r="48" spans="1:11" ht="60" customHeight="1">
      <c r="A48" s="57" t="s">
        <v>4628</v>
      </c>
      <c r="B48" s="57" t="s">
        <v>3554</v>
      </c>
      <c r="C48" s="57" t="s">
        <v>4629</v>
      </c>
      <c r="D48" s="57" t="s">
        <v>4630</v>
      </c>
      <c r="E48" s="57" t="s">
        <v>4631</v>
      </c>
      <c r="F48" s="57" t="s">
        <v>4440</v>
      </c>
      <c r="G48" s="57" t="s">
        <v>3559</v>
      </c>
      <c r="H48" s="57" t="s">
        <v>3556</v>
      </c>
      <c r="I48" s="57" t="s">
        <v>3557</v>
      </c>
      <c r="J48" s="57" t="s">
        <v>4441</v>
      </c>
      <c r="K48" s="57" t="s">
        <v>4442</v>
      </c>
    </row>
    <row r="49" spans="1:11" ht="60" customHeight="1">
      <c r="A49" s="57" t="s">
        <v>4632</v>
      </c>
      <c r="B49" s="57" t="s">
        <v>3554</v>
      </c>
      <c r="C49" s="57" t="s">
        <v>4633</v>
      </c>
      <c r="D49" s="57" t="s">
        <v>4481</v>
      </c>
      <c r="E49" s="57" t="s">
        <v>4634</v>
      </c>
      <c r="F49" s="57" t="s">
        <v>4635</v>
      </c>
      <c r="G49" s="57" t="s">
        <v>3559</v>
      </c>
      <c r="H49" s="57" t="s">
        <v>3556</v>
      </c>
      <c r="I49" s="57" t="s">
        <v>3557</v>
      </c>
      <c r="J49" s="57" t="s">
        <v>4441</v>
      </c>
      <c r="K49" s="57" t="s">
        <v>4442</v>
      </c>
    </row>
    <row r="50" spans="1:11" ht="60" customHeight="1">
      <c r="A50" s="57" t="s">
        <v>4636</v>
      </c>
      <c r="B50" s="57" t="s">
        <v>3554</v>
      </c>
      <c r="C50" s="57" t="s">
        <v>4637</v>
      </c>
      <c r="D50" s="57" t="s">
        <v>4481</v>
      </c>
      <c r="E50" s="57" t="s">
        <v>4634</v>
      </c>
      <c r="F50" s="57" t="s">
        <v>4635</v>
      </c>
      <c r="G50" s="57" t="s">
        <v>3559</v>
      </c>
      <c r="H50" s="57" t="s">
        <v>3556</v>
      </c>
      <c r="I50" s="57" t="s">
        <v>3557</v>
      </c>
      <c r="J50" s="57" t="s">
        <v>4441</v>
      </c>
      <c r="K50" s="57" t="s">
        <v>4442</v>
      </c>
    </row>
    <row r="51" spans="1:11" ht="60" customHeight="1">
      <c r="A51" s="57" t="s">
        <v>4638</v>
      </c>
      <c r="B51" s="57" t="s">
        <v>3554</v>
      </c>
      <c r="C51" s="57" t="s">
        <v>4639</v>
      </c>
      <c r="D51" s="57" t="s">
        <v>4519</v>
      </c>
      <c r="E51" s="57" t="s">
        <v>4634</v>
      </c>
      <c r="F51" s="57" t="s">
        <v>4640</v>
      </c>
      <c r="G51" s="57" t="s">
        <v>3559</v>
      </c>
      <c r="H51" s="57" t="s">
        <v>3556</v>
      </c>
      <c r="I51" s="57" t="s">
        <v>3557</v>
      </c>
      <c r="J51" s="57" t="s">
        <v>4441</v>
      </c>
      <c r="K51" s="57" t="s">
        <v>4442</v>
      </c>
    </row>
    <row r="52" spans="1:11" ht="60" customHeight="1">
      <c r="A52" s="57" t="s">
        <v>4641</v>
      </c>
      <c r="B52" s="57" t="s">
        <v>3554</v>
      </c>
      <c r="C52" s="57" t="s">
        <v>4642</v>
      </c>
      <c r="D52" s="57" t="s">
        <v>4524</v>
      </c>
      <c r="E52" s="57" t="s">
        <v>4643</v>
      </c>
      <c r="F52" s="57" t="s">
        <v>4644</v>
      </c>
      <c r="G52" s="57" t="s">
        <v>3559</v>
      </c>
      <c r="H52" s="57" t="s">
        <v>3556</v>
      </c>
      <c r="I52" s="57" t="s">
        <v>3557</v>
      </c>
      <c r="J52" s="57" t="s">
        <v>4441</v>
      </c>
      <c r="K52" s="57" t="s">
        <v>4442</v>
      </c>
    </row>
    <row r="53" spans="1:11" ht="60" customHeight="1">
      <c r="A53" s="57" t="s">
        <v>4645</v>
      </c>
      <c r="B53" s="57" t="s">
        <v>3554</v>
      </c>
      <c r="C53" s="57" t="s">
        <v>4646</v>
      </c>
      <c r="D53" s="57" t="s">
        <v>4647</v>
      </c>
      <c r="E53" s="57" t="s">
        <v>4648</v>
      </c>
      <c r="F53" s="57" t="s">
        <v>4440</v>
      </c>
      <c r="G53" s="57" t="s">
        <v>3559</v>
      </c>
      <c r="H53" s="57" t="s">
        <v>3556</v>
      </c>
      <c r="I53" s="57" t="s">
        <v>3557</v>
      </c>
      <c r="J53" s="57" t="s">
        <v>4441</v>
      </c>
      <c r="K53" s="57" t="s">
        <v>4442</v>
      </c>
    </row>
    <row r="54" spans="1:11" ht="60" customHeight="1">
      <c r="A54" s="57" t="s">
        <v>4649</v>
      </c>
      <c r="B54" s="57" t="s">
        <v>3554</v>
      </c>
      <c r="C54" s="57" t="s">
        <v>4650</v>
      </c>
      <c r="D54" s="57" t="s">
        <v>4651</v>
      </c>
      <c r="E54" s="57" t="s">
        <v>4652</v>
      </c>
      <c r="F54" s="57" t="s">
        <v>4653</v>
      </c>
      <c r="G54" s="57" t="s">
        <v>3559</v>
      </c>
      <c r="H54" s="57" t="s">
        <v>3556</v>
      </c>
      <c r="I54" s="57" t="s">
        <v>3557</v>
      </c>
      <c r="J54" s="57" t="s">
        <v>4441</v>
      </c>
      <c r="K54" s="57" t="s">
        <v>4442</v>
      </c>
    </row>
    <row r="55" spans="1:11" ht="60" customHeight="1">
      <c r="A55" s="57" t="s">
        <v>4654</v>
      </c>
      <c r="B55" s="57" t="s">
        <v>3554</v>
      </c>
      <c r="C55" s="57" t="s">
        <v>4655</v>
      </c>
      <c r="D55" s="57" t="s">
        <v>4656</v>
      </c>
      <c r="E55" s="57" t="s">
        <v>4657</v>
      </c>
      <c r="F55" s="57" t="s">
        <v>4658</v>
      </c>
      <c r="G55" s="57" t="s">
        <v>3559</v>
      </c>
      <c r="H55" s="57" t="s">
        <v>3556</v>
      </c>
      <c r="I55" s="57" t="s">
        <v>3557</v>
      </c>
      <c r="J55" s="57" t="s">
        <v>4441</v>
      </c>
      <c r="K55" s="57" t="s">
        <v>4442</v>
      </c>
    </row>
    <row r="56" spans="1:11" ht="60" customHeight="1">
      <c r="A56" s="57" t="s">
        <v>4659</v>
      </c>
      <c r="B56" s="57" t="s">
        <v>3562</v>
      </c>
      <c r="C56" s="57" t="s">
        <v>4660</v>
      </c>
      <c r="D56" s="57" t="s">
        <v>4502</v>
      </c>
      <c r="E56" s="57" t="s">
        <v>4661</v>
      </c>
      <c r="F56" s="57" t="s">
        <v>4440</v>
      </c>
      <c r="G56" s="57" t="s">
        <v>3564</v>
      </c>
      <c r="H56" s="57" t="s">
        <v>108</v>
      </c>
      <c r="I56" s="57" t="s">
        <v>1791</v>
      </c>
      <c r="J56" s="57" t="s">
        <v>4441</v>
      </c>
      <c r="K56" s="57" t="s">
        <v>4442</v>
      </c>
    </row>
    <row r="57" spans="1:11" ht="60" customHeight="1">
      <c r="A57" s="57" t="s">
        <v>4662</v>
      </c>
      <c r="B57" s="57" t="s">
        <v>3562</v>
      </c>
      <c r="C57" s="57" t="s">
        <v>4663</v>
      </c>
      <c r="D57" s="57" t="s">
        <v>4481</v>
      </c>
      <c r="E57" s="57" t="s">
        <v>4482</v>
      </c>
      <c r="F57" s="57" t="s">
        <v>4664</v>
      </c>
      <c r="G57" s="57" t="s">
        <v>3564</v>
      </c>
      <c r="H57" s="57" t="s">
        <v>108</v>
      </c>
      <c r="I57" s="57" t="s">
        <v>1791</v>
      </c>
      <c r="J57" s="57" t="s">
        <v>4441</v>
      </c>
      <c r="K57" s="57" t="s">
        <v>4442</v>
      </c>
    </row>
    <row r="58" spans="1:11" ht="60" customHeight="1">
      <c r="A58" s="57" t="s">
        <v>4665</v>
      </c>
      <c r="B58" s="57" t="s">
        <v>3562</v>
      </c>
      <c r="C58" s="57" t="s">
        <v>4666</v>
      </c>
      <c r="D58" s="57" t="s">
        <v>4667</v>
      </c>
      <c r="E58" s="57" t="s">
        <v>4668</v>
      </c>
      <c r="F58" s="57" t="s">
        <v>4440</v>
      </c>
      <c r="G58" s="57" t="s">
        <v>3564</v>
      </c>
      <c r="H58" s="57" t="s">
        <v>108</v>
      </c>
      <c r="I58" s="57" t="s">
        <v>1791</v>
      </c>
      <c r="J58" s="57" t="s">
        <v>4441</v>
      </c>
      <c r="K58" s="57" t="s">
        <v>4442</v>
      </c>
    </row>
    <row r="59" spans="1:11" ht="60" customHeight="1">
      <c r="A59" s="57" t="s">
        <v>4669</v>
      </c>
      <c r="B59" s="57" t="s">
        <v>3562</v>
      </c>
      <c r="C59" s="57" t="s">
        <v>4670</v>
      </c>
      <c r="D59" s="57" t="s">
        <v>4481</v>
      </c>
      <c r="E59" s="57" t="s">
        <v>4671</v>
      </c>
      <c r="F59" s="57" t="s">
        <v>4672</v>
      </c>
      <c r="G59" s="57" t="s">
        <v>3564</v>
      </c>
      <c r="H59" s="57" t="s">
        <v>108</v>
      </c>
      <c r="I59" s="57" t="s">
        <v>1791</v>
      </c>
      <c r="J59" s="57" t="s">
        <v>4441</v>
      </c>
      <c r="K59" s="57" t="s">
        <v>4442</v>
      </c>
    </row>
    <row r="60" spans="1:11" ht="60" customHeight="1">
      <c r="A60" s="57" t="s">
        <v>4673</v>
      </c>
      <c r="B60" s="57" t="s">
        <v>3562</v>
      </c>
      <c r="C60" s="57" t="s">
        <v>4674</v>
      </c>
      <c r="D60" s="57" t="s">
        <v>4675</v>
      </c>
      <c r="E60" s="57" t="s">
        <v>4676</v>
      </c>
      <c r="F60" s="57" t="s">
        <v>4677</v>
      </c>
      <c r="G60" s="57" t="s">
        <v>3564</v>
      </c>
      <c r="H60" s="57" t="s">
        <v>108</v>
      </c>
      <c r="I60" s="57" t="s">
        <v>1791</v>
      </c>
      <c r="J60" s="57" t="s">
        <v>4441</v>
      </c>
      <c r="K60" s="57" t="s">
        <v>4442</v>
      </c>
    </row>
    <row r="61" spans="1:11" ht="60" customHeight="1">
      <c r="A61" s="57" t="s">
        <v>4678</v>
      </c>
      <c r="B61" s="57" t="s">
        <v>3562</v>
      </c>
      <c r="C61" s="57" t="s">
        <v>4679</v>
      </c>
      <c r="D61" s="57" t="s">
        <v>4680</v>
      </c>
      <c r="E61" s="57" t="s">
        <v>4681</v>
      </c>
      <c r="F61" s="57" t="s">
        <v>4682</v>
      </c>
      <c r="G61" s="57" t="s">
        <v>3564</v>
      </c>
      <c r="H61" s="57" t="s">
        <v>108</v>
      </c>
      <c r="I61" s="57" t="s">
        <v>1791</v>
      </c>
      <c r="J61" s="57" t="s">
        <v>4441</v>
      </c>
      <c r="K61" s="57" t="s">
        <v>4442</v>
      </c>
    </row>
    <row r="62" spans="1:11" ht="60" customHeight="1">
      <c r="A62" s="57" t="s">
        <v>4683</v>
      </c>
      <c r="B62" s="57" t="s">
        <v>3562</v>
      </c>
      <c r="C62" s="57" t="s">
        <v>4684</v>
      </c>
      <c r="D62" s="57" t="s">
        <v>4685</v>
      </c>
      <c r="E62" s="57" t="s">
        <v>4686</v>
      </c>
      <c r="F62" s="57" t="s">
        <v>4543</v>
      </c>
      <c r="G62" s="57" t="s">
        <v>3564</v>
      </c>
      <c r="H62" s="57" t="s">
        <v>108</v>
      </c>
      <c r="I62" s="57" t="s">
        <v>1791</v>
      </c>
      <c r="J62" s="57" t="s">
        <v>4441</v>
      </c>
      <c r="K62" s="57" t="s">
        <v>4442</v>
      </c>
    </row>
    <row r="63" spans="1:11" ht="60" customHeight="1">
      <c r="A63" s="57" t="s">
        <v>4687</v>
      </c>
      <c r="B63" s="57" t="s">
        <v>3562</v>
      </c>
      <c r="C63" s="57" t="s">
        <v>4688</v>
      </c>
      <c r="D63" s="57" t="s">
        <v>4481</v>
      </c>
      <c r="E63" s="57" t="s">
        <v>4681</v>
      </c>
      <c r="F63" s="57" t="s">
        <v>4689</v>
      </c>
      <c r="G63" s="57" t="s">
        <v>3564</v>
      </c>
      <c r="H63" s="57" t="s">
        <v>108</v>
      </c>
      <c r="I63" s="57" t="s">
        <v>1791</v>
      </c>
      <c r="J63" s="57" t="s">
        <v>4441</v>
      </c>
      <c r="K63" s="57" t="s">
        <v>4442</v>
      </c>
    </row>
    <row r="64" spans="1:11" ht="60" customHeight="1">
      <c r="A64" s="57" t="s">
        <v>4690</v>
      </c>
      <c r="B64" s="57" t="s">
        <v>3567</v>
      </c>
      <c r="C64" s="57" t="s">
        <v>4691</v>
      </c>
      <c r="D64" s="57" t="s">
        <v>4615</v>
      </c>
      <c r="E64" s="57" t="s">
        <v>4616</v>
      </c>
      <c r="F64" s="57" t="s">
        <v>4616</v>
      </c>
      <c r="G64" s="57" t="s">
        <v>3570</v>
      </c>
      <c r="H64" s="57" t="s">
        <v>108</v>
      </c>
      <c r="I64" s="57" t="s">
        <v>1791</v>
      </c>
      <c r="J64" s="57" t="s">
        <v>4617</v>
      </c>
      <c r="K64" s="57" t="s">
        <v>4618</v>
      </c>
    </row>
    <row r="65" spans="1:11" ht="60" customHeight="1">
      <c r="A65" s="57" t="s">
        <v>4692</v>
      </c>
      <c r="B65" s="57" t="s">
        <v>3573</v>
      </c>
      <c r="C65" s="57" t="s">
        <v>4693</v>
      </c>
      <c r="D65" s="57" t="s">
        <v>4615</v>
      </c>
      <c r="E65" s="57" t="s">
        <v>4616</v>
      </c>
      <c r="F65" s="57" t="s">
        <v>4616</v>
      </c>
      <c r="G65" s="57" t="s">
        <v>3575</v>
      </c>
      <c r="H65" s="57" t="s">
        <v>1243</v>
      </c>
      <c r="I65" s="57" t="s">
        <v>1821</v>
      </c>
      <c r="J65" s="57" t="s">
        <v>4617</v>
      </c>
      <c r="K65" s="57" t="s">
        <v>4618</v>
      </c>
    </row>
    <row r="66" spans="1:11" ht="60" customHeight="1">
      <c r="A66" s="57" t="s">
        <v>4694</v>
      </c>
      <c r="B66" s="57" t="s">
        <v>3578</v>
      </c>
      <c r="C66" s="57" t="s">
        <v>4695</v>
      </c>
      <c r="D66" s="57" t="s">
        <v>4438</v>
      </c>
      <c r="E66" s="57" t="s">
        <v>4482</v>
      </c>
      <c r="F66" s="57" t="s">
        <v>4440</v>
      </c>
      <c r="G66" s="57" t="s">
        <v>3581</v>
      </c>
      <c r="H66" s="57" t="s">
        <v>108</v>
      </c>
      <c r="I66" s="57" t="s">
        <v>1791</v>
      </c>
      <c r="J66" s="57" t="s">
        <v>4441</v>
      </c>
      <c r="K66" s="57" t="s">
        <v>4442</v>
      </c>
    </row>
    <row r="67" spans="1:11" ht="60" customHeight="1">
      <c r="A67" s="57" t="s">
        <v>4696</v>
      </c>
      <c r="B67" s="57" t="s">
        <v>3578</v>
      </c>
      <c r="C67" s="57" t="s">
        <v>4697</v>
      </c>
      <c r="D67" s="57" t="s">
        <v>4656</v>
      </c>
      <c r="E67" s="57" t="s">
        <v>4698</v>
      </c>
      <c r="F67" s="57" t="s">
        <v>4699</v>
      </c>
      <c r="G67" s="57" t="s">
        <v>3581</v>
      </c>
      <c r="H67" s="57" t="s">
        <v>108</v>
      </c>
      <c r="I67" s="57" t="s">
        <v>1791</v>
      </c>
      <c r="J67" s="57" t="s">
        <v>4441</v>
      </c>
      <c r="K67" s="57" t="s">
        <v>4442</v>
      </c>
    </row>
    <row r="68" spans="1:11" ht="60" customHeight="1">
      <c r="A68" s="57" t="s">
        <v>4700</v>
      </c>
      <c r="B68" s="57" t="s">
        <v>3578</v>
      </c>
      <c r="C68" s="57" t="s">
        <v>4701</v>
      </c>
      <c r="D68" s="57" t="s">
        <v>4702</v>
      </c>
      <c r="E68" s="57" t="s">
        <v>4698</v>
      </c>
      <c r="F68" s="57" t="s">
        <v>4699</v>
      </c>
      <c r="G68" s="57" t="s">
        <v>3581</v>
      </c>
      <c r="H68" s="57" t="s">
        <v>108</v>
      </c>
      <c r="I68" s="57" t="s">
        <v>1791</v>
      </c>
      <c r="J68" s="57" t="s">
        <v>4441</v>
      </c>
      <c r="K68" s="57" t="s">
        <v>4442</v>
      </c>
    </row>
    <row r="69" spans="1:11" ht="60" customHeight="1">
      <c r="A69" s="57" t="s">
        <v>4703</v>
      </c>
      <c r="B69" s="57" t="s">
        <v>3578</v>
      </c>
      <c r="C69" s="57" t="s">
        <v>4704</v>
      </c>
      <c r="D69" s="57" t="s">
        <v>4630</v>
      </c>
      <c r="E69" s="57" t="s">
        <v>4705</v>
      </c>
      <c r="F69" s="57" t="s">
        <v>4706</v>
      </c>
      <c r="G69" s="57" t="s">
        <v>3581</v>
      </c>
      <c r="H69" s="57" t="s">
        <v>108</v>
      </c>
      <c r="I69" s="57" t="s">
        <v>1791</v>
      </c>
      <c r="J69" s="57" t="s">
        <v>4441</v>
      </c>
      <c r="K69" s="57" t="s">
        <v>4442</v>
      </c>
    </row>
    <row r="70" spans="1:11" ht="60" customHeight="1">
      <c r="A70" s="57" t="s">
        <v>4707</v>
      </c>
      <c r="B70" s="57" t="s">
        <v>3578</v>
      </c>
      <c r="C70" s="57" t="s">
        <v>4708</v>
      </c>
      <c r="D70" s="57" t="s">
        <v>4709</v>
      </c>
      <c r="E70" s="57" t="s">
        <v>4710</v>
      </c>
      <c r="F70" s="57" t="s">
        <v>4711</v>
      </c>
      <c r="G70" s="57" t="s">
        <v>3581</v>
      </c>
      <c r="H70" s="57" t="s">
        <v>108</v>
      </c>
      <c r="I70" s="57" t="s">
        <v>1791</v>
      </c>
      <c r="J70" s="57" t="s">
        <v>4441</v>
      </c>
      <c r="K70" s="57" t="s">
        <v>4442</v>
      </c>
    </row>
    <row r="71" spans="1:11" ht="60" customHeight="1">
      <c r="A71" s="57" t="s">
        <v>4712</v>
      </c>
      <c r="B71" s="57" t="s">
        <v>3578</v>
      </c>
      <c r="C71" s="57" t="s">
        <v>4713</v>
      </c>
      <c r="D71" s="57" t="s">
        <v>4481</v>
      </c>
      <c r="E71" s="57" t="s">
        <v>4482</v>
      </c>
      <c r="F71" s="57" t="s">
        <v>4440</v>
      </c>
      <c r="G71" s="57" t="s">
        <v>3581</v>
      </c>
      <c r="H71" s="57" t="s">
        <v>108</v>
      </c>
      <c r="I71" s="57" t="s">
        <v>1791</v>
      </c>
      <c r="J71" s="57" t="s">
        <v>4441</v>
      </c>
      <c r="K71" s="57" t="s">
        <v>4442</v>
      </c>
    </row>
    <row r="72" spans="1:11" ht="60" customHeight="1">
      <c r="A72" s="57" t="s">
        <v>4714</v>
      </c>
      <c r="B72" s="57" t="s">
        <v>3584</v>
      </c>
      <c r="C72" s="57" t="s">
        <v>4715</v>
      </c>
      <c r="D72" s="57" t="s">
        <v>4438</v>
      </c>
      <c r="E72" s="57" t="s">
        <v>4661</v>
      </c>
      <c r="F72" s="57" t="s">
        <v>4440</v>
      </c>
      <c r="G72" s="57" t="s">
        <v>3586</v>
      </c>
      <c r="H72" s="57" t="s">
        <v>108</v>
      </c>
      <c r="I72" s="57" t="s">
        <v>1791</v>
      </c>
      <c r="J72" s="57" t="s">
        <v>4441</v>
      </c>
      <c r="K72" s="57" t="s">
        <v>4442</v>
      </c>
    </row>
    <row r="73" spans="1:11" ht="60" customHeight="1">
      <c r="A73" s="57" t="s">
        <v>4716</v>
      </c>
      <c r="B73" s="57" t="s">
        <v>3584</v>
      </c>
      <c r="C73" s="57" t="s">
        <v>4717</v>
      </c>
      <c r="D73" s="57" t="s">
        <v>4502</v>
      </c>
      <c r="E73" s="57" t="s">
        <v>4661</v>
      </c>
      <c r="F73" s="57" t="s">
        <v>4440</v>
      </c>
      <c r="G73" s="57" t="s">
        <v>3586</v>
      </c>
      <c r="H73" s="57" t="s">
        <v>108</v>
      </c>
      <c r="I73" s="57" t="s">
        <v>1791</v>
      </c>
      <c r="J73" s="57" t="s">
        <v>4441</v>
      </c>
      <c r="K73" s="57" t="s">
        <v>4442</v>
      </c>
    </row>
    <row r="74" spans="1:11" ht="60" customHeight="1">
      <c r="A74" s="57" t="s">
        <v>4718</v>
      </c>
      <c r="B74" s="57" t="s">
        <v>3584</v>
      </c>
      <c r="C74" s="57" t="s">
        <v>4719</v>
      </c>
      <c r="D74" s="57" t="s">
        <v>4720</v>
      </c>
      <c r="E74" s="57" t="s">
        <v>4721</v>
      </c>
      <c r="F74" s="57" t="s">
        <v>4440</v>
      </c>
      <c r="G74" s="57" t="s">
        <v>3586</v>
      </c>
      <c r="H74" s="57" t="s">
        <v>108</v>
      </c>
      <c r="I74" s="57" t="s">
        <v>1791</v>
      </c>
      <c r="J74" s="57" t="s">
        <v>4441</v>
      </c>
      <c r="K74" s="57" t="s">
        <v>4442</v>
      </c>
    </row>
    <row r="75" spans="1:11" ht="60" customHeight="1">
      <c r="A75" s="57" t="s">
        <v>4722</v>
      </c>
      <c r="B75" s="57" t="s">
        <v>3584</v>
      </c>
      <c r="C75" s="57" t="s">
        <v>4723</v>
      </c>
      <c r="D75" s="57" t="s">
        <v>4630</v>
      </c>
      <c r="E75" s="57" t="s">
        <v>4724</v>
      </c>
      <c r="F75" s="57" t="s">
        <v>4725</v>
      </c>
      <c r="G75" s="57" t="s">
        <v>3586</v>
      </c>
      <c r="H75" s="57" t="s">
        <v>108</v>
      </c>
      <c r="I75" s="57" t="s">
        <v>1791</v>
      </c>
      <c r="J75" s="57" t="s">
        <v>4441</v>
      </c>
      <c r="K75" s="57" t="s">
        <v>4442</v>
      </c>
    </row>
    <row r="76" spans="1:11" ht="60" customHeight="1">
      <c r="A76" s="57" t="s">
        <v>4726</v>
      </c>
      <c r="B76" s="57" t="s">
        <v>3584</v>
      </c>
      <c r="C76" s="57" t="s">
        <v>4727</v>
      </c>
      <c r="D76" s="57" t="s">
        <v>4630</v>
      </c>
      <c r="E76" s="57" t="s">
        <v>4724</v>
      </c>
      <c r="F76" s="57" t="s">
        <v>4728</v>
      </c>
      <c r="G76" s="57" t="s">
        <v>3586</v>
      </c>
      <c r="H76" s="57" t="s">
        <v>108</v>
      </c>
      <c r="I76" s="57" t="s">
        <v>1791</v>
      </c>
      <c r="J76" s="57" t="s">
        <v>4441</v>
      </c>
      <c r="K76" s="57" t="s">
        <v>4442</v>
      </c>
    </row>
    <row r="77" spans="1:11" ht="60" customHeight="1">
      <c r="A77" s="57" t="s">
        <v>4729</v>
      </c>
      <c r="B77" s="57" t="s">
        <v>3584</v>
      </c>
      <c r="C77" s="57" t="s">
        <v>4730</v>
      </c>
      <c r="D77" s="57" t="s">
        <v>4731</v>
      </c>
      <c r="E77" s="57" t="s">
        <v>4732</v>
      </c>
      <c r="F77" s="57" t="s">
        <v>4733</v>
      </c>
      <c r="G77" s="57" t="s">
        <v>3586</v>
      </c>
      <c r="H77" s="57" t="s">
        <v>108</v>
      </c>
      <c r="I77" s="57" t="s">
        <v>1791</v>
      </c>
      <c r="J77" s="57" t="s">
        <v>4441</v>
      </c>
      <c r="K77" s="57" t="s">
        <v>4442</v>
      </c>
    </row>
    <row r="78" spans="1:11" ht="60" customHeight="1">
      <c r="A78" s="57" t="s">
        <v>4734</v>
      </c>
      <c r="B78" s="57" t="s">
        <v>3584</v>
      </c>
      <c r="C78" s="57" t="s">
        <v>4735</v>
      </c>
      <c r="D78" s="57" t="s">
        <v>4736</v>
      </c>
      <c r="E78" s="57" t="s">
        <v>4732</v>
      </c>
      <c r="F78" s="57" t="s">
        <v>4733</v>
      </c>
      <c r="G78" s="57" t="s">
        <v>3586</v>
      </c>
      <c r="H78" s="57" t="s">
        <v>108</v>
      </c>
      <c r="I78" s="57" t="s">
        <v>1791</v>
      </c>
      <c r="J78" s="57" t="s">
        <v>4441</v>
      </c>
      <c r="K78" s="57" t="s">
        <v>4442</v>
      </c>
    </row>
    <row r="79" spans="1:11" ht="60" customHeight="1">
      <c r="A79" s="57" t="s">
        <v>4737</v>
      </c>
      <c r="B79" s="57" t="s">
        <v>3584</v>
      </c>
      <c r="C79" s="57" t="s">
        <v>4738</v>
      </c>
      <c r="D79" s="57" t="s">
        <v>4481</v>
      </c>
      <c r="E79" s="57" t="s">
        <v>4732</v>
      </c>
      <c r="F79" s="57" t="s">
        <v>4739</v>
      </c>
      <c r="G79" s="57" t="s">
        <v>3586</v>
      </c>
      <c r="H79" s="57" t="s">
        <v>108</v>
      </c>
      <c r="I79" s="57" t="s">
        <v>1791</v>
      </c>
      <c r="J79" s="57" t="s">
        <v>4441</v>
      </c>
      <c r="K79" s="57" t="s">
        <v>4442</v>
      </c>
    </row>
    <row r="80" spans="1:11" ht="60" customHeight="1">
      <c r="A80" s="57" t="s">
        <v>4740</v>
      </c>
      <c r="B80" s="57" t="s">
        <v>3584</v>
      </c>
      <c r="C80" s="57" t="s">
        <v>4741</v>
      </c>
      <c r="D80" s="57" t="s">
        <v>4742</v>
      </c>
      <c r="E80" s="57" t="s">
        <v>4732</v>
      </c>
      <c r="F80" s="57" t="s">
        <v>4743</v>
      </c>
      <c r="G80" s="57" t="s">
        <v>3586</v>
      </c>
      <c r="H80" s="57" t="s">
        <v>108</v>
      </c>
      <c r="I80" s="57" t="s">
        <v>1791</v>
      </c>
      <c r="J80" s="57" t="s">
        <v>4441</v>
      </c>
      <c r="K80" s="57" t="s">
        <v>4442</v>
      </c>
    </row>
    <row r="81" spans="1:11" ht="60" customHeight="1">
      <c r="A81" s="57" t="s">
        <v>4744</v>
      </c>
      <c r="B81" s="57" t="s">
        <v>3584</v>
      </c>
      <c r="C81" s="57" t="s">
        <v>4745</v>
      </c>
      <c r="D81" s="57" t="s">
        <v>4476</v>
      </c>
      <c r="E81" s="57" t="s">
        <v>4732</v>
      </c>
      <c r="F81" s="57" t="s">
        <v>4440</v>
      </c>
      <c r="G81" s="57" t="s">
        <v>3586</v>
      </c>
      <c r="H81" s="57" t="s">
        <v>108</v>
      </c>
      <c r="I81" s="57" t="s">
        <v>1791</v>
      </c>
      <c r="J81" s="57" t="s">
        <v>4441</v>
      </c>
      <c r="K81" s="57" t="s">
        <v>4442</v>
      </c>
    </row>
    <row r="82" spans="1:11" ht="60" customHeight="1">
      <c r="A82" s="57" t="s">
        <v>4746</v>
      </c>
      <c r="B82" s="57" t="s">
        <v>3584</v>
      </c>
      <c r="C82" s="57" t="s">
        <v>4747</v>
      </c>
      <c r="D82" s="57" t="s">
        <v>4748</v>
      </c>
      <c r="E82" s="57" t="s">
        <v>4661</v>
      </c>
      <c r="F82" s="57" t="s">
        <v>4749</v>
      </c>
      <c r="G82" s="57" t="s">
        <v>3586</v>
      </c>
      <c r="H82" s="57" t="s">
        <v>108</v>
      </c>
      <c r="I82" s="57" t="s">
        <v>1791</v>
      </c>
      <c r="J82" s="57" t="s">
        <v>4441</v>
      </c>
      <c r="K82" s="57" t="s">
        <v>4442</v>
      </c>
    </row>
    <row r="83" spans="1:11" ht="60" customHeight="1">
      <c r="A83" s="57" t="s">
        <v>4750</v>
      </c>
      <c r="B83" s="57" t="s">
        <v>3584</v>
      </c>
      <c r="C83" s="57" t="s">
        <v>4751</v>
      </c>
      <c r="D83" s="57" t="s">
        <v>4752</v>
      </c>
      <c r="E83" s="57" t="s">
        <v>4732</v>
      </c>
      <c r="F83" s="57" t="s">
        <v>4753</v>
      </c>
      <c r="G83" s="57" t="s">
        <v>3586</v>
      </c>
      <c r="H83" s="57" t="s">
        <v>108</v>
      </c>
      <c r="I83" s="57" t="s">
        <v>1791</v>
      </c>
      <c r="J83" s="57" t="s">
        <v>4441</v>
      </c>
      <c r="K83" s="57" t="s">
        <v>4442</v>
      </c>
    </row>
    <row r="84" spans="1:11" ht="60" customHeight="1">
      <c r="A84" s="57" t="s">
        <v>4754</v>
      </c>
      <c r="B84" s="57" t="s">
        <v>3589</v>
      </c>
      <c r="C84" s="57" t="s">
        <v>4755</v>
      </c>
      <c r="D84" s="57" t="s">
        <v>4502</v>
      </c>
      <c r="E84" s="57" t="s">
        <v>4661</v>
      </c>
      <c r="F84" s="57" t="s">
        <v>4756</v>
      </c>
      <c r="G84" s="57" t="s">
        <v>3592</v>
      </c>
      <c r="H84" s="57" t="s">
        <v>3556</v>
      </c>
      <c r="I84" s="57" t="s">
        <v>3557</v>
      </c>
      <c r="J84" s="57" t="s">
        <v>4441</v>
      </c>
      <c r="K84" s="57" t="s">
        <v>4442</v>
      </c>
    </row>
    <row r="85" spans="1:11" ht="60" customHeight="1">
      <c r="A85" s="57" t="s">
        <v>4757</v>
      </c>
      <c r="B85" s="57" t="s">
        <v>3589</v>
      </c>
      <c r="C85" s="57" t="s">
        <v>4758</v>
      </c>
      <c r="D85" s="57" t="s">
        <v>4759</v>
      </c>
      <c r="E85" s="57" t="s">
        <v>4595</v>
      </c>
      <c r="F85" s="57" t="s">
        <v>4760</v>
      </c>
      <c r="G85" s="57" t="s">
        <v>3592</v>
      </c>
      <c r="H85" s="57" t="s">
        <v>3556</v>
      </c>
      <c r="I85" s="57" t="s">
        <v>3557</v>
      </c>
      <c r="J85" s="57" t="s">
        <v>4441</v>
      </c>
      <c r="K85" s="57" t="s">
        <v>4442</v>
      </c>
    </row>
    <row r="86" spans="1:11" ht="60" customHeight="1">
      <c r="A86" s="57" t="s">
        <v>4761</v>
      </c>
      <c r="B86" s="57" t="s">
        <v>3589</v>
      </c>
      <c r="C86" s="57" t="s">
        <v>4762</v>
      </c>
      <c r="D86" s="57" t="s">
        <v>4481</v>
      </c>
      <c r="E86" s="57" t="s">
        <v>4763</v>
      </c>
      <c r="F86" s="57" t="s">
        <v>4764</v>
      </c>
      <c r="G86" s="57" t="s">
        <v>3592</v>
      </c>
      <c r="H86" s="57" t="s">
        <v>3556</v>
      </c>
      <c r="I86" s="57" t="s">
        <v>3557</v>
      </c>
      <c r="J86" s="57" t="s">
        <v>4441</v>
      </c>
      <c r="K86" s="57" t="s">
        <v>4442</v>
      </c>
    </row>
    <row r="87" spans="1:11" ht="60" customHeight="1">
      <c r="A87" s="57" t="s">
        <v>4765</v>
      </c>
      <c r="B87" s="57" t="s">
        <v>3589</v>
      </c>
      <c r="C87" s="57" t="s">
        <v>4766</v>
      </c>
      <c r="D87" s="57" t="s">
        <v>4767</v>
      </c>
      <c r="E87" s="57" t="s">
        <v>4768</v>
      </c>
      <c r="F87" s="57" t="s">
        <v>4769</v>
      </c>
      <c r="G87" s="57" t="s">
        <v>3592</v>
      </c>
      <c r="H87" s="57" t="s">
        <v>3556</v>
      </c>
      <c r="I87" s="57" t="s">
        <v>3557</v>
      </c>
      <c r="J87" s="57" t="s">
        <v>4441</v>
      </c>
      <c r="K87" s="57" t="s">
        <v>4442</v>
      </c>
    </row>
    <row r="88" spans="1:11" ht="60" customHeight="1">
      <c r="A88" s="57" t="s">
        <v>4770</v>
      </c>
      <c r="B88" s="57" t="s">
        <v>3589</v>
      </c>
      <c r="C88" s="57" t="s">
        <v>4771</v>
      </c>
      <c r="D88" s="57" t="s">
        <v>4524</v>
      </c>
      <c r="E88" s="57" t="s">
        <v>4772</v>
      </c>
      <c r="F88" s="57" t="s">
        <v>4773</v>
      </c>
      <c r="G88" s="57" t="s">
        <v>3592</v>
      </c>
      <c r="H88" s="57" t="s">
        <v>3556</v>
      </c>
      <c r="I88" s="57" t="s">
        <v>3557</v>
      </c>
      <c r="J88" s="57" t="s">
        <v>4441</v>
      </c>
      <c r="K88" s="57" t="s">
        <v>4442</v>
      </c>
    </row>
    <row r="89" spans="1:11" ht="60" customHeight="1">
      <c r="A89" s="57" t="s">
        <v>4774</v>
      </c>
      <c r="B89" s="57" t="s">
        <v>3589</v>
      </c>
      <c r="C89" s="57" t="s">
        <v>4775</v>
      </c>
      <c r="D89" s="57" t="s">
        <v>4776</v>
      </c>
      <c r="E89" s="57" t="s">
        <v>4777</v>
      </c>
      <c r="F89" s="57" t="s">
        <v>4778</v>
      </c>
      <c r="G89" s="57" t="s">
        <v>3592</v>
      </c>
      <c r="H89" s="57" t="s">
        <v>3556</v>
      </c>
      <c r="I89" s="57" t="s">
        <v>3557</v>
      </c>
      <c r="J89" s="57" t="s">
        <v>4441</v>
      </c>
      <c r="K89" s="57" t="s">
        <v>4442</v>
      </c>
    </row>
    <row r="90" spans="1:11" ht="60" customHeight="1">
      <c r="A90" s="57" t="s">
        <v>4779</v>
      </c>
      <c r="B90" s="57" t="s">
        <v>3589</v>
      </c>
      <c r="C90" s="57" t="s">
        <v>4780</v>
      </c>
      <c r="D90" s="57" t="s">
        <v>4781</v>
      </c>
      <c r="E90" s="57" t="s">
        <v>4482</v>
      </c>
      <c r="F90" s="57" t="s">
        <v>4782</v>
      </c>
      <c r="G90" s="57" t="s">
        <v>3592</v>
      </c>
      <c r="H90" s="57" t="s">
        <v>3556</v>
      </c>
      <c r="I90" s="57" t="s">
        <v>3557</v>
      </c>
      <c r="J90" s="57" t="s">
        <v>4441</v>
      </c>
      <c r="K90" s="57" t="s">
        <v>4442</v>
      </c>
    </row>
    <row r="91" spans="1:11" ht="60" customHeight="1">
      <c r="A91" s="57" t="s">
        <v>4783</v>
      </c>
      <c r="B91" s="57" t="s">
        <v>3589</v>
      </c>
      <c r="C91" s="57" t="s">
        <v>4784</v>
      </c>
      <c r="D91" s="57" t="s">
        <v>4656</v>
      </c>
      <c r="E91" s="57" t="s">
        <v>4661</v>
      </c>
      <c r="F91" s="57" t="s">
        <v>4785</v>
      </c>
      <c r="G91" s="57" t="s">
        <v>3592</v>
      </c>
      <c r="H91" s="57" t="s">
        <v>3556</v>
      </c>
      <c r="I91" s="57" t="s">
        <v>3557</v>
      </c>
      <c r="J91" s="57" t="s">
        <v>4441</v>
      </c>
      <c r="K91" s="57" t="s">
        <v>4442</v>
      </c>
    </row>
    <row r="92" spans="1:11" ht="60" customHeight="1">
      <c r="A92" s="57" t="s">
        <v>4786</v>
      </c>
      <c r="B92" s="57" t="s">
        <v>3595</v>
      </c>
      <c r="C92" s="57" t="s">
        <v>4787</v>
      </c>
      <c r="D92" s="57" t="s">
        <v>4519</v>
      </c>
      <c r="E92" s="57" t="s">
        <v>4788</v>
      </c>
      <c r="F92" s="57" t="s">
        <v>4789</v>
      </c>
      <c r="G92" s="57" t="s">
        <v>3598</v>
      </c>
      <c r="H92" s="57" t="s">
        <v>3556</v>
      </c>
      <c r="I92" s="57" t="s">
        <v>3557</v>
      </c>
      <c r="J92" s="57" t="s">
        <v>4441</v>
      </c>
      <c r="K92" s="57" t="s">
        <v>4442</v>
      </c>
    </row>
    <row r="93" spans="1:11" ht="60" customHeight="1">
      <c r="A93" s="57" t="s">
        <v>4790</v>
      </c>
      <c r="B93" s="57" t="s">
        <v>3595</v>
      </c>
      <c r="C93" s="57" t="s">
        <v>4791</v>
      </c>
      <c r="D93" s="57" t="s">
        <v>4519</v>
      </c>
      <c r="E93" s="57" t="s">
        <v>4792</v>
      </c>
      <c r="F93" s="57" t="s">
        <v>4793</v>
      </c>
      <c r="G93" s="57" t="s">
        <v>3598</v>
      </c>
      <c r="H93" s="57" t="s">
        <v>3556</v>
      </c>
      <c r="I93" s="57" t="s">
        <v>3557</v>
      </c>
      <c r="J93" s="57" t="s">
        <v>4441</v>
      </c>
      <c r="K93" s="57" t="s">
        <v>4442</v>
      </c>
    </row>
    <row r="94" spans="1:11" ht="60" customHeight="1">
      <c r="A94" s="57" t="s">
        <v>4794</v>
      </c>
      <c r="B94" s="57" t="s">
        <v>3595</v>
      </c>
      <c r="C94" s="57" t="s">
        <v>4795</v>
      </c>
      <c r="D94" s="57" t="s">
        <v>4796</v>
      </c>
      <c r="E94" s="57" t="s">
        <v>4797</v>
      </c>
      <c r="F94" s="57" t="s">
        <v>4798</v>
      </c>
      <c r="G94" s="57" t="s">
        <v>3598</v>
      </c>
      <c r="H94" s="57" t="s">
        <v>3556</v>
      </c>
      <c r="I94" s="57" t="s">
        <v>3557</v>
      </c>
      <c r="J94" s="57" t="s">
        <v>4441</v>
      </c>
      <c r="K94" s="57" t="s">
        <v>4442</v>
      </c>
    </row>
    <row r="95" spans="1:11" ht="60" customHeight="1">
      <c r="A95" s="57" t="s">
        <v>4799</v>
      </c>
      <c r="B95" s="57" t="s">
        <v>3595</v>
      </c>
      <c r="C95" s="57" t="s">
        <v>4800</v>
      </c>
      <c r="D95" s="57" t="s">
        <v>4438</v>
      </c>
      <c r="E95" s="57" t="s">
        <v>4801</v>
      </c>
      <c r="F95" s="57" t="s">
        <v>4802</v>
      </c>
      <c r="G95" s="57" t="s">
        <v>3598</v>
      </c>
      <c r="H95" s="57" t="s">
        <v>3556</v>
      </c>
      <c r="I95" s="57" t="s">
        <v>3557</v>
      </c>
      <c r="J95" s="57" t="s">
        <v>4441</v>
      </c>
      <c r="K95" s="57" t="s">
        <v>4442</v>
      </c>
    </row>
    <row r="96" spans="1:11" ht="60" customHeight="1">
      <c r="A96" s="57" t="s">
        <v>4803</v>
      </c>
      <c r="B96" s="57" t="s">
        <v>3595</v>
      </c>
      <c r="C96" s="57" t="s">
        <v>4804</v>
      </c>
      <c r="D96" s="57" t="s">
        <v>4656</v>
      </c>
      <c r="E96" s="57" t="s">
        <v>4805</v>
      </c>
      <c r="F96" s="57" t="s">
        <v>4806</v>
      </c>
      <c r="G96" s="57" t="s">
        <v>3598</v>
      </c>
      <c r="H96" s="57" t="s">
        <v>3556</v>
      </c>
      <c r="I96" s="57" t="s">
        <v>3557</v>
      </c>
      <c r="J96" s="57" t="s">
        <v>4441</v>
      </c>
      <c r="K96" s="57" t="s">
        <v>4442</v>
      </c>
    </row>
    <row r="97" spans="1:11" ht="60" customHeight="1">
      <c r="A97" s="57" t="s">
        <v>4807</v>
      </c>
      <c r="B97" s="57" t="s">
        <v>3595</v>
      </c>
      <c r="C97" s="57" t="s">
        <v>4808</v>
      </c>
      <c r="D97" s="57" t="s">
        <v>4502</v>
      </c>
      <c r="E97" s="57" t="s">
        <v>4809</v>
      </c>
      <c r="F97" s="57" t="s">
        <v>4810</v>
      </c>
      <c r="G97" s="57" t="s">
        <v>3598</v>
      </c>
      <c r="H97" s="57" t="s">
        <v>3556</v>
      </c>
      <c r="I97" s="57" t="s">
        <v>3557</v>
      </c>
      <c r="J97" s="57" t="s">
        <v>4441</v>
      </c>
      <c r="K97" s="57" t="s">
        <v>4442</v>
      </c>
    </row>
    <row r="98" spans="1:11" ht="60" customHeight="1">
      <c r="A98" s="57" t="s">
        <v>4811</v>
      </c>
      <c r="B98" s="57" t="s">
        <v>3595</v>
      </c>
      <c r="C98" s="57" t="s">
        <v>4812</v>
      </c>
      <c r="D98" s="57" t="s">
        <v>4813</v>
      </c>
      <c r="E98" s="57" t="s">
        <v>4814</v>
      </c>
      <c r="F98" s="57" t="s">
        <v>4815</v>
      </c>
      <c r="G98" s="57" t="s">
        <v>3598</v>
      </c>
      <c r="H98" s="57" t="s">
        <v>3556</v>
      </c>
      <c r="I98" s="57" t="s">
        <v>3557</v>
      </c>
      <c r="J98" s="57" t="s">
        <v>4441</v>
      </c>
      <c r="K98" s="57" t="s">
        <v>4442</v>
      </c>
    </row>
    <row r="99" spans="1:11" ht="60" customHeight="1">
      <c r="A99" s="57" t="s">
        <v>4816</v>
      </c>
      <c r="B99" s="57" t="s">
        <v>3595</v>
      </c>
      <c r="C99" s="57" t="s">
        <v>4817</v>
      </c>
      <c r="D99" s="57" t="s">
        <v>4481</v>
      </c>
      <c r="E99" s="57" t="s">
        <v>4818</v>
      </c>
      <c r="F99" s="57" t="s">
        <v>4819</v>
      </c>
      <c r="G99" s="57" t="s">
        <v>3598</v>
      </c>
      <c r="H99" s="57" t="s">
        <v>3556</v>
      </c>
      <c r="I99" s="57" t="s">
        <v>3557</v>
      </c>
      <c r="J99" s="57" t="s">
        <v>4441</v>
      </c>
      <c r="K99" s="57" t="s">
        <v>4442</v>
      </c>
    </row>
    <row r="100" spans="1:11" ht="60" customHeight="1">
      <c r="A100" s="57" t="s">
        <v>4820</v>
      </c>
      <c r="B100" s="57" t="s">
        <v>3595</v>
      </c>
      <c r="C100" s="57" t="s">
        <v>4821</v>
      </c>
      <c r="D100" s="57" t="s">
        <v>4822</v>
      </c>
      <c r="E100" s="57" t="s">
        <v>4823</v>
      </c>
      <c r="F100" s="57" t="s">
        <v>4824</v>
      </c>
      <c r="G100" s="57" t="s">
        <v>3598</v>
      </c>
      <c r="H100" s="57" t="s">
        <v>3556</v>
      </c>
      <c r="I100" s="57" t="s">
        <v>3557</v>
      </c>
      <c r="J100" s="57" t="s">
        <v>4441</v>
      </c>
      <c r="K100" s="57" t="s">
        <v>4442</v>
      </c>
    </row>
    <row r="101" spans="1:11" ht="60" customHeight="1">
      <c r="A101" s="57" t="s">
        <v>4825</v>
      </c>
      <c r="B101" s="57" t="s">
        <v>3595</v>
      </c>
      <c r="C101" s="57" t="s">
        <v>4826</v>
      </c>
      <c r="D101" s="57" t="s">
        <v>4827</v>
      </c>
      <c r="E101" s="57" t="s">
        <v>4828</v>
      </c>
      <c r="F101" s="57" t="s">
        <v>4440</v>
      </c>
      <c r="G101" s="57" t="s">
        <v>3598</v>
      </c>
      <c r="H101" s="57" t="s">
        <v>3556</v>
      </c>
      <c r="I101" s="57" t="s">
        <v>3557</v>
      </c>
      <c r="J101" s="57" t="s">
        <v>4441</v>
      </c>
      <c r="K101" s="57" t="s">
        <v>4442</v>
      </c>
    </row>
    <row r="102" spans="1:11" ht="60" customHeight="1">
      <c r="A102" s="57" t="s">
        <v>4829</v>
      </c>
      <c r="B102" s="57" t="s">
        <v>3595</v>
      </c>
      <c r="C102" s="57" t="s">
        <v>4830</v>
      </c>
      <c r="D102" s="57" t="s">
        <v>4481</v>
      </c>
      <c r="E102" s="57" t="s">
        <v>4818</v>
      </c>
      <c r="F102" s="57" t="s">
        <v>4831</v>
      </c>
      <c r="G102" s="57" t="s">
        <v>3598</v>
      </c>
      <c r="H102" s="57" t="s">
        <v>3556</v>
      </c>
      <c r="I102" s="57" t="s">
        <v>3557</v>
      </c>
      <c r="J102" s="57" t="s">
        <v>4441</v>
      </c>
      <c r="K102" s="57" t="s">
        <v>4442</v>
      </c>
    </row>
    <row r="103" spans="1:11" ht="60" customHeight="1">
      <c r="A103" s="57" t="s">
        <v>4832</v>
      </c>
      <c r="B103" s="57" t="s">
        <v>3595</v>
      </c>
      <c r="C103" s="57" t="s">
        <v>4518</v>
      </c>
      <c r="D103" s="57" t="s">
        <v>4519</v>
      </c>
      <c r="E103" s="57" t="s">
        <v>4833</v>
      </c>
      <c r="F103" s="57" t="s">
        <v>4831</v>
      </c>
      <c r="G103" s="57" t="s">
        <v>3598</v>
      </c>
      <c r="H103" s="57" t="s">
        <v>3556</v>
      </c>
      <c r="I103" s="57" t="s">
        <v>3557</v>
      </c>
      <c r="J103" s="57" t="s">
        <v>4441</v>
      </c>
      <c r="K103" s="57" t="s">
        <v>4442</v>
      </c>
    </row>
    <row r="104" spans="1:11" ht="60" customHeight="1">
      <c r="A104" s="57" t="s">
        <v>4834</v>
      </c>
      <c r="B104" s="57" t="s">
        <v>3601</v>
      </c>
      <c r="C104" s="57" t="s">
        <v>4835</v>
      </c>
      <c r="D104" s="57" t="s">
        <v>4519</v>
      </c>
      <c r="E104" s="57" t="s">
        <v>4788</v>
      </c>
      <c r="F104" s="57" t="s">
        <v>4836</v>
      </c>
      <c r="G104" s="57" t="s">
        <v>3604</v>
      </c>
      <c r="H104" s="57" t="s">
        <v>3556</v>
      </c>
      <c r="I104" s="57" t="s">
        <v>3557</v>
      </c>
      <c r="J104" s="57" t="s">
        <v>4441</v>
      </c>
      <c r="K104" s="57" t="s">
        <v>4442</v>
      </c>
    </row>
    <row r="105" spans="1:11" ht="60" customHeight="1">
      <c r="A105" s="57" t="s">
        <v>4837</v>
      </c>
      <c r="B105" s="57" t="s">
        <v>3601</v>
      </c>
      <c r="C105" s="57" t="s">
        <v>4838</v>
      </c>
      <c r="D105" s="57" t="s">
        <v>4839</v>
      </c>
      <c r="E105" s="57" t="s">
        <v>4721</v>
      </c>
      <c r="F105" s="57" t="s">
        <v>4840</v>
      </c>
      <c r="G105" s="57" t="s">
        <v>3604</v>
      </c>
      <c r="H105" s="57" t="s">
        <v>3556</v>
      </c>
      <c r="I105" s="57" t="s">
        <v>3557</v>
      </c>
      <c r="J105" s="57" t="s">
        <v>4441</v>
      </c>
      <c r="K105" s="57" t="s">
        <v>4442</v>
      </c>
    </row>
    <row r="106" spans="1:11" ht="60" customHeight="1">
      <c r="A106" s="57" t="s">
        <v>4841</v>
      </c>
      <c r="B106" s="57" t="s">
        <v>3601</v>
      </c>
      <c r="C106" s="57" t="s">
        <v>4842</v>
      </c>
      <c r="D106" s="57" t="s">
        <v>4843</v>
      </c>
      <c r="E106" s="57" t="s">
        <v>4721</v>
      </c>
      <c r="F106" s="57" t="s">
        <v>4844</v>
      </c>
      <c r="G106" s="57" t="s">
        <v>3604</v>
      </c>
      <c r="H106" s="57" t="s">
        <v>3556</v>
      </c>
      <c r="I106" s="57" t="s">
        <v>3557</v>
      </c>
      <c r="J106" s="57" t="s">
        <v>4441</v>
      </c>
      <c r="K106" s="57" t="s">
        <v>4442</v>
      </c>
    </row>
    <row r="107" spans="1:11" ht="60" customHeight="1">
      <c r="A107" s="57" t="s">
        <v>4845</v>
      </c>
      <c r="B107" s="57" t="s">
        <v>3601</v>
      </c>
      <c r="C107" s="57" t="s">
        <v>4846</v>
      </c>
      <c r="D107" s="57" t="s">
        <v>4827</v>
      </c>
      <c r="E107" s="57" t="s">
        <v>4721</v>
      </c>
      <c r="F107" s="57" t="s">
        <v>4440</v>
      </c>
      <c r="G107" s="57" t="s">
        <v>3604</v>
      </c>
      <c r="H107" s="57" t="s">
        <v>3556</v>
      </c>
      <c r="I107" s="57" t="s">
        <v>3557</v>
      </c>
      <c r="J107" s="57" t="s">
        <v>4441</v>
      </c>
      <c r="K107" s="57" t="s">
        <v>4442</v>
      </c>
    </row>
    <row r="108" spans="1:11" ht="60" customHeight="1">
      <c r="A108" s="57" t="s">
        <v>4847</v>
      </c>
      <c r="B108" s="57" t="s">
        <v>3601</v>
      </c>
      <c r="C108" s="57" t="s">
        <v>4848</v>
      </c>
      <c r="D108" s="57" t="s">
        <v>4630</v>
      </c>
      <c r="E108" s="57" t="s">
        <v>4849</v>
      </c>
      <c r="F108" s="57" t="s">
        <v>4850</v>
      </c>
      <c r="G108" s="57" t="s">
        <v>3604</v>
      </c>
      <c r="H108" s="57" t="s">
        <v>3556</v>
      </c>
      <c r="I108" s="57" t="s">
        <v>3557</v>
      </c>
      <c r="J108" s="57" t="s">
        <v>4441</v>
      </c>
      <c r="K108" s="57" t="s">
        <v>4442</v>
      </c>
    </row>
    <row r="109" spans="1:11" ht="60" customHeight="1">
      <c r="A109" s="57" t="s">
        <v>4851</v>
      </c>
      <c r="B109" s="57" t="s">
        <v>3601</v>
      </c>
      <c r="C109" s="57" t="s">
        <v>4852</v>
      </c>
      <c r="D109" s="57" t="s">
        <v>4481</v>
      </c>
      <c r="E109" s="57" t="s">
        <v>4853</v>
      </c>
      <c r="F109" s="57" t="s">
        <v>4854</v>
      </c>
      <c r="G109" s="57" t="s">
        <v>3604</v>
      </c>
      <c r="H109" s="57" t="s">
        <v>3556</v>
      </c>
      <c r="I109" s="57" t="s">
        <v>3557</v>
      </c>
      <c r="J109" s="57" t="s">
        <v>4441</v>
      </c>
      <c r="K109" s="57" t="s">
        <v>4442</v>
      </c>
    </row>
    <row r="110" spans="1:11" ht="60" customHeight="1">
      <c r="A110" s="57" t="s">
        <v>4855</v>
      </c>
      <c r="B110" s="57" t="s">
        <v>3601</v>
      </c>
      <c r="C110" s="57" t="s">
        <v>4856</v>
      </c>
      <c r="D110" s="57" t="s">
        <v>4519</v>
      </c>
      <c r="E110" s="57" t="s">
        <v>4857</v>
      </c>
      <c r="F110" s="57" t="s">
        <v>4858</v>
      </c>
      <c r="G110" s="57" t="s">
        <v>3604</v>
      </c>
      <c r="H110" s="57" t="s">
        <v>3556</v>
      </c>
      <c r="I110" s="57" t="s">
        <v>3557</v>
      </c>
      <c r="J110" s="57" t="s">
        <v>4441</v>
      </c>
      <c r="K110" s="57" t="s">
        <v>4442</v>
      </c>
    </row>
    <row r="111" spans="1:11" ht="60" customHeight="1">
      <c r="A111" s="57" t="s">
        <v>4859</v>
      </c>
      <c r="B111" s="57" t="s">
        <v>3601</v>
      </c>
      <c r="C111" s="57" t="s">
        <v>4860</v>
      </c>
      <c r="D111" s="57" t="s">
        <v>4519</v>
      </c>
      <c r="E111" s="57" t="s">
        <v>4861</v>
      </c>
      <c r="F111" s="57" t="s">
        <v>4858</v>
      </c>
      <c r="G111" s="57" t="s">
        <v>3604</v>
      </c>
      <c r="H111" s="57" t="s">
        <v>3556</v>
      </c>
      <c r="I111" s="57" t="s">
        <v>3557</v>
      </c>
      <c r="J111" s="57" t="s">
        <v>4441</v>
      </c>
      <c r="K111" s="57" t="s">
        <v>4442</v>
      </c>
    </row>
    <row r="112" spans="1:11" ht="60" customHeight="1">
      <c r="A112" s="57" t="s">
        <v>4862</v>
      </c>
      <c r="B112" s="57" t="s">
        <v>3607</v>
      </c>
      <c r="C112" s="57" t="s">
        <v>4863</v>
      </c>
      <c r="D112" s="57" t="s">
        <v>4502</v>
      </c>
      <c r="E112" s="57" t="s">
        <v>4595</v>
      </c>
      <c r="F112" s="57" t="s">
        <v>4440</v>
      </c>
      <c r="G112" s="57" t="s">
        <v>3610</v>
      </c>
      <c r="H112" s="57" t="s">
        <v>3556</v>
      </c>
      <c r="I112" s="57" t="s">
        <v>3557</v>
      </c>
      <c r="J112" s="57" t="s">
        <v>4441</v>
      </c>
      <c r="K112" s="57" t="s">
        <v>4442</v>
      </c>
    </row>
    <row r="113" spans="1:11" ht="60" customHeight="1">
      <c r="A113" s="57" t="s">
        <v>4864</v>
      </c>
      <c r="B113" s="57" t="s">
        <v>3607</v>
      </c>
      <c r="C113" s="57" t="s">
        <v>4865</v>
      </c>
      <c r="D113" s="57" t="s">
        <v>4866</v>
      </c>
      <c r="E113" s="57" t="s">
        <v>4867</v>
      </c>
      <c r="F113" s="57" t="s">
        <v>4440</v>
      </c>
      <c r="G113" s="57" t="s">
        <v>3610</v>
      </c>
      <c r="H113" s="57" t="s">
        <v>3556</v>
      </c>
      <c r="I113" s="57" t="s">
        <v>3557</v>
      </c>
      <c r="J113" s="57" t="s">
        <v>4441</v>
      </c>
      <c r="K113" s="57" t="s">
        <v>4442</v>
      </c>
    </row>
    <row r="114" spans="1:11" ht="60" customHeight="1">
      <c r="A114" s="57" t="s">
        <v>4868</v>
      </c>
      <c r="B114" s="57" t="s">
        <v>3607</v>
      </c>
      <c r="C114" s="57" t="s">
        <v>4869</v>
      </c>
      <c r="D114" s="57" t="s">
        <v>4870</v>
      </c>
      <c r="E114" s="57" t="s">
        <v>4871</v>
      </c>
      <c r="F114" s="57" t="s">
        <v>4543</v>
      </c>
      <c r="G114" s="57" t="s">
        <v>3610</v>
      </c>
      <c r="H114" s="57" t="s">
        <v>3556</v>
      </c>
      <c r="I114" s="57" t="s">
        <v>3557</v>
      </c>
      <c r="J114" s="57" t="s">
        <v>4441</v>
      </c>
      <c r="K114" s="57" t="s">
        <v>4442</v>
      </c>
    </row>
    <row r="115" spans="1:11" ht="60" customHeight="1">
      <c r="A115" s="57" t="s">
        <v>4872</v>
      </c>
      <c r="B115" s="57" t="s">
        <v>3607</v>
      </c>
      <c r="C115" s="57" t="s">
        <v>4873</v>
      </c>
      <c r="D115" s="57" t="s">
        <v>4476</v>
      </c>
      <c r="E115" s="57" t="s">
        <v>4870</v>
      </c>
      <c r="F115" s="57" t="s">
        <v>4874</v>
      </c>
      <c r="G115" s="57" t="s">
        <v>3610</v>
      </c>
      <c r="H115" s="57" t="s">
        <v>3556</v>
      </c>
      <c r="I115" s="57" t="s">
        <v>3557</v>
      </c>
      <c r="J115" s="57" t="s">
        <v>4441</v>
      </c>
      <c r="K115" s="57" t="s">
        <v>4442</v>
      </c>
    </row>
    <row r="116" spans="1:11" ht="60" customHeight="1">
      <c r="A116" s="57" t="s">
        <v>4875</v>
      </c>
      <c r="B116" s="57" t="s">
        <v>3607</v>
      </c>
      <c r="C116" s="57" t="s">
        <v>4876</v>
      </c>
      <c r="D116" s="57" t="s">
        <v>4481</v>
      </c>
      <c r="E116" s="57" t="s">
        <v>4482</v>
      </c>
      <c r="F116" s="57" t="s">
        <v>4689</v>
      </c>
      <c r="G116" s="57" t="s">
        <v>3610</v>
      </c>
      <c r="H116" s="57" t="s">
        <v>3556</v>
      </c>
      <c r="I116" s="57" t="s">
        <v>3557</v>
      </c>
      <c r="J116" s="57" t="s">
        <v>4441</v>
      </c>
      <c r="K116" s="57" t="s">
        <v>4442</v>
      </c>
    </row>
    <row r="117" spans="1:11" ht="60" customHeight="1">
      <c r="A117" s="57" t="s">
        <v>4877</v>
      </c>
      <c r="B117" s="57" t="s">
        <v>3607</v>
      </c>
      <c r="C117" s="57" t="s">
        <v>4878</v>
      </c>
      <c r="D117" s="57" t="s">
        <v>4481</v>
      </c>
      <c r="E117" s="57" t="s">
        <v>4879</v>
      </c>
      <c r="F117" s="57" t="s">
        <v>4880</v>
      </c>
      <c r="G117" s="57" t="s">
        <v>3610</v>
      </c>
      <c r="H117" s="57" t="s">
        <v>3556</v>
      </c>
      <c r="I117" s="57" t="s">
        <v>3557</v>
      </c>
      <c r="J117" s="57" t="s">
        <v>4441</v>
      </c>
      <c r="K117" s="57" t="s">
        <v>4442</v>
      </c>
    </row>
    <row r="118" spans="1:11" ht="60" customHeight="1">
      <c r="A118" s="57" t="s">
        <v>4881</v>
      </c>
      <c r="B118" s="57" t="s">
        <v>133</v>
      </c>
      <c r="C118" s="57" t="s">
        <v>4882</v>
      </c>
      <c r="D118" s="57" t="s">
        <v>4615</v>
      </c>
      <c r="E118" s="57" t="s">
        <v>4616</v>
      </c>
      <c r="F118" s="57" t="s">
        <v>4616</v>
      </c>
      <c r="G118" s="57" t="s">
        <v>3615</v>
      </c>
      <c r="H118" s="57" t="s">
        <v>3556</v>
      </c>
      <c r="I118" s="57" t="s">
        <v>3557</v>
      </c>
      <c r="J118" s="57" t="s">
        <v>4617</v>
      </c>
      <c r="K118" s="57" t="s">
        <v>4618</v>
      </c>
    </row>
    <row r="119" spans="1:11" ht="60" customHeight="1">
      <c r="A119" s="57" t="s">
        <v>4883</v>
      </c>
      <c r="B119" s="57" t="s">
        <v>3618</v>
      </c>
      <c r="C119" s="57" t="s">
        <v>4884</v>
      </c>
      <c r="D119" s="57" t="s">
        <v>4615</v>
      </c>
      <c r="E119" s="57" t="s">
        <v>4616</v>
      </c>
      <c r="F119" s="57" t="s">
        <v>4616</v>
      </c>
      <c r="G119" s="57" t="s">
        <v>3621</v>
      </c>
      <c r="H119" s="57" t="s">
        <v>3556</v>
      </c>
      <c r="I119" s="57" t="s">
        <v>3557</v>
      </c>
      <c r="J119" s="57" t="s">
        <v>4617</v>
      </c>
      <c r="K119" s="57" t="s">
        <v>4618</v>
      </c>
    </row>
    <row r="120" spans="1:11" ht="60" customHeight="1">
      <c r="A120" s="57" t="s">
        <v>4885</v>
      </c>
      <c r="B120" s="57" t="s">
        <v>3624</v>
      </c>
      <c r="C120" s="57" t="s">
        <v>4886</v>
      </c>
      <c r="D120" s="57" t="s">
        <v>4615</v>
      </c>
      <c r="E120" s="57" t="s">
        <v>4616</v>
      </c>
      <c r="F120" s="57" t="s">
        <v>4616</v>
      </c>
      <c r="G120" s="57" t="s">
        <v>3627</v>
      </c>
      <c r="H120" s="57" t="s">
        <v>3556</v>
      </c>
      <c r="I120" s="57" t="s">
        <v>3557</v>
      </c>
      <c r="J120" s="57" t="s">
        <v>4617</v>
      </c>
      <c r="K120" s="57" t="s">
        <v>4618</v>
      </c>
    </row>
    <row r="121" spans="1:11" ht="60" customHeight="1">
      <c r="A121" s="57" t="s">
        <v>4887</v>
      </c>
      <c r="B121" s="57" t="s">
        <v>3630</v>
      </c>
      <c r="C121" s="57" t="s">
        <v>4888</v>
      </c>
      <c r="D121" s="57" t="s">
        <v>4502</v>
      </c>
      <c r="E121" s="57" t="s">
        <v>4661</v>
      </c>
      <c r="F121" s="57" t="s">
        <v>4889</v>
      </c>
      <c r="G121" s="57" t="s">
        <v>3633</v>
      </c>
      <c r="H121" s="57" t="s">
        <v>3556</v>
      </c>
      <c r="I121" s="57" t="s">
        <v>3557</v>
      </c>
      <c r="J121" s="57" t="s">
        <v>4441</v>
      </c>
      <c r="K121" s="57" t="s">
        <v>4442</v>
      </c>
    </row>
    <row r="122" spans="1:11" ht="60" customHeight="1">
      <c r="A122" s="57" t="s">
        <v>4890</v>
      </c>
      <c r="B122" s="57" t="s">
        <v>3630</v>
      </c>
      <c r="C122" s="57" t="s">
        <v>4891</v>
      </c>
      <c r="D122" s="57" t="s">
        <v>4892</v>
      </c>
      <c r="E122" s="57" t="s">
        <v>4893</v>
      </c>
      <c r="F122" s="57" t="s">
        <v>4440</v>
      </c>
      <c r="G122" s="57" t="s">
        <v>3633</v>
      </c>
      <c r="H122" s="57" t="s">
        <v>3556</v>
      </c>
      <c r="I122" s="57" t="s">
        <v>3557</v>
      </c>
      <c r="J122" s="57" t="s">
        <v>4441</v>
      </c>
      <c r="K122" s="57" t="s">
        <v>4442</v>
      </c>
    </row>
    <row r="123" spans="1:11" ht="60" customHeight="1">
      <c r="A123" s="57" t="s">
        <v>4894</v>
      </c>
      <c r="B123" s="57" t="s">
        <v>3630</v>
      </c>
      <c r="C123" s="57" t="s">
        <v>4895</v>
      </c>
      <c r="D123" s="57" t="s">
        <v>4481</v>
      </c>
      <c r="E123" s="57" t="s">
        <v>4482</v>
      </c>
      <c r="F123" s="57" t="s">
        <v>4896</v>
      </c>
      <c r="G123" s="57" t="s">
        <v>3633</v>
      </c>
      <c r="H123" s="57" t="s">
        <v>3556</v>
      </c>
      <c r="I123" s="57" t="s">
        <v>3557</v>
      </c>
      <c r="J123" s="57" t="s">
        <v>4441</v>
      </c>
      <c r="K123" s="57" t="s">
        <v>4442</v>
      </c>
    </row>
    <row r="124" spans="1:11" ht="60" customHeight="1">
      <c r="A124" s="57" t="s">
        <v>4897</v>
      </c>
      <c r="B124" s="57" t="s">
        <v>3630</v>
      </c>
      <c r="C124" s="57" t="s">
        <v>4898</v>
      </c>
      <c r="D124" s="57" t="s">
        <v>4519</v>
      </c>
      <c r="E124" s="57" t="s">
        <v>4899</v>
      </c>
      <c r="F124" s="57" t="s">
        <v>4900</v>
      </c>
      <c r="G124" s="57" t="s">
        <v>3633</v>
      </c>
      <c r="H124" s="57" t="s">
        <v>3556</v>
      </c>
      <c r="I124" s="57" t="s">
        <v>3557</v>
      </c>
      <c r="J124" s="57" t="s">
        <v>4441</v>
      </c>
      <c r="K124" s="57" t="s">
        <v>4442</v>
      </c>
    </row>
    <row r="125" spans="1:11" ht="60" customHeight="1">
      <c r="A125" s="57" t="s">
        <v>4901</v>
      </c>
      <c r="B125" s="57" t="s">
        <v>3630</v>
      </c>
      <c r="C125" s="57" t="s">
        <v>4902</v>
      </c>
      <c r="D125" s="57" t="s">
        <v>4903</v>
      </c>
      <c r="E125" s="57" t="s">
        <v>4899</v>
      </c>
      <c r="F125" s="57" t="s">
        <v>4904</v>
      </c>
      <c r="G125" s="57" t="s">
        <v>3633</v>
      </c>
      <c r="H125" s="57" t="s">
        <v>3556</v>
      </c>
      <c r="I125" s="57" t="s">
        <v>3557</v>
      </c>
      <c r="J125" s="57" t="s">
        <v>4441</v>
      </c>
      <c r="K125" s="57" t="s">
        <v>4442</v>
      </c>
    </row>
    <row r="126" spans="1:11" ht="60" customHeight="1">
      <c r="A126" s="57" t="s">
        <v>4905</v>
      </c>
      <c r="B126" s="57" t="s">
        <v>3630</v>
      </c>
      <c r="C126" s="57" t="s">
        <v>4906</v>
      </c>
      <c r="D126" s="57" t="s">
        <v>4752</v>
      </c>
      <c r="E126" s="57" t="s">
        <v>4899</v>
      </c>
      <c r="F126" s="57" t="s">
        <v>4907</v>
      </c>
      <c r="G126" s="57" t="s">
        <v>3633</v>
      </c>
      <c r="H126" s="57" t="s">
        <v>3556</v>
      </c>
      <c r="I126" s="57" t="s">
        <v>3557</v>
      </c>
      <c r="J126" s="57" t="s">
        <v>4441</v>
      </c>
      <c r="K126" s="57" t="s">
        <v>4442</v>
      </c>
    </row>
    <row r="127" spans="1:11" ht="60" customHeight="1">
      <c r="A127" s="57" t="s">
        <v>4908</v>
      </c>
      <c r="B127" s="57" t="s">
        <v>3630</v>
      </c>
      <c r="C127" s="57" t="s">
        <v>4909</v>
      </c>
      <c r="D127" s="57" t="s">
        <v>4910</v>
      </c>
      <c r="E127" s="57" t="s">
        <v>4911</v>
      </c>
      <c r="F127" s="57" t="s">
        <v>4440</v>
      </c>
      <c r="G127" s="57" t="s">
        <v>3633</v>
      </c>
      <c r="H127" s="57" t="s">
        <v>3556</v>
      </c>
      <c r="I127" s="57" t="s">
        <v>3557</v>
      </c>
      <c r="J127" s="57" t="s">
        <v>4441</v>
      </c>
      <c r="K127" s="57" t="s">
        <v>4442</v>
      </c>
    </row>
    <row r="128" spans="1:11" ht="60" customHeight="1">
      <c r="A128" s="57" t="s">
        <v>4912</v>
      </c>
      <c r="B128" s="57" t="s">
        <v>3630</v>
      </c>
      <c r="C128" s="57" t="s">
        <v>4913</v>
      </c>
      <c r="D128" s="57" t="s">
        <v>4914</v>
      </c>
      <c r="E128" s="57" t="s">
        <v>4899</v>
      </c>
      <c r="F128" s="57" t="s">
        <v>4915</v>
      </c>
      <c r="G128" s="57" t="s">
        <v>3633</v>
      </c>
      <c r="H128" s="57" t="s">
        <v>3556</v>
      </c>
      <c r="I128" s="57" t="s">
        <v>3557</v>
      </c>
      <c r="J128" s="57" t="s">
        <v>4441</v>
      </c>
      <c r="K128" s="57" t="s">
        <v>4442</v>
      </c>
    </row>
    <row r="129" spans="1:11" ht="60" customHeight="1">
      <c r="A129" s="57" t="s">
        <v>4916</v>
      </c>
      <c r="B129" s="57" t="s">
        <v>3630</v>
      </c>
      <c r="C129" s="57" t="s">
        <v>4917</v>
      </c>
      <c r="D129" s="57" t="s">
        <v>4752</v>
      </c>
      <c r="E129" s="57" t="s">
        <v>4899</v>
      </c>
      <c r="F129" s="57" t="s">
        <v>4918</v>
      </c>
      <c r="G129" s="57" t="s">
        <v>3633</v>
      </c>
      <c r="H129" s="57" t="s">
        <v>3556</v>
      </c>
      <c r="I129" s="57" t="s">
        <v>3557</v>
      </c>
      <c r="J129" s="57" t="s">
        <v>4441</v>
      </c>
      <c r="K129" s="57" t="s">
        <v>4442</v>
      </c>
    </row>
    <row r="130" spans="1:11" ht="60" customHeight="1">
      <c r="A130" s="57" t="s">
        <v>4919</v>
      </c>
      <c r="B130" s="57" t="s">
        <v>3630</v>
      </c>
      <c r="C130" s="57" t="s">
        <v>4920</v>
      </c>
      <c r="D130" s="57" t="s">
        <v>4921</v>
      </c>
      <c r="E130" s="57" t="s">
        <v>4922</v>
      </c>
      <c r="F130" s="57" t="s">
        <v>4440</v>
      </c>
      <c r="G130" s="57" t="s">
        <v>3633</v>
      </c>
      <c r="H130" s="57" t="s">
        <v>3556</v>
      </c>
      <c r="I130" s="57" t="s">
        <v>3557</v>
      </c>
      <c r="J130" s="57" t="s">
        <v>4441</v>
      </c>
      <c r="K130" s="57" t="s">
        <v>4442</v>
      </c>
    </row>
    <row r="131" spans="1:11" ht="60" customHeight="1">
      <c r="A131" s="57" t="s">
        <v>4923</v>
      </c>
      <c r="B131" s="57" t="s">
        <v>3630</v>
      </c>
      <c r="C131" s="57" t="s">
        <v>4924</v>
      </c>
      <c r="D131" s="57" t="s">
        <v>4925</v>
      </c>
      <c r="E131" s="57" t="s">
        <v>4926</v>
      </c>
      <c r="F131" s="57" t="s">
        <v>4927</v>
      </c>
      <c r="G131" s="57" t="s">
        <v>3633</v>
      </c>
      <c r="H131" s="57" t="s">
        <v>3556</v>
      </c>
      <c r="I131" s="57" t="s">
        <v>3557</v>
      </c>
      <c r="J131" s="57" t="s">
        <v>4441</v>
      </c>
      <c r="K131" s="57" t="s">
        <v>4442</v>
      </c>
    </row>
    <row r="132" spans="1:11" ht="60" customHeight="1">
      <c r="A132" s="57" t="s">
        <v>4928</v>
      </c>
      <c r="B132" s="57" t="s">
        <v>3630</v>
      </c>
      <c r="C132" s="57" t="s">
        <v>4929</v>
      </c>
      <c r="D132" s="57" t="s">
        <v>4930</v>
      </c>
      <c r="E132" s="57" t="s">
        <v>4459</v>
      </c>
      <c r="F132" s="57" t="s">
        <v>4931</v>
      </c>
      <c r="G132" s="57" t="s">
        <v>3633</v>
      </c>
      <c r="H132" s="57" t="s">
        <v>3556</v>
      </c>
      <c r="I132" s="57" t="s">
        <v>3557</v>
      </c>
      <c r="J132" s="57" t="s">
        <v>4441</v>
      </c>
      <c r="K132" s="57" t="s">
        <v>4442</v>
      </c>
    </row>
    <row r="133" spans="1:11" ht="60" customHeight="1">
      <c r="A133" s="57" t="s">
        <v>4932</v>
      </c>
      <c r="B133" s="57" t="s">
        <v>3630</v>
      </c>
      <c r="C133" s="57" t="s">
        <v>4933</v>
      </c>
      <c r="D133" s="57" t="s">
        <v>4481</v>
      </c>
      <c r="E133" s="57" t="s">
        <v>4934</v>
      </c>
      <c r="F133" s="57" t="s">
        <v>4935</v>
      </c>
      <c r="G133" s="57" t="s">
        <v>3633</v>
      </c>
      <c r="H133" s="57" t="s">
        <v>3556</v>
      </c>
      <c r="I133" s="57" t="s">
        <v>3557</v>
      </c>
      <c r="J133" s="57" t="s">
        <v>4441</v>
      </c>
      <c r="K133" s="57" t="s">
        <v>4442</v>
      </c>
    </row>
    <row r="134" spans="1:11" ht="60" customHeight="1">
      <c r="A134" s="57" t="s">
        <v>4936</v>
      </c>
      <c r="B134" s="57" t="s">
        <v>3636</v>
      </c>
      <c r="C134" s="57" t="s">
        <v>4937</v>
      </c>
      <c r="D134" s="57" t="s">
        <v>4502</v>
      </c>
      <c r="E134" s="57" t="s">
        <v>4661</v>
      </c>
      <c r="F134" s="57" t="s">
        <v>4440</v>
      </c>
      <c r="G134" s="57" t="s">
        <v>3639</v>
      </c>
      <c r="H134" s="57" t="s">
        <v>1243</v>
      </c>
      <c r="I134" s="57" t="s">
        <v>1821</v>
      </c>
      <c r="J134" s="57" t="s">
        <v>4441</v>
      </c>
      <c r="K134" s="57" t="s">
        <v>4442</v>
      </c>
    </row>
    <row r="135" spans="1:11" ht="60" customHeight="1">
      <c r="A135" s="57" t="s">
        <v>4938</v>
      </c>
      <c r="B135" s="57" t="s">
        <v>3636</v>
      </c>
      <c r="C135" s="57" t="s">
        <v>4939</v>
      </c>
      <c r="D135" s="57" t="s">
        <v>4502</v>
      </c>
      <c r="E135" s="57" t="s">
        <v>4661</v>
      </c>
      <c r="F135" s="57" t="s">
        <v>4889</v>
      </c>
      <c r="G135" s="57" t="s">
        <v>3639</v>
      </c>
      <c r="H135" s="57" t="s">
        <v>1243</v>
      </c>
      <c r="I135" s="57" t="s">
        <v>1821</v>
      </c>
      <c r="J135" s="57" t="s">
        <v>4441</v>
      </c>
      <c r="K135" s="57" t="s">
        <v>4442</v>
      </c>
    </row>
    <row r="136" spans="1:11" ht="60" customHeight="1">
      <c r="A136" s="57" t="s">
        <v>4940</v>
      </c>
      <c r="B136" s="57" t="s">
        <v>3636</v>
      </c>
      <c r="C136" s="57" t="s">
        <v>4941</v>
      </c>
      <c r="D136" s="57" t="s">
        <v>4942</v>
      </c>
      <c r="E136" s="57" t="s">
        <v>4482</v>
      </c>
      <c r="F136" s="57" t="s">
        <v>4440</v>
      </c>
      <c r="G136" s="57" t="s">
        <v>3639</v>
      </c>
      <c r="H136" s="57" t="s">
        <v>1243</v>
      </c>
      <c r="I136" s="57" t="s">
        <v>1821</v>
      </c>
      <c r="J136" s="57" t="s">
        <v>4441</v>
      </c>
      <c r="K136" s="57" t="s">
        <v>4442</v>
      </c>
    </row>
    <row r="137" spans="1:11" ht="60" customHeight="1">
      <c r="A137" s="57" t="s">
        <v>4943</v>
      </c>
      <c r="B137" s="57" t="s">
        <v>3636</v>
      </c>
      <c r="C137" s="57" t="s">
        <v>4944</v>
      </c>
      <c r="D137" s="57" t="s">
        <v>4945</v>
      </c>
      <c r="E137" s="57" t="s">
        <v>4946</v>
      </c>
      <c r="F137" s="57" t="s">
        <v>4947</v>
      </c>
      <c r="G137" s="57" t="s">
        <v>3639</v>
      </c>
      <c r="H137" s="57" t="s">
        <v>1243</v>
      </c>
      <c r="I137" s="57" t="s">
        <v>1821</v>
      </c>
      <c r="J137" s="57" t="s">
        <v>4441</v>
      </c>
      <c r="K137" s="57" t="s">
        <v>4442</v>
      </c>
    </row>
    <row r="138" spans="1:11" ht="60" customHeight="1">
      <c r="A138" s="57" t="s">
        <v>4948</v>
      </c>
      <c r="B138" s="57" t="s">
        <v>3636</v>
      </c>
      <c r="C138" s="57" t="s">
        <v>4949</v>
      </c>
      <c r="D138" s="57" t="s">
        <v>4950</v>
      </c>
      <c r="E138" s="57" t="s">
        <v>4951</v>
      </c>
      <c r="F138" s="57" t="s">
        <v>4440</v>
      </c>
      <c r="G138" s="57" t="s">
        <v>3639</v>
      </c>
      <c r="H138" s="57" t="s">
        <v>1243</v>
      </c>
      <c r="I138" s="57" t="s">
        <v>1821</v>
      </c>
      <c r="J138" s="57" t="s">
        <v>4441</v>
      </c>
      <c r="K138" s="57" t="s">
        <v>4442</v>
      </c>
    </row>
    <row r="139" spans="1:11" ht="60" customHeight="1">
      <c r="A139" s="57" t="s">
        <v>4952</v>
      </c>
      <c r="B139" s="57" t="s">
        <v>3636</v>
      </c>
      <c r="C139" s="57" t="s">
        <v>4953</v>
      </c>
      <c r="D139" s="57" t="s">
        <v>4954</v>
      </c>
      <c r="E139" s="57" t="s">
        <v>4951</v>
      </c>
      <c r="F139" s="57" t="s">
        <v>4440</v>
      </c>
      <c r="G139" s="57" t="s">
        <v>3639</v>
      </c>
      <c r="H139" s="57" t="s">
        <v>1243</v>
      </c>
      <c r="I139" s="57" t="s">
        <v>1821</v>
      </c>
      <c r="J139" s="57" t="s">
        <v>4441</v>
      </c>
      <c r="K139" s="57" t="s">
        <v>4442</v>
      </c>
    </row>
    <row r="140" spans="1:11" ht="60" customHeight="1">
      <c r="A140" s="57" t="s">
        <v>4955</v>
      </c>
      <c r="B140" s="57" t="s">
        <v>3636</v>
      </c>
      <c r="C140" s="57" t="s">
        <v>4956</v>
      </c>
      <c r="D140" s="57" t="s">
        <v>4957</v>
      </c>
      <c r="E140" s="57" t="s">
        <v>4958</v>
      </c>
      <c r="F140" s="57" t="s">
        <v>4959</v>
      </c>
      <c r="G140" s="57" t="s">
        <v>3639</v>
      </c>
      <c r="H140" s="57" t="s">
        <v>1243</v>
      </c>
      <c r="I140" s="57" t="s">
        <v>1821</v>
      </c>
      <c r="J140" s="57" t="s">
        <v>4441</v>
      </c>
      <c r="K140" s="57" t="s">
        <v>4442</v>
      </c>
    </row>
    <row r="141" spans="1:11" ht="60" customHeight="1">
      <c r="A141" s="57" t="s">
        <v>4960</v>
      </c>
      <c r="B141" s="57" t="s">
        <v>3636</v>
      </c>
      <c r="C141" s="57" t="s">
        <v>4961</v>
      </c>
      <c r="D141" s="57" t="s">
        <v>4962</v>
      </c>
      <c r="E141" s="57" t="s">
        <v>4870</v>
      </c>
      <c r="F141" s="57" t="s">
        <v>4963</v>
      </c>
      <c r="G141" s="57" t="s">
        <v>3639</v>
      </c>
      <c r="H141" s="57" t="s">
        <v>1243</v>
      </c>
      <c r="I141" s="57" t="s">
        <v>1821</v>
      </c>
      <c r="J141" s="57" t="s">
        <v>4441</v>
      </c>
      <c r="K141" s="57" t="s">
        <v>4442</v>
      </c>
    </row>
    <row r="142" spans="1:11" ht="60" customHeight="1">
      <c r="A142" s="57" t="s">
        <v>4964</v>
      </c>
      <c r="B142" s="57" t="s">
        <v>3636</v>
      </c>
      <c r="C142" s="57" t="s">
        <v>4965</v>
      </c>
      <c r="D142" s="57" t="s">
        <v>4966</v>
      </c>
      <c r="E142" s="57" t="s">
        <v>4967</v>
      </c>
      <c r="F142" s="57" t="s">
        <v>4968</v>
      </c>
      <c r="G142" s="57" t="s">
        <v>3639</v>
      </c>
      <c r="H142" s="57" t="s">
        <v>1243</v>
      </c>
      <c r="I142" s="57" t="s">
        <v>1821</v>
      </c>
      <c r="J142" s="57" t="s">
        <v>4441</v>
      </c>
      <c r="K142" s="57" t="s">
        <v>4442</v>
      </c>
    </row>
    <row r="143" spans="1:11" ht="60" customHeight="1">
      <c r="A143" s="57" t="s">
        <v>4969</v>
      </c>
      <c r="B143" s="57" t="s">
        <v>3636</v>
      </c>
      <c r="C143" s="57" t="s">
        <v>4970</v>
      </c>
      <c r="D143" s="57" t="s">
        <v>4971</v>
      </c>
      <c r="E143" s="57" t="s">
        <v>4972</v>
      </c>
      <c r="F143" s="57" t="s">
        <v>4973</v>
      </c>
      <c r="G143" s="57" t="s">
        <v>3639</v>
      </c>
      <c r="H143" s="57" t="s">
        <v>1243</v>
      </c>
      <c r="I143" s="57" t="s">
        <v>1821</v>
      </c>
      <c r="J143" s="57" t="s">
        <v>4441</v>
      </c>
      <c r="K143" s="57" t="s">
        <v>4442</v>
      </c>
    </row>
    <row r="144" spans="1:11" ht="60" customHeight="1">
      <c r="A144" s="57" t="s">
        <v>4974</v>
      </c>
      <c r="B144" s="57" t="s">
        <v>3636</v>
      </c>
      <c r="C144" s="57" t="s">
        <v>4975</v>
      </c>
      <c r="D144" s="57" t="s">
        <v>4976</v>
      </c>
      <c r="E144" s="57" t="s">
        <v>4972</v>
      </c>
      <c r="F144" s="57" t="s">
        <v>4977</v>
      </c>
      <c r="G144" s="57" t="s">
        <v>3639</v>
      </c>
      <c r="H144" s="57" t="s">
        <v>1243</v>
      </c>
      <c r="I144" s="57" t="s">
        <v>1821</v>
      </c>
      <c r="J144" s="57" t="s">
        <v>4441</v>
      </c>
      <c r="K144" s="57" t="s">
        <v>4442</v>
      </c>
    </row>
    <row r="145" spans="1:11" ht="60" customHeight="1">
      <c r="A145" s="57" t="s">
        <v>4978</v>
      </c>
      <c r="B145" s="57" t="s">
        <v>3636</v>
      </c>
      <c r="C145" s="57" t="s">
        <v>4979</v>
      </c>
      <c r="D145" s="57" t="s">
        <v>4980</v>
      </c>
      <c r="E145" s="57" t="s">
        <v>4870</v>
      </c>
      <c r="F145" s="57" t="s">
        <v>4981</v>
      </c>
      <c r="G145" s="57" t="s">
        <v>3639</v>
      </c>
      <c r="H145" s="57" t="s">
        <v>1243</v>
      </c>
      <c r="I145" s="57" t="s">
        <v>1821</v>
      </c>
      <c r="J145" s="57" t="s">
        <v>4441</v>
      </c>
      <c r="K145" s="57" t="s">
        <v>4442</v>
      </c>
    </row>
    <row r="146" spans="1:11" ht="60" customHeight="1">
      <c r="A146" s="57" t="s">
        <v>4982</v>
      </c>
      <c r="B146" s="57" t="s">
        <v>3636</v>
      </c>
      <c r="C146" s="57" t="s">
        <v>4983</v>
      </c>
      <c r="D146" s="57" t="s">
        <v>4481</v>
      </c>
      <c r="E146" s="57" t="s">
        <v>4879</v>
      </c>
      <c r="F146" s="57" t="s">
        <v>4984</v>
      </c>
      <c r="G146" s="57" t="s">
        <v>3639</v>
      </c>
      <c r="H146" s="57" t="s">
        <v>1243</v>
      </c>
      <c r="I146" s="57" t="s">
        <v>1821</v>
      </c>
      <c r="J146" s="57" t="s">
        <v>4441</v>
      </c>
      <c r="K146" s="57" t="s">
        <v>4442</v>
      </c>
    </row>
    <row r="147" spans="1:11" ht="60" customHeight="1">
      <c r="A147" s="57" t="s">
        <v>4985</v>
      </c>
      <c r="B147" s="57" t="s">
        <v>3636</v>
      </c>
      <c r="C147" s="57" t="s">
        <v>4986</v>
      </c>
      <c r="D147" s="57" t="s">
        <v>4987</v>
      </c>
      <c r="E147" s="57" t="s">
        <v>4879</v>
      </c>
      <c r="F147" s="57" t="s">
        <v>4988</v>
      </c>
      <c r="G147" s="57" t="s">
        <v>3639</v>
      </c>
      <c r="H147" s="57" t="s">
        <v>1243</v>
      </c>
      <c r="I147" s="57" t="s">
        <v>1821</v>
      </c>
      <c r="J147" s="57" t="s">
        <v>4441</v>
      </c>
      <c r="K147" s="57" t="s">
        <v>4442</v>
      </c>
    </row>
    <row r="148" spans="1:11" ht="60" customHeight="1">
      <c r="A148" s="57" t="s">
        <v>4989</v>
      </c>
      <c r="B148" s="57" t="s">
        <v>3636</v>
      </c>
      <c r="C148" s="57" t="s">
        <v>4990</v>
      </c>
      <c r="D148" s="57" t="s">
        <v>4903</v>
      </c>
      <c r="E148" s="57" t="s">
        <v>4991</v>
      </c>
      <c r="F148" s="57" t="s">
        <v>4992</v>
      </c>
      <c r="G148" s="57" t="s">
        <v>3639</v>
      </c>
      <c r="H148" s="57" t="s">
        <v>1243</v>
      </c>
      <c r="I148" s="57" t="s">
        <v>1821</v>
      </c>
      <c r="J148" s="57" t="s">
        <v>4441</v>
      </c>
      <c r="K148" s="57" t="s">
        <v>4442</v>
      </c>
    </row>
    <row r="149" spans="1:11" ht="60" customHeight="1">
      <c r="A149" s="57" t="s">
        <v>4993</v>
      </c>
      <c r="B149" s="57" t="s">
        <v>3636</v>
      </c>
      <c r="C149" s="57" t="s">
        <v>4994</v>
      </c>
      <c r="D149" s="57" t="s">
        <v>4995</v>
      </c>
      <c r="E149" s="57" t="s">
        <v>4991</v>
      </c>
      <c r="F149" s="57" t="s">
        <v>4968</v>
      </c>
      <c r="G149" s="57" t="s">
        <v>3639</v>
      </c>
      <c r="H149" s="57" t="s">
        <v>1243</v>
      </c>
      <c r="I149" s="57" t="s">
        <v>1821</v>
      </c>
      <c r="J149" s="57" t="s">
        <v>4441</v>
      </c>
      <c r="K149" s="57" t="s">
        <v>4442</v>
      </c>
    </row>
    <row r="150" spans="1:11" ht="60" customHeight="1">
      <c r="A150" s="57" t="s">
        <v>4996</v>
      </c>
      <c r="B150" s="57" t="s">
        <v>3636</v>
      </c>
      <c r="C150" s="57" t="s">
        <v>4997</v>
      </c>
      <c r="D150" s="57" t="s">
        <v>4998</v>
      </c>
      <c r="E150" s="57" t="s">
        <v>4991</v>
      </c>
      <c r="F150" s="57" t="s">
        <v>4968</v>
      </c>
      <c r="G150" s="57" t="s">
        <v>3639</v>
      </c>
      <c r="H150" s="57" t="s">
        <v>1243</v>
      </c>
      <c r="I150" s="57" t="s">
        <v>1821</v>
      </c>
      <c r="J150" s="57" t="s">
        <v>4441</v>
      </c>
      <c r="K150" s="57" t="s">
        <v>4442</v>
      </c>
    </row>
    <row r="151" spans="1:11" ht="60" customHeight="1">
      <c r="A151" s="57" t="s">
        <v>4999</v>
      </c>
      <c r="B151" s="57" t="s">
        <v>3636</v>
      </c>
      <c r="C151" s="57" t="s">
        <v>5000</v>
      </c>
      <c r="D151" s="57" t="s">
        <v>5001</v>
      </c>
      <c r="E151" s="57" t="s">
        <v>4972</v>
      </c>
      <c r="F151" s="57" t="s">
        <v>5002</v>
      </c>
      <c r="G151" s="57" t="s">
        <v>3639</v>
      </c>
      <c r="H151" s="57" t="s">
        <v>1243</v>
      </c>
      <c r="I151" s="57" t="s">
        <v>1821</v>
      </c>
      <c r="J151" s="57" t="s">
        <v>4441</v>
      </c>
      <c r="K151" s="57" t="s">
        <v>4442</v>
      </c>
    </row>
    <row r="152" spans="1:11" ht="60" customHeight="1">
      <c r="A152" s="57" t="s">
        <v>5003</v>
      </c>
      <c r="B152" s="57" t="s">
        <v>3636</v>
      </c>
      <c r="C152" s="57" t="s">
        <v>5004</v>
      </c>
      <c r="D152" s="57" t="s">
        <v>5005</v>
      </c>
      <c r="E152" s="57" t="s">
        <v>4972</v>
      </c>
      <c r="F152" s="57" t="s">
        <v>5002</v>
      </c>
      <c r="G152" s="57" t="s">
        <v>3639</v>
      </c>
      <c r="H152" s="57" t="s">
        <v>1243</v>
      </c>
      <c r="I152" s="57" t="s">
        <v>1821</v>
      </c>
      <c r="J152" s="57" t="s">
        <v>4441</v>
      </c>
      <c r="K152" s="57" t="s">
        <v>4442</v>
      </c>
    </row>
    <row r="153" spans="1:11" ht="60" customHeight="1">
      <c r="A153" s="57" t="s">
        <v>5006</v>
      </c>
      <c r="B153" s="57" t="s">
        <v>3636</v>
      </c>
      <c r="C153" s="57" t="s">
        <v>5007</v>
      </c>
      <c r="D153" s="57" t="s">
        <v>5008</v>
      </c>
      <c r="E153" s="57" t="s">
        <v>4972</v>
      </c>
      <c r="F153" s="57" t="s">
        <v>5009</v>
      </c>
      <c r="G153" s="57" t="s">
        <v>3639</v>
      </c>
      <c r="H153" s="57" t="s">
        <v>1243</v>
      </c>
      <c r="I153" s="57" t="s">
        <v>1821</v>
      </c>
      <c r="J153" s="57" t="s">
        <v>4441</v>
      </c>
      <c r="K153" s="57" t="s">
        <v>4442</v>
      </c>
    </row>
    <row r="154" spans="1:11" ht="60" customHeight="1">
      <c r="A154" s="57" t="s">
        <v>5010</v>
      </c>
      <c r="B154" s="57" t="s">
        <v>3636</v>
      </c>
      <c r="C154" s="57" t="s">
        <v>5011</v>
      </c>
      <c r="D154" s="57" t="s">
        <v>5012</v>
      </c>
      <c r="E154" s="57" t="s">
        <v>4879</v>
      </c>
      <c r="F154" s="57" t="s">
        <v>5013</v>
      </c>
      <c r="G154" s="57" t="s">
        <v>3639</v>
      </c>
      <c r="H154" s="57" t="s">
        <v>1243</v>
      </c>
      <c r="I154" s="57" t="s">
        <v>1821</v>
      </c>
      <c r="J154" s="57" t="s">
        <v>4441</v>
      </c>
      <c r="K154" s="57" t="s">
        <v>4442</v>
      </c>
    </row>
    <row r="155" spans="1:11" ht="60" customHeight="1">
      <c r="A155" s="57" t="s">
        <v>5014</v>
      </c>
      <c r="B155" s="57" t="s">
        <v>3636</v>
      </c>
      <c r="C155" s="57" t="s">
        <v>5015</v>
      </c>
      <c r="D155" s="57" t="s">
        <v>5016</v>
      </c>
      <c r="E155" s="57" t="s">
        <v>4879</v>
      </c>
      <c r="F155" s="57" t="s">
        <v>5017</v>
      </c>
      <c r="G155" s="57" t="s">
        <v>3639</v>
      </c>
      <c r="H155" s="57" t="s">
        <v>1243</v>
      </c>
      <c r="I155" s="57" t="s">
        <v>1821</v>
      </c>
      <c r="J155" s="57" t="s">
        <v>4441</v>
      </c>
      <c r="K155" s="57" t="s">
        <v>4442</v>
      </c>
    </row>
    <row r="156" spans="1:11" ht="60" customHeight="1">
      <c r="A156" s="57" t="s">
        <v>5018</v>
      </c>
      <c r="B156" s="57" t="s">
        <v>3636</v>
      </c>
      <c r="C156" s="57" t="s">
        <v>5019</v>
      </c>
      <c r="D156" s="57" t="s">
        <v>4476</v>
      </c>
      <c r="E156" s="57" t="s">
        <v>4870</v>
      </c>
      <c r="F156" s="57" t="s">
        <v>4440</v>
      </c>
      <c r="G156" s="57" t="s">
        <v>3639</v>
      </c>
      <c r="H156" s="57" t="s">
        <v>1243</v>
      </c>
      <c r="I156" s="57" t="s">
        <v>1821</v>
      </c>
      <c r="J156" s="57" t="s">
        <v>4441</v>
      </c>
      <c r="K156" s="57" t="s">
        <v>4442</v>
      </c>
    </row>
    <row r="157" spans="1:11" ht="60" customHeight="1">
      <c r="A157" s="57" t="s">
        <v>5020</v>
      </c>
      <c r="B157" s="57" t="s">
        <v>3636</v>
      </c>
      <c r="C157" s="57" t="s">
        <v>5021</v>
      </c>
      <c r="D157" s="57" t="s">
        <v>4476</v>
      </c>
      <c r="E157" s="57" t="s">
        <v>4870</v>
      </c>
      <c r="F157" s="57" t="s">
        <v>4440</v>
      </c>
      <c r="G157" s="57" t="s">
        <v>3639</v>
      </c>
      <c r="H157" s="57" t="s">
        <v>1243</v>
      </c>
      <c r="I157" s="57" t="s">
        <v>1821</v>
      </c>
      <c r="J157" s="57" t="s">
        <v>4441</v>
      </c>
      <c r="K157" s="57" t="s">
        <v>4442</v>
      </c>
    </row>
    <row r="158" spans="1:11" ht="60" customHeight="1">
      <c r="A158" s="57" t="s">
        <v>5022</v>
      </c>
      <c r="B158" s="57" t="s">
        <v>3642</v>
      </c>
      <c r="C158" s="57" t="s">
        <v>5023</v>
      </c>
      <c r="D158" s="57" t="s">
        <v>4502</v>
      </c>
      <c r="E158" s="57" t="s">
        <v>4661</v>
      </c>
      <c r="F158" s="57" t="s">
        <v>5024</v>
      </c>
      <c r="G158" s="57" t="s">
        <v>3645</v>
      </c>
      <c r="H158" s="57" t="s">
        <v>1243</v>
      </c>
      <c r="I158" s="57" t="s">
        <v>1821</v>
      </c>
      <c r="J158" s="57" t="s">
        <v>4441</v>
      </c>
      <c r="K158" s="57" t="s">
        <v>4442</v>
      </c>
    </row>
    <row r="159" spans="1:11" ht="60" customHeight="1">
      <c r="A159" s="57" t="s">
        <v>5025</v>
      </c>
      <c r="B159" s="57" t="s">
        <v>3642</v>
      </c>
      <c r="C159" s="57" t="s">
        <v>5026</v>
      </c>
      <c r="D159" s="57" t="s">
        <v>5027</v>
      </c>
      <c r="E159" s="57" t="s">
        <v>4661</v>
      </c>
      <c r="F159" s="57" t="s">
        <v>5028</v>
      </c>
      <c r="G159" s="57" t="s">
        <v>3645</v>
      </c>
      <c r="H159" s="57" t="s">
        <v>1243</v>
      </c>
      <c r="I159" s="57" t="s">
        <v>1821</v>
      </c>
      <c r="J159" s="57" t="s">
        <v>4441</v>
      </c>
      <c r="K159" s="57" t="s">
        <v>4442</v>
      </c>
    </row>
    <row r="160" spans="1:11" ht="60" customHeight="1">
      <c r="A160" s="57" t="s">
        <v>5029</v>
      </c>
      <c r="B160" s="57" t="s">
        <v>3642</v>
      </c>
      <c r="C160" s="57" t="s">
        <v>5030</v>
      </c>
      <c r="D160" s="57" t="s">
        <v>4656</v>
      </c>
      <c r="E160" s="57" t="s">
        <v>4661</v>
      </c>
      <c r="F160" s="57" t="s">
        <v>4440</v>
      </c>
      <c r="G160" s="57" t="s">
        <v>3645</v>
      </c>
      <c r="H160" s="57" t="s">
        <v>1243</v>
      </c>
      <c r="I160" s="57" t="s">
        <v>1821</v>
      </c>
      <c r="J160" s="57" t="s">
        <v>4441</v>
      </c>
      <c r="K160" s="57" t="s">
        <v>4442</v>
      </c>
    </row>
    <row r="161" spans="1:11" ht="60" customHeight="1">
      <c r="A161" s="57" t="s">
        <v>5031</v>
      </c>
      <c r="B161" s="57" t="s">
        <v>3642</v>
      </c>
      <c r="C161" s="57" t="s">
        <v>5032</v>
      </c>
      <c r="D161" s="57" t="s">
        <v>4502</v>
      </c>
      <c r="E161" s="57" t="s">
        <v>4661</v>
      </c>
      <c r="F161" s="57" t="s">
        <v>4440</v>
      </c>
      <c r="G161" s="57" t="s">
        <v>3645</v>
      </c>
      <c r="H161" s="57" t="s">
        <v>1243</v>
      </c>
      <c r="I161" s="57" t="s">
        <v>1821</v>
      </c>
      <c r="J161" s="57" t="s">
        <v>4441</v>
      </c>
      <c r="K161" s="57" t="s">
        <v>4442</v>
      </c>
    </row>
    <row r="162" spans="1:11" ht="60" customHeight="1">
      <c r="A162" s="57" t="s">
        <v>5033</v>
      </c>
      <c r="B162" s="57" t="s">
        <v>3642</v>
      </c>
      <c r="C162" s="57" t="s">
        <v>5034</v>
      </c>
      <c r="D162" s="57" t="s">
        <v>5035</v>
      </c>
      <c r="E162" s="57" t="s">
        <v>5036</v>
      </c>
      <c r="F162" s="57" t="s">
        <v>4440</v>
      </c>
      <c r="G162" s="57" t="s">
        <v>3645</v>
      </c>
      <c r="H162" s="57" t="s">
        <v>1243</v>
      </c>
      <c r="I162" s="57" t="s">
        <v>1821</v>
      </c>
      <c r="J162" s="57" t="s">
        <v>4441</v>
      </c>
      <c r="K162" s="57" t="s">
        <v>4442</v>
      </c>
    </row>
    <row r="163" spans="1:11" ht="60" customHeight="1">
      <c r="A163" s="57" t="s">
        <v>5037</v>
      </c>
      <c r="B163" s="57" t="s">
        <v>3642</v>
      </c>
      <c r="C163" s="57" t="s">
        <v>5038</v>
      </c>
      <c r="D163" s="57" t="s">
        <v>5039</v>
      </c>
      <c r="E163" s="57" t="s">
        <v>5036</v>
      </c>
      <c r="F163" s="57" t="s">
        <v>4440</v>
      </c>
      <c r="G163" s="57" t="s">
        <v>3645</v>
      </c>
      <c r="H163" s="57" t="s">
        <v>1243</v>
      </c>
      <c r="I163" s="57" t="s">
        <v>1821</v>
      </c>
      <c r="J163" s="57" t="s">
        <v>4441</v>
      </c>
      <c r="K163" s="57" t="s">
        <v>4442</v>
      </c>
    </row>
    <row r="164" spans="1:11" ht="60" customHeight="1">
      <c r="A164" s="57" t="s">
        <v>5040</v>
      </c>
      <c r="B164" s="57" t="s">
        <v>3642</v>
      </c>
      <c r="C164" s="57" t="s">
        <v>5041</v>
      </c>
      <c r="D164" s="57" t="s">
        <v>5042</v>
      </c>
      <c r="E164" s="57" t="s">
        <v>5043</v>
      </c>
      <c r="F164" s="57" t="s">
        <v>4440</v>
      </c>
      <c r="G164" s="57" t="s">
        <v>3645</v>
      </c>
      <c r="H164" s="57" t="s">
        <v>1243</v>
      </c>
      <c r="I164" s="57" t="s">
        <v>1821</v>
      </c>
      <c r="J164" s="57" t="s">
        <v>4441</v>
      </c>
      <c r="K164" s="57" t="s">
        <v>4442</v>
      </c>
    </row>
    <row r="165" spans="1:11" ht="60" customHeight="1">
      <c r="A165" s="57" t="s">
        <v>5044</v>
      </c>
      <c r="B165" s="57" t="s">
        <v>3642</v>
      </c>
      <c r="C165" s="57" t="s">
        <v>5045</v>
      </c>
      <c r="D165" s="57" t="s">
        <v>5046</v>
      </c>
      <c r="E165" s="57" t="s">
        <v>5043</v>
      </c>
      <c r="F165" s="57" t="s">
        <v>5047</v>
      </c>
      <c r="G165" s="57" t="s">
        <v>3645</v>
      </c>
      <c r="H165" s="57" t="s">
        <v>1243</v>
      </c>
      <c r="I165" s="57" t="s">
        <v>1821</v>
      </c>
      <c r="J165" s="57" t="s">
        <v>4441</v>
      </c>
      <c r="K165" s="57" t="s">
        <v>4442</v>
      </c>
    </row>
    <row r="166" spans="1:11" ht="60" customHeight="1">
      <c r="A166" s="57" t="s">
        <v>5048</v>
      </c>
      <c r="B166" s="57" t="s">
        <v>3642</v>
      </c>
      <c r="C166" s="57" t="s">
        <v>5049</v>
      </c>
      <c r="D166" s="57" t="s">
        <v>5050</v>
      </c>
      <c r="E166" s="57" t="s">
        <v>5043</v>
      </c>
      <c r="F166" s="57" t="s">
        <v>4440</v>
      </c>
      <c r="G166" s="57" t="s">
        <v>3645</v>
      </c>
      <c r="H166" s="57" t="s">
        <v>1243</v>
      </c>
      <c r="I166" s="57" t="s">
        <v>1821</v>
      </c>
      <c r="J166" s="57" t="s">
        <v>4441</v>
      </c>
      <c r="K166" s="57" t="s">
        <v>4442</v>
      </c>
    </row>
    <row r="167" spans="1:11" ht="60" customHeight="1">
      <c r="A167" s="57" t="s">
        <v>5051</v>
      </c>
      <c r="B167" s="57" t="s">
        <v>3642</v>
      </c>
      <c r="C167" s="57" t="s">
        <v>5052</v>
      </c>
      <c r="D167" s="57" t="s">
        <v>5053</v>
      </c>
      <c r="E167" s="57" t="s">
        <v>5054</v>
      </c>
      <c r="F167" s="57" t="s">
        <v>4440</v>
      </c>
      <c r="G167" s="57" t="s">
        <v>3645</v>
      </c>
      <c r="H167" s="57" t="s">
        <v>1243</v>
      </c>
      <c r="I167" s="57" t="s">
        <v>1821</v>
      </c>
      <c r="J167" s="57" t="s">
        <v>4441</v>
      </c>
      <c r="K167" s="57" t="s">
        <v>4442</v>
      </c>
    </row>
    <row r="168" spans="1:11" ht="60" customHeight="1">
      <c r="A168" s="57" t="s">
        <v>5055</v>
      </c>
      <c r="B168" s="57" t="s">
        <v>3642</v>
      </c>
      <c r="C168" s="57" t="s">
        <v>5056</v>
      </c>
      <c r="D168" s="57" t="s">
        <v>5057</v>
      </c>
      <c r="E168" s="57" t="s">
        <v>5058</v>
      </c>
      <c r="F168" s="57" t="s">
        <v>4440</v>
      </c>
      <c r="G168" s="57" t="s">
        <v>3645</v>
      </c>
      <c r="H168" s="57" t="s">
        <v>1243</v>
      </c>
      <c r="I168" s="57" t="s">
        <v>1821</v>
      </c>
      <c r="J168" s="57" t="s">
        <v>4441</v>
      </c>
      <c r="K168" s="57" t="s">
        <v>4442</v>
      </c>
    </row>
    <row r="169" spans="1:11" ht="60" customHeight="1">
      <c r="A169" s="57" t="s">
        <v>5059</v>
      </c>
      <c r="B169" s="57" t="s">
        <v>3642</v>
      </c>
      <c r="C169" s="57" t="s">
        <v>5060</v>
      </c>
      <c r="D169" s="57" t="s">
        <v>5061</v>
      </c>
      <c r="E169" s="57" t="s">
        <v>5062</v>
      </c>
      <c r="F169" s="57" t="s">
        <v>4440</v>
      </c>
      <c r="G169" s="57" t="s">
        <v>3645</v>
      </c>
      <c r="H169" s="57" t="s">
        <v>1243</v>
      </c>
      <c r="I169" s="57" t="s">
        <v>1821</v>
      </c>
      <c r="J169" s="57" t="s">
        <v>4441</v>
      </c>
      <c r="K169" s="57" t="s">
        <v>4442</v>
      </c>
    </row>
    <row r="170" spans="1:11" ht="60" customHeight="1">
      <c r="A170" s="57" t="s">
        <v>5063</v>
      </c>
      <c r="B170" s="57" t="s">
        <v>3642</v>
      </c>
      <c r="C170" s="57" t="s">
        <v>4876</v>
      </c>
      <c r="D170" s="57" t="s">
        <v>4481</v>
      </c>
      <c r="E170" s="57" t="s">
        <v>4482</v>
      </c>
      <c r="F170" s="57" t="s">
        <v>4689</v>
      </c>
      <c r="G170" s="57" t="s">
        <v>3645</v>
      </c>
      <c r="H170" s="57" t="s">
        <v>1243</v>
      </c>
      <c r="I170" s="57" t="s">
        <v>1821</v>
      </c>
      <c r="J170" s="57" t="s">
        <v>4441</v>
      </c>
      <c r="K170" s="57" t="s">
        <v>4442</v>
      </c>
    </row>
    <row r="171" spans="1:11" ht="60" customHeight="1">
      <c r="A171" s="57" t="s">
        <v>5064</v>
      </c>
      <c r="B171" s="57" t="s">
        <v>3648</v>
      </c>
      <c r="C171" s="57" t="s">
        <v>5065</v>
      </c>
      <c r="D171" s="57" t="s">
        <v>4519</v>
      </c>
      <c r="E171" s="57" t="s">
        <v>4788</v>
      </c>
      <c r="F171" s="57" t="s">
        <v>4836</v>
      </c>
      <c r="G171" s="57" t="s">
        <v>3650</v>
      </c>
      <c r="H171" s="57" t="s">
        <v>1243</v>
      </c>
      <c r="I171" s="57" t="s">
        <v>1821</v>
      </c>
      <c r="J171" s="57" t="s">
        <v>4441</v>
      </c>
      <c r="K171" s="57" t="s">
        <v>4442</v>
      </c>
    </row>
    <row r="172" spans="1:11" ht="60" customHeight="1">
      <c r="A172" s="57" t="s">
        <v>5066</v>
      </c>
      <c r="B172" s="57" t="s">
        <v>3648</v>
      </c>
      <c r="C172" s="57" t="s">
        <v>5067</v>
      </c>
      <c r="D172" s="57" t="s">
        <v>5068</v>
      </c>
      <c r="E172" s="57" t="s">
        <v>5069</v>
      </c>
      <c r="F172" s="57" t="s">
        <v>4440</v>
      </c>
      <c r="G172" s="57" t="s">
        <v>3650</v>
      </c>
      <c r="H172" s="57" t="s">
        <v>1243</v>
      </c>
      <c r="I172" s="57" t="s">
        <v>1821</v>
      </c>
      <c r="J172" s="57" t="s">
        <v>4441</v>
      </c>
      <c r="K172" s="57" t="s">
        <v>4442</v>
      </c>
    </row>
    <row r="173" spans="1:11" ht="60" customHeight="1">
      <c r="A173" s="57" t="s">
        <v>5070</v>
      </c>
      <c r="B173" s="57" t="s">
        <v>3648</v>
      </c>
      <c r="C173" s="57" t="s">
        <v>5071</v>
      </c>
      <c r="D173" s="57" t="s">
        <v>5072</v>
      </c>
      <c r="E173" s="57" t="s">
        <v>5069</v>
      </c>
      <c r="F173" s="57" t="s">
        <v>5073</v>
      </c>
      <c r="G173" s="57" t="s">
        <v>3650</v>
      </c>
      <c r="H173" s="57" t="s">
        <v>1243</v>
      </c>
      <c r="I173" s="57" t="s">
        <v>1821</v>
      </c>
      <c r="J173" s="57" t="s">
        <v>4441</v>
      </c>
      <c r="K173" s="57" t="s">
        <v>4442</v>
      </c>
    </row>
    <row r="174" spans="1:11" ht="60" customHeight="1">
      <c r="A174" s="57" t="s">
        <v>5074</v>
      </c>
      <c r="B174" s="57" t="s">
        <v>3648</v>
      </c>
      <c r="C174" s="57" t="s">
        <v>5075</v>
      </c>
      <c r="D174" s="57" t="s">
        <v>5076</v>
      </c>
      <c r="E174" s="57" t="s">
        <v>5069</v>
      </c>
      <c r="F174" s="57" t="s">
        <v>4440</v>
      </c>
      <c r="G174" s="57" t="s">
        <v>3650</v>
      </c>
      <c r="H174" s="57" t="s">
        <v>1243</v>
      </c>
      <c r="I174" s="57" t="s">
        <v>1821</v>
      </c>
      <c r="J174" s="57" t="s">
        <v>4441</v>
      </c>
      <c r="K174" s="57" t="s">
        <v>4442</v>
      </c>
    </row>
    <row r="175" spans="1:11" ht="60" customHeight="1">
      <c r="A175" s="57" t="s">
        <v>5077</v>
      </c>
      <c r="B175" s="57" t="s">
        <v>3648</v>
      </c>
      <c r="C175" s="57" t="s">
        <v>5078</v>
      </c>
      <c r="D175" s="57" t="s">
        <v>4502</v>
      </c>
      <c r="E175" s="57" t="s">
        <v>5069</v>
      </c>
      <c r="F175" s="57" t="s">
        <v>5079</v>
      </c>
      <c r="G175" s="57" t="s">
        <v>3650</v>
      </c>
      <c r="H175" s="57" t="s">
        <v>1243</v>
      </c>
      <c r="I175" s="57" t="s">
        <v>1821</v>
      </c>
      <c r="J175" s="57" t="s">
        <v>4441</v>
      </c>
      <c r="K175" s="57" t="s">
        <v>4442</v>
      </c>
    </row>
    <row r="176" spans="1:11" ht="60" customHeight="1">
      <c r="A176" s="57" t="s">
        <v>5080</v>
      </c>
      <c r="B176" s="57" t="s">
        <v>3648</v>
      </c>
      <c r="C176" s="57" t="s">
        <v>5081</v>
      </c>
      <c r="D176" s="57" t="s">
        <v>4519</v>
      </c>
      <c r="E176" s="57" t="s">
        <v>4857</v>
      </c>
      <c r="F176" s="57" t="s">
        <v>5082</v>
      </c>
      <c r="G176" s="57" t="s">
        <v>3650</v>
      </c>
      <c r="H176" s="57" t="s">
        <v>1243</v>
      </c>
      <c r="I176" s="57" t="s">
        <v>1821</v>
      </c>
      <c r="J176" s="57" t="s">
        <v>4441</v>
      </c>
      <c r="K176" s="57" t="s">
        <v>4442</v>
      </c>
    </row>
    <row r="177" spans="1:11" ht="60" customHeight="1">
      <c r="A177" s="57" t="s">
        <v>5083</v>
      </c>
      <c r="B177" s="57" t="s">
        <v>3648</v>
      </c>
      <c r="C177" s="57" t="s">
        <v>3979</v>
      </c>
      <c r="D177" s="57" t="s">
        <v>4481</v>
      </c>
      <c r="E177" s="57" t="s">
        <v>4861</v>
      </c>
      <c r="F177" s="57" t="s">
        <v>5084</v>
      </c>
      <c r="G177" s="57" t="s">
        <v>3650</v>
      </c>
      <c r="H177" s="57" t="s">
        <v>1243</v>
      </c>
      <c r="I177" s="57" t="s">
        <v>1821</v>
      </c>
      <c r="J177" s="57" t="s">
        <v>4441</v>
      </c>
      <c r="K177" s="57" t="s">
        <v>4442</v>
      </c>
    </row>
    <row r="178" spans="1:11" ht="60" customHeight="1">
      <c r="A178" s="57" t="s">
        <v>5085</v>
      </c>
      <c r="B178" s="57" t="s">
        <v>3648</v>
      </c>
      <c r="C178" s="57" t="s">
        <v>5086</v>
      </c>
      <c r="D178" s="57" t="s">
        <v>4481</v>
      </c>
      <c r="E178" s="57" t="s">
        <v>5087</v>
      </c>
      <c r="F178" s="57" t="s">
        <v>5088</v>
      </c>
      <c r="G178" s="57" t="s">
        <v>3650</v>
      </c>
      <c r="H178" s="57" t="s">
        <v>1243</v>
      </c>
      <c r="I178" s="57" t="s">
        <v>1821</v>
      </c>
      <c r="J178" s="57" t="s">
        <v>4441</v>
      </c>
      <c r="K178" s="57" t="s">
        <v>4442</v>
      </c>
    </row>
    <row r="179" spans="1:11" ht="60" customHeight="1">
      <c r="A179" s="57" t="s">
        <v>5089</v>
      </c>
      <c r="B179" s="57" t="s">
        <v>3648</v>
      </c>
      <c r="C179" s="57" t="s">
        <v>4876</v>
      </c>
      <c r="D179" s="57" t="s">
        <v>4481</v>
      </c>
      <c r="E179" s="57" t="s">
        <v>4482</v>
      </c>
      <c r="F179" s="57" t="s">
        <v>5084</v>
      </c>
      <c r="G179" s="57" t="s">
        <v>3650</v>
      </c>
      <c r="H179" s="57" t="s">
        <v>1243</v>
      </c>
      <c r="I179" s="57" t="s">
        <v>1821</v>
      </c>
      <c r="J179" s="57" t="s">
        <v>4441</v>
      </c>
      <c r="K179" s="57" t="s">
        <v>4442</v>
      </c>
    </row>
    <row r="180" spans="1:11" ht="60" customHeight="1">
      <c r="A180" s="57" t="s">
        <v>5090</v>
      </c>
      <c r="B180" s="57" t="s">
        <v>3653</v>
      </c>
      <c r="C180" s="57" t="s">
        <v>5091</v>
      </c>
      <c r="D180" s="57" t="s">
        <v>5092</v>
      </c>
      <c r="E180" s="57" t="s">
        <v>4661</v>
      </c>
      <c r="F180" s="57" t="s">
        <v>5093</v>
      </c>
      <c r="G180" s="57" t="s">
        <v>3655</v>
      </c>
      <c r="H180" s="57" t="s">
        <v>1243</v>
      </c>
      <c r="I180" s="57" t="s">
        <v>1821</v>
      </c>
      <c r="J180" s="57" t="s">
        <v>4441</v>
      </c>
      <c r="K180" s="57" t="s">
        <v>4442</v>
      </c>
    </row>
    <row r="181" spans="1:11" ht="60" customHeight="1">
      <c r="A181" s="57" t="s">
        <v>5094</v>
      </c>
      <c r="B181" s="57" t="s">
        <v>3653</v>
      </c>
      <c r="C181" s="57" t="s">
        <v>5095</v>
      </c>
      <c r="D181" s="57" t="s">
        <v>5027</v>
      </c>
      <c r="E181" s="57" t="s">
        <v>4661</v>
      </c>
      <c r="F181" s="57" t="s">
        <v>4440</v>
      </c>
      <c r="G181" s="57" t="s">
        <v>3655</v>
      </c>
      <c r="H181" s="57" t="s">
        <v>1243</v>
      </c>
      <c r="I181" s="57" t="s">
        <v>1821</v>
      </c>
      <c r="J181" s="57" t="s">
        <v>4441</v>
      </c>
      <c r="K181" s="57" t="s">
        <v>4442</v>
      </c>
    </row>
    <row r="182" spans="1:11" ht="60" customHeight="1">
      <c r="A182" s="57" t="s">
        <v>5096</v>
      </c>
      <c r="B182" s="57" t="s">
        <v>3653</v>
      </c>
      <c r="C182" s="57" t="s">
        <v>5097</v>
      </c>
      <c r="D182" s="57" t="s">
        <v>5098</v>
      </c>
      <c r="E182" s="57" t="s">
        <v>4661</v>
      </c>
      <c r="F182" s="57" t="s">
        <v>4440</v>
      </c>
      <c r="G182" s="57" t="s">
        <v>3655</v>
      </c>
      <c r="H182" s="57" t="s">
        <v>1243</v>
      </c>
      <c r="I182" s="57" t="s">
        <v>1821</v>
      </c>
      <c r="J182" s="57" t="s">
        <v>4441</v>
      </c>
      <c r="K182" s="57" t="s">
        <v>4442</v>
      </c>
    </row>
    <row r="183" spans="1:11" ht="60" customHeight="1">
      <c r="A183" s="57" t="s">
        <v>5099</v>
      </c>
      <c r="B183" s="57" t="s">
        <v>3653</v>
      </c>
      <c r="C183" s="57" t="s">
        <v>5100</v>
      </c>
      <c r="D183" s="57" t="s">
        <v>4720</v>
      </c>
      <c r="E183" s="57" t="s">
        <v>4893</v>
      </c>
      <c r="F183" s="57" t="s">
        <v>4440</v>
      </c>
      <c r="G183" s="57" t="s">
        <v>3655</v>
      </c>
      <c r="H183" s="57" t="s">
        <v>1243</v>
      </c>
      <c r="I183" s="57" t="s">
        <v>1821</v>
      </c>
      <c r="J183" s="57" t="s">
        <v>4441</v>
      </c>
      <c r="K183" s="57" t="s">
        <v>4442</v>
      </c>
    </row>
    <row r="184" spans="1:11" ht="60" customHeight="1">
      <c r="A184" s="57" t="s">
        <v>5101</v>
      </c>
      <c r="B184" s="57" t="s">
        <v>3653</v>
      </c>
      <c r="C184" s="57" t="s">
        <v>5102</v>
      </c>
      <c r="D184" s="57" t="s">
        <v>5103</v>
      </c>
      <c r="E184" s="57" t="s">
        <v>4661</v>
      </c>
      <c r="F184" s="57" t="s">
        <v>5104</v>
      </c>
      <c r="G184" s="57" t="s">
        <v>3655</v>
      </c>
      <c r="H184" s="57" t="s">
        <v>1243</v>
      </c>
      <c r="I184" s="57" t="s">
        <v>1821</v>
      </c>
      <c r="J184" s="57" t="s">
        <v>4441</v>
      </c>
      <c r="K184" s="57" t="s">
        <v>4442</v>
      </c>
    </row>
    <row r="185" spans="1:11" ht="60" customHeight="1">
      <c r="A185" s="57" t="s">
        <v>5105</v>
      </c>
      <c r="B185" s="57" t="s">
        <v>3653</v>
      </c>
      <c r="C185" s="57" t="s">
        <v>5106</v>
      </c>
      <c r="D185" s="57" t="s">
        <v>5107</v>
      </c>
      <c r="E185" s="57" t="s">
        <v>5108</v>
      </c>
      <c r="F185" s="57" t="s">
        <v>5109</v>
      </c>
      <c r="G185" s="57" t="s">
        <v>3655</v>
      </c>
      <c r="H185" s="57" t="s">
        <v>1243</v>
      </c>
      <c r="I185" s="57" t="s">
        <v>1821</v>
      </c>
      <c r="J185" s="57" t="s">
        <v>4441</v>
      </c>
      <c r="K185" s="57" t="s">
        <v>4442</v>
      </c>
    </row>
    <row r="186" spans="1:11" ht="60" customHeight="1">
      <c r="A186" s="57" t="s">
        <v>5110</v>
      </c>
      <c r="B186" s="57" t="s">
        <v>3653</v>
      </c>
      <c r="C186" s="57" t="s">
        <v>5111</v>
      </c>
      <c r="D186" s="57" t="s">
        <v>4481</v>
      </c>
      <c r="E186" s="57" t="s">
        <v>4459</v>
      </c>
      <c r="F186" s="57" t="s">
        <v>5112</v>
      </c>
      <c r="G186" s="57" t="s">
        <v>3655</v>
      </c>
      <c r="H186" s="57" t="s">
        <v>1243</v>
      </c>
      <c r="I186" s="57" t="s">
        <v>1821</v>
      </c>
      <c r="J186" s="57" t="s">
        <v>4441</v>
      </c>
      <c r="K186" s="57" t="s">
        <v>4442</v>
      </c>
    </row>
    <row r="187" spans="1:11" ht="60" customHeight="1">
      <c r="A187" s="57" t="s">
        <v>5113</v>
      </c>
      <c r="B187" s="57" t="s">
        <v>3653</v>
      </c>
      <c r="C187" s="57" t="s">
        <v>4876</v>
      </c>
      <c r="D187" s="57" t="s">
        <v>4481</v>
      </c>
      <c r="E187" s="57" t="s">
        <v>4482</v>
      </c>
      <c r="F187" s="57" t="s">
        <v>5084</v>
      </c>
      <c r="G187" s="57" t="s">
        <v>3655</v>
      </c>
      <c r="H187" s="57" t="s">
        <v>1243</v>
      </c>
      <c r="I187" s="57" t="s">
        <v>1821</v>
      </c>
      <c r="J187" s="57" t="s">
        <v>4441</v>
      </c>
      <c r="K187" s="57" t="s">
        <v>4442</v>
      </c>
    </row>
    <row r="188" spans="1:11" ht="60" customHeight="1">
      <c r="A188" s="57" t="s">
        <v>5114</v>
      </c>
      <c r="B188" s="57" t="s">
        <v>3658</v>
      </c>
      <c r="C188" s="57" t="s">
        <v>5115</v>
      </c>
      <c r="D188" s="57" t="s">
        <v>4615</v>
      </c>
      <c r="E188" s="57" t="s">
        <v>4616</v>
      </c>
      <c r="F188" s="57" t="s">
        <v>4616</v>
      </c>
      <c r="G188" s="57" t="s">
        <v>3661</v>
      </c>
      <c r="H188" s="57" t="s">
        <v>3556</v>
      </c>
      <c r="I188" s="57" t="s">
        <v>3557</v>
      </c>
      <c r="J188" s="57" t="s">
        <v>4617</v>
      </c>
      <c r="K188" s="57" t="s">
        <v>4618</v>
      </c>
    </row>
    <row r="189" spans="1:11" ht="60" customHeight="1">
      <c r="A189" s="57" t="s">
        <v>5116</v>
      </c>
      <c r="B189" s="57" t="s">
        <v>3664</v>
      </c>
      <c r="C189" s="57" t="s">
        <v>5117</v>
      </c>
      <c r="D189" s="57" t="s">
        <v>4519</v>
      </c>
      <c r="E189" s="57" t="s">
        <v>4482</v>
      </c>
      <c r="F189" s="57" t="s">
        <v>5118</v>
      </c>
      <c r="G189" s="57" t="s">
        <v>3667</v>
      </c>
      <c r="H189" s="57" t="s">
        <v>3556</v>
      </c>
      <c r="I189" s="57" t="s">
        <v>3557</v>
      </c>
      <c r="J189" s="57" t="s">
        <v>4441</v>
      </c>
      <c r="K189" s="57" t="s">
        <v>4442</v>
      </c>
    </row>
    <row r="190" spans="1:11" ht="60" customHeight="1">
      <c r="A190" s="57" t="s">
        <v>5119</v>
      </c>
      <c r="B190" s="57" t="s">
        <v>3664</v>
      </c>
      <c r="C190" s="57" t="s">
        <v>5120</v>
      </c>
      <c r="D190" s="57" t="s">
        <v>5121</v>
      </c>
      <c r="E190" s="57" t="s">
        <v>5122</v>
      </c>
      <c r="F190" s="57" t="s">
        <v>4440</v>
      </c>
      <c r="G190" s="57" t="s">
        <v>3667</v>
      </c>
      <c r="H190" s="57" t="s">
        <v>3556</v>
      </c>
      <c r="I190" s="57" t="s">
        <v>3557</v>
      </c>
      <c r="J190" s="57" t="s">
        <v>4441</v>
      </c>
      <c r="K190" s="57" t="s">
        <v>4442</v>
      </c>
    </row>
    <row r="191" spans="1:11" ht="60" customHeight="1">
      <c r="A191" s="57" t="s">
        <v>5123</v>
      </c>
      <c r="B191" s="57" t="s">
        <v>3664</v>
      </c>
      <c r="C191" s="57" t="s">
        <v>5124</v>
      </c>
      <c r="D191" s="57" t="s">
        <v>5125</v>
      </c>
      <c r="E191" s="57" t="s">
        <v>5122</v>
      </c>
      <c r="F191" s="57" t="s">
        <v>4440</v>
      </c>
      <c r="G191" s="57" t="s">
        <v>3667</v>
      </c>
      <c r="H191" s="57" t="s">
        <v>3556</v>
      </c>
      <c r="I191" s="57" t="s">
        <v>3557</v>
      </c>
      <c r="J191" s="57" t="s">
        <v>4441</v>
      </c>
      <c r="K191" s="57" t="s">
        <v>4442</v>
      </c>
    </row>
    <row r="192" spans="1:11" ht="60" customHeight="1">
      <c r="A192" s="57" t="s">
        <v>5126</v>
      </c>
      <c r="B192" s="57" t="s">
        <v>3664</v>
      </c>
      <c r="C192" s="57" t="s">
        <v>5127</v>
      </c>
      <c r="D192" s="57" t="s">
        <v>5128</v>
      </c>
      <c r="E192" s="57" t="s">
        <v>5122</v>
      </c>
      <c r="F192" s="57" t="s">
        <v>4440</v>
      </c>
      <c r="G192" s="57" t="s">
        <v>3667</v>
      </c>
      <c r="H192" s="57" t="s">
        <v>3556</v>
      </c>
      <c r="I192" s="57" t="s">
        <v>3557</v>
      </c>
      <c r="J192" s="57" t="s">
        <v>4441</v>
      </c>
      <c r="K192" s="57" t="s">
        <v>4442</v>
      </c>
    </row>
    <row r="193" spans="1:11" ht="60" customHeight="1">
      <c r="A193" s="57" t="s">
        <v>5129</v>
      </c>
      <c r="B193" s="57" t="s">
        <v>3664</v>
      </c>
      <c r="C193" s="57" t="s">
        <v>4134</v>
      </c>
      <c r="D193" s="57" t="s">
        <v>5130</v>
      </c>
      <c r="E193" s="57" t="s">
        <v>5122</v>
      </c>
      <c r="F193" s="57" t="s">
        <v>4440</v>
      </c>
      <c r="G193" s="57" t="s">
        <v>3667</v>
      </c>
      <c r="H193" s="57" t="s">
        <v>3556</v>
      </c>
      <c r="I193" s="57" t="s">
        <v>3557</v>
      </c>
      <c r="J193" s="57" t="s">
        <v>4441</v>
      </c>
      <c r="K193" s="57" t="s">
        <v>4442</v>
      </c>
    </row>
    <row r="194" spans="1:11" ht="60" customHeight="1">
      <c r="A194" s="57" t="s">
        <v>5131</v>
      </c>
      <c r="B194" s="57" t="s">
        <v>3664</v>
      </c>
      <c r="C194" s="57" t="s">
        <v>5132</v>
      </c>
      <c r="D194" s="57" t="s">
        <v>5133</v>
      </c>
      <c r="E194" s="57" t="s">
        <v>5122</v>
      </c>
      <c r="F194" s="57" t="s">
        <v>4440</v>
      </c>
      <c r="G194" s="57" t="s">
        <v>3667</v>
      </c>
      <c r="H194" s="57" t="s">
        <v>3556</v>
      </c>
      <c r="I194" s="57" t="s">
        <v>3557</v>
      </c>
      <c r="J194" s="57" t="s">
        <v>4441</v>
      </c>
      <c r="K194" s="57" t="s">
        <v>4442</v>
      </c>
    </row>
    <row r="195" spans="1:11" ht="60" customHeight="1">
      <c r="A195" s="57" t="s">
        <v>5134</v>
      </c>
      <c r="B195" s="57" t="s">
        <v>3664</v>
      </c>
      <c r="C195" s="57" t="s">
        <v>5135</v>
      </c>
      <c r="D195" s="57" t="s">
        <v>4519</v>
      </c>
      <c r="E195" s="57" t="s">
        <v>5136</v>
      </c>
      <c r="F195" s="57" t="s">
        <v>5137</v>
      </c>
      <c r="G195" s="57" t="s">
        <v>3667</v>
      </c>
      <c r="H195" s="57" t="s">
        <v>3556</v>
      </c>
      <c r="I195" s="57" t="s">
        <v>3557</v>
      </c>
      <c r="J195" s="57" t="s">
        <v>4441</v>
      </c>
      <c r="K195" s="57" t="s">
        <v>4442</v>
      </c>
    </row>
    <row r="196" spans="1:11" ht="60" customHeight="1">
      <c r="A196" s="57" t="s">
        <v>5138</v>
      </c>
      <c r="B196" s="57" t="s">
        <v>3664</v>
      </c>
      <c r="C196" s="57" t="s">
        <v>5139</v>
      </c>
      <c r="D196" s="57" t="s">
        <v>4481</v>
      </c>
      <c r="E196" s="57" t="s">
        <v>5140</v>
      </c>
      <c r="F196" s="57" t="s">
        <v>5141</v>
      </c>
      <c r="G196" s="57" t="s">
        <v>3667</v>
      </c>
      <c r="H196" s="57" t="s">
        <v>3556</v>
      </c>
      <c r="I196" s="57" t="s">
        <v>3557</v>
      </c>
      <c r="J196" s="57" t="s">
        <v>4441</v>
      </c>
      <c r="K196" s="57" t="s">
        <v>4442</v>
      </c>
    </row>
    <row r="197" spans="1:11" ht="60" customHeight="1">
      <c r="A197" s="57" t="s">
        <v>5142</v>
      </c>
      <c r="B197" s="57" t="s">
        <v>3664</v>
      </c>
      <c r="C197" s="57" t="s">
        <v>5143</v>
      </c>
      <c r="D197" s="57" t="s">
        <v>4481</v>
      </c>
      <c r="E197" s="57" t="s">
        <v>5144</v>
      </c>
      <c r="F197" s="57" t="s">
        <v>5145</v>
      </c>
      <c r="G197" s="57" t="s">
        <v>3667</v>
      </c>
      <c r="H197" s="57" t="s">
        <v>3556</v>
      </c>
      <c r="I197" s="57" t="s">
        <v>3557</v>
      </c>
      <c r="J197" s="57" t="s">
        <v>4441</v>
      </c>
      <c r="K197" s="57" t="s">
        <v>4442</v>
      </c>
    </row>
    <row r="198" spans="1:11" ht="60" customHeight="1">
      <c r="A198" s="57" t="s">
        <v>5146</v>
      </c>
      <c r="B198" s="57" t="s">
        <v>3670</v>
      </c>
      <c r="C198" s="57" t="s">
        <v>5147</v>
      </c>
      <c r="D198" s="57" t="s">
        <v>4615</v>
      </c>
      <c r="E198" s="57" t="s">
        <v>4616</v>
      </c>
      <c r="F198" s="57" t="s">
        <v>4616</v>
      </c>
      <c r="G198" s="57" t="s">
        <v>3672</v>
      </c>
      <c r="H198" s="57" t="s">
        <v>1243</v>
      </c>
      <c r="I198" s="57" t="s">
        <v>1821</v>
      </c>
      <c r="J198" s="57" t="s">
        <v>4617</v>
      </c>
      <c r="K198" s="57" t="s">
        <v>4618</v>
      </c>
    </row>
    <row r="199" spans="1:11" ht="60" customHeight="1">
      <c r="A199" s="57" t="s">
        <v>5148</v>
      </c>
      <c r="B199" s="57" t="s">
        <v>3675</v>
      </c>
      <c r="C199" s="57" t="s">
        <v>5149</v>
      </c>
      <c r="D199" s="57" t="s">
        <v>4615</v>
      </c>
      <c r="E199" s="57" t="s">
        <v>4616</v>
      </c>
      <c r="F199" s="57" t="s">
        <v>4616</v>
      </c>
      <c r="G199" s="57" t="s">
        <v>3677</v>
      </c>
      <c r="H199" s="57" t="s">
        <v>1243</v>
      </c>
      <c r="I199" s="57" t="s">
        <v>1821</v>
      </c>
      <c r="J199" s="57" t="s">
        <v>4617</v>
      </c>
      <c r="K199" s="57" t="s">
        <v>4618</v>
      </c>
    </row>
    <row r="200" spans="1:11" ht="60" customHeight="1">
      <c r="A200" s="57" t="s">
        <v>5150</v>
      </c>
      <c r="B200" s="57" t="s">
        <v>3680</v>
      </c>
      <c r="C200" s="57" t="s">
        <v>5151</v>
      </c>
      <c r="D200" s="57" t="s">
        <v>4519</v>
      </c>
      <c r="E200" s="57" t="s">
        <v>4788</v>
      </c>
      <c r="F200" s="57" t="s">
        <v>5152</v>
      </c>
      <c r="G200" s="57" t="s">
        <v>3682</v>
      </c>
      <c r="H200" s="57" t="s">
        <v>1243</v>
      </c>
      <c r="I200" s="57" t="s">
        <v>1821</v>
      </c>
      <c r="J200" s="57" t="s">
        <v>4441</v>
      </c>
      <c r="K200" s="57" t="s">
        <v>4442</v>
      </c>
    </row>
    <row r="201" spans="1:11" ht="60" customHeight="1">
      <c r="A201" s="57" t="s">
        <v>5153</v>
      </c>
      <c r="B201" s="57" t="s">
        <v>3680</v>
      </c>
      <c r="C201" s="57" t="s">
        <v>5154</v>
      </c>
      <c r="D201" s="57" t="s">
        <v>5155</v>
      </c>
      <c r="E201" s="57" t="s">
        <v>5156</v>
      </c>
      <c r="F201" s="57" t="s">
        <v>4440</v>
      </c>
      <c r="G201" s="57" t="s">
        <v>3682</v>
      </c>
      <c r="H201" s="57" t="s">
        <v>1243</v>
      </c>
      <c r="I201" s="57" t="s">
        <v>1821</v>
      </c>
      <c r="J201" s="57" t="s">
        <v>4441</v>
      </c>
      <c r="K201" s="57" t="s">
        <v>4442</v>
      </c>
    </row>
    <row r="202" spans="1:11" ht="60" customHeight="1">
      <c r="A202" s="57" t="s">
        <v>5157</v>
      </c>
      <c r="B202" s="57" t="s">
        <v>3680</v>
      </c>
      <c r="C202" s="57" t="s">
        <v>5158</v>
      </c>
      <c r="D202" s="57" t="s">
        <v>5159</v>
      </c>
      <c r="E202" s="57" t="s">
        <v>5156</v>
      </c>
      <c r="F202" s="57" t="s">
        <v>4440</v>
      </c>
      <c r="G202" s="57" t="s">
        <v>3682</v>
      </c>
      <c r="H202" s="57" t="s">
        <v>1243</v>
      </c>
      <c r="I202" s="57" t="s">
        <v>1821</v>
      </c>
      <c r="J202" s="57" t="s">
        <v>4441</v>
      </c>
      <c r="K202" s="57" t="s">
        <v>4442</v>
      </c>
    </row>
    <row r="203" spans="1:11" ht="60" customHeight="1">
      <c r="A203" s="57" t="s">
        <v>5160</v>
      </c>
      <c r="B203" s="57" t="s">
        <v>3680</v>
      </c>
      <c r="C203" s="57" t="s">
        <v>5161</v>
      </c>
      <c r="D203" s="57" t="s">
        <v>5162</v>
      </c>
      <c r="E203" s="57" t="s">
        <v>5156</v>
      </c>
      <c r="F203" s="57" t="s">
        <v>5163</v>
      </c>
      <c r="G203" s="57" t="s">
        <v>3682</v>
      </c>
      <c r="H203" s="57" t="s">
        <v>1243</v>
      </c>
      <c r="I203" s="57" t="s">
        <v>1821</v>
      </c>
      <c r="J203" s="57" t="s">
        <v>4441</v>
      </c>
      <c r="K203" s="57" t="s">
        <v>4442</v>
      </c>
    </row>
    <row r="204" spans="1:11" ht="60" customHeight="1">
      <c r="A204" s="57" t="s">
        <v>5164</v>
      </c>
      <c r="B204" s="57" t="s">
        <v>3680</v>
      </c>
      <c r="C204" s="57" t="s">
        <v>5165</v>
      </c>
      <c r="D204" s="57" t="s">
        <v>5166</v>
      </c>
      <c r="E204" s="57" t="s">
        <v>5156</v>
      </c>
      <c r="F204" s="57" t="s">
        <v>5167</v>
      </c>
      <c r="G204" s="57" t="s">
        <v>3682</v>
      </c>
      <c r="H204" s="57" t="s">
        <v>1243</v>
      </c>
      <c r="I204" s="57" t="s">
        <v>1821</v>
      </c>
      <c r="J204" s="57" t="s">
        <v>4441</v>
      </c>
      <c r="K204" s="57" t="s">
        <v>4442</v>
      </c>
    </row>
    <row r="205" spans="1:11" ht="60" customHeight="1">
      <c r="A205" s="57" t="s">
        <v>5168</v>
      </c>
      <c r="B205" s="57" t="s">
        <v>3680</v>
      </c>
      <c r="C205" s="57" t="s">
        <v>5169</v>
      </c>
      <c r="D205" s="57" t="s">
        <v>5170</v>
      </c>
      <c r="E205" s="57" t="s">
        <v>5156</v>
      </c>
      <c r="F205" s="57" t="s">
        <v>4440</v>
      </c>
      <c r="G205" s="57" t="s">
        <v>3682</v>
      </c>
      <c r="H205" s="57" t="s">
        <v>1243</v>
      </c>
      <c r="I205" s="57" t="s">
        <v>1821</v>
      </c>
      <c r="J205" s="57" t="s">
        <v>4441</v>
      </c>
      <c r="K205" s="57" t="s">
        <v>4442</v>
      </c>
    </row>
    <row r="206" spans="1:11" ht="60" customHeight="1">
      <c r="A206" s="57" t="s">
        <v>5171</v>
      </c>
      <c r="B206" s="57" t="s">
        <v>3680</v>
      </c>
      <c r="C206" s="57" t="s">
        <v>5172</v>
      </c>
      <c r="D206" s="57" t="s">
        <v>5173</v>
      </c>
      <c r="E206" s="57" t="s">
        <v>5156</v>
      </c>
      <c r="F206" s="57" t="s">
        <v>4440</v>
      </c>
      <c r="G206" s="57" t="s">
        <v>3682</v>
      </c>
      <c r="H206" s="57" t="s">
        <v>1243</v>
      </c>
      <c r="I206" s="57" t="s">
        <v>1821</v>
      </c>
      <c r="J206" s="57" t="s">
        <v>4441</v>
      </c>
      <c r="K206" s="57" t="s">
        <v>4442</v>
      </c>
    </row>
    <row r="207" spans="1:11" ht="60" customHeight="1">
      <c r="A207" s="57" t="s">
        <v>5174</v>
      </c>
      <c r="B207" s="57" t="s">
        <v>3680</v>
      </c>
      <c r="C207" s="57" t="s">
        <v>5175</v>
      </c>
      <c r="D207" s="57" t="s">
        <v>5027</v>
      </c>
      <c r="E207" s="57" t="s">
        <v>5156</v>
      </c>
      <c r="F207" s="57" t="s">
        <v>4440</v>
      </c>
      <c r="G207" s="57" t="s">
        <v>3682</v>
      </c>
      <c r="H207" s="57" t="s">
        <v>1243</v>
      </c>
      <c r="I207" s="57" t="s">
        <v>1821</v>
      </c>
      <c r="J207" s="57" t="s">
        <v>4441</v>
      </c>
      <c r="K207" s="57" t="s">
        <v>4442</v>
      </c>
    </row>
    <row r="208" spans="1:11" ht="60" customHeight="1">
      <c r="A208" s="57" t="s">
        <v>5176</v>
      </c>
      <c r="B208" s="57" t="s">
        <v>3680</v>
      </c>
      <c r="C208" s="57" t="s">
        <v>5177</v>
      </c>
      <c r="D208" s="57" t="s">
        <v>5178</v>
      </c>
      <c r="E208" s="57" t="s">
        <v>5156</v>
      </c>
      <c r="F208" s="57" t="s">
        <v>4440</v>
      </c>
      <c r="G208" s="57" t="s">
        <v>3682</v>
      </c>
      <c r="H208" s="57" t="s">
        <v>1243</v>
      </c>
      <c r="I208" s="57" t="s">
        <v>1821</v>
      </c>
      <c r="J208" s="57" t="s">
        <v>4441</v>
      </c>
      <c r="K208" s="57" t="s">
        <v>4442</v>
      </c>
    </row>
    <row r="209" spans="1:11" ht="60" customHeight="1">
      <c r="A209" s="57" t="s">
        <v>5179</v>
      </c>
      <c r="B209" s="57" t="s">
        <v>3680</v>
      </c>
      <c r="C209" s="57" t="s">
        <v>5180</v>
      </c>
      <c r="D209" s="57" t="s">
        <v>5181</v>
      </c>
      <c r="E209" s="57" t="s">
        <v>5182</v>
      </c>
      <c r="F209" s="57" t="s">
        <v>4440</v>
      </c>
      <c r="G209" s="57" t="s">
        <v>3682</v>
      </c>
      <c r="H209" s="57" t="s">
        <v>1243</v>
      </c>
      <c r="I209" s="57" t="s">
        <v>1821</v>
      </c>
      <c r="J209" s="57" t="s">
        <v>4441</v>
      </c>
      <c r="K209" s="57" t="s">
        <v>4442</v>
      </c>
    </row>
    <row r="210" spans="1:11" ht="60" customHeight="1">
      <c r="A210" s="57" t="s">
        <v>5183</v>
      </c>
      <c r="B210" s="57" t="s">
        <v>3680</v>
      </c>
      <c r="C210" s="57" t="s">
        <v>5184</v>
      </c>
      <c r="D210" s="57" t="s">
        <v>4481</v>
      </c>
      <c r="E210" s="57" t="s">
        <v>5185</v>
      </c>
      <c r="F210" s="57" t="s">
        <v>5186</v>
      </c>
      <c r="G210" s="57" t="s">
        <v>3682</v>
      </c>
      <c r="H210" s="57" t="s">
        <v>1243</v>
      </c>
      <c r="I210" s="57" t="s">
        <v>1821</v>
      </c>
      <c r="J210" s="57" t="s">
        <v>4441</v>
      </c>
      <c r="K210" s="57" t="s">
        <v>4442</v>
      </c>
    </row>
    <row r="211" spans="1:11" ht="60" customHeight="1">
      <c r="A211" s="57" t="s">
        <v>5187</v>
      </c>
      <c r="B211" s="57" t="s">
        <v>3680</v>
      </c>
      <c r="C211" s="57" t="s">
        <v>5188</v>
      </c>
      <c r="D211" s="57" t="s">
        <v>4519</v>
      </c>
      <c r="E211" s="57" t="s">
        <v>5185</v>
      </c>
      <c r="F211" s="57" t="s">
        <v>5137</v>
      </c>
      <c r="G211" s="57" t="s">
        <v>3682</v>
      </c>
      <c r="H211" s="57" t="s">
        <v>1243</v>
      </c>
      <c r="I211" s="57" t="s">
        <v>1821</v>
      </c>
      <c r="J211" s="57" t="s">
        <v>4441</v>
      </c>
      <c r="K211" s="57" t="s">
        <v>4442</v>
      </c>
    </row>
    <row r="212" spans="1:11" ht="60" customHeight="1">
      <c r="A212" s="57" t="s">
        <v>5189</v>
      </c>
      <c r="B212" s="57" t="s">
        <v>3680</v>
      </c>
      <c r="C212" s="57" t="s">
        <v>5190</v>
      </c>
      <c r="D212" s="57" t="s">
        <v>4481</v>
      </c>
      <c r="E212" s="57" t="s">
        <v>5191</v>
      </c>
      <c r="F212" s="57" t="s">
        <v>5192</v>
      </c>
      <c r="G212" s="57" t="s">
        <v>3682</v>
      </c>
      <c r="H212" s="57" t="s">
        <v>1243</v>
      </c>
      <c r="I212" s="57" t="s">
        <v>1821</v>
      </c>
      <c r="J212" s="57" t="s">
        <v>4441</v>
      </c>
      <c r="K212" s="57" t="s">
        <v>4442</v>
      </c>
    </row>
    <row r="213" spans="1:11" ht="60" customHeight="1">
      <c r="A213" s="57" t="s">
        <v>5193</v>
      </c>
      <c r="B213" s="57" t="s">
        <v>3680</v>
      </c>
      <c r="C213" s="57" t="s">
        <v>5194</v>
      </c>
      <c r="D213" s="57" t="s">
        <v>4951</v>
      </c>
      <c r="E213" s="57" t="s">
        <v>5195</v>
      </c>
      <c r="F213" s="57" t="s">
        <v>5196</v>
      </c>
      <c r="G213" s="57" t="s">
        <v>3682</v>
      </c>
      <c r="H213" s="57" t="s">
        <v>1243</v>
      </c>
      <c r="I213" s="57" t="s">
        <v>1821</v>
      </c>
      <c r="J213" s="57" t="s">
        <v>4441</v>
      </c>
      <c r="K213" s="57" t="s">
        <v>4442</v>
      </c>
    </row>
    <row r="214" spans="1:11" ht="60" customHeight="1">
      <c r="A214" s="57" t="s">
        <v>5197</v>
      </c>
      <c r="B214" s="57" t="s">
        <v>3685</v>
      </c>
      <c r="C214" s="57" t="s">
        <v>5198</v>
      </c>
      <c r="D214" s="57" t="s">
        <v>4615</v>
      </c>
      <c r="E214" s="57" t="s">
        <v>4616</v>
      </c>
      <c r="F214" s="57" t="s">
        <v>4616</v>
      </c>
      <c r="G214" s="57" t="s">
        <v>3688</v>
      </c>
      <c r="H214" s="57" t="s">
        <v>3556</v>
      </c>
      <c r="I214" s="57" t="s">
        <v>3557</v>
      </c>
      <c r="J214" s="57" t="s">
        <v>4617</v>
      </c>
      <c r="K214" s="57" t="s">
        <v>4618</v>
      </c>
    </row>
    <row r="215" spans="1:11" ht="60" customHeight="1">
      <c r="A215" s="57" t="s">
        <v>5199</v>
      </c>
      <c r="B215" s="57" t="s">
        <v>3691</v>
      </c>
      <c r="C215" s="57" t="s">
        <v>5200</v>
      </c>
      <c r="D215" s="57" t="s">
        <v>4615</v>
      </c>
      <c r="E215" s="57" t="s">
        <v>4616</v>
      </c>
      <c r="F215" s="57" t="s">
        <v>4616</v>
      </c>
      <c r="G215" s="57" t="s">
        <v>3694</v>
      </c>
      <c r="H215" s="57" t="s">
        <v>3556</v>
      </c>
      <c r="I215" s="57" t="s">
        <v>3557</v>
      </c>
      <c r="J215" s="57" t="s">
        <v>4617</v>
      </c>
      <c r="K215" s="57" t="s">
        <v>4618</v>
      </c>
    </row>
    <row r="216" spans="1:11" ht="60" customHeight="1">
      <c r="A216" s="57" t="s">
        <v>5201</v>
      </c>
      <c r="B216" s="57" t="s">
        <v>3697</v>
      </c>
      <c r="C216" s="57" t="s">
        <v>5202</v>
      </c>
      <c r="D216" s="57" t="s">
        <v>4615</v>
      </c>
      <c r="E216" s="57" t="s">
        <v>4616</v>
      </c>
      <c r="F216" s="57" t="s">
        <v>4616</v>
      </c>
      <c r="G216" s="57" t="s">
        <v>3699</v>
      </c>
      <c r="H216" s="57" t="s">
        <v>3556</v>
      </c>
      <c r="I216" s="57" t="s">
        <v>3557</v>
      </c>
      <c r="J216" s="57" t="s">
        <v>4617</v>
      </c>
      <c r="K216" s="57" t="s">
        <v>4618</v>
      </c>
    </row>
    <row r="217" spans="1:11" ht="60" customHeight="1">
      <c r="A217" s="57" t="s">
        <v>5203</v>
      </c>
      <c r="B217" s="57" t="s">
        <v>3702</v>
      </c>
      <c r="C217" s="57" t="s">
        <v>4835</v>
      </c>
      <c r="D217" s="57" t="s">
        <v>4519</v>
      </c>
      <c r="E217" s="57" t="s">
        <v>4661</v>
      </c>
      <c r="F217" s="57" t="s">
        <v>5204</v>
      </c>
      <c r="G217" s="57" t="s">
        <v>3705</v>
      </c>
      <c r="H217" s="57" t="s">
        <v>3556</v>
      </c>
      <c r="I217" s="57" t="s">
        <v>3557</v>
      </c>
      <c r="J217" s="57" t="s">
        <v>4441</v>
      </c>
      <c r="K217" s="57" t="s">
        <v>4442</v>
      </c>
    </row>
    <row r="218" spans="1:11" ht="60" customHeight="1">
      <c r="A218" s="57" t="s">
        <v>5205</v>
      </c>
      <c r="B218" s="57" t="s">
        <v>3702</v>
      </c>
      <c r="C218" s="57" t="s">
        <v>5206</v>
      </c>
      <c r="D218" s="57" t="s">
        <v>4656</v>
      </c>
      <c r="E218" s="57" t="s">
        <v>4661</v>
      </c>
      <c r="F218" s="57" t="s">
        <v>4440</v>
      </c>
      <c r="G218" s="57" t="s">
        <v>3705</v>
      </c>
      <c r="H218" s="57" t="s">
        <v>3556</v>
      </c>
      <c r="I218" s="57" t="s">
        <v>3557</v>
      </c>
      <c r="J218" s="57" t="s">
        <v>4441</v>
      </c>
      <c r="K218" s="57" t="s">
        <v>4442</v>
      </c>
    </row>
    <row r="219" spans="1:11" ht="60" customHeight="1">
      <c r="A219" s="57" t="s">
        <v>5207</v>
      </c>
      <c r="B219" s="57" t="s">
        <v>3702</v>
      </c>
      <c r="C219" s="57" t="s">
        <v>5208</v>
      </c>
      <c r="D219" s="57" t="s">
        <v>5209</v>
      </c>
      <c r="E219" s="57" t="s">
        <v>5210</v>
      </c>
      <c r="F219" s="57" t="s">
        <v>5211</v>
      </c>
      <c r="G219" s="57" t="s">
        <v>3705</v>
      </c>
      <c r="H219" s="57" t="s">
        <v>3556</v>
      </c>
      <c r="I219" s="57" t="s">
        <v>3557</v>
      </c>
      <c r="J219" s="57" t="s">
        <v>4441</v>
      </c>
      <c r="K219" s="57" t="s">
        <v>4442</v>
      </c>
    </row>
    <row r="220" spans="1:11" ht="60" customHeight="1">
      <c r="A220" s="57" t="s">
        <v>5212</v>
      </c>
      <c r="B220" s="57" t="s">
        <v>3702</v>
      </c>
      <c r="C220" s="57" t="s">
        <v>5213</v>
      </c>
      <c r="D220" s="57" t="s">
        <v>5214</v>
      </c>
      <c r="E220" s="57" t="s">
        <v>5210</v>
      </c>
      <c r="F220" s="57" t="s">
        <v>5215</v>
      </c>
      <c r="G220" s="57" t="s">
        <v>3705</v>
      </c>
      <c r="H220" s="57" t="s">
        <v>3556</v>
      </c>
      <c r="I220" s="57" t="s">
        <v>3557</v>
      </c>
      <c r="J220" s="57" t="s">
        <v>4441</v>
      </c>
      <c r="K220" s="57" t="s">
        <v>4442</v>
      </c>
    </row>
    <row r="221" spans="1:11" ht="60" customHeight="1">
      <c r="A221" s="57" t="s">
        <v>5216</v>
      </c>
      <c r="B221" s="57" t="s">
        <v>3702</v>
      </c>
      <c r="C221" s="57" t="s">
        <v>5217</v>
      </c>
      <c r="D221" s="57" t="s">
        <v>5218</v>
      </c>
      <c r="E221" s="57" t="s">
        <v>5210</v>
      </c>
      <c r="F221" s="57" t="s">
        <v>5219</v>
      </c>
      <c r="G221" s="57" t="s">
        <v>3705</v>
      </c>
      <c r="H221" s="57" t="s">
        <v>3556</v>
      </c>
      <c r="I221" s="57" t="s">
        <v>3557</v>
      </c>
      <c r="J221" s="57" t="s">
        <v>4441</v>
      </c>
      <c r="K221" s="57" t="s">
        <v>4442</v>
      </c>
    </row>
    <row r="222" spans="1:11" ht="60" customHeight="1">
      <c r="A222" s="57" t="s">
        <v>5220</v>
      </c>
      <c r="B222" s="57" t="s">
        <v>3702</v>
      </c>
      <c r="C222" s="57" t="s">
        <v>5221</v>
      </c>
      <c r="D222" s="57" t="s">
        <v>4476</v>
      </c>
      <c r="E222" s="57" t="s">
        <v>5210</v>
      </c>
      <c r="F222" s="57" t="s">
        <v>5215</v>
      </c>
      <c r="G222" s="57" t="s">
        <v>3705</v>
      </c>
      <c r="H222" s="57" t="s">
        <v>3556</v>
      </c>
      <c r="I222" s="57" t="s">
        <v>3557</v>
      </c>
      <c r="J222" s="57" t="s">
        <v>4441</v>
      </c>
      <c r="K222" s="57" t="s">
        <v>4442</v>
      </c>
    </row>
    <row r="223" spans="1:11" ht="60" customHeight="1">
      <c r="A223" s="57" t="s">
        <v>5222</v>
      </c>
      <c r="B223" s="57" t="s">
        <v>3702</v>
      </c>
      <c r="C223" s="57" t="s">
        <v>4055</v>
      </c>
      <c r="D223" s="57" t="s">
        <v>5223</v>
      </c>
      <c r="E223" s="57" t="s">
        <v>5210</v>
      </c>
      <c r="F223" s="57" t="s">
        <v>5224</v>
      </c>
      <c r="G223" s="57" t="s">
        <v>3705</v>
      </c>
      <c r="H223" s="57" t="s">
        <v>3556</v>
      </c>
      <c r="I223" s="57" t="s">
        <v>3557</v>
      </c>
      <c r="J223" s="57" t="s">
        <v>4441</v>
      </c>
      <c r="K223" s="57" t="s">
        <v>4442</v>
      </c>
    </row>
    <row r="224" spans="1:11" ht="60" customHeight="1">
      <c r="A224" s="57" t="s">
        <v>5225</v>
      </c>
      <c r="B224" s="57" t="s">
        <v>3702</v>
      </c>
      <c r="C224" s="57" t="s">
        <v>5226</v>
      </c>
      <c r="D224" s="57" t="s">
        <v>5227</v>
      </c>
      <c r="E224" s="57" t="s">
        <v>5210</v>
      </c>
      <c r="F224" s="57" t="s">
        <v>5224</v>
      </c>
      <c r="G224" s="57" t="s">
        <v>3705</v>
      </c>
      <c r="H224" s="57" t="s">
        <v>3556</v>
      </c>
      <c r="I224" s="57" t="s">
        <v>3557</v>
      </c>
      <c r="J224" s="57" t="s">
        <v>4441</v>
      </c>
      <c r="K224" s="57" t="s">
        <v>4442</v>
      </c>
    </row>
    <row r="225" spans="1:11" ht="60" customHeight="1">
      <c r="A225" s="57" t="s">
        <v>5228</v>
      </c>
      <c r="B225" s="57" t="s">
        <v>3702</v>
      </c>
      <c r="C225" s="57" t="s">
        <v>5229</v>
      </c>
      <c r="D225" s="57" t="s">
        <v>5230</v>
      </c>
      <c r="E225" s="57" t="s">
        <v>5210</v>
      </c>
      <c r="F225" s="57" t="s">
        <v>5224</v>
      </c>
      <c r="G225" s="57" t="s">
        <v>3705</v>
      </c>
      <c r="H225" s="57" t="s">
        <v>3556</v>
      </c>
      <c r="I225" s="57" t="s">
        <v>3557</v>
      </c>
      <c r="J225" s="57" t="s">
        <v>4441</v>
      </c>
      <c r="K225" s="57" t="s">
        <v>4442</v>
      </c>
    </row>
    <row r="226" spans="1:11" ht="60" customHeight="1">
      <c r="A226" s="57" t="s">
        <v>5231</v>
      </c>
      <c r="B226" s="57" t="s">
        <v>3702</v>
      </c>
      <c r="C226" s="57" t="s">
        <v>5232</v>
      </c>
      <c r="D226" s="57" t="s">
        <v>4598</v>
      </c>
      <c r="E226" s="57" t="s">
        <v>5233</v>
      </c>
      <c r="F226" s="57" t="s">
        <v>5224</v>
      </c>
      <c r="G226" s="57" t="s">
        <v>3705</v>
      </c>
      <c r="H226" s="57" t="s">
        <v>3556</v>
      </c>
      <c r="I226" s="57" t="s">
        <v>3557</v>
      </c>
      <c r="J226" s="57" t="s">
        <v>4441</v>
      </c>
      <c r="K226" s="57" t="s">
        <v>4442</v>
      </c>
    </row>
    <row r="227" spans="1:11" ht="60" customHeight="1">
      <c r="A227" s="57" t="s">
        <v>5234</v>
      </c>
      <c r="B227" s="57" t="s">
        <v>3702</v>
      </c>
      <c r="C227" s="57" t="s">
        <v>5235</v>
      </c>
      <c r="D227" s="57" t="s">
        <v>5236</v>
      </c>
      <c r="E227" s="57" t="s">
        <v>5237</v>
      </c>
      <c r="F227" s="57" t="s">
        <v>5238</v>
      </c>
      <c r="G227" s="57" t="s">
        <v>3705</v>
      </c>
      <c r="H227" s="57" t="s">
        <v>3556</v>
      </c>
      <c r="I227" s="57" t="s">
        <v>3557</v>
      </c>
      <c r="J227" s="57" t="s">
        <v>4441</v>
      </c>
      <c r="K227" s="57" t="s">
        <v>4442</v>
      </c>
    </row>
    <row r="228" spans="1:11" ht="60" customHeight="1">
      <c r="A228" s="57" t="s">
        <v>5239</v>
      </c>
      <c r="B228" s="57" t="s">
        <v>3702</v>
      </c>
      <c r="C228" s="57" t="s">
        <v>5240</v>
      </c>
      <c r="D228" s="57" t="s">
        <v>5241</v>
      </c>
      <c r="E228" s="57" t="s">
        <v>5237</v>
      </c>
      <c r="F228" s="57" t="s">
        <v>5238</v>
      </c>
      <c r="G228" s="57" t="s">
        <v>3705</v>
      </c>
      <c r="H228" s="57" t="s">
        <v>3556</v>
      </c>
      <c r="I228" s="57" t="s">
        <v>3557</v>
      </c>
      <c r="J228" s="57" t="s">
        <v>4441</v>
      </c>
      <c r="K228" s="57" t="s">
        <v>4442</v>
      </c>
    </row>
    <row r="229" spans="1:11" ht="60" customHeight="1">
      <c r="A229" s="57" t="s">
        <v>5242</v>
      </c>
      <c r="B229" s="57" t="s">
        <v>3702</v>
      </c>
      <c r="C229" s="57" t="s">
        <v>5243</v>
      </c>
      <c r="D229" s="57" t="s">
        <v>5244</v>
      </c>
      <c r="E229" s="57" t="s">
        <v>5237</v>
      </c>
      <c r="F229" s="57" t="s">
        <v>5238</v>
      </c>
      <c r="G229" s="57" t="s">
        <v>3705</v>
      </c>
      <c r="H229" s="57" t="s">
        <v>3556</v>
      </c>
      <c r="I229" s="57" t="s">
        <v>3557</v>
      </c>
      <c r="J229" s="57" t="s">
        <v>4441</v>
      </c>
      <c r="K229" s="57" t="s">
        <v>4442</v>
      </c>
    </row>
    <row r="230" spans="1:11" ht="60" customHeight="1">
      <c r="A230" s="57" t="s">
        <v>5245</v>
      </c>
      <c r="B230" s="57" t="s">
        <v>3702</v>
      </c>
      <c r="C230" s="57" t="s">
        <v>5246</v>
      </c>
      <c r="D230" s="57" t="s">
        <v>5247</v>
      </c>
      <c r="E230" s="57" t="s">
        <v>5237</v>
      </c>
      <c r="F230" s="57" t="s">
        <v>5248</v>
      </c>
      <c r="G230" s="57" t="s">
        <v>3705</v>
      </c>
      <c r="H230" s="57" t="s">
        <v>3556</v>
      </c>
      <c r="I230" s="57" t="s">
        <v>3557</v>
      </c>
      <c r="J230" s="57" t="s">
        <v>4441</v>
      </c>
      <c r="K230" s="57" t="s">
        <v>4442</v>
      </c>
    </row>
    <row r="231" spans="1:11" ht="60" customHeight="1">
      <c r="A231" s="57" t="s">
        <v>5249</v>
      </c>
      <c r="B231" s="57" t="s">
        <v>3702</v>
      </c>
      <c r="C231" s="57" t="s">
        <v>5250</v>
      </c>
      <c r="D231" s="57" t="s">
        <v>5251</v>
      </c>
      <c r="E231" s="57" t="s">
        <v>5237</v>
      </c>
      <c r="F231" s="57" t="s">
        <v>5248</v>
      </c>
      <c r="G231" s="57" t="s">
        <v>3705</v>
      </c>
      <c r="H231" s="57" t="s">
        <v>3556</v>
      </c>
      <c r="I231" s="57" t="s">
        <v>3557</v>
      </c>
      <c r="J231" s="57" t="s">
        <v>4441</v>
      </c>
      <c r="K231" s="57" t="s">
        <v>4442</v>
      </c>
    </row>
    <row r="232" spans="1:11" ht="60" customHeight="1">
      <c r="A232" s="57" t="s">
        <v>5252</v>
      </c>
      <c r="B232" s="57" t="s">
        <v>3702</v>
      </c>
      <c r="C232" s="57" t="s">
        <v>5253</v>
      </c>
      <c r="D232" s="57" t="s">
        <v>5254</v>
      </c>
      <c r="E232" s="57" t="s">
        <v>5237</v>
      </c>
      <c r="F232" s="57" t="s">
        <v>5255</v>
      </c>
      <c r="G232" s="57" t="s">
        <v>3705</v>
      </c>
      <c r="H232" s="57" t="s">
        <v>3556</v>
      </c>
      <c r="I232" s="57" t="s">
        <v>3557</v>
      </c>
      <c r="J232" s="57" t="s">
        <v>4441</v>
      </c>
      <c r="K232" s="57" t="s">
        <v>4442</v>
      </c>
    </row>
    <row r="233" spans="1:11" ht="60" customHeight="1">
      <c r="A233" s="57" t="s">
        <v>5256</v>
      </c>
      <c r="B233" s="57" t="s">
        <v>3702</v>
      </c>
      <c r="C233" s="57" t="s">
        <v>5257</v>
      </c>
      <c r="D233" s="57" t="s">
        <v>4481</v>
      </c>
      <c r="E233" s="57" t="s">
        <v>5258</v>
      </c>
      <c r="F233" s="57" t="s">
        <v>5259</v>
      </c>
      <c r="G233" s="57" t="s">
        <v>3705</v>
      </c>
      <c r="H233" s="57" t="s">
        <v>3556</v>
      </c>
      <c r="I233" s="57" t="s">
        <v>3557</v>
      </c>
      <c r="J233" s="57" t="s">
        <v>4441</v>
      </c>
      <c r="K233" s="57" t="s">
        <v>4442</v>
      </c>
    </row>
    <row r="234" spans="1:11" ht="60" customHeight="1">
      <c r="A234" s="57" t="s">
        <v>5260</v>
      </c>
      <c r="B234" s="57" t="s">
        <v>3702</v>
      </c>
      <c r="C234" s="57" t="s">
        <v>5261</v>
      </c>
      <c r="D234" s="57" t="s">
        <v>4481</v>
      </c>
      <c r="E234" s="57" t="s">
        <v>4482</v>
      </c>
      <c r="F234" s="57" t="s">
        <v>5224</v>
      </c>
      <c r="G234" s="57" t="s">
        <v>3705</v>
      </c>
      <c r="H234" s="57" t="s">
        <v>3556</v>
      </c>
      <c r="I234" s="57" t="s">
        <v>3557</v>
      </c>
      <c r="J234" s="57" t="s">
        <v>4441</v>
      </c>
      <c r="K234" s="57" t="s">
        <v>4442</v>
      </c>
    </row>
    <row r="235" spans="1:11" ht="60" customHeight="1">
      <c r="A235" s="57" t="s">
        <v>5262</v>
      </c>
      <c r="B235" s="57" t="s">
        <v>3702</v>
      </c>
      <c r="C235" s="57" t="s">
        <v>5263</v>
      </c>
      <c r="D235" s="57" t="s">
        <v>4481</v>
      </c>
      <c r="E235" s="57" t="s">
        <v>5264</v>
      </c>
      <c r="F235" s="57" t="s">
        <v>4604</v>
      </c>
      <c r="G235" s="57" t="s">
        <v>3705</v>
      </c>
      <c r="H235" s="57" t="s">
        <v>3556</v>
      </c>
      <c r="I235" s="57" t="s">
        <v>3557</v>
      </c>
      <c r="J235" s="57" t="s">
        <v>4441</v>
      </c>
      <c r="K235" s="57" t="s">
        <v>4442</v>
      </c>
    </row>
    <row r="236" spans="1:11" ht="60" customHeight="1">
      <c r="A236" s="57" t="s">
        <v>5265</v>
      </c>
      <c r="B236" s="57" t="s">
        <v>3702</v>
      </c>
      <c r="C236" s="57" t="s">
        <v>5266</v>
      </c>
      <c r="D236" s="57" t="s">
        <v>4752</v>
      </c>
      <c r="E236" s="57" t="s">
        <v>5267</v>
      </c>
      <c r="F236" s="57" t="s">
        <v>5268</v>
      </c>
      <c r="G236" s="57" t="s">
        <v>3705</v>
      </c>
      <c r="H236" s="57" t="s">
        <v>3556</v>
      </c>
      <c r="I236" s="57" t="s">
        <v>3557</v>
      </c>
      <c r="J236" s="57" t="s">
        <v>4441</v>
      </c>
      <c r="K236" s="57" t="s">
        <v>4442</v>
      </c>
    </row>
    <row r="237" spans="1:11" ht="60" customHeight="1">
      <c r="A237" s="57" t="s">
        <v>5269</v>
      </c>
      <c r="B237" s="57" t="s">
        <v>3702</v>
      </c>
      <c r="C237" s="57" t="s">
        <v>5270</v>
      </c>
      <c r="D237" s="57" t="s">
        <v>5271</v>
      </c>
      <c r="E237" s="57" t="s">
        <v>5272</v>
      </c>
      <c r="F237" s="57" t="s">
        <v>5272</v>
      </c>
      <c r="G237" s="57" t="s">
        <v>3705</v>
      </c>
      <c r="H237" s="57" t="s">
        <v>3556</v>
      </c>
      <c r="I237" s="57" t="s">
        <v>3557</v>
      </c>
      <c r="J237" s="57" t="s">
        <v>4441</v>
      </c>
      <c r="K237" s="57" t="s">
        <v>4442</v>
      </c>
    </row>
    <row r="238" spans="1:11" ht="60" customHeight="1">
      <c r="A238" s="57" t="s">
        <v>5273</v>
      </c>
      <c r="B238" s="57" t="s">
        <v>3702</v>
      </c>
      <c r="C238" s="57" t="s">
        <v>5274</v>
      </c>
      <c r="D238" s="57" t="s">
        <v>5275</v>
      </c>
      <c r="E238" s="57" t="s">
        <v>5272</v>
      </c>
      <c r="F238" s="57" t="s">
        <v>5272</v>
      </c>
      <c r="G238" s="57" t="s">
        <v>3705</v>
      </c>
      <c r="H238" s="57" t="s">
        <v>3556</v>
      </c>
      <c r="I238" s="57" t="s">
        <v>3557</v>
      </c>
      <c r="J238" s="57" t="s">
        <v>4441</v>
      </c>
      <c r="K238" s="57" t="s">
        <v>4442</v>
      </c>
    </row>
    <row r="239" spans="1:11" ht="60" customHeight="1">
      <c r="A239" s="57" t="s">
        <v>5276</v>
      </c>
      <c r="B239" s="57" t="s">
        <v>3702</v>
      </c>
      <c r="C239" s="57" t="s">
        <v>5277</v>
      </c>
      <c r="D239" s="57" t="s">
        <v>5278</v>
      </c>
      <c r="E239" s="57" t="s">
        <v>5279</v>
      </c>
      <c r="F239" s="57" t="s">
        <v>5272</v>
      </c>
      <c r="G239" s="57" t="s">
        <v>3705</v>
      </c>
      <c r="H239" s="57" t="s">
        <v>3556</v>
      </c>
      <c r="I239" s="57" t="s">
        <v>3557</v>
      </c>
      <c r="J239" s="57" t="s">
        <v>4441</v>
      </c>
      <c r="K239" s="57" t="s">
        <v>4442</v>
      </c>
    </row>
    <row r="240" spans="1:11" ht="60" customHeight="1">
      <c r="A240" s="57" t="s">
        <v>5280</v>
      </c>
      <c r="B240" s="57" t="s">
        <v>3708</v>
      </c>
      <c r="C240" s="57" t="s">
        <v>5281</v>
      </c>
      <c r="D240" s="57" t="s">
        <v>5282</v>
      </c>
      <c r="E240" s="57" t="s">
        <v>4661</v>
      </c>
      <c r="F240" s="57" t="s">
        <v>5283</v>
      </c>
      <c r="G240" s="57" t="s">
        <v>3710</v>
      </c>
      <c r="H240" s="57" t="s">
        <v>1243</v>
      </c>
      <c r="I240" s="57" t="s">
        <v>1821</v>
      </c>
      <c r="J240" s="57" t="s">
        <v>4441</v>
      </c>
      <c r="K240" s="57" t="s">
        <v>4442</v>
      </c>
    </row>
    <row r="241" spans="1:11" ht="60" customHeight="1">
      <c r="A241" s="57" t="s">
        <v>5284</v>
      </c>
      <c r="B241" s="57" t="s">
        <v>3708</v>
      </c>
      <c r="C241" s="57" t="s">
        <v>5285</v>
      </c>
      <c r="D241" s="57" t="s">
        <v>5286</v>
      </c>
      <c r="E241" s="57" t="s">
        <v>4482</v>
      </c>
      <c r="F241" s="57" t="s">
        <v>5287</v>
      </c>
      <c r="G241" s="57" t="s">
        <v>3710</v>
      </c>
      <c r="H241" s="57" t="s">
        <v>1243</v>
      </c>
      <c r="I241" s="57" t="s">
        <v>1821</v>
      </c>
      <c r="J241" s="57" t="s">
        <v>4441</v>
      </c>
      <c r="K241" s="57" t="s">
        <v>4442</v>
      </c>
    </row>
    <row r="242" spans="1:11" ht="60" customHeight="1">
      <c r="A242" s="57" t="s">
        <v>5288</v>
      </c>
      <c r="B242" s="57" t="s">
        <v>3708</v>
      </c>
      <c r="C242" s="57" t="s">
        <v>5289</v>
      </c>
      <c r="D242" s="57" t="s">
        <v>5290</v>
      </c>
      <c r="E242" s="57" t="s">
        <v>4595</v>
      </c>
      <c r="F242" s="57" t="s">
        <v>4440</v>
      </c>
      <c r="G242" s="57" t="s">
        <v>3710</v>
      </c>
      <c r="H242" s="57" t="s">
        <v>1243</v>
      </c>
      <c r="I242" s="57" t="s">
        <v>1821</v>
      </c>
      <c r="J242" s="57" t="s">
        <v>4441</v>
      </c>
      <c r="K242" s="57" t="s">
        <v>4442</v>
      </c>
    </row>
    <row r="243" spans="1:11" ht="60" customHeight="1">
      <c r="A243" s="57" t="s">
        <v>5291</v>
      </c>
      <c r="B243" s="57" t="s">
        <v>3708</v>
      </c>
      <c r="C243" s="57" t="s">
        <v>5292</v>
      </c>
      <c r="D243" s="57" t="s">
        <v>4438</v>
      </c>
      <c r="E243" s="57" t="s">
        <v>4595</v>
      </c>
      <c r="F243" s="57" t="s">
        <v>4440</v>
      </c>
      <c r="G243" s="57" t="s">
        <v>3710</v>
      </c>
      <c r="H243" s="57" t="s">
        <v>1243</v>
      </c>
      <c r="I243" s="57" t="s">
        <v>1821</v>
      </c>
      <c r="J243" s="57" t="s">
        <v>4441</v>
      </c>
      <c r="K243" s="57" t="s">
        <v>4442</v>
      </c>
    </row>
    <row r="244" spans="1:11" ht="60" customHeight="1">
      <c r="A244" s="57" t="s">
        <v>5293</v>
      </c>
      <c r="B244" s="57" t="s">
        <v>3708</v>
      </c>
      <c r="C244" s="57" t="s">
        <v>5294</v>
      </c>
      <c r="D244" s="57" t="s">
        <v>5295</v>
      </c>
      <c r="E244" s="57" t="s">
        <v>5296</v>
      </c>
      <c r="F244" s="57" t="s">
        <v>5297</v>
      </c>
      <c r="G244" s="57" t="s">
        <v>3710</v>
      </c>
      <c r="H244" s="57" t="s">
        <v>1243</v>
      </c>
      <c r="I244" s="57" t="s">
        <v>1821</v>
      </c>
      <c r="J244" s="57" t="s">
        <v>4441</v>
      </c>
      <c r="K244" s="57" t="s">
        <v>4442</v>
      </c>
    </row>
    <row r="245" spans="1:11" ht="60" customHeight="1">
      <c r="A245" s="57" t="s">
        <v>5298</v>
      </c>
      <c r="B245" s="57" t="s">
        <v>3708</v>
      </c>
      <c r="C245" s="57" t="s">
        <v>5299</v>
      </c>
      <c r="D245" s="57" t="s">
        <v>5300</v>
      </c>
      <c r="E245" s="57" t="s">
        <v>4934</v>
      </c>
      <c r="F245" s="57" t="s">
        <v>5301</v>
      </c>
      <c r="G245" s="57" t="s">
        <v>3710</v>
      </c>
      <c r="H245" s="57" t="s">
        <v>1243</v>
      </c>
      <c r="I245" s="57" t="s">
        <v>1821</v>
      </c>
      <c r="J245" s="57" t="s">
        <v>4441</v>
      </c>
      <c r="K245" s="57" t="s">
        <v>4442</v>
      </c>
    </row>
    <row r="246" spans="1:11" ht="60" customHeight="1">
      <c r="A246" s="57" t="s">
        <v>5302</v>
      </c>
      <c r="B246" s="57" t="s">
        <v>3708</v>
      </c>
      <c r="C246" s="57" t="s">
        <v>5303</v>
      </c>
      <c r="D246" s="57" t="s">
        <v>4476</v>
      </c>
      <c r="E246" s="57" t="s">
        <v>5304</v>
      </c>
      <c r="F246" s="57" t="s">
        <v>5305</v>
      </c>
      <c r="G246" s="57" t="s">
        <v>3710</v>
      </c>
      <c r="H246" s="57" t="s">
        <v>1243</v>
      </c>
      <c r="I246" s="57" t="s">
        <v>1821</v>
      </c>
      <c r="J246" s="57" t="s">
        <v>4441</v>
      </c>
      <c r="K246" s="57" t="s">
        <v>4442</v>
      </c>
    </row>
    <row r="247" spans="1:11" ht="60" customHeight="1">
      <c r="A247" s="57" t="s">
        <v>5306</v>
      </c>
      <c r="B247" s="57" t="s">
        <v>3708</v>
      </c>
      <c r="C247" s="57" t="s">
        <v>5307</v>
      </c>
      <c r="D247" s="57" t="s">
        <v>4481</v>
      </c>
      <c r="E247" s="57" t="s">
        <v>4595</v>
      </c>
      <c r="F247" s="57" t="s">
        <v>5308</v>
      </c>
      <c r="G247" s="57" t="s">
        <v>3710</v>
      </c>
      <c r="H247" s="57" t="s">
        <v>1243</v>
      </c>
      <c r="I247" s="57" t="s">
        <v>1821</v>
      </c>
      <c r="J247" s="57" t="s">
        <v>4441</v>
      </c>
      <c r="K247" s="57" t="s">
        <v>4442</v>
      </c>
    </row>
    <row r="248" spans="1:11" ht="60" customHeight="1">
      <c r="A248" s="57" t="s">
        <v>5309</v>
      </c>
      <c r="B248" s="57" t="s">
        <v>3708</v>
      </c>
      <c r="C248" s="57" t="s">
        <v>4876</v>
      </c>
      <c r="D248" s="57" t="s">
        <v>4481</v>
      </c>
      <c r="E248" s="57" t="s">
        <v>4482</v>
      </c>
      <c r="F248" s="57" t="s">
        <v>4689</v>
      </c>
      <c r="G248" s="57" t="s">
        <v>3710</v>
      </c>
      <c r="H248" s="57" t="s">
        <v>1243</v>
      </c>
      <c r="I248" s="57" t="s">
        <v>1821</v>
      </c>
      <c r="J248" s="57" t="s">
        <v>4441</v>
      </c>
      <c r="K248" s="57" t="s">
        <v>4442</v>
      </c>
    </row>
    <row r="249" spans="1:11" ht="60" customHeight="1">
      <c r="A249" s="57" t="s">
        <v>5310</v>
      </c>
      <c r="B249" s="57" t="s">
        <v>3708</v>
      </c>
      <c r="C249" s="57" t="s">
        <v>5311</v>
      </c>
      <c r="D249" s="57" t="s">
        <v>4533</v>
      </c>
      <c r="E249" s="57" t="s">
        <v>5296</v>
      </c>
      <c r="F249" s="57" t="s">
        <v>4440</v>
      </c>
      <c r="G249" s="57" t="s">
        <v>3710</v>
      </c>
      <c r="H249" s="57" t="s">
        <v>1243</v>
      </c>
      <c r="I249" s="57" t="s">
        <v>1821</v>
      </c>
      <c r="J249" s="57" t="s">
        <v>4441</v>
      </c>
      <c r="K249" s="57" t="s">
        <v>4442</v>
      </c>
    </row>
    <row r="250" spans="1:11" ht="60" customHeight="1">
      <c r="A250" s="57" t="s">
        <v>5312</v>
      </c>
      <c r="B250" s="57" t="s">
        <v>3708</v>
      </c>
      <c r="C250" s="57" t="s">
        <v>5313</v>
      </c>
      <c r="D250" s="57" t="s">
        <v>5314</v>
      </c>
      <c r="E250" s="57" t="s">
        <v>4661</v>
      </c>
      <c r="F250" s="57" t="s">
        <v>4440</v>
      </c>
      <c r="G250" s="57" t="s">
        <v>3710</v>
      </c>
      <c r="H250" s="57" t="s">
        <v>1243</v>
      </c>
      <c r="I250" s="57" t="s">
        <v>1821</v>
      </c>
      <c r="J250" s="57" t="s">
        <v>4441</v>
      </c>
      <c r="K250" s="57" t="s">
        <v>4442</v>
      </c>
    </row>
    <row r="251" spans="1:11" ht="60" customHeight="1">
      <c r="A251" s="57" t="s">
        <v>5315</v>
      </c>
      <c r="B251" s="57" t="s">
        <v>3713</v>
      </c>
      <c r="C251" s="57" t="s">
        <v>5316</v>
      </c>
      <c r="D251" s="57" t="s">
        <v>4615</v>
      </c>
      <c r="E251" s="57" t="s">
        <v>4616</v>
      </c>
      <c r="F251" s="57" t="s">
        <v>4616</v>
      </c>
      <c r="G251" s="57" t="s">
        <v>3715</v>
      </c>
      <c r="H251" s="57" t="s">
        <v>1243</v>
      </c>
      <c r="I251" s="57" t="s">
        <v>1821</v>
      </c>
      <c r="J251" s="57" t="s">
        <v>4617</v>
      </c>
      <c r="K251" s="57" t="s">
        <v>4618</v>
      </c>
    </row>
    <row r="252" spans="1:11" ht="60" customHeight="1">
      <c r="A252" s="57" t="s">
        <v>5317</v>
      </c>
      <c r="B252" s="57" t="s">
        <v>3718</v>
      </c>
      <c r="C252" s="57" t="s">
        <v>5318</v>
      </c>
      <c r="D252" s="57" t="s">
        <v>4615</v>
      </c>
      <c r="E252" s="57" t="s">
        <v>4616</v>
      </c>
      <c r="F252" s="57" t="s">
        <v>4616</v>
      </c>
      <c r="G252" s="57" t="s">
        <v>3721</v>
      </c>
      <c r="H252" s="57" t="s">
        <v>3556</v>
      </c>
      <c r="I252" s="57" t="s">
        <v>3557</v>
      </c>
      <c r="J252" s="57" t="s">
        <v>4617</v>
      </c>
      <c r="K252" s="57" t="s">
        <v>4618</v>
      </c>
    </row>
    <row r="253" spans="1:11" ht="60" customHeight="1">
      <c r="A253" s="57" t="s">
        <v>5319</v>
      </c>
      <c r="B253" s="57" t="s">
        <v>3724</v>
      </c>
      <c r="C253" s="57" t="s">
        <v>5320</v>
      </c>
      <c r="D253" s="57" t="s">
        <v>4615</v>
      </c>
      <c r="E253" s="57" t="s">
        <v>4616</v>
      </c>
      <c r="F253" s="57" t="s">
        <v>4616</v>
      </c>
      <c r="G253" s="57" t="s">
        <v>3726</v>
      </c>
      <c r="H253" s="57" t="s">
        <v>1243</v>
      </c>
      <c r="I253" s="57" t="s">
        <v>1821</v>
      </c>
      <c r="J253" s="57" t="s">
        <v>4617</v>
      </c>
      <c r="K253" s="57" t="s">
        <v>4618</v>
      </c>
    </row>
    <row r="254" spans="1:11" ht="60" customHeight="1">
      <c r="A254" s="57" t="s">
        <v>5321</v>
      </c>
      <c r="B254" s="57" t="s">
        <v>3729</v>
      </c>
      <c r="C254" s="57" t="s">
        <v>5322</v>
      </c>
      <c r="D254" s="57" t="s">
        <v>4502</v>
      </c>
      <c r="E254" s="57" t="s">
        <v>5156</v>
      </c>
      <c r="F254" s="57" t="s">
        <v>4543</v>
      </c>
      <c r="G254" s="57" t="s">
        <v>3731</v>
      </c>
      <c r="H254" s="57" t="s">
        <v>1243</v>
      </c>
      <c r="I254" s="57" t="s">
        <v>1821</v>
      </c>
      <c r="J254" s="57" t="s">
        <v>4441</v>
      </c>
      <c r="K254" s="57" t="s">
        <v>4442</v>
      </c>
    </row>
    <row r="255" spans="1:11" ht="60" customHeight="1">
      <c r="A255" s="57" t="s">
        <v>5323</v>
      </c>
      <c r="B255" s="57" t="s">
        <v>3729</v>
      </c>
      <c r="C255" s="57" t="s">
        <v>5324</v>
      </c>
      <c r="D255" s="57" t="s">
        <v>5325</v>
      </c>
      <c r="E255" s="57" t="s">
        <v>5156</v>
      </c>
      <c r="F255" s="57" t="s">
        <v>5326</v>
      </c>
      <c r="G255" s="57" t="s">
        <v>3731</v>
      </c>
      <c r="H255" s="57" t="s">
        <v>1243</v>
      </c>
      <c r="I255" s="57" t="s">
        <v>1821</v>
      </c>
      <c r="J255" s="57" t="s">
        <v>4441</v>
      </c>
      <c r="K255" s="57" t="s">
        <v>4442</v>
      </c>
    </row>
    <row r="256" spans="1:11" ht="60" customHeight="1">
      <c r="A256" s="57" t="s">
        <v>5327</v>
      </c>
      <c r="B256" s="57" t="s">
        <v>3729</v>
      </c>
      <c r="C256" s="57" t="s">
        <v>5328</v>
      </c>
      <c r="D256" s="57" t="s">
        <v>5278</v>
      </c>
      <c r="E256" s="57" t="s">
        <v>5156</v>
      </c>
      <c r="F256" s="57" t="s">
        <v>4440</v>
      </c>
      <c r="G256" s="57" t="s">
        <v>3731</v>
      </c>
      <c r="H256" s="57" t="s">
        <v>1243</v>
      </c>
      <c r="I256" s="57" t="s">
        <v>1821</v>
      </c>
      <c r="J256" s="57" t="s">
        <v>4441</v>
      </c>
      <c r="K256" s="57" t="s">
        <v>4442</v>
      </c>
    </row>
    <row r="257" spans="1:11" ht="60" customHeight="1">
      <c r="A257" s="57" t="s">
        <v>5329</v>
      </c>
      <c r="B257" s="57" t="s">
        <v>3729</v>
      </c>
      <c r="C257" s="57" t="s">
        <v>5330</v>
      </c>
      <c r="D257" s="57" t="s">
        <v>5331</v>
      </c>
      <c r="E257" s="57" t="s">
        <v>5156</v>
      </c>
      <c r="F257" s="57" t="s">
        <v>5332</v>
      </c>
      <c r="G257" s="57" t="s">
        <v>3731</v>
      </c>
      <c r="H257" s="57" t="s">
        <v>1243</v>
      </c>
      <c r="I257" s="57" t="s">
        <v>1821</v>
      </c>
      <c r="J257" s="57" t="s">
        <v>4441</v>
      </c>
      <c r="K257" s="57" t="s">
        <v>4442</v>
      </c>
    </row>
    <row r="258" spans="1:11" ht="60" customHeight="1">
      <c r="A258" s="57" t="s">
        <v>5333</v>
      </c>
      <c r="B258" s="57" t="s">
        <v>3729</v>
      </c>
      <c r="C258" s="57" t="s">
        <v>5334</v>
      </c>
      <c r="D258" s="57" t="s">
        <v>5335</v>
      </c>
      <c r="E258" s="57" t="s">
        <v>5156</v>
      </c>
      <c r="F258" s="57" t="s">
        <v>4440</v>
      </c>
      <c r="G258" s="57" t="s">
        <v>3731</v>
      </c>
      <c r="H258" s="57" t="s">
        <v>1243</v>
      </c>
      <c r="I258" s="57" t="s">
        <v>1821</v>
      </c>
      <c r="J258" s="57" t="s">
        <v>4441</v>
      </c>
      <c r="K258" s="57" t="s">
        <v>4442</v>
      </c>
    </row>
    <row r="259" spans="1:11" ht="60" customHeight="1">
      <c r="A259" s="57" t="s">
        <v>5336</v>
      </c>
      <c r="B259" s="57" t="s">
        <v>3729</v>
      </c>
      <c r="C259" s="57" t="s">
        <v>5337</v>
      </c>
      <c r="D259" s="57" t="s">
        <v>5325</v>
      </c>
      <c r="E259" s="57" t="s">
        <v>5156</v>
      </c>
      <c r="F259" s="57" t="s">
        <v>4440</v>
      </c>
      <c r="G259" s="57" t="s">
        <v>3731</v>
      </c>
      <c r="H259" s="57" t="s">
        <v>1243</v>
      </c>
      <c r="I259" s="57" t="s">
        <v>1821</v>
      </c>
      <c r="J259" s="57" t="s">
        <v>4441</v>
      </c>
      <c r="K259" s="57" t="s">
        <v>4442</v>
      </c>
    </row>
    <row r="260" spans="1:11" ht="60" customHeight="1">
      <c r="A260" s="57" t="s">
        <v>5338</v>
      </c>
      <c r="B260" s="57" t="s">
        <v>3729</v>
      </c>
      <c r="C260" s="57" t="s">
        <v>5339</v>
      </c>
      <c r="D260" s="57" t="s">
        <v>4481</v>
      </c>
      <c r="E260" s="57" t="s">
        <v>5185</v>
      </c>
      <c r="F260" s="57" t="s">
        <v>5340</v>
      </c>
      <c r="G260" s="57" t="s">
        <v>3731</v>
      </c>
      <c r="H260" s="57" t="s">
        <v>1243</v>
      </c>
      <c r="I260" s="57" t="s">
        <v>1821</v>
      </c>
      <c r="J260" s="57" t="s">
        <v>4441</v>
      </c>
      <c r="K260" s="57" t="s">
        <v>4442</v>
      </c>
    </row>
    <row r="261" spans="1:11" ht="60" customHeight="1">
      <c r="A261" s="57" t="s">
        <v>5341</v>
      </c>
      <c r="B261" s="57" t="s">
        <v>3729</v>
      </c>
      <c r="C261" s="57" t="s">
        <v>5342</v>
      </c>
      <c r="D261" s="57" t="s">
        <v>4680</v>
      </c>
      <c r="E261" s="57" t="s">
        <v>5185</v>
      </c>
      <c r="F261" s="57" t="s">
        <v>5343</v>
      </c>
      <c r="G261" s="57" t="s">
        <v>3731</v>
      </c>
      <c r="H261" s="57" t="s">
        <v>1243</v>
      </c>
      <c r="I261" s="57" t="s">
        <v>1821</v>
      </c>
      <c r="J261" s="57" t="s">
        <v>4441</v>
      </c>
      <c r="K261" s="57" t="s">
        <v>4442</v>
      </c>
    </row>
    <row r="262" spans="1:11" ht="60" customHeight="1">
      <c r="A262" s="57" t="s">
        <v>5344</v>
      </c>
      <c r="B262" s="57" t="s">
        <v>3729</v>
      </c>
      <c r="C262" s="57" t="s">
        <v>5345</v>
      </c>
      <c r="D262" s="57" t="s">
        <v>5346</v>
      </c>
      <c r="E262" s="57" t="s">
        <v>5185</v>
      </c>
      <c r="F262" s="57" t="s">
        <v>5347</v>
      </c>
      <c r="G262" s="57" t="s">
        <v>3731</v>
      </c>
      <c r="H262" s="57" t="s">
        <v>1243</v>
      </c>
      <c r="I262" s="57" t="s">
        <v>1821</v>
      </c>
      <c r="J262" s="57" t="s">
        <v>4441</v>
      </c>
      <c r="K262" s="57" t="s">
        <v>4442</v>
      </c>
    </row>
    <row r="263" spans="1:11" ht="60" customHeight="1">
      <c r="A263" s="57" t="s">
        <v>5348</v>
      </c>
      <c r="B263" s="57" t="s">
        <v>3729</v>
      </c>
      <c r="C263" s="57" t="s">
        <v>5349</v>
      </c>
      <c r="D263" s="57" t="s">
        <v>4476</v>
      </c>
      <c r="E263" s="57" t="s">
        <v>4459</v>
      </c>
      <c r="F263" s="57" t="s">
        <v>4440</v>
      </c>
      <c r="G263" s="57" t="s">
        <v>3731</v>
      </c>
      <c r="H263" s="57" t="s">
        <v>1243</v>
      </c>
      <c r="I263" s="57" t="s">
        <v>1821</v>
      </c>
      <c r="J263" s="57" t="s">
        <v>4441</v>
      </c>
      <c r="K263" s="57" t="s">
        <v>4442</v>
      </c>
    </row>
    <row r="264" spans="1:11" ht="60" customHeight="1">
      <c r="A264" s="57" t="s">
        <v>5350</v>
      </c>
      <c r="B264" s="57" t="s">
        <v>3729</v>
      </c>
      <c r="C264" s="57" t="s">
        <v>5351</v>
      </c>
      <c r="D264" s="57" t="s">
        <v>4742</v>
      </c>
      <c r="E264" s="57" t="s">
        <v>5156</v>
      </c>
      <c r="F264" s="57" t="s">
        <v>5352</v>
      </c>
      <c r="G264" s="57" t="s">
        <v>3731</v>
      </c>
      <c r="H264" s="57" t="s">
        <v>1243</v>
      </c>
      <c r="I264" s="57" t="s">
        <v>1821</v>
      </c>
      <c r="J264" s="57" t="s">
        <v>4441</v>
      </c>
      <c r="K264" s="57" t="s">
        <v>4442</v>
      </c>
    </row>
    <row r="265" spans="1:11" ht="60" customHeight="1">
      <c r="A265" s="57" t="s">
        <v>5353</v>
      </c>
      <c r="B265" s="57" t="s">
        <v>3729</v>
      </c>
      <c r="C265" s="57" t="s">
        <v>5354</v>
      </c>
      <c r="D265" s="57" t="s">
        <v>4752</v>
      </c>
      <c r="E265" s="57" t="s">
        <v>5156</v>
      </c>
      <c r="F265" s="57" t="s">
        <v>5355</v>
      </c>
      <c r="G265" s="57" t="s">
        <v>3731</v>
      </c>
      <c r="H265" s="57" t="s">
        <v>1243</v>
      </c>
      <c r="I265" s="57" t="s">
        <v>1821</v>
      </c>
      <c r="J265" s="57" t="s">
        <v>4441</v>
      </c>
      <c r="K265" s="57" t="s">
        <v>4442</v>
      </c>
    </row>
    <row r="266" spans="1:11" ht="60" customHeight="1">
      <c r="A266" s="57" t="s">
        <v>5356</v>
      </c>
      <c r="B266" s="57" t="s">
        <v>3734</v>
      </c>
      <c r="C266" s="57" t="s">
        <v>5357</v>
      </c>
      <c r="D266" s="57" t="s">
        <v>4615</v>
      </c>
      <c r="E266" s="57" t="s">
        <v>4616</v>
      </c>
      <c r="F266" s="57" t="s">
        <v>4616</v>
      </c>
      <c r="G266" s="57" t="s">
        <v>3737</v>
      </c>
      <c r="H266" s="57" t="s">
        <v>108</v>
      </c>
      <c r="I266" s="57" t="s">
        <v>1791</v>
      </c>
      <c r="J266" s="57" t="s">
        <v>4617</v>
      </c>
      <c r="K266" s="57" t="s">
        <v>4618</v>
      </c>
    </row>
    <row r="267" spans="1:11" ht="60" customHeight="1">
      <c r="A267" s="57" t="s">
        <v>5358</v>
      </c>
      <c r="B267" s="57" t="s">
        <v>3740</v>
      </c>
      <c r="C267" s="57" t="s">
        <v>5359</v>
      </c>
      <c r="D267" s="57" t="s">
        <v>4615</v>
      </c>
      <c r="E267" s="57" t="s">
        <v>4616</v>
      </c>
      <c r="F267" s="57" t="s">
        <v>4616</v>
      </c>
      <c r="G267" s="57" t="s">
        <v>3742</v>
      </c>
      <c r="H267" s="57" t="s">
        <v>108</v>
      </c>
      <c r="I267" s="57" t="s">
        <v>1791</v>
      </c>
      <c r="J267" s="57" t="s">
        <v>4617</v>
      </c>
      <c r="K267" s="57" t="s">
        <v>4618</v>
      </c>
    </row>
    <row r="268" spans="1:11" ht="60" customHeight="1">
      <c r="A268" s="57" t="s">
        <v>5360</v>
      </c>
      <c r="B268" s="57" t="s">
        <v>3743</v>
      </c>
      <c r="C268" s="57" t="s">
        <v>5361</v>
      </c>
      <c r="D268" s="57" t="s">
        <v>4615</v>
      </c>
      <c r="E268" s="57" t="s">
        <v>4616</v>
      </c>
      <c r="F268" s="57" t="s">
        <v>4616</v>
      </c>
      <c r="G268" s="57" t="s">
        <v>3745</v>
      </c>
      <c r="H268" s="57" t="s">
        <v>1243</v>
      </c>
      <c r="I268" s="57" t="s">
        <v>1821</v>
      </c>
      <c r="J268" s="57" t="s">
        <v>4617</v>
      </c>
      <c r="K268" s="57" t="s">
        <v>4618</v>
      </c>
    </row>
    <row r="269" spans="1:11" ht="60" customHeight="1">
      <c r="A269" s="57" t="s">
        <v>5362</v>
      </c>
      <c r="B269" s="57" t="s">
        <v>3746</v>
      </c>
      <c r="C269" s="57" t="s">
        <v>5363</v>
      </c>
      <c r="D269" s="57" t="s">
        <v>4615</v>
      </c>
      <c r="E269" s="57" t="s">
        <v>4616</v>
      </c>
      <c r="F269" s="57" t="s">
        <v>4616</v>
      </c>
      <c r="G269" s="57" t="s">
        <v>3748</v>
      </c>
      <c r="H269" s="57" t="s">
        <v>108</v>
      </c>
      <c r="I269" s="57" t="s">
        <v>1791</v>
      </c>
      <c r="J269" s="57" t="s">
        <v>4617</v>
      </c>
      <c r="K269" s="57" t="s">
        <v>4618</v>
      </c>
    </row>
    <row r="270" spans="1:11" ht="60" customHeight="1">
      <c r="A270" s="57" t="s">
        <v>5364</v>
      </c>
      <c r="B270" s="57" t="s">
        <v>3749</v>
      </c>
      <c r="C270" s="57" t="s">
        <v>5365</v>
      </c>
      <c r="D270" s="57" t="s">
        <v>4615</v>
      </c>
      <c r="E270" s="57" t="s">
        <v>4616</v>
      </c>
      <c r="F270" s="57" t="s">
        <v>4616</v>
      </c>
      <c r="G270" s="57" t="s">
        <v>3751</v>
      </c>
      <c r="H270" s="57" t="s">
        <v>108</v>
      </c>
      <c r="I270" s="57" t="s">
        <v>1791</v>
      </c>
      <c r="J270" s="57" t="s">
        <v>4617</v>
      </c>
      <c r="K270" s="57" t="s">
        <v>4618</v>
      </c>
    </row>
    <row r="271" spans="1:11" ht="60" customHeight="1">
      <c r="A271" s="57" t="s">
        <v>5366</v>
      </c>
      <c r="B271" s="57" t="s">
        <v>3752</v>
      </c>
      <c r="C271" s="57" t="s">
        <v>5367</v>
      </c>
      <c r="D271" s="57" t="s">
        <v>4615</v>
      </c>
      <c r="E271" s="57" t="s">
        <v>4616</v>
      </c>
      <c r="F271" s="57" t="s">
        <v>4616</v>
      </c>
      <c r="G271" s="57" t="s">
        <v>3754</v>
      </c>
      <c r="H271" s="57" t="s">
        <v>1243</v>
      </c>
      <c r="I271" s="57" t="s">
        <v>1821</v>
      </c>
      <c r="J271" s="57" t="s">
        <v>4617</v>
      </c>
      <c r="K271" s="57" t="s">
        <v>4618</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29"/>
  <sheetViews>
    <sheetView workbookViewId="0"/>
  </sheetViews>
  <sheetFormatPr defaultRowHeight="14.25"/>
  <cols>
    <col min="1" max="1" width="16" customWidth="1"/>
    <col min="2" max="2" width="28" customWidth="1"/>
    <col min="3" max="3" width="45" customWidth="1"/>
    <col min="4" max="4" width="55" customWidth="1"/>
    <col min="5" max="5" width="44" customWidth="1"/>
  </cols>
  <sheetData>
    <row r="1" spans="1:5" ht="30" customHeight="1">
      <c r="A1" s="56" t="s">
        <v>2392</v>
      </c>
      <c r="B1" s="56" t="s">
        <v>3412</v>
      </c>
      <c r="C1" s="56" t="s">
        <v>5368</v>
      </c>
      <c r="D1" s="56" t="s">
        <v>5369</v>
      </c>
      <c r="E1" s="56" t="s">
        <v>2892</v>
      </c>
    </row>
    <row r="2" spans="1:5" ht="60" customHeight="1">
      <c r="A2" s="57" t="s">
        <v>1791</v>
      </c>
      <c r="B2" s="57" t="s">
        <v>5370</v>
      </c>
      <c r="C2" s="57"/>
      <c r="D2" s="57" t="s">
        <v>1792</v>
      </c>
      <c r="E2" s="57" t="s">
        <v>5371</v>
      </c>
    </row>
    <row r="3" spans="1:5" ht="60" customHeight="1">
      <c r="A3" s="57" t="s">
        <v>1817</v>
      </c>
      <c r="B3" s="57" t="s">
        <v>5370</v>
      </c>
      <c r="C3" s="57"/>
      <c r="D3" s="57" t="s">
        <v>5372</v>
      </c>
      <c r="E3" s="57" t="s">
        <v>5371</v>
      </c>
    </row>
    <row r="4" spans="1:5" ht="60" customHeight="1">
      <c r="A4" s="57" t="s">
        <v>1821</v>
      </c>
      <c r="B4" s="57" t="s">
        <v>5370</v>
      </c>
      <c r="C4" s="57"/>
      <c r="D4" s="57" t="s">
        <v>1822</v>
      </c>
      <c r="E4" s="57" t="s">
        <v>5371</v>
      </c>
    </row>
    <row r="5" spans="1:5" ht="60" customHeight="1">
      <c r="A5" s="57" t="s">
        <v>737</v>
      </c>
      <c r="B5" s="57" t="s">
        <v>65</v>
      </c>
      <c r="C5" s="57" t="s">
        <v>3461</v>
      </c>
      <c r="D5" s="57" t="s">
        <v>5373</v>
      </c>
      <c r="E5" s="57" t="s">
        <v>5374</v>
      </c>
    </row>
    <row r="6" spans="1:5" ht="60" customHeight="1">
      <c r="A6" s="57" t="s">
        <v>812</v>
      </c>
      <c r="B6" s="57" t="s">
        <v>65</v>
      </c>
      <c r="C6" s="57" t="s">
        <v>2921</v>
      </c>
      <c r="D6" s="57" t="s">
        <v>1446</v>
      </c>
      <c r="E6" s="57" t="s">
        <v>5374</v>
      </c>
    </row>
    <row r="7" spans="1:5" ht="60" customHeight="1">
      <c r="A7" s="57" t="s">
        <v>1248</v>
      </c>
      <c r="B7" s="57" t="s">
        <v>65</v>
      </c>
      <c r="C7" s="57" t="s">
        <v>2976</v>
      </c>
      <c r="D7" s="57" t="s">
        <v>1786</v>
      </c>
      <c r="E7" s="57" t="s">
        <v>5374</v>
      </c>
    </row>
    <row r="8" spans="1:5" ht="60" customHeight="1">
      <c r="A8" s="57" t="s">
        <v>806</v>
      </c>
      <c r="B8" s="57" t="s">
        <v>92</v>
      </c>
      <c r="C8" s="57" t="s">
        <v>2761</v>
      </c>
      <c r="D8" s="57" t="s">
        <v>821</v>
      </c>
      <c r="E8" s="57" t="s">
        <v>5375</v>
      </c>
    </row>
    <row r="9" spans="1:5" ht="60" customHeight="1">
      <c r="A9" s="57" t="s">
        <v>737</v>
      </c>
      <c r="B9" s="57" t="s">
        <v>61</v>
      </c>
      <c r="C9" s="57" t="s">
        <v>3460</v>
      </c>
      <c r="D9" s="57" t="s">
        <v>742</v>
      </c>
      <c r="E9" s="57" t="s">
        <v>5376</v>
      </c>
    </row>
    <row r="10" spans="1:5" ht="60" customHeight="1">
      <c r="A10" s="57" t="s">
        <v>812</v>
      </c>
      <c r="B10" s="57" t="s">
        <v>61</v>
      </c>
      <c r="C10" s="57" t="s">
        <v>2954</v>
      </c>
      <c r="D10" s="57" t="s">
        <v>1445</v>
      </c>
      <c r="E10" s="57" t="s">
        <v>5377</v>
      </c>
    </row>
    <row r="11" spans="1:5" ht="60" customHeight="1">
      <c r="A11" s="57" t="s">
        <v>806</v>
      </c>
      <c r="B11" s="57" t="s">
        <v>61</v>
      </c>
      <c r="C11" s="57" t="s">
        <v>3476</v>
      </c>
      <c r="D11" s="57" t="s">
        <v>811</v>
      </c>
      <c r="E11" s="57" t="s">
        <v>5378</v>
      </c>
    </row>
    <row r="12" spans="1:5" ht="60" customHeight="1">
      <c r="A12" s="57" t="s">
        <v>489</v>
      </c>
      <c r="B12" s="57" t="s">
        <v>90</v>
      </c>
      <c r="C12" s="57" t="s">
        <v>5379</v>
      </c>
      <c r="D12" s="57" t="s">
        <v>5380</v>
      </c>
      <c r="E12" s="57" t="s">
        <v>5381</v>
      </c>
    </row>
    <row r="13" spans="1:5" ht="60" customHeight="1">
      <c r="A13" s="57" t="s">
        <v>1177</v>
      </c>
      <c r="B13" s="57" t="s">
        <v>90</v>
      </c>
      <c r="C13" s="57" t="s">
        <v>5379</v>
      </c>
      <c r="D13" s="57" t="s">
        <v>5382</v>
      </c>
      <c r="E13" s="57" t="s">
        <v>5381</v>
      </c>
    </row>
    <row r="14" spans="1:5" ht="60" customHeight="1">
      <c r="A14" s="57" t="s">
        <v>696</v>
      </c>
      <c r="B14" s="57" t="s">
        <v>90</v>
      </c>
      <c r="C14" s="57" t="s">
        <v>5379</v>
      </c>
      <c r="D14" s="57" t="s">
        <v>5383</v>
      </c>
      <c r="E14" s="57" t="s">
        <v>5381</v>
      </c>
    </row>
    <row r="15" spans="1:5" ht="60" customHeight="1">
      <c r="A15" s="57" t="s">
        <v>723</v>
      </c>
      <c r="B15" s="57" t="s">
        <v>90</v>
      </c>
      <c r="C15" s="57" t="s">
        <v>5379</v>
      </c>
      <c r="D15" s="57" t="s">
        <v>5384</v>
      </c>
      <c r="E15" s="57" t="s">
        <v>5381</v>
      </c>
    </row>
    <row r="16" spans="1:5" ht="60" customHeight="1">
      <c r="A16" s="57" t="s">
        <v>451</v>
      </c>
      <c r="B16" s="57" t="s">
        <v>90</v>
      </c>
      <c r="C16" s="57" t="s">
        <v>5379</v>
      </c>
      <c r="D16" s="57" t="s">
        <v>5385</v>
      </c>
      <c r="E16" s="57" t="s">
        <v>5381</v>
      </c>
    </row>
    <row r="17" spans="1:5" ht="60" customHeight="1">
      <c r="A17" s="57" t="s">
        <v>610</v>
      </c>
      <c r="B17" s="57" t="s">
        <v>90</v>
      </c>
      <c r="C17" s="57" t="s">
        <v>5379</v>
      </c>
      <c r="D17" s="57" t="s">
        <v>5386</v>
      </c>
      <c r="E17" s="57" t="s">
        <v>5381</v>
      </c>
    </row>
    <row r="18" spans="1:5" ht="60" customHeight="1">
      <c r="A18" s="57" t="s">
        <v>622</v>
      </c>
      <c r="B18" s="57" t="s">
        <v>90</v>
      </c>
      <c r="C18" s="57" t="s">
        <v>5379</v>
      </c>
      <c r="D18" s="57" t="s">
        <v>5387</v>
      </c>
      <c r="E18" s="57" t="s">
        <v>5381</v>
      </c>
    </row>
    <row r="19" spans="1:5" ht="60" customHeight="1">
      <c r="A19" s="57" t="s">
        <v>629</v>
      </c>
      <c r="B19" s="57" t="s">
        <v>90</v>
      </c>
      <c r="C19" s="57" t="s">
        <v>5379</v>
      </c>
      <c r="D19" s="57" t="s">
        <v>5388</v>
      </c>
      <c r="E19" s="57" t="s">
        <v>5381</v>
      </c>
    </row>
    <row r="20" spans="1:5" ht="60" customHeight="1">
      <c r="A20" s="57" t="s">
        <v>1455</v>
      </c>
      <c r="B20" s="57" t="s">
        <v>90</v>
      </c>
      <c r="C20" s="57" t="s">
        <v>5379</v>
      </c>
      <c r="D20" s="57" t="s">
        <v>5389</v>
      </c>
      <c r="E20" s="57" t="s">
        <v>5381</v>
      </c>
    </row>
    <row r="21" spans="1:5" ht="60" customHeight="1">
      <c r="A21" s="57" t="s">
        <v>1766</v>
      </c>
      <c r="B21" s="57" t="s">
        <v>90</v>
      </c>
      <c r="C21" s="57" t="s">
        <v>5379</v>
      </c>
      <c r="D21" s="57" t="s">
        <v>5390</v>
      </c>
      <c r="E21" s="57" t="s">
        <v>5381</v>
      </c>
    </row>
    <row r="22" spans="1:5" ht="60" customHeight="1">
      <c r="A22" s="57" t="s">
        <v>1144</v>
      </c>
      <c r="B22" s="57" t="s">
        <v>90</v>
      </c>
      <c r="C22" s="57" t="s">
        <v>5379</v>
      </c>
      <c r="D22" s="57" t="s">
        <v>5391</v>
      </c>
      <c r="E22" s="57" t="s">
        <v>5381</v>
      </c>
    </row>
    <row r="23" spans="1:5" ht="60" customHeight="1">
      <c r="A23" s="57" t="s">
        <v>1149</v>
      </c>
      <c r="B23" s="57" t="s">
        <v>90</v>
      </c>
      <c r="C23" s="57" t="s">
        <v>5379</v>
      </c>
      <c r="D23" s="57" t="s">
        <v>5392</v>
      </c>
      <c r="E23" s="57" t="s">
        <v>5381</v>
      </c>
    </row>
    <row r="24" spans="1:5" ht="60" customHeight="1">
      <c r="A24" s="57" t="s">
        <v>642</v>
      </c>
      <c r="B24" s="57" t="s">
        <v>90</v>
      </c>
      <c r="C24" s="57" t="s">
        <v>5379</v>
      </c>
      <c r="D24" s="57" t="s">
        <v>5393</v>
      </c>
      <c r="E24" s="57" t="s">
        <v>5381</v>
      </c>
    </row>
    <row r="25" spans="1:5" ht="60" customHeight="1">
      <c r="A25" s="57" t="s">
        <v>833</v>
      </c>
      <c r="B25" s="57" t="s">
        <v>90</v>
      </c>
      <c r="C25" s="57" t="s">
        <v>5379</v>
      </c>
      <c r="D25" s="57" t="s">
        <v>5394</v>
      </c>
      <c r="E25" s="57" t="s">
        <v>5381</v>
      </c>
    </row>
    <row r="26" spans="1:5" ht="60" customHeight="1">
      <c r="A26" s="57" t="s">
        <v>567</v>
      </c>
      <c r="B26" s="57" t="s">
        <v>66</v>
      </c>
      <c r="C26" s="57" t="s">
        <v>3445</v>
      </c>
      <c r="D26" s="57" t="s">
        <v>573</v>
      </c>
      <c r="E26" s="57" t="s">
        <v>5395</v>
      </c>
    </row>
    <row r="27" spans="1:5" ht="60" customHeight="1">
      <c r="A27" s="57" t="s">
        <v>1791</v>
      </c>
      <c r="B27" s="57" t="s">
        <v>66</v>
      </c>
      <c r="C27" s="57"/>
      <c r="D27" s="57" t="s">
        <v>1797</v>
      </c>
      <c r="E27" s="57" t="s">
        <v>5395</v>
      </c>
    </row>
    <row r="28" spans="1:5" ht="60" customHeight="1">
      <c r="A28" s="57" t="s">
        <v>1817</v>
      </c>
      <c r="B28" s="57" t="s">
        <v>66</v>
      </c>
      <c r="C28" s="57"/>
      <c r="D28" s="57" t="s">
        <v>737</v>
      </c>
      <c r="E28" s="57" t="s">
        <v>5395</v>
      </c>
    </row>
    <row r="29" spans="1:5" ht="60" customHeight="1">
      <c r="A29" s="57" t="s">
        <v>1821</v>
      </c>
      <c r="B29" s="57" t="s">
        <v>66</v>
      </c>
      <c r="C29" s="57"/>
      <c r="D29" s="57" t="s">
        <v>1825</v>
      </c>
      <c r="E29" s="57" t="s">
        <v>5395</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26"/>
  <sheetViews>
    <sheetView workbookViewId="0"/>
  </sheetViews>
  <sheetFormatPr defaultRowHeight="14.25"/>
  <cols>
    <col min="1" max="1" width="28" customWidth="1"/>
    <col min="2" max="2" width="15" customWidth="1"/>
    <col min="3" max="3" width="18" customWidth="1"/>
    <col min="4" max="4" width="24" customWidth="1"/>
    <col min="5" max="5" width="38" customWidth="1"/>
    <col min="6" max="6" width="43" customWidth="1"/>
    <col min="7" max="10" width="13" customWidth="1"/>
  </cols>
  <sheetData>
    <row r="1" spans="1:10" ht="24.95" customHeight="1">
      <c r="A1" s="127" t="s">
        <v>5396</v>
      </c>
      <c r="B1" s="127"/>
      <c r="C1" s="127"/>
      <c r="D1" s="127"/>
      <c r="E1" s="127"/>
      <c r="F1" s="127"/>
      <c r="G1" s="128"/>
      <c r="H1" s="128"/>
      <c r="I1" s="128"/>
      <c r="J1" s="128"/>
    </row>
    <row r="2" spans="1:10" ht="24.95" customHeight="1">
      <c r="A2" s="127"/>
      <c r="B2" s="127"/>
      <c r="C2" s="127"/>
      <c r="D2" s="127"/>
      <c r="E2" s="127"/>
      <c r="F2" s="127"/>
      <c r="G2" s="128"/>
      <c r="H2" s="128"/>
      <c r="I2" s="128"/>
      <c r="J2" s="128"/>
    </row>
    <row r="3" spans="1:10" ht="32.1" customHeight="1">
      <c r="A3" s="129" t="s">
        <v>5397</v>
      </c>
      <c r="B3" s="129"/>
      <c r="C3" s="129"/>
      <c r="D3" s="129"/>
      <c r="E3" s="129"/>
      <c r="F3" s="129"/>
      <c r="G3" s="130"/>
      <c r="H3" s="130"/>
      <c r="I3" s="130"/>
      <c r="J3" s="130"/>
    </row>
    <row r="4" spans="1:10" ht="15">
      <c r="A4" s="58"/>
      <c r="B4" s="58"/>
      <c r="C4" s="58"/>
      <c r="D4" s="58"/>
      <c r="E4" s="58"/>
      <c r="F4" s="58"/>
      <c r="G4" s="59"/>
      <c r="H4" s="59"/>
      <c r="I4" s="59"/>
      <c r="J4" s="59"/>
    </row>
    <row r="5" spans="1:10" ht="30" customHeight="1">
      <c r="A5" s="60" t="s">
        <v>2808</v>
      </c>
      <c r="B5" s="60" t="s">
        <v>108</v>
      </c>
      <c r="C5" s="60" t="s">
        <v>1243</v>
      </c>
      <c r="D5" s="60" t="s">
        <v>3166</v>
      </c>
      <c r="E5" s="60" t="s">
        <v>3</v>
      </c>
      <c r="F5" s="58"/>
      <c r="G5" s="59"/>
      <c r="H5" s="59"/>
      <c r="I5" s="59"/>
      <c r="J5" s="59"/>
    </row>
    <row r="6" spans="1:10" ht="27.95" customHeight="1">
      <c r="A6" s="61" t="s">
        <v>1836</v>
      </c>
      <c r="B6" s="61">
        <f>COUNTIF(Backlog!$B$2:$B$188,"M2")</f>
        <v>115</v>
      </c>
      <c r="C6" s="61">
        <f>COUNTIF(Backlog!$B$2:$B$188,"M3")</f>
        <v>72</v>
      </c>
      <c r="D6" s="61">
        <f>SUM(B6:C6)</f>
        <v>187</v>
      </c>
      <c r="E6" s="61" t="s">
        <v>5398</v>
      </c>
      <c r="F6" s="58"/>
      <c r="G6" s="59"/>
      <c r="H6" s="59"/>
      <c r="I6" s="59"/>
      <c r="J6" s="59"/>
    </row>
    <row r="7" spans="1:10" ht="27.95" customHeight="1">
      <c r="A7" s="61" t="s">
        <v>116</v>
      </c>
      <c r="B7" s="61">
        <f>COUNTIFS(Backlog!$B$2:$B$188,"M2",Backlog!$K$2:$K$188,"Done")</f>
        <v>62</v>
      </c>
      <c r="C7" s="61">
        <f>COUNTIFS(Backlog!$B$2:$B$188,"M3",Backlog!$K$2:$K$188,"Done")</f>
        <v>0</v>
      </c>
      <c r="D7" s="61">
        <f>SUM(B7:C7)</f>
        <v>62</v>
      </c>
      <c r="E7" s="61" t="s">
        <v>5399</v>
      </c>
      <c r="F7" s="58"/>
      <c r="G7" s="59"/>
      <c r="H7" s="59"/>
      <c r="I7" s="59"/>
      <c r="J7" s="59"/>
    </row>
    <row r="8" spans="1:10" ht="27.95" customHeight="1">
      <c r="A8" s="61" t="s">
        <v>1838</v>
      </c>
      <c r="B8" s="61">
        <f>COUNTIFS(Backlog!$B$2:$B$188,"M2",Backlog!$K$2:$K$188,"In Progress")</f>
        <v>3</v>
      </c>
      <c r="C8" s="61">
        <f>COUNTIFS(Backlog!$B$2:$B$188,"M3",Backlog!$K$2:$K$188,"In Progress")</f>
        <v>0</v>
      </c>
      <c r="D8" s="61">
        <f>SUM(B8:C8)</f>
        <v>3</v>
      </c>
      <c r="E8" s="61" t="s">
        <v>5400</v>
      </c>
      <c r="F8" s="58"/>
      <c r="G8" s="59"/>
      <c r="H8" s="59"/>
      <c r="I8" s="59"/>
      <c r="J8" s="59"/>
    </row>
    <row r="9" spans="1:10" ht="27.95" customHeight="1">
      <c r="A9" s="61" t="s">
        <v>3170</v>
      </c>
      <c r="B9" s="61">
        <f>COUNTIFS(Backlog!$B$2:$B$188,"M2",Backlog!$K$2:$K$188,"Not Started")</f>
        <v>50</v>
      </c>
      <c r="C9" s="61">
        <f>COUNTIFS(Backlog!$B$2:$B$188,"M3",Backlog!$K$2:$K$188,"Not Started")</f>
        <v>72</v>
      </c>
      <c r="D9" s="61">
        <f>SUM(B9:C9)</f>
        <v>122</v>
      </c>
      <c r="E9" s="61" t="s">
        <v>5401</v>
      </c>
      <c r="F9" s="58"/>
      <c r="G9" s="59"/>
      <c r="H9" s="59"/>
      <c r="I9" s="59"/>
      <c r="J9" s="59"/>
    </row>
    <row r="10" spans="1:10" ht="27.95" customHeight="1">
      <c r="A10" s="61" t="s">
        <v>5402</v>
      </c>
      <c r="B10" s="61">
        <f>COUNTIFS(Backlog!$B$2:$B$188,"M2",Backlog!$AM$2:$AM$188,0)</f>
        <v>26</v>
      </c>
      <c r="C10" s="61">
        <f>COUNTIFS(Backlog!$B$2:$B$188,"M3",Backlog!$AM$2:$AM$188,0)</f>
        <v>13</v>
      </c>
      <c r="D10" s="61">
        <f>SUM(B10:C10)</f>
        <v>39</v>
      </c>
      <c r="E10" s="61" t="s">
        <v>5403</v>
      </c>
      <c r="F10" s="58"/>
      <c r="G10" s="59"/>
      <c r="H10" s="59"/>
      <c r="I10" s="59"/>
      <c r="J10" s="59"/>
    </row>
    <row r="11" spans="1:10" ht="15">
      <c r="A11" s="58"/>
      <c r="B11" s="58"/>
      <c r="C11" s="58"/>
      <c r="D11" s="58"/>
      <c r="E11" s="58"/>
      <c r="F11" s="58"/>
      <c r="G11" s="59"/>
      <c r="H11" s="59"/>
      <c r="I11" s="59"/>
      <c r="J11" s="59"/>
    </row>
    <row r="12" spans="1:10" ht="30" customHeight="1">
      <c r="A12" s="60" t="s">
        <v>2568</v>
      </c>
      <c r="B12" s="60" t="s">
        <v>1832</v>
      </c>
      <c r="C12" s="60" t="s">
        <v>3496</v>
      </c>
      <c r="D12" s="60" t="s">
        <v>5404</v>
      </c>
      <c r="E12" s="60" t="s">
        <v>63</v>
      </c>
      <c r="F12" s="60" t="s">
        <v>5405</v>
      </c>
      <c r="G12" s="59"/>
      <c r="H12" s="59"/>
      <c r="I12" s="59"/>
      <c r="J12" s="59"/>
    </row>
    <row r="13" spans="1:10" ht="54.95" customHeight="1">
      <c r="A13" s="61" t="s">
        <v>1791</v>
      </c>
      <c r="B13" s="61" t="s">
        <v>108</v>
      </c>
      <c r="C13" s="61" t="s">
        <v>36</v>
      </c>
      <c r="D13" s="61" t="s">
        <v>5406</v>
      </c>
      <c r="E13" s="61" t="str">
        <f>IF(INDEX(Backlog!$K$2:$K$188,MATCH($A13,Backlog!$A$2:$A$188,0))="","",INDEX(Backlog!$K$2:$K$188,MATCH($A13,Backlog!$A$2:$A$188,0)))</f>
        <v>Not Started</v>
      </c>
      <c r="F13" s="61" t="s">
        <v>5407</v>
      </c>
      <c r="G13" s="59"/>
      <c r="H13" s="59"/>
      <c r="I13" s="59"/>
      <c r="J13" s="59"/>
    </row>
    <row r="14" spans="1:10" ht="54.95" customHeight="1">
      <c r="A14" s="61" t="s">
        <v>1817</v>
      </c>
      <c r="B14" s="61" t="s">
        <v>108</v>
      </c>
      <c r="C14" s="61" t="s">
        <v>36</v>
      </c>
      <c r="D14" s="61" t="s">
        <v>5408</v>
      </c>
      <c r="E14" s="61" t="str">
        <f>IF(INDEX(Backlog!$K$2:$K$188,MATCH($A14,Backlog!$A$2:$A$188,0))="","",INDEX(Backlog!$K$2:$K$188,MATCH($A14,Backlog!$A$2:$A$188,0)))</f>
        <v>Not Started</v>
      </c>
      <c r="F14" s="61" t="s">
        <v>5409</v>
      </c>
      <c r="G14" s="59"/>
      <c r="H14" s="59"/>
      <c r="I14" s="59"/>
      <c r="J14" s="59"/>
    </row>
    <row r="15" spans="1:10" ht="54.95" customHeight="1">
      <c r="A15" s="61" t="s">
        <v>1821</v>
      </c>
      <c r="B15" s="61" t="s">
        <v>1243</v>
      </c>
      <c r="C15" s="61" t="s">
        <v>36</v>
      </c>
      <c r="D15" s="61" t="s">
        <v>5406</v>
      </c>
      <c r="E15" s="61" t="str">
        <f>IF(INDEX(Backlog!$K$2:$K$188,MATCH($A15,Backlog!$A$2:$A$188,0))="","",INDEX(Backlog!$K$2:$K$188,MATCH($A15,Backlog!$A$2:$A$188,0)))</f>
        <v>Not Started</v>
      </c>
      <c r="F15" s="61" t="s">
        <v>5410</v>
      </c>
      <c r="G15" s="59"/>
      <c r="H15" s="59"/>
      <c r="I15" s="59"/>
      <c r="J15" s="59"/>
    </row>
    <row r="16" spans="1:10" ht="15">
      <c r="A16" s="58"/>
      <c r="B16" s="58"/>
      <c r="C16" s="58"/>
      <c r="D16" s="58"/>
      <c r="E16" s="58"/>
      <c r="F16" s="58"/>
      <c r="G16" s="59"/>
      <c r="H16" s="59"/>
      <c r="I16" s="59"/>
      <c r="J16" s="59"/>
    </row>
    <row r="17" spans="1:10" ht="39.950000000000003" customHeight="1">
      <c r="A17" s="131" t="s">
        <v>5411</v>
      </c>
      <c r="B17" s="131"/>
      <c r="C17" s="131"/>
      <c r="D17" s="131"/>
      <c r="E17" s="131"/>
      <c r="F17" s="131"/>
      <c r="G17" s="132"/>
      <c r="H17" s="132"/>
      <c r="I17" s="132"/>
      <c r="J17" s="132"/>
    </row>
    <row r="18" spans="1:10" ht="15">
      <c r="A18" s="58"/>
      <c r="B18" s="58"/>
      <c r="C18" s="58"/>
      <c r="D18" s="58"/>
      <c r="E18" s="58"/>
      <c r="F18" s="58"/>
      <c r="G18" s="59"/>
      <c r="H18" s="59"/>
      <c r="I18" s="59"/>
      <c r="J18" s="59"/>
    </row>
    <row r="19" spans="1:10" ht="42" customHeight="1">
      <c r="A19" s="133" t="s">
        <v>5412</v>
      </c>
      <c r="B19" s="133"/>
      <c r="C19" s="133"/>
      <c r="D19" s="133"/>
      <c r="E19" s="133"/>
      <c r="F19" s="133"/>
      <c r="G19" s="117"/>
      <c r="H19" s="117"/>
      <c r="I19" s="117"/>
      <c r="J19" s="117"/>
    </row>
    <row r="20" spans="1:10" ht="15">
      <c r="A20" s="58"/>
      <c r="B20" s="58"/>
      <c r="C20" s="58"/>
      <c r="D20" s="58"/>
      <c r="E20" s="58"/>
      <c r="F20" s="58"/>
      <c r="G20" s="59"/>
      <c r="H20" s="59"/>
      <c r="I20" s="59"/>
      <c r="J20" s="59"/>
    </row>
    <row r="21" spans="1:10" ht="33.950000000000003" customHeight="1">
      <c r="A21" s="133" t="s">
        <v>5413</v>
      </c>
      <c r="B21" s="133"/>
      <c r="C21" s="133"/>
      <c r="D21" s="133"/>
      <c r="E21" s="133"/>
      <c r="F21" s="133"/>
      <c r="G21" s="117"/>
      <c r="H21" s="117"/>
      <c r="I21" s="117"/>
      <c r="J21" s="117"/>
    </row>
    <row r="23" spans="1:10">
      <c r="G23" t="s">
        <v>63</v>
      </c>
      <c r="H23" t="s">
        <v>108</v>
      </c>
      <c r="I23" t="s">
        <v>1243</v>
      </c>
    </row>
    <row r="24" spans="1:10">
      <c r="G24" t="s">
        <v>116</v>
      </c>
      <c r="H24">
        <f t="shared" ref="H24:I26" si="0">B7</f>
        <v>62</v>
      </c>
      <c r="I24">
        <f t="shared" si="0"/>
        <v>0</v>
      </c>
    </row>
    <row r="25" spans="1:10">
      <c r="G25" t="s">
        <v>653</v>
      </c>
      <c r="H25">
        <f t="shared" si="0"/>
        <v>3</v>
      </c>
      <c r="I25">
        <f t="shared" si="0"/>
        <v>0</v>
      </c>
    </row>
    <row r="26" spans="1:10">
      <c r="G26" t="s">
        <v>455</v>
      </c>
      <c r="H26">
        <f t="shared" si="0"/>
        <v>50</v>
      </c>
      <c r="I26">
        <f t="shared" si="0"/>
        <v>72</v>
      </c>
    </row>
  </sheetData>
  <mergeCells count="5">
    <mergeCell ref="A1:J2"/>
    <mergeCell ref="A3:J3"/>
    <mergeCell ref="A17:J17"/>
    <mergeCell ref="A19:J19"/>
    <mergeCell ref="A21:J21"/>
  </mergeCells>
  <conditionalFormatting sqref="E13:E15">
    <cfRule type="expression" dxfId="13" priority="1">
      <formula>E13="Not Started"</formula>
    </cfRule>
    <cfRule type="expression" dxfId="12" priority="2">
      <formula>E13="Done"</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26"/>
  <sheetViews>
    <sheetView workbookViewId="0"/>
  </sheetViews>
  <sheetFormatPr defaultRowHeight="14.25"/>
  <cols>
    <col min="1" max="1" width="16" customWidth="1"/>
    <col min="2" max="2" width="42" customWidth="1"/>
    <col min="3" max="3" width="64" customWidth="1"/>
    <col min="4" max="4" width="62" customWidth="1"/>
  </cols>
  <sheetData>
    <row r="1" spans="1:4" ht="30" customHeight="1">
      <c r="A1" s="63" t="s">
        <v>5414</v>
      </c>
      <c r="B1" s="63" t="s">
        <v>5415</v>
      </c>
      <c r="C1" s="63" t="s">
        <v>5416</v>
      </c>
      <c r="D1" s="63" t="s">
        <v>5417</v>
      </c>
    </row>
    <row r="2" spans="1:4" ht="81.95" customHeight="1">
      <c r="A2" s="32" t="s">
        <v>5418</v>
      </c>
      <c r="B2" s="32" t="s">
        <v>5419</v>
      </c>
      <c r="C2" s="32" t="s">
        <v>5420</v>
      </c>
      <c r="D2" s="32" t="s">
        <v>5421</v>
      </c>
    </row>
    <row r="3" spans="1:4" ht="81.95" customHeight="1">
      <c r="A3" s="32" t="s">
        <v>12699</v>
      </c>
      <c r="B3" s="32" t="s">
        <v>12700</v>
      </c>
      <c r="C3" s="32" t="s">
        <v>12701</v>
      </c>
      <c r="D3" s="32" t="s">
        <v>12702</v>
      </c>
    </row>
    <row r="4" spans="1:4" ht="81.95" customHeight="1">
      <c r="A4" s="32" t="s">
        <v>5422</v>
      </c>
      <c r="B4" s="32" t="s">
        <v>5423</v>
      </c>
      <c r="C4" s="32" t="s">
        <v>5424</v>
      </c>
      <c r="D4" s="32" t="s">
        <v>5425</v>
      </c>
    </row>
    <row r="5" spans="1:4" ht="81.95" customHeight="1">
      <c r="A5" s="32" t="s">
        <v>5426</v>
      </c>
      <c r="B5" s="32" t="s">
        <v>5427</v>
      </c>
      <c r="C5" s="32" t="s">
        <v>5428</v>
      </c>
      <c r="D5" s="32" t="s">
        <v>5429</v>
      </c>
    </row>
    <row r="6" spans="1:4" ht="81.95" customHeight="1">
      <c r="A6" s="32" t="s">
        <v>12703</v>
      </c>
      <c r="B6" s="32" t="s">
        <v>12704</v>
      </c>
      <c r="C6" s="32" t="s">
        <v>12705</v>
      </c>
      <c r="D6" s="32" t="s">
        <v>12706</v>
      </c>
    </row>
    <row r="7" spans="1:4" ht="81.95" customHeight="1">
      <c r="A7" s="32" t="s">
        <v>12707</v>
      </c>
      <c r="B7" s="32" t="s">
        <v>12708</v>
      </c>
      <c r="C7" s="32" t="s">
        <v>12709</v>
      </c>
      <c r="D7" s="32" t="s">
        <v>12710</v>
      </c>
    </row>
    <row r="8" spans="1:4" ht="81.95" customHeight="1">
      <c r="A8" s="32" t="s">
        <v>12711</v>
      </c>
      <c r="B8" s="32" t="s">
        <v>12712</v>
      </c>
      <c r="C8" s="32" t="s">
        <v>12713</v>
      </c>
      <c r="D8" s="32" t="s">
        <v>12714</v>
      </c>
    </row>
    <row r="9" spans="1:4" ht="81.95" customHeight="1">
      <c r="A9" s="32" t="s">
        <v>5430</v>
      </c>
      <c r="B9" s="32" t="s">
        <v>5431</v>
      </c>
      <c r="C9" s="32" t="s">
        <v>5432</v>
      </c>
      <c r="D9" s="32" t="s">
        <v>5433</v>
      </c>
    </row>
    <row r="10" spans="1:4" ht="81.95" customHeight="1">
      <c r="A10" s="32" t="s">
        <v>5434</v>
      </c>
      <c r="B10" s="32" t="s">
        <v>5435</v>
      </c>
      <c r="C10" s="32" t="s">
        <v>5436</v>
      </c>
      <c r="D10" s="32" t="s">
        <v>5437</v>
      </c>
    </row>
    <row r="11" spans="1:4" ht="81.95" customHeight="1">
      <c r="A11" s="32" t="s">
        <v>5438</v>
      </c>
      <c r="B11" s="32" t="s">
        <v>463</v>
      </c>
      <c r="C11" s="32" t="s">
        <v>5439</v>
      </c>
      <c r="D11" s="32" t="s">
        <v>5440</v>
      </c>
    </row>
    <row r="12" spans="1:4" ht="81.95" customHeight="1">
      <c r="A12" s="32" t="s">
        <v>5441</v>
      </c>
      <c r="B12" s="32" t="s">
        <v>5442</v>
      </c>
      <c r="C12" s="32" t="s">
        <v>5443</v>
      </c>
      <c r="D12" s="32" t="s">
        <v>5444</v>
      </c>
    </row>
    <row r="13" spans="1:4" ht="81.95" customHeight="1">
      <c r="A13" s="32" t="s">
        <v>5445</v>
      </c>
      <c r="B13" s="32" t="s">
        <v>5446</v>
      </c>
      <c r="C13" s="32" t="s">
        <v>5447</v>
      </c>
      <c r="D13" s="32" t="s">
        <v>5448</v>
      </c>
    </row>
    <row r="14" spans="1:4" ht="81.95" customHeight="1">
      <c r="A14" s="32" t="s">
        <v>5449</v>
      </c>
      <c r="B14" s="32" t="s">
        <v>5450</v>
      </c>
      <c r="C14" s="32" t="s">
        <v>5451</v>
      </c>
      <c r="D14" s="32" t="s">
        <v>5452</v>
      </c>
    </row>
    <row r="15" spans="1:4" ht="81.95" customHeight="1">
      <c r="A15" s="32" t="s">
        <v>12715</v>
      </c>
      <c r="B15" s="32" t="s">
        <v>12716</v>
      </c>
      <c r="C15" s="32" t="s">
        <v>12717</v>
      </c>
      <c r="D15" s="32" t="s">
        <v>12718</v>
      </c>
    </row>
    <row r="16" spans="1:4" ht="81.95" customHeight="1">
      <c r="A16" s="32" t="s">
        <v>5453</v>
      </c>
      <c r="B16" s="32" t="s">
        <v>5454</v>
      </c>
      <c r="C16" s="32" t="s">
        <v>5455</v>
      </c>
      <c r="D16" s="32" t="s">
        <v>5456</v>
      </c>
    </row>
    <row r="19" spans="1:4" ht="30" customHeight="1">
      <c r="A19" s="62" t="s">
        <v>5457</v>
      </c>
      <c r="B19" s="62" t="s">
        <v>3412</v>
      </c>
      <c r="C19" s="62" t="s">
        <v>5458</v>
      </c>
      <c r="D19" s="62" t="s">
        <v>5459</v>
      </c>
    </row>
    <row r="20" spans="1:4" ht="141.94999999999999" customHeight="1">
      <c r="A20" s="2" t="s">
        <v>1791</v>
      </c>
      <c r="B20" s="2" t="s">
        <v>3436</v>
      </c>
      <c r="C20" s="2" t="s">
        <v>5460</v>
      </c>
      <c r="D20" s="2" t="s">
        <v>5461</v>
      </c>
    </row>
    <row r="21" spans="1:4" ht="141.94999999999999" customHeight="1">
      <c r="A21" s="2" t="s">
        <v>1791</v>
      </c>
      <c r="B21" s="2" t="s">
        <v>3438</v>
      </c>
      <c r="C21" s="2" t="s">
        <v>5462</v>
      </c>
      <c r="D21" s="2" t="s">
        <v>5463</v>
      </c>
    </row>
    <row r="22" spans="1:4" ht="141.94999999999999" customHeight="1">
      <c r="A22" s="2" t="s">
        <v>1817</v>
      </c>
      <c r="B22" s="2" t="s">
        <v>3438</v>
      </c>
      <c r="C22" s="2" t="s">
        <v>5464</v>
      </c>
      <c r="D22" s="2" t="s">
        <v>5465</v>
      </c>
    </row>
    <row r="23" spans="1:4" ht="141.94999999999999" customHeight="1">
      <c r="A23" s="2" t="s">
        <v>1821</v>
      </c>
      <c r="B23" s="2" t="s">
        <v>3436</v>
      </c>
      <c r="C23" s="2" t="s">
        <v>5466</v>
      </c>
      <c r="D23" s="2" t="s">
        <v>5467</v>
      </c>
    </row>
    <row r="24" spans="1:4" ht="141.94999999999999" customHeight="1">
      <c r="A24" s="2" t="s">
        <v>1821</v>
      </c>
      <c r="B24" s="2" t="s">
        <v>3438</v>
      </c>
      <c r="C24" s="2" t="s">
        <v>5468</v>
      </c>
      <c r="D24" s="2" t="s">
        <v>5469</v>
      </c>
    </row>
    <row r="26" spans="1:4" ht="81.95" customHeight="1">
      <c r="A26" s="2" t="s">
        <v>12719</v>
      </c>
      <c r="B26" s="2" t="s">
        <v>12720</v>
      </c>
      <c r="C26" s="2" t="s">
        <v>12721</v>
      </c>
      <c r="D26" s="2" t="s">
        <v>12722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18"/>
  <sheetViews>
    <sheetView workbookViewId="0"/>
  </sheetViews>
  <sheetFormatPr defaultRowHeight="14.25"/>
  <cols>
    <col min="1" max="1" width="43" customWidth="1"/>
    <col min="2" max="2" width="12" customWidth="1"/>
    <col min="3" max="3" width="16" customWidth="1"/>
    <col min="4" max="4" width="95" customWidth="1"/>
    <col min="6" max="6" width="30" customWidth="1"/>
    <col min="7" max="9" width="15" customWidth="1"/>
  </cols>
  <sheetData>
    <row r="1" spans="1:9" ht="32.1" customHeight="1">
      <c r="A1" s="62" t="s">
        <v>5470</v>
      </c>
      <c r="B1" s="62" t="s">
        <v>5471</v>
      </c>
      <c r="C1" s="62" t="s">
        <v>5472</v>
      </c>
      <c r="D1" s="62" t="s">
        <v>5473</v>
      </c>
      <c r="F1" s="63" t="s">
        <v>5474</v>
      </c>
      <c r="G1" s="63" t="s">
        <v>108</v>
      </c>
      <c r="H1" s="63" t="s">
        <v>1243</v>
      </c>
      <c r="I1" s="63" t="s">
        <v>3166</v>
      </c>
    </row>
    <row r="2" spans="1:9" ht="42" customHeight="1">
      <c r="A2" s="32" t="s">
        <v>5475</v>
      </c>
      <c r="B2" s="32">
        <v>179</v>
      </c>
      <c r="C2" s="32" t="s">
        <v>5476</v>
      </c>
      <c r="D2" s="32" t="s">
        <v>5477</v>
      </c>
      <c r="F2" t="s">
        <v>5478</v>
      </c>
      <c r="G2">
        <f>COUNTIF(Backlog!$B$2:$B$180,"M2")</f>
        <v>107</v>
      </c>
      <c r="H2">
        <f>COUNTIF(Backlog!$B$2:$B$180,"M3")</f>
        <v>72</v>
      </c>
      <c r="I2">
        <f>COUNTA(Backlog!$A$2:$A$180)</f>
        <v>179</v>
      </c>
    </row>
    <row r="3" spans="1:9" ht="42" customHeight="1">
      <c r="A3" s="32" t="s">
        <v>5479</v>
      </c>
      <c r="B3" s="32">
        <v>107</v>
      </c>
      <c r="C3" s="32" t="s">
        <v>5476</v>
      </c>
      <c r="D3" s="32" t="s">
        <v>5480</v>
      </c>
      <c r="F3" t="s">
        <v>116</v>
      </c>
      <c r="G3">
        <f>COUNTIFS(Backlog!$B$2:$B$180,"M2",Backlog!$K$2:$K$180,"Done")</f>
        <v>62</v>
      </c>
      <c r="H3">
        <f>COUNTIFS(Backlog!$B$2:$B$180,"M3",Backlog!$K$2:$K$180,"Done")</f>
        <v>0</v>
      </c>
      <c r="I3">
        <f>COUNTIF(Backlog!$K$2:$K$180,"Done")</f>
        <v>62</v>
      </c>
    </row>
    <row r="4" spans="1:9" ht="42" customHeight="1">
      <c r="A4" s="32" t="s">
        <v>5481</v>
      </c>
      <c r="B4" s="32">
        <v>72</v>
      </c>
      <c r="C4" s="32" t="s">
        <v>5476</v>
      </c>
      <c r="D4" s="32" t="s">
        <v>5480</v>
      </c>
      <c r="F4" t="s">
        <v>5482</v>
      </c>
      <c r="G4">
        <f>COUNTIF(Backlog!$B$2:$B$180,"M2")-SUMIF(Backlog!$B$2:$B$180,"M2",Backlog!$AM$2:$AM$180)</f>
        <v>18</v>
      </c>
      <c r="H4">
        <f>COUNTIF(Backlog!$B$2:$B$180,"M3")-SUMIF(Backlog!$B$2:$B$180,"M3",Backlog!$AM$2:$AM$180)</f>
        <v>13</v>
      </c>
      <c r="I4">
        <f>COUNTA(Backlog!$A$2:$A$180)-SUM(Backlog!$AM$2:$AM$180)</f>
        <v>31</v>
      </c>
    </row>
    <row r="5" spans="1:9" ht="42" customHeight="1">
      <c r="A5" s="32" t="s">
        <v>116</v>
      </c>
      <c r="B5" s="32">
        <v>58</v>
      </c>
      <c r="C5" s="32" t="s">
        <v>5476</v>
      </c>
      <c r="D5" s="32" t="s">
        <v>5483</v>
      </c>
    </row>
    <row r="6" spans="1:9" ht="42" customHeight="1">
      <c r="A6" s="32" t="s">
        <v>653</v>
      </c>
      <c r="B6" s="32">
        <v>4</v>
      </c>
      <c r="C6" s="32" t="s">
        <v>5476</v>
      </c>
      <c r="D6" s="32" t="s">
        <v>5484</v>
      </c>
    </row>
    <row r="7" spans="1:9" ht="42" customHeight="1">
      <c r="A7" s="32" t="s">
        <v>455</v>
      </c>
      <c r="B7" s="32">
        <v>117</v>
      </c>
      <c r="C7" s="32" t="s">
        <v>5476</v>
      </c>
      <c r="D7" s="32" t="s">
        <v>5484</v>
      </c>
    </row>
    <row r="8" spans="1:9" ht="42" customHeight="1">
      <c r="A8" s="32" t="s">
        <v>5485</v>
      </c>
      <c r="B8" s="32">
        <v>0</v>
      </c>
      <c r="C8" s="32" t="s">
        <v>5476</v>
      </c>
      <c r="D8" s="32" t="s">
        <v>5486</v>
      </c>
    </row>
    <row r="9" spans="1:9" ht="42" customHeight="1">
      <c r="A9" s="32" t="s">
        <v>5487</v>
      </c>
      <c r="B9" s="32">
        <v>0</v>
      </c>
      <c r="C9" s="32" t="s">
        <v>5476</v>
      </c>
      <c r="D9" s="32" t="s">
        <v>5488</v>
      </c>
    </row>
    <row r="10" spans="1:9" ht="42" customHeight="1">
      <c r="A10" s="32" t="s">
        <v>5489</v>
      </c>
      <c r="B10" s="32">
        <v>179</v>
      </c>
      <c r="C10" s="32" t="s">
        <v>5476</v>
      </c>
      <c r="D10" s="32" t="s">
        <v>5490</v>
      </c>
    </row>
    <row r="11" spans="1:9" ht="42" customHeight="1">
      <c r="A11" s="32" t="s">
        <v>5491</v>
      </c>
      <c r="B11" s="32">
        <v>179</v>
      </c>
      <c r="C11" s="32" t="s">
        <v>5476</v>
      </c>
      <c r="D11" s="32" t="s">
        <v>5492</v>
      </c>
    </row>
    <row r="12" spans="1:9" ht="42" customHeight="1">
      <c r="A12" s="32" t="s">
        <v>5493</v>
      </c>
      <c r="B12" s="32">
        <v>5</v>
      </c>
      <c r="C12" s="32" t="s">
        <v>5476</v>
      </c>
      <c r="D12" s="32" t="s">
        <v>5494</v>
      </c>
    </row>
    <row r="13" spans="1:9" ht="42" customHeight="1">
      <c r="A13" s="32" t="s">
        <v>5495</v>
      </c>
      <c r="B13" s="32">
        <v>2</v>
      </c>
      <c r="C13" s="32" t="s">
        <v>5476</v>
      </c>
      <c r="D13" s="32" t="s">
        <v>5496</v>
      </c>
    </row>
    <row r="14" spans="1:9" ht="42" customHeight="1">
      <c r="A14" s="32" t="s">
        <v>5497</v>
      </c>
      <c r="B14" s="32">
        <v>607</v>
      </c>
      <c r="C14" s="32" t="s">
        <v>5476</v>
      </c>
      <c r="D14" s="32" t="s">
        <v>5498</v>
      </c>
    </row>
    <row r="15" spans="1:9" ht="42" customHeight="1">
      <c r="A15" s="32" t="s">
        <v>5499</v>
      </c>
      <c r="B15" s="32">
        <v>87</v>
      </c>
      <c r="C15" s="32" t="s">
        <v>5476</v>
      </c>
      <c r="D15" s="32" t="s">
        <v>5500</v>
      </c>
    </row>
    <row r="16" spans="1:9" ht="42" customHeight="1">
      <c r="A16" s="32" t="s">
        <v>5501</v>
      </c>
      <c r="B16" s="32">
        <v>82</v>
      </c>
      <c r="C16" s="32" t="s">
        <v>5476</v>
      </c>
      <c r="D16" s="32" t="s">
        <v>5502</v>
      </c>
    </row>
    <row r="17" spans="1:4" ht="42" customHeight="1">
      <c r="A17" s="32" t="s">
        <v>5503</v>
      </c>
      <c r="B17" s="32">
        <v>16</v>
      </c>
      <c r="C17" s="32" t="s">
        <v>5476</v>
      </c>
      <c r="D17" s="32" t="s">
        <v>5502</v>
      </c>
    </row>
    <row r="18" spans="1:4" ht="42" customHeight="1">
      <c r="A18" s="32" t="s">
        <v>5504</v>
      </c>
      <c r="B18" s="32"/>
      <c r="C18" s="32" t="s">
        <v>5505</v>
      </c>
      <c r="D18" s="32" t="s">
        <v>5506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180"/>
  <sheetViews>
    <sheetView workbookViewId="0"/>
  </sheetViews>
  <sheetFormatPr defaultRowHeight="14.25"/>
  <cols>
    <col min="1" max="1" width="12" customWidth="1"/>
    <col min="2" max="2" width="13" customWidth="1"/>
    <col min="3" max="3" width="16" customWidth="1"/>
    <col min="4" max="4" width="32" customWidth="1"/>
    <col min="5" max="5" width="48" customWidth="1"/>
    <col min="6" max="6" width="65" customWidth="1"/>
    <col min="7" max="7" width="13" customWidth="1"/>
    <col min="8" max="8" width="28" customWidth="1"/>
    <col min="9" max="9" width="36" customWidth="1"/>
    <col min="10" max="10" width="70" customWidth="1"/>
    <col min="11" max="11" width="65" customWidth="1"/>
    <col min="12" max="12" width="70" customWidth="1"/>
  </cols>
  <sheetData>
    <row r="1" spans="1:12" ht="33.950000000000003" customHeight="1">
      <c r="A1" s="75" t="s">
        <v>2392</v>
      </c>
      <c r="B1" s="75" t="s">
        <v>5507</v>
      </c>
      <c r="C1" s="75" t="s">
        <v>3490</v>
      </c>
      <c r="D1" s="75" t="s">
        <v>5508</v>
      </c>
      <c r="E1" s="75" t="s">
        <v>5509</v>
      </c>
      <c r="F1" s="75" t="s">
        <v>5510</v>
      </c>
      <c r="G1" s="75" t="s">
        <v>5511</v>
      </c>
      <c r="H1" s="75" t="s">
        <v>5512</v>
      </c>
      <c r="I1" s="75" t="s">
        <v>5513</v>
      </c>
      <c r="J1" s="75" t="s">
        <v>5514</v>
      </c>
      <c r="K1" s="75" t="s">
        <v>5515</v>
      </c>
      <c r="L1" s="75" t="s">
        <v>5516</v>
      </c>
    </row>
    <row r="2" spans="1:12" ht="69.95" customHeight="1">
      <c r="A2" s="76" t="s">
        <v>107</v>
      </c>
      <c r="B2" s="76" t="s">
        <v>123</v>
      </c>
      <c r="C2" s="76" t="str">
        <f>IF(INDEX(Backlog!$K$2:$K$188,MATCH(A2,Backlog!$A$2:$A$188,0))="","",INDEX(Backlog!$K$2:$K$188,MATCH(A2,Backlog!$A$2:$A$188,0)))</f>
        <v>Done</v>
      </c>
      <c r="D2" s="76" t="s">
        <v>5517</v>
      </c>
      <c r="E2" s="76" t="s">
        <v>5518</v>
      </c>
      <c r="F2" s="76" t="s">
        <v>5519</v>
      </c>
      <c r="G2" s="77">
        <f>IF(INDEX(Backlog!$J$2:$J$188,MATCH(A2,Backlog!$A$2:$A$188,0))="","UNESTIMATED",IF(INDEX(Backlog!$AM$2:$AM$188,MATCH(A2,Backlog!$A$2:$A$188,0))=1,INDEX(Backlog!$J$2:$J$188,MATCH(A2,Backlog!$A$2:$A$188,0)),INDEX(Backlog!$J$2:$J$188,MATCH(A2,Backlog!$A$2:$A$188,0))&amp;" [STALE]"))</f>
        <v>8</v>
      </c>
      <c r="H2" s="76" t="str">
        <f>IF(INDEX(Backlog!$AR$2:$AR$188,MATCH(A2,Backlog!$A$2:$A$188,0))="","",INDEX(Backlog!$AR$2:$AR$188,MATCH(A2,Backlog!$A$2:$A$188,0)))</f>
        <v>INHERITED ESTIMATE</v>
      </c>
      <c r="I2" s="76"/>
      <c r="J2" s="76" t="s">
        <v>5520</v>
      </c>
      <c r="K2" s="76" t="s">
        <v>5521</v>
      </c>
      <c r="L2" s="76" t="s">
        <v>5522</v>
      </c>
    </row>
    <row r="3" spans="1:12" ht="69.95" customHeight="1">
      <c r="A3" s="76" t="s">
        <v>143</v>
      </c>
      <c r="B3" s="76" t="s">
        <v>123</v>
      </c>
      <c r="C3" s="76" t="str">
        <f>IF(INDEX(Backlog!$K$2:$K$188,MATCH(A3,Backlog!$A$2:$A$188,0))="","",INDEX(Backlog!$K$2:$K$188,MATCH(A3,Backlog!$A$2:$A$188,0)))</f>
        <v>Done</v>
      </c>
      <c r="D3" s="76" t="s">
        <v>5517</v>
      </c>
      <c r="E3" s="76" t="s">
        <v>5523</v>
      </c>
      <c r="F3" s="76" t="s">
        <v>5519</v>
      </c>
      <c r="G3" s="77">
        <f>IF(INDEX(Backlog!$J$2:$J$188,MATCH(A3,Backlog!$A$2:$A$188,0))="","UNESTIMATED",IF(INDEX(Backlog!$AM$2:$AM$188,MATCH(A3,Backlog!$A$2:$A$188,0))=1,INDEX(Backlog!$J$2:$J$188,MATCH(A3,Backlog!$A$2:$A$188,0)),INDEX(Backlog!$J$2:$J$188,MATCH(A3,Backlog!$A$2:$A$188,0))&amp;" [STALE]"))</f>
        <v>12</v>
      </c>
      <c r="H3" s="76" t="str">
        <f>IF(INDEX(Backlog!$AR$2:$AR$188,MATCH(A3,Backlog!$A$2:$A$188,0))="","",INDEX(Backlog!$AR$2:$AR$188,MATCH(A3,Backlog!$A$2:$A$188,0)))</f>
        <v>INHERITED ESTIMATE</v>
      </c>
      <c r="I3" s="76"/>
      <c r="J3" s="76" t="s">
        <v>5524</v>
      </c>
      <c r="K3" s="76" t="s">
        <v>5521</v>
      </c>
      <c r="L3" s="76" t="s">
        <v>5522</v>
      </c>
    </row>
    <row r="4" spans="1:12" ht="69.95" customHeight="1">
      <c r="A4" s="76" t="s">
        <v>158</v>
      </c>
      <c r="B4" s="76" t="s">
        <v>123</v>
      </c>
      <c r="C4" s="76" t="str">
        <f>IF(INDEX(Backlog!$K$2:$K$188,MATCH(A4,Backlog!$A$2:$A$188,0))="","",INDEX(Backlog!$K$2:$K$188,MATCH(A4,Backlog!$A$2:$A$188,0)))</f>
        <v>Done</v>
      </c>
      <c r="D4" s="76" t="s">
        <v>5517</v>
      </c>
      <c r="E4" s="76" t="s">
        <v>5525</v>
      </c>
      <c r="F4" s="76" t="s">
        <v>5519</v>
      </c>
      <c r="G4" s="77">
        <f>IF(INDEX(Backlog!$J$2:$J$188,MATCH(A4,Backlog!$A$2:$A$188,0))="","UNESTIMATED",IF(INDEX(Backlog!$AM$2:$AM$188,MATCH(A4,Backlog!$A$2:$A$188,0))=1,INDEX(Backlog!$J$2:$J$188,MATCH(A4,Backlog!$A$2:$A$188,0)),INDEX(Backlog!$J$2:$J$188,MATCH(A4,Backlog!$A$2:$A$188,0))&amp;" [STALE]"))</f>
        <v>12</v>
      </c>
      <c r="H4" s="76" t="str">
        <f>IF(INDEX(Backlog!$AR$2:$AR$188,MATCH(A4,Backlog!$A$2:$A$188,0))="","",INDEX(Backlog!$AR$2:$AR$188,MATCH(A4,Backlog!$A$2:$A$188,0)))</f>
        <v>INHERITED ESTIMATE</v>
      </c>
      <c r="I4" s="76"/>
      <c r="J4" s="76" t="s">
        <v>5526</v>
      </c>
      <c r="K4" s="76" t="s">
        <v>5521</v>
      </c>
      <c r="L4" s="76" t="s">
        <v>5522</v>
      </c>
    </row>
    <row r="5" spans="1:12" ht="69.95" customHeight="1">
      <c r="A5" s="76" t="s">
        <v>168</v>
      </c>
      <c r="B5" s="76" t="s">
        <v>123</v>
      </c>
      <c r="C5" s="76" t="str">
        <f>IF(INDEX(Backlog!$K$2:$K$188,MATCH(A5,Backlog!$A$2:$A$188,0))="","",INDEX(Backlog!$K$2:$K$188,MATCH(A5,Backlog!$A$2:$A$188,0)))</f>
        <v>Done</v>
      </c>
      <c r="D5" s="76" t="s">
        <v>5517</v>
      </c>
      <c r="E5" s="76" t="s">
        <v>5527</v>
      </c>
      <c r="F5" s="76" t="s">
        <v>5519</v>
      </c>
      <c r="G5" s="77">
        <f>IF(INDEX(Backlog!$J$2:$J$188,MATCH(A5,Backlog!$A$2:$A$188,0))="","UNESTIMATED",IF(INDEX(Backlog!$AM$2:$AM$188,MATCH(A5,Backlog!$A$2:$A$188,0))=1,INDEX(Backlog!$J$2:$J$188,MATCH(A5,Backlog!$A$2:$A$188,0)),INDEX(Backlog!$J$2:$J$188,MATCH(A5,Backlog!$A$2:$A$188,0))&amp;" [STALE]"))</f>
        <v>12</v>
      </c>
      <c r="H5" s="76" t="str">
        <f>IF(INDEX(Backlog!$AR$2:$AR$188,MATCH(A5,Backlog!$A$2:$A$188,0))="","",INDEX(Backlog!$AR$2:$AR$188,MATCH(A5,Backlog!$A$2:$A$188,0)))</f>
        <v>INHERITED ESTIMATE</v>
      </c>
      <c r="I5" s="76"/>
      <c r="J5" s="76" t="s">
        <v>5528</v>
      </c>
      <c r="K5" s="76" t="s">
        <v>5521</v>
      </c>
      <c r="L5" s="76" t="s">
        <v>5522</v>
      </c>
    </row>
    <row r="6" spans="1:12" ht="69.95" customHeight="1">
      <c r="A6" s="76" t="s">
        <v>180</v>
      </c>
      <c r="B6" s="76" t="s">
        <v>123</v>
      </c>
      <c r="C6" s="76" t="str">
        <f>IF(INDEX(Backlog!$K$2:$K$188,MATCH(A6,Backlog!$A$2:$A$188,0))="","",INDEX(Backlog!$K$2:$K$188,MATCH(A6,Backlog!$A$2:$A$188,0)))</f>
        <v>Done</v>
      </c>
      <c r="D6" s="76" t="s">
        <v>5517</v>
      </c>
      <c r="E6" s="76" t="s">
        <v>5529</v>
      </c>
      <c r="F6" s="76" t="s">
        <v>5519</v>
      </c>
      <c r="G6" s="77">
        <f>IF(INDEX(Backlog!$J$2:$J$188,MATCH(A6,Backlog!$A$2:$A$188,0))="","UNESTIMATED",IF(INDEX(Backlog!$AM$2:$AM$188,MATCH(A6,Backlog!$A$2:$A$188,0))=1,INDEX(Backlog!$J$2:$J$188,MATCH(A6,Backlog!$A$2:$A$188,0)),INDEX(Backlog!$J$2:$J$188,MATCH(A6,Backlog!$A$2:$A$188,0))&amp;" [STALE]"))</f>
        <v>12</v>
      </c>
      <c r="H6" s="76" t="str">
        <f>IF(INDEX(Backlog!$AR$2:$AR$188,MATCH(A6,Backlog!$A$2:$A$188,0))="","",INDEX(Backlog!$AR$2:$AR$188,MATCH(A6,Backlog!$A$2:$A$188,0)))</f>
        <v>INHERITED ESTIMATE</v>
      </c>
      <c r="I6" s="76"/>
      <c r="J6" s="76" t="s">
        <v>5530</v>
      </c>
      <c r="K6" s="76" t="s">
        <v>5521</v>
      </c>
      <c r="L6" s="76" t="s">
        <v>5522</v>
      </c>
    </row>
    <row r="7" spans="1:12" ht="69.95" customHeight="1">
      <c r="A7" s="76" t="s">
        <v>192</v>
      </c>
      <c r="B7" s="76" t="s">
        <v>123</v>
      </c>
      <c r="C7" s="76" t="str">
        <f>IF(INDEX(Backlog!$K$2:$K$188,MATCH(A7,Backlog!$A$2:$A$188,0))="","",INDEX(Backlog!$K$2:$K$188,MATCH(A7,Backlog!$A$2:$A$188,0)))</f>
        <v>Done</v>
      </c>
      <c r="D7" s="76" t="s">
        <v>5517</v>
      </c>
      <c r="E7" s="76" t="s">
        <v>5531</v>
      </c>
      <c r="F7" s="76" t="s">
        <v>5519</v>
      </c>
      <c r="G7" s="77">
        <f>IF(INDEX(Backlog!$J$2:$J$188,MATCH(A7,Backlog!$A$2:$A$188,0))="","UNESTIMATED",IF(INDEX(Backlog!$AM$2:$AM$188,MATCH(A7,Backlog!$A$2:$A$188,0))=1,INDEX(Backlog!$J$2:$J$188,MATCH(A7,Backlog!$A$2:$A$188,0)),INDEX(Backlog!$J$2:$J$188,MATCH(A7,Backlog!$A$2:$A$188,0))&amp;" [STALE]"))</f>
        <v>12</v>
      </c>
      <c r="H7" s="76" t="str">
        <f>IF(INDEX(Backlog!$AR$2:$AR$188,MATCH(A7,Backlog!$A$2:$A$188,0))="","",INDEX(Backlog!$AR$2:$AR$188,MATCH(A7,Backlog!$A$2:$A$188,0)))</f>
        <v>INHERITED ESTIMATE</v>
      </c>
      <c r="I7" s="76"/>
      <c r="J7" s="76" t="s">
        <v>5532</v>
      </c>
      <c r="K7" s="76" t="s">
        <v>5521</v>
      </c>
      <c r="L7" s="76" t="s">
        <v>5522</v>
      </c>
    </row>
    <row r="8" spans="1:12" ht="69.95" customHeight="1">
      <c r="A8" s="76" t="s">
        <v>199</v>
      </c>
      <c r="B8" s="76" t="s">
        <v>123</v>
      </c>
      <c r="C8" s="76" t="str">
        <f>IF(INDEX(Backlog!$K$2:$K$188,MATCH(A8,Backlog!$A$2:$A$188,0))="","",INDEX(Backlog!$K$2:$K$188,MATCH(A8,Backlog!$A$2:$A$188,0)))</f>
        <v>Done</v>
      </c>
      <c r="D8" s="76" t="s">
        <v>5517</v>
      </c>
      <c r="E8" s="76" t="s">
        <v>5533</v>
      </c>
      <c r="F8" s="76" t="s">
        <v>5519</v>
      </c>
      <c r="G8" s="77">
        <f>IF(INDEX(Backlog!$J$2:$J$188,MATCH(A8,Backlog!$A$2:$A$188,0))="","UNESTIMATED",IF(INDEX(Backlog!$AM$2:$AM$188,MATCH(A8,Backlog!$A$2:$A$188,0))=1,INDEX(Backlog!$J$2:$J$188,MATCH(A8,Backlog!$A$2:$A$188,0)),INDEX(Backlog!$J$2:$J$188,MATCH(A8,Backlog!$A$2:$A$188,0))&amp;" [STALE]"))</f>
        <v>12</v>
      </c>
      <c r="H8" s="76" t="str">
        <f>IF(INDEX(Backlog!$AR$2:$AR$188,MATCH(A8,Backlog!$A$2:$A$188,0))="","",INDEX(Backlog!$AR$2:$AR$188,MATCH(A8,Backlog!$A$2:$A$188,0)))</f>
        <v>INHERITED ESTIMATE</v>
      </c>
      <c r="I8" s="76"/>
      <c r="J8" s="76" t="s">
        <v>5534</v>
      </c>
      <c r="K8" s="76" t="s">
        <v>5521</v>
      </c>
      <c r="L8" s="76" t="s">
        <v>5522</v>
      </c>
    </row>
    <row r="9" spans="1:12" ht="69.95" customHeight="1">
      <c r="A9" s="76" t="s">
        <v>211</v>
      </c>
      <c r="B9" s="76" t="s">
        <v>123</v>
      </c>
      <c r="C9" s="76" t="str">
        <f>IF(INDEX(Backlog!$K$2:$K$188,MATCH(A9,Backlog!$A$2:$A$188,0))="","",INDEX(Backlog!$K$2:$K$188,MATCH(A9,Backlog!$A$2:$A$188,0)))</f>
        <v>Done</v>
      </c>
      <c r="D9" s="76" t="s">
        <v>5517</v>
      </c>
      <c r="E9" s="76" t="s">
        <v>5535</v>
      </c>
      <c r="F9" s="76" t="s">
        <v>5519</v>
      </c>
      <c r="G9" s="77">
        <f>IF(INDEX(Backlog!$J$2:$J$188,MATCH(A9,Backlog!$A$2:$A$188,0))="","UNESTIMATED",IF(INDEX(Backlog!$AM$2:$AM$188,MATCH(A9,Backlog!$A$2:$A$188,0))=1,INDEX(Backlog!$J$2:$J$188,MATCH(A9,Backlog!$A$2:$A$188,0)),INDEX(Backlog!$J$2:$J$188,MATCH(A9,Backlog!$A$2:$A$188,0))&amp;" [STALE]"))</f>
        <v>6</v>
      </c>
      <c r="H9" s="76" t="str">
        <f>IF(INDEX(Backlog!$AR$2:$AR$188,MATCH(A9,Backlog!$A$2:$A$188,0))="","",INDEX(Backlog!$AR$2:$AR$188,MATCH(A9,Backlog!$A$2:$A$188,0)))</f>
        <v>INHERITED ESTIMATE</v>
      </c>
      <c r="I9" s="76"/>
      <c r="J9" s="76" t="s">
        <v>5536</v>
      </c>
      <c r="K9" s="76" t="s">
        <v>5521</v>
      </c>
      <c r="L9" s="76" t="s">
        <v>5522</v>
      </c>
    </row>
    <row r="10" spans="1:12" ht="69.95" customHeight="1">
      <c r="A10" s="76" t="s">
        <v>219</v>
      </c>
      <c r="B10" s="76" t="s">
        <v>123</v>
      </c>
      <c r="C10" s="76" t="str">
        <f>IF(INDEX(Backlog!$K$2:$K$188,MATCH(A10,Backlog!$A$2:$A$188,0))="","",INDEX(Backlog!$K$2:$K$188,MATCH(A10,Backlog!$A$2:$A$188,0)))</f>
        <v>Done</v>
      </c>
      <c r="D10" s="76" t="s">
        <v>5517</v>
      </c>
      <c r="E10" s="76" t="s">
        <v>5537</v>
      </c>
      <c r="F10" s="76" t="s">
        <v>5519</v>
      </c>
      <c r="G10" s="77">
        <f>IF(INDEX(Backlog!$J$2:$J$188,MATCH(A10,Backlog!$A$2:$A$188,0))="","UNESTIMATED",IF(INDEX(Backlog!$AM$2:$AM$188,MATCH(A10,Backlog!$A$2:$A$188,0))=1,INDEX(Backlog!$J$2:$J$188,MATCH(A10,Backlog!$A$2:$A$188,0)),INDEX(Backlog!$J$2:$J$188,MATCH(A10,Backlog!$A$2:$A$188,0))&amp;" [STALE]"))</f>
        <v>24</v>
      </c>
      <c r="H10" s="76" t="str">
        <f>IF(INDEX(Backlog!$AR$2:$AR$188,MATCH(A10,Backlog!$A$2:$A$188,0))="","",INDEX(Backlog!$AR$2:$AR$188,MATCH(A10,Backlog!$A$2:$A$188,0)))</f>
        <v>INHERITED ESTIMATE</v>
      </c>
      <c r="I10" s="76"/>
      <c r="J10" s="76" t="s">
        <v>5538</v>
      </c>
      <c r="K10" s="76" t="s">
        <v>5521</v>
      </c>
      <c r="L10" s="76" t="s">
        <v>5522</v>
      </c>
    </row>
    <row r="11" spans="1:12" ht="69.95" customHeight="1">
      <c r="A11" s="76" t="s">
        <v>118</v>
      </c>
      <c r="B11" s="76" t="s">
        <v>123</v>
      </c>
      <c r="C11" s="76" t="str">
        <f>IF(INDEX(Backlog!$K$2:$K$188,MATCH(A11,Backlog!$A$2:$A$188,0))="","",INDEX(Backlog!$K$2:$K$188,MATCH(A11,Backlog!$A$2:$A$188,0)))</f>
        <v>Done</v>
      </c>
      <c r="D11" s="76" t="s">
        <v>5517</v>
      </c>
      <c r="E11" s="76" t="s">
        <v>5539</v>
      </c>
      <c r="F11" s="76" t="s">
        <v>5519</v>
      </c>
      <c r="G11" s="77">
        <f>IF(INDEX(Backlog!$J$2:$J$188,MATCH(A11,Backlog!$A$2:$A$188,0))="","UNESTIMATED",IF(INDEX(Backlog!$AM$2:$AM$188,MATCH(A11,Backlog!$A$2:$A$188,0))=1,INDEX(Backlog!$J$2:$J$188,MATCH(A11,Backlog!$A$2:$A$188,0)),INDEX(Backlog!$J$2:$J$188,MATCH(A11,Backlog!$A$2:$A$188,0))&amp;" [STALE]"))</f>
        <v>4</v>
      </c>
      <c r="H11" s="76" t="str">
        <f>IF(INDEX(Backlog!$AR$2:$AR$188,MATCH(A11,Backlog!$A$2:$A$188,0))="","",INDEX(Backlog!$AR$2:$AR$188,MATCH(A11,Backlog!$A$2:$A$188,0)))</f>
        <v>INHERITED ESTIMATE</v>
      </c>
      <c r="I11" s="76" t="str">
        <f>""</f>
        <v/>
      </c>
      <c r="J11" s="76" t="s">
        <v>5540</v>
      </c>
      <c r="K11" s="76" t="s">
        <v>5521</v>
      </c>
      <c r="L11" s="76" t="s">
        <v>5522</v>
      </c>
    </row>
    <row r="12" spans="1:12" ht="69.95" customHeight="1">
      <c r="A12" s="76" t="s">
        <v>239</v>
      </c>
      <c r="B12" s="76" t="s">
        <v>123</v>
      </c>
      <c r="C12" s="76" t="str">
        <f>IF(INDEX(Backlog!$K$2:$K$188,MATCH(A12,Backlog!$A$2:$A$188,0))="","",INDEX(Backlog!$K$2:$K$188,MATCH(A12,Backlog!$A$2:$A$188,0)))</f>
        <v>Done</v>
      </c>
      <c r="D12" s="76" t="s">
        <v>5517</v>
      </c>
      <c r="E12" s="76" t="s">
        <v>5541</v>
      </c>
      <c r="F12" s="76" t="s">
        <v>5519</v>
      </c>
      <c r="G12" s="77">
        <f>IF(INDEX(Backlog!$J$2:$J$188,MATCH(A12,Backlog!$A$2:$A$188,0))="","UNESTIMATED",IF(INDEX(Backlog!$AM$2:$AM$188,MATCH(A12,Backlog!$A$2:$A$188,0))=1,INDEX(Backlog!$J$2:$J$188,MATCH(A12,Backlog!$A$2:$A$188,0)),INDEX(Backlog!$J$2:$J$188,MATCH(A12,Backlog!$A$2:$A$188,0))&amp;" [STALE]"))</f>
        <v>10</v>
      </c>
      <c r="H12" s="76" t="str">
        <f>IF(INDEX(Backlog!$AR$2:$AR$188,MATCH(A12,Backlog!$A$2:$A$188,0))="","",INDEX(Backlog!$AR$2:$AR$188,MATCH(A12,Backlog!$A$2:$A$188,0)))</f>
        <v>INHERITED ESTIMATE</v>
      </c>
      <c r="I12" s="76"/>
      <c r="J12" s="76" t="s">
        <v>5542</v>
      </c>
      <c r="K12" s="76" t="s">
        <v>5521</v>
      </c>
      <c r="L12" s="76" t="s">
        <v>5522</v>
      </c>
    </row>
    <row r="13" spans="1:12" ht="69.95" customHeight="1">
      <c r="A13" s="76" t="s">
        <v>252</v>
      </c>
      <c r="B13" s="76" t="s">
        <v>123</v>
      </c>
      <c r="C13" s="76" t="str">
        <f>IF(INDEX(Backlog!$K$2:$K$188,MATCH(A13,Backlog!$A$2:$A$188,0))="","",INDEX(Backlog!$K$2:$K$188,MATCH(A13,Backlog!$A$2:$A$188,0)))</f>
        <v>Done</v>
      </c>
      <c r="D13" s="76" t="s">
        <v>5517</v>
      </c>
      <c r="E13" s="76" t="s">
        <v>5543</v>
      </c>
      <c r="F13" s="76" t="s">
        <v>5519</v>
      </c>
      <c r="G13" s="77">
        <f>IF(INDEX(Backlog!$J$2:$J$188,MATCH(A13,Backlog!$A$2:$A$188,0))="","UNESTIMATED",IF(INDEX(Backlog!$AM$2:$AM$188,MATCH(A13,Backlog!$A$2:$A$188,0))=1,INDEX(Backlog!$J$2:$J$188,MATCH(A13,Backlog!$A$2:$A$188,0)),INDEX(Backlog!$J$2:$J$188,MATCH(A13,Backlog!$A$2:$A$188,0))&amp;" [STALE]"))</f>
        <v>10</v>
      </c>
      <c r="H13" s="76" t="str">
        <f>IF(INDEX(Backlog!$AR$2:$AR$188,MATCH(A13,Backlog!$A$2:$A$188,0))="","",INDEX(Backlog!$AR$2:$AR$188,MATCH(A13,Backlog!$A$2:$A$188,0)))</f>
        <v>INHERITED ESTIMATE</v>
      </c>
      <c r="I13" s="76"/>
      <c r="J13" s="76" t="s">
        <v>5544</v>
      </c>
      <c r="K13" s="76" t="s">
        <v>5521</v>
      </c>
      <c r="L13" s="76" t="s">
        <v>5522</v>
      </c>
    </row>
    <row r="14" spans="1:12" ht="69.95" customHeight="1">
      <c r="A14" s="76" t="s">
        <v>262</v>
      </c>
      <c r="B14" s="76" t="s">
        <v>123</v>
      </c>
      <c r="C14" s="76" t="str">
        <f>IF(INDEX(Backlog!$K$2:$K$188,MATCH(A14,Backlog!$A$2:$A$188,0))="","",INDEX(Backlog!$K$2:$K$188,MATCH(A14,Backlog!$A$2:$A$188,0)))</f>
        <v>Done</v>
      </c>
      <c r="D14" s="76" t="s">
        <v>5517</v>
      </c>
      <c r="E14" s="76" t="s">
        <v>5545</v>
      </c>
      <c r="F14" s="76" t="s">
        <v>5519</v>
      </c>
      <c r="G14" s="77">
        <f>IF(INDEX(Backlog!$J$2:$J$188,MATCH(A14,Backlog!$A$2:$A$188,0))="","UNESTIMATED",IF(INDEX(Backlog!$AM$2:$AM$188,MATCH(A14,Backlog!$A$2:$A$188,0))=1,INDEX(Backlog!$J$2:$J$188,MATCH(A14,Backlog!$A$2:$A$188,0)),INDEX(Backlog!$J$2:$J$188,MATCH(A14,Backlog!$A$2:$A$188,0))&amp;" [STALE]"))</f>
        <v>10</v>
      </c>
      <c r="H14" s="76" t="str">
        <f>IF(INDEX(Backlog!$AR$2:$AR$188,MATCH(A14,Backlog!$A$2:$A$188,0))="","",INDEX(Backlog!$AR$2:$AR$188,MATCH(A14,Backlog!$A$2:$A$188,0)))</f>
        <v>INHERITED ESTIMATE</v>
      </c>
      <c r="I14" s="76"/>
      <c r="J14" s="76" t="s">
        <v>5546</v>
      </c>
      <c r="K14" s="76" t="s">
        <v>5521</v>
      </c>
      <c r="L14" s="76" t="s">
        <v>5522</v>
      </c>
    </row>
    <row r="15" spans="1:12" ht="69.95" customHeight="1">
      <c r="A15" s="76" t="s">
        <v>274</v>
      </c>
      <c r="B15" s="76" t="s">
        <v>123</v>
      </c>
      <c r="C15" s="76" t="str">
        <f>IF(INDEX(Backlog!$K$2:$K$188,MATCH(A15,Backlog!$A$2:$A$188,0))="","",INDEX(Backlog!$K$2:$K$188,MATCH(A15,Backlog!$A$2:$A$188,0)))</f>
        <v>Done</v>
      </c>
      <c r="D15" s="76" t="s">
        <v>5517</v>
      </c>
      <c r="E15" s="76" t="s">
        <v>5547</v>
      </c>
      <c r="F15" s="76" t="s">
        <v>5519</v>
      </c>
      <c r="G15" s="77">
        <f>IF(INDEX(Backlog!$J$2:$J$188,MATCH(A15,Backlog!$A$2:$A$188,0))="","UNESTIMATED",IF(INDEX(Backlog!$AM$2:$AM$188,MATCH(A15,Backlog!$A$2:$A$188,0))=1,INDEX(Backlog!$J$2:$J$188,MATCH(A15,Backlog!$A$2:$A$188,0)),INDEX(Backlog!$J$2:$J$188,MATCH(A15,Backlog!$A$2:$A$188,0))&amp;" [STALE]"))</f>
        <v>8</v>
      </c>
      <c r="H15" s="76" t="str">
        <f>IF(INDEX(Backlog!$AR$2:$AR$188,MATCH(A15,Backlog!$A$2:$A$188,0))="","",INDEX(Backlog!$AR$2:$AR$188,MATCH(A15,Backlog!$A$2:$A$188,0)))</f>
        <v>INHERITED ESTIMATE</v>
      </c>
      <c r="I15" s="76"/>
      <c r="J15" s="76" t="s">
        <v>5548</v>
      </c>
      <c r="K15" s="76" t="s">
        <v>5521</v>
      </c>
      <c r="L15" s="76" t="s">
        <v>5522</v>
      </c>
    </row>
    <row r="16" spans="1:12" ht="69.95" customHeight="1">
      <c r="A16" s="76" t="s">
        <v>287</v>
      </c>
      <c r="B16" s="76" t="s">
        <v>123</v>
      </c>
      <c r="C16" s="76" t="str">
        <f>IF(INDEX(Backlog!$K$2:$K$188,MATCH(A16,Backlog!$A$2:$A$188,0))="","",INDEX(Backlog!$K$2:$K$188,MATCH(A16,Backlog!$A$2:$A$188,0)))</f>
        <v>Done</v>
      </c>
      <c r="D16" s="76" t="s">
        <v>5517</v>
      </c>
      <c r="E16" s="76" t="s">
        <v>5549</v>
      </c>
      <c r="F16" s="76" t="s">
        <v>5519</v>
      </c>
      <c r="G16" s="77">
        <f>IF(INDEX(Backlog!$J$2:$J$188,MATCH(A16,Backlog!$A$2:$A$188,0))="","UNESTIMATED",IF(INDEX(Backlog!$AM$2:$AM$188,MATCH(A16,Backlog!$A$2:$A$188,0))=1,INDEX(Backlog!$J$2:$J$188,MATCH(A16,Backlog!$A$2:$A$188,0)),INDEX(Backlog!$J$2:$J$188,MATCH(A16,Backlog!$A$2:$A$188,0))&amp;" [STALE]"))</f>
        <v>8</v>
      </c>
      <c r="H16" s="76" t="str">
        <f>IF(INDEX(Backlog!$AR$2:$AR$188,MATCH(A16,Backlog!$A$2:$A$188,0))="","",INDEX(Backlog!$AR$2:$AR$188,MATCH(A16,Backlog!$A$2:$A$188,0)))</f>
        <v>INHERITED ESTIMATE</v>
      </c>
      <c r="I16" s="76"/>
      <c r="J16" s="76" t="s">
        <v>5550</v>
      </c>
      <c r="K16" s="76" t="s">
        <v>5551</v>
      </c>
      <c r="L16" s="76" t="s">
        <v>5522</v>
      </c>
    </row>
    <row r="17" spans="1:12" ht="69.95" customHeight="1">
      <c r="A17" s="76" t="s">
        <v>299</v>
      </c>
      <c r="B17" s="76" t="s">
        <v>123</v>
      </c>
      <c r="C17" s="76" t="str">
        <f>IF(INDEX(Backlog!$K$2:$K$188,MATCH(A17,Backlog!$A$2:$A$188,0))="","",INDEX(Backlog!$K$2:$K$188,MATCH(A17,Backlog!$A$2:$A$188,0)))</f>
        <v>Done</v>
      </c>
      <c r="D17" s="76" t="s">
        <v>5517</v>
      </c>
      <c r="E17" s="76" t="s">
        <v>5552</v>
      </c>
      <c r="F17" s="76" t="s">
        <v>5519</v>
      </c>
      <c r="G17" s="77">
        <f>IF(INDEX(Backlog!$J$2:$J$188,MATCH(A17,Backlog!$A$2:$A$188,0))="","UNESTIMATED",IF(INDEX(Backlog!$AM$2:$AM$188,MATCH(A17,Backlog!$A$2:$A$188,0))=1,INDEX(Backlog!$J$2:$J$188,MATCH(A17,Backlog!$A$2:$A$188,0)),INDEX(Backlog!$J$2:$J$188,MATCH(A17,Backlog!$A$2:$A$188,0))&amp;" [STALE]"))</f>
        <v>10</v>
      </c>
      <c r="H17" s="76" t="str">
        <f>IF(INDEX(Backlog!$AR$2:$AR$188,MATCH(A17,Backlog!$A$2:$A$188,0))="","",INDEX(Backlog!$AR$2:$AR$188,MATCH(A17,Backlog!$A$2:$A$188,0)))</f>
        <v>INHERITED ESTIMATE</v>
      </c>
      <c r="I17" s="76"/>
      <c r="J17" s="76" t="s">
        <v>5553</v>
      </c>
      <c r="K17" s="76" t="s">
        <v>5521</v>
      </c>
      <c r="L17" s="76" t="s">
        <v>5522</v>
      </c>
    </row>
    <row r="18" spans="1:12" ht="69.95" customHeight="1">
      <c r="A18" s="76" t="s">
        <v>309</v>
      </c>
      <c r="B18" s="76" t="s">
        <v>123</v>
      </c>
      <c r="C18" s="76" t="str">
        <f>IF(INDEX(Backlog!$K$2:$K$188,MATCH(A18,Backlog!$A$2:$A$188,0))="","",INDEX(Backlog!$K$2:$K$188,MATCH(A18,Backlog!$A$2:$A$188,0)))</f>
        <v>Done</v>
      </c>
      <c r="D18" s="76" t="s">
        <v>5517</v>
      </c>
      <c r="E18" s="76" t="s">
        <v>5554</v>
      </c>
      <c r="F18" s="76" t="s">
        <v>5519</v>
      </c>
      <c r="G18" s="77">
        <f>IF(INDEX(Backlog!$J$2:$J$188,MATCH(A18,Backlog!$A$2:$A$188,0))="","UNESTIMATED",IF(INDEX(Backlog!$AM$2:$AM$188,MATCH(A18,Backlog!$A$2:$A$188,0))=1,INDEX(Backlog!$J$2:$J$188,MATCH(A18,Backlog!$A$2:$A$188,0)),INDEX(Backlog!$J$2:$J$188,MATCH(A18,Backlog!$A$2:$A$188,0))&amp;" [STALE]"))</f>
        <v>6</v>
      </c>
      <c r="H18" s="76" t="str">
        <f>IF(INDEX(Backlog!$AR$2:$AR$188,MATCH(A18,Backlog!$A$2:$A$188,0))="","",INDEX(Backlog!$AR$2:$AR$188,MATCH(A18,Backlog!$A$2:$A$188,0)))</f>
        <v>INHERITED ESTIMATE</v>
      </c>
      <c r="I18" s="76"/>
      <c r="J18" s="76" t="s">
        <v>5555</v>
      </c>
      <c r="K18" s="76" t="s">
        <v>5521</v>
      </c>
      <c r="L18" s="76" t="s">
        <v>5522</v>
      </c>
    </row>
    <row r="19" spans="1:12" ht="69.95" customHeight="1">
      <c r="A19" s="76" t="s">
        <v>322</v>
      </c>
      <c r="B19" s="76" t="s">
        <v>123</v>
      </c>
      <c r="C19" s="76" t="str">
        <f>IF(INDEX(Backlog!$K$2:$K$188,MATCH(A19,Backlog!$A$2:$A$188,0))="","",INDEX(Backlog!$K$2:$K$188,MATCH(A19,Backlog!$A$2:$A$188,0)))</f>
        <v>Done</v>
      </c>
      <c r="D19" s="76" t="s">
        <v>5517</v>
      </c>
      <c r="E19" s="76" t="s">
        <v>5556</v>
      </c>
      <c r="F19" s="76" t="s">
        <v>5519</v>
      </c>
      <c r="G19" s="77">
        <f>IF(INDEX(Backlog!$J$2:$J$188,MATCH(A19,Backlog!$A$2:$A$188,0))="","UNESTIMATED",IF(INDEX(Backlog!$AM$2:$AM$188,MATCH(A19,Backlog!$A$2:$A$188,0))=1,INDEX(Backlog!$J$2:$J$188,MATCH(A19,Backlog!$A$2:$A$188,0)),INDEX(Backlog!$J$2:$J$188,MATCH(A19,Backlog!$A$2:$A$188,0))&amp;" [STALE]"))</f>
        <v>12</v>
      </c>
      <c r="H19" s="76" t="str">
        <f>IF(INDEX(Backlog!$AR$2:$AR$188,MATCH(A19,Backlog!$A$2:$A$188,0))="","",INDEX(Backlog!$AR$2:$AR$188,MATCH(A19,Backlog!$A$2:$A$188,0)))</f>
        <v>INHERITED ESTIMATE</v>
      </c>
      <c r="I19" s="76"/>
      <c r="J19" s="76" t="s">
        <v>5557</v>
      </c>
      <c r="K19" s="76" t="s">
        <v>5521</v>
      </c>
      <c r="L19" s="76" t="s">
        <v>5522</v>
      </c>
    </row>
    <row r="20" spans="1:12" ht="69.95" customHeight="1">
      <c r="A20" s="76" t="s">
        <v>334</v>
      </c>
      <c r="B20" s="76" t="s">
        <v>123</v>
      </c>
      <c r="C20" s="76" t="str">
        <f>IF(INDEX(Backlog!$K$2:$K$188,MATCH(A20,Backlog!$A$2:$A$188,0))="","",INDEX(Backlog!$K$2:$K$188,MATCH(A20,Backlog!$A$2:$A$188,0)))</f>
        <v>Done</v>
      </c>
      <c r="D20" s="76" t="s">
        <v>5517</v>
      </c>
      <c r="E20" s="76" t="s">
        <v>5558</v>
      </c>
      <c r="F20" s="76" t="s">
        <v>5519</v>
      </c>
      <c r="G20" s="77">
        <f>IF(INDEX(Backlog!$J$2:$J$188,MATCH(A20,Backlog!$A$2:$A$188,0))="","UNESTIMATED",IF(INDEX(Backlog!$AM$2:$AM$188,MATCH(A20,Backlog!$A$2:$A$188,0))=1,INDEX(Backlog!$J$2:$J$188,MATCH(A20,Backlog!$A$2:$A$188,0)),INDEX(Backlog!$J$2:$J$188,MATCH(A20,Backlog!$A$2:$A$188,0))&amp;" [STALE]"))</f>
        <v>5</v>
      </c>
      <c r="H20" s="76" t="str">
        <f>IF(INDEX(Backlog!$AR$2:$AR$188,MATCH(A20,Backlog!$A$2:$A$188,0))="","",INDEX(Backlog!$AR$2:$AR$188,MATCH(A20,Backlog!$A$2:$A$188,0)))</f>
        <v>INHERITED ESTIMATE</v>
      </c>
      <c r="I20" s="76"/>
      <c r="J20" s="76" t="s">
        <v>5559</v>
      </c>
      <c r="K20" s="76" t="s">
        <v>5521</v>
      </c>
      <c r="L20" s="76" t="s">
        <v>5522</v>
      </c>
    </row>
    <row r="21" spans="1:12" ht="69.95" customHeight="1">
      <c r="A21" s="76" t="s">
        <v>346</v>
      </c>
      <c r="B21" s="76" t="s">
        <v>123</v>
      </c>
      <c r="C21" s="76" t="str">
        <f>IF(INDEX(Backlog!$K$2:$K$188,MATCH(A21,Backlog!$A$2:$A$188,0))="","",INDEX(Backlog!$K$2:$K$188,MATCH(A21,Backlog!$A$2:$A$188,0)))</f>
        <v>Done</v>
      </c>
      <c r="D21" s="76" t="s">
        <v>5517</v>
      </c>
      <c r="E21" s="76" t="s">
        <v>5560</v>
      </c>
      <c r="F21" s="76" t="s">
        <v>5519</v>
      </c>
      <c r="G21" s="77">
        <f>IF(INDEX(Backlog!$J$2:$J$188,MATCH(A21,Backlog!$A$2:$A$188,0))="","UNESTIMATED",IF(INDEX(Backlog!$AM$2:$AM$188,MATCH(A21,Backlog!$A$2:$A$188,0))=1,INDEX(Backlog!$J$2:$J$188,MATCH(A21,Backlog!$A$2:$A$188,0)),INDEX(Backlog!$J$2:$J$188,MATCH(A21,Backlog!$A$2:$A$188,0))&amp;" [STALE]"))</f>
        <v>6</v>
      </c>
      <c r="H21" s="76" t="str">
        <f>IF(INDEX(Backlog!$AR$2:$AR$188,MATCH(A21,Backlog!$A$2:$A$188,0))="","",INDEX(Backlog!$AR$2:$AR$188,MATCH(A21,Backlog!$A$2:$A$188,0)))</f>
        <v>INHERITED ESTIMATE</v>
      </c>
      <c r="I21" s="76"/>
      <c r="J21" s="76" t="s">
        <v>5561</v>
      </c>
      <c r="K21" s="76" t="s">
        <v>5521</v>
      </c>
      <c r="L21" s="76" t="s">
        <v>5522</v>
      </c>
    </row>
    <row r="22" spans="1:12" ht="69.95" customHeight="1">
      <c r="A22" s="76" t="s">
        <v>356</v>
      </c>
      <c r="B22" s="76" t="s">
        <v>123</v>
      </c>
      <c r="C22" s="76" t="str">
        <f>IF(INDEX(Backlog!$K$2:$K$188,MATCH(A22,Backlog!$A$2:$A$188,0))="","",INDEX(Backlog!$K$2:$K$188,MATCH(A22,Backlog!$A$2:$A$188,0)))</f>
        <v>Done</v>
      </c>
      <c r="D22" s="76" t="s">
        <v>5517</v>
      </c>
      <c r="E22" s="76" t="s">
        <v>5562</v>
      </c>
      <c r="F22" s="76" t="s">
        <v>5519</v>
      </c>
      <c r="G22" s="77">
        <f>IF(INDEX(Backlog!$J$2:$J$188,MATCH(A22,Backlog!$A$2:$A$188,0))="","UNESTIMATED",IF(INDEX(Backlog!$AM$2:$AM$188,MATCH(A22,Backlog!$A$2:$A$188,0))=1,INDEX(Backlog!$J$2:$J$188,MATCH(A22,Backlog!$A$2:$A$188,0)),INDEX(Backlog!$J$2:$J$188,MATCH(A22,Backlog!$A$2:$A$188,0))&amp;" [STALE]"))</f>
        <v>6</v>
      </c>
      <c r="H22" s="76" t="str">
        <f>IF(INDEX(Backlog!$AR$2:$AR$188,MATCH(A22,Backlog!$A$2:$A$188,0))="","",INDEX(Backlog!$AR$2:$AR$188,MATCH(A22,Backlog!$A$2:$A$188,0)))</f>
        <v>INHERITED ESTIMATE</v>
      </c>
      <c r="I22" s="76"/>
      <c r="J22" s="76" t="s">
        <v>5563</v>
      </c>
      <c r="K22" s="76" t="s">
        <v>5521</v>
      </c>
      <c r="L22" s="76" t="s">
        <v>5522</v>
      </c>
    </row>
    <row r="23" spans="1:12" ht="69.95" customHeight="1">
      <c r="A23" s="76" t="s">
        <v>368</v>
      </c>
      <c r="B23" s="76" t="s">
        <v>123</v>
      </c>
      <c r="C23" s="76" t="str">
        <f>IF(INDEX(Backlog!$K$2:$K$188,MATCH(A23,Backlog!$A$2:$A$188,0))="","",INDEX(Backlog!$K$2:$K$188,MATCH(A23,Backlog!$A$2:$A$188,0)))</f>
        <v>Done</v>
      </c>
      <c r="D23" s="76" t="s">
        <v>5564</v>
      </c>
      <c r="E23" s="76" t="s">
        <v>378</v>
      </c>
      <c r="F23" s="76" t="s">
        <v>5565</v>
      </c>
      <c r="G23" s="77">
        <f>IF(INDEX(Backlog!$J$2:$J$188,MATCH(A23,Backlog!$A$2:$A$188,0))="","UNESTIMATED",IF(INDEX(Backlog!$AM$2:$AM$188,MATCH(A23,Backlog!$A$2:$A$188,0))=1,INDEX(Backlog!$J$2:$J$188,MATCH(A23,Backlog!$A$2:$A$188,0)),INDEX(Backlog!$J$2:$J$188,MATCH(A23,Backlog!$A$2:$A$188,0))&amp;" [STALE]"))</f>
        <v>12</v>
      </c>
      <c r="H23" s="76" t="str">
        <f>IF(INDEX(Backlog!$AR$2:$AR$188,MATCH(A23,Backlog!$A$2:$A$188,0))="","",INDEX(Backlog!$AR$2:$AR$188,MATCH(A23,Backlog!$A$2:$A$188,0)))</f>
        <v>INHERITED ESTIMATE</v>
      </c>
      <c r="I23" s="76"/>
      <c r="J23" s="76" t="s">
        <v>5566</v>
      </c>
      <c r="K23" s="76" t="s">
        <v>5521</v>
      </c>
      <c r="L23" s="76" t="s">
        <v>5567</v>
      </c>
    </row>
    <row r="24" spans="1:12" ht="69.95" customHeight="1">
      <c r="A24" s="76" t="s">
        <v>381</v>
      </c>
      <c r="B24" s="76" t="s">
        <v>123</v>
      </c>
      <c r="C24" s="76" t="str">
        <f>IF(INDEX(Backlog!$K$2:$K$188,MATCH(A24,Backlog!$A$2:$A$188,0))="","",INDEX(Backlog!$K$2:$K$188,MATCH(A24,Backlog!$A$2:$A$188,0)))</f>
        <v>Done</v>
      </c>
      <c r="D24" s="76" t="s">
        <v>5517</v>
      </c>
      <c r="E24" s="76" t="s">
        <v>5549</v>
      </c>
      <c r="F24" s="76" t="s">
        <v>5519</v>
      </c>
      <c r="G24" s="77">
        <f>IF(INDEX(Backlog!$J$2:$J$188,MATCH(A24,Backlog!$A$2:$A$188,0))="","UNESTIMATED",IF(INDEX(Backlog!$AM$2:$AM$188,MATCH(A24,Backlog!$A$2:$A$188,0))=1,INDEX(Backlog!$J$2:$J$188,MATCH(A24,Backlog!$A$2:$A$188,0)),INDEX(Backlog!$J$2:$J$188,MATCH(A24,Backlog!$A$2:$A$188,0))&amp;" [STALE]"))</f>
        <v>8</v>
      </c>
      <c r="H24" s="76" t="str">
        <f>IF(INDEX(Backlog!$AR$2:$AR$188,MATCH(A24,Backlog!$A$2:$A$188,0))="","",INDEX(Backlog!$AR$2:$AR$188,MATCH(A24,Backlog!$A$2:$A$188,0)))</f>
        <v>INHERITED ESTIMATE</v>
      </c>
      <c r="I24" s="76"/>
      <c r="J24" s="76" t="s">
        <v>5568</v>
      </c>
      <c r="K24" s="76" t="s">
        <v>5551</v>
      </c>
      <c r="L24" s="76" t="s">
        <v>5522</v>
      </c>
    </row>
    <row r="25" spans="1:12" ht="69.95" customHeight="1">
      <c r="A25" s="76" t="s">
        <v>392</v>
      </c>
      <c r="B25" s="76" t="s">
        <v>123</v>
      </c>
      <c r="C25" s="76" t="str">
        <f>IF(INDEX(Backlog!$K$2:$K$188,MATCH(A25,Backlog!$A$2:$A$188,0))="","",INDEX(Backlog!$K$2:$K$188,MATCH(A25,Backlog!$A$2:$A$188,0)))</f>
        <v>Done</v>
      </c>
      <c r="D25" s="76" t="s">
        <v>5569</v>
      </c>
      <c r="E25" s="76" t="s">
        <v>5570</v>
      </c>
      <c r="F25" s="76" t="s">
        <v>5571</v>
      </c>
      <c r="G25" s="77">
        <f>IF(INDEX(Backlog!$J$2:$J$188,MATCH(A25,Backlog!$A$2:$A$188,0))="","UNESTIMATED",IF(INDEX(Backlog!$AM$2:$AM$188,MATCH(A25,Backlog!$A$2:$A$188,0))=1,INDEX(Backlog!$J$2:$J$188,MATCH(A25,Backlog!$A$2:$A$188,0)),INDEX(Backlog!$J$2:$J$188,MATCH(A25,Backlog!$A$2:$A$188,0))&amp;" [STALE]"))</f>
        <v>12</v>
      </c>
      <c r="H25" s="76" t="str">
        <f>IF(INDEX(Backlog!$AR$2:$AR$188,MATCH(A25,Backlog!$A$2:$A$188,0))="","",INDEX(Backlog!$AR$2:$AR$188,MATCH(A25,Backlog!$A$2:$A$188,0)))</f>
        <v>INHERITED ESTIMATE</v>
      </c>
      <c r="I25" s="76"/>
      <c r="J25" s="76" t="s">
        <v>5572</v>
      </c>
      <c r="K25" s="76" t="s">
        <v>5521</v>
      </c>
      <c r="L25" s="76" t="s">
        <v>5573</v>
      </c>
    </row>
    <row r="26" spans="1:12" ht="69.95" customHeight="1">
      <c r="A26" s="76" t="s">
        <v>405</v>
      </c>
      <c r="B26" s="76" t="s">
        <v>123</v>
      </c>
      <c r="C26" s="76" t="str">
        <f>IF(INDEX(Backlog!$K$2:$K$188,MATCH(A26,Backlog!$A$2:$A$188,0))="","",INDEX(Backlog!$K$2:$K$188,MATCH(A26,Backlog!$A$2:$A$188,0)))</f>
        <v>Done</v>
      </c>
      <c r="D26" s="76" t="s">
        <v>5517</v>
      </c>
      <c r="E26" s="76" t="s">
        <v>5549</v>
      </c>
      <c r="F26" s="76" t="s">
        <v>5519</v>
      </c>
      <c r="G26" s="77">
        <f>IF(INDEX(Backlog!$J$2:$J$188,MATCH(A26,Backlog!$A$2:$A$188,0))="","UNESTIMATED",IF(INDEX(Backlog!$AM$2:$AM$188,MATCH(A26,Backlog!$A$2:$A$188,0))=1,INDEX(Backlog!$J$2:$J$188,MATCH(A26,Backlog!$A$2:$A$188,0)),INDEX(Backlog!$J$2:$J$188,MATCH(A26,Backlog!$A$2:$A$188,0))&amp;" [STALE]"))</f>
        <v>2</v>
      </c>
      <c r="H26" s="76" t="str">
        <f>IF(INDEX(Backlog!$AR$2:$AR$188,MATCH(A26,Backlog!$A$2:$A$188,0))="","",INDEX(Backlog!$AR$2:$AR$188,MATCH(A26,Backlog!$A$2:$A$188,0)))</f>
        <v>INHERITED ESTIMATE</v>
      </c>
      <c r="I26" s="76"/>
      <c r="J26" s="76" t="s">
        <v>5574</v>
      </c>
      <c r="K26" s="76" t="s">
        <v>5551</v>
      </c>
      <c r="L26" s="76" t="s">
        <v>5522</v>
      </c>
    </row>
    <row r="27" spans="1:12" ht="69.95" customHeight="1">
      <c r="A27" s="76" t="s">
        <v>414</v>
      </c>
      <c r="B27" s="76" t="s">
        <v>123</v>
      </c>
      <c r="C27" s="76" t="str">
        <f>IF(INDEX(Backlog!$K$2:$K$188,MATCH(A27,Backlog!$A$2:$A$188,0))="","",INDEX(Backlog!$K$2:$K$188,MATCH(A27,Backlog!$A$2:$A$188,0)))</f>
        <v>Done</v>
      </c>
      <c r="D27" s="76" t="s">
        <v>5517</v>
      </c>
      <c r="E27" s="76" t="s">
        <v>5549</v>
      </c>
      <c r="F27" s="76" t="s">
        <v>5519</v>
      </c>
      <c r="G27" s="77">
        <f>IF(INDEX(Backlog!$J$2:$J$188,MATCH(A27,Backlog!$A$2:$A$188,0))="","UNESTIMATED",IF(INDEX(Backlog!$AM$2:$AM$188,MATCH(A27,Backlog!$A$2:$A$188,0))=1,INDEX(Backlog!$J$2:$J$188,MATCH(A27,Backlog!$A$2:$A$188,0)),INDEX(Backlog!$J$2:$J$188,MATCH(A27,Backlog!$A$2:$A$188,0))&amp;" [STALE]"))</f>
        <v>6</v>
      </c>
      <c r="H27" s="76" t="str">
        <f>IF(INDEX(Backlog!$AR$2:$AR$188,MATCH(A27,Backlog!$A$2:$A$188,0))="","",INDEX(Backlog!$AR$2:$AR$188,MATCH(A27,Backlog!$A$2:$A$188,0)))</f>
        <v>INHERITED ESTIMATE</v>
      </c>
      <c r="I27" s="76"/>
      <c r="J27" s="76" t="s">
        <v>5575</v>
      </c>
      <c r="K27" s="76" t="s">
        <v>5551</v>
      </c>
      <c r="L27" s="76" t="s">
        <v>5522</v>
      </c>
    </row>
    <row r="28" spans="1:12" ht="69.95" customHeight="1">
      <c r="A28" s="76" t="s">
        <v>425</v>
      </c>
      <c r="B28" s="76" t="s">
        <v>433</v>
      </c>
      <c r="C28" s="76" t="str">
        <f>IF(INDEX(Backlog!$K$2:$K$188,MATCH(A28,Backlog!$A$2:$A$188,0))="","",INDEX(Backlog!$K$2:$K$188,MATCH(A28,Backlog!$A$2:$A$188,0)))</f>
        <v>Done</v>
      </c>
      <c r="D28" s="76" t="s">
        <v>3210</v>
      </c>
      <c r="E28" s="76" t="s">
        <v>5576</v>
      </c>
      <c r="F28" s="76" t="s">
        <v>5577</v>
      </c>
      <c r="G28" s="77">
        <f>IF(INDEX(Backlog!$J$2:$J$188,MATCH(A28,Backlog!$A$2:$A$188,0))="","UNESTIMATED",IF(INDEX(Backlog!$AM$2:$AM$188,MATCH(A28,Backlog!$A$2:$A$188,0))=1,INDEX(Backlog!$J$2:$J$188,MATCH(A28,Backlog!$A$2:$A$188,0)),INDEX(Backlog!$J$2:$J$188,MATCH(A28,Backlog!$A$2:$A$188,0))&amp;" [STALE]"))</f>
        <v>12</v>
      </c>
      <c r="H28" s="76" t="s">
        <v>5578</v>
      </c>
      <c r="I28" s="76"/>
      <c r="J28" s="76" t="s">
        <v>3213</v>
      </c>
      <c r="K28" s="76" t="s">
        <v>5521</v>
      </c>
      <c r="L28" s="76" t="s">
        <v>5579</v>
      </c>
    </row>
    <row r="29" spans="1:12" ht="69.95" customHeight="1">
      <c r="A29" s="76" t="s">
        <v>439</v>
      </c>
      <c r="B29" s="76" t="s">
        <v>433</v>
      </c>
      <c r="C29" s="76" t="str">
        <f>IF(INDEX(Backlog!$K$2:$K$188,MATCH(A29,Backlog!$A$2:$A$188,0))="","",INDEX(Backlog!$K$2:$K$188,MATCH(A29,Backlog!$A$2:$A$188,0)))</f>
        <v>Done</v>
      </c>
      <c r="D29" s="76" t="s">
        <v>3210</v>
      </c>
      <c r="E29" s="76" t="s">
        <v>5580</v>
      </c>
      <c r="F29" s="76" t="s">
        <v>5581</v>
      </c>
      <c r="G29" s="77">
        <f>IF(INDEX(Backlog!$J$2:$J$188,MATCH(A29,Backlog!$A$2:$A$188,0))="","UNESTIMATED",IF(INDEX(Backlog!$AM$2:$AM$188,MATCH(A29,Backlog!$A$2:$A$188,0))=1,INDEX(Backlog!$J$2:$J$188,MATCH(A29,Backlog!$A$2:$A$188,0)),INDEX(Backlog!$J$2:$J$188,MATCH(A29,Backlog!$A$2:$A$188,0))&amp;" [STALE]"))</f>
        <v>8</v>
      </c>
      <c r="H29" s="76" t="s">
        <v>5578</v>
      </c>
      <c r="I29" s="76"/>
      <c r="J29" s="76" t="s">
        <v>3216</v>
      </c>
      <c r="K29" s="76" t="s">
        <v>5521</v>
      </c>
      <c r="L29" s="76" t="s">
        <v>5582</v>
      </c>
    </row>
    <row r="30" spans="1:12" ht="69.95" customHeight="1">
      <c r="A30" s="76" t="s">
        <v>445</v>
      </c>
      <c r="B30" s="76" t="s">
        <v>433</v>
      </c>
      <c r="C30" s="76" t="str">
        <f>IF(INDEX(Backlog!$K$2:$K$188,MATCH(A30,Backlog!$A$2:$A$188,0))="","",INDEX(Backlog!$K$2:$K$188,MATCH(A30,Backlog!$A$2:$A$188,0)))</f>
        <v>Done</v>
      </c>
      <c r="D30" s="76" t="s">
        <v>3217</v>
      </c>
      <c r="E30" s="76" t="s">
        <v>5583</v>
      </c>
      <c r="F30" s="76" t="s">
        <v>5584</v>
      </c>
      <c r="G30" s="77">
        <f>IF(INDEX(Backlog!$J$2:$J$188,MATCH(A30,Backlog!$A$2:$A$188,0))="","UNESTIMATED",IF(INDEX(Backlog!$AM$2:$AM$188,MATCH(A30,Backlog!$A$2:$A$188,0))=1,INDEX(Backlog!$J$2:$J$188,MATCH(A30,Backlog!$A$2:$A$188,0)),INDEX(Backlog!$J$2:$J$188,MATCH(A30,Backlog!$A$2:$A$188,0))&amp;" [STALE]"))</f>
        <v>6</v>
      </c>
      <c r="H30" s="76" t="s">
        <v>5578</v>
      </c>
      <c r="I30" s="76"/>
      <c r="J30" s="76" t="s">
        <v>3220</v>
      </c>
      <c r="K30" s="76" t="s">
        <v>5521</v>
      </c>
      <c r="L30" s="76" t="s">
        <v>5582</v>
      </c>
    </row>
    <row r="31" spans="1:12" ht="69.95" customHeight="1">
      <c r="A31" s="76" t="s">
        <v>451</v>
      </c>
      <c r="B31" s="76" t="s">
        <v>433</v>
      </c>
      <c r="C31" s="76" t="str">
        <f>IF(INDEX(Backlog!$K$2:$K$188,MATCH(A31,Backlog!$A$2:$A$188,0))="","",INDEX(Backlog!$K$2:$K$188,MATCH(A31,Backlog!$A$2:$A$188,0)))</f>
        <v>Not Started</v>
      </c>
      <c r="D31" s="76" t="s">
        <v>3221</v>
      </c>
      <c r="E31" s="76" t="s">
        <v>5549</v>
      </c>
      <c r="F31" s="76" t="s">
        <v>5585</v>
      </c>
      <c r="G31" s="77">
        <f>IF(INDEX(Backlog!$J$2:$J$188,MATCH(A31,Backlog!$A$2:$A$188,0))="","UNESTIMATED",IF(INDEX(Backlog!$AM$2:$AM$188,MATCH(A31,Backlog!$A$2:$A$188,0))=1,INDEX(Backlog!$J$2:$J$188,MATCH(A31,Backlog!$A$2:$A$188,0)),INDEX(Backlog!$J$2:$J$188,MATCH(A31,Backlog!$A$2:$A$188,0))&amp;" [STALE]"))</f>
        <v>12</v>
      </c>
      <c r="H31" s="76" t="s">
        <v>5586</v>
      </c>
      <c r="I31" s="76"/>
      <c r="J31" s="76" t="s">
        <v>3224</v>
      </c>
      <c r="K31" s="76" t="s">
        <v>5587</v>
      </c>
      <c r="L31" s="76" t="s">
        <v>5588</v>
      </c>
    </row>
    <row r="32" spans="1:12" ht="69.95" customHeight="1">
      <c r="A32" s="76" t="s">
        <v>463</v>
      </c>
      <c r="B32" s="76" t="s">
        <v>433</v>
      </c>
      <c r="C32" s="76" t="str">
        <f>IF(INDEX(Backlog!$K$2:$K$188,MATCH(A32,Backlog!$A$2:$A$188,0))="","",INDEX(Backlog!$K$2:$K$188,MATCH(A32,Backlog!$A$2:$A$188,0)))</f>
        <v>Done</v>
      </c>
      <c r="D32" s="76" t="s">
        <v>3225</v>
      </c>
      <c r="E32" s="76" t="s">
        <v>5589</v>
      </c>
      <c r="F32" s="76" t="s">
        <v>5590</v>
      </c>
      <c r="G32" s="77">
        <f>IF(INDEX(Backlog!$J$2:$J$188,MATCH(A32,Backlog!$A$2:$A$188,0))="","UNESTIMATED",IF(INDEX(Backlog!$AM$2:$AM$188,MATCH(A32,Backlog!$A$2:$A$188,0))=1,INDEX(Backlog!$J$2:$J$188,MATCH(A32,Backlog!$A$2:$A$188,0)),INDEX(Backlog!$J$2:$J$188,MATCH(A32,Backlog!$A$2:$A$188,0))&amp;" [STALE]"))</f>
        <v>8</v>
      </c>
      <c r="H32" s="76" t="s">
        <v>5578</v>
      </c>
      <c r="I32" s="76"/>
      <c r="J32" s="76" t="s">
        <v>3228</v>
      </c>
      <c r="K32" s="76" t="s">
        <v>5521</v>
      </c>
      <c r="L32" s="76" t="s">
        <v>5582</v>
      </c>
    </row>
    <row r="33" spans="1:12" ht="69.95" customHeight="1">
      <c r="A33" s="76" t="s">
        <v>476</v>
      </c>
      <c r="B33" s="76" t="s">
        <v>433</v>
      </c>
      <c r="C33" s="76" t="str">
        <f>IF(INDEX(Backlog!$K$2:$K$188,MATCH(A33,Backlog!$A$2:$A$188,0))="","",INDEX(Backlog!$K$2:$K$188,MATCH(A33,Backlog!$A$2:$A$188,0)))</f>
        <v>Done</v>
      </c>
      <c r="D33" s="76" t="s">
        <v>31</v>
      </c>
      <c r="E33" s="76" t="s">
        <v>5591</v>
      </c>
      <c r="F33" s="76" t="s">
        <v>3229</v>
      </c>
      <c r="G33" s="77" t="str">
        <f>IF(INDEX(Backlog!$J$2:$J$188,MATCH(A33,Backlog!$A$2:$A$188,0))="","UNESTIMATED",IF(INDEX(Backlog!$AM$2:$AM$188,MATCH(A33,Backlog!$A$2:$A$188,0))=1,INDEX(Backlog!$J$2:$J$188,MATCH(A33,Backlog!$A$2:$A$188,0)),INDEX(Backlog!$J$2:$J$188,MATCH(A33,Backlog!$A$2:$A$188,0))&amp;" [STALE]"))</f>
        <v>6 [STALE]</v>
      </c>
      <c r="H33" s="76" t="s">
        <v>5592</v>
      </c>
      <c r="I33" s="76"/>
      <c r="J33" s="76" t="s">
        <v>3230</v>
      </c>
      <c r="K33" s="76" t="s">
        <v>5593</v>
      </c>
      <c r="L33" s="76" t="s">
        <v>3229</v>
      </c>
    </row>
    <row r="34" spans="1:12" ht="69.95" customHeight="1">
      <c r="A34" s="76" t="s">
        <v>489</v>
      </c>
      <c r="B34" s="76" t="s">
        <v>433</v>
      </c>
      <c r="C34" s="76" t="str">
        <f>IF(INDEX(Backlog!$K$2:$K$188,MATCH(A34,Backlog!$A$2:$A$188,0))="","",INDEX(Backlog!$K$2:$K$188,MATCH(A34,Backlog!$A$2:$A$188,0)))</f>
        <v>Not Started</v>
      </c>
      <c r="D34" s="76" t="s">
        <v>3231</v>
      </c>
      <c r="E34" s="76" t="s">
        <v>5549</v>
      </c>
      <c r="F34" s="76" t="s">
        <v>5594</v>
      </c>
      <c r="G34" s="77" t="str">
        <f>IF(INDEX(Backlog!$J$2:$J$188,MATCH(A34,Backlog!$A$2:$A$188,0))="","UNESTIMATED",IF(INDEX(Backlog!$AM$2:$AM$188,MATCH(A34,Backlog!$A$2:$A$188,0))=1,INDEX(Backlog!$J$2:$J$188,MATCH(A34,Backlog!$A$2:$A$188,0)),INDEX(Backlog!$J$2:$J$188,MATCH(A34,Backlog!$A$2:$A$188,0))&amp;" [STALE]"))</f>
        <v>12 [STALE]</v>
      </c>
      <c r="H34" s="76" t="s">
        <v>5595</v>
      </c>
      <c r="I34" s="76"/>
      <c r="J34" s="76" t="s">
        <v>3234</v>
      </c>
      <c r="K34" s="76" t="s">
        <v>5596</v>
      </c>
      <c r="L34" s="76" t="s">
        <v>5597</v>
      </c>
    </row>
    <row r="35" spans="1:12" ht="69.95" customHeight="1">
      <c r="A35" s="76" t="s">
        <v>498</v>
      </c>
      <c r="B35" s="76" t="s">
        <v>433</v>
      </c>
      <c r="C35" s="76" t="str">
        <f>IF(INDEX(Backlog!$K$2:$K$188,MATCH(A35,Backlog!$A$2:$A$188,0))="","",INDEX(Backlog!$K$2:$K$188,MATCH(A35,Backlog!$A$2:$A$188,0)))</f>
        <v>Not Started</v>
      </c>
      <c r="D35" s="76" t="s">
        <v>3235</v>
      </c>
      <c r="E35" s="76" t="s">
        <v>5549</v>
      </c>
      <c r="F35" s="76" t="s">
        <v>5598</v>
      </c>
      <c r="G35" s="77">
        <f>IF(INDEX(Backlog!$J$2:$J$188,MATCH(A35,Backlog!$A$2:$A$188,0))="","UNESTIMATED",IF(INDEX(Backlog!$AM$2:$AM$188,MATCH(A35,Backlog!$A$2:$A$188,0))=1,INDEX(Backlog!$J$2:$J$188,MATCH(A35,Backlog!$A$2:$A$188,0)),INDEX(Backlog!$J$2:$J$188,MATCH(A35,Backlog!$A$2:$A$188,0))&amp;" [STALE]"))</f>
        <v>8</v>
      </c>
      <c r="H35" s="76" t="s">
        <v>5599</v>
      </c>
      <c r="I35" s="76"/>
      <c r="J35" s="76" t="s">
        <v>3238</v>
      </c>
      <c r="K35" s="76" t="s">
        <v>5587</v>
      </c>
      <c r="L35" s="76" t="s">
        <v>5600</v>
      </c>
    </row>
    <row r="36" spans="1:12" ht="69.95" customHeight="1">
      <c r="A36" s="76" t="s">
        <v>508</v>
      </c>
      <c r="B36" s="76" t="s">
        <v>433</v>
      </c>
      <c r="C36" s="76" t="str">
        <f>IF(INDEX(Backlog!$K$2:$K$188,MATCH(A36,Backlog!$A$2:$A$188,0))="","",INDEX(Backlog!$K$2:$K$188,MATCH(A36,Backlog!$A$2:$A$188,0)))</f>
        <v>Not Started</v>
      </c>
      <c r="D36" s="76" t="s">
        <v>3239</v>
      </c>
      <c r="E36" s="76" t="s">
        <v>5549</v>
      </c>
      <c r="F36" s="76" t="s">
        <v>5601</v>
      </c>
      <c r="G36" s="77" t="str">
        <f>IF(INDEX(Backlog!$J$2:$J$188,MATCH(A36,Backlog!$A$2:$A$188,0))="","UNESTIMATED",IF(INDEX(Backlog!$AM$2:$AM$188,MATCH(A36,Backlog!$A$2:$A$188,0))=1,INDEX(Backlog!$J$2:$J$188,MATCH(A36,Backlog!$A$2:$A$188,0)),INDEX(Backlog!$J$2:$J$188,MATCH(A36,Backlog!$A$2:$A$188,0))&amp;" [STALE]"))</f>
        <v>6 [STALE]</v>
      </c>
      <c r="H36" s="76" t="s">
        <v>5602</v>
      </c>
      <c r="I36" s="76" t="s">
        <v>498</v>
      </c>
      <c r="J36" s="76" t="s">
        <v>3242</v>
      </c>
      <c r="K36" s="76" t="s">
        <v>5603</v>
      </c>
      <c r="L36" s="76" t="s">
        <v>5604</v>
      </c>
    </row>
    <row r="37" spans="1:12" ht="69.95" customHeight="1">
      <c r="A37" s="76" t="s">
        <v>514</v>
      </c>
      <c r="B37" s="76" t="s">
        <v>433</v>
      </c>
      <c r="C37" s="76" t="str">
        <f>IF(INDEX(Backlog!$K$2:$K$188,MATCH(A37,Backlog!$A$2:$A$188,0))="","",INDEX(Backlog!$K$2:$K$188,MATCH(A37,Backlog!$A$2:$A$188,0)))</f>
        <v>Not Started</v>
      </c>
      <c r="D37" s="76" t="s">
        <v>3243</v>
      </c>
      <c r="E37" s="76" t="s">
        <v>5549</v>
      </c>
      <c r="F37" s="76" t="s">
        <v>5605</v>
      </c>
      <c r="G37" s="77" t="str">
        <f>IF(INDEX(Backlog!$J$2:$J$188,MATCH(A37,Backlog!$A$2:$A$188,0))="","UNESTIMATED",IF(INDEX(Backlog!$AM$2:$AM$188,MATCH(A37,Backlog!$A$2:$A$188,0))=1,INDEX(Backlog!$J$2:$J$188,MATCH(A37,Backlog!$A$2:$A$188,0)),INDEX(Backlog!$J$2:$J$188,MATCH(A37,Backlog!$A$2:$A$188,0))&amp;" [STALE]"))</f>
        <v>14 [STALE]</v>
      </c>
      <c r="H37" s="76" t="s">
        <v>5606</v>
      </c>
      <c r="I37" s="76" t="s">
        <v>772</v>
      </c>
      <c r="J37" s="76" t="s">
        <v>3246</v>
      </c>
      <c r="K37" s="76" t="s">
        <v>5607</v>
      </c>
      <c r="L37" s="76" t="s">
        <v>5608</v>
      </c>
    </row>
    <row r="38" spans="1:12" ht="69.95" customHeight="1">
      <c r="A38" s="76" t="s">
        <v>522</v>
      </c>
      <c r="B38" s="76" t="s">
        <v>433</v>
      </c>
      <c r="C38" s="76" t="str">
        <f>IF(INDEX(Backlog!$K$2:$K$188,MATCH(A38,Backlog!$A$2:$A$188,0))="","",INDEX(Backlog!$K$2:$K$188,MATCH(A38,Backlog!$A$2:$A$188,0)))</f>
        <v>Done</v>
      </c>
      <c r="D38" s="76" t="s">
        <v>3247</v>
      </c>
      <c r="E38" s="76" t="s">
        <v>532</v>
      </c>
      <c r="F38" s="76" t="s">
        <v>5609</v>
      </c>
      <c r="G38" s="77" t="str">
        <f>IF(INDEX(Backlog!$J$2:$J$188,MATCH(A38,Backlog!$A$2:$A$188,0))="","UNESTIMATED",IF(INDEX(Backlog!$AM$2:$AM$188,MATCH(A38,Backlog!$A$2:$A$188,0))=1,INDEX(Backlog!$J$2:$J$188,MATCH(A38,Backlog!$A$2:$A$188,0)),INDEX(Backlog!$J$2:$J$188,MATCH(A38,Backlog!$A$2:$A$188,0))&amp;" [STALE]"))</f>
        <v>12 [STALE]</v>
      </c>
      <c r="H38" s="76" t="s">
        <v>5610</v>
      </c>
      <c r="I38" s="76"/>
      <c r="J38" s="76" t="s">
        <v>3250</v>
      </c>
      <c r="K38" s="76" t="s">
        <v>5611</v>
      </c>
      <c r="L38" s="76" t="s">
        <v>5612</v>
      </c>
    </row>
    <row r="39" spans="1:12" ht="69.95" customHeight="1">
      <c r="A39" s="76" t="s">
        <v>539</v>
      </c>
      <c r="B39" s="76" t="s">
        <v>433</v>
      </c>
      <c r="C39" s="76" t="str">
        <f>IF(INDEX(Backlog!$K$2:$K$188,MATCH(A39,Backlog!$A$2:$A$188,0))="","",INDEX(Backlog!$K$2:$K$188,MATCH(A39,Backlog!$A$2:$A$188,0)))</f>
        <v>Not Started</v>
      </c>
      <c r="D39" s="76" t="s">
        <v>3251</v>
      </c>
      <c r="E39" s="76" t="s">
        <v>5549</v>
      </c>
      <c r="F39" s="76" t="s">
        <v>5613</v>
      </c>
      <c r="G39" s="77">
        <f>IF(INDEX(Backlog!$J$2:$J$188,MATCH(A39,Backlog!$A$2:$A$188,0))="","UNESTIMATED",IF(INDEX(Backlog!$AM$2:$AM$188,MATCH(A39,Backlog!$A$2:$A$188,0))=1,INDEX(Backlog!$J$2:$J$188,MATCH(A39,Backlog!$A$2:$A$188,0)),INDEX(Backlog!$J$2:$J$188,MATCH(A39,Backlog!$A$2:$A$188,0))&amp;" [STALE]"))</f>
        <v>16</v>
      </c>
      <c r="H39" s="76" t="s">
        <v>5614</v>
      </c>
      <c r="I39" s="76" t="s">
        <v>12723</v>
      </c>
      <c r="J39" s="76" t="s">
        <v>3254</v>
      </c>
      <c r="K39" s="76" t="s">
        <v>5615</v>
      </c>
      <c r="L39" s="76" t="s">
        <v>5616</v>
      </c>
    </row>
    <row r="40" spans="1:12" ht="69.95" customHeight="1">
      <c r="A40" s="76" t="s">
        <v>548</v>
      </c>
      <c r="B40" s="76" t="s">
        <v>433</v>
      </c>
      <c r="C40" s="76" t="str">
        <f>IF(INDEX(Backlog!$K$2:$K$188,MATCH(A40,Backlog!$A$2:$A$188,0))="","",INDEX(Backlog!$K$2:$K$188,MATCH(A40,Backlog!$A$2:$A$188,0)))</f>
        <v>Not Started</v>
      </c>
      <c r="D40" s="76" t="s">
        <v>3255</v>
      </c>
      <c r="E40" s="76" t="s">
        <v>5549</v>
      </c>
      <c r="F40" s="76" t="s">
        <v>5617</v>
      </c>
      <c r="G40" s="77" t="str">
        <f>IF(INDEX(Backlog!$J$2:$J$188,MATCH(A40,Backlog!$A$2:$A$188,0))="","UNESTIMATED",IF(INDEX(Backlog!$AM$2:$AM$188,MATCH(A40,Backlog!$A$2:$A$188,0))=1,INDEX(Backlog!$J$2:$J$188,MATCH(A40,Backlog!$A$2:$A$188,0)),INDEX(Backlog!$J$2:$J$188,MATCH(A40,Backlog!$A$2:$A$188,0))&amp;" [STALE]"))</f>
        <v>UNESTIMATED</v>
      </c>
      <c r="H40" s="76" t="s">
        <v>5618</v>
      </c>
      <c r="I40" s="76" t="s">
        <v>514</v>
      </c>
      <c r="J40" s="76" t="s">
        <v>3258</v>
      </c>
      <c r="K40" s="76" t="s">
        <v>5611</v>
      </c>
      <c r="L40" s="76" t="s">
        <v>5619</v>
      </c>
    </row>
    <row r="41" spans="1:12" ht="69.95" customHeight="1">
      <c r="A41" s="76" t="s">
        <v>559</v>
      </c>
      <c r="B41" s="76" t="s">
        <v>433</v>
      </c>
      <c r="C41" s="76" t="str">
        <f>IF(INDEX(Backlog!$K$2:$K$188,MATCH(A41,Backlog!$A$2:$A$188,0))="","",INDEX(Backlog!$K$2:$K$188,MATCH(A41,Backlog!$A$2:$A$188,0)))</f>
        <v>Not Started</v>
      </c>
      <c r="D41" s="76" t="s">
        <v>3259</v>
      </c>
      <c r="E41" s="76" t="s">
        <v>5549</v>
      </c>
      <c r="F41" s="76" t="s">
        <v>5620</v>
      </c>
      <c r="G41" s="77">
        <f>IF(INDEX(Backlog!$J$2:$J$188,MATCH(A41,Backlog!$A$2:$A$188,0))="","UNESTIMATED",IF(INDEX(Backlog!$AM$2:$AM$188,MATCH(A41,Backlog!$A$2:$A$188,0))=1,INDEX(Backlog!$J$2:$J$188,MATCH(A41,Backlog!$A$2:$A$188,0)),INDEX(Backlog!$J$2:$J$188,MATCH(A41,Backlog!$A$2:$A$188,0))&amp;" [STALE]"))</f>
        <v>6</v>
      </c>
      <c r="H41" s="76" t="s">
        <v>5621</v>
      </c>
      <c r="I41" s="76" t="s">
        <v>12724</v>
      </c>
      <c r="J41" s="76" t="s">
        <v>3262</v>
      </c>
      <c r="K41" s="76" t="s">
        <v>5587</v>
      </c>
      <c r="L41" s="76" t="s">
        <v>5622</v>
      </c>
    </row>
    <row r="42" spans="1:12" ht="69.95" customHeight="1">
      <c r="A42" s="76" t="s">
        <v>567</v>
      </c>
      <c r="B42" s="76" t="s">
        <v>433</v>
      </c>
      <c r="C42" s="76" t="str">
        <f>IF(INDEX(Backlog!$K$2:$K$188,MATCH(A42,Backlog!$A$2:$A$188,0))="","",INDEX(Backlog!$K$2:$K$188,MATCH(A42,Backlog!$A$2:$A$188,0)))</f>
        <v>Done</v>
      </c>
      <c r="D42" s="76" t="s">
        <v>3263</v>
      </c>
      <c r="E42" s="76" t="s">
        <v>5549</v>
      </c>
      <c r="F42" s="76" t="s">
        <v>5623</v>
      </c>
      <c r="G42" s="77">
        <f>IF(INDEX(Backlog!$J$2:$J$188,MATCH(A42,Backlog!$A$2:$A$188,0))="","UNESTIMATED",IF(INDEX(Backlog!$AM$2:$AM$188,MATCH(A42,Backlog!$A$2:$A$188,0))=1,INDEX(Backlog!$J$2:$J$188,MATCH(A42,Backlog!$A$2:$A$188,0)),INDEX(Backlog!$J$2:$J$188,MATCH(A42,Backlog!$A$2:$A$188,0))&amp;" [STALE]"))</f>
        <v>6</v>
      </c>
      <c r="H42" s="76" t="s">
        <v>5578</v>
      </c>
      <c r="I42" s="76"/>
      <c r="J42" s="76" t="s">
        <v>3266</v>
      </c>
      <c r="K42" s="76" t="s">
        <v>5551</v>
      </c>
      <c r="L42" s="76" t="s">
        <v>5582</v>
      </c>
    </row>
    <row r="43" spans="1:12" ht="69.95" customHeight="1">
      <c r="A43" s="76" t="s">
        <v>579</v>
      </c>
      <c r="B43" s="76" t="s">
        <v>433</v>
      </c>
      <c r="C43" s="76" t="str">
        <f>IF(INDEX(Backlog!$K$2:$K$188,MATCH(A43,Backlog!$A$2:$A$188,0))="","",INDEX(Backlog!$K$2:$K$188,MATCH(A43,Backlog!$A$2:$A$188,0)))</f>
        <v>Not Started</v>
      </c>
      <c r="D43" s="76" t="s">
        <v>3267</v>
      </c>
      <c r="E43" s="76" t="s">
        <v>5549</v>
      </c>
      <c r="F43" s="76" t="s">
        <v>5624</v>
      </c>
      <c r="G43" s="77">
        <f>IF(INDEX(Backlog!$J$2:$J$188,MATCH(A43,Backlog!$A$2:$A$188,0))="","UNESTIMATED",IF(INDEX(Backlog!$AM$2:$AM$188,MATCH(A43,Backlog!$A$2:$A$188,0))=1,INDEX(Backlog!$J$2:$J$188,MATCH(A43,Backlog!$A$2:$A$188,0)),INDEX(Backlog!$J$2:$J$188,MATCH(A43,Backlog!$A$2:$A$188,0))&amp;" [STALE]"))</f>
        <v>10</v>
      </c>
      <c r="H43" s="76" t="s">
        <v>5586</v>
      </c>
      <c r="I43" s="76" t="s">
        <v>12725</v>
      </c>
      <c r="J43" s="76" t="s">
        <v>3270</v>
      </c>
      <c r="K43" s="76" t="s">
        <v>5521</v>
      </c>
      <c r="L43" s="76" t="s">
        <v>5625</v>
      </c>
    </row>
    <row r="44" spans="1:12" ht="69.95" customHeight="1">
      <c r="A44" s="76" t="s">
        <v>595</v>
      </c>
      <c r="B44" s="76" t="s">
        <v>433</v>
      </c>
      <c r="C44" s="76" t="str">
        <f>IF(INDEX(Backlog!$K$2:$K$188,MATCH(A44,Backlog!$A$2:$A$188,0))="","",INDEX(Backlog!$K$2:$K$188,MATCH(A44,Backlog!$A$2:$A$188,0)))</f>
        <v>Done</v>
      </c>
      <c r="D44" s="76" t="s">
        <v>3271</v>
      </c>
      <c r="E44" s="76" t="s">
        <v>5626</v>
      </c>
      <c r="F44" s="76" t="s">
        <v>5627</v>
      </c>
      <c r="G44" s="77">
        <f>IF(INDEX(Backlog!$J$2:$J$188,MATCH(A44,Backlog!$A$2:$A$188,0))="","UNESTIMATED",IF(INDEX(Backlog!$AM$2:$AM$188,MATCH(A44,Backlog!$A$2:$A$188,0))=1,INDEX(Backlog!$J$2:$J$188,MATCH(A44,Backlog!$A$2:$A$188,0)),INDEX(Backlog!$J$2:$J$188,MATCH(A44,Backlog!$A$2:$A$188,0))&amp;" [STALE]"))</f>
        <v>8</v>
      </c>
      <c r="H44" s="76" t="s">
        <v>5578</v>
      </c>
      <c r="I44" s="76"/>
      <c r="J44" s="76" t="s">
        <v>3274</v>
      </c>
      <c r="K44" s="76" t="s">
        <v>5521</v>
      </c>
      <c r="L44" s="76" t="s">
        <v>5582</v>
      </c>
    </row>
    <row r="45" spans="1:12" ht="69.95" customHeight="1">
      <c r="A45" s="76" t="s">
        <v>610</v>
      </c>
      <c r="B45" s="76" t="s">
        <v>433</v>
      </c>
      <c r="C45" s="76" t="str">
        <f>IF(INDEX(Backlog!$K$2:$K$188,MATCH(A45,Backlog!$A$2:$A$188,0))="","",INDEX(Backlog!$K$2:$K$188,MATCH(A45,Backlog!$A$2:$A$188,0)))</f>
        <v>Not Started</v>
      </c>
      <c r="D45" s="76" t="s">
        <v>3275</v>
      </c>
      <c r="E45" s="76" t="s">
        <v>5549</v>
      </c>
      <c r="F45" s="76" t="s">
        <v>5628</v>
      </c>
      <c r="G45" s="77" t="str">
        <f>IF(INDEX(Backlog!$J$2:$J$188,MATCH(A45,Backlog!$A$2:$A$188,0))="","UNESTIMATED",IF(INDEX(Backlog!$AM$2:$AM$188,MATCH(A45,Backlog!$A$2:$A$188,0))=1,INDEX(Backlog!$J$2:$J$188,MATCH(A45,Backlog!$A$2:$A$188,0)),INDEX(Backlog!$J$2:$J$188,MATCH(A45,Backlog!$A$2:$A$188,0))&amp;" [STALE]"))</f>
        <v>12 [STALE]</v>
      </c>
      <c r="H45" s="76" t="s">
        <v>5629</v>
      </c>
      <c r="I45" s="76"/>
      <c r="J45" s="76" t="s">
        <v>3278</v>
      </c>
      <c r="K45" s="76" t="s">
        <v>5521</v>
      </c>
      <c r="L45" s="76" t="s">
        <v>5630</v>
      </c>
    </row>
    <row r="46" spans="1:12" ht="69.95" customHeight="1">
      <c r="A46" s="76" t="s">
        <v>622</v>
      </c>
      <c r="B46" s="76" t="s">
        <v>433</v>
      </c>
      <c r="C46" s="76" t="str">
        <f>IF(INDEX(Backlog!$K$2:$K$188,MATCH(A46,Backlog!$A$2:$A$188,0))="","",INDEX(Backlog!$K$2:$K$188,MATCH(A46,Backlog!$A$2:$A$188,0)))</f>
        <v>Not Started</v>
      </c>
      <c r="D46" s="76" t="s">
        <v>3279</v>
      </c>
      <c r="E46" s="76" t="s">
        <v>5549</v>
      </c>
      <c r="F46" s="76" t="s">
        <v>5631</v>
      </c>
      <c r="G46" s="77" t="str">
        <f>IF(INDEX(Backlog!$J$2:$J$188,MATCH(A46,Backlog!$A$2:$A$188,0))="","UNESTIMATED",IF(INDEX(Backlog!$AM$2:$AM$188,MATCH(A46,Backlog!$A$2:$A$188,0))=1,INDEX(Backlog!$J$2:$J$188,MATCH(A46,Backlog!$A$2:$A$188,0)),INDEX(Backlog!$J$2:$J$188,MATCH(A46,Backlog!$A$2:$A$188,0))&amp;" [STALE]"))</f>
        <v>12 [STALE]</v>
      </c>
      <c r="H46" s="76" t="s">
        <v>5629</v>
      </c>
      <c r="I46" s="76" t="s">
        <v>610</v>
      </c>
      <c r="J46" s="76" t="s">
        <v>3282</v>
      </c>
      <c r="K46" s="76" t="s">
        <v>5521</v>
      </c>
      <c r="L46" s="76" t="s">
        <v>5632</v>
      </c>
    </row>
    <row r="47" spans="1:12" ht="69.95" customHeight="1">
      <c r="A47" s="76" t="s">
        <v>629</v>
      </c>
      <c r="B47" s="76" t="s">
        <v>433</v>
      </c>
      <c r="C47" s="76" t="str">
        <f>IF(INDEX(Backlog!$K$2:$K$188,MATCH(A47,Backlog!$A$2:$A$188,0))="","",INDEX(Backlog!$K$2:$K$188,MATCH(A47,Backlog!$A$2:$A$188,0)))</f>
        <v>Not Started</v>
      </c>
      <c r="D47" s="76" t="s">
        <v>3283</v>
      </c>
      <c r="E47" s="76" t="s">
        <v>5549</v>
      </c>
      <c r="F47" s="76" t="s">
        <v>5633</v>
      </c>
      <c r="G47" s="77" t="str">
        <f>IF(INDEX(Backlog!$J$2:$J$188,MATCH(A47,Backlog!$A$2:$A$188,0))="","UNESTIMATED",IF(INDEX(Backlog!$AM$2:$AM$188,MATCH(A47,Backlog!$A$2:$A$188,0))=1,INDEX(Backlog!$J$2:$J$188,MATCH(A47,Backlog!$A$2:$A$188,0)),INDEX(Backlog!$J$2:$J$188,MATCH(A47,Backlog!$A$2:$A$188,0))&amp;" [STALE]"))</f>
        <v>12 [STALE]</v>
      </c>
      <c r="H47" s="76" t="s">
        <v>5634</v>
      </c>
      <c r="I47" s="76" t="s">
        <v>2750</v>
      </c>
      <c r="J47" s="76" t="s">
        <v>3286</v>
      </c>
      <c r="K47" s="76" t="s">
        <v>5521</v>
      </c>
      <c r="L47" s="76" t="s">
        <v>5635</v>
      </c>
    </row>
    <row r="48" spans="1:12" ht="69.95" customHeight="1">
      <c r="A48" s="76" t="s">
        <v>636</v>
      </c>
      <c r="B48" s="76" t="s">
        <v>433</v>
      </c>
      <c r="C48" s="76" t="str">
        <f>IF(INDEX(Backlog!$K$2:$K$188,MATCH(A48,Backlog!$A$2:$A$188,0))="","",INDEX(Backlog!$K$2:$K$188,MATCH(A48,Backlog!$A$2:$A$188,0)))</f>
        <v>Not Started</v>
      </c>
      <c r="D48" s="76" t="s">
        <v>3287</v>
      </c>
      <c r="E48" s="76" t="s">
        <v>5549</v>
      </c>
      <c r="F48" s="76" t="s">
        <v>5636</v>
      </c>
      <c r="G48" s="77">
        <f>IF(INDEX(Backlog!$J$2:$J$188,MATCH(A48,Backlog!$A$2:$A$188,0))="","UNESTIMATED",IF(INDEX(Backlog!$AM$2:$AM$188,MATCH(A48,Backlog!$A$2:$A$188,0))=1,INDEX(Backlog!$J$2:$J$188,MATCH(A48,Backlog!$A$2:$A$188,0)),INDEX(Backlog!$J$2:$J$188,MATCH(A48,Backlog!$A$2:$A$188,0))&amp;" [STALE]"))</f>
        <v>6</v>
      </c>
      <c r="H48" s="76" t="s">
        <v>5637</v>
      </c>
      <c r="I48" s="76" t="s">
        <v>1002</v>
      </c>
      <c r="J48" s="76" t="s">
        <v>3290</v>
      </c>
      <c r="K48" s="76" t="s">
        <v>5521</v>
      </c>
      <c r="L48" s="76" t="s">
        <v>5638</v>
      </c>
    </row>
    <row r="49" spans="1:12" ht="69.95" customHeight="1">
      <c r="A49" s="76" t="s">
        <v>648</v>
      </c>
      <c r="B49" s="76" t="s">
        <v>433</v>
      </c>
      <c r="C49" s="76" t="str">
        <f>IF(INDEX(Backlog!$K$2:$K$188,MATCH(A49,Backlog!$A$2:$A$188,0))="","",INDEX(Backlog!$K$2:$K$188,MATCH(A49,Backlog!$A$2:$A$188,0)))</f>
        <v>In Progress</v>
      </c>
      <c r="D49" s="76" t="s">
        <v>3291</v>
      </c>
      <c r="E49" s="76" t="s">
        <v>5549</v>
      </c>
      <c r="F49" s="76" t="s">
        <v>5639</v>
      </c>
      <c r="G49" s="77">
        <f>IF(INDEX(Backlog!$J$2:$J$188,MATCH(A49,Backlog!$A$2:$A$188,0))="","UNESTIMATED",IF(INDEX(Backlog!$AM$2:$AM$188,MATCH(A49,Backlog!$A$2:$A$188,0))=1,INDEX(Backlog!$J$2:$J$188,MATCH(A49,Backlog!$A$2:$A$188,0)),INDEX(Backlog!$J$2:$J$188,MATCH(A49,Backlog!$A$2:$A$188,0))&amp;" [STALE]"))</f>
        <v>5</v>
      </c>
      <c r="H49" s="76" t="s">
        <v>5640</v>
      </c>
      <c r="I49" s="76"/>
      <c r="J49" s="76" t="s">
        <v>3294</v>
      </c>
      <c r="K49" s="76" t="s">
        <v>5521</v>
      </c>
      <c r="L49" s="76" t="s">
        <v>5641</v>
      </c>
    </row>
    <row r="50" spans="1:12" ht="69.95" customHeight="1">
      <c r="A50" s="76" t="s">
        <v>659</v>
      </c>
      <c r="B50" s="76" t="s">
        <v>433</v>
      </c>
      <c r="C50" s="76" t="str">
        <f>IF(INDEX(Backlog!$K$2:$K$188,MATCH(A50,Backlog!$A$2:$A$188,0))="","",INDEX(Backlog!$K$2:$K$188,MATCH(A50,Backlog!$A$2:$A$188,0)))</f>
        <v>Not Started</v>
      </c>
      <c r="D50" s="76" t="s">
        <v>3295</v>
      </c>
      <c r="E50" s="76" t="s">
        <v>5549</v>
      </c>
      <c r="F50" s="76" t="s">
        <v>5642</v>
      </c>
      <c r="G50" s="77" t="str">
        <f>IF(INDEX(Backlog!$J$2:$J$188,MATCH(A50,Backlog!$A$2:$A$188,0))="","UNESTIMATED",IF(INDEX(Backlog!$AM$2:$AM$188,MATCH(A50,Backlog!$A$2:$A$188,0))=1,INDEX(Backlog!$J$2:$J$188,MATCH(A50,Backlog!$A$2:$A$188,0)),INDEX(Backlog!$J$2:$J$188,MATCH(A50,Backlog!$A$2:$A$188,0))&amp;" [STALE]"))</f>
        <v>8 [STALE]</v>
      </c>
      <c r="H50" s="76" t="s">
        <v>5643</v>
      </c>
      <c r="I50" s="76"/>
      <c r="J50" s="76" t="s">
        <v>3298</v>
      </c>
      <c r="K50" s="76" t="s">
        <v>5611</v>
      </c>
      <c r="L50" s="76" t="s">
        <v>5644</v>
      </c>
    </row>
    <row r="51" spans="1:12" ht="69.95" customHeight="1">
      <c r="A51" s="76" t="s">
        <v>671</v>
      </c>
      <c r="B51" s="76" t="s">
        <v>433</v>
      </c>
      <c r="C51" s="76" t="str">
        <f>IF(INDEX(Backlog!$K$2:$K$188,MATCH(A51,Backlog!$A$2:$A$188,0))="","",INDEX(Backlog!$K$2:$K$188,MATCH(A51,Backlog!$A$2:$A$188,0)))</f>
        <v>Done</v>
      </c>
      <c r="D51" s="76" t="s">
        <v>3299</v>
      </c>
      <c r="E51" s="76" t="s">
        <v>5645</v>
      </c>
      <c r="F51" s="76" t="s">
        <v>5646</v>
      </c>
      <c r="G51" s="77">
        <f>IF(INDEX(Backlog!$J$2:$J$188,MATCH(A51,Backlog!$A$2:$A$188,0))="","UNESTIMATED",IF(INDEX(Backlog!$AM$2:$AM$188,MATCH(A51,Backlog!$A$2:$A$188,0))=1,INDEX(Backlog!$J$2:$J$188,MATCH(A51,Backlog!$A$2:$A$188,0)),INDEX(Backlog!$J$2:$J$188,MATCH(A51,Backlog!$A$2:$A$188,0))&amp;" [STALE]"))</f>
        <v>10</v>
      </c>
      <c r="H51" s="76" t="s">
        <v>5578</v>
      </c>
      <c r="I51" s="76"/>
      <c r="J51" s="76" t="s">
        <v>3302</v>
      </c>
      <c r="K51" s="76" t="s">
        <v>5521</v>
      </c>
      <c r="L51" s="76" t="s">
        <v>5582</v>
      </c>
    </row>
    <row r="52" spans="1:12" ht="69.95" customHeight="1">
      <c r="A52" s="76" t="s">
        <v>686</v>
      </c>
      <c r="B52" s="76" t="s">
        <v>433</v>
      </c>
      <c r="C52" s="76" t="str">
        <f>IF(INDEX(Backlog!$K$2:$K$188,MATCH(A52,Backlog!$A$2:$A$188,0))="","",INDEX(Backlog!$K$2:$K$188,MATCH(A52,Backlog!$A$2:$A$188,0)))</f>
        <v>Done</v>
      </c>
      <c r="D52" s="76" t="s">
        <v>3303</v>
      </c>
      <c r="E52" s="76" t="s">
        <v>5647</v>
      </c>
      <c r="F52" s="76" t="s">
        <v>5648</v>
      </c>
      <c r="G52" s="77">
        <f>IF(INDEX(Backlog!$J$2:$J$188,MATCH(A52,Backlog!$A$2:$A$188,0))="","UNESTIMATED",IF(INDEX(Backlog!$AM$2:$AM$188,MATCH(A52,Backlog!$A$2:$A$188,0))=1,INDEX(Backlog!$J$2:$J$188,MATCH(A52,Backlog!$A$2:$A$188,0)),INDEX(Backlog!$J$2:$J$188,MATCH(A52,Backlog!$A$2:$A$188,0))&amp;" [STALE]"))</f>
        <v>16</v>
      </c>
      <c r="H52" s="76" t="s">
        <v>5578</v>
      </c>
      <c r="I52" s="76"/>
      <c r="J52" s="76" t="s">
        <v>3306</v>
      </c>
      <c r="K52" s="76" t="s">
        <v>5521</v>
      </c>
      <c r="L52" s="76" t="s">
        <v>5582</v>
      </c>
    </row>
    <row r="53" spans="1:12" ht="69.95" customHeight="1">
      <c r="A53" s="76" t="s">
        <v>696</v>
      </c>
      <c r="B53" s="76" t="s">
        <v>433</v>
      </c>
      <c r="C53" s="76" t="str">
        <f>IF(INDEX(Backlog!$K$2:$K$188,MATCH(A53,Backlog!$A$2:$A$188,0))="","",INDEX(Backlog!$K$2:$K$188,MATCH(A53,Backlog!$A$2:$A$188,0)))</f>
        <v>Done</v>
      </c>
      <c r="D53" s="76" t="s">
        <v>3307</v>
      </c>
      <c r="E53" s="76" t="s">
        <v>5649</v>
      </c>
      <c r="F53" s="76" t="s">
        <v>5650</v>
      </c>
      <c r="G53" s="77" t="str">
        <f>IF(INDEX(Backlog!$J$2:$J$188,MATCH(A53,Backlog!$A$2:$A$188,0))="","UNESTIMATED",IF(INDEX(Backlog!$AM$2:$AM$188,MATCH(A53,Backlog!$A$2:$A$188,0))=1,INDEX(Backlog!$J$2:$J$188,MATCH(A53,Backlog!$A$2:$A$188,0)),INDEX(Backlog!$J$2:$J$188,MATCH(A53,Backlog!$A$2:$A$188,0))&amp;" [STALE]"))</f>
        <v>12 [STALE]</v>
      </c>
      <c r="H53" s="76" t="s">
        <v>5651</v>
      </c>
      <c r="I53" s="76"/>
      <c r="J53" s="76" t="s">
        <v>3310</v>
      </c>
      <c r="K53" s="76" t="s">
        <v>5611</v>
      </c>
      <c r="L53" s="76" t="s">
        <v>5652</v>
      </c>
    </row>
    <row r="54" spans="1:12" ht="69.95" customHeight="1">
      <c r="A54" s="76" t="s">
        <v>710</v>
      </c>
      <c r="B54" s="76" t="s">
        <v>433</v>
      </c>
      <c r="C54" s="76" t="str">
        <f>IF(INDEX(Backlog!$K$2:$K$188,MATCH(A54,Backlog!$A$2:$A$188,0))="","",INDEX(Backlog!$K$2:$K$188,MATCH(A54,Backlog!$A$2:$A$188,0)))</f>
        <v>Done</v>
      </c>
      <c r="D54" s="76" t="s">
        <v>3311</v>
      </c>
      <c r="E54" s="76" t="s">
        <v>5653</v>
      </c>
      <c r="F54" s="76" t="s">
        <v>5654</v>
      </c>
      <c r="G54" s="77">
        <f>IF(INDEX(Backlog!$J$2:$J$188,MATCH(A54,Backlog!$A$2:$A$188,0))="","UNESTIMATED",IF(INDEX(Backlog!$AM$2:$AM$188,MATCH(A54,Backlog!$A$2:$A$188,0))=1,INDEX(Backlog!$J$2:$J$188,MATCH(A54,Backlog!$A$2:$A$188,0)),INDEX(Backlog!$J$2:$J$188,MATCH(A54,Backlog!$A$2:$A$188,0))&amp;" [STALE]"))</f>
        <v>14</v>
      </c>
      <c r="H54" s="76" t="s">
        <v>5578</v>
      </c>
      <c r="I54" s="76"/>
      <c r="J54" s="76" t="s">
        <v>3314</v>
      </c>
      <c r="K54" s="76" t="s">
        <v>5521</v>
      </c>
      <c r="L54" s="76" t="s">
        <v>5582</v>
      </c>
    </row>
    <row r="55" spans="1:12" ht="69.95" customHeight="1">
      <c r="A55" s="76" t="s">
        <v>723</v>
      </c>
      <c r="B55" s="76" t="s">
        <v>433</v>
      </c>
      <c r="C55" s="76" t="str">
        <f>IF(INDEX(Backlog!$K$2:$K$188,MATCH(A55,Backlog!$A$2:$A$188,0))="","",INDEX(Backlog!$K$2:$K$188,MATCH(A55,Backlog!$A$2:$A$188,0)))</f>
        <v>Not Started</v>
      </c>
      <c r="D55" s="76" t="s">
        <v>3315</v>
      </c>
      <c r="E55" s="76" t="s">
        <v>5655</v>
      </c>
      <c r="F55" s="76" t="s">
        <v>5656</v>
      </c>
      <c r="G55" s="77">
        <f>IF(INDEX(Backlog!$J$2:$J$188,MATCH(A55,Backlog!$A$2:$A$188,0))="","UNESTIMATED",IF(INDEX(Backlog!$AM$2:$AM$188,MATCH(A55,Backlog!$A$2:$A$188,0))=1,INDEX(Backlog!$J$2:$J$188,MATCH(A55,Backlog!$A$2:$A$188,0)),INDEX(Backlog!$J$2:$J$188,MATCH(A55,Backlog!$A$2:$A$188,0))&amp;" [STALE]"))</f>
        <v>12</v>
      </c>
      <c r="H55" s="76" t="s">
        <v>5657</v>
      </c>
      <c r="I55" s="76" t="s">
        <v>12726</v>
      </c>
      <c r="J55" s="76" t="s">
        <v>3318</v>
      </c>
      <c r="K55" s="76" t="s">
        <v>5521</v>
      </c>
      <c r="L55" s="76" t="s">
        <v>5658</v>
      </c>
    </row>
    <row r="56" spans="1:12" ht="69.95" customHeight="1">
      <c r="A56" s="76" t="s">
        <v>737</v>
      </c>
      <c r="B56" s="76" t="s">
        <v>433</v>
      </c>
      <c r="C56" s="76" t="str">
        <f>IF(INDEX(Backlog!$K$2:$K$188,MATCH(A56,Backlog!$A$2:$A$188,0))="","",INDEX(Backlog!$K$2:$K$188,MATCH(A56,Backlog!$A$2:$A$188,0)))</f>
        <v>Not Started</v>
      </c>
      <c r="D56" s="76" t="s">
        <v>3319</v>
      </c>
      <c r="E56" s="76" t="s">
        <v>5549</v>
      </c>
      <c r="F56" s="76" t="s">
        <v>5659</v>
      </c>
      <c r="G56" s="77">
        <f>IF(INDEX(Backlog!$J$2:$J$188,MATCH(A56,Backlog!$A$2:$A$188,0))="","UNESTIMATED",IF(INDEX(Backlog!$AM$2:$AM$188,MATCH(A56,Backlog!$A$2:$A$188,0))=1,INDEX(Backlog!$J$2:$J$188,MATCH(A56,Backlog!$A$2:$A$188,0)),INDEX(Backlog!$J$2:$J$188,MATCH(A56,Backlog!$A$2:$A$188,0))&amp;" [STALE]"))</f>
        <v>12</v>
      </c>
      <c r="H56" s="76" t="s">
        <v>5606</v>
      </c>
      <c r="I56" s="76" t="s">
        <v>12727</v>
      </c>
      <c r="J56" s="76" t="s">
        <v>3322</v>
      </c>
      <c r="K56" s="76" t="s">
        <v>5521</v>
      </c>
      <c r="L56" s="76" t="s">
        <v>5660</v>
      </c>
    </row>
    <row r="57" spans="1:12" ht="69.95" customHeight="1">
      <c r="A57" s="76" t="s">
        <v>749</v>
      </c>
      <c r="B57" s="76" t="s">
        <v>433</v>
      </c>
      <c r="C57" s="76" t="str">
        <f>IF(INDEX(Backlog!$K$2:$K$188,MATCH(A57,Backlog!$A$2:$A$188,0))="","",INDEX(Backlog!$K$2:$K$188,MATCH(A57,Backlog!$A$2:$A$188,0)))</f>
        <v>Done</v>
      </c>
      <c r="D57" s="76" t="s">
        <v>3323</v>
      </c>
      <c r="E57" s="76" t="s">
        <v>5661</v>
      </c>
      <c r="F57" s="76" t="s">
        <v>5662</v>
      </c>
      <c r="G57" s="77">
        <f>IF(INDEX(Backlog!$J$2:$J$188,MATCH(A57,Backlog!$A$2:$A$188,0))="","UNESTIMATED",IF(INDEX(Backlog!$AM$2:$AM$188,MATCH(A57,Backlog!$A$2:$A$188,0))=1,INDEX(Backlog!$J$2:$J$188,MATCH(A57,Backlog!$A$2:$A$188,0)),INDEX(Backlog!$J$2:$J$188,MATCH(A57,Backlog!$A$2:$A$188,0))&amp;" [STALE]"))</f>
        <v>12</v>
      </c>
      <c r="H57" s="76" t="s">
        <v>5578</v>
      </c>
      <c r="I57" s="76"/>
      <c r="J57" s="76" t="s">
        <v>3326</v>
      </c>
      <c r="K57" s="76" t="s">
        <v>5551</v>
      </c>
      <c r="L57" s="76" t="s">
        <v>5582</v>
      </c>
    </row>
    <row r="58" spans="1:12" ht="69.95" customHeight="1">
      <c r="A58" s="76" t="s">
        <v>759</v>
      </c>
      <c r="B58" s="76" t="s">
        <v>433</v>
      </c>
      <c r="C58" s="76" t="str">
        <f>IF(INDEX(Backlog!$K$2:$K$188,MATCH(A58,Backlog!$A$2:$A$188,0))="","",INDEX(Backlog!$K$2:$K$188,MATCH(A58,Backlog!$A$2:$A$188,0)))</f>
        <v>In Progress</v>
      </c>
      <c r="D58" s="76" t="s">
        <v>3327</v>
      </c>
      <c r="E58" s="76" t="s">
        <v>769</v>
      </c>
      <c r="F58" s="76" t="s">
        <v>5663</v>
      </c>
      <c r="G58" s="77" t="str">
        <f>IF(INDEX(Backlog!$J$2:$J$188,MATCH(A58,Backlog!$A$2:$A$188,0))="","UNESTIMATED",IF(INDEX(Backlog!$AM$2:$AM$188,MATCH(A58,Backlog!$A$2:$A$188,0))=1,INDEX(Backlog!$J$2:$J$188,MATCH(A58,Backlog!$A$2:$A$188,0)),INDEX(Backlog!$J$2:$J$188,MATCH(A58,Backlog!$A$2:$A$188,0))&amp;" [STALE]"))</f>
        <v>6 [STALE]</v>
      </c>
      <c r="H58" s="76" t="s">
        <v>5664</v>
      </c>
      <c r="I58" s="76"/>
      <c r="J58" s="76" t="s">
        <v>3330</v>
      </c>
      <c r="K58" s="76" t="s">
        <v>5611</v>
      </c>
      <c r="L58" s="76" t="s">
        <v>5665</v>
      </c>
    </row>
    <row r="59" spans="1:12" ht="69.95" customHeight="1">
      <c r="A59" s="76" t="s">
        <v>772</v>
      </c>
      <c r="B59" s="76" t="s">
        <v>433</v>
      </c>
      <c r="C59" s="76" t="str">
        <f>IF(INDEX(Backlog!$K$2:$K$188,MATCH(A59,Backlog!$A$2:$A$188,0))="","",INDEX(Backlog!$K$2:$K$188,MATCH(A59,Backlog!$A$2:$A$188,0)))</f>
        <v>In Progress</v>
      </c>
      <c r="D59" s="76" t="s">
        <v>5666</v>
      </c>
      <c r="E59" s="76" t="s">
        <v>5549</v>
      </c>
      <c r="F59" s="76" t="s">
        <v>5667</v>
      </c>
      <c r="G59" s="77">
        <f>IF(INDEX(Backlog!$J$2:$J$188,MATCH(A59,Backlog!$A$2:$A$188,0))="","UNESTIMATED",IF(INDEX(Backlog!$AM$2:$AM$188,MATCH(A59,Backlog!$A$2:$A$188,0))=1,INDEX(Backlog!$J$2:$J$188,MATCH(A59,Backlog!$A$2:$A$188,0)),INDEX(Backlog!$J$2:$J$188,MATCH(A59,Backlog!$A$2:$A$188,0))&amp;" [STALE]"))</f>
        <v>12</v>
      </c>
      <c r="H59" s="76" t="s">
        <v>5668</v>
      </c>
      <c r="I59" s="76" t="s">
        <v>787</v>
      </c>
      <c r="J59" s="76" t="s">
        <v>3334</v>
      </c>
      <c r="K59" s="76" t="s">
        <v>5521</v>
      </c>
      <c r="L59" s="76" t="s">
        <v>5669</v>
      </c>
    </row>
    <row r="60" spans="1:12" ht="69.95" customHeight="1">
      <c r="A60" s="76" t="s">
        <v>787</v>
      </c>
      <c r="B60" s="76" t="s">
        <v>433</v>
      </c>
      <c r="C60" s="76" t="str">
        <f>IF(INDEX(Backlog!$K$2:$K$188,MATCH(A60,Backlog!$A$2:$A$188,0))="","",INDEX(Backlog!$K$2:$K$188,MATCH(A60,Backlog!$A$2:$A$188,0)))</f>
        <v>Done</v>
      </c>
      <c r="D60" s="76" t="s">
        <v>3335</v>
      </c>
      <c r="E60" s="76" t="s">
        <v>475</v>
      </c>
      <c r="F60" s="76" t="s">
        <v>5670</v>
      </c>
      <c r="G60" s="77" t="str">
        <f>IF(INDEX(Backlog!$J$2:$J$188,MATCH(A60,Backlog!$A$2:$A$188,0))="","UNESTIMATED",IF(INDEX(Backlog!$AM$2:$AM$188,MATCH(A60,Backlog!$A$2:$A$188,0))=1,INDEX(Backlog!$J$2:$J$188,MATCH(A60,Backlog!$A$2:$A$188,0)),INDEX(Backlog!$J$2:$J$188,MATCH(A60,Backlog!$A$2:$A$188,0))&amp;" [STALE]"))</f>
        <v>UNESTIMATED</v>
      </c>
      <c r="H60" s="76" t="s">
        <v>5671</v>
      </c>
      <c r="I60" s="76"/>
      <c r="J60" s="76" t="s">
        <v>3338</v>
      </c>
      <c r="K60" s="76" t="s">
        <v>5611</v>
      </c>
      <c r="L60" s="76" t="s">
        <v>5672</v>
      </c>
    </row>
    <row r="61" spans="1:12" ht="69.95" customHeight="1">
      <c r="A61" s="76" t="s">
        <v>806</v>
      </c>
      <c r="B61" s="76" t="s">
        <v>813</v>
      </c>
      <c r="C61" s="76" t="str">
        <f>IF(INDEX(Backlog!$K$2:$K$188,MATCH(A61,Backlog!$A$2:$A$188,0))="","",INDEX(Backlog!$K$2:$K$188,MATCH(A61,Backlog!$A$2:$A$188,0)))</f>
        <v>Not Started</v>
      </c>
      <c r="D61" s="76" t="s">
        <v>5517</v>
      </c>
      <c r="E61" s="76" t="s">
        <v>5549</v>
      </c>
      <c r="F61" s="76" t="s">
        <v>5519</v>
      </c>
      <c r="G61" s="77">
        <f>IF(INDEX(Backlog!$J$2:$J$188,MATCH(A61,Backlog!$A$2:$A$188,0))="","UNESTIMATED",IF(INDEX(Backlog!$AM$2:$AM$188,MATCH(A61,Backlog!$A$2:$A$188,0))=1,INDEX(Backlog!$J$2:$J$188,MATCH(A61,Backlog!$A$2:$A$188,0)),INDEX(Backlog!$J$2:$J$188,MATCH(A61,Backlog!$A$2:$A$188,0))&amp;" [STALE]"))</f>
        <v>8</v>
      </c>
      <c r="H61" s="76" t="str">
        <f>IF(INDEX(Backlog!$AR$2:$AR$188,MATCH(A61,Backlog!$A$2:$A$188,0))="","",INDEX(Backlog!$AR$2:$AR$188,MATCH(A61,Backlog!$A$2:$A$188,0)))</f>
        <v>INHERITED ESTIMATE</v>
      </c>
      <c r="I61" s="76" t="str">
        <f>""</f>
        <v/>
      </c>
      <c r="J61" s="76" t="s">
        <v>5673</v>
      </c>
      <c r="K61" s="76" t="s">
        <v>5521</v>
      </c>
      <c r="L61" s="76" t="s">
        <v>5522</v>
      </c>
    </row>
    <row r="62" spans="1:12" ht="69.95" customHeight="1">
      <c r="A62" s="76" t="s">
        <v>642</v>
      </c>
      <c r="B62" s="76" t="s">
        <v>813</v>
      </c>
      <c r="C62" s="76" t="str">
        <f>IF(INDEX(Backlog!$K$2:$K$188,MATCH(A62,Backlog!$A$2:$A$188,0))="","",INDEX(Backlog!$K$2:$K$188,MATCH(A62,Backlog!$A$2:$A$188,0)))</f>
        <v>Not Started</v>
      </c>
      <c r="D62" s="76" t="s">
        <v>5517</v>
      </c>
      <c r="E62" s="76" t="s">
        <v>5549</v>
      </c>
      <c r="F62" s="76" t="s">
        <v>5519</v>
      </c>
      <c r="G62" s="77">
        <f>IF(INDEX(Backlog!$J$2:$J$188,MATCH(A62,Backlog!$A$2:$A$188,0))="","UNESTIMATED",IF(INDEX(Backlog!$AM$2:$AM$188,MATCH(A62,Backlog!$A$2:$A$188,0))=1,INDEX(Backlog!$J$2:$J$188,MATCH(A62,Backlog!$A$2:$A$188,0)),INDEX(Backlog!$J$2:$J$188,MATCH(A62,Backlog!$A$2:$A$188,0))&amp;" [STALE]"))</f>
        <v>10</v>
      </c>
      <c r="H62" s="76" t="str">
        <f>IF(INDEX(Backlog!$AR$2:$AR$188,MATCH(A62,Backlog!$A$2:$A$188,0))="","",INDEX(Backlog!$AR$2:$AR$188,MATCH(A62,Backlog!$A$2:$A$188,0)))</f>
        <v>INHERITED ESTIMATE</v>
      </c>
      <c r="I62" s="76" t="s">
        <v>12728</v>
      </c>
      <c r="J62" s="76" t="s">
        <v>5674</v>
      </c>
      <c r="K62" s="76" t="s">
        <v>5521</v>
      </c>
      <c r="L62" s="76" t="s">
        <v>5522</v>
      </c>
    </row>
    <row r="63" spans="1:12" ht="69.95" customHeight="1">
      <c r="A63" s="76" t="s">
        <v>833</v>
      </c>
      <c r="B63" s="76" t="s">
        <v>813</v>
      </c>
      <c r="C63" s="76" t="str">
        <f>IF(INDEX(Backlog!$K$2:$K$188,MATCH(A63,Backlog!$A$2:$A$188,0))="","",INDEX(Backlog!$K$2:$K$188,MATCH(A63,Backlog!$A$2:$A$188,0)))</f>
        <v>Not Started</v>
      </c>
      <c r="D63" s="76" t="s">
        <v>5517</v>
      </c>
      <c r="E63" s="76" t="s">
        <v>5549</v>
      </c>
      <c r="F63" s="76" t="s">
        <v>5519</v>
      </c>
      <c r="G63" s="77">
        <f>IF(INDEX(Backlog!$J$2:$J$188,MATCH(A63,Backlog!$A$2:$A$188,0))="","UNESTIMATED",IF(INDEX(Backlog!$AM$2:$AM$188,MATCH(A63,Backlog!$A$2:$A$188,0))=1,INDEX(Backlog!$J$2:$J$188,MATCH(A63,Backlog!$A$2:$A$188,0)),INDEX(Backlog!$J$2:$J$188,MATCH(A63,Backlog!$A$2:$A$188,0))&amp;" [STALE]"))</f>
        <v>10</v>
      </c>
      <c r="H63" s="76" t="str">
        <f>IF(INDEX(Backlog!$AR$2:$AR$188,MATCH(A63,Backlog!$A$2:$A$188,0))="","",INDEX(Backlog!$AR$2:$AR$188,MATCH(A63,Backlog!$A$2:$A$188,0)))</f>
        <v>INHERITED ESTIMATE</v>
      </c>
      <c r="I63" s="76" t="s">
        <v>642</v>
      </c>
      <c r="J63" s="76" t="s">
        <v>5675</v>
      </c>
      <c r="K63" s="76" t="s">
        <v>5521</v>
      </c>
      <c r="L63" s="76" t="s">
        <v>5522</v>
      </c>
    </row>
    <row r="64" spans="1:12" ht="69.95" customHeight="1">
      <c r="A64" s="76" t="s">
        <v>847</v>
      </c>
      <c r="B64" s="76" t="s">
        <v>813</v>
      </c>
      <c r="C64" s="76" t="str">
        <f>IF(INDEX(Backlog!$K$2:$K$188,MATCH(A64,Backlog!$A$2:$A$188,0))="","",INDEX(Backlog!$K$2:$K$188,MATCH(A64,Backlog!$A$2:$A$188,0)))</f>
        <v>Not Started</v>
      </c>
      <c r="D64" s="76" t="s">
        <v>5517</v>
      </c>
      <c r="E64" s="76" t="s">
        <v>5549</v>
      </c>
      <c r="F64" s="76" t="s">
        <v>5519</v>
      </c>
      <c r="G64" s="77">
        <f>IF(INDEX(Backlog!$J$2:$J$188,MATCH(A64,Backlog!$A$2:$A$188,0))="","UNESTIMATED",IF(INDEX(Backlog!$AM$2:$AM$188,MATCH(A64,Backlog!$A$2:$A$188,0))=1,INDEX(Backlog!$J$2:$J$188,MATCH(A64,Backlog!$A$2:$A$188,0)),INDEX(Backlog!$J$2:$J$188,MATCH(A64,Backlog!$A$2:$A$188,0))&amp;" [STALE]"))</f>
        <v>8</v>
      </c>
      <c r="H64" s="76" t="str">
        <f>IF(INDEX(Backlog!$AR$2:$AR$188,MATCH(A64,Backlog!$A$2:$A$188,0))="","",INDEX(Backlog!$AR$2:$AR$188,MATCH(A64,Backlog!$A$2:$A$188,0)))</f>
        <v>INHERITED ESTIMATE</v>
      </c>
      <c r="I64" s="76"/>
      <c r="J64" s="76" t="s">
        <v>5676</v>
      </c>
      <c r="K64" s="76" t="s">
        <v>5521</v>
      </c>
      <c r="L64" s="76" t="s">
        <v>5522</v>
      </c>
    </row>
    <row r="65" spans="1:12" ht="69.95" customHeight="1">
      <c r="A65" s="76" t="s">
        <v>857</v>
      </c>
      <c r="B65" s="76" t="s">
        <v>867</v>
      </c>
      <c r="C65" s="76" t="str">
        <f>IF(INDEX(Backlog!$K$2:$K$188,MATCH(A65,Backlog!$A$2:$A$188,0))="","",INDEX(Backlog!$K$2:$K$188,MATCH(A65,Backlog!$A$2:$A$188,0)))</f>
        <v>Done</v>
      </c>
      <c r="D65" s="76" t="s">
        <v>5517</v>
      </c>
      <c r="E65" s="76" t="s">
        <v>5549</v>
      </c>
      <c r="F65" s="76" t="s">
        <v>5519</v>
      </c>
      <c r="G65" s="77">
        <f>IF(INDEX(Backlog!$J$2:$J$188,MATCH(A65,Backlog!$A$2:$A$188,0))="","UNESTIMATED",IF(INDEX(Backlog!$AM$2:$AM$188,MATCH(A65,Backlog!$A$2:$A$188,0))=1,INDEX(Backlog!$J$2:$J$188,MATCH(A65,Backlog!$A$2:$A$188,0)),INDEX(Backlog!$J$2:$J$188,MATCH(A65,Backlog!$A$2:$A$188,0))&amp;" [STALE]"))</f>
        <v>10</v>
      </c>
      <c r="H65" s="76" t="str">
        <f>IF(INDEX(Backlog!$AR$2:$AR$188,MATCH(A65,Backlog!$A$2:$A$188,0))="","",INDEX(Backlog!$AR$2:$AR$188,MATCH(A65,Backlog!$A$2:$A$188,0)))</f>
        <v>INHERITED ESTIMATE</v>
      </c>
      <c r="I65" s="76" t="str">
        <f>""</f>
        <v/>
      </c>
      <c r="J65" s="76" t="s">
        <v>5677</v>
      </c>
      <c r="K65" s="76" t="s">
        <v>5551</v>
      </c>
      <c r="L65" s="76" t="s">
        <v>5522</v>
      </c>
    </row>
    <row r="66" spans="1:12" ht="69.95" customHeight="1">
      <c r="A66" s="76" t="s">
        <v>874</v>
      </c>
      <c r="B66" s="76" t="s">
        <v>867</v>
      </c>
      <c r="C66" s="76" t="str">
        <f>IF(INDEX(Backlog!$K$2:$K$188,MATCH(A66,Backlog!$A$2:$A$188,0))="","",INDEX(Backlog!$K$2:$K$188,MATCH(A66,Backlog!$A$2:$A$188,0)))</f>
        <v>Done</v>
      </c>
      <c r="D66" s="76" t="s">
        <v>5517</v>
      </c>
      <c r="E66" s="76" t="s">
        <v>5678</v>
      </c>
      <c r="F66" s="76" t="s">
        <v>5519</v>
      </c>
      <c r="G66" s="77">
        <f>IF(INDEX(Backlog!$J$2:$J$188,MATCH(A66,Backlog!$A$2:$A$188,0))="","UNESTIMATED",IF(INDEX(Backlog!$AM$2:$AM$188,MATCH(A66,Backlog!$A$2:$A$188,0))=1,INDEX(Backlog!$J$2:$J$188,MATCH(A66,Backlog!$A$2:$A$188,0)),INDEX(Backlog!$J$2:$J$188,MATCH(A66,Backlog!$A$2:$A$188,0))&amp;" [STALE]"))</f>
        <v>12</v>
      </c>
      <c r="H66" s="76" t="str">
        <f>IF(INDEX(Backlog!$AR$2:$AR$188,MATCH(A66,Backlog!$A$2:$A$188,0))="","",INDEX(Backlog!$AR$2:$AR$188,MATCH(A66,Backlog!$A$2:$A$188,0)))</f>
        <v>INHERITED ESTIMATE</v>
      </c>
      <c r="I66" s="76" t="str">
        <f>""</f>
        <v/>
      </c>
      <c r="J66" s="76" t="s">
        <v>5679</v>
      </c>
      <c r="K66" s="76" t="s">
        <v>5521</v>
      </c>
      <c r="L66" s="76" t="s">
        <v>5522</v>
      </c>
    </row>
    <row r="67" spans="1:12" ht="69.95" customHeight="1">
      <c r="A67" s="76" t="s">
        <v>883</v>
      </c>
      <c r="B67" s="76" t="s">
        <v>867</v>
      </c>
      <c r="C67" s="76" t="str">
        <f>IF(INDEX(Backlog!$K$2:$K$188,MATCH(A67,Backlog!$A$2:$A$188,0))="","",INDEX(Backlog!$K$2:$K$188,MATCH(A67,Backlog!$A$2:$A$188,0)))</f>
        <v>Done</v>
      </c>
      <c r="D67" s="76" t="s">
        <v>5517</v>
      </c>
      <c r="E67" s="76" t="s">
        <v>5680</v>
      </c>
      <c r="F67" s="76" t="s">
        <v>5519</v>
      </c>
      <c r="G67" s="77">
        <f>IF(INDEX(Backlog!$J$2:$J$188,MATCH(A67,Backlog!$A$2:$A$188,0))="","UNESTIMATED",IF(INDEX(Backlog!$AM$2:$AM$188,MATCH(A67,Backlog!$A$2:$A$188,0))=1,INDEX(Backlog!$J$2:$J$188,MATCH(A67,Backlog!$A$2:$A$188,0)),INDEX(Backlog!$J$2:$J$188,MATCH(A67,Backlog!$A$2:$A$188,0))&amp;" [STALE]"))</f>
        <v>10</v>
      </c>
      <c r="H67" s="76" t="str">
        <f>IF(INDEX(Backlog!$AR$2:$AR$188,MATCH(A67,Backlog!$A$2:$A$188,0))="","",INDEX(Backlog!$AR$2:$AR$188,MATCH(A67,Backlog!$A$2:$A$188,0)))</f>
        <v>INHERITED ESTIMATE</v>
      </c>
      <c r="I67" s="76" t="str">
        <f>""</f>
        <v/>
      </c>
      <c r="J67" s="76" t="s">
        <v>5681</v>
      </c>
      <c r="K67" s="76" t="s">
        <v>5521</v>
      </c>
      <c r="L67" s="76" t="s">
        <v>5522</v>
      </c>
    </row>
    <row r="68" spans="1:12" ht="69.95" customHeight="1">
      <c r="A68" s="76" t="s">
        <v>891</v>
      </c>
      <c r="B68" s="76" t="s">
        <v>867</v>
      </c>
      <c r="C68" s="76" t="str">
        <f>IF(INDEX(Backlog!$K$2:$K$188,MATCH(A68,Backlog!$A$2:$A$188,0))="","",INDEX(Backlog!$K$2:$K$188,MATCH(A68,Backlog!$A$2:$A$188,0)))</f>
        <v>Done</v>
      </c>
      <c r="D68" s="76" t="s">
        <v>5517</v>
      </c>
      <c r="E68" s="76" t="s">
        <v>5682</v>
      </c>
      <c r="F68" s="76" t="s">
        <v>5519</v>
      </c>
      <c r="G68" s="77">
        <f>IF(INDEX(Backlog!$J$2:$J$188,MATCH(A68,Backlog!$A$2:$A$188,0))="","UNESTIMATED",IF(INDEX(Backlog!$AM$2:$AM$188,MATCH(A68,Backlog!$A$2:$A$188,0))=1,INDEX(Backlog!$J$2:$J$188,MATCH(A68,Backlog!$A$2:$A$188,0)),INDEX(Backlog!$J$2:$J$188,MATCH(A68,Backlog!$A$2:$A$188,0))&amp;" [STALE]"))</f>
        <v>10</v>
      </c>
      <c r="H68" s="76" t="str">
        <f>IF(INDEX(Backlog!$AR$2:$AR$188,MATCH(A68,Backlog!$A$2:$A$188,0))="","",INDEX(Backlog!$AR$2:$AR$188,MATCH(A68,Backlog!$A$2:$A$188,0)))</f>
        <v>INHERITED ESTIMATE</v>
      </c>
      <c r="I68" s="76" t="str">
        <f>""</f>
        <v/>
      </c>
      <c r="J68" s="76" t="s">
        <v>5683</v>
      </c>
      <c r="K68" s="76" t="s">
        <v>5521</v>
      </c>
      <c r="L68" s="76" t="s">
        <v>5522</v>
      </c>
    </row>
    <row r="69" spans="1:12" ht="69.95" customHeight="1">
      <c r="A69" s="76" t="s">
        <v>897</v>
      </c>
      <c r="B69" s="76" t="s">
        <v>867</v>
      </c>
      <c r="C69" s="76" t="str">
        <f>IF(INDEX(Backlog!$K$2:$K$188,MATCH(A69,Backlog!$A$2:$A$188,0))="","",INDEX(Backlog!$K$2:$K$188,MATCH(A69,Backlog!$A$2:$A$188,0)))</f>
        <v>Done</v>
      </c>
      <c r="D69" s="76" t="s">
        <v>5517</v>
      </c>
      <c r="E69" s="76" t="s">
        <v>5684</v>
      </c>
      <c r="F69" s="76" t="s">
        <v>5519</v>
      </c>
      <c r="G69" s="77">
        <f>IF(INDEX(Backlog!$J$2:$J$188,MATCH(A69,Backlog!$A$2:$A$188,0))="","UNESTIMATED",IF(INDEX(Backlog!$AM$2:$AM$188,MATCH(A69,Backlog!$A$2:$A$188,0))=1,INDEX(Backlog!$J$2:$J$188,MATCH(A69,Backlog!$A$2:$A$188,0)),INDEX(Backlog!$J$2:$J$188,MATCH(A69,Backlog!$A$2:$A$188,0))&amp;" [STALE]"))</f>
        <v>10</v>
      </c>
      <c r="H69" s="76" t="str">
        <f>IF(INDEX(Backlog!$AR$2:$AR$188,MATCH(A69,Backlog!$A$2:$A$188,0))="","",INDEX(Backlog!$AR$2:$AR$188,MATCH(A69,Backlog!$A$2:$A$188,0)))</f>
        <v>INHERITED ESTIMATE</v>
      </c>
      <c r="I69" s="76" t="str">
        <f>""</f>
        <v/>
      </c>
      <c r="J69" s="76" t="s">
        <v>5685</v>
      </c>
      <c r="K69" s="76" t="s">
        <v>5521</v>
      </c>
      <c r="L69" s="76" t="s">
        <v>5522</v>
      </c>
    </row>
    <row r="70" spans="1:12" ht="69.95" customHeight="1">
      <c r="A70" s="76" t="s">
        <v>907</v>
      </c>
      <c r="B70" s="76" t="s">
        <v>867</v>
      </c>
      <c r="C70" s="76" t="str">
        <f>IF(INDEX(Backlog!$K$2:$K$188,MATCH(A70,Backlog!$A$2:$A$188,0))="","",INDEX(Backlog!$K$2:$K$188,MATCH(A70,Backlog!$A$2:$A$188,0)))</f>
        <v>Done</v>
      </c>
      <c r="D70" s="76" t="s">
        <v>5517</v>
      </c>
      <c r="E70" s="76" t="s">
        <v>5686</v>
      </c>
      <c r="F70" s="76" t="s">
        <v>5519</v>
      </c>
      <c r="G70" s="77">
        <f>IF(INDEX(Backlog!$J$2:$J$188,MATCH(A70,Backlog!$A$2:$A$188,0))="","UNESTIMATED",IF(INDEX(Backlog!$AM$2:$AM$188,MATCH(A70,Backlog!$A$2:$A$188,0))=1,INDEX(Backlog!$J$2:$J$188,MATCH(A70,Backlog!$A$2:$A$188,0)),INDEX(Backlog!$J$2:$J$188,MATCH(A70,Backlog!$A$2:$A$188,0))&amp;" [STALE]"))</f>
        <v>12</v>
      </c>
      <c r="H70" s="76" t="str">
        <f>IF(INDEX(Backlog!$AR$2:$AR$188,MATCH(A70,Backlog!$A$2:$A$188,0))="","",INDEX(Backlog!$AR$2:$AR$188,MATCH(A70,Backlog!$A$2:$A$188,0)))</f>
        <v>INHERITED ESTIMATE</v>
      </c>
      <c r="I70" s="76" t="str">
        <f>""</f>
        <v/>
      </c>
      <c r="J70" s="76" t="s">
        <v>5687</v>
      </c>
      <c r="K70" s="76" t="s">
        <v>5521</v>
      </c>
      <c r="L70" s="76" t="s">
        <v>5522</v>
      </c>
    </row>
    <row r="71" spans="1:12" ht="69.95" customHeight="1">
      <c r="A71" s="76" t="s">
        <v>914</v>
      </c>
      <c r="B71" s="76" t="s">
        <v>867</v>
      </c>
      <c r="C71" s="76" t="str">
        <f>IF(INDEX(Backlog!$K$2:$K$188,MATCH(A71,Backlog!$A$2:$A$188,0))="","",INDEX(Backlog!$K$2:$K$188,MATCH(A71,Backlog!$A$2:$A$188,0)))</f>
        <v>Done</v>
      </c>
      <c r="D71" s="76" t="s">
        <v>5517</v>
      </c>
      <c r="E71" s="76" t="s">
        <v>5688</v>
      </c>
      <c r="F71" s="76" t="s">
        <v>5519</v>
      </c>
      <c r="G71" s="77">
        <f>IF(INDEX(Backlog!$J$2:$J$188,MATCH(A71,Backlog!$A$2:$A$188,0))="","UNESTIMATED",IF(INDEX(Backlog!$AM$2:$AM$188,MATCH(A71,Backlog!$A$2:$A$188,0))=1,INDEX(Backlog!$J$2:$J$188,MATCH(A71,Backlog!$A$2:$A$188,0)),INDEX(Backlog!$J$2:$J$188,MATCH(A71,Backlog!$A$2:$A$188,0))&amp;" [STALE]"))</f>
        <v>12</v>
      </c>
      <c r="H71" s="76" t="str">
        <f>IF(INDEX(Backlog!$AR$2:$AR$188,MATCH(A71,Backlog!$A$2:$A$188,0))="","",INDEX(Backlog!$AR$2:$AR$188,MATCH(A71,Backlog!$A$2:$A$188,0)))</f>
        <v>INHERITED ESTIMATE</v>
      </c>
      <c r="I71" s="76" t="str">
        <f>""</f>
        <v/>
      </c>
      <c r="J71" s="76" t="s">
        <v>5689</v>
      </c>
      <c r="K71" s="76" t="s">
        <v>5521</v>
      </c>
      <c r="L71" s="76" t="s">
        <v>5522</v>
      </c>
    </row>
    <row r="72" spans="1:12" ht="69.95" customHeight="1">
      <c r="A72" s="76" t="s">
        <v>923</v>
      </c>
      <c r="B72" s="76" t="s">
        <v>867</v>
      </c>
      <c r="C72" s="76" t="str">
        <f>IF(INDEX(Backlog!$K$2:$K$188,MATCH(A72,Backlog!$A$2:$A$188,0))="","",INDEX(Backlog!$K$2:$K$188,MATCH(A72,Backlog!$A$2:$A$188,0)))</f>
        <v>Done</v>
      </c>
      <c r="D72" s="76" t="s">
        <v>5517</v>
      </c>
      <c r="E72" s="76" t="s">
        <v>5690</v>
      </c>
      <c r="F72" s="76" t="s">
        <v>5519</v>
      </c>
      <c r="G72" s="77">
        <f>IF(INDEX(Backlog!$J$2:$J$188,MATCH(A72,Backlog!$A$2:$A$188,0))="","UNESTIMATED",IF(INDEX(Backlog!$AM$2:$AM$188,MATCH(A72,Backlog!$A$2:$A$188,0))=1,INDEX(Backlog!$J$2:$J$188,MATCH(A72,Backlog!$A$2:$A$188,0)),INDEX(Backlog!$J$2:$J$188,MATCH(A72,Backlog!$A$2:$A$188,0))&amp;" [STALE]"))</f>
        <v>10</v>
      </c>
      <c r="H72" s="76" t="str">
        <f>IF(INDEX(Backlog!$AR$2:$AR$188,MATCH(A72,Backlog!$A$2:$A$188,0))="","",INDEX(Backlog!$AR$2:$AR$188,MATCH(A72,Backlog!$A$2:$A$188,0)))</f>
        <v>INHERITED ESTIMATE</v>
      </c>
      <c r="I72" s="76" t="str">
        <f>""</f>
        <v/>
      </c>
      <c r="J72" s="76" t="s">
        <v>5691</v>
      </c>
      <c r="K72" s="76" t="s">
        <v>5521</v>
      </c>
      <c r="L72" s="76" t="s">
        <v>5522</v>
      </c>
    </row>
    <row r="73" spans="1:12" ht="69.95" customHeight="1">
      <c r="A73" s="76" t="s">
        <v>929</v>
      </c>
      <c r="B73" s="76" t="s">
        <v>867</v>
      </c>
      <c r="C73" s="76" t="str">
        <f>IF(INDEX(Backlog!$K$2:$K$188,MATCH(A73,Backlog!$A$2:$A$188,0))="","",INDEX(Backlog!$K$2:$K$188,MATCH(A73,Backlog!$A$2:$A$188,0)))</f>
        <v>Done</v>
      </c>
      <c r="D73" s="76" t="s">
        <v>5517</v>
      </c>
      <c r="E73" s="76" t="s">
        <v>5692</v>
      </c>
      <c r="F73" s="76" t="s">
        <v>5519</v>
      </c>
      <c r="G73" s="77">
        <f>IF(INDEX(Backlog!$J$2:$J$188,MATCH(A73,Backlog!$A$2:$A$188,0))="","UNESTIMATED",IF(INDEX(Backlog!$AM$2:$AM$188,MATCH(A73,Backlog!$A$2:$A$188,0))=1,INDEX(Backlog!$J$2:$J$188,MATCH(A73,Backlog!$A$2:$A$188,0)),INDEX(Backlog!$J$2:$J$188,MATCH(A73,Backlog!$A$2:$A$188,0))&amp;" [STALE]"))</f>
        <v>12</v>
      </c>
      <c r="H73" s="76" t="str">
        <f>IF(INDEX(Backlog!$AR$2:$AR$188,MATCH(A73,Backlog!$A$2:$A$188,0))="","",INDEX(Backlog!$AR$2:$AR$188,MATCH(A73,Backlog!$A$2:$A$188,0)))</f>
        <v>INHERITED ESTIMATE</v>
      </c>
      <c r="I73" s="76"/>
      <c r="J73" s="76" t="s">
        <v>5693</v>
      </c>
      <c r="K73" s="76" t="s">
        <v>5521</v>
      </c>
      <c r="L73" s="76" t="s">
        <v>5522</v>
      </c>
    </row>
    <row r="74" spans="1:12" ht="69.95" customHeight="1">
      <c r="A74" s="76" t="s">
        <v>936</v>
      </c>
      <c r="B74" s="76" t="s">
        <v>867</v>
      </c>
      <c r="C74" s="76" t="str">
        <f>IF(INDEX(Backlog!$K$2:$K$188,MATCH(A74,Backlog!$A$2:$A$188,0))="","",INDEX(Backlog!$K$2:$K$188,MATCH(A74,Backlog!$A$2:$A$188,0)))</f>
        <v>Done</v>
      </c>
      <c r="D74" s="76" t="s">
        <v>5517</v>
      </c>
      <c r="E74" s="76" t="s">
        <v>5694</v>
      </c>
      <c r="F74" s="76" t="s">
        <v>5519</v>
      </c>
      <c r="G74" s="77">
        <f>IF(INDEX(Backlog!$J$2:$J$188,MATCH(A74,Backlog!$A$2:$A$188,0))="","UNESTIMATED",IF(INDEX(Backlog!$AM$2:$AM$188,MATCH(A74,Backlog!$A$2:$A$188,0))=1,INDEX(Backlog!$J$2:$J$188,MATCH(A74,Backlog!$A$2:$A$188,0)),INDEX(Backlog!$J$2:$J$188,MATCH(A74,Backlog!$A$2:$A$188,0))&amp;" [STALE]"))</f>
        <v>12</v>
      </c>
      <c r="H74" s="76" t="str">
        <f>IF(INDEX(Backlog!$AR$2:$AR$188,MATCH(A74,Backlog!$A$2:$A$188,0))="","",INDEX(Backlog!$AR$2:$AR$188,MATCH(A74,Backlog!$A$2:$A$188,0)))</f>
        <v>INHERITED ESTIMATE</v>
      </c>
      <c r="I74" s="76" t="str">
        <f>""</f>
        <v/>
      </c>
      <c r="J74" s="76" t="s">
        <v>5695</v>
      </c>
      <c r="K74" s="76" t="s">
        <v>5521</v>
      </c>
      <c r="L74" s="76" t="s">
        <v>5522</v>
      </c>
    </row>
    <row r="75" spans="1:12" ht="69.95" customHeight="1">
      <c r="A75" s="76" t="s">
        <v>943</v>
      </c>
      <c r="B75" s="76" t="s">
        <v>867</v>
      </c>
      <c r="C75" s="76" t="str">
        <f>IF(INDEX(Backlog!$K$2:$K$188,MATCH(A75,Backlog!$A$2:$A$188,0))="","",INDEX(Backlog!$K$2:$K$188,MATCH(A75,Backlog!$A$2:$A$188,0)))</f>
        <v>Done</v>
      </c>
      <c r="D75" s="76" t="s">
        <v>5517</v>
      </c>
      <c r="E75" s="76" t="s">
        <v>5696</v>
      </c>
      <c r="F75" s="76" t="s">
        <v>5519</v>
      </c>
      <c r="G75" s="77">
        <f>IF(INDEX(Backlog!$J$2:$J$188,MATCH(A75,Backlog!$A$2:$A$188,0))="","UNESTIMATED",IF(INDEX(Backlog!$AM$2:$AM$188,MATCH(A75,Backlog!$A$2:$A$188,0))=1,INDEX(Backlog!$J$2:$J$188,MATCH(A75,Backlog!$A$2:$A$188,0)),INDEX(Backlog!$J$2:$J$188,MATCH(A75,Backlog!$A$2:$A$188,0))&amp;" [STALE]"))</f>
        <v>10</v>
      </c>
      <c r="H75" s="76" t="str">
        <f>IF(INDEX(Backlog!$AR$2:$AR$188,MATCH(A75,Backlog!$A$2:$A$188,0))="","",INDEX(Backlog!$AR$2:$AR$188,MATCH(A75,Backlog!$A$2:$A$188,0)))</f>
        <v>INHERITED ESTIMATE</v>
      </c>
      <c r="I75" s="76" t="str">
        <f>""</f>
        <v/>
      </c>
      <c r="J75" s="76" t="s">
        <v>5697</v>
      </c>
      <c r="K75" s="76" t="s">
        <v>5521</v>
      </c>
      <c r="L75" s="76" t="s">
        <v>5522</v>
      </c>
    </row>
    <row r="76" spans="1:12" ht="69.95" customHeight="1">
      <c r="A76" s="76" t="s">
        <v>951</v>
      </c>
      <c r="B76" s="76" t="s">
        <v>867</v>
      </c>
      <c r="C76" s="76" t="str">
        <f>IF(INDEX(Backlog!$K$2:$K$188,MATCH(A76,Backlog!$A$2:$A$188,0))="","",INDEX(Backlog!$K$2:$K$188,MATCH(A76,Backlog!$A$2:$A$188,0)))</f>
        <v>Done</v>
      </c>
      <c r="D76" s="76" t="s">
        <v>5517</v>
      </c>
      <c r="E76" s="76" t="s">
        <v>5698</v>
      </c>
      <c r="F76" s="76" t="s">
        <v>5519</v>
      </c>
      <c r="G76" s="77">
        <f>IF(INDEX(Backlog!$J$2:$J$188,MATCH(A76,Backlog!$A$2:$A$188,0))="","UNESTIMATED",IF(INDEX(Backlog!$AM$2:$AM$188,MATCH(A76,Backlog!$A$2:$A$188,0))=1,INDEX(Backlog!$J$2:$J$188,MATCH(A76,Backlog!$A$2:$A$188,0)),INDEX(Backlog!$J$2:$J$188,MATCH(A76,Backlog!$A$2:$A$188,0))&amp;" [STALE]"))</f>
        <v>8</v>
      </c>
      <c r="H76" s="76" t="str">
        <f>IF(INDEX(Backlog!$AR$2:$AR$188,MATCH(A76,Backlog!$A$2:$A$188,0))="","",INDEX(Backlog!$AR$2:$AR$188,MATCH(A76,Backlog!$A$2:$A$188,0)))</f>
        <v>INHERITED ESTIMATE</v>
      </c>
      <c r="I76" s="76" t="str">
        <f>""</f>
        <v/>
      </c>
      <c r="J76" s="76" t="s">
        <v>5699</v>
      </c>
      <c r="K76" s="76" t="s">
        <v>5521</v>
      </c>
      <c r="L76" s="76" t="s">
        <v>5522</v>
      </c>
    </row>
    <row r="77" spans="1:12" ht="69.95" customHeight="1">
      <c r="A77" s="76" t="s">
        <v>960</v>
      </c>
      <c r="B77" s="76" t="s">
        <v>867</v>
      </c>
      <c r="C77" s="76" t="str">
        <f>IF(INDEX(Backlog!$K$2:$K$188,MATCH(A77,Backlog!$A$2:$A$188,0))="","",INDEX(Backlog!$K$2:$K$188,MATCH(A77,Backlog!$A$2:$A$188,0)))</f>
        <v>Done</v>
      </c>
      <c r="D77" s="76" t="s">
        <v>5517</v>
      </c>
      <c r="E77" s="76" t="s">
        <v>5700</v>
      </c>
      <c r="F77" s="76" t="s">
        <v>5519</v>
      </c>
      <c r="G77" s="77">
        <f>IF(INDEX(Backlog!$J$2:$J$188,MATCH(A77,Backlog!$A$2:$A$188,0))="","UNESTIMATED",IF(INDEX(Backlog!$AM$2:$AM$188,MATCH(A77,Backlog!$A$2:$A$188,0))=1,INDEX(Backlog!$J$2:$J$188,MATCH(A77,Backlog!$A$2:$A$188,0)),INDEX(Backlog!$J$2:$J$188,MATCH(A77,Backlog!$A$2:$A$188,0))&amp;" [STALE]"))</f>
        <v>10</v>
      </c>
      <c r="H77" s="76" t="str">
        <f>IF(INDEX(Backlog!$AR$2:$AR$188,MATCH(A77,Backlog!$A$2:$A$188,0))="","",INDEX(Backlog!$AR$2:$AR$188,MATCH(A77,Backlog!$A$2:$A$188,0)))</f>
        <v>INHERITED ESTIMATE</v>
      </c>
      <c r="I77" s="76" t="str">
        <f>""</f>
        <v/>
      </c>
      <c r="J77" s="76" t="s">
        <v>5701</v>
      </c>
      <c r="K77" s="76" t="s">
        <v>5521</v>
      </c>
      <c r="L77" s="76" t="s">
        <v>5522</v>
      </c>
    </row>
    <row r="78" spans="1:12" ht="69.95" customHeight="1">
      <c r="A78" s="76" t="s">
        <v>969</v>
      </c>
      <c r="B78" s="76" t="s">
        <v>867</v>
      </c>
      <c r="C78" s="76" t="str">
        <f>IF(INDEX(Backlog!$K$2:$K$188,MATCH(A78,Backlog!$A$2:$A$188,0))="","",INDEX(Backlog!$K$2:$K$188,MATCH(A78,Backlog!$A$2:$A$188,0)))</f>
        <v>Done</v>
      </c>
      <c r="D78" s="76" t="s">
        <v>5517</v>
      </c>
      <c r="E78" s="76" t="s">
        <v>5702</v>
      </c>
      <c r="F78" s="76" t="s">
        <v>5519</v>
      </c>
      <c r="G78" s="77">
        <f>IF(INDEX(Backlog!$J$2:$J$188,MATCH(A78,Backlog!$A$2:$A$188,0))="","UNESTIMATED",IF(INDEX(Backlog!$AM$2:$AM$188,MATCH(A78,Backlog!$A$2:$A$188,0))=1,INDEX(Backlog!$J$2:$J$188,MATCH(A78,Backlog!$A$2:$A$188,0)),INDEX(Backlog!$J$2:$J$188,MATCH(A78,Backlog!$A$2:$A$188,0))&amp;" [STALE]"))</f>
        <v>12</v>
      </c>
      <c r="H78" s="76" t="str">
        <f>IF(INDEX(Backlog!$AR$2:$AR$188,MATCH(A78,Backlog!$A$2:$A$188,0))="","",INDEX(Backlog!$AR$2:$AR$188,MATCH(A78,Backlog!$A$2:$A$188,0)))</f>
        <v>INHERITED ESTIMATE</v>
      </c>
      <c r="I78" s="76" t="str">
        <f>""</f>
        <v/>
      </c>
      <c r="J78" s="76" t="s">
        <v>5703</v>
      </c>
      <c r="K78" s="76" t="s">
        <v>5521</v>
      </c>
      <c r="L78" s="76" t="s">
        <v>5522</v>
      </c>
    </row>
    <row r="79" spans="1:12" ht="69.95" customHeight="1">
      <c r="A79" s="76" t="s">
        <v>975</v>
      </c>
      <c r="B79" s="76" t="s">
        <v>867</v>
      </c>
      <c r="C79" s="76" t="str">
        <f>IF(INDEX(Backlog!$K$2:$K$188,MATCH(A79,Backlog!$A$2:$A$188,0))="","",INDEX(Backlog!$K$2:$K$188,MATCH(A79,Backlog!$A$2:$A$188,0)))</f>
        <v>Done</v>
      </c>
      <c r="D79" s="76" t="s">
        <v>5517</v>
      </c>
      <c r="E79" s="76" t="s">
        <v>5704</v>
      </c>
      <c r="F79" s="76" t="s">
        <v>5519</v>
      </c>
      <c r="G79" s="77">
        <f>IF(INDEX(Backlog!$J$2:$J$188,MATCH(A79,Backlog!$A$2:$A$188,0))="","UNESTIMATED",IF(INDEX(Backlog!$AM$2:$AM$188,MATCH(A79,Backlog!$A$2:$A$188,0))=1,INDEX(Backlog!$J$2:$J$188,MATCH(A79,Backlog!$A$2:$A$188,0)),INDEX(Backlog!$J$2:$J$188,MATCH(A79,Backlog!$A$2:$A$188,0))&amp;" [STALE]"))</f>
        <v>12</v>
      </c>
      <c r="H79" s="76" t="str">
        <f>IF(INDEX(Backlog!$AR$2:$AR$188,MATCH(A79,Backlog!$A$2:$A$188,0))="","",INDEX(Backlog!$AR$2:$AR$188,MATCH(A79,Backlog!$A$2:$A$188,0)))</f>
        <v>INHERITED ESTIMATE</v>
      </c>
      <c r="I79" s="76" t="str">
        <f>""</f>
        <v/>
      </c>
      <c r="J79" s="76" t="s">
        <v>5705</v>
      </c>
      <c r="K79" s="76" t="s">
        <v>5521</v>
      </c>
      <c r="L79" s="76" t="s">
        <v>5522</v>
      </c>
    </row>
    <row r="80" spans="1:12" ht="69.95" customHeight="1">
      <c r="A80" s="76" t="s">
        <v>982</v>
      </c>
      <c r="B80" s="76" t="s">
        <v>867</v>
      </c>
      <c r="C80" s="76" t="str">
        <f>IF(INDEX(Backlog!$K$2:$K$188,MATCH(A80,Backlog!$A$2:$A$188,0))="","",INDEX(Backlog!$K$2:$K$188,MATCH(A80,Backlog!$A$2:$A$188,0)))</f>
        <v>Done</v>
      </c>
      <c r="D80" s="76" t="s">
        <v>5517</v>
      </c>
      <c r="E80" s="76" t="s">
        <v>5549</v>
      </c>
      <c r="F80" s="76" t="s">
        <v>5519</v>
      </c>
      <c r="G80" s="77">
        <f>IF(INDEX(Backlog!$J$2:$J$188,MATCH(A80,Backlog!$A$2:$A$188,0))="","UNESTIMATED",IF(INDEX(Backlog!$AM$2:$AM$188,MATCH(A80,Backlog!$A$2:$A$188,0))=1,INDEX(Backlog!$J$2:$J$188,MATCH(A80,Backlog!$A$2:$A$188,0)),INDEX(Backlog!$J$2:$J$188,MATCH(A80,Backlog!$A$2:$A$188,0))&amp;" [STALE]"))</f>
        <v>10</v>
      </c>
      <c r="H80" s="76" t="str">
        <f>IF(INDEX(Backlog!$AR$2:$AR$188,MATCH(A80,Backlog!$A$2:$A$188,0))="","",INDEX(Backlog!$AR$2:$AR$188,MATCH(A80,Backlog!$A$2:$A$188,0)))</f>
        <v>INHERITED ESTIMATE</v>
      </c>
      <c r="I80" s="76" t="str">
        <f>""</f>
        <v/>
      </c>
      <c r="J80" s="76" t="s">
        <v>5706</v>
      </c>
      <c r="K80" s="76" t="s">
        <v>5551</v>
      </c>
      <c r="L80" s="76" t="s">
        <v>5522</v>
      </c>
    </row>
    <row r="81" spans="1:12" ht="69.95" customHeight="1">
      <c r="A81" s="76" t="s">
        <v>990</v>
      </c>
      <c r="B81" s="76" t="s">
        <v>867</v>
      </c>
      <c r="C81" s="76" t="str">
        <f>IF(INDEX(Backlog!$K$2:$K$188,MATCH(A81,Backlog!$A$2:$A$188,0))="","",INDEX(Backlog!$K$2:$K$188,MATCH(A81,Backlog!$A$2:$A$188,0)))</f>
        <v>Not Started</v>
      </c>
      <c r="D81" s="76" t="s">
        <v>5517</v>
      </c>
      <c r="E81" s="76" t="s">
        <v>5549</v>
      </c>
      <c r="F81" s="76" t="s">
        <v>5519</v>
      </c>
      <c r="G81" s="77">
        <f>IF(INDEX(Backlog!$J$2:$J$188,MATCH(A81,Backlog!$A$2:$A$188,0))="","UNESTIMATED",IF(INDEX(Backlog!$AM$2:$AM$188,MATCH(A81,Backlog!$A$2:$A$188,0))=1,INDEX(Backlog!$J$2:$J$188,MATCH(A81,Backlog!$A$2:$A$188,0)),INDEX(Backlog!$J$2:$J$188,MATCH(A81,Backlog!$A$2:$A$188,0))&amp;" [STALE]"))</f>
        <v>10</v>
      </c>
      <c r="H81" s="76" t="str">
        <f>IF(INDEX(Backlog!$AR$2:$AR$188,MATCH(A81,Backlog!$A$2:$A$188,0))="","",INDEX(Backlog!$AR$2:$AR$188,MATCH(A81,Backlog!$A$2:$A$188,0)))</f>
        <v>INHERITED ESTIMATE</v>
      </c>
      <c r="I81" s="76"/>
      <c r="J81" s="76" t="s">
        <v>5707</v>
      </c>
      <c r="K81" s="76" t="s">
        <v>5521</v>
      </c>
      <c r="L81" s="76" t="s">
        <v>5522</v>
      </c>
    </row>
    <row r="82" spans="1:12" ht="69.95" customHeight="1">
      <c r="A82" s="76" t="s">
        <v>1002</v>
      </c>
      <c r="B82" s="76" t="s">
        <v>867</v>
      </c>
      <c r="C82" s="76" t="str">
        <f>IF(INDEX(Backlog!$K$2:$K$188,MATCH(A82,Backlog!$A$2:$A$188,0))="","",INDEX(Backlog!$K$2:$K$188,MATCH(A82,Backlog!$A$2:$A$188,0)))</f>
        <v>Not Started</v>
      </c>
      <c r="D82" s="76" t="s">
        <v>5517</v>
      </c>
      <c r="E82" s="76" t="s">
        <v>5549</v>
      </c>
      <c r="F82" s="76" t="s">
        <v>5519</v>
      </c>
      <c r="G82" s="77">
        <f>IF(INDEX(Backlog!$J$2:$J$188,MATCH(A82,Backlog!$A$2:$A$188,0))="","UNESTIMATED",IF(INDEX(Backlog!$AM$2:$AM$188,MATCH(A82,Backlog!$A$2:$A$188,0))=1,INDEX(Backlog!$J$2:$J$188,MATCH(A82,Backlog!$A$2:$A$188,0)),INDEX(Backlog!$J$2:$J$188,MATCH(A82,Backlog!$A$2:$A$188,0))&amp;" [STALE]"))</f>
        <v>6</v>
      </c>
      <c r="H82" s="76" t="str">
        <f>IF(INDEX(Backlog!$AR$2:$AR$188,MATCH(A82,Backlog!$A$2:$A$188,0))="","",INDEX(Backlog!$AR$2:$AR$188,MATCH(A82,Backlog!$A$2:$A$188,0)))</f>
        <v>INHERITED ESTIMATE</v>
      </c>
      <c r="I82" s="76"/>
      <c r="J82" s="76" t="s">
        <v>5708</v>
      </c>
      <c r="K82" s="76" t="s">
        <v>5521</v>
      </c>
      <c r="L82" s="76" t="s">
        <v>5522</v>
      </c>
    </row>
    <row r="83" spans="1:12" ht="69.95" customHeight="1">
      <c r="A83" s="76" t="s">
        <v>1011</v>
      </c>
      <c r="B83" s="76" t="s">
        <v>867</v>
      </c>
      <c r="C83" s="76" t="str">
        <f>IF(INDEX(Backlog!$K$2:$K$188,MATCH(A83,Backlog!$A$2:$A$188,0))="","",INDEX(Backlog!$K$2:$K$188,MATCH(A83,Backlog!$A$2:$A$188,0)))</f>
        <v>Done</v>
      </c>
      <c r="D83" s="76" t="s">
        <v>5517</v>
      </c>
      <c r="E83" s="76" t="s">
        <v>5549</v>
      </c>
      <c r="F83" s="76" t="s">
        <v>5519</v>
      </c>
      <c r="G83" s="77">
        <f>IF(INDEX(Backlog!$J$2:$J$188,MATCH(A83,Backlog!$A$2:$A$188,0))="","UNESTIMATED",IF(INDEX(Backlog!$AM$2:$AM$188,MATCH(A83,Backlog!$A$2:$A$188,0))=1,INDEX(Backlog!$J$2:$J$188,MATCH(A83,Backlog!$A$2:$A$188,0)),INDEX(Backlog!$J$2:$J$188,MATCH(A83,Backlog!$A$2:$A$188,0))&amp;" [STALE]"))</f>
        <v>10</v>
      </c>
      <c r="H83" s="76" t="str">
        <f>IF(INDEX(Backlog!$AR$2:$AR$188,MATCH(A83,Backlog!$A$2:$A$188,0))="","",INDEX(Backlog!$AR$2:$AR$188,MATCH(A83,Backlog!$A$2:$A$188,0)))</f>
        <v>INHERITED ESTIMATE</v>
      </c>
      <c r="I83" s="76"/>
      <c r="J83" s="76" t="s">
        <v>5709</v>
      </c>
      <c r="K83" s="76" t="s">
        <v>5551</v>
      </c>
      <c r="L83" s="76" t="s">
        <v>5522</v>
      </c>
    </row>
    <row r="84" spans="1:12" ht="69.95" customHeight="1">
      <c r="A84" s="76" t="s">
        <v>1021</v>
      </c>
      <c r="B84" s="76" t="s">
        <v>867</v>
      </c>
      <c r="C84" s="76" t="str">
        <f>IF(INDEX(Backlog!$K$2:$K$188,MATCH(A84,Backlog!$A$2:$A$188,0))="","",INDEX(Backlog!$K$2:$K$188,MATCH(A84,Backlog!$A$2:$A$188,0)))</f>
        <v>Done</v>
      </c>
      <c r="D84" s="76" t="s">
        <v>5517</v>
      </c>
      <c r="E84" s="76" t="s">
        <v>5549</v>
      </c>
      <c r="F84" s="76" t="s">
        <v>5519</v>
      </c>
      <c r="G84" s="77">
        <f>IF(INDEX(Backlog!$J$2:$J$188,MATCH(A84,Backlog!$A$2:$A$188,0))="","UNESTIMATED",IF(INDEX(Backlog!$AM$2:$AM$188,MATCH(A84,Backlog!$A$2:$A$188,0))=1,INDEX(Backlog!$J$2:$J$188,MATCH(A84,Backlog!$A$2:$A$188,0)),INDEX(Backlog!$J$2:$J$188,MATCH(A84,Backlog!$A$2:$A$188,0))&amp;" [STALE]"))</f>
        <v>8</v>
      </c>
      <c r="H84" s="76" t="str">
        <f>IF(INDEX(Backlog!$AR$2:$AR$188,MATCH(A84,Backlog!$A$2:$A$188,0))="","",INDEX(Backlog!$AR$2:$AR$188,MATCH(A84,Backlog!$A$2:$A$188,0)))</f>
        <v>INHERITED ESTIMATE</v>
      </c>
      <c r="I84" s="76"/>
      <c r="J84" s="76" t="s">
        <v>5710</v>
      </c>
      <c r="K84" s="76" t="s">
        <v>5551</v>
      </c>
      <c r="L84" s="76" t="s">
        <v>5522</v>
      </c>
    </row>
    <row r="85" spans="1:12" ht="69.95" customHeight="1">
      <c r="A85" s="76" t="s">
        <v>1026</v>
      </c>
      <c r="B85" s="76" t="s">
        <v>867</v>
      </c>
      <c r="C85" s="76" t="str">
        <f>IF(INDEX(Backlog!$K$2:$K$188,MATCH(A85,Backlog!$A$2:$A$188,0))="","",INDEX(Backlog!$K$2:$K$188,MATCH(A85,Backlog!$A$2:$A$188,0)))</f>
        <v>Done</v>
      </c>
      <c r="D85" s="76" t="s">
        <v>5517</v>
      </c>
      <c r="E85" s="76" t="s">
        <v>5549</v>
      </c>
      <c r="F85" s="76" t="s">
        <v>5519</v>
      </c>
      <c r="G85" s="77">
        <f>IF(INDEX(Backlog!$J$2:$J$188,MATCH(A85,Backlog!$A$2:$A$188,0))="","UNESTIMATED",IF(INDEX(Backlog!$AM$2:$AM$188,MATCH(A85,Backlog!$A$2:$A$188,0))=1,INDEX(Backlog!$J$2:$J$188,MATCH(A85,Backlog!$A$2:$A$188,0)),INDEX(Backlog!$J$2:$J$188,MATCH(A85,Backlog!$A$2:$A$188,0))&amp;" [STALE]"))</f>
        <v>12</v>
      </c>
      <c r="H85" s="76" t="str">
        <f>IF(INDEX(Backlog!$AR$2:$AR$188,MATCH(A85,Backlog!$A$2:$A$188,0))="","",INDEX(Backlog!$AR$2:$AR$188,MATCH(A85,Backlog!$A$2:$A$188,0)))</f>
        <v>INHERITED ESTIMATE</v>
      </c>
      <c r="I85" s="76"/>
      <c r="J85" s="76" t="s">
        <v>5711</v>
      </c>
      <c r="K85" s="76" t="s">
        <v>5551</v>
      </c>
      <c r="L85" s="76" t="s">
        <v>5522</v>
      </c>
    </row>
    <row r="86" spans="1:12" ht="69.95" customHeight="1">
      <c r="A86" s="76" t="s">
        <v>1037</v>
      </c>
      <c r="B86" s="76" t="s">
        <v>867</v>
      </c>
      <c r="C86" s="76" t="str">
        <f>IF(INDEX(Backlog!$K$2:$K$188,MATCH(A86,Backlog!$A$2:$A$188,0))="","",INDEX(Backlog!$K$2:$K$188,MATCH(A86,Backlog!$A$2:$A$188,0)))</f>
        <v>Done</v>
      </c>
      <c r="D86" s="76" t="s">
        <v>5517</v>
      </c>
      <c r="E86" s="76" t="s">
        <v>5549</v>
      </c>
      <c r="F86" s="76" t="s">
        <v>5519</v>
      </c>
      <c r="G86" s="77">
        <f>IF(INDEX(Backlog!$J$2:$J$188,MATCH(A86,Backlog!$A$2:$A$188,0))="","UNESTIMATED",IF(INDEX(Backlog!$AM$2:$AM$188,MATCH(A86,Backlog!$A$2:$A$188,0))=1,INDEX(Backlog!$J$2:$J$188,MATCH(A86,Backlog!$A$2:$A$188,0)),INDEX(Backlog!$J$2:$J$188,MATCH(A86,Backlog!$A$2:$A$188,0))&amp;" [STALE]"))</f>
        <v>8</v>
      </c>
      <c r="H86" s="76" t="str">
        <f>IF(INDEX(Backlog!$AR$2:$AR$188,MATCH(A86,Backlog!$A$2:$A$188,0))="","",INDEX(Backlog!$AR$2:$AR$188,MATCH(A86,Backlog!$A$2:$A$188,0)))</f>
        <v>INHERITED ESTIMATE</v>
      </c>
      <c r="I86" s="76"/>
      <c r="J86" s="76" t="s">
        <v>5712</v>
      </c>
      <c r="K86" s="76" t="s">
        <v>5551</v>
      </c>
      <c r="L86" s="76" t="s">
        <v>5522</v>
      </c>
    </row>
    <row r="87" spans="1:12" ht="69.95" customHeight="1">
      <c r="A87" s="76" t="s">
        <v>1046</v>
      </c>
      <c r="B87" s="76" t="s">
        <v>867</v>
      </c>
      <c r="C87" s="76" t="str">
        <f>IF(INDEX(Backlog!$K$2:$K$188,MATCH(A87,Backlog!$A$2:$A$188,0))="","",INDEX(Backlog!$K$2:$K$188,MATCH(A87,Backlog!$A$2:$A$188,0)))</f>
        <v>Not Started</v>
      </c>
      <c r="D87" s="76" t="s">
        <v>5517</v>
      </c>
      <c r="E87" s="76" t="s">
        <v>5549</v>
      </c>
      <c r="F87" s="76" t="s">
        <v>5519</v>
      </c>
      <c r="G87" s="77">
        <f>IF(INDEX(Backlog!$J$2:$J$188,MATCH(A87,Backlog!$A$2:$A$188,0))="","UNESTIMATED",IF(INDEX(Backlog!$AM$2:$AM$188,MATCH(A87,Backlog!$A$2:$A$188,0))=1,INDEX(Backlog!$J$2:$J$188,MATCH(A87,Backlog!$A$2:$A$188,0)),INDEX(Backlog!$J$2:$J$188,MATCH(A87,Backlog!$A$2:$A$188,0))&amp;" [STALE]"))</f>
        <v>12</v>
      </c>
      <c r="H87" s="76" t="str">
        <f>IF(INDEX(Backlog!$AR$2:$AR$188,MATCH(A87,Backlog!$A$2:$A$188,0))="","",INDEX(Backlog!$AR$2:$AR$188,MATCH(A87,Backlog!$A$2:$A$188,0)))</f>
        <v>INHERITED ESTIMATE</v>
      </c>
      <c r="I87" s="76" t="s">
        <v>12729</v>
      </c>
      <c r="J87" s="76" t="s">
        <v>5713</v>
      </c>
      <c r="K87" s="76" t="s">
        <v>5521</v>
      </c>
      <c r="L87" s="76" t="s">
        <v>5522</v>
      </c>
    </row>
    <row r="88" spans="1:12" ht="69.95" customHeight="1">
      <c r="A88" s="76" t="s">
        <v>1056</v>
      </c>
      <c r="B88" s="76" t="s">
        <v>867</v>
      </c>
      <c r="C88" s="76" t="str">
        <f>IF(INDEX(Backlog!$K$2:$K$188,MATCH(A88,Backlog!$A$2:$A$188,0))="","",INDEX(Backlog!$K$2:$K$188,MATCH(A88,Backlog!$A$2:$A$188,0)))</f>
        <v>Not Started</v>
      </c>
      <c r="D88" s="76" t="s">
        <v>5517</v>
      </c>
      <c r="E88" s="76" t="s">
        <v>5549</v>
      </c>
      <c r="F88" s="76" t="s">
        <v>5519</v>
      </c>
      <c r="G88" s="77">
        <f>IF(INDEX(Backlog!$J$2:$J$188,MATCH(A88,Backlog!$A$2:$A$188,0))="","UNESTIMATED",IF(INDEX(Backlog!$AM$2:$AM$188,MATCH(A88,Backlog!$A$2:$A$188,0))=1,INDEX(Backlog!$J$2:$J$188,MATCH(A88,Backlog!$A$2:$A$188,0)),INDEX(Backlog!$J$2:$J$188,MATCH(A88,Backlog!$A$2:$A$188,0))&amp;" [STALE]"))</f>
        <v>10</v>
      </c>
      <c r="H88" s="76" t="str">
        <f>IF(INDEX(Backlog!$AR$2:$AR$188,MATCH(A88,Backlog!$A$2:$A$188,0))="","",INDEX(Backlog!$AR$2:$AR$188,MATCH(A88,Backlog!$A$2:$A$188,0)))</f>
        <v>INHERITED ESTIMATE</v>
      </c>
      <c r="I88" s="76" t="s">
        <v>1002</v>
      </c>
      <c r="J88" s="76" t="s">
        <v>5714</v>
      </c>
      <c r="K88" s="76" t="s">
        <v>5521</v>
      </c>
      <c r="L88" s="76" t="s">
        <v>5522</v>
      </c>
    </row>
    <row r="89" spans="1:12" ht="69.95" customHeight="1">
      <c r="A89" s="76" t="s">
        <v>1068</v>
      </c>
      <c r="B89" s="76" t="s">
        <v>867</v>
      </c>
      <c r="C89" s="76" t="str">
        <f>IF(INDEX(Backlog!$K$2:$K$188,MATCH(A89,Backlog!$A$2:$A$188,0))="","",INDEX(Backlog!$K$2:$K$188,MATCH(A89,Backlog!$A$2:$A$188,0)))</f>
        <v>Done</v>
      </c>
      <c r="D89" s="76" t="s">
        <v>5517</v>
      </c>
      <c r="E89" s="76" t="s">
        <v>5549</v>
      </c>
      <c r="F89" s="76" t="s">
        <v>5519</v>
      </c>
      <c r="G89" s="77">
        <f>IF(INDEX(Backlog!$J$2:$J$188,MATCH(A89,Backlog!$A$2:$A$188,0))="","UNESTIMATED",IF(INDEX(Backlog!$AM$2:$AM$188,MATCH(A89,Backlog!$A$2:$A$188,0))=1,INDEX(Backlog!$J$2:$J$188,MATCH(A89,Backlog!$A$2:$A$188,0)),INDEX(Backlog!$J$2:$J$188,MATCH(A89,Backlog!$A$2:$A$188,0))&amp;" [STALE]"))</f>
        <v>8</v>
      </c>
      <c r="H89" s="76" t="str">
        <f>IF(INDEX(Backlog!$AR$2:$AR$188,MATCH(A89,Backlog!$A$2:$A$188,0))="","",INDEX(Backlog!$AR$2:$AR$188,MATCH(A89,Backlog!$A$2:$A$188,0)))</f>
        <v>INHERITED ESTIMATE</v>
      </c>
      <c r="I89" s="76"/>
      <c r="J89" s="76" t="s">
        <v>5715</v>
      </c>
      <c r="K89" s="76" t="s">
        <v>5551</v>
      </c>
      <c r="L89" s="76" t="s">
        <v>5522</v>
      </c>
    </row>
    <row r="90" spans="1:12" ht="69.95" customHeight="1">
      <c r="A90" s="76" t="s">
        <v>1078</v>
      </c>
      <c r="B90" s="76" t="s">
        <v>867</v>
      </c>
      <c r="C90" s="76" t="str">
        <f>IF(INDEX(Backlog!$K$2:$K$188,MATCH(A90,Backlog!$A$2:$A$188,0))="","",INDEX(Backlog!$K$2:$K$188,MATCH(A90,Backlog!$A$2:$A$188,0)))</f>
        <v>Done</v>
      </c>
      <c r="D90" s="76" t="s">
        <v>5517</v>
      </c>
      <c r="E90" s="76" t="s">
        <v>5549</v>
      </c>
      <c r="F90" s="76" t="s">
        <v>5519</v>
      </c>
      <c r="G90" s="77">
        <f>IF(INDEX(Backlog!$J$2:$J$188,MATCH(A90,Backlog!$A$2:$A$188,0))="","UNESTIMATED",IF(INDEX(Backlog!$AM$2:$AM$188,MATCH(A90,Backlog!$A$2:$A$188,0))=1,INDEX(Backlog!$J$2:$J$188,MATCH(A90,Backlog!$A$2:$A$188,0)),INDEX(Backlog!$J$2:$J$188,MATCH(A90,Backlog!$A$2:$A$188,0))&amp;" [STALE]"))</f>
        <v>10</v>
      </c>
      <c r="H90" s="76" t="str">
        <f>IF(INDEX(Backlog!$AR$2:$AR$188,MATCH(A90,Backlog!$A$2:$A$188,0))="","",INDEX(Backlog!$AR$2:$AR$188,MATCH(A90,Backlog!$A$2:$A$188,0)))</f>
        <v>INHERITED ESTIMATE</v>
      </c>
      <c r="I90" s="76"/>
      <c r="J90" s="76" t="s">
        <v>5716</v>
      </c>
      <c r="K90" s="76" t="s">
        <v>5551</v>
      </c>
      <c r="L90" s="76" t="s">
        <v>5522</v>
      </c>
    </row>
    <row r="91" spans="1:12" ht="69.95" customHeight="1">
      <c r="A91" s="76" t="s">
        <v>1088</v>
      </c>
      <c r="B91" s="76" t="s">
        <v>867</v>
      </c>
      <c r="C91" s="76" t="str">
        <f>IF(INDEX(Backlog!$K$2:$K$188,MATCH(A91,Backlog!$A$2:$A$188,0))="","",INDEX(Backlog!$K$2:$K$188,MATCH(A91,Backlog!$A$2:$A$188,0)))</f>
        <v>Not Started</v>
      </c>
      <c r="D91" s="76" t="s">
        <v>5517</v>
      </c>
      <c r="E91" s="76" t="s">
        <v>5549</v>
      </c>
      <c r="F91" s="76" t="s">
        <v>5519</v>
      </c>
      <c r="G91" s="77">
        <f>IF(INDEX(Backlog!$J$2:$J$188,MATCH(A91,Backlog!$A$2:$A$188,0))="","UNESTIMATED",IF(INDEX(Backlog!$AM$2:$AM$188,MATCH(A91,Backlog!$A$2:$A$188,0))=1,INDEX(Backlog!$J$2:$J$188,MATCH(A91,Backlog!$A$2:$A$188,0)),INDEX(Backlog!$J$2:$J$188,MATCH(A91,Backlog!$A$2:$A$188,0))&amp;" [STALE]"))</f>
        <v>10</v>
      </c>
      <c r="H91" s="76" t="str">
        <f>IF(INDEX(Backlog!$AR$2:$AR$188,MATCH(A91,Backlog!$A$2:$A$188,0))="","",INDEX(Backlog!$AR$2:$AR$188,MATCH(A91,Backlog!$A$2:$A$188,0)))</f>
        <v>INHERITED ESTIMATE</v>
      </c>
      <c r="I91" s="76" t="s">
        <v>659</v>
      </c>
      <c r="J91" s="76" t="s">
        <v>5717</v>
      </c>
      <c r="K91" s="76" t="s">
        <v>5521</v>
      </c>
      <c r="L91" s="76" t="s">
        <v>5522</v>
      </c>
    </row>
    <row r="92" spans="1:12" ht="69.95" customHeight="1">
      <c r="A92" s="76" t="s">
        <v>1102</v>
      </c>
      <c r="B92" s="76" t="s">
        <v>1110</v>
      </c>
      <c r="C92" s="76" t="str">
        <f>IF(INDEX(Backlog!$K$2:$K$188,MATCH(A92,Backlog!$A$2:$A$188,0))="","",INDEX(Backlog!$K$2:$K$188,MATCH(A92,Backlog!$A$2:$A$188,0)))</f>
        <v>Not Started</v>
      </c>
      <c r="D92" s="76" t="s">
        <v>5517</v>
      </c>
      <c r="E92" s="76" t="s">
        <v>5549</v>
      </c>
      <c r="F92" s="76" t="s">
        <v>5519</v>
      </c>
      <c r="G92" s="77">
        <f>IF(INDEX(Backlog!$J$2:$J$188,MATCH(A92,Backlog!$A$2:$A$188,0))="","UNESTIMATED",IF(INDEX(Backlog!$AM$2:$AM$188,MATCH(A92,Backlog!$A$2:$A$188,0))=1,INDEX(Backlog!$J$2:$J$188,MATCH(A92,Backlog!$A$2:$A$188,0)),INDEX(Backlog!$J$2:$J$188,MATCH(A92,Backlog!$A$2:$A$188,0))&amp;" [STALE]"))</f>
        <v>12</v>
      </c>
      <c r="H92" s="76" t="str">
        <f>IF(INDEX(Backlog!$AR$2:$AR$188,MATCH(A92,Backlog!$A$2:$A$188,0))="","",INDEX(Backlog!$AR$2:$AR$188,MATCH(A92,Backlog!$A$2:$A$188,0)))</f>
        <v>INHERITED ESTIMATE</v>
      </c>
      <c r="I92" s="76"/>
      <c r="J92" s="76" t="s">
        <v>5718</v>
      </c>
      <c r="K92" s="76" t="s">
        <v>5615</v>
      </c>
      <c r="L92" s="76" t="s">
        <v>5719</v>
      </c>
    </row>
    <row r="93" spans="1:12" ht="69.95" customHeight="1">
      <c r="A93" s="76" t="s">
        <v>1117</v>
      </c>
      <c r="B93" s="76" t="s">
        <v>1110</v>
      </c>
      <c r="C93" s="76" t="str">
        <f>IF(INDEX(Backlog!$K$2:$K$188,MATCH(A93,Backlog!$A$2:$A$188,0))="","",INDEX(Backlog!$K$2:$K$188,MATCH(A93,Backlog!$A$2:$A$188,0)))</f>
        <v>Not Started</v>
      </c>
      <c r="D93" s="76" t="s">
        <v>3339</v>
      </c>
      <c r="E93" s="76" t="s">
        <v>5549</v>
      </c>
      <c r="F93" s="76" t="s">
        <v>5720</v>
      </c>
      <c r="G93" s="77" t="str">
        <f>IF(INDEX(Backlog!$J$2:$J$188,MATCH(A93,Backlog!$A$2:$A$188,0))="","UNESTIMATED",IF(INDEX(Backlog!$AM$2:$AM$188,MATCH(A93,Backlog!$A$2:$A$188,0))=1,INDEX(Backlog!$J$2:$J$188,MATCH(A93,Backlog!$A$2:$A$188,0)),INDEX(Backlog!$J$2:$J$188,MATCH(A93,Backlog!$A$2:$A$188,0))&amp;" [STALE]"))</f>
        <v>8 [STALE]</v>
      </c>
      <c r="H93" s="76" t="s">
        <v>5614</v>
      </c>
      <c r="I93" s="76" t="str">
        <f>""</f>
        <v/>
      </c>
      <c r="J93" s="76" t="s">
        <v>3342</v>
      </c>
      <c r="K93" s="76" t="s">
        <v>5603</v>
      </c>
      <c r="L93" s="76" t="s">
        <v>5721</v>
      </c>
    </row>
    <row r="94" spans="1:12" ht="69.95" customHeight="1">
      <c r="A94" s="76" t="s">
        <v>1125</v>
      </c>
      <c r="B94" s="76" t="s">
        <v>1110</v>
      </c>
      <c r="C94" s="76" t="str">
        <f>IF(INDEX(Backlog!$K$2:$K$188,MATCH(A94,Backlog!$A$2:$A$188,0))="","",INDEX(Backlog!$K$2:$K$188,MATCH(A94,Backlog!$A$2:$A$188,0)))</f>
        <v>Not Started</v>
      </c>
      <c r="D94" s="76" t="s">
        <v>5517</v>
      </c>
      <c r="E94" s="76" t="s">
        <v>5549</v>
      </c>
      <c r="F94" s="76" t="s">
        <v>5519</v>
      </c>
      <c r="G94" s="77">
        <f>IF(INDEX(Backlog!$J$2:$J$188,MATCH(A94,Backlog!$A$2:$A$188,0))="","UNESTIMATED",IF(INDEX(Backlog!$AM$2:$AM$188,MATCH(A94,Backlog!$A$2:$A$188,0))=1,INDEX(Backlog!$J$2:$J$188,MATCH(A94,Backlog!$A$2:$A$188,0)),INDEX(Backlog!$J$2:$J$188,MATCH(A94,Backlog!$A$2:$A$188,0))&amp;" [STALE]"))</f>
        <v>6</v>
      </c>
      <c r="H94" s="76" t="str">
        <f>IF(INDEX(Backlog!$AR$2:$AR$188,MATCH(A94,Backlog!$A$2:$A$188,0))="","",INDEX(Backlog!$AR$2:$AR$188,MATCH(A94,Backlog!$A$2:$A$188,0)))</f>
        <v>INHERITED ESTIMATE</v>
      </c>
      <c r="I94" s="76"/>
      <c r="J94" s="76" t="s">
        <v>5722</v>
      </c>
      <c r="K94" s="76" t="s">
        <v>5615</v>
      </c>
      <c r="L94" s="76" t="s">
        <v>5719</v>
      </c>
    </row>
    <row r="95" spans="1:12" ht="69.95" customHeight="1">
      <c r="A95" s="76" t="s">
        <v>1131</v>
      </c>
      <c r="B95" s="76" t="s">
        <v>1110</v>
      </c>
      <c r="C95" s="76" t="str">
        <f>IF(INDEX(Backlog!$K$2:$K$188,MATCH(A95,Backlog!$A$2:$A$188,0))="","",INDEX(Backlog!$K$2:$K$188,MATCH(A95,Backlog!$A$2:$A$188,0)))</f>
        <v>Not Started</v>
      </c>
      <c r="D95" s="76" t="s">
        <v>5517</v>
      </c>
      <c r="E95" s="76" t="s">
        <v>5549</v>
      </c>
      <c r="F95" s="76" t="s">
        <v>5519</v>
      </c>
      <c r="G95" s="77">
        <f>IF(INDEX(Backlog!$J$2:$J$188,MATCH(A95,Backlog!$A$2:$A$188,0))="","UNESTIMATED",IF(INDEX(Backlog!$AM$2:$AM$188,MATCH(A95,Backlog!$A$2:$A$188,0))=1,INDEX(Backlog!$J$2:$J$188,MATCH(A95,Backlog!$A$2:$A$188,0)),INDEX(Backlog!$J$2:$J$188,MATCH(A95,Backlog!$A$2:$A$188,0))&amp;" [STALE]"))</f>
        <v>4</v>
      </c>
      <c r="H95" s="76" t="str">
        <f>IF(INDEX(Backlog!$AR$2:$AR$188,MATCH(A95,Backlog!$A$2:$A$188,0))="","",INDEX(Backlog!$AR$2:$AR$188,MATCH(A95,Backlog!$A$2:$A$188,0)))</f>
        <v>INHERITED ESTIMATE</v>
      </c>
      <c r="I95" s="76" t="str">
        <f>""</f>
        <v/>
      </c>
      <c r="J95" s="76" t="s">
        <v>5723</v>
      </c>
      <c r="K95" s="76" t="s">
        <v>5587</v>
      </c>
      <c r="L95" s="76" t="s">
        <v>5522</v>
      </c>
    </row>
    <row r="96" spans="1:12" ht="69.95" customHeight="1">
      <c r="A96" s="76" t="s">
        <v>1136</v>
      </c>
      <c r="B96" s="76" t="s">
        <v>1110</v>
      </c>
      <c r="C96" s="76" t="str">
        <f>IF(INDEX(Backlog!$K$2:$K$188,MATCH(A96,Backlog!$A$2:$A$188,0))="","",INDEX(Backlog!$K$2:$K$188,MATCH(A96,Backlog!$A$2:$A$188,0)))</f>
        <v>Not Started</v>
      </c>
      <c r="D96" s="76" t="s">
        <v>5517</v>
      </c>
      <c r="E96" s="76" t="s">
        <v>5549</v>
      </c>
      <c r="F96" s="76" t="s">
        <v>5519</v>
      </c>
      <c r="G96" s="77">
        <f>IF(INDEX(Backlog!$J$2:$J$188,MATCH(A96,Backlog!$A$2:$A$188,0))="","UNESTIMATED",IF(INDEX(Backlog!$AM$2:$AM$188,MATCH(A96,Backlog!$A$2:$A$188,0))=1,INDEX(Backlog!$J$2:$J$188,MATCH(A96,Backlog!$A$2:$A$188,0)),INDEX(Backlog!$J$2:$J$188,MATCH(A96,Backlog!$A$2:$A$188,0))&amp;" [STALE]"))</f>
        <v>12</v>
      </c>
      <c r="H96" s="76" t="str">
        <f>IF(INDEX(Backlog!$AR$2:$AR$188,MATCH(A96,Backlog!$A$2:$A$188,0))="","",INDEX(Backlog!$AR$2:$AR$188,MATCH(A96,Backlog!$A$2:$A$188,0)))</f>
        <v>INHERITED ESTIMATE</v>
      </c>
      <c r="I96" s="76" t="str">
        <f>""</f>
        <v/>
      </c>
      <c r="J96" s="76" t="s">
        <v>5724</v>
      </c>
      <c r="K96" s="76" t="s">
        <v>5587</v>
      </c>
      <c r="L96" s="76" t="s">
        <v>5522</v>
      </c>
    </row>
    <row r="97" spans="1:12" ht="69.95" customHeight="1">
      <c r="A97" s="76" t="s">
        <v>1144</v>
      </c>
      <c r="B97" s="76" t="s">
        <v>1110</v>
      </c>
      <c r="C97" s="76" t="str">
        <f>IF(INDEX(Backlog!$K$2:$K$188,MATCH(A97,Backlog!$A$2:$A$188,0))="","",INDEX(Backlog!$K$2:$K$188,MATCH(A97,Backlog!$A$2:$A$188,0)))</f>
        <v>Not Started</v>
      </c>
      <c r="D97" s="76" t="s">
        <v>5517</v>
      </c>
      <c r="E97" s="76" t="s">
        <v>5549</v>
      </c>
      <c r="F97" s="76" t="s">
        <v>5519</v>
      </c>
      <c r="G97" s="77">
        <f>IF(INDEX(Backlog!$J$2:$J$188,MATCH(A97,Backlog!$A$2:$A$188,0))="","UNESTIMATED",IF(INDEX(Backlog!$AM$2:$AM$188,MATCH(A97,Backlog!$A$2:$A$188,0))=1,INDEX(Backlog!$J$2:$J$188,MATCH(A97,Backlog!$A$2:$A$188,0)),INDEX(Backlog!$J$2:$J$188,MATCH(A97,Backlog!$A$2:$A$188,0))&amp;" [STALE]"))</f>
        <v>12</v>
      </c>
      <c r="H97" s="76" t="str">
        <f>IF(INDEX(Backlog!$AR$2:$AR$188,MATCH(A97,Backlog!$A$2:$A$188,0))="","",INDEX(Backlog!$AR$2:$AR$188,MATCH(A97,Backlog!$A$2:$A$188,0)))</f>
        <v>INHERITED ESTIMATE</v>
      </c>
      <c r="I97" s="76" t="str">
        <f>""</f>
        <v/>
      </c>
      <c r="J97" s="76" t="s">
        <v>5725</v>
      </c>
      <c r="K97" s="76" t="s">
        <v>5587</v>
      </c>
      <c r="L97" s="76" t="s">
        <v>5522</v>
      </c>
    </row>
    <row r="98" spans="1:12" ht="69.95" customHeight="1">
      <c r="A98" s="76" t="s">
        <v>1149</v>
      </c>
      <c r="B98" s="76" t="s">
        <v>1110</v>
      </c>
      <c r="C98" s="76" t="str">
        <f>IF(INDEX(Backlog!$K$2:$K$188,MATCH(A98,Backlog!$A$2:$A$188,0))="","",INDEX(Backlog!$K$2:$K$188,MATCH(A98,Backlog!$A$2:$A$188,0)))</f>
        <v>Not Started</v>
      </c>
      <c r="D98" s="76" t="s">
        <v>3343</v>
      </c>
      <c r="E98" s="76" t="s">
        <v>5549</v>
      </c>
      <c r="F98" s="76" t="s">
        <v>5726</v>
      </c>
      <c r="G98" s="77" t="str">
        <f>IF(INDEX(Backlog!$J$2:$J$188,MATCH(A98,Backlog!$A$2:$A$188,0))="","UNESTIMATED",IF(INDEX(Backlog!$AM$2:$AM$188,MATCH(A98,Backlog!$A$2:$A$188,0))=1,INDEX(Backlog!$J$2:$J$188,MATCH(A98,Backlog!$A$2:$A$188,0)),INDEX(Backlog!$J$2:$J$188,MATCH(A98,Backlog!$A$2:$A$188,0))&amp;" [STALE]"))</f>
        <v>16 [STALE]</v>
      </c>
      <c r="H98" s="76" t="s">
        <v>5727</v>
      </c>
      <c r="I98" s="76" t="s">
        <v>1136</v>
      </c>
      <c r="J98" s="76" t="s">
        <v>3346</v>
      </c>
      <c r="K98" s="76" t="s">
        <v>5603</v>
      </c>
      <c r="L98" s="76" t="s">
        <v>5728</v>
      </c>
    </row>
    <row r="99" spans="1:12" ht="69.95" customHeight="1">
      <c r="A99" s="76" t="s">
        <v>1160</v>
      </c>
      <c r="B99" s="76" t="s">
        <v>1110</v>
      </c>
      <c r="C99" s="76" t="str">
        <f>IF(INDEX(Backlog!$K$2:$K$188,MATCH(A99,Backlog!$A$2:$A$188,0))="","",INDEX(Backlog!$K$2:$K$188,MATCH(A99,Backlog!$A$2:$A$188,0)))</f>
        <v>Not Started</v>
      </c>
      <c r="D99" s="76" t="s">
        <v>3347</v>
      </c>
      <c r="E99" s="76" t="s">
        <v>5549</v>
      </c>
      <c r="F99" s="76" t="s">
        <v>5729</v>
      </c>
      <c r="G99" s="77" t="str">
        <f>IF(INDEX(Backlog!$J$2:$J$188,MATCH(A99,Backlog!$A$2:$A$188,0))="","UNESTIMATED",IF(INDEX(Backlog!$AM$2:$AM$188,MATCH(A99,Backlog!$A$2:$A$188,0))=1,INDEX(Backlog!$J$2:$J$188,MATCH(A99,Backlog!$A$2:$A$188,0)),INDEX(Backlog!$J$2:$J$188,MATCH(A99,Backlog!$A$2:$A$188,0))&amp;" [STALE]"))</f>
        <v>14 [STALE]</v>
      </c>
      <c r="H99" s="76" t="s">
        <v>5730</v>
      </c>
      <c r="I99" s="76" t="str">
        <f>""</f>
        <v/>
      </c>
      <c r="J99" s="76" t="s">
        <v>3350</v>
      </c>
      <c r="K99" s="76" t="s">
        <v>5603</v>
      </c>
      <c r="L99" s="76" t="s">
        <v>5731</v>
      </c>
    </row>
    <row r="100" spans="1:12" ht="69.95" customHeight="1">
      <c r="A100" s="76" t="s">
        <v>1169</v>
      </c>
      <c r="B100" s="76" t="s">
        <v>1110</v>
      </c>
      <c r="C100" s="76" t="str">
        <f>IF(INDEX(Backlog!$K$2:$K$188,MATCH(A100,Backlog!$A$2:$A$188,0))="","",INDEX(Backlog!$K$2:$K$188,MATCH(A100,Backlog!$A$2:$A$188,0)))</f>
        <v>Not Started</v>
      </c>
      <c r="D100" s="76" t="s">
        <v>5517</v>
      </c>
      <c r="E100" s="76" t="s">
        <v>5549</v>
      </c>
      <c r="F100" s="76" t="s">
        <v>5519</v>
      </c>
      <c r="G100" s="77">
        <f>IF(INDEX(Backlog!$J$2:$J$188,MATCH(A100,Backlog!$A$2:$A$188,0))="","UNESTIMATED",IF(INDEX(Backlog!$AM$2:$AM$188,MATCH(A100,Backlog!$A$2:$A$188,0))=1,INDEX(Backlog!$J$2:$J$188,MATCH(A100,Backlog!$A$2:$A$188,0)),INDEX(Backlog!$J$2:$J$188,MATCH(A100,Backlog!$A$2:$A$188,0))&amp;" [STALE]"))</f>
        <v>12</v>
      </c>
      <c r="H100" s="76" t="str">
        <f>IF(INDEX(Backlog!$AR$2:$AR$188,MATCH(A100,Backlog!$A$2:$A$188,0))="","",INDEX(Backlog!$AR$2:$AR$188,MATCH(A100,Backlog!$A$2:$A$188,0)))</f>
        <v>INHERITED ESTIMATE</v>
      </c>
      <c r="I100" s="76" t="str">
        <f>""</f>
        <v/>
      </c>
      <c r="J100" s="76" t="s">
        <v>5732</v>
      </c>
      <c r="K100" s="76" t="s">
        <v>5587</v>
      </c>
      <c r="L100" s="76" t="s">
        <v>5522</v>
      </c>
    </row>
    <row r="101" spans="1:12" ht="69.95" customHeight="1">
      <c r="A101" s="76" t="s">
        <v>1177</v>
      </c>
      <c r="B101" s="76" t="s">
        <v>1110</v>
      </c>
      <c r="C101" s="76" t="str">
        <f>IF(INDEX(Backlog!$K$2:$K$188,MATCH(A101,Backlog!$A$2:$A$188,0))="","",INDEX(Backlog!$K$2:$K$188,MATCH(A101,Backlog!$A$2:$A$188,0)))</f>
        <v>Not Started</v>
      </c>
      <c r="D101" s="76" t="s">
        <v>5517</v>
      </c>
      <c r="E101" s="76" t="s">
        <v>5549</v>
      </c>
      <c r="F101" s="76" t="s">
        <v>5519</v>
      </c>
      <c r="G101" s="77">
        <f>IF(INDEX(Backlog!$J$2:$J$188,MATCH(A101,Backlog!$A$2:$A$188,0))="","UNESTIMATED",IF(INDEX(Backlog!$AM$2:$AM$188,MATCH(A101,Backlog!$A$2:$A$188,0))=1,INDEX(Backlog!$J$2:$J$188,MATCH(A101,Backlog!$A$2:$A$188,0)),INDEX(Backlog!$J$2:$J$188,MATCH(A101,Backlog!$A$2:$A$188,0))&amp;" [STALE]"))</f>
        <v>14</v>
      </c>
      <c r="H101" s="76" t="str">
        <f>IF(INDEX(Backlog!$AR$2:$AR$188,MATCH(A101,Backlog!$A$2:$A$188,0))="","",INDEX(Backlog!$AR$2:$AR$188,MATCH(A101,Backlog!$A$2:$A$188,0)))</f>
        <v>INHERITED ESTIMATE</v>
      </c>
      <c r="I101" s="76" t="s">
        <v>539</v>
      </c>
      <c r="J101" s="76" t="s">
        <v>5733</v>
      </c>
      <c r="K101" s="76" t="s">
        <v>5587</v>
      </c>
      <c r="L101" s="76" t="s">
        <v>5522</v>
      </c>
    </row>
    <row r="102" spans="1:12" ht="69.95" customHeight="1">
      <c r="A102" s="76" t="s">
        <v>1187</v>
      </c>
      <c r="B102" s="76" t="s">
        <v>1110</v>
      </c>
      <c r="C102" s="76" t="str">
        <f>IF(INDEX(Backlog!$K$2:$K$188,MATCH(A102,Backlog!$A$2:$A$188,0))="","",INDEX(Backlog!$K$2:$K$188,MATCH(A102,Backlog!$A$2:$A$188,0)))</f>
        <v>Not Started</v>
      </c>
      <c r="D102" s="76" t="s">
        <v>5517</v>
      </c>
      <c r="E102" s="76" t="s">
        <v>5549</v>
      </c>
      <c r="F102" s="76" t="s">
        <v>5519</v>
      </c>
      <c r="G102" s="77">
        <f>IF(INDEX(Backlog!$J$2:$J$188,MATCH(A102,Backlog!$A$2:$A$188,0))="","UNESTIMATED",IF(INDEX(Backlog!$AM$2:$AM$188,MATCH(A102,Backlog!$A$2:$A$188,0))=1,INDEX(Backlog!$J$2:$J$188,MATCH(A102,Backlog!$A$2:$A$188,0)),INDEX(Backlog!$J$2:$J$188,MATCH(A102,Backlog!$A$2:$A$188,0))&amp;" [STALE]"))</f>
        <v>12</v>
      </c>
      <c r="H102" s="76" t="str">
        <f>IF(INDEX(Backlog!$AR$2:$AR$188,MATCH(A102,Backlog!$A$2:$A$188,0))="","",INDEX(Backlog!$AR$2:$AR$188,MATCH(A102,Backlog!$A$2:$A$188,0)))</f>
        <v>INHERITED ESTIMATE</v>
      </c>
      <c r="I102" s="76" t="str">
        <f>""</f>
        <v/>
      </c>
      <c r="J102" s="76" t="s">
        <v>5734</v>
      </c>
      <c r="K102" s="76" t="s">
        <v>5587</v>
      </c>
      <c r="L102" s="76" t="s">
        <v>5522</v>
      </c>
    </row>
    <row r="103" spans="1:12" ht="69.95" customHeight="1">
      <c r="A103" s="76" t="s">
        <v>743</v>
      </c>
      <c r="B103" s="76" t="s">
        <v>1110</v>
      </c>
      <c r="C103" s="76" t="str">
        <f>IF(INDEX(Backlog!$K$2:$K$188,MATCH(A103,Backlog!$A$2:$A$188,0))="","",INDEX(Backlog!$K$2:$K$188,MATCH(A103,Backlog!$A$2:$A$188,0)))</f>
        <v>Not Started</v>
      </c>
      <c r="D103" s="76" t="s">
        <v>5517</v>
      </c>
      <c r="E103" s="76" t="s">
        <v>5549</v>
      </c>
      <c r="F103" s="76" t="s">
        <v>5519</v>
      </c>
      <c r="G103" s="77">
        <f>IF(INDEX(Backlog!$J$2:$J$188,MATCH(A103,Backlog!$A$2:$A$188,0))="","UNESTIMATED",IF(INDEX(Backlog!$AM$2:$AM$188,MATCH(A103,Backlog!$A$2:$A$188,0))=1,INDEX(Backlog!$J$2:$J$188,MATCH(A103,Backlog!$A$2:$A$188,0)),INDEX(Backlog!$J$2:$J$188,MATCH(A103,Backlog!$A$2:$A$188,0))&amp;" [STALE]"))</f>
        <v>12</v>
      </c>
      <c r="H103" s="76" t="str">
        <f>IF(INDEX(Backlog!$AR$2:$AR$188,MATCH(A103,Backlog!$A$2:$A$188,0))="","",INDEX(Backlog!$AR$2:$AR$188,MATCH(A103,Backlog!$A$2:$A$188,0)))</f>
        <v>INHERITED ESTIMATE</v>
      </c>
      <c r="I103" s="76" t="s">
        <v>12730</v>
      </c>
      <c r="J103" s="76" t="s">
        <v>5735</v>
      </c>
      <c r="K103" s="76" t="s">
        <v>5736</v>
      </c>
      <c r="L103" s="76" t="s">
        <v>5719</v>
      </c>
    </row>
    <row r="104" spans="1:12" ht="69.95" customHeight="1">
      <c r="A104" s="76" t="s">
        <v>1206</v>
      </c>
      <c r="B104" s="76" t="s">
        <v>1110</v>
      </c>
      <c r="C104" s="76" t="str">
        <f>IF(INDEX(Backlog!$K$2:$K$188,MATCH(A104,Backlog!$A$2:$A$188,0))="","",INDEX(Backlog!$K$2:$K$188,MATCH(A104,Backlog!$A$2:$A$188,0)))</f>
        <v>Not Started</v>
      </c>
      <c r="D104" s="76" t="s">
        <v>5517</v>
      </c>
      <c r="E104" s="76" t="s">
        <v>5549</v>
      </c>
      <c r="F104" s="76" t="s">
        <v>5519</v>
      </c>
      <c r="G104" s="77">
        <f>IF(INDEX(Backlog!$J$2:$J$188,MATCH(A104,Backlog!$A$2:$A$188,0))="","UNESTIMATED",IF(INDEX(Backlog!$AM$2:$AM$188,MATCH(A104,Backlog!$A$2:$A$188,0))=1,INDEX(Backlog!$J$2:$J$188,MATCH(A104,Backlog!$A$2:$A$188,0)),INDEX(Backlog!$J$2:$J$188,MATCH(A104,Backlog!$A$2:$A$188,0))&amp;" [STALE]"))</f>
        <v>6</v>
      </c>
      <c r="H104" s="76" t="str">
        <f>IF(INDEX(Backlog!$AR$2:$AR$188,MATCH(A104,Backlog!$A$2:$A$188,0))="","",INDEX(Backlog!$AR$2:$AR$188,MATCH(A104,Backlog!$A$2:$A$188,0)))</f>
        <v>INHERITED ESTIMATE</v>
      </c>
      <c r="I104" s="76"/>
      <c r="J104" s="76" t="s">
        <v>5737</v>
      </c>
      <c r="K104" s="76" t="s">
        <v>5521</v>
      </c>
      <c r="L104" s="76" t="s">
        <v>5522</v>
      </c>
    </row>
    <row r="105" spans="1:12" ht="69.95" customHeight="1">
      <c r="A105" s="76" t="s">
        <v>1216</v>
      </c>
      <c r="B105" s="76" t="s">
        <v>1110</v>
      </c>
      <c r="C105" s="76" t="str">
        <f>IF(INDEX(Backlog!$K$2:$K$188,MATCH(A105,Backlog!$A$2:$A$188,0))="","",INDEX(Backlog!$K$2:$K$188,MATCH(A105,Backlog!$A$2:$A$188,0)))</f>
        <v>Not Started</v>
      </c>
      <c r="D105" s="76" t="s">
        <v>5517</v>
      </c>
      <c r="E105" s="76" t="s">
        <v>5549</v>
      </c>
      <c r="F105" s="76" t="s">
        <v>5519</v>
      </c>
      <c r="G105" s="77">
        <f>IF(INDEX(Backlog!$J$2:$J$188,MATCH(A105,Backlog!$A$2:$A$188,0))="","UNESTIMATED",IF(INDEX(Backlog!$AM$2:$AM$188,MATCH(A105,Backlog!$A$2:$A$188,0))=1,INDEX(Backlog!$J$2:$J$188,MATCH(A105,Backlog!$A$2:$A$188,0)),INDEX(Backlog!$J$2:$J$188,MATCH(A105,Backlog!$A$2:$A$188,0))&amp;" [STALE]"))</f>
        <v>8</v>
      </c>
      <c r="H105" s="76" t="str">
        <f>IF(INDEX(Backlog!$AR$2:$AR$188,MATCH(A105,Backlog!$A$2:$A$188,0))="","",INDEX(Backlog!$AR$2:$AR$188,MATCH(A105,Backlog!$A$2:$A$188,0)))</f>
        <v>INHERITED ESTIMATE</v>
      </c>
      <c r="I105" s="76"/>
      <c r="J105" s="76" t="s">
        <v>5738</v>
      </c>
      <c r="K105" s="76" t="s">
        <v>5521</v>
      </c>
      <c r="L105" s="76" t="s">
        <v>5522</v>
      </c>
    </row>
    <row r="106" spans="1:12" ht="69.95" customHeight="1">
      <c r="A106" s="76" t="s">
        <v>1231</v>
      </c>
      <c r="B106" s="76" t="s">
        <v>1110</v>
      </c>
      <c r="C106" s="76" t="str">
        <f>IF(INDEX(Backlog!$K$2:$K$188,MATCH(A106,Backlog!$A$2:$A$188,0))="","",INDEX(Backlog!$K$2:$K$188,MATCH(A106,Backlog!$A$2:$A$188,0)))</f>
        <v>Not Started</v>
      </c>
      <c r="D106" s="76" t="s">
        <v>5517</v>
      </c>
      <c r="E106" s="76" t="s">
        <v>5549</v>
      </c>
      <c r="F106" s="76" t="s">
        <v>5519</v>
      </c>
      <c r="G106" s="77">
        <f>IF(INDEX(Backlog!$J$2:$J$188,MATCH(A106,Backlog!$A$2:$A$188,0))="","UNESTIMATED",IF(INDEX(Backlog!$AM$2:$AM$188,MATCH(A106,Backlog!$A$2:$A$188,0))=1,INDEX(Backlog!$J$2:$J$188,MATCH(A106,Backlog!$A$2:$A$188,0)),INDEX(Backlog!$J$2:$J$188,MATCH(A106,Backlog!$A$2:$A$188,0))&amp;" [STALE]"))</f>
        <v>6</v>
      </c>
      <c r="H106" s="76" t="str">
        <f>IF(INDEX(Backlog!$AR$2:$AR$188,MATCH(A106,Backlog!$A$2:$A$188,0))="","",INDEX(Backlog!$AR$2:$AR$188,MATCH(A106,Backlog!$A$2:$A$188,0)))</f>
        <v>INHERITED ESTIMATE</v>
      </c>
      <c r="I106" s="76"/>
      <c r="J106" s="76" t="s">
        <v>5739</v>
      </c>
      <c r="K106" s="76" t="s">
        <v>5521</v>
      </c>
      <c r="L106" s="76" t="s">
        <v>5522</v>
      </c>
    </row>
    <row r="107" spans="1:12" ht="69.95" customHeight="1">
      <c r="A107" s="76" t="s">
        <v>1242</v>
      </c>
      <c r="B107" s="76" t="s">
        <v>1251</v>
      </c>
      <c r="C107" s="76" t="str">
        <f>IF(INDEX(Backlog!$K$2:$K$188,MATCH(A107,Backlog!$A$2:$A$188,0))="","",INDEX(Backlog!$K$2:$K$188,MATCH(A107,Backlog!$A$2:$A$188,0)))</f>
        <v>Not Started</v>
      </c>
      <c r="D107" s="76" t="s">
        <v>3351</v>
      </c>
      <c r="E107" s="76" t="s">
        <v>5549</v>
      </c>
      <c r="F107" s="76" t="s">
        <v>5740</v>
      </c>
      <c r="G107" s="77" t="str">
        <f>IF(INDEX(Backlog!$J$2:$J$188,MATCH(A107,Backlog!$A$2:$A$188,0))="","UNESTIMATED",IF(INDEX(Backlog!$AM$2:$AM$188,MATCH(A107,Backlog!$A$2:$A$188,0))=1,INDEX(Backlog!$J$2:$J$188,MATCH(A107,Backlog!$A$2:$A$188,0)),INDEX(Backlog!$J$2:$J$188,MATCH(A107,Backlog!$A$2:$A$188,0))&amp;" [STALE]"))</f>
        <v>24 [STALE]</v>
      </c>
      <c r="H107" s="76" t="s">
        <v>5741</v>
      </c>
      <c r="I107" s="76" t="s">
        <v>1247</v>
      </c>
      <c r="J107" s="76" t="s">
        <v>3354</v>
      </c>
      <c r="K107" s="76" t="s">
        <v>5742</v>
      </c>
      <c r="L107" s="76" t="s">
        <v>5743</v>
      </c>
    </row>
    <row r="108" spans="1:12" ht="69.95" customHeight="1">
      <c r="A108" s="76" t="s">
        <v>1255</v>
      </c>
      <c r="B108" s="76" t="s">
        <v>1251</v>
      </c>
      <c r="C108" s="76" t="str">
        <f>IF(INDEX(Backlog!$K$2:$K$188,MATCH(A108,Backlog!$A$2:$A$188,0))="","",INDEX(Backlog!$K$2:$K$188,MATCH(A108,Backlog!$A$2:$A$188,0)))</f>
        <v>Not Started</v>
      </c>
      <c r="D108" s="76" t="s">
        <v>5517</v>
      </c>
      <c r="E108" s="76" t="s">
        <v>5549</v>
      </c>
      <c r="F108" s="76" t="s">
        <v>5519</v>
      </c>
      <c r="G108" s="77">
        <f>IF(INDEX(Backlog!$J$2:$J$188,MATCH(A108,Backlog!$A$2:$A$188,0))="","UNESTIMATED",IF(INDEX(Backlog!$AM$2:$AM$188,MATCH(A108,Backlog!$A$2:$A$188,0))=1,INDEX(Backlog!$J$2:$J$188,MATCH(A108,Backlog!$A$2:$A$188,0)),INDEX(Backlog!$J$2:$J$188,MATCH(A108,Backlog!$A$2:$A$188,0))&amp;" [STALE]"))</f>
        <v>12</v>
      </c>
      <c r="H108" s="76" t="str">
        <f>IF(INDEX(Backlog!$AR$2:$AR$188,MATCH(A108,Backlog!$A$2:$A$188,0))="","",INDEX(Backlog!$AR$2:$AR$188,MATCH(A108,Backlog!$A$2:$A$188,0)))</f>
        <v>INHERITED ESTIMATE</v>
      </c>
      <c r="I108" s="76" t="s">
        <v>12731</v>
      </c>
      <c r="J108" s="76" t="s">
        <v>5744</v>
      </c>
      <c r="K108" s="76" t="s">
        <v>5615</v>
      </c>
      <c r="L108" s="76" t="s">
        <v>5719</v>
      </c>
    </row>
    <row r="109" spans="1:12" ht="69.95" customHeight="1">
      <c r="A109" s="76" t="s">
        <v>1264</v>
      </c>
      <c r="B109" s="76" t="s">
        <v>1251</v>
      </c>
      <c r="C109" s="76" t="str">
        <f>IF(INDEX(Backlog!$K$2:$K$188,MATCH(A109,Backlog!$A$2:$A$188,0))="","",INDEX(Backlog!$K$2:$K$188,MATCH(A109,Backlog!$A$2:$A$188,0)))</f>
        <v>Not Started</v>
      </c>
      <c r="D109" s="76" t="s">
        <v>5517</v>
      </c>
      <c r="E109" s="76" t="s">
        <v>5549</v>
      </c>
      <c r="F109" s="76" t="s">
        <v>5519</v>
      </c>
      <c r="G109" s="77">
        <f>IF(INDEX(Backlog!$J$2:$J$188,MATCH(A109,Backlog!$A$2:$A$188,0))="","UNESTIMATED",IF(INDEX(Backlog!$AM$2:$AM$188,MATCH(A109,Backlog!$A$2:$A$188,0))=1,INDEX(Backlog!$J$2:$J$188,MATCH(A109,Backlog!$A$2:$A$188,0)),INDEX(Backlog!$J$2:$J$188,MATCH(A109,Backlog!$A$2:$A$188,0))&amp;" [STALE]"))</f>
        <v>12</v>
      </c>
      <c r="H109" s="76" t="str">
        <f>IF(INDEX(Backlog!$AR$2:$AR$188,MATCH(A109,Backlog!$A$2:$A$188,0))="","",INDEX(Backlog!$AR$2:$AR$188,MATCH(A109,Backlog!$A$2:$A$188,0)))</f>
        <v>INHERITED ESTIMATE</v>
      </c>
      <c r="I109" s="76" t="str">
        <f>""</f>
        <v/>
      </c>
      <c r="J109" s="76" t="s">
        <v>5745</v>
      </c>
      <c r="K109" s="76" t="s">
        <v>5521</v>
      </c>
      <c r="L109" s="76" t="s">
        <v>5522</v>
      </c>
    </row>
    <row r="110" spans="1:12" ht="69.95" customHeight="1">
      <c r="A110" s="76" t="s">
        <v>1272</v>
      </c>
      <c r="B110" s="76" t="s">
        <v>1251</v>
      </c>
      <c r="C110" s="76" t="str">
        <f>IF(INDEX(Backlog!$K$2:$K$188,MATCH(A110,Backlog!$A$2:$A$188,0))="","",INDEX(Backlog!$K$2:$K$188,MATCH(A110,Backlog!$A$2:$A$188,0)))</f>
        <v>Not Started</v>
      </c>
      <c r="D110" s="76" t="s">
        <v>5517</v>
      </c>
      <c r="E110" s="76" t="s">
        <v>5549</v>
      </c>
      <c r="F110" s="76" t="s">
        <v>5519</v>
      </c>
      <c r="G110" s="77">
        <f>IF(INDEX(Backlog!$J$2:$J$188,MATCH(A110,Backlog!$A$2:$A$188,0))="","UNESTIMATED",IF(INDEX(Backlog!$AM$2:$AM$188,MATCH(A110,Backlog!$A$2:$A$188,0))=1,INDEX(Backlog!$J$2:$J$188,MATCH(A110,Backlog!$A$2:$A$188,0)),INDEX(Backlog!$J$2:$J$188,MATCH(A110,Backlog!$A$2:$A$188,0))&amp;" [STALE]"))</f>
        <v>12</v>
      </c>
      <c r="H110" s="76" t="str">
        <f>IF(INDEX(Backlog!$AR$2:$AR$188,MATCH(A110,Backlog!$A$2:$A$188,0))="","",INDEX(Backlog!$AR$2:$AR$188,MATCH(A110,Backlog!$A$2:$A$188,0)))</f>
        <v>INHERITED ESTIMATE</v>
      </c>
      <c r="I110" s="76" t="str">
        <f>""</f>
        <v/>
      </c>
      <c r="J110" s="76" t="s">
        <v>5746</v>
      </c>
      <c r="K110" s="76" t="s">
        <v>5521</v>
      </c>
      <c r="L110" s="76" t="s">
        <v>5522</v>
      </c>
    </row>
    <row r="111" spans="1:12" ht="69.95" customHeight="1">
      <c r="A111" s="76" t="s">
        <v>1276</v>
      </c>
      <c r="B111" s="76" t="s">
        <v>1251</v>
      </c>
      <c r="C111" s="76" t="str">
        <f>IF(INDEX(Backlog!$K$2:$K$188,MATCH(A111,Backlog!$A$2:$A$188,0))="","",INDEX(Backlog!$K$2:$K$188,MATCH(A111,Backlog!$A$2:$A$188,0)))</f>
        <v>Not Started</v>
      </c>
      <c r="D111" s="76" t="s">
        <v>5517</v>
      </c>
      <c r="E111" s="76" t="s">
        <v>5549</v>
      </c>
      <c r="F111" s="76" t="s">
        <v>5519</v>
      </c>
      <c r="G111" s="77">
        <f>IF(INDEX(Backlog!$J$2:$J$188,MATCH(A111,Backlog!$A$2:$A$188,0))="","UNESTIMATED",IF(INDEX(Backlog!$AM$2:$AM$188,MATCH(A111,Backlog!$A$2:$A$188,0))=1,INDEX(Backlog!$J$2:$J$188,MATCH(A111,Backlog!$A$2:$A$188,0)),INDEX(Backlog!$J$2:$J$188,MATCH(A111,Backlog!$A$2:$A$188,0))&amp;" [STALE]"))</f>
        <v>12</v>
      </c>
      <c r="H111" s="76" t="str">
        <f>IF(INDEX(Backlog!$AR$2:$AR$188,MATCH(A111,Backlog!$A$2:$A$188,0))="","",INDEX(Backlog!$AR$2:$AR$188,MATCH(A111,Backlog!$A$2:$A$188,0)))</f>
        <v>INHERITED ESTIMATE</v>
      </c>
      <c r="I111" s="76" t="s">
        <v>1281</v>
      </c>
      <c r="J111" s="76" t="s">
        <v>5747</v>
      </c>
      <c r="K111" s="76" t="s">
        <v>5521</v>
      </c>
      <c r="L111" s="76" t="s">
        <v>5522</v>
      </c>
    </row>
    <row r="112" spans="1:12" ht="69.95" customHeight="1">
      <c r="A112" s="76" t="s">
        <v>1284</v>
      </c>
      <c r="B112" s="76" t="s">
        <v>1251</v>
      </c>
      <c r="C112" s="76" t="str">
        <f>IF(INDEX(Backlog!$K$2:$K$188,MATCH(A112,Backlog!$A$2:$A$188,0))="","",INDEX(Backlog!$K$2:$K$188,MATCH(A112,Backlog!$A$2:$A$188,0)))</f>
        <v>Not Started</v>
      </c>
      <c r="D112" s="76" t="s">
        <v>5517</v>
      </c>
      <c r="E112" s="76" t="s">
        <v>5549</v>
      </c>
      <c r="F112" s="76" t="s">
        <v>5519</v>
      </c>
      <c r="G112" s="77">
        <f>IF(INDEX(Backlog!$J$2:$J$188,MATCH(A112,Backlog!$A$2:$A$188,0))="","UNESTIMATED",IF(INDEX(Backlog!$AM$2:$AM$188,MATCH(A112,Backlog!$A$2:$A$188,0))=1,INDEX(Backlog!$J$2:$J$188,MATCH(A112,Backlog!$A$2:$A$188,0)),INDEX(Backlog!$J$2:$J$188,MATCH(A112,Backlog!$A$2:$A$188,0))&amp;" [STALE]"))</f>
        <v>12</v>
      </c>
      <c r="H112" s="76" t="str">
        <f>IF(INDEX(Backlog!$AR$2:$AR$188,MATCH(A112,Backlog!$A$2:$A$188,0))="","",INDEX(Backlog!$AR$2:$AR$188,MATCH(A112,Backlog!$A$2:$A$188,0)))</f>
        <v>INHERITED ESTIMATE</v>
      </c>
      <c r="I112" s="76" t="str">
        <f>""</f>
        <v/>
      </c>
      <c r="J112" s="76" t="s">
        <v>5748</v>
      </c>
      <c r="K112" s="76" t="s">
        <v>5521</v>
      </c>
      <c r="L112" s="76" t="s">
        <v>5522</v>
      </c>
    </row>
    <row r="113" spans="1:12" ht="69.95" customHeight="1">
      <c r="A113" s="76" t="s">
        <v>1289</v>
      </c>
      <c r="B113" s="76" t="s">
        <v>1251</v>
      </c>
      <c r="C113" s="76" t="str">
        <f>IF(INDEX(Backlog!$K$2:$K$188,MATCH(A113,Backlog!$A$2:$A$188,0))="","",INDEX(Backlog!$K$2:$K$188,MATCH(A113,Backlog!$A$2:$A$188,0)))</f>
        <v>Not Started</v>
      </c>
      <c r="D113" s="76" t="s">
        <v>3355</v>
      </c>
      <c r="E113" s="76" t="s">
        <v>5549</v>
      </c>
      <c r="F113" s="76" t="s">
        <v>5749</v>
      </c>
      <c r="G113" s="77" t="str">
        <f>IF(INDEX(Backlog!$J$2:$J$188,MATCH(A113,Backlog!$A$2:$A$188,0))="","UNESTIMATED",IF(INDEX(Backlog!$AM$2:$AM$188,MATCH(A113,Backlog!$A$2:$A$188,0))=1,INDEX(Backlog!$J$2:$J$188,MATCH(A113,Backlog!$A$2:$A$188,0)),INDEX(Backlog!$J$2:$J$188,MATCH(A113,Backlog!$A$2:$A$188,0))&amp;" [STALE]"))</f>
        <v>12 [STALE]</v>
      </c>
      <c r="H113" s="76" t="s">
        <v>5750</v>
      </c>
      <c r="I113" s="76" t="str">
        <f>""</f>
        <v/>
      </c>
      <c r="J113" s="76" t="s">
        <v>3358</v>
      </c>
      <c r="K113" s="76" t="s">
        <v>5742</v>
      </c>
      <c r="L113" s="76" t="s">
        <v>5751</v>
      </c>
    </row>
    <row r="114" spans="1:12" ht="69.95" customHeight="1">
      <c r="A114" s="76" t="s">
        <v>1296</v>
      </c>
      <c r="B114" s="76" t="s">
        <v>1251</v>
      </c>
      <c r="C114" s="76" t="str">
        <f>IF(INDEX(Backlog!$K$2:$K$188,MATCH(A114,Backlog!$A$2:$A$188,0))="","",INDEX(Backlog!$K$2:$K$188,MATCH(A114,Backlog!$A$2:$A$188,0)))</f>
        <v>Not Started</v>
      </c>
      <c r="D114" s="76" t="s">
        <v>3359</v>
      </c>
      <c r="E114" s="76" t="s">
        <v>5549</v>
      </c>
      <c r="F114" s="76" t="s">
        <v>5752</v>
      </c>
      <c r="G114" s="77" t="str">
        <f>IF(INDEX(Backlog!$J$2:$J$188,MATCH(A114,Backlog!$A$2:$A$188,0))="","UNESTIMATED",IF(INDEX(Backlog!$AM$2:$AM$188,MATCH(A114,Backlog!$A$2:$A$188,0))=1,INDEX(Backlog!$J$2:$J$188,MATCH(A114,Backlog!$A$2:$A$188,0)),INDEX(Backlog!$J$2:$J$188,MATCH(A114,Backlog!$A$2:$A$188,0))&amp;" [STALE]"))</f>
        <v>12 [STALE]</v>
      </c>
      <c r="H114" s="76" t="s">
        <v>5753</v>
      </c>
      <c r="I114" s="76" t="str">
        <f>""</f>
        <v/>
      </c>
      <c r="J114" s="76" t="s">
        <v>3362</v>
      </c>
      <c r="K114" s="76" t="s">
        <v>5742</v>
      </c>
      <c r="L114" s="76" t="s">
        <v>5754</v>
      </c>
    </row>
    <row r="115" spans="1:12" ht="69.95" customHeight="1">
      <c r="A115" s="76" t="s">
        <v>1301</v>
      </c>
      <c r="B115" s="76" t="s">
        <v>1251</v>
      </c>
      <c r="C115" s="76" t="str">
        <f>IF(INDEX(Backlog!$K$2:$K$188,MATCH(A115,Backlog!$A$2:$A$188,0))="","",INDEX(Backlog!$K$2:$K$188,MATCH(A115,Backlog!$A$2:$A$188,0)))</f>
        <v>Not Started</v>
      </c>
      <c r="D115" s="76" t="s">
        <v>5517</v>
      </c>
      <c r="E115" s="76" t="s">
        <v>5549</v>
      </c>
      <c r="F115" s="76" t="s">
        <v>5519</v>
      </c>
      <c r="G115" s="77">
        <f>IF(INDEX(Backlog!$J$2:$J$188,MATCH(A115,Backlog!$A$2:$A$188,0))="","UNESTIMATED",IF(INDEX(Backlog!$AM$2:$AM$188,MATCH(A115,Backlog!$A$2:$A$188,0))=1,INDEX(Backlog!$J$2:$J$188,MATCH(A115,Backlog!$A$2:$A$188,0)),INDEX(Backlog!$J$2:$J$188,MATCH(A115,Backlog!$A$2:$A$188,0))&amp;" [STALE]"))</f>
        <v>12</v>
      </c>
      <c r="H115" s="76" t="str">
        <f>IF(INDEX(Backlog!$AR$2:$AR$188,MATCH(A115,Backlog!$A$2:$A$188,0))="","",INDEX(Backlog!$AR$2:$AR$188,MATCH(A115,Backlog!$A$2:$A$188,0)))</f>
        <v>INHERITED ESTIMATE</v>
      </c>
      <c r="I115" s="76" t="str">
        <f>""</f>
        <v/>
      </c>
      <c r="J115" s="76" t="s">
        <v>5755</v>
      </c>
      <c r="K115" s="76" t="s">
        <v>5521</v>
      </c>
      <c r="L115" s="76" t="s">
        <v>5522</v>
      </c>
    </row>
    <row r="116" spans="1:12" ht="69.95" customHeight="1">
      <c r="A116" s="76" t="s">
        <v>1306</v>
      </c>
      <c r="B116" s="76" t="s">
        <v>1251</v>
      </c>
      <c r="C116" s="76" t="str">
        <f>IF(INDEX(Backlog!$K$2:$K$188,MATCH(A116,Backlog!$A$2:$A$188,0))="","",INDEX(Backlog!$K$2:$K$188,MATCH(A116,Backlog!$A$2:$A$188,0)))</f>
        <v>Not Started</v>
      </c>
      <c r="D116" s="76" t="s">
        <v>5517</v>
      </c>
      <c r="E116" s="76" t="s">
        <v>5549</v>
      </c>
      <c r="F116" s="76" t="s">
        <v>5519</v>
      </c>
      <c r="G116" s="77">
        <f>IF(INDEX(Backlog!$J$2:$J$188,MATCH(A116,Backlog!$A$2:$A$188,0))="","UNESTIMATED",IF(INDEX(Backlog!$AM$2:$AM$188,MATCH(A116,Backlog!$A$2:$A$188,0))=1,INDEX(Backlog!$J$2:$J$188,MATCH(A116,Backlog!$A$2:$A$188,0)),INDEX(Backlog!$J$2:$J$188,MATCH(A116,Backlog!$A$2:$A$188,0))&amp;" [STALE]"))</f>
        <v>12</v>
      </c>
      <c r="H116" s="76" t="str">
        <f>IF(INDEX(Backlog!$AR$2:$AR$188,MATCH(A116,Backlog!$A$2:$A$188,0))="","",INDEX(Backlog!$AR$2:$AR$188,MATCH(A116,Backlog!$A$2:$A$188,0)))</f>
        <v>INHERITED ESTIMATE</v>
      </c>
      <c r="I116" s="76" t="str">
        <f>""</f>
        <v/>
      </c>
      <c r="J116" s="76" t="s">
        <v>5756</v>
      </c>
      <c r="K116" s="76" t="s">
        <v>5521</v>
      </c>
      <c r="L116" s="76" t="s">
        <v>5522</v>
      </c>
    </row>
    <row r="117" spans="1:12" ht="69.95" customHeight="1">
      <c r="A117" s="76" t="s">
        <v>1310</v>
      </c>
      <c r="B117" s="76" t="s">
        <v>1314</v>
      </c>
      <c r="C117" s="76" t="str">
        <f>IF(INDEX(Backlog!$K$2:$K$188,MATCH(A117,Backlog!$A$2:$A$188,0))="","",INDEX(Backlog!$K$2:$K$188,MATCH(A117,Backlog!$A$2:$A$188,0)))</f>
        <v>Not Started</v>
      </c>
      <c r="D117" s="76" t="s">
        <v>3363</v>
      </c>
      <c r="E117" s="76" t="s">
        <v>5549</v>
      </c>
      <c r="F117" s="76" t="s">
        <v>5757</v>
      </c>
      <c r="G117" s="77" t="str">
        <f>IF(INDEX(Backlog!$J$2:$J$188,MATCH(A117,Backlog!$A$2:$A$188,0))="","UNESTIMATED",IF(INDEX(Backlog!$AM$2:$AM$188,MATCH(A117,Backlog!$A$2:$A$188,0))=1,INDEX(Backlog!$J$2:$J$188,MATCH(A117,Backlog!$A$2:$A$188,0)),INDEX(Backlog!$J$2:$J$188,MATCH(A117,Backlog!$A$2:$A$188,0))&amp;" [STALE]"))</f>
        <v>8 [STALE]</v>
      </c>
      <c r="H117" s="76" t="s">
        <v>5750</v>
      </c>
      <c r="I117" s="76"/>
      <c r="J117" s="76" t="s">
        <v>3366</v>
      </c>
      <c r="K117" s="76" t="s">
        <v>5603</v>
      </c>
      <c r="L117" s="76" t="s">
        <v>5758</v>
      </c>
    </row>
    <row r="118" spans="1:12" ht="69.95" customHeight="1">
      <c r="A118" s="76" t="s">
        <v>1317</v>
      </c>
      <c r="B118" s="76" t="s">
        <v>1314</v>
      </c>
      <c r="C118" s="76" t="str">
        <f>IF(INDEX(Backlog!$K$2:$K$188,MATCH(A118,Backlog!$A$2:$A$188,0))="","",INDEX(Backlog!$K$2:$K$188,MATCH(A118,Backlog!$A$2:$A$188,0)))</f>
        <v>Not Started</v>
      </c>
      <c r="D118" s="76" t="s">
        <v>5517</v>
      </c>
      <c r="E118" s="76" t="s">
        <v>5549</v>
      </c>
      <c r="F118" s="76" t="s">
        <v>5519</v>
      </c>
      <c r="G118" s="77">
        <f>IF(INDEX(Backlog!$J$2:$J$188,MATCH(A118,Backlog!$A$2:$A$188,0))="","UNESTIMATED",IF(INDEX(Backlog!$AM$2:$AM$188,MATCH(A118,Backlog!$A$2:$A$188,0))=1,INDEX(Backlog!$J$2:$J$188,MATCH(A118,Backlog!$A$2:$A$188,0)),INDEX(Backlog!$J$2:$J$188,MATCH(A118,Backlog!$A$2:$A$188,0))&amp;" [STALE]"))</f>
        <v>6</v>
      </c>
      <c r="H118" s="76" t="str">
        <f>IF(INDEX(Backlog!$AR$2:$AR$188,MATCH(A118,Backlog!$A$2:$A$188,0))="","",INDEX(Backlog!$AR$2:$AR$188,MATCH(A118,Backlog!$A$2:$A$188,0)))</f>
        <v>INHERITED ESTIMATE</v>
      </c>
      <c r="I118" s="76" t="str">
        <f>""</f>
        <v/>
      </c>
      <c r="J118" s="76" t="s">
        <v>5759</v>
      </c>
      <c r="K118" s="76" t="s">
        <v>5587</v>
      </c>
      <c r="L118" s="76" t="s">
        <v>5522</v>
      </c>
    </row>
    <row r="119" spans="1:12" ht="69.95" customHeight="1">
      <c r="A119" s="76" t="s">
        <v>1154</v>
      </c>
      <c r="B119" s="76" t="s">
        <v>1314</v>
      </c>
      <c r="C119" s="76" t="str">
        <f>IF(INDEX(Backlog!$K$2:$K$188,MATCH(A119,Backlog!$A$2:$A$188,0))="","",INDEX(Backlog!$K$2:$K$188,MATCH(A119,Backlog!$A$2:$A$188,0)))</f>
        <v>Not Started</v>
      </c>
      <c r="D119" s="76" t="s">
        <v>5517</v>
      </c>
      <c r="E119" s="76" t="s">
        <v>5549</v>
      </c>
      <c r="F119" s="76" t="s">
        <v>5519</v>
      </c>
      <c r="G119" s="77">
        <f>IF(INDEX(Backlog!$J$2:$J$188,MATCH(A119,Backlog!$A$2:$A$188,0))="","UNESTIMATED",IF(INDEX(Backlog!$AM$2:$AM$188,MATCH(A119,Backlog!$A$2:$A$188,0))=1,INDEX(Backlog!$J$2:$J$188,MATCH(A119,Backlog!$A$2:$A$188,0)),INDEX(Backlog!$J$2:$J$188,MATCH(A119,Backlog!$A$2:$A$188,0))&amp;" [STALE]"))</f>
        <v>12</v>
      </c>
      <c r="H119" s="76" t="str">
        <f>IF(INDEX(Backlog!$AR$2:$AR$188,MATCH(A119,Backlog!$A$2:$A$188,0))="","",INDEX(Backlog!$AR$2:$AR$188,MATCH(A119,Backlog!$A$2:$A$188,0)))</f>
        <v>INHERITED ESTIMATE</v>
      </c>
      <c r="I119" s="76" t="s">
        <v>12732</v>
      </c>
      <c r="J119" s="76" t="s">
        <v>5760</v>
      </c>
      <c r="K119" s="76" t="s">
        <v>5615</v>
      </c>
      <c r="L119" s="76" t="s">
        <v>5719</v>
      </c>
    </row>
    <row r="120" spans="1:12" ht="69.95" customHeight="1">
      <c r="A120" s="76" t="s">
        <v>1330</v>
      </c>
      <c r="B120" s="76" t="s">
        <v>1314</v>
      </c>
      <c r="C120" s="76" t="str">
        <f>IF(INDEX(Backlog!$K$2:$K$188,MATCH(A120,Backlog!$A$2:$A$188,0))="","",INDEX(Backlog!$K$2:$K$188,MATCH(A120,Backlog!$A$2:$A$188,0)))</f>
        <v>Not Started</v>
      </c>
      <c r="D120" s="76" t="s">
        <v>5517</v>
      </c>
      <c r="E120" s="76" t="s">
        <v>5549</v>
      </c>
      <c r="F120" s="76" t="s">
        <v>5519</v>
      </c>
      <c r="G120" s="77">
        <f>IF(INDEX(Backlog!$J$2:$J$188,MATCH(A120,Backlog!$A$2:$A$188,0))="","UNESTIMATED",IF(INDEX(Backlog!$AM$2:$AM$188,MATCH(A120,Backlog!$A$2:$A$188,0))=1,INDEX(Backlog!$J$2:$J$188,MATCH(A120,Backlog!$A$2:$A$188,0)),INDEX(Backlog!$J$2:$J$188,MATCH(A120,Backlog!$A$2:$A$188,0))&amp;" [STALE]"))</f>
        <v>6</v>
      </c>
      <c r="H120" s="76" t="str">
        <f>IF(INDEX(Backlog!$AR$2:$AR$188,MATCH(A120,Backlog!$A$2:$A$188,0))="","",INDEX(Backlog!$AR$2:$AR$188,MATCH(A120,Backlog!$A$2:$A$188,0)))</f>
        <v>INHERITED ESTIMATE</v>
      </c>
      <c r="I120" s="76" t="str">
        <f>""</f>
        <v/>
      </c>
      <c r="J120" s="76" t="s">
        <v>5761</v>
      </c>
      <c r="K120" s="76" t="s">
        <v>5521</v>
      </c>
      <c r="L120" s="76" t="s">
        <v>5522</v>
      </c>
    </row>
    <row r="121" spans="1:12" ht="69.95" customHeight="1">
      <c r="A121" s="76" t="s">
        <v>1335</v>
      </c>
      <c r="B121" s="76" t="s">
        <v>1314</v>
      </c>
      <c r="C121" s="76" t="str">
        <f>IF(INDEX(Backlog!$K$2:$K$188,MATCH(A121,Backlog!$A$2:$A$188,0))="","",INDEX(Backlog!$K$2:$K$188,MATCH(A121,Backlog!$A$2:$A$188,0)))</f>
        <v>Not Started</v>
      </c>
      <c r="D121" s="76" t="s">
        <v>5517</v>
      </c>
      <c r="E121" s="76" t="s">
        <v>5549</v>
      </c>
      <c r="F121" s="76" t="s">
        <v>5519</v>
      </c>
      <c r="G121" s="77">
        <f>IF(INDEX(Backlog!$J$2:$J$188,MATCH(A121,Backlog!$A$2:$A$188,0))="","UNESTIMATED",IF(INDEX(Backlog!$AM$2:$AM$188,MATCH(A121,Backlog!$A$2:$A$188,0))=1,INDEX(Backlog!$J$2:$J$188,MATCH(A121,Backlog!$A$2:$A$188,0)),INDEX(Backlog!$J$2:$J$188,MATCH(A121,Backlog!$A$2:$A$188,0))&amp;" [STALE]"))</f>
        <v>12</v>
      </c>
      <c r="H121" s="76" t="str">
        <f>IF(INDEX(Backlog!$AR$2:$AR$188,MATCH(A121,Backlog!$A$2:$A$188,0))="","",INDEX(Backlog!$AR$2:$AR$188,MATCH(A121,Backlog!$A$2:$A$188,0)))</f>
        <v>INHERITED ESTIMATE</v>
      </c>
      <c r="I121" s="76" t="str">
        <f>""</f>
        <v/>
      </c>
      <c r="J121" s="76" t="s">
        <v>5762</v>
      </c>
      <c r="K121" s="76" t="s">
        <v>5521</v>
      </c>
      <c r="L121" s="76" t="s">
        <v>5522</v>
      </c>
    </row>
    <row r="122" spans="1:12" ht="69.95" customHeight="1">
      <c r="A122" s="76" t="s">
        <v>1339</v>
      </c>
      <c r="B122" s="76" t="s">
        <v>1314</v>
      </c>
      <c r="C122" s="76" t="str">
        <f>IF(INDEX(Backlog!$K$2:$K$188,MATCH(A122,Backlog!$A$2:$A$188,0))="","",INDEX(Backlog!$K$2:$K$188,MATCH(A122,Backlog!$A$2:$A$188,0)))</f>
        <v>Not Started</v>
      </c>
      <c r="D122" s="76" t="s">
        <v>5517</v>
      </c>
      <c r="E122" s="76" t="s">
        <v>5549</v>
      </c>
      <c r="F122" s="76" t="s">
        <v>5519</v>
      </c>
      <c r="G122" s="77">
        <f>IF(INDEX(Backlog!$J$2:$J$188,MATCH(A122,Backlog!$A$2:$A$188,0))="","UNESTIMATED",IF(INDEX(Backlog!$AM$2:$AM$188,MATCH(A122,Backlog!$A$2:$A$188,0))=1,INDEX(Backlog!$J$2:$J$188,MATCH(A122,Backlog!$A$2:$A$188,0)),INDEX(Backlog!$J$2:$J$188,MATCH(A122,Backlog!$A$2:$A$188,0))&amp;" [STALE]"))</f>
        <v>12</v>
      </c>
      <c r="H122" s="76" t="str">
        <f>IF(INDEX(Backlog!$AR$2:$AR$188,MATCH(A122,Backlog!$A$2:$A$188,0))="","",INDEX(Backlog!$AR$2:$AR$188,MATCH(A122,Backlog!$A$2:$A$188,0)))</f>
        <v>INHERITED ESTIMATE</v>
      </c>
      <c r="I122" s="76" t="str">
        <f>""</f>
        <v/>
      </c>
      <c r="J122" s="76" t="s">
        <v>5763</v>
      </c>
      <c r="K122" s="76" t="s">
        <v>5521</v>
      </c>
      <c r="L122" s="76" t="s">
        <v>5522</v>
      </c>
    </row>
    <row r="123" spans="1:12" ht="69.95" customHeight="1">
      <c r="A123" s="76" t="s">
        <v>1327</v>
      </c>
      <c r="B123" s="76" t="s">
        <v>1314</v>
      </c>
      <c r="C123" s="76" t="str">
        <f>IF(INDEX(Backlog!$K$2:$K$188,MATCH(A123,Backlog!$A$2:$A$188,0))="","",INDEX(Backlog!$K$2:$K$188,MATCH(A123,Backlog!$A$2:$A$188,0)))</f>
        <v>Not Started</v>
      </c>
      <c r="D123" s="76" t="s">
        <v>5517</v>
      </c>
      <c r="E123" s="76" t="s">
        <v>5549</v>
      </c>
      <c r="F123" s="76" t="s">
        <v>5519</v>
      </c>
      <c r="G123" s="77">
        <f>IF(INDEX(Backlog!$J$2:$J$188,MATCH(A123,Backlog!$A$2:$A$188,0))="","UNESTIMATED",IF(INDEX(Backlog!$AM$2:$AM$188,MATCH(A123,Backlog!$A$2:$A$188,0))=1,INDEX(Backlog!$J$2:$J$188,MATCH(A123,Backlog!$A$2:$A$188,0)),INDEX(Backlog!$J$2:$J$188,MATCH(A123,Backlog!$A$2:$A$188,0))&amp;" [STALE]"))</f>
        <v>6</v>
      </c>
      <c r="H123" s="76" t="str">
        <f>IF(INDEX(Backlog!$AR$2:$AR$188,MATCH(A123,Backlog!$A$2:$A$188,0))="","",INDEX(Backlog!$AR$2:$AR$188,MATCH(A123,Backlog!$A$2:$A$188,0)))</f>
        <v>INHERITED ESTIMATE</v>
      </c>
      <c r="I123" s="76" t="s">
        <v>1347</v>
      </c>
      <c r="J123" s="76" t="s">
        <v>5764</v>
      </c>
      <c r="K123" s="76" t="s">
        <v>5587</v>
      </c>
      <c r="L123" s="76" t="s">
        <v>5522</v>
      </c>
    </row>
    <row r="124" spans="1:12" ht="69.95" customHeight="1">
      <c r="A124" s="76" t="s">
        <v>1349</v>
      </c>
      <c r="B124" s="76" t="s">
        <v>1314</v>
      </c>
      <c r="C124" s="76" t="str">
        <f>IF(INDEX(Backlog!$K$2:$K$188,MATCH(A124,Backlog!$A$2:$A$188,0))="","",INDEX(Backlog!$K$2:$K$188,MATCH(A124,Backlog!$A$2:$A$188,0)))</f>
        <v>Not Started</v>
      </c>
      <c r="D124" s="76" t="s">
        <v>5517</v>
      </c>
      <c r="E124" s="76" t="s">
        <v>5549</v>
      </c>
      <c r="F124" s="76" t="s">
        <v>5519</v>
      </c>
      <c r="G124" s="77">
        <f>IF(INDEX(Backlog!$J$2:$J$188,MATCH(A124,Backlog!$A$2:$A$188,0))="","UNESTIMATED",IF(INDEX(Backlog!$AM$2:$AM$188,MATCH(A124,Backlog!$A$2:$A$188,0))=1,INDEX(Backlog!$J$2:$J$188,MATCH(A124,Backlog!$A$2:$A$188,0)),INDEX(Backlog!$J$2:$J$188,MATCH(A124,Backlog!$A$2:$A$188,0))&amp;" [STALE]"))</f>
        <v>8</v>
      </c>
      <c r="H124" s="76" t="str">
        <f>IF(INDEX(Backlog!$AR$2:$AR$188,MATCH(A124,Backlog!$A$2:$A$188,0))="","",INDEX(Backlog!$AR$2:$AR$188,MATCH(A124,Backlog!$A$2:$A$188,0)))</f>
        <v>INHERITED ESTIMATE</v>
      </c>
      <c r="I124" s="76"/>
      <c r="J124" s="76" t="s">
        <v>5765</v>
      </c>
      <c r="K124" s="76" t="s">
        <v>5587</v>
      </c>
      <c r="L124" s="76" t="s">
        <v>5522</v>
      </c>
    </row>
    <row r="125" spans="1:12" ht="69.95" customHeight="1">
      <c r="A125" s="76" t="s">
        <v>1356</v>
      </c>
      <c r="B125" s="76" t="s">
        <v>1314</v>
      </c>
      <c r="C125" s="76" t="str">
        <f>IF(INDEX(Backlog!$K$2:$K$188,MATCH(A125,Backlog!$A$2:$A$188,0))="","",INDEX(Backlog!$K$2:$K$188,MATCH(A125,Backlog!$A$2:$A$188,0)))</f>
        <v>Not Started</v>
      </c>
      <c r="D125" s="76" t="s">
        <v>5517</v>
      </c>
      <c r="E125" s="76" t="s">
        <v>5549</v>
      </c>
      <c r="F125" s="76" t="s">
        <v>5519</v>
      </c>
      <c r="G125" s="77">
        <f>IF(INDEX(Backlog!$J$2:$J$188,MATCH(A125,Backlog!$A$2:$A$188,0))="","UNESTIMATED",IF(INDEX(Backlog!$AM$2:$AM$188,MATCH(A125,Backlog!$A$2:$A$188,0))=1,INDEX(Backlog!$J$2:$J$188,MATCH(A125,Backlog!$A$2:$A$188,0)),INDEX(Backlog!$J$2:$J$188,MATCH(A125,Backlog!$A$2:$A$188,0))&amp;" [STALE]"))</f>
        <v>10</v>
      </c>
      <c r="H125" s="76" t="str">
        <f>IF(INDEX(Backlog!$AR$2:$AR$188,MATCH(A125,Backlog!$A$2:$A$188,0))="","",INDEX(Backlog!$AR$2:$AR$188,MATCH(A125,Backlog!$A$2:$A$188,0)))</f>
        <v>INHERITED ESTIMATE</v>
      </c>
      <c r="I125" s="76" t="s">
        <v>1362</v>
      </c>
      <c r="J125" s="76" t="s">
        <v>5766</v>
      </c>
      <c r="K125" s="76" t="s">
        <v>5587</v>
      </c>
      <c r="L125" s="76" t="s">
        <v>5522</v>
      </c>
    </row>
    <row r="126" spans="1:12" ht="69.95" customHeight="1">
      <c r="A126" s="76" t="s">
        <v>1367</v>
      </c>
      <c r="B126" s="76" t="s">
        <v>1314</v>
      </c>
      <c r="C126" s="76" t="str">
        <f>IF(INDEX(Backlog!$K$2:$K$188,MATCH(A126,Backlog!$A$2:$A$188,0))="","",INDEX(Backlog!$K$2:$K$188,MATCH(A126,Backlog!$A$2:$A$188,0)))</f>
        <v>Not Started</v>
      </c>
      <c r="D126" s="76" t="s">
        <v>5517</v>
      </c>
      <c r="E126" s="76" t="s">
        <v>5549</v>
      </c>
      <c r="F126" s="76" t="s">
        <v>5519</v>
      </c>
      <c r="G126" s="77">
        <f>IF(INDEX(Backlog!$J$2:$J$188,MATCH(A126,Backlog!$A$2:$A$188,0))="","UNESTIMATED",IF(INDEX(Backlog!$AM$2:$AM$188,MATCH(A126,Backlog!$A$2:$A$188,0))=1,INDEX(Backlog!$J$2:$J$188,MATCH(A126,Backlog!$A$2:$A$188,0)),INDEX(Backlog!$J$2:$J$188,MATCH(A126,Backlog!$A$2:$A$188,0))&amp;" [STALE]"))</f>
        <v>12</v>
      </c>
      <c r="H126" s="76" t="str">
        <f>IF(INDEX(Backlog!$AR$2:$AR$188,MATCH(A126,Backlog!$A$2:$A$188,0))="","",INDEX(Backlog!$AR$2:$AR$188,MATCH(A126,Backlog!$A$2:$A$188,0)))</f>
        <v>INHERITED ESTIMATE</v>
      </c>
      <c r="I126" s="76" t="s">
        <v>1372</v>
      </c>
      <c r="J126" s="76" t="s">
        <v>5767</v>
      </c>
      <c r="K126" s="76" t="s">
        <v>5587</v>
      </c>
      <c r="L126" s="76" t="s">
        <v>5522</v>
      </c>
    </row>
    <row r="127" spans="1:12" ht="69.95" customHeight="1">
      <c r="A127" s="76" t="s">
        <v>1377</v>
      </c>
      <c r="B127" s="76" t="s">
        <v>1314</v>
      </c>
      <c r="C127" s="76" t="str">
        <f>IF(INDEX(Backlog!$K$2:$K$188,MATCH(A127,Backlog!$A$2:$A$188,0))="","",INDEX(Backlog!$K$2:$K$188,MATCH(A127,Backlog!$A$2:$A$188,0)))</f>
        <v>Not Started</v>
      </c>
      <c r="D127" s="76" t="s">
        <v>5517</v>
      </c>
      <c r="E127" s="76" t="s">
        <v>5549</v>
      </c>
      <c r="F127" s="76" t="s">
        <v>5519</v>
      </c>
      <c r="G127" s="77">
        <f>IF(INDEX(Backlog!$J$2:$J$188,MATCH(A127,Backlog!$A$2:$A$188,0))="","UNESTIMATED",IF(INDEX(Backlog!$AM$2:$AM$188,MATCH(A127,Backlog!$A$2:$A$188,0))=1,INDEX(Backlog!$J$2:$J$188,MATCH(A127,Backlog!$A$2:$A$188,0)),INDEX(Backlog!$J$2:$J$188,MATCH(A127,Backlog!$A$2:$A$188,0))&amp;" [STALE]"))</f>
        <v>12</v>
      </c>
      <c r="H127" s="76" t="str">
        <f>IF(INDEX(Backlog!$AR$2:$AR$188,MATCH(A127,Backlog!$A$2:$A$188,0))="","",INDEX(Backlog!$AR$2:$AR$188,MATCH(A127,Backlog!$A$2:$A$188,0)))</f>
        <v>INHERITED ESTIMATE</v>
      </c>
      <c r="I127" s="76" t="s">
        <v>1382</v>
      </c>
      <c r="J127" s="76" t="s">
        <v>5768</v>
      </c>
      <c r="K127" s="76" t="s">
        <v>5587</v>
      </c>
      <c r="L127" s="76" t="s">
        <v>5522</v>
      </c>
    </row>
    <row r="128" spans="1:12" ht="69.95" customHeight="1">
      <c r="A128" s="76" t="s">
        <v>1384</v>
      </c>
      <c r="B128" s="76" t="s">
        <v>1314</v>
      </c>
      <c r="C128" s="76" t="str">
        <f>IF(INDEX(Backlog!$K$2:$K$188,MATCH(A128,Backlog!$A$2:$A$188,0))="","",INDEX(Backlog!$K$2:$K$188,MATCH(A128,Backlog!$A$2:$A$188,0)))</f>
        <v>Not Started</v>
      </c>
      <c r="D128" s="76" t="s">
        <v>5517</v>
      </c>
      <c r="E128" s="76" t="s">
        <v>5549</v>
      </c>
      <c r="F128" s="76" t="s">
        <v>5519</v>
      </c>
      <c r="G128" s="77">
        <f>IF(INDEX(Backlog!$J$2:$J$188,MATCH(A128,Backlog!$A$2:$A$188,0))="","UNESTIMATED",IF(INDEX(Backlog!$AM$2:$AM$188,MATCH(A128,Backlog!$A$2:$A$188,0))=1,INDEX(Backlog!$J$2:$J$188,MATCH(A128,Backlog!$A$2:$A$188,0)),INDEX(Backlog!$J$2:$J$188,MATCH(A128,Backlog!$A$2:$A$188,0))&amp;" [STALE]"))</f>
        <v>10</v>
      </c>
      <c r="H128" s="76" t="str">
        <f>IF(INDEX(Backlog!$AR$2:$AR$188,MATCH(A128,Backlog!$A$2:$A$188,0))="","",INDEX(Backlog!$AR$2:$AR$188,MATCH(A128,Backlog!$A$2:$A$188,0)))</f>
        <v>INHERITED ESTIMATE</v>
      </c>
      <c r="I128" s="76" t="s">
        <v>12733</v>
      </c>
      <c r="J128" s="76" t="s">
        <v>5769</v>
      </c>
      <c r="K128" s="76" t="s">
        <v>5587</v>
      </c>
      <c r="L128" s="76" t="s">
        <v>5522</v>
      </c>
    </row>
    <row r="129" spans="1:12" ht="69.95" customHeight="1">
      <c r="A129" s="76" t="s">
        <v>1393</v>
      </c>
      <c r="B129" s="76" t="s">
        <v>1398</v>
      </c>
      <c r="C129" s="76" t="str">
        <f>IF(INDEX(Backlog!$K$2:$K$188,MATCH(A129,Backlog!$A$2:$A$188,0))="","",INDEX(Backlog!$K$2:$K$188,MATCH(A129,Backlog!$A$2:$A$188,0)))</f>
        <v>Not Started</v>
      </c>
      <c r="D129" s="76" t="s">
        <v>5517</v>
      </c>
      <c r="E129" s="76" t="s">
        <v>5549</v>
      </c>
      <c r="F129" s="76" t="s">
        <v>5519</v>
      </c>
      <c r="G129" s="77">
        <f>IF(INDEX(Backlog!$J$2:$J$188,MATCH(A129,Backlog!$A$2:$A$188,0))="","UNESTIMATED",IF(INDEX(Backlog!$AM$2:$AM$188,MATCH(A129,Backlog!$A$2:$A$188,0))=1,INDEX(Backlog!$J$2:$J$188,MATCH(A129,Backlog!$A$2:$A$188,0)),INDEX(Backlog!$J$2:$J$188,MATCH(A129,Backlog!$A$2:$A$188,0))&amp;" [STALE]"))</f>
        <v>12</v>
      </c>
      <c r="H129" s="76" t="str">
        <f>IF(INDEX(Backlog!$AR$2:$AR$188,MATCH(A129,Backlog!$A$2:$A$188,0))="","",INDEX(Backlog!$AR$2:$AR$188,MATCH(A129,Backlog!$A$2:$A$188,0)))</f>
        <v>INHERITED ESTIMATE</v>
      </c>
      <c r="I129" s="76" t="str">
        <f>""</f>
        <v/>
      </c>
      <c r="J129" s="76" t="s">
        <v>5770</v>
      </c>
      <c r="K129" s="76" t="s">
        <v>5521</v>
      </c>
      <c r="L129" s="76" t="s">
        <v>5522</v>
      </c>
    </row>
    <row r="130" spans="1:12" ht="69.95" customHeight="1">
      <c r="A130" s="76" t="s">
        <v>1402</v>
      </c>
      <c r="B130" s="76" t="s">
        <v>1398</v>
      </c>
      <c r="C130" s="76" t="str">
        <f>IF(INDEX(Backlog!$K$2:$K$188,MATCH(A130,Backlog!$A$2:$A$188,0))="","",INDEX(Backlog!$K$2:$K$188,MATCH(A130,Backlog!$A$2:$A$188,0)))</f>
        <v>Not Started</v>
      </c>
      <c r="D130" s="76" t="s">
        <v>5517</v>
      </c>
      <c r="E130" s="76" t="s">
        <v>5549</v>
      </c>
      <c r="F130" s="76" t="s">
        <v>5519</v>
      </c>
      <c r="G130" s="77">
        <f>IF(INDEX(Backlog!$J$2:$J$188,MATCH(A130,Backlog!$A$2:$A$188,0))="","UNESTIMATED",IF(INDEX(Backlog!$AM$2:$AM$188,MATCH(A130,Backlog!$A$2:$A$188,0))=1,INDEX(Backlog!$J$2:$J$188,MATCH(A130,Backlog!$A$2:$A$188,0)),INDEX(Backlog!$J$2:$J$188,MATCH(A130,Backlog!$A$2:$A$188,0))&amp;" [STALE]"))</f>
        <v>12</v>
      </c>
      <c r="H130" s="76" t="str">
        <f>IF(INDEX(Backlog!$AR$2:$AR$188,MATCH(A130,Backlog!$A$2:$A$188,0))="","",INDEX(Backlog!$AR$2:$AR$188,MATCH(A130,Backlog!$A$2:$A$188,0)))</f>
        <v>INHERITED ESTIMATE</v>
      </c>
      <c r="I130" s="76" t="str">
        <f>""</f>
        <v/>
      </c>
      <c r="J130" s="76" t="s">
        <v>5771</v>
      </c>
      <c r="K130" s="76" t="s">
        <v>5521</v>
      </c>
      <c r="L130" s="76" t="s">
        <v>5522</v>
      </c>
    </row>
    <row r="131" spans="1:12" ht="69.95" customHeight="1">
      <c r="A131" s="76" t="s">
        <v>1411</v>
      </c>
      <c r="B131" s="76" t="s">
        <v>1398</v>
      </c>
      <c r="C131" s="76" t="str">
        <f>IF(INDEX(Backlog!$K$2:$K$188,MATCH(A131,Backlog!$A$2:$A$188,0))="","",INDEX(Backlog!$K$2:$K$188,MATCH(A131,Backlog!$A$2:$A$188,0)))</f>
        <v>Not Started</v>
      </c>
      <c r="D131" s="76" t="s">
        <v>5517</v>
      </c>
      <c r="E131" s="76" t="s">
        <v>5549</v>
      </c>
      <c r="F131" s="76" t="s">
        <v>5519</v>
      </c>
      <c r="G131" s="77">
        <f>IF(INDEX(Backlog!$J$2:$J$188,MATCH(A131,Backlog!$A$2:$A$188,0))="","UNESTIMATED",IF(INDEX(Backlog!$AM$2:$AM$188,MATCH(A131,Backlog!$A$2:$A$188,0))=1,INDEX(Backlog!$J$2:$J$188,MATCH(A131,Backlog!$A$2:$A$188,0)),INDEX(Backlog!$J$2:$J$188,MATCH(A131,Backlog!$A$2:$A$188,0))&amp;" [STALE]"))</f>
        <v>10</v>
      </c>
      <c r="H131" s="76" t="str">
        <f>IF(INDEX(Backlog!$AR$2:$AR$188,MATCH(A131,Backlog!$A$2:$A$188,0))="","",INDEX(Backlog!$AR$2:$AR$188,MATCH(A131,Backlog!$A$2:$A$188,0)))</f>
        <v>INHERITED ESTIMATE</v>
      </c>
      <c r="I131" s="76" t="s">
        <v>1515</v>
      </c>
      <c r="J131" s="76" t="s">
        <v>5772</v>
      </c>
      <c r="K131" s="76" t="s">
        <v>5521</v>
      </c>
      <c r="L131" s="76" t="s">
        <v>5522</v>
      </c>
    </row>
    <row r="132" spans="1:12" ht="69.95" customHeight="1">
      <c r="A132" s="76" t="s">
        <v>1423</v>
      </c>
      <c r="B132" s="76" t="s">
        <v>1398</v>
      </c>
      <c r="C132" s="76" t="str">
        <f>IF(INDEX(Backlog!$K$2:$K$188,MATCH(A132,Backlog!$A$2:$A$188,0))="","",INDEX(Backlog!$K$2:$K$188,MATCH(A132,Backlog!$A$2:$A$188,0)))</f>
        <v>Not Started</v>
      </c>
      <c r="D132" s="76" t="s">
        <v>5517</v>
      </c>
      <c r="E132" s="76" t="s">
        <v>5549</v>
      </c>
      <c r="F132" s="76" t="s">
        <v>5519</v>
      </c>
      <c r="G132" s="77">
        <f>IF(INDEX(Backlog!$J$2:$J$188,MATCH(A132,Backlog!$A$2:$A$188,0))="","UNESTIMATED",IF(INDEX(Backlog!$AM$2:$AM$188,MATCH(A132,Backlog!$A$2:$A$188,0))=1,INDEX(Backlog!$J$2:$J$188,MATCH(A132,Backlog!$A$2:$A$188,0)),INDEX(Backlog!$J$2:$J$188,MATCH(A132,Backlog!$A$2:$A$188,0))&amp;" [STALE]"))</f>
        <v>12</v>
      </c>
      <c r="H132" s="76" t="str">
        <f>IF(INDEX(Backlog!$AR$2:$AR$188,MATCH(A132,Backlog!$A$2:$A$188,0))="","",INDEX(Backlog!$AR$2:$AR$188,MATCH(A132,Backlog!$A$2:$A$188,0)))</f>
        <v>INHERITED ESTIMATE</v>
      </c>
      <c r="I132" s="76" t="s">
        <v>12734</v>
      </c>
      <c r="J132" s="76" t="s">
        <v>5773</v>
      </c>
      <c r="K132" s="76" t="s">
        <v>5521</v>
      </c>
      <c r="L132" s="76" t="s">
        <v>5522</v>
      </c>
    </row>
    <row r="133" spans="1:12" ht="69.95" customHeight="1">
      <c r="A133" s="76" t="s">
        <v>1429</v>
      </c>
      <c r="B133" s="76" t="s">
        <v>1398</v>
      </c>
      <c r="C133" s="76" t="str">
        <f>IF(INDEX(Backlog!$K$2:$K$188,MATCH(A133,Backlog!$A$2:$A$188,0))="","",INDEX(Backlog!$K$2:$K$188,MATCH(A133,Backlog!$A$2:$A$188,0)))</f>
        <v>Not Started</v>
      </c>
      <c r="D133" s="76" t="s">
        <v>5517</v>
      </c>
      <c r="E133" s="76" t="s">
        <v>5549</v>
      </c>
      <c r="F133" s="76" t="s">
        <v>5519</v>
      </c>
      <c r="G133" s="77">
        <f>IF(INDEX(Backlog!$J$2:$J$188,MATCH(A133,Backlog!$A$2:$A$188,0))="","UNESTIMATED",IF(INDEX(Backlog!$AM$2:$AM$188,MATCH(A133,Backlog!$A$2:$A$188,0))=1,INDEX(Backlog!$J$2:$J$188,MATCH(A133,Backlog!$A$2:$A$188,0)),INDEX(Backlog!$J$2:$J$188,MATCH(A133,Backlog!$A$2:$A$188,0))&amp;" [STALE]"))</f>
        <v>12</v>
      </c>
      <c r="H133" s="76" t="str">
        <f>IF(INDEX(Backlog!$AR$2:$AR$188,MATCH(A133,Backlog!$A$2:$A$188,0))="","",INDEX(Backlog!$AR$2:$AR$188,MATCH(A133,Backlog!$A$2:$A$188,0)))</f>
        <v>INHERITED ESTIMATE</v>
      </c>
      <c r="I133" s="76" t="s">
        <v>12735</v>
      </c>
      <c r="J133" s="76" t="s">
        <v>5774</v>
      </c>
      <c r="K133" s="76" t="s">
        <v>5521</v>
      </c>
      <c r="L133" s="76" t="s">
        <v>5522</v>
      </c>
    </row>
    <row r="134" spans="1:12" ht="69.95" customHeight="1">
      <c r="A134" s="76" t="s">
        <v>812</v>
      </c>
      <c r="B134" s="76" t="s">
        <v>1398</v>
      </c>
      <c r="C134" s="76" t="str">
        <f>IF(INDEX(Backlog!$K$2:$K$188,MATCH(A134,Backlog!$A$2:$A$188,0))="","",INDEX(Backlog!$K$2:$K$188,MATCH(A134,Backlog!$A$2:$A$188,0)))</f>
        <v>Not Started</v>
      </c>
      <c r="D134" s="76" t="s">
        <v>3367</v>
      </c>
      <c r="E134" s="76" t="s">
        <v>5549</v>
      </c>
      <c r="F134" s="76" t="s">
        <v>5775</v>
      </c>
      <c r="G134" s="77" t="str">
        <f>IF(INDEX(Backlog!$J$2:$J$188,MATCH(A134,Backlog!$A$2:$A$188,0))="","UNESTIMATED",IF(INDEX(Backlog!$AM$2:$AM$188,MATCH(A134,Backlog!$A$2:$A$188,0))=1,INDEX(Backlog!$J$2:$J$188,MATCH(A134,Backlog!$A$2:$A$188,0)),INDEX(Backlog!$J$2:$J$188,MATCH(A134,Backlog!$A$2:$A$188,0))&amp;" [STALE]"))</f>
        <v>30 [STALE]</v>
      </c>
      <c r="H134" s="76" t="s">
        <v>5776</v>
      </c>
      <c r="I134" s="76" t="s">
        <v>12736</v>
      </c>
      <c r="J134" s="76" t="s">
        <v>3370</v>
      </c>
      <c r="K134" s="76" t="s">
        <v>5611</v>
      </c>
      <c r="L134" s="76" t="s">
        <v>5777</v>
      </c>
    </row>
    <row r="135" spans="1:12" ht="69.95" customHeight="1">
      <c r="A135" s="76" t="s">
        <v>1455</v>
      </c>
      <c r="B135" s="76" t="s">
        <v>1398</v>
      </c>
      <c r="C135" s="76" t="str">
        <f>IF(INDEX(Backlog!$K$2:$K$188,MATCH(A135,Backlog!$A$2:$A$188,0))="","",INDEX(Backlog!$K$2:$K$188,MATCH(A135,Backlog!$A$2:$A$188,0)))</f>
        <v>Not Started</v>
      </c>
      <c r="D135" s="76" t="s">
        <v>3371</v>
      </c>
      <c r="E135" s="76" t="s">
        <v>5549</v>
      </c>
      <c r="F135" s="76" t="s">
        <v>5778</v>
      </c>
      <c r="G135" s="77" t="str">
        <f>IF(INDEX(Backlog!$J$2:$J$188,MATCH(A135,Backlog!$A$2:$A$188,0))="","UNESTIMATED",IF(INDEX(Backlog!$AM$2:$AM$188,MATCH(A135,Backlog!$A$2:$A$188,0))=1,INDEX(Backlog!$J$2:$J$188,MATCH(A135,Backlog!$A$2:$A$188,0)),INDEX(Backlog!$J$2:$J$188,MATCH(A135,Backlog!$A$2:$A$188,0))&amp;" [STALE]"))</f>
        <v>UNESTIMATED</v>
      </c>
      <c r="H135" s="76" t="s">
        <v>5668</v>
      </c>
      <c r="I135" s="76" t="s">
        <v>812</v>
      </c>
      <c r="J135" s="76" t="s">
        <v>3374</v>
      </c>
      <c r="K135" s="76" t="s">
        <v>5611</v>
      </c>
      <c r="L135" s="76" t="s">
        <v>5779</v>
      </c>
    </row>
    <row r="136" spans="1:12" ht="69.95" customHeight="1">
      <c r="A136" s="76" t="s">
        <v>1465</v>
      </c>
      <c r="B136" s="76" t="s">
        <v>1473</v>
      </c>
      <c r="C136" s="76" t="str">
        <f>IF(INDEX(Backlog!$K$2:$K$188,MATCH(A136,Backlog!$A$2:$A$188,0))="","",INDEX(Backlog!$K$2:$K$188,MATCH(A136,Backlog!$A$2:$A$188,0)))</f>
        <v>Not Started</v>
      </c>
      <c r="D136" s="76" t="s">
        <v>5517</v>
      </c>
      <c r="E136" s="76" t="s">
        <v>5549</v>
      </c>
      <c r="F136" s="76" t="s">
        <v>5519</v>
      </c>
      <c r="G136" s="77">
        <f>IF(INDEX(Backlog!$J$2:$J$188,MATCH(A136,Backlog!$A$2:$A$188,0))="","UNESTIMATED",IF(INDEX(Backlog!$AM$2:$AM$188,MATCH(A136,Backlog!$A$2:$A$188,0))=1,INDEX(Backlog!$J$2:$J$188,MATCH(A136,Backlog!$A$2:$A$188,0)),INDEX(Backlog!$J$2:$J$188,MATCH(A136,Backlog!$A$2:$A$188,0))&amp;" [STALE]"))</f>
        <v>10</v>
      </c>
      <c r="H136" s="76" t="str">
        <f>IF(INDEX(Backlog!$AR$2:$AR$188,MATCH(A136,Backlog!$A$2:$A$188,0))="","",INDEX(Backlog!$AR$2:$AR$188,MATCH(A136,Backlog!$A$2:$A$188,0)))</f>
        <v>INHERITED ESTIMATE</v>
      </c>
      <c r="I136" s="76" t="s">
        <v>12737</v>
      </c>
      <c r="J136" s="76" t="s">
        <v>5780</v>
      </c>
      <c r="K136" s="76" t="s">
        <v>5736</v>
      </c>
      <c r="L136" s="76" t="s">
        <v>5719</v>
      </c>
    </row>
    <row r="137" spans="1:12" ht="69.95" customHeight="1">
      <c r="A137" s="76" t="s">
        <v>1479</v>
      </c>
      <c r="B137" s="76" t="s">
        <v>1473</v>
      </c>
      <c r="C137" s="76" t="str">
        <f>IF(INDEX(Backlog!$K$2:$K$188,MATCH(A137,Backlog!$A$2:$A$188,0))="","",INDEX(Backlog!$K$2:$K$188,MATCH(A137,Backlog!$A$2:$A$188,0)))</f>
        <v>Not Started</v>
      </c>
      <c r="D137" s="76" t="s">
        <v>5517</v>
      </c>
      <c r="E137" s="76" t="s">
        <v>5549</v>
      </c>
      <c r="F137" s="76" t="s">
        <v>5519</v>
      </c>
      <c r="G137" s="77">
        <f>IF(INDEX(Backlog!$J$2:$J$188,MATCH(A137,Backlog!$A$2:$A$188,0))="","UNESTIMATED",IF(INDEX(Backlog!$AM$2:$AM$188,MATCH(A137,Backlog!$A$2:$A$188,0))=1,INDEX(Backlog!$J$2:$J$188,MATCH(A137,Backlog!$A$2:$A$188,0)),INDEX(Backlog!$J$2:$J$188,MATCH(A137,Backlog!$A$2:$A$188,0))&amp;" [STALE]"))</f>
        <v>12</v>
      </c>
      <c r="H137" s="76" t="str">
        <f>IF(INDEX(Backlog!$AR$2:$AR$188,MATCH(A137,Backlog!$A$2:$A$188,0))="","",INDEX(Backlog!$AR$2:$AR$188,MATCH(A137,Backlog!$A$2:$A$188,0)))</f>
        <v>INHERITED ESTIMATE</v>
      </c>
      <c r="I137" s="76" t="s">
        <v>12738</v>
      </c>
      <c r="J137" s="76" t="s">
        <v>5781</v>
      </c>
      <c r="K137" s="76" t="s">
        <v>5521</v>
      </c>
      <c r="L137" s="76" t="s">
        <v>5522</v>
      </c>
    </row>
    <row r="138" spans="1:12" ht="69.95" customHeight="1">
      <c r="A138" s="76" t="s">
        <v>1487</v>
      </c>
      <c r="B138" s="76" t="s">
        <v>1473</v>
      </c>
      <c r="C138" s="76" t="str">
        <f>IF(INDEX(Backlog!$K$2:$K$188,MATCH(A138,Backlog!$A$2:$A$188,0))="","",INDEX(Backlog!$K$2:$K$188,MATCH(A138,Backlog!$A$2:$A$188,0)))</f>
        <v>Not Started</v>
      </c>
      <c r="D138" s="76" t="s">
        <v>5517</v>
      </c>
      <c r="E138" s="76" t="s">
        <v>5549</v>
      </c>
      <c r="F138" s="76" t="s">
        <v>5519</v>
      </c>
      <c r="G138" s="77">
        <f>IF(INDEX(Backlog!$J$2:$J$188,MATCH(A138,Backlog!$A$2:$A$188,0))="","UNESTIMATED",IF(INDEX(Backlog!$AM$2:$AM$188,MATCH(A138,Backlog!$A$2:$A$188,0))=1,INDEX(Backlog!$J$2:$J$188,MATCH(A138,Backlog!$A$2:$A$188,0)),INDEX(Backlog!$J$2:$J$188,MATCH(A138,Backlog!$A$2:$A$188,0))&amp;" [STALE]"))</f>
        <v>12</v>
      </c>
      <c r="H138" s="76" t="str">
        <f>IF(INDEX(Backlog!$AR$2:$AR$188,MATCH(A138,Backlog!$A$2:$A$188,0))="","",INDEX(Backlog!$AR$2:$AR$188,MATCH(A138,Backlog!$A$2:$A$188,0)))</f>
        <v>INHERITED ESTIMATE</v>
      </c>
      <c r="I138" s="76" t="s">
        <v>12738</v>
      </c>
      <c r="J138" s="76" t="s">
        <v>5782</v>
      </c>
      <c r="K138" s="76" t="s">
        <v>5521</v>
      </c>
      <c r="L138" s="76" t="s">
        <v>5522</v>
      </c>
    </row>
    <row r="139" spans="1:12" ht="69.95" customHeight="1">
      <c r="A139" s="76" t="s">
        <v>1493</v>
      </c>
      <c r="B139" s="76" t="s">
        <v>1473</v>
      </c>
      <c r="C139" s="76" t="str">
        <f>IF(INDEX(Backlog!$K$2:$K$188,MATCH(A139,Backlog!$A$2:$A$188,0))="","",INDEX(Backlog!$K$2:$K$188,MATCH(A139,Backlog!$A$2:$A$188,0)))</f>
        <v>Not Started</v>
      </c>
      <c r="D139" s="76" t="s">
        <v>5517</v>
      </c>
      <c r="E139" s="76" t="s">
        <v>5549</v>
      </c>
      <c r="F139" s="76" t="s">
        <v>5519</v>
      </c>
      <c r="G139" s="77">
        <f>IF(INDEX(Backlog!$J$2:$J$188,MATCH(A139,Backlog!$A$2:$A$188,0))="","UNESTIMATED",IF(INDEX(Backlog!$AM$2:$AM$188,MATCH(A139,Backlog!$A$2:$A$188,0))=1,INDEX(Backlog!$J$2:$J$188,MATCH(A139,Backlog!$A$2:$A$188,0)),INDEX(Backlog!$J$2:$J$188,MATCH(A139,Backlog!$A$2:$A$188,0))&amp;" [STALE]"))</f>
        <v>12</v>
      </c>
      <c r="H139" s="76" t="str">
        <f>IF(INDEX(Backlog!$AR$2:$AR$188,MATCH(A139,Backlog!$A$2:$A$188,0))="","",INDEX(Backlog!$AR$2:$AR$188,MATCH(A139,Backlog!$A$2:$A$188,0)))</f>
        <v>INHERITED ESTIMATE</v>
      </c>
      <c r="I139" s="76" t="s">
        <v>1465</v>
      </c>
      <c r="J139" s="76" t="s">
        <v>5783</v>
      </c>
      <c r="K139" s="76" t="s">
        <v>5521</v>
      </c>
      <c r="L139" s="76" t="s">
        <v>5522</v>
      </c>
    </row>
    <row r="140" spans="1:12" ht="69.95" customHeight="1">
      <c r="A140" s="76" t="s">
        <v>1503</v>
      </c>
      <c r="B140" s="76" t="s">
        <v>1473</v>
      </c>
      <c r="C140" s="76" t="str">
        <f>IF(INDEX(Backlog!$K$2:$K$188,MATCH(A140,Backlog!$A$2:$A$188,0))="","",INDEX(Backlog!$K$2:$K$188,MATCH(A140,Backlog!$A$2:$A$188,0)))</f>
        <v>Not Started</v>
      </c>
      <c r="D140" s="76" t="s">
        <v>5517</v>
      </c>
      <c r="E140" s="76" t="s">
        <v>5549</v>
      </c>
      <c r="F140" s="76" t="s">
        <v>5519</v>
      </c>
      <c r="G140" s="77">
        <f>IF(INDEX(Backlog!$J$2:$J$188,MATCH(A140,Backlog!$A$2:$A$188,0))="","UNESTIMATED",IF(INDEX(Backlog!$AM$2:$AM$188,MATCH(A140,Backlog!$A$2:$A$188,0))=1,INDEX(Backlog!$J$2:$J$188,MATCH(A140,Backlog!$A$2:$A$188,0)),INDEX(Backlog!$J$2:$J$188,MATCH(A140,Backlog!$A$2:$A$188,0))&amp;" [STALE]"))</f>
        <v>12</v>
      </c>
      <c r="H140" s="76" t="str">
        <f>IF(INDEX(Backlog!$AR$2:$AR$188,MATCH(A140,Backlog!$A$2:$A$188,0))="","",INDEX(Backlog!$AR$2:$AR$188,MATCH(A140,Backlog!$A$2:$A$188,0)))</f>
        <v>INHERITED ESTIMATE</v>
      </c>
      <c r="I140" s="76" t="s">
        <v>1493</v>
      </c>
      <c r="J140" s="76" t="s">
        <v>5784</v>
      </c>
      <c r="K140" s="76" t="s">
        <v>5521</v>
      </c>
      <c r="L140" s="76" t="s">
        <v>5522</v>
      </c>
    </row>
    <row r="141" spans="1:12" ht="69.95" customHeight="1">
      <c r="A141" s="76" t="s">
        <v>1508</v>
      </c>
      <c r="B141" s="76" t="s">
        <v>1473</v>
      </c>
      <c r="C141" s="76" t="str">
        <f>IF(INDEX(Backlog!$K$2:$K$188,MATCH(A141,Backlog!$A$2:$A$188,0))="","",INDEX(Backlog!$K$2:$K$188,MATCH(A141,Backlog!$A$2:$A$188,0)))</f>
        <v>Not Started</v>
      </c>
      <c r="D141" s="76" t="s">
        <v>5517</v>
      </c>
      <c r="E141" s="76" t="s">
        <v>5549</v>
      </c>
      <c r="F141" s="76" t="s">
        <v>5519</v>
      </c>
      <c r="G141" s="77">
        <f>IF(INDEX(Backlog!$J$2:$J$188,MATCH(A141,Backlog!$A$2:$A$188,0))="","UNESTIMATED",IF(INDEX(Backlog!$AM$2:$AM$188,MATCH(A141,Backlog!$A$2:$A$188,0))=1,INDEX(Backlog!$J$2:$J$188,MATCH(A141,Backlog!$A$2:$A$188,0)),INDEX(Backlog!$J$2:$J$188,MATCH(A141,Backlog!$A$2:$A$188,0))&amp;" [STALE]"))</f>
        <v>12</v>
      </c>
      <c r="H141" s="76" t="str">
        <f>IF(INDEX(Backlog!$AR$2:$AR$188,MATCH(A141,Backlog!$A$2:$A$188,0))="","",INDEX(Backlog!$AR$2:$AR$188,MATCH(A141,Backlog!$A$2:$A$188,0)))</f>
        <v>INHERITED ESTIMATE</v>
      </c>
      <c r="I141" s="76" t="s">
        <v>1512</v>
      </c>
      <c r="J141" s="76" t="s">
        <v>5785</v>
      </c>
      <c r="K141" s="76" t="s">
        <v>5521</v>
      </c>
      <c r="L141" s="76" t="s">
        <v>5522</v>
      </c>
    </row>
    <row r="142" spans="1:12" ht="69.95" customHeight="1">
      <c r="A142" s="76" t="s">
        <v>1515</v>
      </c>
      <c r="B142" s="76" t="s">
        <v>1473</v>
      </c>
      <c r="C142" s="76" t="str">
        <f>IF(INDEX(Backlog!$K$2:$K$188,MATCH(A142,Backlog!$A$2:$A$188,0))="","",INDEX(Backlog!$K$2:$K$188,MATCH(A142,Backlog!$A$2:$A$188,0)))</f>
        <v>Not Started</v>
      </c>
      <c r="D142" s="76" t="s">
        <v>5517</v>
      </c>
      <c r="E142" s="76" t="s">
        <v>5549</v>
      </c>
      <c r="F142" s="76" t="s">
        <v>5519</v>
      </c>
      <c r="G142" s="77">
        <f>IF(INDEX(Backlog!$J$2:$J$188,MATCH(A142,Backlog!$A$2:$A$188,0))="","UNESTIMATED",IF(INDEX(Backlog!$AM$2:$AM$188,MATCH(A142,Backlog!$A$2:$A$188,0))=1,INDEX(Backlog!$J$2:$J$188,MATCH(A142,Backlog!$A$2:$A$188,0)),INDEX(Backlog!$J$2:$J$188,MATCH(A142,Backlog!$A$2:$A$188,0))&amp;" [STALE]"))</f>
        <v>12</v>
      </c>
      <c r="H142" s="76" t="str">
        <f>IF(INDEX(Backlog!$AR$2:$AR$188,MATCH(A142,Backlog!$A$2:$A$188,0))="","",INDEX(Backlog!$AR$2:$AR$188,MATCH(A142,Backlog!$A$2:$A$188,0)))</f>
        <v>INHERITED ESTIMATE</v>
      </c>
      <c r="I142" s="76" t="s">
        <v>12739</v>
      </c>
      <c r="J142" s="76" t="s">
        <v>5786</v>
      </c>
      <c r="K142" s="76" t="s">
        <v>5736</v>
      </c>
      <c r="L142" s="76" t="s">
        <v>5719</v>
      </c>
    </row>
    <row r="143" spans="1:12" ht="69.95" customHeight="1">
      <c r="A143" s="76" t="s">
        <v>1522</v>
      </c>
      <c r="B143" s="76" t="s">
        <v>1473</v>
      </c>
      <c r="C143" s="76" t="str">
        <f>IF(INDEX(Backlog!$K$2:$K$188,MATCH(A143,Backlog!$A$2:$A$188,0))="","",INDEX(Backlog!$K$2:$K$188,MATCH(A143,Backlog!$A$2:$A$188,0)))</f>
        <v>Not Started</v>
      </c>
      <c r="D143" s="76" t="s">
        <v>5517</v>
      </c>
      <c r="E143" s="76" t="s">
        <v>5549</v>
      </c>
      <c r="F143" s="76" t="s">
        <v>5519</v>
      </c>
      <c r="G143" s="77">
        <f>IF(INDEX(Backlog!$J$2:$J$188,MATCH(A143,Backlog!$A$2:$A$188,0))="","UNESTIMATED",IF(INDEX(Backlog!$AM$2:$AM$188,MATCH(A143,Backlog!$A$2:$A$188,0))=1,INDEX(Backlog!$J$2:$J$188,MATCH(A143,Backlog!$A$2:$A$188,0)),INDEX(Backlog!$J$2:$J$188,MATCH(A143,Backlog!$A$2:$A$188,0))&amp;" [STALE]"))</f>
        <v>10</v>
      </c>
      <c r="H143" s="76" t="str">
        <f>IF(INDEX(Backlog!$AR$2:$AR$188,MATCH(A143,Backlog!$A$2:$A$188,0))="","",INDEX(Backlog!$AR$2:$AR$188,MATCH(A143,Backlog!$A$2:$A$188,0)))</f>
        <v>INHERITED ESTIMATE</v>
      </c>
      <c r="I143" s="76" t="s">
        <v>1526</v>
      </c>
      <c r="J143" s="76" t="s">
        <v>5787</v>
      </c>
      <c r="K143" s="76" t="s">
        <v>5736</v>
      </c>
      <c r="L143" s="76" t="s">
        <v>5719</v>
      </c>
    </row>
    <row r="144" spans="1:12" ht="69.95" customHeight="1">
      <c r="A144" s="76" t="s">
        <v>1529</v>
      </c>
      <c r="B144" s="76" t="s">
        <v>1473</v>
      </c>
      <c r="C144" s="76" t="str">
        <f>IF(INDEX(Backlog!$K$2:$K$188,MATCH(A144,Backlog!$A$2:$A$188,0))="","",INDEX(Backlog!$K$2:$K$188,MATCH(A144,Backlog!$A$2:$A$188,0)))</f>
        <v>Not Started</v>
      </c>
      <c r="D144" s="76" t="s">
        <v>5517</v>
      </c>
      <c r="E144" s="76" t="s">
        <v>5549</v>
      </c>
      <c r="F144" s="76" t="s">
        <v>5519</v>
      </c>
      <c r="G144" s="77">
        <f>IF(INDEX(Backlog!$J$2:$J$188,MATCH(A144,Backlog!$A$2:$A$188,0))="","UNESTIMATED",IF(INDEX(Backlog!$AM$2:$AM$188,MATCH(A144,Backlog!$A$2:$A$188,0))=1,INDEX(Backlog!$J$2:$J$188,MATCH(A144,Backlog!$A$2:$A$188,0)),INDEX(Backlog!$J$2:$J$188,MATCH(A144,Backlog!$A$2:$A$188,0))&amp;" [STALE]"))</f>
        <v>10</v>
      </c>
      <c r="H144" s="76" t="str">
        <f>IF(INDEX(Backlog!$AR$2:$AR$188,MATCH(A144,Backlog!$A$2:$A$188,0))="","",INDEX(Backlog!$AR$2:$AR$188,MATCH(A144,Backlog!$A$2:$A$188,0)))</f>
        <v>INHERITED ESTIMATE</v>
      </c>
      <c r="I144" s="76" t="s">
        <v>12740</v>
      </c>
      <c r="J144" s="76" t="s">
        <v>5788</v>
      </c>
      <c r="K144" s="76" t="s">
        <v>5521</v>
      </c>
      <c r="L144" s="76" t="s">
        <v>5522</v>
      </c>
    </row>
    <row r="145" spans="1:12" ht="69.95" customHeight="1">
      <c r="A145" s="76" t="s">
        <v>1535</v>
      </c>
      <c r="B145" s="76" t="s">
        <v>1473</v>
      </c>
      <c r="C145" s="76" t="str">
        <f>IF(INDEX(Backlog!$K$2:$K$188,MATCH(A145,Backlog!$A$2:$A$188,0))="","",INDEX(Backlog!$K$2:$K$188,MATCH(A145,Backlog!$A$2:$A$188,0)))</f>
        <v>Not Started</v>
      </c>
      <c r="D145" s="76" t="s">
        <v>5517</v>
      </c>
      <c r="E145" s="76" t="s">
        <v>5549</v>
      </c>
      <c r="F145" s="76" t="s">
        <v>5519</v>
      </c>
      <c r="G145" s="77">
        <f>IF(INDEX(Backlog!$J$2:$J$188,MATCH(A145,Backlog!$A$2:$A$188,0))="","UNESTIMATED",IF(INDEX(Backlog!$AM$2:$AM$188,MATCH(A145,Backlog!$A$2:$A$188,0))=1,INDEX(Backlog!$J$2:$J$188,MATCH(A145,Backlog!$A$2:$A$188,0)),INDEX(Backlog!$J$2:$J$188,MATCH(A145,Backlog!$A$2:$A$188,0))&amp;" [STALE]"))</f>
        <v>12</v>
      </c>
      <c r="H145" s="76" t="str">
        <f>IF(INDEX(Backlog!$AR$2:$AR$188,MATCH(A145,Backlog!$A$2:$A$188,0))="","",INDEX(Backlog!$AR$2:$AR$188,MATCH(A145,Backlog!$A$2:$A$188,0)))</f>
        <v>INHERITED ESTIMATE</v>
      </c>
      <c r="I145" s="76" t="s">
        <v>12741</v>
      </c>
      <c r="J145" s="76" t="s">
        <v>5789</v>
      </c>
      <c r="K145" s="76" t="s">
        <v>5521</v>
      </c>
      <c r="L145" s="76" t="s">
        <v>5522</v>
      </c>
    </row>
    <row r="146" spans="1:12" ht="69.95" customHeight="1">
      <c r="A146" s="76" t="s">
        <v>1542</v>
      </c>
      <c r="B146" s="76" t="s">
        <v>1473</v>
      </c>
      <c r="C146" s="76" t="str">
        <f>IF(INDEX(Backlog!$K$2:$K$188,MATCH(A146,Backlog!$A$2:$A$188,0))="","",INDEX(Backlog!$K$2:$K$188,MATCH(A146,Backlog!$A$2:$A$188,0)))</f>
        <v>Not Started</v>
      </c>
      <c r="D146" s="76" t="s">
        <v>5517</v>
      </c>
      <c r="E146" s="76" t="s">
        <v>5549</v>
      </c>
      <c r="F146" s="76" t="s">
        <v>5519</v>
      </c>
      <c r="G146" s="77">
        <f>IF(INDEX(Backlog!$J$2:$J$188,MATCH(A146,Backlog!$A$2:$A$188,0))="","UNESTIMATED",IF(INDEX(Backlog!$AM$2:$AM$188,MATCH(A146,Backlog!$A$2:$A$188,0))=1,INDEX(Backlog!$J$2:$J$188,MATCH(A146,Backlog!$A$2:$A$188,0)),INDEX(Backlog!$J$2:$J$188,MATCH(A146,Backlog!$A$2:$A$188,0))&amp;" [STALE]"))</f>
        <v>12</v>
      </c>
      <c r="H146" s="76" t="str">
        <f>IF(INDEX(Backlog!$AR$2:$AR$188,MATCH(A146,Backlog!$A$2:$A$188,0))="","",INDEX(Backlog!$AR$2:$AR$188,MATCH(A146,Backlog!$A$2:$A$188,0)))</f>
        <v>INHERITED ESTIMATE</v>
      </c>
      <c r="I146" s="76" t="s">
        <v>12742</v>
      </c>
      <c r="J146" s="76" t="s">
        <v>5790</v>
      </c>
      <c r="K146" s="76" t="s">
        <v>5521</v>
      </c>
      <c r="L146" s="76" t="s">
        <v>5522</v>
      </c>
    </row>
    <row r="147" spans="1:12" ht="69.95" customHeight="1">
      <c r="A147" s="76" t="s">
        <v>1550</v>
      </c>
      <c r="B147" s="76" t="s">
        <v>1473</v>
      </c>
      <c r="C147" s="76" t="str">
        <f>IF(INDEX(Backlog!$K$2:$K$188,MATCH(A147,Backlog!$A$2:$A$188,0))="","",INDEX(Backlog!$K$2:$K$188,MATCH(A147,Backlog!$A$2:$A$188,0)))</f>
        <v>Not Started</v>
      </c>
      <c r="D147" s="76" t="s">
        <v>5517</v>
      </c>
      <c r="E147" s="76" t="s">
        <v>5549</v>
      </c>
      <c r="F147" s="76" t="s">
        <v>5519</v>
      </c>
      <c r="G147" s="77">
        <f>IF(INDEX(Backlog!$J$2:$J$188,MATCH(A147,Backlog!$A$2:$A$188,0))="","UNESTIMATED",IF(INDEX(Backlog!$AM$2:$AM$188,MATCH(A147,Backlog!$A$2:$A$188,0))=1,INDEX(Backlog!$J$2:$J$188,MATCH(A147,Backlog!$A$2:$A$188,0)),INDEX(Backlog!$J$2:$J$188,MATCH(A147,Backlog!$A$2:$A$188,0))&amp;" [STALE]"))</f>
        <v>12</v>
      </c>
      <c r="H147" s="76" t="str">
        <f>IF(INDEX(Backlog!$AR$2:$AR$188,MATCH(A147,Backlog!$A$2:$A$188,0))="","",INDEX(Backlog!$AR$2:$AR$188,MATCH(A147,Backlog!$A$2:$A$188,0)))</f>
        <v>INHERITED ESTIMATE</v>
      </c>
      <c r="I147" s="76" t="s">
        <v>1542</v>
      </c>
      <c r="J147" s="76" t="s">
        <v>5791</v>
      </c>
      <c r="K147" s="76" t="s">
        <v>5521</v>
      </c>
      <c r="L147" s="76" t="s">
        <v>5522</v>
      </c>
    </row>
    <row r="148" spans="1:12" ht="69.95" customHeight="1">
      <c r="A148" s="76" t="s">
        <v>1557</v>
      </c>
      <c r="B148" s="76" t="s">
        <v>1473</v>
      </c>
      <c r="C148" s="76" t="str">
        <f>IF(INDEX(Backlog!$K$2:$K$188,MATCH(A148,Backlog!$A$2:$A$188,0))="","",INDEX(Backlog!$K$2:$K$188,MATCH(A148,Backlog!$A$2:$A$188,0)))</f>
        <v>Not Started</v>
      </c>
      <c r="D148" s="76" t="s">
        <v>5517</v>
      </c>
      <c r="E148" s="76" t="s">
        <v>5549</v>
      </c>
      <c r="F148" s="76" t="s">
        <v>5519</v>
      </c>
      <c r="G148" s="77">
        <f>IF(INDEX(Backlog!$J$2:$J$188,MATCH(A148,Backlog!$A$2:$A$188,0))="","UNESTIMATED",IF(INDEX(Backlog!$AM$2:$AM$188,MATCH(A148,Backlog!$A$2:$A$188,0))=1,INDEX(Backlog!$J$2:$J$188,MATCH(A148,Backlog!$A$2:$A$188,0)),INDEX(Backlog!$J$2:$J$188,MATCH(A148,Backlog!$A$2:$A$188,0))&amp;" [STALE]"))</f>
        <v>12</v>
      </c>
      <c r="H148" s="76" t="str">
        <f>IF(INDEX(Backlog!$AR$2:$AR$188,MATCH(A148,Backlog!$A$2:$A$188,0))="","",INDEX(Backlog!$AR$2:$AR$188,MATCH(A148,Backlog!$A$2:$A$188,0)))</f>
        <v>INHERITED ESTIMATE</v>
      </c>
      <c r="I148" s="76" t="s">
        <v>1561</v>
      </c>
      <c r="J148" s="76" t="s">
        <v>5792</v>
      </c>
      <c r="K148" s="76" t="s">
        <v>5521</v>
      </c>
      <c r="L148" s="76" t="s">
        <v>5522</v>
      </c>
    </row>
    <row r="149" spans="1:12" ht="69.95" customHeight="1">
      <c r="A149" s="76" t="s">
        <v>1564</v>
      </c>
      <c r="B149" s="76" t="s">
        <v>1473</v>
      </c>
      <c r="C149" s="76" t="str">
        <f>IF(INDEX(Backlog!$K$2:$K$188,MATCH(A149,Backlog!$A$2:$A$188,0))="","",INDEX(Backlog!$K$2:$K$188,MATCH(A149,Backlog!$A$2:$A$188,0)))</f>
        <v>Not Started</v>
      </c>
      <c r="D149" s="76" t="s">
        <v>5517</v>
      </c>
      <c r="E149" s="76" t="s">
        <v>5549</v>
      </c>
      <c r="F149" s="76" t="s">
        <v>5519</v>
      </c>
      <c r="G149" s="77">
        <f>IF(INDEX(Backlog!$J$2:$J$188,MATCH(A149,Backlog!$A$2:$A$188,0))="","UNESTIMATED",IF(INDEX(Backlog!$AM$2:$AM$188,MATCH(A149,Backlog!$A$2:$A$188,0))=1,INDEX(Backlog!$J$2:$J$188,MATCH(A149,Backlog!$A$2:$A$188,0)),INDEX(Backlog!$J$2:$J$188,MATCH(A149,Backlog!$A$2:$A$188,0))&amp;" [STALE]"))</f>
        <v>8</v>
      </c>
      <c r="H149" s="76" t="str">
        <f>IF(INDEX(Backlog!$AR$2:$AR$188,MATCH(A149,Backlog!$A$2:$A$188,0))="","",INDEX(Backlog!$AR$2:$AR$188,MATCH(A149,Backlog!$A$2:$A$188,0)))</f>
        <v>INHERITED ESTIMATE</v>
      </c>
      <c r="I149" s="76" t="s">
        <v>1568</v>
      </c>
      <c r="J149" s="76" t="s">
        <v>5793</v>
      </c>
      <c r="K149" s="76" t="s">
        <v>5521</v>
      </c>
      <c r="L149" s="76" t="s">
        <v>5522</v>
      </c>
    </row>
    <row r="150" spans="1:12" ht="69.95" customHeight="1">
      <c r="A150" s="76" t="s">
        <v>956</v>
      </c>
      <c r="B150" s="76" t="s">
        <v>1473</v>
      </c>
      <c r="C150" s="76" t="str">
        <f>IF(INDEX(Backlog!$K$2:$K$188,MATCH(A150,Backlog!$A$2:$A$188,0))="","",INDEX(Backlog!$K$2:$K$188,MATCH(A150,Backlog!$A$2:$A$188,0)))</f>
        <v>Not Started</v>
      </c>
      <c r="D150" s="76" t="s">
        <v>5517</v>
      </c>
      <c r="E150" s="76" t="s">
        <v>5549</v>
      </c>
      <c r="F150" s="76" t="s">
        <v>5519</v>
      </c>
      <c r="G150" s="77">
        <f>IF(INDEX(Backlog!$J$2:$J$188,MATCH(A150,Backlog!$A$2:$A$188,0))="","UNESTIMATED",IF(INDEX(Backlog!$AM$2:$AM$188,MATCH(A150,Backlog!$A$2:$A$188,0))=1,INDEX(Backlog!$J$2:$J$188,MATCH(A150,Backlog!$A$2:$A$188,0)),INDEX(Backlog!$J$2:$J$188,MATCH(A150,Backlog!$A$2:$A$188,0))&amp;" [STALE]"))</f>
        <v>8</v>
      </c>
      <c r="H150" s="76" t="str">
        <f>IF(INDEX(Backlog!$AR$2:$AR$188,MATCH(A150,Backlog!$A$2:$A$188,0))="","",INDEX(Backlog!$AR$2:$AR$188,MATCH(A150,Backlog!$A$2:$A$188,0)))</f>
        <v>INHERITED ESTIMATE</v>
      </c>
      <c r="I150" s="76" t="s">
        <v>1564</v>
      </c>
      <c r="J150" s="76" t="s">
        <v>5794</v>
      </c>
      <c r="K150" s="76" t="s">
        <v>5521</v>
      </c>
      <c r="L150" s="76" t="s">
        <v>5522</v>
      </c>
    </row>
    <row r="151" spans="1:12" ht="69.95" customHeight="1">
      <c r="A151" s="76" t="s">
        <v>1577</v>
      </c>
      <c r="B151" s="76" t="s">
        <v>1473</v>
      </c>
      <c r="C151" s="76" t="str">
        <f>IF(INDEX(Backlog!$K$2:$K$188,MATCH(A151,Backlog!$A$2:$A$188,0))="","",INDEX(Backlog!$K$2:$K$188,MATCH(A151,Backlog!$A$2:$A$188,0)))</f>
        <v>Not Started</v>
      </c>
      <c r="D151" s="76" t="s">
        <v>5517</v>
      </c>
      <c r="E151" s="76" t="s">
        <v>5549</v>
      </c>
      <c r="F151" s="76" t="s">
        <v>5519</v>
      </c>
      <c r="G151" s="77">
        <f>IF(INDEX(Backlog!$J$2:$J$188,MATCH(A151,Backlog!$A$2:$A$188,0))="","UNESTIMATED",IF(INDEX(Backlog!$AM$2:$AM$188,MATCH(A151,Backlog!$A$2:$A$188,0))=1,INDEX(Backlog!$J$2:$J$188,MATCH(A151,Backlog!$A$2:$A$188,0)),INDEX(Backlog!$J$2:$J$188,MATCH(A151,Backlog!$A$2:$A$188,0))&amp;" [STALE]"))</f>
        <v>8</v>
      </c>
      <c r="H151" s="76" t="str">
        <f>IF(INDEX(Backlog!$AR$2:$AR$188,MATCH(A151,Backlog!$A$2:$A$188,0))="","",INDEX(Backlog!$AR$2:$AR$188,MATCH(A151,Backlog!$A$2:$A$188,0)))</f>
        <v>INHERITED ESTIMATE</v>
      </c>
      <c r="I151" s="76" t="s">
        <v>956</v>
      </c>
      <c r="J151" s="76" t="s">
        <v>5795</v>
      </c>
      <c r="K151" s="76" t="s">
        <v>5521</v>
      </c>
      <c r="L151" s="76" t="s">
        <v>5522</v>
      </c>
    </row>
    <row r="152" spans="1:12" ht="69.95" customHeight="1">
      <c r="A152" s="76" t="s">
        <v>1586</v>
      </c>
      <c r="B152" s="76" t="s">
        <v>1473</v>
      </c>
      <c r="C152" s="76" t="str">
        <f>IF(INDEX(Backlog!$K$2:$K$188,MATCH(A152,Backlog!$A$2:$A$188,0))="","",INDEX(Backlog!$K$2:$K$188,MATCH(A152,Backlog!$A$2:$A$188,0)))</f>
        <v>Not Started</v>
      </c>
      <c r="D152" s="76" t="s">
        <v>3375</v>
      </c>
      <c r="E152" s="76" t="s">
        <v>5549</v>
      </c>
      <c r="F152" s="76" t="s">
        <v>5796</v>
      </c>
      <c r="G152" s="77" t="str">
        <f>IF(INDEX(Backlog!$J$2:$J$188,MATCH(A152,Backlog!$A$2:$A$188,0))="","UNESTIMATED",IF(INDEX(Backlog!$AM$2:$AM$188,MATCH(A152,Backlog!$A$2:$A$188,0))=1,INDEX(Backlog!$J$2:$J$188,MATCH(A152,Backlog!$A$2:$A$188,0)),INDEX(Backlog!$J$2:$J$188,MATCH(A152,Backlog!$A$2:$A$188,0))&amp;" [STALE]"))</f>
        <v>8 [STALE]</v>
      </c>
      <c r="H152" s="76" t="s">
        <v>5797</v>
      </c>
      <c r="I152" s="76" t="s">
        <v>1577</v>
      </c>
      <c r="J152" s="76" t="s">
        <v>3378</v>
      </c>
      <c r="K152" s="76" t="s">
        <v>5611</v>
      </c>
      <c r="L152" s="76" t="s">
        <v>5798</v>
      </c>
    </row>
    <row r="153" spans="1:12" ht="69.95" customHeight="1">
      <c r="A153" s="76" t="s">
        <v>1593</v>
      </c>
      <c r="B153" s="76" t="s">
        <v>1473</v>
      </c>
      <c r="C153" s="76" t="str">
        <f>IF(INDEX(Backlog!$K$2:$K$188,MATCH(A153,Backlog!$A$2:$A$188,0))="","",INDEX(Backlog!$K$2:$K$188,MATCH(A153,Backlog!$A$2:$A$188,0)))</f>
        <v>Not Started</v>
      </c>
      <c r="D153" s="76" t="s">
        <v>3379</v>
      </c>
      <c r="E153" s="76" t="s">
        <v>5549</v>
      </c>
      <c r="F153" s="76" t="s">
        <v>5799</v>
      </c>
      <c r="G153" s="77" t="str">
        <f>IF(INDEX(Backlog!$J$2:$J$188,MATCH(A153,Backlog!$A$2:$A$188,0))="","UNESTIMATED",IF(INDEX(Backlog!$AM$2:$AM$188,MATCH(A153,Backlog!$A$2:$A$188,0))=1,INDEX(Backlog!$J$2:$J$188,MATCH(A153,Backlog!$A$2:$A$188,0)),INDEX(Backlog!$J$2:$J$188,MATCH(A153,Backlog!$A$2:$A$188,0))&amp;" [STALE]"))</f>
        <v>10 [STALE]</v>
      </c>
      <c r="H153" s="76" t="s">
        <v>5750</v>
      </c>
      <c r="I153" s="76" t="s">
        <v>12743</v>
      </c>
      <c r="J153" s="76" t="s">
        <v>3382</v>
      </c>
      <c r="K153" s="76" t="s">
        <v>5611</v>
      </c>
      <c r="L153" s="76" t="s">
        <v>5800</v>
      </c>
    </row>
    <row r="154" spans="1:12" ht="69.95" customHeight="1">
      <c r="A154" s="76" t="s">
        <v>1600</v>
      </c>
      <c r="B154" s="76" t="s">
        <v>1473</v>
      </c>
      <c r="C154" s="76" t="str">
        <f>IF(INDEX(Backlog!$K$2:$K$188,MATCH(A154,Backlog!$A$2:$A$188,0))="","",INDEX(Backlog!$K$2:$K$188,MATCH(A154,Backlog!$A$2:$A$188,0)))</f>
        <v>Not Started</v>
      </c>
      <c r="D154" s="76" t="s">
        <v>5517</v>
      </c>
      <c r="E154" s="76" t="s">
        <v>5549</v>
      </c>
      <c r="F154" s="76" t="s">
        <v>5519</v>
      </c>
      <c r="G154" s="77">
        <f>IF(INDEX(Backlog!$J$2:$J$188,MATCH(A154,Backlog!$A$2:$A$188,0))="","UNESTIMATED",IF(INDEX(Backlog!$AM$2:$AM$188,MATCH(A154,Backlog!$A$2:$A$188,0))=1,INDEX(Backlog!$J$2:$J$188,MATCH(A154,Backlog!$A$2:$A$188,0)),INDEX(Backlog!$J$2:$J$188,MATCH(A154,Backlog!$A$2:$A$188,0))&amp;" [STALE]"))</f>
        <v>12</v>
      </c>
      <c r="H154" s="76" t="str">
        <f>IF(INDEX(Backlog!$AR$2:$AR$188,MATCH(A154,Backlog!$A$2:$A$188,0))="","",INDEX(Backlog!$AR$2:$AR$188,MATCH(A154,Backlog!$A$2:$A$188,0)))</f>
        <v>INHERITED ESTIMATE</v>
      </c>
      <c r="I154" s="76" t="s">
        <v>12744</v>
      </c>
      <c r="J154" s="76" t="s">
        <v>5801</v>
      </c>
      <c r="K154" s="76" t="s">
        <v>5736</v>
      </c>
      <c r="L154" s="76" t="s">
        <v>5719</v>
      </c>
    </row>
    <row r="155" spans="1:12" ht="69.95" customHeight="1">
      <c r="A155" s="76" t="s">
        <v>1607</v>
      </c>
      <c r="B155" s="76" t="s">
        <v>1473</v>
      </c>
      <c r="C155" s="76" t="str">
        <f>IF(INDEX(Backlog!$K$2:$K$188,MATCH(A155,Backlog!$A$2:$A$188,0))="","",INDEX(Backlog!$K$2:$K$188,MATCH(A155,Backlog!$A$2:$A$188,0)))</f>
        <v>Not Started</v>
      </c>
      <c r="D155" s="76" t="s">
        <v>5517</v>
      </c>
      <c r="E155" s="76" t="s">
        <v>5549</v>
      </c>
      <c r="F155" s="76" t="s">
        <v>5519</v>
      </c>
      <c r="G155" s="77">
        <f>IF(INDEX(Backlog!$J$2:$J$188,MATCH(A155,Backlog!$A$2:$A$188,0))="","UNESTIMATED",IF(INDEX(Backlog!$AM$2:$AM$188,MATCH(A155,Backlog!$A$2:$A$188,0))=1,INDEX(Backlog!$J$2:$J$188,MATCH(A155,Backlog!$A$2:$A$188,0)),INDEX(Backlog!$J$2:$J$188,MATCH(A155,Backlog!$A$2:$A$188,0))&amp;" [STALE]"))</f>
        <v>12</v>
      </c>
      <c r="H155" s="76" t="str">
        <f>IF(INDEX(Backlog!$AR$2:$AR$188,MATCH(A155,Backlog!$A$2:$A$188,0))="","",INDEX(Backlog!$AR$2:$AR$188,MATCH(A155,Backlog!$A$2:$A$188,0)))</f>
        <v>INHERITED ESTIMATE</v>
      </c>
      <c r="I155" s="76" t="str">
        <f>""</f>
        <v/>
      </c>
      <c r="J155" s="76" t="s">
        <v>5802</v>
      </c>
      <c r="K155" s="76" t="s">
        <v>5521</v>
      </c>
      <c r="L155" s="76" t="s">
        <v>5522</v>
      </c>
    </row>
    <row r="156" spans="1:12" ht="69.95" customHeight="1">
      <c r="A156" s="76" t="s">
        <v>1614</v>
      </c>
      <c r="B156" s="76" t="s">
        <v>1473</v>
      </c>
      <c r="C156" s="76" t="str">
        <f>IF(INDEX(Backlog!$K$2:$K$188,MATCH(A156,Backlog!$A$2:$A$188,0))="","",INDEX(Backlog!$K$2:$K$188,MATCH(A156,Backlog!$A$2:$A$188,0)))</f>
        <v>Not Started</v>
      </c>
      <c r="D156" s="76" t="s">
        <v>5517</v>
      </c>
      <c r="E156" s="76" t="s">
        <v>5549</v>
      </c>
      <c r="F156" s="76" t="s">
        <v>5519</v>
      </c>
      <c r="G156" s="77">
        <f>IF(INDEX(Backlog!$J$2:$J$188,MATCH(A156,Backlog!$A$2:$A$188,0))="","UNESTIMATED",IF(INDEX(Backlog!$AM$2:$AM$188,MATCH(A156,Backlog!$A$2:$A$188,0))=1,INDEX(Backlog!$J$2:$J$188,MATCH(A156,Backlog!$A$2:$A$188,0)),INDEX(Backlog!$J$2:$J$188,MATCH(A156,Backlog!$A$2:$A$188,0))&amp;" [STALE]"))</f>
        <v>12</v>
      </c>
      <c r="H156" s="76" t="str">
        <f>IF(INDEX(Backlog!$AR$2:$AR$188,MATCH(A156,Backlog!$A$2:$A$188,0))="","",INDEX(Backlog!$AR$2:$AR$188,MATCH(A156,Backlog!$A$2:$A$188,0)))</f>
        <v>INHERITED ESTIMATE</v>
      </c>
      <c r="I156" s="76" t="str">
        <f>""</f>
        <v/>
      </c>
      <c r="J156" s="76" t="s">
        <v>5803</v>
      </c>
      <c r="K156" s="76" t="s">
        <v>5521</v>
      </c>
      <c r="L156" s="76" t="s">
        <v>5522</v>
      </c>
    </row>
    <row r="157" spans="1:12" ht="69.95" customHeight="1">
      <c r="A157" s="76" t="s">
        <v>1095</v>
      </c>
      <c r="B157" s="76" t="s">
        <v>1473</v>
      </c>
      <c r="C157" s="76" t="str">
        <f>IF(INDEX(Backlog!$K$2:$K$188,MATCH(A157,Backlog!$A$2:$A$188,0))="","",INDEX(Backlog!$K$2:$K$188,MATCH(A157,Backlog!$A$2:$A$188,0)))</f>
        <v>Not Started</v>
      </c>
      <c r="D157" s="76" t="s">
        <v>5517</v>
      </c>
      <c r="E157" s="76" t="s">
        <v>5549</v>
      </c>
      <c r="F157" s="76" t="s">
        <v>5519</v>
      </c>
      <c r="G157" s="77">
        <f>IF(INDEX(Backlog!$J$2:$J$188,MATCH(A157,Backlog!$A$2:$A$188,0))="","UNESTIMATED",IF(INDEX(Backlog!$AM$2:$AM$188,MATCH(A157,Backlog!$A$2:$A$188,0))=1,INDEX(Backlog!$J$2:$J$188,MATCH(A157,Backlog!$A$2:$A$188,0)),INDEX(Backlog!$J$2:$J$188,MATCH(A157,Backlog!$A$2:$A$188,0))&amp;" [STALE]"))</f>
        <v>12</v>
      </c>
      <c r="H157" s="76" t="str">
        <f>IF(INDEX(Backlog!$AR$2:$AR$188,MATCH(A157,Backlog!$A$2:$A$188,0))="","",INDEX(Backlog!$AR$2:$AR$188,MATCH(A157,Backlog!$A$2:$A$188,0)))</f>
        <v>INHERITED ESTIMATE</v>
      </c>
      <c r="I157" s="76" t="s">
        <v>12745</v>
      </c>
      <c r="J157" s="76" t="s">
        <v>5804</v>
      </c>
      <c r="K157" s="76" t="s">
        <v>5521</v>
      </c>
      <c r="L157" s="76" t="s">
        <v>5522</v>
      </c>
    </row>
    <row r="158" spans="1:12" ht="69.95" customHeight="1">
      <c r="A158" s="76" t="s">
        <v>1625</v>
      </c>
      <c r="B158" s="76" t="s">
        <v>1473</v>
      </c>
      <c r="C158" s="76" t="str">
        <f>IF(INDEX(Backlog!$K$2:$K$188,MATCH(A158,Backlog!$A$2:$A$188,0))="","",INDEX(Backlog!$K$2:$K$188,MATCH(A158,Backlog!$A$2:$A$188,0)))</f>
        <v>Not Started</v>
      </c>
      <c r="D158" s="76" t="s">
        <v>3383</v>
      </c>
      <c r="E158" s="76" t="s">
        <v>5549</v>
      </c>
      <c r="F158" s="76" t="s">
        <v>5805</v>
      </c>
      <c r="G158" s="77" t="str">
        <f>IF(INDEX(Backlog!$J$2:$J$188,MATCH(A158,Backlog!$A$2:$A$188,0))="","UNESTIMATED",IF(INDEX(Backlog!$AM$2:$AM$188,MATCH(A158,Backlog!$A$2:$A$188,0))=1,INDEX(Backlog!$J$2:$J$188,MATCH(A158,Backlog!$A$2:$A$188,0)),INDEX(Backlog!$J$2:$J$188,MATCH(A158,Backlog!$A$2:$A$188,0))&amp;" [STALE]"))</f>
        <v>12 [STALE]</v>
      </c>
      <c r="H158" s="76" t="s">
        <v>5750</v>
      </c>
      <c r="I158" s="76" t="str">
        <f>""</f>
        <v/>
      </c>
      <c r="J158" s="76" t="s">
        <v>3386</v>
      </c>
      <c r="K158" s="76" t="s">
        <v>5611</v>
      </c>
      <c r="L158" s="76" t="s">
        <v>5806</v>
      </c>
    </row>
    <row r="159" spans="1:12" ht="69.95" customHeight="1">
      <c r="A159" s="76" t="s">
        <v>1633</v>
      </c>
      <c r="B159" s="76" t="s">
        <v>1473</v>
      </c>
      <c r="C159" s="76" t="str">
        <f>IF(INDEX(Backlog!$K$2:$K$188,MATCH(A159,Backlog!$A$2:$A$188,0))="","",INDEX(Backlog!$K$2:$K$188,MATCH(A159,Backlog!$A$2:$A$188,0)))</f>
        <v>Not Started</v>
      </c>
      <c r="D159" s="76" t="s">
        <v>5517</v>
      </c>
      <c r="E159" s="76" t="s">
        <v>5549</v>
      </c>
      <c r="F159" s="76" t="s">
        <v>5519</v>
      </c>
      <c r="G159" s="77">
        <f>IF(INDEX(Backlog!$J$2:$J$188,MATCH(A159,Backlog!$A$2:$A$188,0))="","UNESTIMATED",IF(INDEX(Backlog!$AM$2:$AM$188,MATCH(A159,Backlog!$A$2:$A$188,0))=1,INDEX(Backlog!$J$2:$J$188,MATCH(A159,Backlog!$A$2:$A$188,0)),INDEX(Backlog!$J$2:$J$188,MATCH(A159,Backlog!$A$2:$A$188,0))&amp;" [STALE]"))</f>
        <v>12</v>
      </c>
      <c r="H159" s="76" t="str">
        <f>IF(INDEX(Backlog!$AR$2:$AR$188,MATCH(A159,Backlog!$A$2:$A$188,0))="","",INDEX(Backlog!$AR$2:$AR$188,MATCH(A159,Backlog!$A$2:$A$188,0)))</f>
        <v>INHERITED ESTIMATE</v>
      </c>
      <c r="I159" s="76" t="s">
        <v>12737</v>
      </c>
      <c r="J159" s="76" t="s">
        <v>5807</v>
      </c>
      <c r="K159" s="76" t="s">
        <v>5736</v>
      </c>
      <c r="L159" s="76" t="s">
        <v>5719</v>
      </c>
    </row>
    <row r="160" spans="1:12" ht="69.95" customHeight="1">
      <c r="A160" s="76" t="s">
        <v>1641</v>
      </c>
      <c r="B160" s="76" t="s">
        <v>1473</v>
      </c>
      <c r="C160" s="76" t="str">
        <f>IF(INDEX(Backlog!$K$2:$K$188,MATCH(A160,Backlog!$A$2:$A$188,0))="","",INDEX(Backlog!$K$2:$K$188,MATCH(A160,Backlog!$A$2:$A$188,0)))</f>
        <v>Not Started</v>
      </c>
      <c r="D160" s="76" t="s">
        <v>5517</v>
      </c>
      <c r="E160" s="76" t="s">
        <v>5549</v>
      </c>
      <c r="F160" s="76" t="s">
        <v>5519</v>
      </c>
      <c r="G160" s="77">
        <f>IF(INDEX(Backlog!$J$2:$J$188,MATCH(A160,Backlog!$A$2:$A$188,0))="","UNESTIMATED",IF(INDEX(Backlog!$AM$2:$AM$188,MATCH(A160,Backlog!$A$2:$A$188,0))=1,INDEX(Backlog!$J$2:$J$188,MATCH(A160,Backlog!$A$2:$A$188,0)),INDEX(Backlog!$J$2:$J$188,MATCH(A160,Backlog!$A$2:$A$188,0))&amp;" [STALE]"))</f>
        <v>12</v>
      </c>
      <c r="H160" s="76" t="str">
        <f>IF(INDEX(Backlog!$AR$2:$AR$188,MATCH(A160,Backlog!$A$2:$A$188,0))="","",INDEX(Backlog!$AR$2:$AR$188,MATCH(A160,Backlog!$A$2:$A$188,0)))</f>
        <v>INHERITED ESTIMATE</v>
      </c>
      <c r="I160" s="76" t="s">
        <v>12746</v>
      </c>
      <c r="J160" s="76" t="s">
        <v>5808</v>
      </c>
      <c r="K160" s="76" t="s">
        <v>5521</v>
      </c>
      <c r="L160" s="76" t="s">
        <v>5522</v>
      </c>
    </row>
    <row r="161" spans="1:12" ht="69.95" customHeight="1">
      <c r="A161" s="76" t="s">
        <v>1649</v>
      </c>
      <c r="B161" s="76" t="s">
        <v>1473</v>
      </c>
      <c r="C161" s="76" t="str">
        <f>IF(INDEX(Backlog!$K$2:$K$188,MATCH(A161,Backlog!$A$2:$A$188,0))="","",INDEX(Backlog!$K$2:$K$188,MATCH(A161,Backlog!$A$2:$A$188,0)))</f>
        <v>Not Started</v>
      </c>
      <c r="D161" s="76" t="s">
        <v>5517</v>
      </c>
      <c r="E161" s="76" t="s">
        <v>5549</v>
      </c>
      <c r="F161" s="76" t="s">
        <v>5519</v>
      </c>
      <c r="G161" s="77">
        <f>IF(INDEX(Backlog!$J$2:$J$188,MATCH(A161,Backlog!$A$2:$A$188,0))="","UNESTIMATED",IF(INDEX(Backlog!$AM$2:$AM$188,MATCH(A161,Backlog!$A$2:$A$188,0))=1,INDEX(Backlog!$J$2:$J$188,MATCH(A161,Backlog!$A$2:$A$188,0)),INDEX(Backlog!$J$2:$J$188,MATCH(A161,Backlog!$A$2:$A$188,0))&amp;" [STALE]"))</f>
        <v>12</v>
      </c>
      <c r="H161" s="76" t="str">
        <f>IF(INDEX(Backlog!$AR$2:$AR$188,MATCH(A161,Backlog!$A$2:$A$188,0))="","",INDEX(Backlog!$AR$2:$AR$188,MATCH(A161,Backlog!$A$2:$A$188,0)))</f>
        <v>INHERITED ESTIMATE</v>
      </c>
      <c r="I161" s="76" t="s">
        <v>12747</v>
      </c>
      <c r="J161" s="76" t="s">
        <v>5809</v>
      </c>
      <c r="K161" s="76" t="s">
        <v>5736</v>
      </c>
      <c r="L161" s="76" t="s">
        <v>5719</v>
      </c>
    </row>
    <row r="162" spans="1:12" ht="69.95" customHeight="1">
      <c r="A162" s="76" t="s">
        <v>1655</v>
      </c>
      <c r="B162" s="76" t="s">
        <v>1473</v>
      </c>
      <c r="C162" s="76" t="str">
        <f>IF(INDEX(Backlog!$K$2:$K$188,MATCH(A162,Backlog!$A$2:$A$188,0))="","",INDEX(Backlog!$K$2:$K$188,MATCH(A162,Backlog!$A$2:$A$188,0)))</f>
        <v>Not Started</v>
      </c>
      <c r="D162" s="76" t="s">
        <v>3387</v>
      </c>
      <c r="E162" s="76" t="s">
        <v>5549</v>
      </c>
      <c r="F162" s="76" t="s">
        <v>5810</v>
      </c>
      <c r="G162" s="77" t="str">
        <f>IF(INDEX(Backlog!$J$2:$J$188,MATCH(A162,Backlog!$A$2:$A$188,0))="","UNESTIMATED",IF(INDEX(Backlog!$AM$2:$AM$188,MATCH(A162,Backlog!$A$2:$A$188,0))=1,INDEX(Backlog!$J$2:$J$188,MATCH(A162,Backlog!$A$2:$A$188,0)),INDEX(Backlog!$J$2:$J$188,MATCH(A162,Backlog!$A$2:$A$188,0))&amp;" [STALE]"))</f>
        <v>12 [STALE]</v>
      </c>
      <c r="H162" s="76" t="s">
        <v>5750</v>
      </c>
      <c r="I162" s="76" t="s">
        <v>12748</v>
      </c>
      <c r="J162" s="76" t="s">
        <v>3390</v>
      </c>
      <c r="K162" s="76" t="s">
        <v>5811</v>
      </c>
      <c r="L162" s="76" t="s">
        <v>5812</v>
      </c>
    </row>
    <row r="163" spans="1:12" ht="69.95" customHeight="1">
      <c r="A163" s="76" t="s">
        <v>912</v>
      </c>
      <c r="B163" s="76" t="s">
        <v>1473</v>
      </c>
      <c r="C163" s="76" t="str">
        <f>IF(INDEX(Backlog!$K$2:$K$188,MATCH(A163,Backlog!$A$2:$A$188,0))="","",INDEX(Backlog!$K$2:$K$188,MATCH(A163,Backlog!$A$2:$A$188,0)))</f>
        <v>Not Started</v>
      </c>
      <c r="D163" s="76" t="s">
        <v>5517</v>
      </c>
      <c r="E163" s="76" t="s">
        <v>5549</v>
      </c>
      <c r="F163" s="76" t="s">
        <v>5519</v>
      </c>
      <c r="G163" s="77">
        <f>IF(INDEX(Backlog!$J$2:$J$188,MATCH(A163,Backlog!$A$2:$A$188,0))="","UNESTIMATED",IF(INDEX(Backlog!$AM$2:$AM$188,MATCH(A163,Backlog!$A$2:$A$188,0))=1,INDEX(Backlog!$J$2:$J$188,MATCH(A163,Backlog!$A$2:$A$188,0)),INDEX(Backlog!$J$2:$J$188,MATCH(A163,Backlog!$A$2:$A$188,0))&amp;" [STALE]"))</f>
        <v>12</v>
      </c>
      <c r="H163" s="76" t="str">
        <f>IF(INDEX(Backlog!$AR$2:$AR$188,MATCH(A163,Backlog!$A$2:$A$188,0))="","",INDEX(Backlog!$AR$2:$AR$188,MATCH(A163,Backlog!$A$2:$A$188,0)))</f>
        <v>INHERITED ESTIMATE</v>
      </c>
      <c r="I163" s="76" t="s">
        <v>12749</v>
      </c>
      <c r="J163" s="76" t="s">
        <v>5813</v>
      </c>
      <c r="K163" s="76" t="s">
        <v>5521</v>
      </c>
      <c r="L163" s="76" t="s">
        <v>5522</v>
      </c>
    </row>
    <row r="164" spans="1:12" ht="69.95" customHeight="1">
      <c r="A164" s="76" t="s">
        <v>1669</v>
      </c>
      <c r="B164" s="76" t="s">
        <v>1473</v>
      </c>
      <c r="C164" s="76" t="str">
        <f>IF(INDEX(Backlog!$K$2:$K$188,MATCH(A164,Backlog!$A$2:$A$188,0))="","",INDEX(Backlog!$K$2:$K$188,MATCH(A164,Backlog!$A$2:$A$188,0)))</f>
        <v>Not Started</v>
      </c>
      <c r="D164" s="76" t="s">
        <v>5517</v>
      </c>
      <c r="E164" s="76" t="s">
        <v>5549</v>
      </c>
      <c r="F164" s="76" t="s">
        <v>5519</v>
      </c>
      <c r="G164" s="77">
        <f>IF(INDEX(Backlog!$J$2:$J$188,MATCH(A164,Backlog!$A$2:$A$188,0))="","UNESTIMATED",IF(INDEX(Backlog!$AM$2:$AM$188,MATCH(A164,Backlog!$A$2:$A$188,0))=1,INDEX(Backlog!$J$2:$J$188,MATCH(A164,Backlog!$A$2:$A$188,0)),INDEX(Backlog!$J$2:$J$188,MATCH(A164,Backlog!$A$2:$A$188,0))&amp;" [STALE]"))</f>
        <v>10</v>
      </c>
      <c r="H164" s="76" t="str">
        <f>IF(INDEX(Backlog!$AR$2:$AR$188,MATCH(A164,Backlog!$A$2:$A$188,0))="","",INDEX(Backlog!$AR$2:$AR$188,MATCH(A164,Backlog!$A$2:$A$188,0)))</f>
        <v>INHERITED ESTIMATE</v>
      </c>
      <c r="I164" s="76" t="s">
        <v>1674</v>
      </c>
      <c r="J164" s="76" t="s">
        <v>5814</v>
      </c>
      <c r="K164" s="76" t="s">
        <v>5521</v>
      </c>
      <c r="L164" s="76" t="s">
        <v>5522</v>
      </c>
    </row>
    <row r="165" spans="1:12" ht="69.95" customHeight="1">
      <c r="A165" s="76" t="s">
        <v>1562</v>
      </c>
      <c r="B165" s="76" t="s">
        <v>1473</v>
      </c>
      <c r="C165" s="76" t="str">
        <f>IF(INDEX(Backlog!$K$2:$K$188,MATCH(A165,Backlog!$A$2:$A$188,0))="","",INDEX(Backlog!$K$2:$K$188,MATCH(A165,Backlog!$A$2:$A$188,0)))</f>
        <v>Not Started</v>
      </c>
      <c r="D165" s="76" t="s">
        <v>5517</v>
      </c>
      <c r="E165" s="76" t="s">
        <v>5549</v>
      </c>
      <c r="F165" s="76" t="s">
        <v>5519</v>
      </c>
      <c r="G165" s="77">
        <f>IF(INDEX(Backlog!$J$2:$J$188,MATCH(A165,Backlog!$A$2:$A$188,0))="","UNESTIMATED",IF(INDEX(Backlog!$AM$2:$AM$188,MATCH(A165,Backlog!$A$2:$A$188,0))=1,INDEX(Backlog!$J$2:$J$188,MATCH(A165,Backlog!$A$2:$A$188,0)),INDEX(Backlog!$J$2:$J$188,MATCH(A165,Backlog!$A$2:$A$188,0))&amp;" [STALE]"))</f>
        <v>12</v>
      </c>
      <c r="H165" s="76" t="str">
        <f>IF(INDEX(Backlog!$AR$2:$AR$188,MATCH(A165,Backlog!$A$2:$A$188,0))="","",INDEX(Backlog!$AR$2:$AR$188,MATCH(A165,Backlog!$A$2:$A$188,0)))</f>
        <v>INHERITED ESTIMATE</v>
      </c>
      <c r="I165" s="76" t="s">
        <v>1682</v>
      </c>
      <c r="J165" s="76" t="s">
        <v>5815</v>
      </c>
      <c r="K165" s="76" t="s">
        <v>5521</v>
      </c>
      <c r="L165" s="76" t="s">
        <v>5522</v>
      </c>
    </row>
    <row r="166" spans="1:12" ht="69.95" customHeight="1">
      <c r="A166" s="76" t="s">
        <v>1685</v>
      </c>
      <c r="B166" s="76" t="s">
        <v>1473</v>
      </c>
      <c r="C166" s="76" t="str">
        <f>IF(INDEX(Backlog!$K$2:$K$188,MATCH(A166,Backlog!$A$2:$A$188,0))="","",INDEX(Backlog!$K$2:$K$188,MATCH(A166,Backlog!$A$2:$A$188,0)))</f>
        <v>Not Started</v>
      </c>
      <c r="D166" s="76" t="s">
        <v>3391</v>
      </c>
      <c r="E166" s="76" t="s">
        <v>5549</v>
      </c>
      <c r="F166" s="76" t="s">
        <v>5816</v>
      </c>
      <c r="G166" s="77" t="str">
        <f>IF(INDEX(Backlog!$J$2:$J$188,MATCH(A166,Backlog!$A$2:$A$188,0))="","UNESTIMATED",IF(INDEX(Backlog!$AM$2:$AM$188,MATCH(A166,Backlog!$A$2:$A$188,0))=1,INDEX(Backlog!$J$2:$J$188,MATCH(A166,Backlog!$A$2:$A$188,0)),INDEX(Backlog!$J$2:$J$188,MATCH(A166,Backlog!$A$2:$A$188,0))&amp;" [STALE]"))</f>
        <v>12 [STALE]</v>
      </c>
      <c r="H166" s="76" t="s">
        <v>5750</v>
      </c>
      <c r="I166" s="76" t="s">
        <v>1690</v>
      </c>
      <c r="J166" s="76" t="s">
        <v>3394</v>
      </c>
      <c r="K166" s="76" t="s">
        <v>5611</v>
      </c>
      <c r="L166" s="76" t="s">
        <v>5817</v>
      </c>
    </row>
    <row r="167" spans="1:12" ht="69.95" customHeight="1">
      <c r="A167" s="76" t="s">
        <v>1695</v>
      </c>
      <c r="B167" s="76" t="s">
        <v>1473</v>
      </c>
      <c r="C167" s="76" t="str">
        <f>IF(INDEX(Backlog!$K$2:$K$188,MATCH(A167,Backlog!$A$2:$A$188,0))="","",INDEX(Backlog!$K$2:$K$188,MATCH(A167,Backlog!$A$2:$A$188,0)))</f>
        <v>Not Started</v>
      </c>
      <c r="D167" s="76" t="s">
        <v>5517</v>
      </c>
      <c r="E167" s="76" t="s">
        <v>5549</v>
      </c>
      <c r="F167" s="76" t="s">
        <v>5519</v>
      </c>
      <c r="G167" s="77">
        <f>IF(INDEX(Backlog!$J$2:$J$188,MATCH(A167,Backlog!$A$2:$A$188,0))="","UNESTIMATED",IF(INDEX(Backlog!$AM$2:$AM$188,MATCH(A167,Backlog!$A$2:$A$188,0))=1,INDEX(Backlog!$J$2:$J$188,MATCH(A167,Backlog!$A$2:$A$188,0)),INDEX(Backlog!$J$2:$J$188,MATCH(A167,Backlog!$A$2:$A$188,0))&amp;" [STALE]"))</f>
        <v>12</v>
      </c>
      <c r="H167" s="76" t="str">
        <f>IF(INDEX(Backlog!$AR$2:$AR$188,MATCH(A167,Backlog!$A$2:$A$188,0))="","",INDEX(Backlog!$AR$2:$AR$188,MATCH(A167,Backlog!$A$2:$A$188,0)))</f>
        <v>INHERITED ESTIMATE</v>
      </c>
      <c r="I167" s="76" t="s">
        <v>12742</v>
      </c>
      <c r="J167" s="76" t="s">
        <v>5818</v>
      </c>
      <c r="K167" s="76" t="s">
        <v>5521</v>
      </c>
      <c r="L167" s="76" t="s">
        <v>5522</v>
      </c>
    </row>
    <row r="168" spans="1:12" ht="69.95" customHeight="1">
      <c r="A168" s="76" t="s">
        <v>1683</v>
      </c>
      <c r="B168" s="76" t="s">
        <v>1473</v>
      </c>
      <c r="C168" s="76" t="str">
        <f>IF(INDEX(Backlog!$K$2:$K$188,MATCH(A168,Backlog!$A$2:$A$188,0))="","",INDEX(Backlog!$K$2:$K$188,MATCH(A168,Backlog!$A$2:$A$188,0)))</f>
        <v>Not Started</v>
      </c>
      <c r="D168" s="76" t="s">
        <v>5517</v>
      </c>
      <c r="E168" s="76" t="s">
        <v>5549</v>
      </c>
      <c r="F168" s="76" t="s">
        <v>5519</v>
      </c>
      <c r="G168" s="77">
        <f>IF(INDEX(Backlog!$J$2:$J$188,MATCH(A168,Backlog!$A$2:$A$188,0))="","UNESTIMATED",IF(INDEX(Backlog!$AM$2:$AM$188,MATCH(A168,Backlog!$A$2:$A$188,0))=1,INDEX(Backlog!$J$2:$J$188,MATCH(A168,Backlog!$A$2:$A$188,0)),INDEX(Backlog!$J$2:$J$188,MATCH(A168,Backlog!$A$2:$A$188,0))&amp;" [STALE]"))</f>
        <v>10</v>
      </c>
      <c r="H168" s="76" t="str">
        <f>IF(INDEX(Backlog!$AR$2:$AR$188,MATCH(A168,Backlog!$A$2:$A$188,0))="","",INDEX(Backlog!$AR$2:$AR$188,MATCH(A168,Backlog!$A$2:$A$188,0)))</f>
        <v>INHERITED ESTIMATE</v>
      </c>
      <c r="I168" s="76" t="s">
        <v>12750</v>
      </c>
      <c r="J168" s="76" t="s">
        <v>5819</v>
      </c>
      <c r="K168" s="76" t="s">
        <v>5521</v>
      </c>
      <c r="L168" s="76" t="s">
        <v>5522</v>
      </c>
    </row>
    <row r="169" spans="1:12" ht="69.95" customHeight="1">
      <c r="A169" s="76" t="s">
        <v>1710</v>
      </c>
      <c r="B169" s="76" t="s">
        <v>1473</v>
      </c>
      <c r="C169" s="76" t="str">
        <f>IF(INDEX(Backlog!$K$2:$K$188,MATCH(A169,Backlog!$A$2:$A$188,0))="","",INDEX(Backlog!$K$2:$K$188,MATCH(A169,Backlog!$A$2:$A$188,0)))</f>
        <v>Not Started</v>
      </c>
      <c r="D169" s="76" t="s">
        <v>5517</v>
      </c>
      <c r="E169" s="76" t="s">
        <v>5549</v>
      </c>
      <c r="F169" s="76" t="s">
        <v>5519</v>
      </c>
      <c r="G169" s="77">
        <f>IF(INDEX(Backlog!$J$2:$J$188,MATCH(A169,Backlog!$A$2:$A$188,0))="","UNESTIMATED",IF(INDEX(Backlog!$AM$2:$AM$188,MATCH(A169,Backlog!$A$2:$A$188,0))=1,INDEX(Backlog!$J$2:$J$188,MATCH(A169,Backlog!$A$2:$A$188,0)),INDEX(Backlog!$J$2:$J$188,MATCH(A169,Backlog!$A$2:$A$188,0))&amp;" [STALE]"))</f>
        <v>10</v>
      </c>
      <c r="H169" s="76" t="str">
        <f>IF(INDEX(Backlog!$AR$2:$AR$188,MATCH(A169,Backlog!$A$2:$A$188,0))="","",INDEX(Backlog!$AR$2:$AR$188,MATCH(A169,Backlog!$A$2:$A$188,0)))</f>
        <v>INHERITED ESTIMATE</v>
      </c>
      <c r="I169" s="76" t="s">
        <v>12751</v>
      </c>
      <c r="J169" s="76" t="s">
        <v>5820</v>
      </c>
      <c r="K169" s="76" t="s">
        <v>5521</v>
      </c>
      <c r="L169" s="76" t="s">
        <v>5522</v>
      </c>
    </row>
    <row r="170" spans="1:12" ht="69.95" customHeight="1">
      <c r="A170" s="76" t="s">
        <v>1718</v>
      </c>
      <c r="B170" s="76" t="s">
        <v>1473</v>
      </c>
      <c r="C170" s="76" t="str">
        <f>IF(INDEX(Backlog!$K$2:$K$188,MATCH(A170,Backlog!$A$2:$A$188,0))="","",INDEX(Backlog!$K$2:$K$188,MATCH(A170,Backlog!$A$2:$A$188,0)))</f>
        <v>Not Started</v>
      </c>
      <c r="D170" s="76" t="s">
        <v>5517</v>
      </c>
      <c r="E170" s="76" t="s">
        <v>5549</v>
      </c>
      <c r="F170" s="76" t="s">
        <v>5519</v>
      </c>
      <c r="G170" s="77">
        <f>IF(INDEX(Backlog!$J$2:$J$188,MATCH(A170,Backlog!$A$2:$A$188,0))="","UNESTIMATED",IF(INDEX(Backlog!$AM$2:$AM$188,MATCH(A170,Backlog!$A$2:$A$188,0))=1,INDEX(Backlog!$J$2:$J$188,MATCH(A170,Backlog!$A$2:$A$188,0)),INDEX(Backlog!$J$2:$J$188,MATCH(A170,Backlog!$A$2:$A$188,0))&amp;" [STALE]"))</f>
        <v>10</v>
      </c>
      <c r="H170" s="76" t="str">
        <f>IF(INDEX(Backlog!$AR$2:$AR$188,MATCH(A170,Backlog!$A$2:$A$188,0))="","",INDEX(Backlog!$AR$2:$AR$188,MATCH(A170,Backlog!$A$2:$A$188,0)))</f>
        <v>INHERITED ESTIMATE</v>
      </c>
      <c r="I170" s="76" t="s">
        <v>12752</v>
      </c>
      <c r="J170" s="76" t="s">
        <v>5821</v>
      </c>
      <c r="K170" s="76" t="s">
        <v>5521</v>
      </c>
      <c r="L170" s="76" t="s">
        <v>5522</v>
      </c>
    </row>
    <row r="171" spans="1:12" ht="69.95" customHeight="1">
      <c r="A171" s="76" t="s">
        <v>1726</v>
      </c>
      <c r="B171" s="76" t="s">
        <v>1473</v>
      </c>
      <c r="C171" s="76" t="str">
        <f>IF(INDEX(Backlog!$K$2:$K$188,MATCH(A171,Backlog!$A$2:$A$188,0))="","",INDEX(Backlog!$K$2:$K$188,MATCH(A171,Backlog!$A$2:$A$188,0)))</f>
        <v>Not Started</v>
      </c>
      <c r="D171" s="76" t="s">
        <v>5517</v>
      </c>
      <c r="E171" s="76" t="s">
        <v>5549</v>
      </c>
      <c r="F171" s="76" t="s">
        <v>5519</v>
      </c>
      <c r="G171" s="77">
        <f>IF(INDEX(Backlog!$J$2:$J$188,MATCH(A171,Backlog!$A$2:$A$188,0))="","UNESTIMATED",IF(INDEX(Backlog!$AM$2:$AM$188,MATCH(A171,Backlog!$A$2:$A$188,0))=1,INDEX(Backlog!$J$2:$J$188,MATCH(A171,Backlog!$A$2:$A$188,0)),INDEX(Backlog!$J$2:$J$188,MATCH(A171,Backlog!$A$2:$A$188,0))&amp;" [STALE]"))</f>
        <v>12</v>
      </c>
      <c r="H171" s="76" t="str">
        <f>IF(INDEX(Backlog!$AR$2:$AR$188,MATCH(A171,Backlog!$A$2:$A$188,0))="","",INDEX(Backlog!$AR$2:$AR$188,MATCH(A171,Backlog!$A$2:$A$188,0)))</f>
        <v>INHERITED ESTIMATE</v>
      </c>
      <c r="I171" s="76" t="s">
        <v>1002</v>
      </c>
      <c r="J171" s="76" t="s">
        <v>5822</v>
      </c>
      <c r="K171" s="76" t="s">
        <v>5521</v>
      </c>
      <c r="L171" s="76" t="s">
        <v>5522</v>
      </c>
    </row>
    <row r="172" spans="1:12" ht="69.95" customHeight="1">
      <c r="A172" s="76" t="s">
        <v>1737</v>
      </c>
      <c r="B172" s="76" t="s">
        <v>1473</v>
      </c>
      <c r="C172" s="76" t="str">
        <f>IF(INDEX(Backlog!$K$2:$K$188,MATCH(A172,Backlog!$A$2:$A$188,0))="","",INDEX(Backlog!$K$2:$K$188,MATCH(A172,Backlog!$A$2:$A$188,0)))</f>
        <v>Not Started</v>
      </c>
      <c r="D172" s="76" t="s">
        <v>5517</v>
      </c>
      <c r="E172" s="76" t="s">
        <v>5549</v>
      </c>
      <c r="F172" s="76" t="s">
        <v>5519</v>
      </c>
      <c r="G172" s="77">
        <f>IF(INDEX(Backlog!$J$2:$J$188,MATCH(A172,Backlog!$A$2:$A$188,0))="","UNESTIMATED",IF(INDEX(Backlog!$AM$2:$AM$188,MATCH(A172,Backlog!$A$2:$A$188,0))=1,INDEX(Backlog!$J$2:$J$188,MATCH(A172,Backlog!$A$2:$A$188,0)),INDEX(Backlog!$J$2:$J$188,MATCH(A172,Backlog!$A$2:$A$188,0))&amp;" [STALE]"))</f>
        <v>8</v>
      </c>
      <c r="H172" s="76" t="str">
        <f>IF(INDEX(Backlog!$AR$2:$AR$188,MATCH(A172,Backlog!$A$2:$A$188,0))="","",INDEX(Backlog!$AR$2:$AR$188,MATCH(A172,Backlog!$A$2:$A$188,0)))</f>
        <v>INHERITED ESTIMATE</v>
      </c>
      <c r="I172" s="76" t="s">
        <v>12753</v>
      </c>
      <c r="J172" s="76" t="s">
        <v>5823</v>
      </c>
      <c r="K172" s="76" t="s">
        <v>5521</v>
      </c>
      <c r="L172" s="76" t="s">
        <v>5522</v>
      </c>
    </row>
    <row r="173" spans="1:12" ht="69.95" customHeight="1">
      <c r="A173" s="76" t="s">
        <v>1743</v>
      </c>
      <c r="B173" s="76" t="s">
        <v>1473</v>
      </c>
      <c r="C173" s="76" t="str">
        <f>IF(INDEX(Backlog!$K$2:$K$188,MATCH(A173,Backlog!$A$2:$A$188,0))="","",INDEX(Backlog!$K$2:$K$188,MATCH(A173,Backlog!$A$2:$A$188,0)))</f>
        <v>Not Started</v>
      </c>
      <c r="D173" s="76" t="s">
        <v>5517</v>
      </c>
      <c r="E173" s="76" t="s">
        <v>5549</v>
      </c>
      <c r="F173" s="76" t="s">
        <v>5519</v>
      </c>
      <c r="G173" s="77">
        <f>IF(INDEX(Backlog!$J$2:$J$188,MATCH(A173,Backlog!$A$2:$A$188,0))="","UNESTIMATED",IF(INDEX(Backlog!$AM$2:$AM$188,MATCH(A173,Backlog!$A$2:$A$188,0))=1,INDEX(Backlog!$J$2:$J$188,MATCH(A173,Backlog!$A$2:$A$188,0)),INDEX(Backlog!$J$2:$J$188,MATCH(A173,Backlog!$A$2:$A$188,0))&amp;" [STALE]"))</f>
        <v>12</v>
      </c>
      <c r="H173" s="76" t="str">
        <f>IF(INDEX(Backlog!$AR$2:$AR$188,MATCH(A173,Backlog!$A$2:$A$188,0))="","",INDEX(Backlog!$AR$2:$AR$188,MATCH(A173,Backlog!$A$2:$A$188,0)))</f>
        <v>INHERITED ESTIMATE</v>
      </c>
      <c r="I173" s="76" t="s">
        <v>1752</v>
      </c>
      <c r="J173" s="76" t="s">
        <v>5824</v>
      </c>
      <c r="K173" s="76" t="s">
        <v>5521</v>
      </c>
      <c r="L173" s="76" t="s">
        <v>5522</v>
      </c>
    </row>
    <row r="174" spans="1:12" ht="69.95" customHeight="1">
      <c r="A174" s="76" t="s">
        <v>1757</v>
      </c>
      <c r="B174" s="76" t="s">
        <v>1473</v>
      </c>
      <c r="C174" s="76" t="str">
        <f>IF(INDEX(Backlog!$K$2:$K$188,MATCH(A174,Backlog!$A$2:$A$188,0))="","",INDEX(Backlog!$K$2:$K$188,MATCH(A174,Backlog!$A$2:$A$188,0)))</f>
        <v>Not Started</v>
      </c>
      <c r="D174" s="76" t="s">
        <v>5517</v>
      </c>
      <c r="E174" s="76" t="s">
        <v>5549</v>
      </c>
      <c r="F174" s="76" t="s">
        <v>5519</v>
      </c>
      <c r="G174" s="77">
        <f>IF(INDEX(Backlog!$J$2:$J$188,MATCH(A174,Backlog!$A$2:$A$188,0))="","UNESTIMATED",IF(INDEX(Backlog!$AM$2:$AM$188,MATCH(A174,Backlog!$A$2:$A$188,0))=1,INDEX(Backlog!$J$2:$J$188,MATCH(A174,Backlog!$A$2:$A$188,0)),INDEX(Backlog!$J$2:$J$188,MATCH(A174,Backlog!$A$2:$A$188,0))&amp;" [STALE]"))</f>
        <v>11</v>
      </c>
      <c r="H174" s="76" t="str">
        <f>IF(INDEX(Backlog!$AR$2:$AR$188,MATCH(A174,Backlog!$A$2:$A$188,0))="","",INDEX(Backlog!$AR$2:$AR$188,MATCH(A174,Backlog!$A$2:$A$188,0)))</f>
        <v>INHERITED ESTIMATE</v>
      </c>
      <c r="I174" s="76" t="s">
        <v>12742</v>
      </c>
      <c r="J174" s="76" t="s">
        <v>5825</v>
      </c>
      <c r="K174" s="76" t="s">
        <v>5521</v>
      </c>
      <c r="L174" s="76" t="s">
        <v>5522</v>
      </c>
    </row>
    <row r="175" spans="1:12" ht="69.95" customHeight="1">
      <c r="A175" s="76" t="s">
        <v>1766</v>
      </c>
      <c r="B175" s="76" t="s">
        <v>1473</v>
      </c>
      <c r="C175" s="76" t="str">
        <f>IF(INDEX(Backlog!$K$2:$K$188,MATCH(A175,Backlog!$A$2:$A$188,0))="","",INDEX(Backlog!$K$2:$K$188,MATCH(A175,Backlog!$A$2:$A$188,0)))</f>
        <v>Not Started</v>
      </c>
      <c r="D175" s="76" t="s">
        <v>3395</v>
      </c>
      <c r="E175" s="76" t="s">
        <v>5549</v>
      </c>
      <c r="F175" s="76" t="s">
        <v>5826</v>
      </c>
      <c r="G175" s="77" t="str">
        <f>IF(INDEX(Backlog!$J$2:$J$188,MATCH(A175,Backlog!$A$2:$A$188,0))="","UNESTIMATED",IF(INDEX(Backlog!$AM$2:$AM$188,MATCH(A175,Backlog!$A$2:$A$188,0))=1,INDEX(Backlog!$J$2:$J$188,MATCH(A175,Backlog!$A$2:$A$188,0)),INDEX(Backlog!$J$2:$J$188,MATCH(A175,Backlog!$A$2:$A$188,0))&amp;" [STALE]"))</f>
        <v>UNESTIMATED</v>
      </c>
      <c r="H175" s="76" t="s">
        <v>5727</v>
      </c>
      <c r="I175" s="76" t="s">
        <v>1770</v>
      </c>
      <c r="J175" s="76" t="s">
        <v>3398</v>
      </c>
      <c r="K175" s="76" t="s">
        <v>5611</v>
      </c>
      <c r="L175" s="76" t="s">
        <v>5827</v>
      </c>
    </row>
    <row r="176" spans="1:12" ht="69.95" customHeight="1">
      <c r="A176" s="76" t="s">
        <v>1775</v>
      </c>
      <c r="B176" s="76" t="s">
        <v>1779</v>
      </c>
      <c r="C176" s="76" t="str">
        <f>IF(INDEX(Backlog!$K$2:$K$188,MATCH(A176,Backlog!$A$2:$A$188,0))="","",INDEX(Backlog!$K$2:$K$188,MATCH(A176,Backlog!$A$2:$A$188,0)))</f>
        <v>Not Started</v>
      </c>
      <c r="D176" s="76" t="s">
        <v>5517</v>
      </c>
      <c r="E176" s="76" t="s">
        <v>5549</v>
      </c>
      <c r="F176" s="76" t="s">
        <v>5519</v>
      </c>
      <c r="G176" s="77">
        <f>IF(INDEX(Backlog!$J$2:$J$188,MATCH(A176,Backlog!$A$2:$A$188,0))="","UNESTIMATED",IF(INDEX(Backlog!$AM$2:$AM$188,MATCH(A176,Backlog!$A$2:$A$188,0))=1,INDEX(Backlog!$J$2:$J$188,MATCH(A176,Backlog!$A$2:$A$188,0)),INDEX(Backlog!$J$2:$J$188,MATCH(A176,Backlog!$A$2:$A$188,0))&amp;" [STALE]"))</f>
        <v>12</v>
      </c>
      <c r="H176" s="76" t="str">
        <f>IF(INDEX(Backlog!$AR$2:$AR$188,MATCH(A176,Backlog!$A$2:$A$188,0))="","",INDEX(Backlog!$AR$2:$AR$188,MATCH(A176,Backlog!$A$2:$A$188,0)))</f>
        <v>INHERITED ESTIMATE</v>
      </c>
      <c r="I176" s="76" t="str">
        <f>""</f>
        <v/>
      </c>
      <c r="J176" s="76" t="s">
        <v>5828</v>
      </c>
      <c r="K176" s="76" t="s">
        <v>5521</v>
      </c>
      <c r="L176" s="76" t="s">
        <v>5522</v>
      </c>
    </row>
    <row r="177" spans="1:12" ht="69.95" customHeight="1">
      <c r="A177" s="76" t="s">
        <v>1248</v>
      </c>
      <c r="B177" s="76" t="s">
        <v>1779</v>
      </c>
      <c r="C177" s="76" t="str">
        <f>IF(INDEX(Backlog!$K$2:$K$188,MATCH(A177,Backlog!$A$2:$A$188,0))="","",INDEX(Backlog!$K$2:$K$188,MATCH(A177,Backlog!$A$2:$A$188,0)))</f>
        <v>Not Started</v>
      </c>
      <c r="D177" s="76" t="s">
        <v>5517</v>
      </c>
      <c r="E177" s="76" t="s">
        <v>5549</v>
      </c>
      <c r="F177" s="76" t="s">
        <v>5519</v>
      </c>
      <c r="G177" s="77">
        <f>IF(INDEX(Backlog!$J$2:$J$188,MATCH(A177,Backlog!$A$2:$A$188,0))="","UNESTIMATED",IF(INDEX(Backlog!$AM$2:$AM$188,MATCH(A177,Backlog!$A$2:$A$188,0))=1,INDEX(Backlog!$J$2:$J$188,MATCH(A177,Backlog!$A$2:$A$188,0)),INDEX(Backlog!$J$2:$J$188,MATCH(A177,Backlog!$A$2:$A$188,0))&amp;" [STALE]"))</f>
        <v>12</v>
      </c>
      <c r="H177" s="76" t="str">
        <f>IF(INDEX(Backlog!$AR$2:$AR$188,MATCH(A177,Backlog!$A$2:$A$188,0))="","",INDEX(Backlog!$AR$2:$AR$188,MATCH(A177,Backlog!$A$2:$A$188,0)))</f>
        <v>INHERITED ESTIMATE</v>
      </c>
      <c r="I177" s="76" t="s">
        <v>12754</v>
      </c>
      <c r="J177" s="76" t="s">
        <v>5829</v>
      </c>
      <c r="K177" s="76" t="s">
        <v>5521</v>
      </c>
      <c r="L177" s="76" t="s">
        <v>5522</v>
      </c>
    </row>
    <row r="178" spans="1:12" ht="69.95" customHeight="1">
      <c r="A178" s="76" t="s">
        <v>1791</v>
      </c>
      <c r="B178" s="76" t="s">
        <v>813</v>
      </c>
      <c r="C178" s="76" t="str">
        <f>IF(INDEX(Backlog!$K$2:$K$188,MATCH(A178,Backlog!$A$2:$A$188,0))="","",INDEX(Backlog!$K$2:$K$188,MATCH(A178,Backlog!$A$2:$A$188,0)))</f>
        <v>Not Started</v>
      </c>
      <c r="D178" s="76" t="s">
        <v>3399</v>
      </c>
      <c r="E178" s="76" t="s">
        <v>5549</v>
      </c>
      <c r="F178" s="76" t="s">
        <v>5830</v>
      </c>
      <c r="G178" s="77" t="str">
        <f>IF(INDEX(Backlog!$J$2:$J$188,MATCH(A178,Backlog!$A$2:$A$188,0))="","UNESTIMATED",IF(INDEX(Backlog!$AM$2:$AM$188,MATCH(A178,Backlog!$A$2:$A$188,0))=1,INDEX(Backlog!$J$2:$J$188,MATCH(A178,Backlog!$A$2:$A$188,0)),INDEX(Backlog!$J$2:$J$188,MATCH(A178,Backlog!$A$2:$A$188,0))&amp;" [STALE]"))</f>
        <v>UNESTIMATED</v>
      </c>
      <c r="H178" s="76" t="s">
        <v>5831</v>
      </c>
      <c r="I178" s="76" t="str">
        <f>""</f>
        <v/>
      </c>
      <c r="J178" s="76" t="s">
        <v>3402</v>
      </c>
      <c r="K178" s="76" t="s">
        <v>5611</v>
      </c>
      <c r="L178" s="76" t="s">
        <v>5832</v>
      </c>
    </row>
    <row r="179" spans="1:12" ht="69.95" customHeight="1">
      <c r="A179" s="76" t="s">
        <v>1817</v>
      </c>
      <c r="B179" s="76" t="s">
        <v>433</v>
      </c>
      <c r="C179" s="76" t="str">
        <f>IF(INDEX(Backlog!$K$2:$K$188,MATCH(A179,Backlog!$A$2:$A$188,0))="","",INDEX(Backlog!$K$2:$K$188,MATCH(A179,Backlog!$A$2:$A$188,0)))</f>
        <v>Not Started</v>
      </c>
      <c r="D179" s="76" t="s">
        <v>3403</v>
      </c>
      <c r="E179" s="76" t="s">
        <v>5549</v>
      </c>
      <c r="F179" s="76" t="s">
        <v>5833</v>
      </c>
      <c r="G179" s="77" t="str">
        <f>IF(INDEX(Backlog!$J$2:$J$188,MATCH(A179,Backlog!$A$2:$A$188,0))="","UNESTIMATED",IF(INDEX(Backlog!$AM$2:$AM$188,MATCH(A179,Backlog!$A$2:$A$188,0))=1,INDEX(Backlog!$J$2:$J$188,MATCH(A179,Backlog!$A$2:$A$188,0)),INDEX(Backlog!$J$2:$J$188,MATCH(A179,Backlog!$A$2:$A$188,0))&amp;" [STALE]"))</f>
        <v>UNESTIMATED</v>
      </c>
      <c r="H179" s="76" t="s">
        <v>5657</v>
      </c>
      <c r="I179" s="76"/>
      <c r="J179" s="76" t="s">
        <v>3406</v>
      </c>
      <c r="K179" s="76" t="s">
        <v>5611</v>
      </c>
      <c r="L179" s="76" t="s">
        <v>5834</v>
      </c>
    </row>
    <row r="180" spans="1:12" ht="69.95" customHeight="1">
      <c r="A180" s="76" t="s">
        <v>1821</v>
      </c>
      <c r="B180" s="76" t="s">
        <v>1398</v>
      </c>
      <c r="C180" s="76" t="str">
        <f>IF(INDEX(Backlog!$K$2:$K$188,MATCH(A180,Backlog!$A$2:$A$188,0))="","",INDEX(Backlog!$K$2:$K$188,MATCH(A180,Backlog!$A$2:$A$188,0)))</f>
        <v>Not Started</v>
      </c>
      <c r="D180" s="76" t="s">
        <v>3407</v>
      </c>
      <c r="E180" s="76" t="s">
        <v>5549</v>
      </c>
      <c r="F180" s="76" t="s">
        <v>5835</v>
      </c>
      <c r="G180" s="77" t="str">
        <f>IF(INDEX(Backlog!$J$2:$J$188,MATCH(A180,Backlog!$A$2:$A$188,0))="","UNESTIMATED",IF(INDEX(Backlog!$AM$2:$AM$188,MATCH(A180,Backlog!$A$2:$A$188,0))=1,INDEX(Backlog!$J$2:$J$188,MATCH(A180,Backlog!$A$2:$A$188,0)),INDEX(Backlog!$J$2:$J$188,MATCH(A180,Backlog!$A$2:$A$188,0))&amp;" [STALE]"))</f>
        <v>UNESTIMATED</v>
      </c>
      <c r="H180" s="76" t="s">
        <v>5776</v>
      </c>
      <c r="I180" s="76" t="s">
        <v>1791</v>
      </c>
      <c r="J180" s="76" t="s">
        <v>3410</v>
      </c>
      <c r="K180" s="76" t="s">
        <v>5611</v>
      </c>
      <c r="L180" s="76" t="s">
        <v>5836</v>
      </c>
    </row>
  </sheetData>
  <conditionalFormatting sqref="C2:C180">
    <cfRule type="expression" dxfId="11" priority="1">
      <formula>$C2="Done"</formula>
    </cfRule>
    <cfRule type="expression" dxfId="10" priority="2">
      <formula>$C2="In Progress"</formula>
    </cfRule>
  </conditionalFormatting>
  <conditionalFormatting sqref="D2:D180">
    <cfRule type="expression" dxfId="9" priority="4">
      <formula>$D2="CURRENT STATUS DISPOSITION UNRESOLVED"</formula>
    </cfRule>
  </conditionalFormatting>
  <conditionalFormatting sqref="H2:H180">
    <cfRule type="expression" dxfId="8" priority="5">
      <formula>AND($H2&lt;&gt;"INHERITED ESTIMATE",$H2&lt;&gt;"CONFIRMED ESTIMATE")</formula>
    </cfRule>
  </conditionalFormatting>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35"/>
  <sheetViews>
    <sheetView workbookViewId="0"/>
  </sheetViews>
  <sheetFormatPr defaultRowHeight="14.25"/>
  <cols>
    <col min="1" max="1" width="12" customWidth="1"/>
    <col min="2" max="2" width="35" customWidth="1"/>
    <col min="3" max="3" width="16" customWidth="1"/>
    <col min="4" max="5" width="50" customWidth="1"/>
    <col min="6" max="6" width="14" customWidth="1"/>
    <col min="7" max="9" width="13" customWidth="1"/>
    <col min="10" max="10" width="31" customWidth="1"/>
    <col min="11" max="11" width="44" customWidth="1"/>
    <col min="12" max="12" width="48" customWidth="1"/>
    <col min="13" max="13" width="42" customWidth="1"/>
    <col min="14" max="14" width="45" customWidth="1"/>
  </cols>
  <sheetData>
    <row r="1" spans="1:14" ht="38.1" customHeight="1">
      <c r="A1" s="88" t="s">
        <v>2392</v>
      </c>
      <c r="B1" s="88" t="s">
        <v>2568</v>
      </c>
      <c r="C1" s="88" t="s">
        <v>3490</v>
      </c>
      <c r="D1" s="88" t="s">
        <v>5837</v>
      </c>
      <c r="E1" s="88" t="s">
        <v>3208</v>
      </c>
      <c r="F1" s="88" t="s">
        <v>5838</v>
      </c>
      <c r="G1" s="88" t="s">
        <v>5839</v>
      </c>
      <c r="H1" s="88" t="s">
        <v>5840</v>
      </c>
      <c r="I1" s="88" t="s">
        <v>5841</v>
      </c>
      <c r="J1" s="88" t="s">
        <v>5842</v>
      </c>
      <c r="K1" s="87" t="s">
        <v>5843</v>
      </c>
      <c r="L1" s="87" t="s">
        <v>5844</v>
      </c>
      <c r="M1" s="87" t="s">
        <v>5845</v>
      </c>
      <c r="N1" s="87" t="s">
        <v>5846</v>
      </c>
    </row>
    <row r="2" spans="1:14" ht="195" customHeight="1">
      <c r="A2" s="76" t="s">
        <v>425</v>
      </c>
      <c r="B2" s="76" t="s">
        <v>427</v>
      </c>
      <c r="C2" s="76" t="s">
        <v>116</v>
      </c>
      <c r="D2" s="76" t="s">
        <v>5847</v>
      </c>
      <c r="E2" s="76" t="s">
        <v>3212</v>
      </c>
      <c r="F2" s="77">
        <v>12</v>
      </c>
      <c r="G2" s="89">
        <f>INDEX('Source Review'!$F$2:$F$52,MATCH($A2,'Source Review'!$A$2:$A$52,0))</f>
        <v>0</v>
      </c>
      <c r="H2" s="89">
        <f>INDEX('Source Review'!$G$2:$G$52,MATCH($A2,'Source Review'!$A$2:$A$52,0))</f>
        <v>0</v>
      </c>
      <c r="I2" s="89">
        <f>INDEX('Source Review'!$H$2:$H$52,MATCH($A2,'Source Review'!$A$2:$A$52,0))</f>
        <v>0</v>
      </c>
      <c r="J2" s="76" t="s">
        <v>5848</v>
      </c>
      <c r="K2" s="38" t="s">
        <v>436</v>
      </c>
      <c r="L2" s="38" t="s">
        <v>3213</v>
      </c>
      <c r="M2" s="38" t="s">
        <v>5849</v>
      </c>
      <c r="N2" s="38" t="s">
        <v>5850</v>
      </c>
    </row>
    <row r="3" spans="1:14" ht="195" customHeight="1">
      <c r="A3" s="76" t="s">
        <v>439</v>
      </c>
      <c r="B3" s="76" t="s">
        <v>440</v>
      </c>
      <c r="C3" s="76" t="s">
        <v>116</v>
      </c>
      <c r="D3" s="76" t="s">
        <v>5851</v>
      </c>
      <c r="E3" s="76" t="s">
        <v>3215</v>
      </c>
      <c r="F3" s="77">
        <v>8</v>
      </c>
      <c r="G3" s="89">
        <f>INDEX('Source Review'!$F$2:$F$52,MATCH($A3,'Source Review'!$A$2:$A$52,0))</f>
        <v>0</v>
      </c>
      <c r="H3" s="89">
        <f>INDEX('Source Review'!$G$2:$G$52,MATCH($A3,'Source Review'!$A$2:$A$52,0))</f>
        <v>0</v>
      </c>
      <c r="I3" s="89">
        <f>INDEX('Source Review'!$H$2:$H$52,MATCH($A3,'Source Review'!$A$2:$A$52,0))</f>
        <v>0</v>
      </c>
      <c r="J3" s="76" t="s">
        <v>5848</v>
      </c>
      <c r="K3" s="38" t="s">
        <v>444</v>
      </c>
      <c r="L3" s="38" t="s">
        <v>3216</v>
      </c>
      <c r="M3" s="38"/>
      <c r="N3" s="38" t="s">
        <v>5850</v>
      </c>
    </row>
    <row r="4" spans="1:14" ht="195" customHeight="1">
      <c r="A4" s="76" t="s">
        <v>445</v>
      </c>
      <c r="B4" s="76" t="s">
        <v>446</v>
      </c>
      <c r="C4" s="76" t="s">
        <v>116</v>
      </c>
      <c r="D4" s="76" t="s">
        <v>5852</v>
      </c>
      <c r="E4" s="76" t="s">
        <v>3219</v>
      </c>
      <c r="F4" s="77">
        <v>6</v>
      </c>
      <c r="G4" s="89">
        <f>INDEX('Source Review'!$F$2:$F$52,MATCH($A4,'Source Review'!$A$2:$A$52,0))</f>
        <v>0</v>
      </c>
      <c r="H4" s="89">
        <f>INDEX('Source Review'!$G$2:$G$52,MATCH($A4,'Source Review'!$A$2:$A$52,0))</f>
        <v>0</v>
      </c>
      <c r="I4" s="89">
        <f>INDEX('Source Review'!$H$2:$H$52,MATCH($A4,'Source Review'!$A$2:$A$52,0))</f>
        <v>0</v>
      </c>
      <c r="J4" s="76" t="s">
        <v>5848</v>
      </c>
      <c r="K4" s="38" t="s">
        <v>450</v>
      </c>
      <c r="L4" s="38" t="s">
        <v>3220</v>
      </c>
      <c r="M4" s="38"/>
      <c r="N4" s="38" t="s">
        <v>5850</v>
      </c>
    </row>
    <row r="5" spans="1:14" ht="195" customHeight="1">
      <c r="A5" s="76" t="s">
        <v>451</v>
      </c>
      <c r="B5" s="76" t="s">
        <v>452</v>
      </c>
      <c r="C5" s="76" t="s">
        <v>455</v>
      </c>
      <c r="D5" s="76" t="s">
        <v>5853</v>
      </c>
      <c r="E5" s="76" t="s">
        <v>3223</v>
      </c>
      <c r="F5" s="77">
        <v>12</v>
      </c>
      <c r="G5" s="89">
        <f>INDEX('Source Review'!$F$2:$F$52,MATCH($A5,'Source Review'!$A$2:$A$52,0))</f>
        <v>6</v>
      </c>
      <c r="H5" s="89">
        <f>INDEX('Source Review'!$G$2:$G$52,MATCH($A5,'Source Review'!$A$2:$A$52,0))</f>
        <v>9</v>
      </c>
      <c r="I5" s="89">
        <f>INDEX('Source Review'!$H$2:$H$52,MATCH($A5,'Source Review'!$A$2:$A$52,0))</f>
        <v>14</v>
      </c>
      <c r="J5" s="76" t="s">
        <v>5848</v>
      </c>
      <c r="K5" s="38" t="s">
        <v>141</v>
      </c>
      <c r="L5" s="38" t="s">
        <v>3224</v>
      </c>
      <c r="M5" s="38" t="s">
        <v>5854</v>
      </c>
      <c r="N5" s="38" t="s">
        <v>5850</v>
      </c>
    </row>
    <row r="6" spans="1:14" ht="195" customHeight="1">
      <c r="A6" s="76" t="s">
        <v>463</v>
      </c>
      <c r="B6" s="76" t="s">
        <v>464</v>
      </c>
      <c r="C6" s="76" t="s">
        <v>116</v>
      </c>
      <c r="D6" s="76" t="s">
        <v>5855</v>
      </c>
      <c r="E6" s="76" t="s">
        <v>3227</v>
      </c>
      <c r="F6" s="77">
        <v>8</v>
      </c>
      <c r="G6" s="89">
        <f>INDEX('Source Review'!$F$2:$F$52,MATCH($A6,'Source Review'!$A$2:$A$52,0))</f>
        <v>0</v>
      </c>
      <c r="H6" s="89">
        <f>INDEX('Source Review'!$G$2:$G$52,MATCH($A6,'Source Review'!$A$2:$A$52,0))</f>
        <v>0</v>
      </c>
      <c r="I6" s="89">
        <f>INDEX('Source Review'!$H$2:$H$52,MATCH($A6,'Source Review'!$A$2:$A$52,0))</f>
        <v>0</v>
      </c>
      <c r="J6" s="76" t="s">
        <v>5848</v>
      </c>
      <c r="K6" s="38" t="s">
        <v>5856</v>
      </c>
      <c r="L6" s="38" t="s">
        <v>3228</v>
      </c>
      <c r="M6" s="38"/>
      <c r="N6" s="38" t="s">
        <v>5850</v>
      </c>
    </row>
    <row r="7" spans="1:14" ht="195" customHeight="1">
      <c r="A7" s="76" t="s">
        <v>476</v>
      </c>
      <c r="B7" s="76" t="s">
        <v>477</v>
      </c>
      <c r="C7" s="76" t="s">
        <v>653</v>
      </c>
      <c r="D7" s="76" t="s">
        <v>5591</v>
      </c>
      <c r="E7" s="76" t="s">
        <v>3229</v>
      </c>
      <c r="F7" s="77">
        <v>6</v>
      </c>
      <c r="G7" s="89" t="str">
        <f>INDEX('Source Review'!$F$2:$F$52,MATCH($A7,'Source Review'!$A$2:$A$52,0))</f>
        <v>UNCONFIRMED</v>
      </c>
      <c r="H7" s="89" t="str">
        <f>INDEX('Source Review'!$G$2:$G$52,MATCH($A7,'Source Review'!$A$2:$A$52,0))</f>
        <v>UNCONFIRMED</v>
      </c>
      <c r="I7" s="89" t="str">
        <f>INDEX('Source Review'!$H$2:$H$52,MATCH($A7,'Source Review'!$A$2:$A$52,0))</f>
        <v>UNCONFIRMED</v>
      </c>
      <c r="J7" s="76" t="s">
        <v>5857</v>
      </c>
      <c r="K7" s="38" t="s">
        <v>5858</v>
      </c>
      <c r="L7" s="38" t="s">
        <v>5859</v>
      </c>
      <c r="M7" s="38" t="s">
        <v>5860</v>
      </c>
      <c r="N7" s="38" t="s">
        <v>5861</v>
      </c>
    </row>
    <row r="8" spans="1:14" ht="195" customHeight="1">
      <c r="A8" s="76" t="s">
        <v>489</v>
      </c>
      <c r="B8" s="76" t="s">
        <v>490</v>
      </c>
      <c r="C8" s="76" t="s">
        <v>455</v>
      </c>
      <c r="D8" s="76" t="s">
        <v>5862</v>
      </c>
      <c r="E8" s="76" t="s">
        <v>3233</v>
      </c>
      <c r="F8" s="77">
        <v>12</v>
      </c>
      <c r="G8" s="89">
        <f>INDEX('Source Review'!$F$2:$F$52,MATCH($A8,'Source Review'!$A$2:$A$52,0))</f>
        <v>12</v>
      </c>
      <c r="H8" s="89">
        <f>INDEX('Source Review'!$G$2:$G$52,MATCH($A8,'Source Review'!$A$2:$A$52,0))</f>
        <v>18</v>
      </c>
      <c r="I8" s="89">
        <f>INDEX('Source Review'!$H$2:$H$52,MATCH($A8,'Source Review'!$A$2:$A$52,0))</f>
        <v>28</v>
      </c>
      <c r="J8" s="76" t="s">
        <v>5848</v>
      </c>
      <c r="K8" s="38" t="s">
        <v>141</v>
      </c>
      <c r="L8" s="38" t="s">
        <v>3234</v>
      </c>
      <c r="M8" s="38" t="s">
        <v>5863</v>
      </c>
      <c r="N8" s="38" t="s">
        <v>5850</v>
      </c>
    </row>
    <row r="9" spans="1:14" ht="195" customHeight="1">
      <c r="A9" s="76" t="s">
        <v>498</v>
      </c>
      <c r="B9" s="76" t="s">
        <v>499</v>
      </c>
      <c r="C9" s="76" t="s">
        <v>455</v>
      </c>
      <c r="D9" s="76" t="s">
        <v>5864</v>
      </c>
      <c r="E9" s="76" t="s">
        <v>3237</v>
      </c>
      <c r="F9" s="77">
        <v>8</v>
      </c>
      <c r="G9" s="89">
        <f>INDEX('Source Review'!$F$2:$F$52,MATCH($A9,'Source Review'!$A$2:$A$52,0))</f>
        <v>4</v>
      </c>
      <c r="H9" s="89">
        <f>INDEX('Source Review'!$G$2:$G$52,MATCH($A9,'Source Review'!$A$2:$A$52,0))</f>
        <v>7</v>
      </c>
      <c r="I9" s="89">
        <f>INDEX('Source Review'!$H$2:$H$52,MATCH($A9,'Source Review'!$A$2:$A$52,0))</f>
        <v>12</v>
      </c>
      <c r="J9" s="76" t="s">
        <v>5848</v>
      </c>
      <c r="K9" s="38" t="s">
        <v>141</v>
      </c>
      <c r="L9" s="38" t="s">
        <v>3238</v>
      </c>
      <c r="M9" s="38" t="s">
        <v>5865</v>
      </c>
      <c r="N9" s="38" t="s">
        <v>5850</v>
      </c>
    </row>
    <row r="10" spans="1:14" ht="195" customHeight="1">
      <c r="A10" s="76" t="s">
        <v>508</v>
      </c>
      <c r="B10" s="76" t="s">
        <v>509</v>
      </c>
      <c r="C10" s="76" t="s">
        <v>455</v>
      </c>
      <c r="D10" s="76" t="s">
        <v>5866</v>
      </c>
      <c r="E10" s="76" t="s">
        <v>3241</v>
      </c>
      <c r="F10" s="77">
        <v>6</v>
      </c>
      <c r="G10" s="89">
        <f>INDEX('Source Review'!$F$2:$F$52,MATCH($A10,'Source Review'!$A$2:$A$52,0))</f>
        <v>4</v>
      </c>
      <c r="H10" s="89">
        <f>INDEX('Source Review'!$G$2:$G$52,MATCH($A10,'Source Review'!$A$2:$A$52,0))</f>
        <v>6</v>
      </c>
      <c r="I10" s="89">
        <f>INDEX('Source Review'!$H$2:$H$52,MATCH($A10,'Source Review'!$A$2:$A$52,0))</f>
        <v>10</v>
      </c>
      <c r="J10" s="76" t="s">
        <v>5848</v>
      </c>
      <c r="K10" s="38" t="s">
        <v>141</v>
      </c>
      <c r="L10" s="38" t="s">
        <v>3242</v>
      </c>
      <c r="M10" s="38" t="s">
        <v>5867</v>
      </c>
      <c r="N10" s="38" t="s">
        <v>5850</v>
      </c>
    </row>
    <row r="11" spans="1:14" ht="195" customHeight="1">
      <c r="A11" s="76" t="s">
        <v>514</v>
      </c>
      <c r="B11" s="76" t="s">
        <v>515</v>
      </c>
      <c r="C11" s="76" t="s">
        <v>455</v>
      </c>
      <c r="D11" s="76" t="s">
        <v>5868</v>
      </c>
      <c r="E11" s="76" t="s">
        <v>3245</v>
      </c>
      <c r="F11" s="77">
        <v>14</v>
      </c>
      <c r="G11" s="89">
        <f>INDEX('Source Review'!$F$2:$F$52,MATCH($A11,'Source Review'!$A$2:$A$52,0))</f>
        <v>8</v>
      </c>
      <c r="H11" s="89">
        <f>INDEX('Source Review'!$G$2:$G$52,MATCH($A11,'Source Review'!$A$2:$A$52,0))</f>
        <v>14</v>
      </c>
      <c r="I11" s="89">
        <f>INDEX('Source Review'!$H$2:$H$52,MATCH($A11,'Source Review'!$A$2:$A$52,0))</f>
        <v>22</v>
      </c>
      <c r="J11" s="76" t="s">
        <v>5848</v>
      </c>
      <c r="K11" s="38" t="s">
        <v>141</v>
      </c>
      <c r="L11" s="38" t="s">
        <v>3246</v>
      </c>
      <c r="M11" s="38" t="s">
        <v>5869</v>
      </c>
      <c r="N11" s="38" t="s">
        <v>5850</v>
      </c>
    </row>
    <row r="12" spans="1:14" ht="195" customHeight="1">
      <c r="A12" s="76" t="s">
        <v>522</v>
      </c>
      <c r="B12" s="76" t="s">
        <v>523</v>
      </c>
      <c r="C12" s="76" t="s">
        <v>653</v>
      </c>
      <c r="D12" s="76" t="s">
        <v>5870</v>
      </c>
      <c r="E12" s="76" t="s">
        <v>3249</v>
      </c>
      <c r="F12" s="77" t="s">
        <v>5871</v>
      </c>
      <c r="G12" s="89">
        <f>INDEX('Source Review'!$F$2:$F$52,MATCH($A12,'Source Review'!$A$2:$A$52,0))</f>
        <v>18</v>
      </c>
      <c r="H12" s="89">
        <f>INDEX('Source Review'!$G$2:$G$52,MATCH($A12,'Source Review'!$A$2:$A$52,0))</f>
        <v>28</v>
      </c>
      <c r="I12" s="89">
        <f>INDEX('Source Review'!$H$2:$H$52,MATCH($A12,'Source Review'!$A$2:$A$52,0))</f>
        <v>44</v>
      </c>
      <c r="J12" s="76" t="s">
        <v>5848</v>
      </c>
      <c r="K12" s="38" t="s">
        <v>5872</v>
      </c>
      <c r="L12" s="38" t="s">
        <v>3250</v>
      </c>
      <c r="M12" s="38" t="s">
        <v>5873</v>
      </c>
      <c r="N12" s="38" t="s">
        <v>5850</v>
      </c>
    </row>
    <row r="13" spans="1:14" ht="195" customHeight="1">
      <c r="A13" s="76" t="s">
        <v>539</v>
      </c>
      <c r="B13" s="76" t="s">
        <v>540</v>
      </c>
      <c r="C13" s="76" t="s">
        <v>455</v>
      </c>
      <c r="D13" s="76" t="s">
        <v>5874</v>
      </c>
      <c r="E13" s="76" t="s">
        <v>3253</v>
      </c>
      <c r="F13" s="77">
        <v>16</v>
      </c>
      <c r="G13" s="89">
        <f>INDEX('Source Review'!$F$2:$F$52,MATCH($A13,'Source Review'!$A$2:$A$52,0))</f>
        <v>12</v>
      </c>
      <c r="H13" s="89">
        <f>INDEX('Source Review'!$G$2:$G$52,MATCH($A13,'Source Review'!$A$2:$A$52,0))</f>
        <v>20</v>
      </c>
      <c r="I13" s="89">
        <f>INDEX('Source Review'!$H$2:$H$52,MATCH($A13,'Source Review'!$A$2:$A$52,0))</f>
        <v>32</v>
      </c>
      <c r="J13" s="76" t="s">
        <v>5848</v>
      </c>
      <c r="K13" s="38" t="s">
        <v>141</v>
      </c>
      <c r="L13" s="38" t="s">
        <v>3254</v>
      </c>
      <c r="M13" s="38" t="s">
        <v>5875</v>
      </c>
      <c r="N13" s="38" t="s">
        <v>5850</v>
      </c>
    </row>
    <row r="14" spans="1:14" ht="195" customHeight="1">
      <c r="A14" s="76" t="s">
        <v>548</v>
      </c>
      <c r="B14" s="76" t="s">
        <v>549</v>
      </c>
      <c r="C14" s="76" t="s">
        <v>455</v>
      </c>
      <c r="D14" s="76" t="s">
        <v>5876</v>
      </c>
      <c r="E14" s="76" t="s">
        <v>3257</v>
      </c>
      <c r="F14" s="77" t="s">
        <v>5871</v>
      </c>
      <c r="G14" s="89">
        <f>INDEX('Source Review'!$F$2:$F$52,MATCH($A14,'Source Review'!$A$2:$A$52,0))</f>
        <v>22</v>
      </c>
      <c r="H14" s="89">
        <f>INDEX('Source Review'!$G$2:$G$52,MATCH($A14,'Source Review'!$A$2:$A$52,0))</f>
        <v>34</v>
      </c>
      <c r="I14" s="89">
        <f>INDEX('Source Review'!$H$2:$H$52,MATCH($A14,'Source Review'!$A$2:$A$52,0))</f>
        <v>52</v>
      </c>
      <c r="J14" s="76" t="s">
        <v>5848</v>
      </c>
      <c r="K14" s="38" t="s">
        <v>141</v>
      </c>
      <c r="L14" s="38" t="s">
        <v>3258</v>
      </c>
      <c r="M14" s="38" t="s">
        <v>5877</v>
      </c>
      <c r="N14" s="38" t="s">
        <v>5850</v>
      </c>
    </row>
    <row r="15" spans="1:14" ht="195" customHeight="1">
      <c r="A15" s="76" t="s">
        <v>559</v>
      </c>
      <c r="B15" s="76" t="s">
        <v>560</v>
      </c>
      <c r="C15" s="76" t="s">
        <v>455</v>
      </c>
      <c r="D15" s="76" t="s">
        <v>5878</v>
      </c>
      <c r="E15" s="76" t="s">
        <v>3261</v>
      </c>
      <c r="F15" s="77">
        <v>6</v>
      </c>
      <c r="G15" s="89">
        <f>INDEX('Source Review'!$F$2:$F$52,MATCH($A15,'Source Review'!$A$2:$A$52,0))</f>
        <v>6</v>
      </c>
      <c r="H15" s="89">
        <f>INDEX('Source Review'!$G$2:$G$52,MATCH($A15,'Source Review'!$A$2:$A$52,0))</f>
        <v>10</v>
      </c>
      <c r="I15" s="89">
        <f>INDEX('Source Review'!$H$2:$H$52,MATCH($A15,'Source Review'!$A$2:$A$52,0))</f>
        <v>18</v>
      </c>
      <c r="J15" s="76" t="s">
        <v>5848</v>
      </c>
      <c r="K15" s="38" t="s">
        <v>141</v>
      </c>
      <c r="L15" s="38" t="s">
        <v>3262</v>
      </c>
      <c r="M15" s="38" t="s">
        <v>5879</v>
      </c>
      <c r="N15" s="38" t="s">
        <v>5850</v>
      </c>
    </row>
    <row r="16" spans="1:14" ht="195" customHeight="1">
      <c r="A16" s="76" t="s">
        <v>567</v>
      </c>
      <c r="B16" s="76" t="s">
        <v>568</v>
      </c>
      <c r="C16" s="76" t="s">
        <v>116</v>
      </c>
      <c r="D16" s="76" t="s">
        <v>5880</v>
      </c>
      <c r="E16" s="76" t="s">
        <v>3265</v>
      </c>
      <c r="F16" s="77">
        <v>6</v>
      </c>
      <c r="G16" s="89">
        <f>INDEX('Source Review'!$F$2:$F$52,MATCH($A16,'Source Review'!$A$2:$A$52,0))</f>
        <v>0</v>
      </c>
      <c r="H16" s="89">
        <f>INDEX('Source Review'!$G$2:$G$52,MATCH($A16,'Source Review'!$A$2:$A$52,0))</f>
        <v>0</v>
      </c>
      <c r="I16" s="89">
        <f>INDEX('Source Review'!$H$2:$H$52,MATCH($A16,'Source Review'!$A$2:$A$52,0))</f>
        <v>0</v>
      </c>
      <c r="J16" s="76" t="s">
        <v>5848</v>
      </c>
      <c r="K16" s="38" t="s">
        <v>298</v>
      </c>
      <c r="L16" s="38" t="s">
        <v>3266</v>
      </c>
      <c r="M16" s="38"/>
      <c r="N16" s="38" t="s">
        <v>5850</v>
      </c>
    </row>
    <row r="17" spans="1:14" ht="195" customHeight="1">
      <c r="A17" s="76" t="s">
        <v>579</v>
      </c>
      <c r="B17" s="76" t="s">
        <v>580</v>
      </c>
      <c r="C17" s="76" t="s">
        <v>455</v>
      </c>
      <c r="D17" s="76" t="s">
        <v>5881</v>
      </c>
      <c r="E17" s="76" t="s">
        <v>3269</v>
      </c>
      <c r="F17" s="77">
        <v>10</v>
      </c>
      <c r="G17" s="89">
        <f>INDEX('Source Review'!$F$2:$F$52,MATCH($A17,'Source Review'!$A$2:$A$52,0))</f>
        <v>6</v>
      </c>
      <c r="H17" s="89">
        <f>INDEX('Source Review'!$G$2:$G$52,MATCH($A17,'Source Review'!$A$2:$A$52,0))</f>
        <v>9</v>
      </c>
      <c r="I17" s="89">
        <f>INDEX('Source Review'!$H$2:$H$52,MATCH($A17,'Source Review'!$A$2:$A$52,0))</f>
        <v>14</v>
      </c>
      <c r="J17" s="76" t="s">
        <v>5848</v>
      </c>
      <c r="K17" s="38" t="s">
        <v>141</v>
      </c>
      <c r="L17" s="38" t="s">
        <v>3270</v>
      </c>
      <c r="M17" s="38" t="s">
        <v>5882</v>
      </c>
      <c r="N17" s="38" t="s">
        <v>5850</v>
      </c>
    </row>
    <row r="18" spans="1:14" ht="195" customHeight="1">
      <c r="A18" s="76" t="s">
        <v>595</v>
      </c>
      <c r="B18" s="76" t="s">
        <v>596</v>
      </c>
      <c r="C18" s="76" t="s">
        <v>116</v>
      </c>
      <c r="D18" s="76" t="s">
        <v>5883</v>
      </c>
      <c r="E18" s="76" t="s">
        <v>3273</v>
      </c>
      <c r="F18" s="77">
        <v>8</v>
      </c>
      <c r="G18" s="89">
        <f>INDEX('Source Review'!$F$2:$F$52,MATCH($A18,'Source Review'!$A$2:$A$52,0))</f>
        <v>0</v>
      </c>
      <c r="H18" s="89">
        <f>INDEX('Source Review'!$G$2:$G$52,MATCH($A18,'Source Review'!$A$2:$A$52,0))</f>
        <v>0</v>
      </c>
      <c r="I18" s="89">
        <f>INDEX('Source Review'!$H$2:$H$52,MATCH($A18,'Source Review'!$A$2:$A$52,0))</f>
        <v>0</v>
      </c>
      <c r="J18" s="76" t="s">
        <v>5848</v>
      </c>
      <c r="K18" s="38" t="s">
        <v>606</v>
      </c>
      <c r="L18" s="38" t="s">
        <v>3274</v>
      </c>
      <c r="M18" s="38"/>
      <c r="N18" s="38" t="s">
        <v>5850</v>
      </c>
    </row>
    <row r="19" spans="1:14" ht="195" customHeight="1">
      <c r="A19" s="76" t="s">
        <v>610</v>
      </c>
      <c r="B19" s="76" t="s">
        <v>611</v>
      </c>
      <c r="C19" s="76" t="s">
        <v>455</v>
      </c>
      <c r="D19" s="76" t="s">
        <v>5884</v>
      </c>
      <c r="E19" s="76" t="s">
        <v>3277</v>
      </c>
      <c r="F19" s="77">
        <v>12</v>
      </c>
      <c r="G19" s="89">
        <f>INDEX('Source Review'!$F$2:$F$52,MATCH($A19,'Source Review'!$A$2:$A$52,0))</f>
        <v>10</v>
      </c>
      <c r="H19" s="89">
        <f>INDEX('Source Review'!$G$2:$G$52,MATCH($A19,'Source Review'!$A$2:$A$52,0))</f>
        <v>16</v>
      </c>
      <c r="I19" s="89">
        <f>INDEX('Source Review'!$H$2:$H$52,MATCH($A19,'Source Review'!$A$2:$A$52,0))</f>
        <v>26</v>
      </c>
      <c r="J19" s="76" t="s">
        <v>5848</v>
      </c>
      <c r="K19" s="38" t="s">
        <v>141</v>
      </c>
      <c r="L19" s="38" t="s">
        <v>3278</v>
      </c>
      <c r="M19" s="38" t="s">
        <v>5885</v>
      </c>
      <c r="N19" s="38" t="s">
        <v>5850</v>
      </c>
    </row>
    <row r="20" spans="1:14" ht="195" customHeight="1">
      <c r="A20" s="76" t="s">
        <v>622</v>
      </c>
      <c r="B20" s="76" t="s">
        <v>623</v>
      </c>
      <c r="C20" s="76" t="s">
        <v>455</v>
      </c>
      <c r="D20" s="76" t="s">
        <v>5886</v>
      </c>
      <c r="E20" s="76" t="s">
        <v>3281</v>
      </c>
      <c r="F20" s="77">
        <v>12</v>
      </c>
      <c r="G20" s="89">
        <f>INDEX('Source Review'!$F$2:$F$52,MATCH($A20,'Source Review'!$A$2:$A$52,0))</f>
        <v>10</v>
      </c>
      <c r="H20" s="89">
        <f>INDEX('Source Review'!$G$2:$G$52,MATCH($A20,'Source Review'!$A$2:$A$52,0))</f>
        <v>16</v>
      </c>
      <c r="I20" s="89">
        <f>INDEX('Source Review'!$H$2:$H$52,MATCH($A20,'Source Review'!$A$2:$A$52,0))</f>
        <v>26</v>
      </c>
      <c r="J20" s="76" t="s">
        <v>5848</v>
      </c>
      <c r="K20" s="38" t="s">
        <v>141</v>
      </c>
      <c r="L20" s="38" t="s">
        <v>3282</v>
      </c>
      <c r="M20" s="38" t="s">
        <v>5887</v>
      </c>
      <c r="N20" s="38" t="s">
        <v>5850</v>
      </c>
    </row>
    <row r="21" spans="1:14" ht="195" customHeight="1">
      <c r="A21" s="76" t="s">
        <v>629</v>
      </c>
      <c r="B21" s="76" t="s">
        <v>630</v>
      </c>
      <c r="C21" s="76" t="s">
        <v>455</v>
      </c>
      <c r="D21" s="76" t="s">
        <v>5888</v>
      </c>
      <c r="E21" s="76" t="s">
        <v>3285</v>
      </c>
      <c r="F21" s="77">
        <v>12</v>
      </c>
      <c r="G21" s="89">
        <f>INDEX('Source Review'!$F$2:$F$52,MATCH($A21,'Source Review'!$A$2:$A$52,0))</f>
        <v>10</v>
      </c>
      <c r="H21" s="89">
        <f>INDEX('Source Review'!$G$2:$G$52,MATCH($A21,'Source Review'!$A$2:$A$52,0))</f>
        <v>16</v>
      </c>
      <c r="I21" s="89">
        <f>INDEX('Source Review'!$H$2:$H$52,MATCH($A21,'Source Review'!$A$2:$A$52,0))</f>
        <v>28</v>
      </c>
      <c r="J21" s="76" t="s">
        <v>5848</v>
      </c>
      <c r="K21" s="38" t="s">
        <v>141</v>
      </c>
      <c r="L21" s="38" t="s">
        <v>3286</v>
      </c>
      <c r="M21" s="38" t="s">
        <v>5889</v>
      </c>
      <c r="N21" s="38" t="s">
        <v>5850</v>
      </c>
    </row>
    <row r="22" spans="1:14" ht="195" customHeight="1">
      <c r="A22" s="76" t="s">
        <v>636</v>
      </c>
      <c r="B22" s="76" t="s">
        <v>637</v>
      </c>
      <c r="C22" s="76" t="s">
        <v>455</v>
      </c>
      <c r="D22" s="76" t="s">
        <v>5890</v>
      </c>
      <c r="E22" s="76" t="s">
        <v>3289</v>
      </c>
      <c r="F22" s="77">
        <v>6</v>
      </c>
      <c r="G22" s="89">
        <f>INDEX('Source Review'!$F$2:$F$52,MATCH($A22,'Source Review'!$A$2:$A$52,0))</f>
        <v>5</v>
      </c>
      <c r="H22" s="89">
        <f>INDEX('Source Review'!$G$2:$G$52,MATCH($A22,'Source Review'!$A$2:$A$52,0))</f>
        <v>8</v>
      </c>
      <c r="I22" s="89">
        <f>INDEX('Source Review'!$H$2:$H$52,MATCH($A22,'Source Review'!$A$2:$A$52,0))</f>
        <v>13</v>
      </c>
      <c r="J22" s="76" t="s">
        <v>5848</v>
      </c>
      <c r="K22" s="38" t="s">
        <v>141</v>
      </c>
      <c r="L22" s="38" t="s">
        <v>3290</v>
      </c>
      <c r="M22" s="38" t="s">
        <v>5891</v>
      </c>
      <c r="N22" s="38" t="s">
        <v>5850</v>
      </c>
    </row>
    <row r="23" spans="1:14" ht="195" customHeight="1">
      <c r="A23" s="76" t="s">
        <v>648</v>
      </c>
      <c r="B23" s="76" t="s">
        <v>649</v>
      </c>
      <c r="C23" s="76" t="s">
        <v>455</v>
      </c>
      <c r="D23" s="76" t="s">
        <v>5892</v>
      </c>
      <c r="E23" s="76" t="s">
        <v>3293</v>
      </c>
      <c r="F23" s="77">
        <v>5</v>
      </c>
      <c r="G23" s="89">
        <f>INDEX('Source Review'!$F$2:$F$52,MATCH($A23,'Source Review'!$A$2:$A$52,0))</f>
        <v>5</v>
      </c>
      <c r="H23" s="89">
        <f>INDEX('Source Review'!$G$2:$G$52,MATCH($A23,'Source Review'!$A$2:$A$52,0))</f>
        <v>8</v>
      </c>
      <c r="I23" s="89">
        <f>INDEX('Source Review'!$H$2:$H$52,MATCH($A23,'Source Review'!$A$2:$A$52,0))</f>
        <v>14</v>
      </c>
      <c r="J23" s="76" t="s">
        <v>5848</v>
      </c>
      <c r="K23" s="38" t="s">
        <v>141</v>
      </c>
      <c r="L23" s="38" t="s">
        <v>3294</v>
      </c>
      <c r="M23" s="38" t="s">
        <v>5893</v>
      </c>
      <c r="N23" s="38" t="s">
        <v>5850</v>
      </c>
    </row>
    <row r="24" spans="1:14" ht="195" customHeight="1">
      <c r="A24" s="76" t="s">
        <v>659</v>
      </c>
      <c r="B24" s="76" t="s">
        <v>660</v>
      </c>
      <c r="C24" s="76" t="s">
        <v>455</v>
      </c>
      <c r="D24" s="76" t="s">
        <v>5894</v>
      </c>
      <c r="E24" s="76" t="s">
        <v>3297</v>
      </c>
      <c r="F24" s="77">
        <v>8</v>
      </c>
      <c r="G24" s="89">
        <f>INDEX('Source Review'!$F$2:$F$52,MATCH($A24,'Source Review'!$A$2:$A$52,0))</f>
        <v>6</v>
      </c>
      <c r="H24" s="89">
        <f>INDEX('Source Review'!$G$2:$G$52,MATCH($A24,'Source Review'!$A$2:$A$52,0))</f>
        <v>11</v>
      </c>
      <c r="I24" s="89">
        <f>INDEX('Source Review'!$H$2:$H$52,MATCH($A24,'Source Review'!$A$2:$A$52,0))</f>
        <v>18</v>
      </c>
      <c r="J24" s="76" t="s">
        <v>5848</v>
      </c>
      <c r="K24" s="38" t="s">
        <v>141</v>
      </c>
      <c r="L24" s="38" t="s">
        <v>3298</v>
      </c>
      <c r="M24" s="38" t="s">
        <v>5895</v>
      </c>
      <c r="N24" s="38" t="s">
        <v>5850</v>
      </c>
    </row>
    <row r="25" spans="1:14" ht="195" customHeight="1">
      <c r="A25" s="76" t="s">
        <v>671</v>
      </c>
      <c r="B25" s="76" t="s">
        <v>672</v>
      </c>
      <c r="C25" s="76" t="s">
        <v>116</v>
      </c>
      <c r="D25" s="76" t="s">
        <v>5896</v>
      </c>
      <c r="E25" s="76" t="s">
        <v>3301</v>
      </c>
      <c r="F25" s="77">
        <v>10</v>
      </c>
      <c r="G25" s="89">
        <f>INDEX('Source Review'!$F$2:$F$52,MATCH($A25,'Source Review'!$A$2:$A$52,0))</f>
        <v>0</v>
      </c>
      <c r="H25" s="89">
        <f>INDEX('Source Review'!$G$2:$G$52,MATCH($A25,'Source Review'!$A$2:$A$52,0))</f>
        <v>0</v>
      </c>
      <c r="I25" s="89">
        <f>INDEX('Source Review'!$H$2:$H$52,MATCH($A25,'Source Review'!$A$2:$A$52,0))</f>
        <v>0</v>
      </c>
      <c r="J25" s="76" t="s">
        <v>5848</v>
      </c>
      <c r="K25" s="38" t="s">
        <v>682</v>
      </c>
      <c r="L25" s="38" t="s">
        <v>3302</v>
      </c>
      <c r="M25" s="38"/>
      <c r="N25" s="38" t="s">
        <v>5850</v>
      </c>
    </row>
    <row r="26" spans="1:14" ht="195" customHeight="1">
      <c r="A26" s="76" t="s">
        <v>686</v>
      </c>
      <c r="B26" s="76" t="s">
        <v>687</v>
      </c>
      <c r="C26" s="76" t="s">
        <v>116</v>
      </c>
      <c r="D26" s="76" t="s">
        <v>5897</v>
      </c>
      <c r="E26" s="76" t="s">
        <v>3305</v>
      </c>
      <c r="F26" s="77">
        <v>16</v>
      </c>
      <c r="G26" s="89">
        <f>INDEX('Source Review'!$F$2:$F$52,MATCH($A26,'Source Review'!$A$2:$A$52,0))</f>
        <v>0</v>
      </c>
      <c r="H26" s="89">
        <f>INDEX('Source Review'!$G$2:$G$52,MATCH($A26,'Source Review'!$A$2:$A$52,0))</f>
        <v>0</v>
      </c>
      <c r="I26" s="89">
        <f>INDEX('Source Review'!$H$2:$H$52,MATCH($A26,'Source Review'!$A$2:$A$52,0))</f>
        <v>0</v>
      </c>
      <c r="J26" s="76" t="s">
        <v>5848</v>
      </c>
      <c r="K26" s="38" t="s">
        <v>695</v>
      </c>
      <c r="L26" s="38" t="s">
        <v>3306</v>
      </c>
      <c r="M26" s="38"/>
      <c r="N26" s="38" t="s">
        <v>5850</v>
      </c>
    </row>
    <row r="27" spans="1:14" ht="195" customHeight="1">
      <c r="A27" s="76" t="s">
        <v>696</v>
      </c>
      <c r="B27" s="76" t="s">
        <v>697</v>
      </c>
      <c r="C27" s="76" t="s">
        <v>653</v>
      </c>
      <c r="D27" s="76" t="s">
        <v>5898</v>
      </c>
      <c r="E27" s="76" t="s">
        <v>3309</v>
      </c>
      <c r="F27" s="77">
        <v>12</v>
      </c>
      <c r="G27" s="89">
        <f>INDEX('Source Review'!$F$2:$F$52,MATCH($A27,'Source Review'!$A$2:$A$52,0))</f>
        <v>5</v>
      </c>
      <c r="H27" s="89">
        <f>INDEX('Source Review'!$G$2:$G$52,MATCH($A27,'Source Review'!$A$2:$A$52,0))</f>
        <v>9</v>
      </c>
      <c r="I27" s="89">
        <f>INDEX('Source Review'!$H$2:$H$52,MATCH($A27,'Source Review'!$A$2:$A$52,0))</f>
        <v>15</v>
      </c>
      <c r="J27" s="76" t="s">
        <v>5848</v>
      </c>
      <c r="K27" s="38" t="s">
        <v>5899</v>
      </c>
      <c r="L27" s="38" t="s">
        <v>3310</v>
      </c>
      <c r="M27" s="38" t="s">
        <v>5900</v>
      </c>
      <c r="N27" s="38" t="s">
        <v>5850</v>
      </c>
    </row>
    <row r="28" spans="1:14" ht="195" customHeight="1">
      <c r="A28" s="76" t="s">
        <v>710</v>
      </c>
      <c r="B28" s="76" t="s">
        <v>711</v>
      </c>
      <c r="C28" s="76" t="s">
        <v>116</v>
      </c>
      <c r="D28" s="76" t="s">
        <v>5901</v>
      </c>
      <c r="E28" s="76" t="s">
        <v>3313</v>
      </c>
      <c r="F28" s="77">
        <v>14</v>
      </c>
      <c r="G28" s="89">
        <f>INDEX('Source Review'!$F$2:$F$52,MATCH($A28,'Source Review'!$A$2:$A$52,0))</f>
        <v>0</v>
      </c>
      <c r="H28" s="89">
        <f>INDEX('Source Review'!$G$2:$G$52,MATCH($A28,'Source Review'!$A$2:$A$52,0))</f>
        <v>0</v>
      </c>
      <c r="I28" s="89">
        <f>INDEX('Source Review'!$H$2:$H$52,MATCH($A28,'Source Review'!$A$2:$A$52,0))</f>
        <v>0</v>
      </c>
      <c r="J28" s="76" t="s">
        <v>5848</v>
      </c>
      <c r="K28" s="38" t="s">
        <v>718</v>
      </c>
      <c r="L28" s="38" t="s">
        <v>3314</v>
      </c>
      <c r="M28" s="38"/>
      <c r="N28" s="38" t="s">
        <v>5850</v>
      </c>
    </row>
    <row r="29" spans="1:14" ht="195" customHeight="1">
      <c r="A29" s="76" t="s">
        <v>723</v>
      </c>
      <c r="B29" s="76" t="s">
        <v>724</v>
      </c>
      <c r="C29" s="76" t="s">
        <v>455</v>
      </c>
      <c r="D29" s="76" t="s">
        <v>5902</v>
      </c>
      <c r="E29" s="76" t="s">
        <v>3317</v>
      </c>
      <c r="F29" s="77">
        <v>12</v>
      </c>
      <c r="G29" s="89">
        <f>INDEX('Source Review'!$F$2:$F$52,MATCH($A29,'Source Review'!$A$2:$A$52,0))</f>
        <v>6</v>
      </c>
      <c r="H29" s="89">
        <f>INDEX('Source Review'!$G$2:$G$52,MATCH($A29,'Source Review'!$A$2:$A$52,0))</f>
        <v>10</v>
      </c>
      <c r="I29" s="89">
        <f>INDEX('Source Review'!$H$2:$H$52,MATCH($A29,'Source Review'!$A$2:$A$52,0))</f>
        <v>16</v>
      </c>
      <c r="J29" s="76" t="s">
        <v>5848</v>
      </c>
      <c r="K29" s="38" t="s">
        <v>141</v>
      </c>
      <c r="L29" s="38" t="s">
        <v>3318</v>
      </c>
      <c r="M29" s="38" t="s">
        <v>5903</v>
      </c>
      <c r="N29" s="38" t="s">
        <v>5850</v>
      </c>
    </row>
    <row r="30" spans="1:14" ht="195" customHeight="1">
      <c r="A30" s="76" t="s">
        <v>737</v>
      </c>
      <c r="B30" s="76" t="s">
        <v>738</v>
      </c>
      <c r="C30" s="76" t="s">
        <v>455</v>
      </c>
      <c r="D30" s="76" t="s">
        <v>5904</v>
      </c>
      <c r="E30" s="76" t="s">
        <v>3321</v>
      </c>
      <c r="F30" s="77">
        <v>12</v>
      </c>
      <c r="G30" s="89">
        <f>INDEX('Source Review'!$F$2:$F$52,MATCH($A30,'Source Review'!$A$2:$A$52,0))</f>
        <v>8</v>
      </c>
      <c r="H30" s="89">
        <f>INDEX('Source Review'!$G$2:$G$52,MATCH($A30,'Source Review'!$A$2:$A$52,0))</f>
        <v>14</v>
      </c>
      <c r="I30" s="89">
        <f>INDEX('Source Review'!$H$2:$H$52,MATCH($A30,'Source Review'!$A$2:$A$52,0))</f>
        <v>22</v>
      </c>
      <c r="J30" s="76" t="s">
        <v>5848</v>
      </c>
      <c r="K30" s="38" t="s">
        <v>141</v>
      </c>
      <c r="L30" s="38" t="s">
        <v>3322</v>
      </c>
      <c r="M30" s="38" t="s">
        <v>5905</v>
      </c>
      <c r="N30" s="38" t="s">
        <v>5850</v>
      </c>
    </row>
    <row r="31" spans="1:14" ht="195" customHeight="1">
      <c r="A31" s="76" t="s">
        <v>749</v>
      </c>
      <c r="B31" s="76" t="s">
        <v>750</v>
      </c>
      <c r="C31" s="76" t="s">
        <v>116</v>
      </c>
      <c r="D31" s="76" t="s">
        <v>5906</v>
      </c>
      <c r="E31" s="76" t="s">
        <v>3325</v>
      </c>
      <c r="F31" s="77">
        <v>12</v>
      </c>
      <c r="G31" s="89">
        <f>INDEX('Source Review'!$F$2:$F$52,MATCH($A31,'Source Review'!$A$2:$A$52,0))</f>
        <v>0</v>
      </c>
      <c r="H31" s="89">
        <f>INDEX('Source Review'!$G$2:$G$52,MATCH($A31,'Source Review'!$A$2:$A$52,0))</f>
        <v>0</v>
      </c>
      <c r="I31" s="89">
        <f>INDEX('Source Review'!$H$2:$H$52,MATCH($A31,'Source Review'!$A$2:$A$52,0))</f>
        <v>0</v>
      </c>
      <c r="J31" s="76" t="s">
        <v>5848</v>
      </c>
      <c r="K31" s="38" t="s">
        <v>5907</v>
      </c>
      <c r="L31" s="38" t="s">
        <v>3326</v>
      </c>
      <c r="M31" s="38"/>
      <c r="N31" s="38" t="s">
        <v>5850</v>
      </c>
    </row>
    <row r="32" spans="1:14" ht="195" customHeight="1">
      <c r="A32" s="76" t="s">
        <v>759</v>
      </c>
      <c r="B32" s="76" t="s">
        <v>760</v>
      </c>
      <c r="C32" s="76" t="s">
        <v>653</v>
      </c>
      <c r="D32" s="76" t="s">
        <v>5908</v>
      </c>
      <c r="E32" s="76" t="s">
        <v>3329</v>
      </c>
      <c r="F32" s="77">
        <v>6</v>
      </c>
      <c r="G32" s="89">
        <f>INDEX('Source Review'!$F$2:$F$52,MATCH($A32,'Source Review'!$A$2:$A$52,0))</f>
        <v>2</v>
      </c>
      <c r="H32" s="89">
        <f>INDEX('Source Review'!$G$2:$G$52,MATCH($A32,'Source Review'!$A$2:$A$52,0))</f>
        <v>4</v>
      </c>
      <c r="I32" s="89">
        <f>INDEX('Source Review'!$H$2:$H$52,MATCH($A32,'Source Review'!$A$2:$A$52,0))</f>
        <v>7</v>
      </c>
      <c r="J32" s="76" t="s">
        <v>5848</v>
      </c>
      <c r="K32" s="38" t="s">
        <v>5909</v>
      </c>
      <c r="L32" s="38" t="s">
        <v>3330</v>
      </c>
      <c r="M32" s="38" t="s">
        <v>5910</v>
      </c>
      <c r="N32" s="38" t="s">
        <v>5850</v>
      </c>
    </row>
    <row r="33" spans="1:14" ht="195" customHeight="1">
      <c r="A33" s="76" t="s">
        <v>772</v>
      </c>
      <c r="B33" s="76" t="s">
        <v>773</v>
      </c>
      <c r="C33" s="76" t="s">
        <v>653</v>
      </c>
      <c r="D33" s="76" t="s">
        <v>5911</v>
      </c>
      <c r="E33" s="76" t="s">
        <v>3333</v>
      </c>
      <c r="F33" s="77">
        <v>12</v>
      </c>
      <c r="G33" s="89">
        <f>INDEX('Source Review'!$F$2:$F$52,MATCH($A33,'Source Review'!$A$2:$A$52,0))</f>
        <v>16</v>
      </c>
      <c r="H33" s="89">
        <f>INDEX('Source Review'!$G$2:$G$52,MATCH($A33,'Source Review'!$A$2:$A$52,0))</f>
        <v>26</v>
      </c>
      <c r="I33" s="89">
        <f>INDEX('Source Review'!$H$2:$H$52,MATCH($A33,'Source Review'!$A$2:$A$52,0))</f>
        <v>42</v>
      </c>
      <c r="J33" s="76" t="s">
        <v>5848</v>
      </c>
      <c r="K33" s="38" t="s">
        <v>5912</v>
      </c>
      <c r="L33" s="38" t="s">
        <v>3334</v>
      </c>
      <c r="M33" s="38" t="s">
        <v>781</v>
      </c>
      <c r="N33" s="38" t="s">
        <v>5850</v>
      </c>
    </row>
    <row r="34" spans="1:14" ht="195" customHeight="1">
      <c r="A34" s="76" t="s">
        <v>787</v>
      </c>
      <c r="B34" s="76" t="s">
        <v>788</v>
      </c>
      <c r="C34" s="76" t="s">
        <v>653</v>
      </c>
      <c r="D34" s="76" t="s">
        <v>5913</v>
      </c>
      <c r="E34" s="76" t="s">
        <v>3337</v>
      </c>
      <c r="F34" s="77" t="s">
        <v>5871</v>
      </c>
      <c r="G34" s="89">
        <f>INDEX('Source Review'!$F$2:$F$52,MATCH($A34,'Source Review'!$A$2:$A$52,0))</f>
        <v>1</v>
      </c>
      <c r="H34" s="89">
        <f>INDEX('Source Review'!$G$2:$G$52,MATCH($A34,'Source Review'!$A$2:$A$52,0))</f>
        <v>3</v>
      </c>
      <c r="I34" s="89">
        <f>INDEX('Source Review'!$H$2:$H$52,MATCH($A34,'Source Review'!$A$2:$A$52,0))</f>
        <v>6</v>
      </c>
      <c r="J34" s="76" t="s">
        <v>5848</v>
      </c>
      <c r="K34" s="38" t="s">
        <v>5914</v>
      </c>
      <c r="L34" s="38" t="s">
        <v>3338</v>
      </c>
      <c r="M34" s="38" t="s">
        <v>5915</v>
      </c>
      <c r="N34" s="38" t="s">
        <v>5850</v>
      </c>
    </row>
    <row r="35" spans="1:14" ht="195" customHeight="1">
      <c r="A35" s="76" t="s">
        <v>1817</v>
      </c>
      <c r="B35" s="76" t="s">
        <v>5372</v>
      </c>
      <c r="C35" s="76" t="s">
        <v>455</v>
      </c>
      <c r="D35" s="76" t="s">
        <v>5916</v>
      </c>
      <c r="E35" s="76" t="s">
        <v>3405</v>
      </c>
      <c r="F35" s="77" t="s">
        <v>5871</v>
      </c>
      <c r="G35" s="89">
        <f>INDEX('Source Review'!$F$2:$F$52,MATCH($A35,'Source Review'!$A$2:$A$52,0))</f>
        <v>6</v>
      </c>
      <c r="H35" s="89">
        <f>INDEX('Source Review'!$G$2:$G$52,MATCH($A35,'Source Review'!$A$2:$A$52,0))</f>
        <v>10</v>
      </c>
      <c r="I35" s="89">
        <f>INDEX('Source Review'!$H$2:$H$52,MATCH($A35,'Source Review'!$A$2:$A$52,0))</f>
        <v>16</v>
      </c>
      <c r="J35" s="76" t="s">
        <v>5848</v>
      </c>
      <c r="K35" s="38" t="s">
        <v>1815</v>
      </c>
      <c r="L35" s="38" t="s">
        <v>3406</v>
      </c>
      <c r="M35" s="38" t="s">
        <v>5917</v>
      </c>
      <c r="N35" s="38" t="s">
        <v>5850</v>
      </c>
    </row>
  </sheetData>
  <conditionalFormatting sqref="C2:C35">
    <cfRule type="expression" dxfId="7" priority="1">
      <formula>$C2="Done"</formula>
    </cfRule>
    <cfRule type="expression" dxfId="6" priority="2">
      <formula>$C2="In Progress"</formula>
    </cfRule>
    <cfRule type="expression" dxfId="5" priority="3">
      <formula>$C2="Not Started"</formula>
    </cfRule>
  </conditionalFormatting>
  <conditionalFormatting sqref="G2:I35">
    <cfRule type="expression" dxfId="4" priority="4">
      <formula>ISNUMBER(G2)</formula>
    </cfRule>
  </conditionalFormatting>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110"/>
  <sheetViews>
    <sheetView workbookViewId="0"/>
  </sheetViews>
  <sheetFormatPr defaultRowHeight="14.25"/>
  <cols>
    <col min="1" max="1" width="34" customWidth="1"/>
    <col min="2" max="3" width="24" customWidth="1"/>
    <col min="4" max="4" width="48" customWidth="1"/>
    <col min="5" max="5" width="56" customWidth="1"/>
    <col min="6" max="6" width="74" customWidth="1"/>
    <col min="7" max="7" width="3" customWidth="1"/>
    <col min="8" max="12" width="14" customWidth="1"/>
  </cols>
  <sheetData>
    <row r="1" spans="1:12" ht="36" customHeight="1">
      <c r="A1" s="136" t="s">
        <v>5918</v>
      </c>
      <c r="B1" s="136"/>
      <c r="C1" s="136"/>
      <c r="D1" s="136"/>
      <c r="E1" s="136"/>
      <c r="F1" s="136"/>
      <c r="G1" s="78"/>
      <c r="H1" s="78"/>
      <c r="I1" s="78"/>
      <c r="J1" s="78"/>
      <c r="K1" s="78"/>
      <c r="L1" s="78"/>
    </row>
    <row r="2" spans="1:12" ht="24.95" customHeight="1">
      <c r="A2" s="137" t="s">
        <v>5919</v>
      </c>
      <c r="B2" s="137"/>
      <c r="C2" s="137"/>
      <c r="D2" s="137"/>
      <c r="E2" s="137"/>
      <c r="F2" s="137"/>
      <c r="G2" s="79"/>
      <c r="H2" s="79"/>
      <c r="I2" s="79"/>
      <c r="J2" s="79"/>
      <c r="K2" s="79"/>
      <c r="L2" s="79"/>
    </row>
    <row r="3" spans="1:12" ht="42" customHeight="1">
      <c r="A3" s="138" t="s">
        <v>5920</v>
      </c>
      <c r="B3" s="138"/>
      <c r="C3" s="138"/>
      <c r="D3" s="138"/>
      <c r="E3" s="138"/>
      <c r="F3" s="138"/>
      <c r="G3" s="80"/>
      <c r="H3" s="80"/>
      <c r="I3" s="80"/>
      <c r="J3" s="80"/>
      <c r="K3" s="80"/>
      <c r="L3" s="80"/>
    </row>
    <row r="5" spans="1:12" ht="33.950000000000003" customHeight="1">
      <c r="A5" s="75" t="s">
        <v>2808</v>
      </c>
      <c r="B5" s="75" t="s">
        <v>2709</v>
      </c>
      <c r="C5" s="75" t="s">
        <v>108</v>
      </c>
      <c r="D5" s="75" t="s">
        <v>433</v>
      </c>
      <c r="E5" s="75" t="s">
        <v>2812</v>
      </c>
      <c r="F5" s="75" t="s">
        <v>5473</v>
      </c>
      <c r="H5" s="134" t="s">
        <v>5921</v>
      </c>
      <c r="I5" s="134"/>
      <c r="J5" s="134"/>
      <c r="K5" s="134"/>
      <c r="L5" s="134"/>
    </row>
    <row r="6" spans="1:12" ht="44.1" customHeight="1">
      <c r="A6" s="76" t="s">
        <v>1836</v>
      </c>
      <c r="B6" s="81">
        <f>COUNTA(Backlog!A2:A180)</f>
        <v>179</v>
      </c>
      <c r="C6" s="81">
        <f>COUNTIF(Backlog!B2:B180,"M2")</f>
        <v>107</v>
      </c>
      <c r="D6" s="81">
        <f>COUNTIFS(Backlog!B2:B180,"M2",Backlog!C2:C180,"P2")</f>
        <v>34</v>
      </c>
      <c r="E6" s="76" t="s">
        <v>5922</v>
      </c>
      <c r="F6" s="76" t="s">
        <v>5923</v>
      </c>
      <c r="H6" s="135" t="s">
        <v>5924</v>
      </c>
      <c r="I6" s="135"/>
      <c r="J6" s="135"/>
      <c r="K6" s="135"/>
      <c r="L6" s="135"/>
    </row>
    <row r="7" spans="1:12" ht="44.1" customHeight="1">
      <c r="A7" s="76" t="s">
        <v>116</v>
      </c>
      <c r="B7" s="81">
        <f>COUNTIF(Backlog!K2:K180,"Done")</f>
        <v>62</v>
      </c>
      <c r="C7" s="81">
        <f>COUNTIFS(Backlog!B2:B180,"M2",Backlog!K2:K180,"Done")</f>
        <v>62</v>
      </c>
      <c r="D7" s="81">
        <f>COUNTIFS(Backlog!B2:B180,"M2",Backlog!C2:C180,"P2",Backlog!K2:K180,"Done")</f>
        <v>14</v>
      </c>
      <c r="E7" s="76" t="s">
        <v>5925</v>
      </c>
      <c r="F7" s="76" t="s">
        <v>5926</v>
      </c>
      <c r="H7" s="135" t="s">
        <v>5927</v>
      </c>
      <c r="I7" s="135"/>
      <c r="J7" s="135"/>
      <c r="K7" s="135"/>
      <c r="L7" s="135"/>
    </row>
    <row r="8" spans="1:12" ht="44.1" customHeight="1">
      <c r="A8" s="76" t="s">
        <v>653</v>
      </c>
      <c r="B8" s="81">
        <f>COUNTIF(Backlog!K2:K180,"In Progress")</f>
        <v>3</v>
      </c>
      <c r="C8" s="81">
        <f>COUNTIFS(Backlog!B2:B180,"M2",Backlog!K2:K180,"In Progress")</f>
        <v>3</v>
      </c>
      <c r="D8" s="81">
        <f>COUNTIFS(Backlog!B2:B180,"M2",Backlog!C2:C180,"P2",Backlog!K2:K180,"In Progress")</f>
        <v>3</v>
      </c>
      <c r="E8" s="76" t="s">
        <v>5928</v>
      </c>
      <c r="F8" s="76" t="s">
        <v>5929</v>
      </c>
      <c r="H8" s="135" t="s">
        <v>5930</v>
      </c>
      <c r="I8" s="135"/>
      <c r="J8" s="135"/>
      <c r="K8" s="135"/>
      <c r="L8" s="135"/>
    </row>
    <row r="9" spans="1:12" ht="44.1" customHeight="1">
      <c r="A9" s="76" t="s">
        <v>455</v>
      </c>
      <c r="B9" s="81">
        <f>COUNTIF(Backlog!K2:K180,"Not Started")</f>
        <v>114</v>
      </c>
      <c r="C9" s="81">
        <f>COUNTIFS(Backlog!B2:B180,"M2",Backlog!K2:K180,"Not Started")</f>
        <v>42</v>
      </c>
      <c r="D9" s="81">
        <f>COUNTIFS(Backlog!B2:B180,"M2",Backlog!C2:C180,"P2",Backlog!K2:K180,"Not Started")</f>
        <v>17</v>
      </c>
      <c r="E9" s="76" t="s">
        <v>5931</v>
      </c>
      <c r="F9" s="76" t="s">
        <v>5932</v>
      </c>
      <c r="H9" s="135" t="s">
        <v>5933</v>
      </c>
      <c r="I9" s="135"/>
      <c r="J9" s="135"/>
      <c r="K9" s="135"/>
      <c r="L9" s="135"/>
    </row>
    <row r="10" spans="1:12" ht="44.1" customHeight="1">
      <c r="A10" s="76" t="s">
        <v>5934</v>
      </c>
      <c r="B10" s="81">
        <f>COUNTIF(Backlog!AM2:AM180,0)</f>
        <v>31</v>
      </c>
      <c r="C10" s="81">
        <f>COUNTIFS(Backlog!B2:B180,"M2",Backlog!AM2:AM180,0)</f>
        <v>18</v>
      </c>
      <c r="D10" s="81">
        <f>COUNTIFS(Backlog!B2:B180,"M2",Backlog!C2:C180,"P2",Backlog!AM2:AM180,0)</f>
        <v>14</v>
      </c>
      <c r="E10" s="76" t="s">
        <v>5935</v>
      </c>
      <c r="F10" s="76" t="s">
        <v>5936</v>
      </c>
      <c r="H10" t="s">
        <v>5937</v>
      </c>
    </row>
    <row r="11" spans="1:12" ht="44.1" customHeight="1">
      <c r="A11" s="76" t="s">
        <v>5938</v>
      </c>
      <c r="B11" s="77">
        <f>SUM(Backlog!AS2:AS180)</f>
        <v>1521</v>
      </c>
      <c r="C11" s="77">
        <f>SUMIF(Backlog!B2:B180,"M2",Backlog!AS2:AS180)</f>
        <v>872</v>
      </c>
      <c r="D11" s="77">
        <f>SUMIFS(Backlog!AS2:AS180,Backlog!B2:B180,"M2",Backlog!C2:C180,"P2")</f>
        <v>199</v>
      </c>
      <c r="E11" s="76" t="s">
        <v>5939</v>
      </c>
      <c r="F11" s="76" t="s">
        <v>5940</v>
      </c>
    </row>
    <row r="13" spans="1:12" ht="38.1" customHeight="1">
      <c r="A13" s="139" t="s">
        <v>5941</v>
      </c>
      <c r="B13" s="139"/>
      <c r="C13" s="139"/>
      <c r="D13" s="139"/>
      <c r="E13" s="139"/>
      <c r="F13" s="139"/>
      <c r="G13" s="82"/>
      <c r="H13" s="82"/>
      <c r="I13" s="82"/>
      <c r="J13" s="82"/>
      <c r="K13" s="82"/>
      <c r="L13" s="82"/>
    </row>
    <row r="14" spans="1:12" ht="27.95" customHeight="1">
      <c r="A14" s="140" t="s">
        <v>5942</v>
      </c>
      <c r="B14" s="140"/>
      <c r="C14" s="140"/>
      <c r="D14" s="140"/>
      <c r="E14" s="140"/>
      <c r="F14" s="140"/>
    </row>
    <row r="15" spans="1:12" ht="33.950000000000003" customHeight="1">
      <c r="A15" s="134" t="s">
        <v>5943</v>
      </c>
      <c r="B15" s="134"/>
      <c r="C15" s="134"/>
      <c r="D15" s="134"/>
      <c r="E15" s="134"/>
      <c r="F15" s="134"/>
      <c r="G15" s="75"/>
      <c r="H15" s="75"/>
      <c r="I15" s="75"/>
      <c r="J15" s="75"/>
      <c r="K15" s="75"/>
      <c r="L15" s="75"/>
    </row>
    <row r="16" spans="1:12" ht="33.950000000000003" customHeight="1">
      <c r="A16" s="75" t="s">
        <v>5944</v>
      </c>
      <c r="B16" s="75" t="s">
        <v>5945</v>
      </c>
      <c r="C16" s="75" t="s">
        <v>5946</v>
      </c>
      <c r="D16" s="75" t="s">
        <v>5947</v>
      </c>
      <c r="E16" s="75" t="s">
        <v>5948</v>
      </c>
      <c r="F16" s="75" t="s">
        <v>5949</v>
      </c>
    </row>
    <row r="17" spans="1:12" ht="78" customHeight="1">
      <c r="A17" s="76">
        <v>1</v>
      </c>
      <c r="B17" s="76" t="s">
        <v>5950</v>
      </c>
      <c r="C17" s="83" t="s">
        <v>5951</v>
      </c>
      <c r="D17" s="76" t="s">
        <v>5952</v>
      </c>
      <c r="E17" s="76" t="s">
        <v>5953</v>
      </c>
      <c r="F17" s="76" t="s">
        <v>5954</v>
      </c>
    </row>
    <row r="18" spans="1:12" ht="78" customHeight="1">
      <c r="A18" s="76">
        <v>2</v>
      </c>
      <c r="B18" s="76" t="s">
        <v>5955</v>
      </c>
      <c r="C18" s="83" t="s">
        <v>5951</v>
      </c>
      <c r="D18" s="76" t="s">
        <v>5956</v>
      </c>
      <c r="E18" s="76" t="s">
        <v>5953</v>
      </c>
      <c r="F18" s="76" t="s">
        <v>5954</v>
      </c>
    </row>
    <row r="19" spans="1:12" ht="78" customHeight="1">
      <c r="A19" s="76">
        <v>3</v>
      </c>
      <c r="B19" s="76" t="s">
        <v>5957</v>
      </c>
      <c r="C19" s="83" t="s">
        <v>5951</v>
      </c>
      <c r="D19" s="76" t="s">
        <v>5958</v>
      </c>
      <c r="E19" s="76" t="s">
        <v>5953</v>
      </c>
      <c r="F19" s="76" t="s">
        <v>5954</v>
      </c>
    </row>
    <row r="20" spans="1:12" ht="78" customHeight="1">
      <c r="A20" s="76">
        <v>4</v>
      </c>
      <c r="B20" s="76" t="s">
        <v>5959</v>
      </c>
      <c r="C20" s="83" t="s">
        <v>5951</v>
      </c>
      <c r="D20" s="76" t="s">
        <v>5960</v>
      </c>
      <c r="E20" s="76" t="s">
        <v>5953</v>
      </c>
      <c r="F20" s="76" t="s">
        <v>5954</v>
      </c>
    </row>
    <row r="21" spans="1:12" ht="78" customHeight="1">
      <c r="A21" s="76">
        <v>5</v>
      </c>
      <c r="B21" s="76" t="s">
        <v>5961</v>
      </c>
      <c r="C21" s="83" t="s">
        <v>5951</v>
      </c>
      <c r="D21" s="76" t="s">
        <v>5952</v>
      </c>
      <c r="E21" s="76" t="s">
        <v>5953</v>
      </c>
      <c r="F21" s="76" t="s">
        <v>5954</v>
      </c>
    </row>
    <row r="22" spans="1:12" ht="78" customHeight="1">
      <c r="A22" s="76">
        <v>6</v>
      </c>
      <c r="B22" s="76" t="s">
        <v>5962</v>
      </c>
      <c r="C22" s="83" t="s">
        <v>5951</v>
      </c>
      <c r="D22" s="76" t="s">
        <v>5952</v>
      </c>
      <c r="E22" s="76" t="s">
        <v>5953</v>
      </c>
      <c r="F22" s="76" t="s">
        <v>5954</v>
      </c>
    </row>
    <row r="23" spans="1:12" ht="78" customHeight="1">
      <c r="A23" s="76">
        <v>7</v>
      </c>
      <c r="B23" s="76" t="s">
        <v>5963</v>
      </c>
      <c r="C23" s="83" t="s">
        <v>5951</v>
      </c>
      <c r="D23" s="76" t="s">
        <v>5952</v>
      </c>
      <c r="E23" s="76" t="s">
        <v>5953</v>
      </c>
      <c r="F23" s="76" t="s">
        <v>5954</v>
      </c>
    </row>
    <row r="24" spans="1:12" ht="78" customHeight="1">
      <c r="A24" s="76">
        <v>8</v>
      </c>
      <c r="B24" s="76" t="s">
        <v>5964</v>
      </c>
      <c r="C24" s="83" t="s">
        <v>5951</v>
      </c>
      <c r="D24" s="76" t="s">
        <v>5952</v>
      </c>
      <c r="E24" s="76" t="s">
        <v>5953</v>
      </c>
      <c r="F24" s="76" t="s">
        <v>5954</v>
      </c>
    </row>
    <row r="25" spans="1:12" ht="78" customHeight="1">
      <c r="A25" s="76">
        <v>9</v>
      </c>
      <c r="B25" s="76" t="s">
        <v>5965</v>
      </c>
      <c r="C25" s="83" t="s">
        <v>5951</v>
      </c>
      <c r="D25" s="76" t="s">
        <v>5952</v>
      </c>
      <c r="E25" s="76" t="s">
        <v>5953</v>
      </c>
      <c r="F25" s="76" t="s">
        <v>5954</v>
      </c>
    </row>
    <row r="26" spans="1:12" ht="78" customHeight="1">
      <c r="A26" s="76">
        <v>10</v>
      </c>
      <c r="B26" s="76" t="s">
        <v>5966</v>
      </c>
      <c r="C26" s="83" t="s">
        <v>5951</v>
      </c>
      <c r="D26" s="76" t="s">
        <v>5952</v>
      </c>
      <c r="E26" s="76" t="s">
        <v>5953</v>
      </c>
      <c r="F26" s="76" t="s">
        <v>5954</v>
      </c>
    </row>
    <row r="28" spans="1:12" ht="33.950000000000003" customHeight="1">
      <c r="A28" s="134" t="s">
        <v>5967</v>
      </c>
      <c r="B28" s="134"/>
      <c r="C28" s="134"/>
      <c r="D28" s="134"/>
      <c r="E28" s="134"/>
      <c r="F28" s="134"/>
      <c r="G28" s="75"/>
      <c r="H28" s="75"/>
      <c r="I28" s="75"/>
      <c r="J28" s="75"/>
      <c r="K28" s="75"/>
      <c r="L28" s="75"/>
    </row>
    <row r="29" spans="1:12" ht="33.950000000000003" customHeight="1">
      <c r="A29" s="75" t="s">
        <v>5968</v>
      </c>
      <c r="B29" s="75" t="s">
        <v>5969</v>
      </c>
      <c r="C29" s="75" t="s">
        <v>5970</v>
      </c>
      <c r="D29" s="75" t="s">
        <v>5971</v>
      </c>
      <c r="E29" s="75" t="s">
        <v>5972</v>
      </c>
      <c r="F29" s="75" t="s">
        <v>5973</v>
      </c>
    </row>
    <row r="30" spans="1:12" ht="44.1" customHeight="1">
      <c r="A30" s="76" t="s">
        <v>3059</v>
      </c>
      <c r="B30" s="81">
        <v>366</v>
      </c>
      <c r="C30" s="81">
        <v>61</v>
      </c>
      <c r="D30" s="81">
        <v>0</v>
      </c>
      <c r="E30" s="76" t="s">
        <v>5974</v>
      </c>
      <c r="F30" s="76" t="s">
        <v>5975</v>
      </c>
    </row>
    <row r="31" spans="1:12" ht="44.1" customHeight="1">
      <c r="A31" s="76" t="s">
        <v>5976</v>
      </c>
      <c r="B31" s="81">
        <v>7920</v>
      </c>
      <c r="C31" s="81">
        <v>6996</v>
      </c>
      <c r="D31" s="81">
        <v>185</v>
      </c>
      <c r="E31" s="76" t="s">
        <v>5974</v>
      </c>
      <c r="F31" s="76" t="s">
        <v>5977</v>
      </c>
    </row>
    <row r="32" spans="1:12" ht="44.1" customHeight="1">
      <c r="A32" s="76" t="s">
        <v>5978</v>
      </c>
      <c r="B32" s="81">
        <v>510</v>
      </c>
      <c r="C32" s="81">
        <v>133</v>
      </c>
      <c r="D32" s="81">
        <v>70</v>
      </c>
      <c r="E32" s="76" t="s">
        <v>5974</v>
      </c>
      <c r="F32" s="76" t="s">
        <v>5975</v>
      </c>
    </row>
    <row r="33" spans="1:6" ht="44.1" customHeight="1">
      <c r="A33" s="76" t="s">
        <v>5979</v>
      </c>
      <c r="B33" s="81">
        <v>2642</v>
      </c>
      <c r="C33" s="81">
        <v>2521</v>
      </c>
      <c r="D33" s="81">
        <v>2327</v>
      </c>
      <c r="E33" s="76" t="s">
        <v>5974</v>
      </c>
      <c r="F33" s="76" t="s">
        <v>5975</v>
      </c>
    </row>
    <row r="34" spans="1:6" ht="44.1" customHeight="1">
      <c r="A34" s="76" t="s">
        <v>3146</v>
      </c>
      <c r="B34" s="81">
        <v>170</v>
      </c>
      <c r="C34" s="81">
        <v>151</v>
      </c>
      <c r="D34" s="81">
        <v>0</v>
      </c>
      <c r="E34" s="76" t="s">
        <v>5974</v>
      </c>
      <c r="F34" s="76" t="s">
        <v>5975</v>
      </c>
    </row>
    <row r="35" spans="1:6" ht="44.1" customHeight="1">
      <c r="A35" s="76" t="s">
        <v>5980</v>
      </c>
      <c r="B35" s="81">
        <v>2280</v>
      </c>
      <c r="C35" s="81">
        <v>1800</v>
      </c>
      <c r="D35" s="81">
        <v>1611</v>
      </c>
      <c r="E35" s="76" t="s">
        <v>5974</v>
      </c>
      <c r="F35" s="76" t="s">
        <v>5975</v>
      </c>
    </row>
    <row r="36" spans="1:6" ht="44.1" customHeight="1">
      <c r="A36" s="76" t="s">
        <v>5981</v>
      </c>
      <c r="B36" s="81">
        <v>712</v>
      </c>
      <c r="C36" s="81">
        <v>445</v>
      </c>
      <c r="D36" s="81">
        <v>0</v>
      </c>
      <c r="E36" s="76" t="s">
        <v>5982</v>
      </c>
      <c r="F36" s="76" t="s">
        <v>5975</v>
      </c>
    </row>
    <row r="37" spans="1:6" ht="44.1" customHeight="1">
      <c r="A37" s="76" t="s">
        <v>3071</v>
      </c>
      <c r="B37" s="81">
        <v>270</v>
      </c>
      <c r="C37" s="81">
        <v>106</v>
      </c>
      <c r="D37" s="81">
        <v>0</v>
      </c>
      <c r="E37" s="76" t="s">
        <v>5974</v>
      </c>
      <c r="F37" s="76" t="s">
        <v>5975</v>
      </c>
    </row>
    <row r="38" spans="1:6" ht="44.1" customHeight="1">
      <c r="A38" s="76" t="s">
        <v>3107</v>
      </c>
      <c r="B38" s="81">
        <v>224</v>
      </c>
      <c r="C38" s="81">
        <v>93</v>
      </c>
      <c r="D38" s="81">
        <v>0</v>
      </c>
      <c r="E38" s="76" t="s">
        <v>5974</v>
      </c>
      <c r="F38" s="76" t="s">
        <v>5975</v>
      </c>
    </row>
    <row r="39" spans="1:6" ht="44.1" customHeight="1">
      <c r="A39" s="76" t="s">
        <v>5983</v>
      </c>
      <c r="B39" s="81">
        <v>396</v>
      </c>
      <c r="C39" s="81">
        <v>376</v>
      </c>
      <c r="D39" s="81">
        <v>0</v>
      </c>
      <c r="E39" s="76" t="s">
        <v>5974</v>
      </c>
      <c r="F39" s="76" t="s">
        <v>5975</v>
      </c>
    </row>
    <row r="40" spans="1:6" ht="44.1" customHeight="1">
      <c r="A40" s="76" t="s">
        <v>5984</v>
      </c>
      <c r="B40" s="81">
        <v>312</v>
      </c>
      <c r="C40" s="81">
        <v>297</v>
      </c>
      <c r="D40" s="81">
        <v>0</v>
      </c>
      <c r="E40" s="76" t="s">
        <v>5982</v>
      </c>
      <c r="F40" s="76" t="s">
        <v>5975</v>
      </c>
    </row>
    <row r="41" spans="1:6" ht="44.1" customHeight="1">
      <c r="A41" s="76" t="s">
        <v>5985</v>
      </c>
      <c r="B41" s="81">
        <v>1819</v>
      </c>
      <c r="C41" s="81">
        <v>1648</v>
      </c>
      <c r="D41" s="81">
        <v>0</v>
      </c>
      <c r="E41" s="76" t="s">
        <v>5982</v>
      </c>
      <c r="F41" s="76" t="s">
        <v>5975</v>
      </c>
    </row>
    <row r="42" spans="1:6" ht="44.1" customHeight="1">
      <c r="A42" s="76" t="s">
        <v>5986</v>
      </c>
      <c r="B42" s="81">
        <v>264</v>
      </c>
      <c r="C42" s="81">
        <v>205</v>
      </c>
      <c r="D42" s="81">
        <v>2</v>
      </c>
      <c r="E42" s="76" t="s">
        <v>5982</v>
      </c>
      <c r="F42" s="76" t="s">
        <v>5975</v>
      </c>
    </row>
    <row r="43" spans="1:6" ht="44.1" customHeight="1">
      <c r="A43" s="76" t="s">
        <v>5987</v>
      </c>
      <c r="B43" s="81">
        <v>272</v>
      </c>
      <c r="C43" s="81">
        <v>173</v>
      </c>
      <c r="D43" s="81">
        <v>0</v>
      </c>
      <c r="E43" s="76" t="s">
        <v>5982</v>
      </c>
      <c r="F43" s="76" t="s">
        <v>5975</v>
      </c>
    </row>
    <row r="44" spans="1:6" ht="44.1" customHeight="1">
      <c r="A44" s="76" t="s">
        <v>5988</v>
      </c>
      <c r="B44" s="81">
        <v>1190</v>
      </c>
      <c r="C44" s="81">
        <v>1109</v>
      </c>
      <c r="D44" s="81">
        <v>702</v>
      </c>
      <c r="E44" s="76" t="s">
        <v>5974</v>
      </c>
      <c r="F44" s="76" t="s">
        <v>5975</v>
      </c>
    </row>
    <row r="45" spans="1:6" ht="44.1" customHeight="1">
      <c r="A45" s="76" t="s">
        <v>5989</v>
      </c>
      <c r="B45" s="81">
        <v>36</v>
      </c>
      <c r="C45" s="81">
        <v>24</v>
      </c>
      <c r="D45" s="81">
        <v>0</v>
      </c>
      <c r="E45" s="76" t="s">
        <v>5982</v>
      </c>
      <c r="F45" s="76" t="s">
        <v>5975</v>
      </c>
    </row>
    <row r="46" spans="1:6" ht="44.1" customHeight="1">
      <c r="A46" s="76" t="s">
        <v>5990</v>
      </c>
      <c r="B46" s="81">
        <v>4949</v>
      </c>
      <c r="C46" s="81">
        <v>2022</v>
      </c>
      <c r="D46" s="81">
        <v>0</v>
      </c>
      <c r="E46" s="76" t="s">
        <v>5982</v>
      </c>
      <c r="F46" s="76" t="s">
        <v>5975</v>
      </c>
    </row>
    <row r="47" spans="1:6" ht="44.1" customHeight="1">
      <c r="A47" s="76" t="s">
        <v>5991</v>
      </c>
      <c r="B47" s="81">
        <v>410</v>
      </c>
      <c r="C47" s="81">
        <v>311</v>
      </c>
      <c r="D47" s="81">
        <v>210</v>
      </c>
      <c r="E47" s="76" t="s">
        <v>5974</v>
      </c>
      <c r="F47" s="76" t="s">
        <v>5975</v>
      </c>
    </row>
    <row r="48" spans="1:6" ht="44.1" customHeight="1">
      <c r="A48" s="76" t="s">
        <v>5992</v>
      </c>
      <c r="B48" s="81">
        <v>1224</v>
      </c>
      <c r="C48" s="81">
        <v>306</v>
      </c>
      <c r="D48" s="81">
        <v>0</v>
      </c>
      <c r="E48" s="76" t="s">
        <v>5982</v>
      </c>
      <c r="F48" s="76" t="s">
        <v>5975</v>
      </c>
    </row>
    <row r="49" spans="1:6" ht="44.1" customHeight="1">
      <c r="A49" s="76" t="s">
        <v>5993</v>
      </c>
      <c r="B49" s="81">
        <v>672</v>
      </c>
      <c r="C49" s="81">
        <v>59</v>
      </c>
      <c r="D49" s="81">
        <v>27</v>
      </c>
      <c r="E49" s="76" t="s">
        <v>5974</v>
      </c>
      <c r="F49" s="76" t="s">
        <v>5975</v>
      </c>
    </row>
    <row r="50" spans="1:6" ht="44.1" customHeight="1">
      <c r="A50" s="76" t="s">
        <v>5431</v>
      </c>
      <c r="B50" s="81">
        <v>182</v>
      </c>
      <c r="C50" s="81">
        <v>182</v>
      </c>
      <c r="D50" s="81">
        <v>0</v>
      </c>
      <c r="E50" s="76" t="s">
        <v>5974</v>
      </c>
      <c r="F50" s="76" t="s">
        <v>5975</v>
      </c>
    </row>
    <row r="51" spans="1:6" ht="44.1" customHeight="1">
      <c r="A51" s="76" t="s">
        <v>5994</v>
      </c>
      <c r="B51" s="81">
        <v>84</v>
      </c>
      <c r="C51" s="81">
        <v>57</v>
      </c>
      <c r="D51" s="81">
        <v>21</v>
      </c>
      <c r="E51" s="76" t="s">
        <v>5974</v>
      </c>
      <c r="F51" s="76" t="s">
        <v>5975</v>
      </c>
    </row>
    <row r="52" spans="1:6" ht="44.1" customHeight="1">
      <c r="A52" s="76" t="s">
        <v>5995</v>
      </c>
      <c r="B52" s="81">
        <v>5124</v>
      </c>
      <c r="C52" s="81">
        <v>4508</v>
      </c>
      <c r="D52" s="81">
        <v>0</v>
      </c>
      <c r="E52" s="76" t="s">
        <v>5982</v>
      </c>
      <c r="F52" s="76" t="s">
        <v>5975</v>
      </c>
    </row>
    <row r="53" spans="1:6" ht="44.1" customHeight="1">
      <c r="A53" s="76" t="s">
        <v>5996</v>
      </c>
      <c r="B53" s="81">
        <v>48</v>
      </c>
      <c r="C53" s="81">
        <v>24</v>
      </c>
      <c r="D53" s="81">
        <v>0</v>
      </c>
      <c r="E53" s="76" t="s">
        <v>5974</v>
      </c>
      <c r="F53" s="76" t="s">
        <v>5975</v>
      </c>
    </row>
    <row r="54" spans="1:6" ht="44.1" customHeight="1">
      <c r="A54" s="76" t="s">
        <v>5997</v>
      </c>
      <c r="B54" s="81">
        <v>600</v>
      </c>
      <c r="C54" s="81">
        <v>600</v>
      </c>
      <c r="D54" s="81">
        <v>298</v>
      </c>
      <c r="E54" s="76" t="s">
        <v>5974</v>
      </c>
      <c r="F54" s="76" t="s">
        <v>5975</v>
      </c>
    </row>
    <row r="55" spans="1:6" ht="44.1" customHeight="1">
      <c r="A55" s="76" t="s">
        <v>5998</v>
      </c>
      <c r="B55" s="81">
        <v>2981</v>
      </c>
      <c r="C55" s="81">
        <v>2981</v>
      </c>
      <c r="D55" s="81">
        <v>0</v>
      </c>
      <c r="E55" s="76" t="s">
        <v>5974</v>
      </c>
      <c r="F55" s="76" t="s">
        <v>5975</v>
      </c>
    </row>
    <row r="56" spans="1:6" ht="44.1" customHeight="1">
      <c r="A56" s="76" t="s">
        <v>5999</v>
      </c>
      <c r="B56" s="81">
        <v>2981</v>
      </c>
      <c r="C56" s="81">
        <v>2981</v>
      </c>
      <c r="D56" s="81">
        <v>0</v>
      </c>
      <c r="E56" s="76" t="s">
        <v>5974</v>
      </c>
      <c r="F56" s="76" t="s">
        <v>5975</v>
      </c>
    </row>
    <row r="57" spans="1:6" ht="44.1" customHeight="1">
      <c r="A57" s="76" t="s">
        <v>6000</v>
      </c>
      <c r="B57" s="81">
        <v>145</v>
      </c>
      <c r="C57" s="81">
        <v>139</v>
      </c>
      <c r="D57" s="81">
        <v>0</v>
      </c>
      <c r="E57" s="76" t="s">
        <v>5982</v>
      </c>
      <c r="F57" s="76" t="s">
        <v>5975</v>
      </c>
    </row>
    <row r="58" spans="1:6" ht="44.1" customHeight="1">
      <c r="A58" s="76" t="s">
        <v>6001</v>
      </c>
      <c r="B58" s="81">
        <v>222</v>
      </c>
      <c r="C58" s="81">
        <v>71</v>
      </c>
      <c r="D58" s="81">
        <v>24</v>
      </c>
      <c r="E58" s="76" t="s">
        <v>5974</v>
      </c>
      <c r="F58" s="76" t="s">
        <v>5975</v>
      </c>
    </row>
    <row r="59" spans="1:6" ht="44.1" customHeight="1">
      <c r="A59" s="76" t="s">
        <v>6002</v>
      </c>
      <c r="B59" s="81">
        <v>92</v>
      </c>
      <c r="C59" s="81">
        <v>92</v>
      </c>
      <c r="D59" s="81">
        <v>0</v>
      </c>
      <c r="E59" s="76" t="s">
        <v>5974</v>
      </c>
      <c r="F59" s="76" t="s">
        <v>5975</v>
      </c>
    </row>
    <row r="60" spans="1:6" ht="44.1" customHeight="1">
      <c r="A60" s="76" t="s">
        <v>6003</v>
      </c>
      <c r="B60" s="81">
        <v>88</v>
      </c>
      <c r="C60" s="81">
        <v>87</v>
      </c>
      <c r="D60" s="81">
        <v>9</v>
      </c>
      <c r="E60" s="76" t="s">
        <v>5974</v>
      </c>
      <c r="F60" s="76" t="s">
        <v>6004</v>
      </c>
    </row>
    <row r="63" spans="1:6" ht="33.950000000000003" customHeight="1">
      <c r="A63" s="134" t="s">
        <v>6005</v>
      </c>
      <c r="B63" s="134"/>
      <c r="C63" s="134"/>
      <c r="D63" s="134"/>
      <c r="E63" s="134"/>
      <c r="F63" s="134"/>
    </row>
    <row r="64" spans="1:6" ht="54" customHeight="1">
      <c r="A64" s="76" t="s">
        <v>6006</v>
      </c>
      <c r="B64" s="83" t="s">
        <v>6007</v>
      </c>
      <c r="C64" s="141" t="s">
        <v>6008</v>
      </c>
      <c r="D64" s="115"/>
      <c r="E64" s="115"/>
      <c r="F64" s="115"/>
    </row>
    <row r="65" spans="1:6" ht="54" customHeight="1">
      <c r="A65" s="76" t="s">
        <v>6009</v>
      </c>
      <c r="B65" s="83" t="s">
        <v>6010</v>
      </c>
      <c r="C65" s="141" t="s">
        <v>6011</v>
      </c>
      <c r="D65" s="115"/>
      <c r="E65" s="115"/>
      <c r="F65" s="115"/>
    </row>
    <row r="66" spans="1:6" ht="54" customHeight="1">
      <c r="A66" s="76" t="s">
        <v>6012</v>
      </c>
      <c r="B66" s="83" t="s">
        <v>6013</v>
      </c>
      <c r="C66" s="141" t="s">
        <v>6014</v>
      </c>
      <c r="D66" s="115"/>
      <c r="E66" s="115"/>
      <c r="F66" s="115"/>
    </row>
    <row r="67" spans="1:6" ht="54" customHeight="1">
      <c r="A67" s="76" t="s">
        <v>6015</v>
      </c>
      <c r="B67" s="83" t="s">
        <v>6016</v>
      </c>
      <c r="C67" s="141" t="s">
        <v>6017</v>
      </c>
      <c r="D67" s="115"/>
      <c r="E67" s="115"/>
      <c r="F67" s="115"/>
    </row>
    <row r="68" spans="1:6" ht="54" customHeight="1">
      <c r="A68" s="76" t="s">
        <v>6018</v>
      </c>
      <c r="B68" s="83" t="s">
        <v>6019</v>
      </c>
      <c r="C68" s="141" t="s">
        <v>6020</v>
      </c>
      <c r="D68" s="115"/>
      <c r="E68" s="115"/>
      <c r="F68" s="115"/>
    </row>
    <row r="69" spans="1:6" ht="54" customHeight="1">
      <c r="A69" s="76" t="s">
        <v>6021</v>
      </c>
      <c r="B69" s="83" t="s">
        <v>6022</v>
      </c>
      <c r="C69" s="141" t="s">
        <v>6023</v>
      </c>
      <c r="D69" s="115"/>
      <c r="E69" s="115"/>
      <c r="F69" s="115"/>
    </row>
    <row r="70" spans="1:6" ht="54" customHeight="1">
      <c r="A70" s="76" t="s">
        <v>6024</v>
      </c>
      <c r="B70" s="83" t="s">
        <v>6025</v>
      </c>
      <c r="C70" s="141" t="s">
        <v>6026</v>
      </c>
      <c r="D70" s="115"/>
      <c r="E70" s="115"/>
      <c r="F70" s="115"/>
    </row>
    <row r="72" spans="1:6" ht="33.950000000000003" customHeight="1">
      <c r="A72" s="134" t="s">
        <v>6027</v>
      </c>
      <c r="B72" s="134"/>
      <c r="C72" s="134"/>
      <c r="D72" s="134"/>
      <c r="E72" s="134"/>
      <c r="F72" s="134"/>
    </row>
    <row r="73" spans="1:6" ht="33.950000000000003" customHeight="1">
      <c r="A73" s="75" t="s">
        <v>6028</v>
      </c>
      <c r="B73" s="75" t="s">
        <v>5471</v>
      </c>
      <c r="C73" s="75" t="s">
        <v>5472</v>
      </c>
      <c r="D73" s="75" t="s">
        <v>6029</v>
      </c>
      <c r="E73" s="75"/>
      <c r="F73" s="75"/>
    </row>
    <row r="74" spans="1:6" ht="44.1" customHeight="1">
      <c r="A74" s="76" t="s">
        <v>6030</v>
      </c>
      <c r="B74" s="76">
        <v>469445</v>
      </c>
      <c r="C74" s="76" t="s">
        <v>5476</v>
      </c>
      <c r="D74" s="141" t="s">
        <v>6031</v>
      </c>
      <c r="E74" s="141"/>
      <c r="F74" s="141"/>
    </row>
    <row r="75" spans="1:6" ht="44.1" customHeight="1">
      <c r="A75" s="76" t="s">
        <v>6032</v>
      </c>
      <c r="B75" s="76">
        <v>31</v>
      </c>
      <c r="C75" s="76" t="s">
        <v>5476</v>
      </c>
      <c r="D75" s="141" t="s">
        <v>6033</v>
      </c>
      <c r="E75" s="141"/>
      <c r="F75" s="141"/>
    </row>
    <row r="76" spans="1:6" ht="44.1" customHeight="1">
      <c r="A76" s="76" t="s">
        <v>6034</v>
      </c>
      <c r="B76" s="76">
        <v>179</v>
      </c>
      <c r="C76" s="76" t="s">
        <v>5476</v>
      </c>
      <c r="D76" s="141" t="s">
        <v>6035</v>
      </c>
      <c r="E76" s="141"/>
      <c r="F76" s="141"/>
    </row>
    <row r="77" spans="1:6" ht="44.1" customHeight="1">
      <c r="A77" s="76" t="s">
        <v>6036</v>
      </c>
      <c r="B77" s="76">
        <v>179</v>
      </c>
      <c r="C77" s="76" t="s">
        <v>5476</v>
      </c>
      <c r="D77" s="141" t="s">
        <v>6037</v>
      </c>
      <c r="E77" s="141"/>
      <c r="F77" s="141"/>
    </row>
    <row r="78" spans="1:6" ht="44.1" customHeight="1">
      <c r="A78" s="76" t="s">
        <v>6038</v>
      </c>
      <c r="B78" s="76">
        <v>179</v>
      </c>
      <c r="C78" s="76" t="s">
        <v>5476</v>
      </c>
      <c r="D78" s="141" t="s">
        <v>6039</v>
      </c>
      <c r="E78" s="141"/>
      <c r="F78" s="141"/>
    </row>
    <row r="79" spans="1:6" ht="44.1" customHeight="1">
      <c r="A79" s="76" t="s">
        <v>6040</v>
      </c>
      <c r="B79" s="76">
        <v>179</v>
      </c>
      <c r="C79" s="76" t="s">
        <v>5476</v>
      </c>
      <c r="D79" s="141" t="s">
        <v>6041</v>
      </c>
      <c r="E79" s="141"/>
      <c r="F79" s="141"/>
    </row>
    <row r="80" spans="1:6" ht="44.1" customHeight="1">
      <c r="A80" s="76" t="s">
        <v>6042</v>
      </c>
      <c r="B80" s="76">
        <v>0</v>
      </c>
      <c r="C80" s="76" t="s">
        <v>5476</v>
      </c>
      <c r="D80" s="141" t="s">
        <v>6043</v>
      </c>
      <c r="E80" s="141"/>
      <c r="F80" s="141"/>
    </row>
    <row r="81" spans="1:6" ht="44.1" customHeight="1">
      <c r="A81" s="76" t="s">
        <v>6044</v>
      </c>
      <c r="B81" s="76">
        <v>179</v>
      </c>
      <c r="C81" s="76" t="s">
        <v>5476</v>
      </c>
      <c r="D81" s="141" t="s">
        <v>6045</v>
      </c>
      <c r="E81" s="141"/>
      <c r="F81" s="141"/>
    </row>
    <row r="82" spans="1:6" ht="44.1" customHeight="1">
      <c r="A82" s="76" t="s">
        <v>6046</v>
      </c>
      <c r="B82" s="76">
        <v>179</v>
      </c>
      <c r="C82" s="76" t="s">
        <v>5476</v>
      </c>
      <c r="D82" s="141" t="s">
        <v>6047</v>
      </c>
      <c r="E82" s="141"/>
      <c r="F82" s="141"/>
    </row>
    <row r="83" spans="1:6" ht="44.1" customHeight="1">
      <c r="A83" s="76" t="s">
        <v>6048</v>
      </c>
      <c r="B83" s="76">
        <v>78</v>
      </c>
      <c r="C83" s="76" t="s">
        <v>5476</v>
      </c>
      <c r="D83" s="141" t="s">
        <v>6049</v>
      </c>
      <c r="E83" s="141"/>
      <c r="F83" s="141"/>
    </row>
    <row r="84" spans="1:6" ht="44.1" customHeight="1">
      <c r="A84" s="76" t="s">
        <v>6050</v>
      </c>
      <c r="B84" s="76">
        <v>0</v>
      </c>
      <c r="C84" s="76" t="s">
        <v>5476</v>
      </c>
      <c r="D84" s="141" t="s">
        <v>6051</v>
      </c>
      <c r="E84" s="141"/>
      <c r="F84" s="141"/>
    </row>
    <row r="85" spans="1:6" ht="44.1" customHeight="1">
      <c r="A85" s="76" t="s">
        <v>6052</v>
      </c>
      <c r="B85" s="76">
        <v>179</v>
      </c>
      <c r="C85" s="76" t="s">
        <v>5476</v>
      </c>
      <c r="D85" s="141" t="s">
        <v>6053</v>
      </c>
      <c r="E85" s="141"/>
      <c r="F85" s="141"/>
    </row>
    <row r="86" spans="1:6" ht="44.1" customHeight="1">
      <c r="A86" s="76" t="s">
        <v>6054</v>
      </c>
      <c r="B86" s="76">
        <v>27</v>
      </c>
      <c r="C86" s="76" t="s">
        <v>5476</v>
      </c>
      <c r="D86" s="141" t="s">
        <v>6055</v>
      </c>
      <c r="E86" s="141"/>
      <c r="F86" s="141"/>
    </row>
    <row r="87" spans="1:6" ht="44.1" customHeight="1">
      <c r="A87" s="76" t="s">
        <v>5399</v>
      </c>
      <c r="B87" s="76">
        <v>1</v>
      </c>
      <c r="C87" s="76" t="s">
        <v>5476</v>
      </c>
      <c r="D87" s="141" t="s">
        <v>6056</v>
      </c>
      <c r="E87" s="141"/>
      <c r="F87" s="141"/>
    </row>
    <row r="88" spans="1:6" ht="44.1" customHeight="1">
      <c r="A88" s="76" t="s">
        <v>6057</v>
      </c>
      <c r="B88" s="76">
        <v>179</v>
      </c>
      <c r="C88" s="76" t="s">
        <v>5476</v>
      </c>
      <c r="D88" s="141" t="s">
        <v>6058</v>
      </c>
      <c r="E88" s="141"/>
      <c r="F88" s="141"/>
    </row>
    <row r="89" spans="1:6" ht="44.1" customHeight="1">
      <c r="A89" s="76" t="s">
        <v>6059</v>
      </c>
      <c r="B89" s="76">
        <v>313</v>
      </c>
      <c r="C89" s="76" t="s">
        <v>5476</v>
      </c>
      <c r="D89" s="141" t="s">
        <v>6060</v>
      </c>
      <c r="E89" s="141"/>
      <c r="F89" s="141"/>
    </row>
    <row r="90" spans="1:6" ht="44.1" customHeight="1">
      <c r="A90" s="76" t="s">
        <v>6061</v>
      </c>
      <c r="B90" s="76">
        <v>179</v>
      </c>
      <c r="C90" s="76" t="s">
        <v>5476</v>
      </c>
      <c r="D90" s="141" t="s">
        <v>6062</v>
      </c>
      <c r="E90" s="141"/>
      <c r="F90" s="141"/>
    </row>
    <row r="91" spans="1:6" ht="44.1" customHeight="1">
      <c r="A91" s="76" t="s">
        <v>6063</v>
      </c>
      <c r="B91" s="76">
        <v>6</v>
      </c>
      <c r="C91" s="76" t="s">
        <v>5476</v>
      </c>
      <c r="D91" s="141" t="s">
        <v>6064</v>
      </c>
      <c r="E91" s="141"/>
      <c r="F91" s="141"/>
    </row>
    <row r="92" spans="1:6" ht="44.1" customHeight="1">
      <c r="A92" s="76" t="s">
        <v>6065</v>
      </c>
      <c r="B92" s="76">
        <v>0</v>
      </c>
      <c r="C92" s="76" t="s">
        <v>5476</v>
      </c>
      <c r="D92" s="141" t="s">
        <v>6066</v>
      </c>
      <c r="E92" s="141"/>
      <c r="F92" s="141"/>
    </row>
    <row r="93" spans="1:6" ht="44.1" customHeight="1">
      <c r="A93" s="76" t="s">
        <v>6067</v>
      </c>
      <c r="B93" s="76">
        <v>10</v>
      </c>
      <c r="C93" s="76" t="s">
        <v>5476</v>
      </c>
      <c r="D93" s="141" t="s">
        <v>6068</v>
      </c>
      <c r="E93" s="141"/>
      <c r="F93" s="141"/>
    </row>
    <row r="94" spans="1:6" ht="44.1" customHeight="1">
      <c r="A94" s="76" t="s">
        <v>6069</v>
      </c>
      <c r="B94" s="76">
        <v>13</v>
      </c>
      <c r="C94" s="76" t="s">
        <v>5476</v>
      </c>
      <c r="D94" s="141" t="s">
        <v>6070</v>
      </c>
      <c r="E94" s="141"/>
      <c r="F94" s="141"/>
    </row>
    <row r="95" spans="1:6" ht="44.1" customHeight="1">
      <c r="A95" s="76" t="s">
        <v>6071</v>
      </c>
      <c r="B95" s="76">
        <v>3</v>
      </c>
      <c r="C95" s="76" t="s">
        <v>5476</v>
      </c>
      <c r="D95" s="141" t="s">
        <v>6072</v>
      </c>
      <c r="E95" s="141"/>
      <c r="F95" s="141"/>
    </row>
    <row r="96" spans="1:6" ht="44.1" customHeight="1">
      <c r="A96" s="76" t="s">
        <v>6073</v>
      </c>
      <c r="B96" s="76">
        <v>0</v>
      </c>
      <c r="C96" s="76" t="s">
        <v>6074</v>
      </c>
      <c r="D96" s="141" t="s">
        <v>6075</v>
      </c>
      <c r="E96" s="141"/>
      <c r="F96" s="141"/>
    </row>
    <row r="97" spans="1:6" ht="44.1" customHeight="1">
      <c r="A97" s="76" t="s">
        <v>6076</v>
      </c>
      <c r="B97" s="76">
        <v>1</v>
      </c>
      <c r="C97" s="76" t="s">
        <v>6074</v>
      </c>
      <c r="D97" s="141" t="s">
        <v>6077</v>
      </c>
      <c r="E97" s="141"/>
      <c r="F97" s="141"/>
    </row>
    <row r="98" spans="1:6" ht="44.1" customHeight="1">
      <c r="A98" s="76" t="s">
        <v>6078</v>
      </c>
      <c r="B98" s="76">
        <v>15</v>
      </c>
      <c r="C98" s="76" t="s">
        <v>6074</v>
      </c>
      <c r="D98" s="141" t="s">
        <v>6079</v>
      </c>
      <c r="E98" s="141"/>
      <c r="F98" s="141"/>
    </row>
    <row r="108" spans="1:6" ht="30" customHeight="1">
      <c r="A108" s="142" t="s">
        <v>6080</v>
      </c>
      <c r="B108" s="142"/>
      <c r="C108" s="142"/>
      <c r="D108" s="142"/>
      <c r="E108" s="142"/>
      <c r="F108" s="142"/>
    </row>
    <row r="110" spans="1:6" ht="30" customHeight="1">
      <c r="A110" s="142" t="s">
        <v>6081</v>
      </c>
      <c r="B110" s="142"/>
      <c r="C110" s="142"/>
      <c r="D110" s="142"/>
      <c r="E110" s="142"/>
      <c r="F110" s="142"/>
    </row>
  </sheetData>
  <mergeCells count="48">
    <mergeCell ref="D98:F98"/>
    <mergeCell ref="A110:F110"/>
    <mergeCell ref="D93:F93"/>
    <mergeCell ref="D94:F94"/>
    <mergeCell ref="D95:F95"/>
    <mergeCell ref="D96:F96"/>
    <mergeCell ref="D97:F97"/>
    <mergeCell ref="D88:F88"/>
    <mergeCell ref="D89:F89"/>
    <mergeCell ref="D90:F90"/>
    <mergeCell ref="D91:F91"/>
    <mergeCell ref="D92:F92"/>
    <mergeCell ref="A72:F72"/>
    <mergeCell ref="A108:F108"/>
    <mergeCell ref="D74:F74"/>
    <mergeCell ref="D75:F75"/>
    <mergeCell ref="D76:F76"/>
    <mergeCell ref="D77:F77"/>
    <mergeCell ref="D78:F78"/>
    <mergeCell ref="D79:F79"/>
    <mergeCell ref="D80:F80"/>
    <mergeCell ref="D81:F81"/>
    <mergeCell ref="D82:F82"/>
    <mergeCell ref="D83:F83"/>
    <mergeCell ref="D84:F84"/>
    <mergeCell ref="D85:F85"/>
    <mergeCell ref="D86:F86"/>
    <mergeCell ref="D87:F87"/>
    <mergeCell ref="C66:F66"/>
    <mergeCell ref="C67:F67"/>
    <mergeCell ref="C68:F68"/>
    <mergeCell ref="C69:F69"/>
    <mergeCell ref="C70:F70"/>
    <mergeCell ref="A28:F28"/>
    <mergeCell ref="A14:F14"/>
    <mergeCell ref="A63:F63"/>
    <mergeCell ref="C64:F64"/>
    <mergeCell ref="C65:F65"/>
    <mergeCell ref="A1:F1"/>
    <mergeCell ref="A2:F2"/>
    <mergeCell ref="A3:F3"/>
    <mergeCell ref="A13:F13"/>
    <mergeCell ref="A15:F15"/>
    <mergeCell ref="H5:L5"/>
    <mergeCell ref="H6:L6"/>
    <mergeCell ref="H7:L7"/>
    <mergeCell ref="H8:L8"/>
    <mergeCell ref="H9:L9"/>
  </mergeCells>
  <conditionalFormatting sqref="C74:C98">
    <cfRule type="expression" dxfId="3" priority="1">
      <formula>$C74="PASS"</formula>
    </cfRule>
    <cfRule type="expression" dxfId="2" priority="2">
      <formula>$C74="OPEN"</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2874"/>
  <sheetViews>
    <sheetView workbookViewId="0"/>
  </sheetViews>
  <sheetFormatPr defaultRowHeight="14.25"/>
  <cols>
    <col min="1" max="1" width="28" customWidth="1"/>
    <col min="2" max="2" width="24" customWidth="1"/>
    <col min="3" max="4" width="70" customWidth="1"/>
    <col min="5" max="5" width="65" customWidth="1"/>
    <col min="6" max="6" width="70" customWidth="1"/>
  </cols>
  <sheetData>
    <row r="1" spans="1:6" ht="33.950000000000003" customHeight="1">
      <c r="A1" s="75" t="s">
        <v>5968</v>
      </c>
      <c r="B1" s="75" t="s">
        <v>6082</v>
      </c>
      <c r="C1" s="75" t="s">
        <v>5368</v>
      </c>
      <c r="D1" s="75" t="s">
        <v>5369</v>
      </c>
      <c r="E1" s="75" t="s">
        <v>6083</v>
      </c>
      <c r="F1" s="75" t="s">
        <v>6084</v>
      </c>
    </row>
    <row r="2" spans="1:6" ht="63.95" customHeight="1">
      <c r="A2" s="76" t="s">
        <v>3059</v>
      </c>
      <c r="B2" s="76" t="s">
        <v>3503</v>
      </c>
      <c r="C2" s="76" t="s">
        <v>6085</v>
      </c>
      <c r="D2" s="76" t="s">
        <v>6086</v>
      </c>
      <c r="E2" s="76" t="s">
        <v>6087</v>
      </c>
      <c r="F2" s="76"/>
    </row>
    <row r="3" spans="1:6" ht="63.95" customHeight="1">
      <c r="A3" s="76" t="s">
        <v>3059</v>
      </c>
      <c r="B3" s="76" t="s">
        <v>3573</v>
      </c>
      <c r="C3" s="76" t="s">
        <v>6088</v>
      </c>
      <c r="D3" s="76" t="s">
        <v>21</v>
      </c>
      <c r="E3" s="76" t="s">
        <v>6087</v>
      </c>
      <c r="F3" s="76"/>
    </row>
    <row r="4" spans="1:6" ht="63.95" customHeight="1">
      <c r="A4" s="76" t="s">
        <v>3059</v>
      </c>
      <c r="B4" s="76" t="s">
        <v>3607</v>
      </c>
      <c r="C4" s="76" t="s">
        <v>6089</v>
      </c>
      <c r="D4" s="76" t="s">
        <v>6090</v>
      </c>
      <c r="E4" s="76" t="s">
        <v>6087</v>
      </c>
      <c r="F4" s="76"/>
    </row>
    <row r="5" spans="1:6" ht="63.95" customHeight="1">
      <c r="A5" s="76" t="s">
        <v>3059</v>
      </c>
      <c r="B5" s="76" t="s">
        <v>6091</v>
      </c>
      <c r="C5" s="76" t="s">
        <v>6092</v>
      </c>
      <c r="D5" s="76" t="s">
        <v>13</v>
      </c>
      <c r="E5" s="76" t="s">
        <v>6087</v>
      </c>
      <c r="F5" s="76"/>
    </row>
    <row r="6" spans="1:6" ht="63.95" customHeight="1">
      <c r="A6" s="76" t="s">
        <v>3059</v>
      </c>
      <c r="B6" s="76" t="s">
        <v>3636</v>
      </c>
      <c r="C6" s="76" t="s">
        <v>6093</v>
      </c>
      <c r="D6" s="76" t="s">
        <v>14</v>
      </c>
      <c r="E6" s="76" t="s">
        <v>6087</v>
      </c>
      <c r="F6" s="76"/>
    </row>
    <row r="7" spans="1:6" ht="63.95" customHeight="1">
      <c r="A7" s="76" t="s">
        <v>3059</v>
      </c>
      <c r="B7" s="76" t="s">
        <v>6094</v>
      </c>
      <c r="C7" s="76" t="s">
        <v>6095</v>
      </c>
      <c r="D7" s="76" t="s">
        <v>16</v>
      </c>
      <c r="E7" s="76" t="s">
        <v>6087</v>
      </c>
      <c r="F7" s="76"/>
    </row>
    <row r="8" spans="1:6" ht="63.95" customHeight="1">
      <c r="A8" s="76" t="s">
        <v>3059</v>
      </c>
      <c r="B8" s="76" t="s">
        <v>6096</v>
      </c>
      <c r="C8" s="76" t="s">
        <v>6088</v>
      </c>
      <c r="D8" s="76" t="s">
        <v>17</v>
      </c>
      <c r="E8" s="76" t="s">
        <v>6087</v>
      </c>
      <c r="F8" s="76"/>
    </row>
    <row r="9" spans="1:6" ht="63.95" customHeight="1">
      <c r="A9" s="76" t="s">
        <v>3059</v>
      </c>
      <c r="B9" s="76" t="s">
        <v>3642</v>
      </c>
      <c r="C9" s="76" t="s">
        <v>6097</v>
      </c>
      <c r="D9" s="76" t="s">
        <v>804</v>
      </c>
      <c r="E9" s="76" t="s">
        <v>6087</v>
      </c>
      <c r="F9" s="76"/>
    </row>
    <row r="10" spans="1:6" ht="63.95" customHeight="1">
      <c r="A10" s="76" t="s">
        <v>3059</v>
      </c>
      <c r="B10" s="76" t="s">
        <v>6098</v>
      </c>
      <c r="C10" s="76" t="s">
        <v>6099</v>
      </c>
      <c r="D10" s="76" t="s">
        <v>6100</v>
      </c>
      <c r="E10" s="76" t="s">
        <v>6087</v>
      </c>
      <c r="F10" s="76"/>
    </row>
    <row r="11" spans="1:6" ht="63.95" customHeight="1">
      <c r="A11" s="76" t="s">
        <v>3059</v>
      </c>
      <c r="B11" s="76" t="s">
        <v>6101</v>
      </c>
      <c r="C11" s="76" t="s">
        <v>6088</v>
      </c>
      <c r="D11" s="76" t="s">
        <v>21</v>
      </c>
      <c r="E11" s="76" t="s">
        <v>6087</v>
      </c>
      <c r="F11" s="76"/>
    </row>
    <row r="12" spans="1:6" ht="63.95" customHeight="1">
      <c r="A12" s="76" t="s">
        <v>3059</v>
      </c>
      <c r="B12" s="76" t="s">
        <v>3648</v>
      </c>
      <c r="C12" s="76" t="s">
        <v>6102</v>
      </c>
      <c r="D12" s="76" t="s">
        <v>6103</v>
      </c>
      <c r="E12" s="76" t="s">
        <v>6087</v>
      </c>
      <c r="F12" s="76"/>
    </row>
    <row r="13" spans="1:6" ht="63.95" customHeight="1">
      <c r="A13" s="76" t="s">
        <v>3059</v>
      </c>
      <c r="B13" s="76" t="s">
        <v>6104</v>
      </c>
      <c r="C13" s="76" t="s">
        <v>6105</v>
      </c>
      <c r="D13" s="76" t="s">
        <v>6106</v>
      </c>
      <c r="E13" s="76" t="s">
        <v>6087</v>
      </c>
      <c r="F13" s="76"/>
    </row>
    <row r="14" spans="1:6" ht="63.95" customHeight="1">
      <c r="A14" s="76" t="s">
        <v>3059</v>
      </c>
      <c r="B14" s="76" t="s">
        <v>6107</v>
      </c>
      <c r="C14" s="76" t="s">
        <v>6108</v>
      </c>
      <c r="D14" s="76" t="s">
        <v>6109</v>
      </c>
      <c r="E14" s="76" t="s">
        <v>6087</v>
      </c>
      <c r="F14" s="76"/>
    </row>
    <row r="15" spans="1:6" ht="63.95" customHeight="1">
      <c r="A15" s="76" t="s">
        <v>3059</v>
      </c>
      <c r="B15" s="76" t="s">
        <v>6110</v>
      </c>
      <c r="C15" s="76" t="s">
        <v>6088</v>
      </c>
      <c r="D15" s="76" t="s">
        <v>21</v>
      </c>
      <c r="E15" s="76" t="s">
        <v>6087</v>
      </c>
      <c r="F15" s="76"/>
    </row>
    <row r="16" spans="1:6" ht="63.95" customHeight="1">
      <c r="A16" s="76" t="s">
        <v>3059</v>
      </c>
      <c r="B16" s="76" t="s">
        <v>6111</v>
      </c>
      <c r="C16" s="76" t="s">
        <v>6112</v>
      </c>
      <c r="D16" s="76" t="s">
        <v>6113</v>
      </c>
      <c r="E16" s="76" t="s">
        <v>6087</v>
      </c>
      <c r="F16" s="76"/>
    </row>
    <row r="17" spans="1:6" ht="63.95" customHeight="1">
      <c r="A17" s="76" t="s">
        <v>3059</v>
      </c>
      <c r="B17" s="76" t="s">
        <v>6114</v>
      </c>
      <c r="C17" s="76"/>
      <c r="D17" s="76" t="s">
        <v>23</v>
      </c>
      <c r="E17" s="76" t="s">
        <v>6115</v>
      </c>
      <c r="F17" s="76"/>
    </row>
    <row r="18" spans="1:6" ht="63.95" customHeight="1">
      <c r="A18" s="76" t="s">
        <v>3059</v>
      </c>
      <c r="B18" s="76" t="s">
        <v>6116</v>
      </c>
      <c r="C18" s="76"/>
      <c r="D18" s="76" t="s">
        <v>6117</v>
      </c>
      <c r="E18" s="76" t="s">
        <v>6118</v>
      </c>
      <c r="F18" s="76"/>
    </row>
    <row r="19" spans="1:6" ht="63.95" customHeight="1">
      <c r="A19" s="76" t="s">
        <v>3059</v>
      </c>
      <c r="B19" s="76" t="s">
        <v>6119</v>
      </c>
      <c r="C19" s="76"/>
      <c r="D19" s="76" t="s">
        <v>21</v>
      </c>
      <c r="E19" s="76" t="s">
        <v>6120</v>
      </c>
      <c r="F19" s="76"/>
    </row>
    <row r="20" spans="1:6" ht="63.95" customHeight="1">
      <c r="A20" s="76" t="s">
        <v>3059</v>
      </c>
      <c r="B20" s="76" t="s">
        <v>6121</v>
      </c>
      <c r="C20" s="76"/>
      <c r="D20" s="76" t="s">
        <v>6122</v>
      </c>
      <c r="E20" s="76" t="s">
        <v>6123</v>
      </c>
      <c r="F20" s="76"/>
    </row>
    <row r="21" spans="1:6" ht="63.95" customHeight="1">
      <c r="A21" s="76" t="s">
        <v>5976</v>
      </c>
      <c r="B21" s="76" t="s">
        <v>6124</v>
      </c>
      <c r="C21" s="76" t="s">
        <v>3452</v>
      </c>
      <c r="D21" s="76" t="s">
        <v>91</v>
      </c>
      <c r="E21" s="76" t="s">
        <v>6125</v>
      </c>
      <c r="F21" s="76"/>
    </row>
    <row r="22" spans="1:6" ht="63.95" customHeight="1">
      <c r="A22" s="76" t="s">
        <v>5976</v>
      </c>
      <c r="B22" s="76" t="s">
        <v>6126</v>
      </c>
      <c r="C22" s="76"/>
      <c r="D22" s="76" t="s">
        <v>97</v>
      </c>
      <c r="E22" s="76" t="s">
        <v>6127</v>
      </c>
      <c r="F22" s="76"/>
    </row>
    <row r="23" spans="1:6" ht="63.95" customHeight="1">
      <c r="A23" s="76" t="s">
        <v>5976</v>
      </c>
      <c r="B23" s="76" t="s">
        <v>6128</v>
      </c>
      <c r="C23" s="76"/>
      <c r="D23" s="76" t="s">
        <v>98</v>
      </c>
      <c r="E23" s="76" t="s">
        <v>6129</v>
      </c>
      <c r="F23" s="76"/>
    </row>
    <row r="24" spans="1:6" ht="63.95" customHeight="1">
      <c r="A24" s="76" t="s">
        <v>5976</v>
      </c>
      <c r="B24" s="76" t="s">
        <v>6130</v>
      </c>
      <c r="C24" s="76" t="s">
        <v>2983</v>
      </c>
      <c r="D24" s="76" t="s">
        <v>124</v>
      </c>
      <c r="E24" s="76" t="s">
        <v>6131</v>
      </c>
      <c r="F24" s="76" t="s">
        <v>6132</v>
      </c>
    </row>
    <row r="25" spans="1:6" ht="63.95" customHeight="1">
      <c r="A25" s="76" t="s">
        <v>5976</v>
      </c>
      <c r="B25" s="76" t="s">
        <v>6133</v>
      </c>
      <c r="C25" s="76" t="s">
        <v>6134</v>
      </c>
      <c r="D25" s="76" t="s">
        <v>6135</v>
      </c>
      <c r="E25" s="76" t="s">
        <v>6136</v>
      </c>
      <c r="F25" s="76" t="s">
        <v>6137</v>
      </c>
    </row>
    <row r="26" spans="1:6" ht="63.95" customHeight="1">
      <c r="A26" s="76" t="s">
        <v>5976</v>
      </c>
      <c r="B26" s="76" t="s">
        <v>6138</v>
      </c>
      <c r="C26" s="76"/>
      <c r="D26" s="76" t="s">
        <v>6139</v>
      </c>
      <c r="E26" s="76" t="s">
        <v>6136</v>
      </c>
      <c r="F26" s="76" t="s">
        <v>6137</v>
      </c>
    </row>
    <row r="27" spans="1:6" ht="63.95" customHeight="1">
      <c r="A27" s="76" t="s">
        <v>5976</v>
      </c>
      <c r="B27" s="76" t="s">
        <v>6140</v>
      </c>
      <c r="C27" s="76"/>
      <c r="D27" s="76" t="s">
        <v>6141</v>
      </c>
      <c r="E27" s="76" t="s">
        <v>6136</v>
      </c>
      <c r="F27" s="76" t="s">
        <v>6137</v>
      </c>
    </row>
    <row r="28" spans="1:6" ht="63.95" customHeight="1">
      <c r="A28" s="76" t="s">
        <v>5976</v>
      </c>
      <c r="B28" s="76" t="s">
        <v>6142</v>
      </c>
      <c r="C28" s="76" t="s">
        <v>6143</v>
      </c>
      <c r="D28" s="76" t="s">
        <v>124</v>
      </c>
      <c r="E28" s="76" t="s">
        <v>6131</v>
      </c>
      <c r="F28" s="76" t="s">
        <v>6132</v>
      </c>
    </row>
    <row r="29" spans="1:6" ht="63.95" customHeight="1">
      <c r="A29" s="76" t="s">
        <v>5976</v>
      </c>
      <c r="B29" s="76" t="s">
        <v>6144</v>
      </c>
      <c r="C29" s="76" t="s">
        <v>6145</v>
      </c>
      <c r="D29" s="76" t="s">
        <v>6146</v>
      </c>
      <c r="E29" s="76" t="s">
        <v>6136</v>
      </c>
      <c r="F29" s="76" t="s">
        <v>6137</v>
      </c>
    </row>
    <row r="30" spans="1:6" ht="63.95" customHeight="1">
      <c r="A30" s="76" t="s">
        <v>5976</v>
      </c>
      <c r="B30" s="76" t="s">
        <v>6147</v>
      </c>
      <c r="C30" s="76"/>
      <c r="D30" s="76" t="s">
        <v>6148</v>
      </c>
      <c r="E30" s="76" t="s">
        <v>6136</v>
      </c>
      <c r="F30" s="76" t="s">
        <v>6137</v>
      </c>
    </row>
    <row r="31" spans="1:6" ht="63.95" customHeight="1">
      <c r="A31" s="76" t="s">
        <v>5976</v>
      </c>
      <c r="B31" s="76" t="s">
        <v>6149</v>
      </c>
      <c r="C31" s="76"/>
      <c r="D31" s="76" t="s">
        <v>6150</v>
      </c>
      <c r="E31" s="76" t="s">
        <v>6136</v>
      </c>
      <c r="F31" s="76" t="s">
        <v>6137</v>
      </c>
    </row>
    <row r="32" spans="1:6" ht="63.95" customHeight="1">
      <c r="A32" s="76" t="s">
        <v>5976</v>
      </c>
      <c r="B32" s="76" t="s">
        <v>6151</v>
      </c>
      <c r="C32" s="76" t="s">
        <v>6152</v>
      </c>
      <c r="D32" s="76" t="s">
        <v>124</v>
      </c>
      <c r="E32" s="76" t="s">
        <v>6131</v>
      </c>
      <c r="F32" s="76" t="s">
        <v>6132</v>
      </c>
    </row>
    <row r="33" spans="1:6" ht="63.95" customHeight="1">
      <c r="A33" s="76" t="s">
        <v>5976</v>
      </c>
      <c r="B33" s="76" t="s">
        <v>6153</v>
      </c>
      <c r="C33" s="76" t="s">
        <v>6154</v>
      </c>
      <c r="D33" s="76" t="s">
        <v>6155</v>
      </c>
      <c r="E33" s="76" t="s">
        <v>6136</v>
      </c>
      <c r="F33" s="76" t="s">
        <v>6137</v>
      </c>
    </row>
    <row r="34" spans="1:6" ht="63.95" customHeight="1">
      <c r="A34" s="76" t="s">
        <v>5976</v>
      </c>
      <c r="B34" s="76" t="s">
        <v>6156</v>
      </c>
      <c r="C34" s="76"/>
      <c r="D34" s="76" t="s">
        <v>6157</v>
      </c>
      <c r="E34" s="76" t="s">
        <v>6136</v>
      </c>
      <c r="F34" s="76" t="s">
        <v>6137</v>
      </c>
    </row>
    <row r="35" spans="1:6" ht="63.95" customHeight="1">
      <c r="A35" s="76" t="s">
        <v>5976</v>
      </c>
      <c r="B35" s="76" t="s">
        <v>6158</v>
      </c>
      <c r="C35" s="76"/>
      <c r="D35" s="76" t="s">
        <v>6159</v>
      </c>
      <c r="E35" s="76" t="s">
        <v>6136</v>
      </c>
      <c r="F35" s="76" t="s">
        <v>6137</v>
      </c>
    </row>
    <row r="36" spans="1:6" ht="63.95" customHeight="1">
      <c r="A36" s="76" t="s">
        <v>5976</v>
      </c>
      <c r="B36" s="76" t="s">
        <v>6160</v>
      </c>
      <c r="C36" s="76" t="s">
        <v>6161</v>
      </c>
      <c r="D36" s="76" t="s">
        <v>124</v>
      </c>
      <c r="E36" s="76" t="s">
        <v>6131</v>
      </c>
      <c r="F36" s="76" t="s">
        <v>6132</v>
      </c>
    </row>
    <row r="37" spans="1:6" ht="63.95" customHeight="1">
      <c r="A37" s="76" t="s">
        <v>5976</v>
      </c>
      <c r="B37" s="76" t="s">
        <v>6162</v>
      </c>
      <c r="C37" s="76" t="s">
        <v>6163</v>
      </c>
      <c r="D37" s="76" t="s">
        <v>6164</v>
      </c>
      <c r="E37" s="76" t="s">
        <v>6136</v>
      </c>
      <c r="F37" s="76" t="s">
        <v>6137</v>
      </c>
    </row>
    <row r="38" spans="1:6" ht="63.95" customHeight="1">
      <c r="A38" s="76" t="s">
        <v>5976</v>
      </c>
      <c r="B38" s="76" t="s">
        <v>6165</v>
      </c>
      <c r="C38" s="76"/>
      <c r="D38" s="76" t="s">
        <v>6166</v>
      </c>
      <c r="E38" s="76" t="s">
        <v>6136</v>
      </c>
      <c r="F38" s="76" t="s">
        <v>6137</v>
      </c>
    </row>
    <row r="39" spans="1:6" ht="63.95" customHeight="1">
      <c r="A39" s="76" t="s">
        <v>5976</v>
      </c>
      <c r="B39" s="76" t="s">
        <v>6167</v>
      </c>
      <c r="C39" s="76"/>
      <c r="D39" s="76" t="s">
        <v>6168</v>
      </c>
      <c r="E39" s="76" t="s">
        <v>6136</v>
      </c>
      <c r="F39" s="76" t="s">
        <v>6137</v>
      </c>
    </row>
    <row r="40" spans="1:6" ht="63.95" customHeight="1">
      <c r="A40" s="76" t="s">
        <v>5976</v>
      </c>
      <c r="B40" s="76" t="s">
        <v>6169</v>
      </c>
      <c r="C40" s="76" t="s">
        <v>6170</v>
      </c>
      <c r="D40" s="76" t="s">
        <v>124</v>
      </c>
      <c r="E40" s="76" t="s">
        <v>6131</v>
      </c>
      <c r="F40" s="76" t="s">
        <v>6132</v>
      </c>
    </row>
    <row r="41" spans="1:6" ht="63.95" customHeight="1">
      <c r="A41" s="76" t="s">
        <v>5976</v>
      </c>
      <c r="B41" s="76" t="s">
        <v>6171</v>
      </c>
      <c r="C41" s="76" t="s">
        <v>6172</v>
      </c>
      <c r="D41" s="76" t="s">
        <v>6173</v>
      </c>
      <c r="E41" s="76" t="s">
        <v>6136</v>
      </c>
      <c r="F41" s="76" t="s">
        <v>6137</v>
      </c>
    </row>
    <row r="42" spans="1:6" ht="63.95" customHeight="1">
      <c r="A42" s="76" t="s">
        <v>5976</v>
      </c>
      <c r="B42" s="76" t="s">
        <v>6174</v>
      </c>
      <c r="C42" s="76"/>
      <c r="D42" s="76" t="s">
        <v>6175</v>
      </c>
      <c r="E42" s="76" t="s">
        <v>6136</v>
      </c>
      <c r="F42" s="76" t="s">
        <v>6137</v>
      </c>
    </row>
    <row r="43" spans="1:6" ht="63.95" customHeight="1">
      <c r="A43" s="76" t="s">
        <v>5976</v>
      </c>
      <c r="B43" s="76" t="s">
        <v>6176</v>
      </c>
      <c r="C43" s="76"/>
      <c r="D43" s="76" t="s">
        <v>6177</v>
      </c>
      <c r="E43" s="76" t="s">
        <v>6136</v>
      </c>
      <c r="F43" s="76" t="s">
        <v>6137</v>
      </c>
    </row>
    <row r="44" spans="1:6" ht="63.95" customHeight="1">
      <c r="A44" s="76" t="s">
        <v>5976</v>
      </c>
      <c r="B44" s="76" t="s">
        <v>6178</v>
      </c>
      <c r="C44" s="76" t="s">
        <v>6179</v>
      </c>
      <c r="D44" s="76" t="s">
        <v>124</v>
      </c>
      <c r="E44" s="76" t="s">
        <v>6131</v>
      </c>
      <c r="F44" s="76" t="s">
        <v>6132</v>
      </c>
    </row>
    <row r="45" spans="1:6" ht="63.95" customHeight="1">
      <c r="A45" s="76" t="s">
        <v>5976</v>
      </c>
      <c r="B45" s="76" t="s">
        <v>6180</v>
      </c>
      <c r="C45" s="76" t="s">
        <v>6181</v>
      </c>
      <c r="D45" s="76" t="s">
        <v>6182</v>
      </c>
      <c r="E45" s="76" t="s">
        <v>6136</v>
      </c>
      <c r="F45" s="76" t="s">
        <v>6137</v>
      </c>
    </row>
    <row r="46" spans="1:6" ht="63.95" customHeight="1">
      <c r="A46" s="76" t="s">
        <v>5976</v>
      </c>
      <c r="B46" s="76" t="s">
        <v>6183</v>
      </c>
      <c r="C46" s="76"/>
      <c r="D46" s="76" t="s">
        <v>6184</v>
      </c>
      <c r="E46" s="76" t="s">
        <v>6136</v>
      </c>
      <c r="F46" s="76" t="s">
        <v>6137</v>
      </c>
    </row>
    <row r="47" spans="1:6" ht="63.95" customHeight="1">
      <c r="A47" s="76" t="s">
        <v>5976</v>
      </c>
      <c r="B47" s="76" t="s">
        <v>6185</v>
      </c>
      <c r="C47" s="76"/>
      <c r="D47" s="76" t="s">
        <v>6186</v>
      </c>
      <c r="E47" s="76" t="s">
        <v>6136</v>
      </c>
      <c r="F47" s="76" t="s">
        <v>6137</v>
      </c>
    </row>
    <row r="48" spans="1:6" ht="63.95" customHeight="1">
      <c r="A48" s="76" t="s">
        <v>5976</v>
      </c>
      <c r="B48" s="76" t="s">
        <v>6187</v>
      </c>
      <c r="C48" s="76" t="s">
        <v>6188</v>
      </c>
      <c r="D48" s="76" t="s">
        <v>124</v>
      </c>
      <c r="E48" s="76" t="s">
        <v>6131</v>
      </c>
      <c r="F48" s="76" t="s">
        <v>6132</v>
      </c>
    </row>
    <row r="49" spans="1:6" ht="63.95" customHeight="1">
      <c r="A49" s="76" t="s">
        <v>5976</v>
      </c>
      <c r="B49" s="76" t="s">
        <v>6189</v>
      </c>
      <c r="C49" s="76" t="s">
        <v>6190</v>
      </c>
      <c r="D49" s="76" t="s">
        <v>6191</v>
      </c>
      <c r="E49" s="76" t="s">
        <v>6136</v>
      </c>
      <c r="F49" s="76" t="s">
        <v>6137</v>
      </c>
    </row>
    <row r="50" spans="1:6" ht="63.95" customHeight="1">
      <c r="A50" s="76" t="s">
        <v>5976</v>
      </c>
      <c r="B50" s="76" t="s">
        <v>6192</v>
      </c>
      <c r="C50" s="76"/>
      <c r="D50" s="76" t="s">
        <v>6193</v>
      </c>
      <c r="E50" s="76" t="s">
        <v>6136</v>
      </c>
      <c r="F50" s="76" t="s">
        <v>6137</v>
      </c>
    </row>
    <row r="51" spans="1:6" ht="63.95" customHeight="1">
      <c r="A51" s="76" t="s">
        <v>5976</v>
      </c>
      <c r="B51" s="76" t="s">
        <v>6194</v>
      </c>
      <c r="C51" s="76"/>
      <c r="D51" s="76" t="s">
        <v>6195</v>
      </c>
      <c r="E51" s="76" t="s">
        <v>6136</v>
      </c>
      <c r="F51" s="76" t="s">
        <v>6137</v>
      </c>
    </row>
    <row r="52" spans="1:6" ht="63.95" customHeight="1">
      <c r="A52" s="76" t="s">
        <v>5976</v>
      </c>
      <c r="B52" s="76" t="s">
        <v>6196</v>
      </c>
      <c r="C52" s="76" t="s">
        <v>6197</v>
      </c>
      <c r="D52" s="76" t="s">
        <v>124</v>
      </c>
      <c r="E52" s="76" t="s">
        <v>6131</v>
      </c>
      <c r="F52" s="76" t="s">
        <v>6132</v>
      </c>
    </row>
    <row r="53" spans="1:6" ht="63.95" customHeight="1">
      <c r="A53" s="76" t="s">
        <v>5976</v>
      </c>
      <c r="B53" s="76" t="s">
        <v>6198</v>
      </c>
      <c r="C53" s="76" t="s">
        <v>6199</v>
      </c>
      <c r="D53" s="76" t="s">
        <v>6200</v>
      </c>
      <c r="E53" s="76" t="s">
        <v>6136</v>
      </c>
      <c r="F53" s="76" t="s">
        <v>6137</v>
      </c>
    </row>
    <row r="54" spans="1:6" ht="63.95" customHeight="1">
      <c r="A54" s="76" t="s">
        <v>5976</v>
      </c>
      <c r="B54" s="76" t="s">
        <v>6201</v>
      </c>
      <c r="C54" s="76"/>
      <c r="D54" s="76" t="s">
        <v>6202</v>
      </c>
      <c r="E54" s="76" t="s">
        <v>6136</v>
      </c>
      <c r="F54" s="76" t="s">
        <v>6137</v>
      </c>
    </row>
    <row r="55" spans="1:6" ht="63.95" customHeight="1">
      <c r="A55" s="76" t="s">
        <v>5976</v>
      </c>
      <c r="B55" s="76" t="s">
        <v>6203</v>
      </c>
      <c r="C55" s="76"/>
      <c r="D55" s="76" t="s">
        <v>6204</v>
      </c>
      <c r="E55" s="76" t="s">
        <v>6136</v>
      </c>
      <c r="F55" s="76" t="s">
        <v>6137</v>
      </c>
    </row>
    <row r="56" spans="1:6" ht="63.95" customHeight="1">
      <c r="A56" s="76" t="s">
        <v>5976</v>
      </c>
      <c r="B56" s="76" t="s">
        <v>6205</v>
      </c>
      <c r="C56" s="76" t="s">
        <v>6206</v>
      </c>
      <c r="D56" s="76" t="s">
        <v>124</v>
      </c>
      <c r="E56" s="76" t="s">
        <v>6131</v>
      </c>
      <c r="F56" s="76" t="s">
        <v>6132</v>
      </c>
    </row>
    <row r="57" spans="1:6" ht="63.95" customHeight="1">
      <c r="A57" s="76" t="s">
        <v>5976</v>
      </c>
      <c r="B57" s="76" t="s">
        <v>6207</v>
      </c>
      <c r="C57" s="76" t="s">
        <v>6208</v>
      </c>
      <c r="D57" s="76" t="s">
        <v>6209</v>
      </c>
      <c r="E57" s="76" t="s">
        <v>6136</v>
      </c>
      <c r="F57" s="76" t="s">
        <v>6137</v>
      </c>
    </row>
    <row r="58" spans="1:6" ht="63.95" customHeight="1">
      <c r="A58" s="76" t="s">
        <v>5976</v>
      </c>
      <c r="B58" s="76" t="s">
        <v>6210</v>
      </c>
      <c r="C58" s="76"/>
      <c r="D58" s="76" t="s">
        <v>6211</v>
      </c>
      <c r="E58" s="76" t="s">
        <v>6136</v>
      </c>
      <c r="F58" s="76" t="s">
        <v>6137</v>
      </c>
    </row>
    <row r="59" spans="1:6" ht="63.95" customHeight="1">
      <c r="A59" s="76" t="s">
        <v>5976</v>
      </c>
      <c r="B59" s="76" t="s">
        <v>6212</v>
      </c>
      <c r="C59" s="76"/>
      <c r="D59" s="76" t="s">
        <v>6213</v>
      </c>
      <c r="E59" s="76" t="s">
        <v>6136</v>
      </c>
      <c r="F59" s="76" t="s">
        <v>6137</v>
      </c>
    </row>
    <row r="60" spans="1:6" ht="63.95" customHeight="1">
      <c r="A60" s="76" t="s">
        <v>5976</v>
      </c>
      <c r="B60" s="76" t="s">
        <v>6214</v>
      </c>
      <c r="C60" s="76" t="s">
        <v>6215</v>
      </c>
      <c r="D60" s="76" t="s">
        <v>124</v>
      </c>
      <c r="E60" s="76" t="s">
        <v>6131</v>
      </c>
      <c r="F60" s="76" t="s">
        <v>6132</v>
      </c>
    </row>
    <row r="61" spans="1:6" ht="63.95" customHeight="1">
      <c r="A61" s="76" t="s">
        <v>5976</v>
      </c>
      <c r="B61" s="76" t="s">
        <v>6216</v>
      </c>
      <c r="C61" s="76" t="s">
        <v>6217</v>
      </c>
      <c r="D61" s="76" t="s">
        <v>6218</v>
      </c>
      <c r="E61" s="76" t="s">
        <v>6136</v>
      </c>
      <c r="F61" s="76" t="s">
        <v>6137</v>
      </c>
    </row>
    <row r="62" spans="1:6" ht="63.95" customHeight="1">
      <c r="A62" s="76" t="s">
        <v>5976</v>
      </c>
      <c r="B62" s="76" t="s">
        <v>6219</v>
      </c>
      <c r="C62" s="76"/>
      <c r="D62" s="76" t="s">
        <v>6220</v>
      </c>
      <c r="E62" s="76" t="s">
        <v>6136</v>
      </c>
      <c r="F62" s="76" t="s">
        <v>6137</v>
      </c>
    </row>
    <row r="63" spans="1:6" ht="63.95" customHeight="1">
      <c r="A63" s="76" t="s">
        <v>5976</v>
      </c>
      <c r="B63" s="76" t="s">
        <v>6221</v>
      </c>
      <c r="C63" s="76"/>
      <c r="D63" s="76" t="s">
        <v>6222</v>
      </c>
      <c r="E63" s="76" t="s">
        <v>6136</v>
      </c>
      <c r="F63" s="76" t="s">
        <v>6137</v>
      </c>
    </row>
    <row r="64" spans="1:6" ht="63.95" customHeight="1">
      <c r="A64" s="76" t="s">
        <v>5976</v>
      </c>
      <c r="B64" s="76" t="s">
        <v>6223</v>
      </c>
      <c r="C64" s="76" t="s">
        <v>6224</v>
      </c>
      <c r="D64" s="76" t="s">
        <v>124</v>
      </c>
      <c r="E64" s="76" t="s">
        <v>6131</v>
      </c>
      <c r="F64" s="76" t="s">
        <v>6132</v>
      </c>
    </row>
    <row r="65" spans="1:6" ht="63.95" customHeight="1">
      <c r="A65" s="76" t="s">
        <v>5976</v>
      </c>
      <c r="B65" s="76" t="s">
        <v>6225</v>
      </c>
      <c r="C65" s="76" t="s">
        <v>6226</v>
      </c>
      <c r="D65" s="76" t="s">
        <v>6227</v>
      </c>
      <c r="E65" s="76" t="s">
        <v>6136</v>
      </c>
      <c r="F65" s="76" t="s">
        <v>6137</v>
      </c>
    </row>
    <row r="66" spans="1:6" ht="63.95" customHeight="1">
      <c r="A66" s="76" t="s">
        <v>5976</v>
      </c>
      <c r="B66" s="76" t="s">
        <v>6228</v>
      </c>
      <c r="C66" s="76"/>
      <c r="D66" s="76" t="s">
        <v>6229</v>
      </c>
      <c r="E66" s="76" t="s">
        <v>6136</v>
      </c>
      <c r="F66" s="76" t="s">
        <v>6137</v>
      </c>
    </row>
    <row r="67" spans="1:6" ht="63.95" customHeight="1">
      <c r="A67" s="76" t="s">
        <v>5976</v>
      </c>
      <c r="B67" s="76" t="s">
        <v>6230</v>
      </c>
      <c r="C67" s="76"/>
      <c r="D67" s="76" t="s">
        <v>6231</v>
      </c>
      <c r="E67" s="76" t="s">
        <v>6136</v>
      </c>
      <c r="F67" s="76" t="s">
        <v>6137</v>
      </c>
    </row>
    <row r="68" spans="1:6" ht="63.95" customHeight="1">
      <c r="A68" s="76" t="s">
        <v>5976</v>
      </c>
      <c r="B68" s="76" t="s">
        <v>6232</v>
      </c>
      <c r="C68" s="76" t="s">
        <v>6233</v>
      </c>
      <c r="D68" s="76" t="s">
        <v>124</v>
      </c>
      <c r="E68" s="76" t="s">
        <v>6131</v>
      </c>
      <c r="F68" s="76" t="s">
        <v>6132</v>
      </c>
    </row>
    <row r="69" spans="1:6" ht="63.95" customHeight="1">
      <c r="A69" s="76" t="s">
        <v>5976</v>
      </c>
      <c r="B69" s="76" t="s">
        <v>6234</v>
      </c>
      <c r="C69" s="76" t="s">
        <v>6235</v>
      </c>
      <c r="D69" s="76" t="s">
        <v>6236</v>
      </c>
      <c r="E69" s="76" t="s">
        <v>6136</v>
      </c>
      <c r="F69" s="76" t="s">
        <v>6137</v>
      </c>
    </row>
    <row r="70" spans="1:6" ht="63.95" customHeight="1">
      <c r="A70" s="76" t="s">
        <v>5976</v>
      </c>
      <c r="B70" s="76" t="s">
        <v>6237</v>
      </c>
      <c r="C70" s="76"/>
      <c r="D70" s="76" t="s">
        <v>6238</v>
      </c>
      <c r="E70" s="76" t="s">
        <v>6136</v>
      </c>
      <c r="F70" s="76" t="s">
        <v>6137</v>
      </c>
    </row>
    <row r="71" spans="1:6" ht="63.95" customHeight="1">
      <c r="A71" s="76" t="s">
        <v>5976</v>
      </c>
      <c r="B71" s="76" t="s">
        <v>6239</v>
      </c>
      <c r="C71" s="76"/>
      <c r="D71" s="76" t="s">
        <v>6240</v>
      </c>
      <c r="E71" s="76" t="s">
        <v>6136</v>
      </c>
      <c r="F71" s="76" t="s">
        <v>6137</v>
      </c>
    </row>
    <row r="72" spans="1:6" ht="63.95" customHeight="1">
      <c r="A72" s="76" t="s">
        <v>5976</v>
      </c>
      <c r="B72" s="76" t="s">
        <v>6241</v>
      </c>
      <c r="C72" s="76" t="s">
        <v>6242</v>
      </c>
      <c r="D72" s="76" t="s">
        <v>124</v>
      </c>
      <c r="E72" s="76" t="s">
        <v>6131</v>
      </c>
      <c r="F72" s="76" t="s">
        <v>6132</v>
      </c>
    </row>
    <row r="73" spans="1:6" ht="63.95" customHeight="1">
      <c r="A73" s="76" t="s">
        <v>5976</v>
      </c>
      <c r="B73" s="76" t="s">
        <v>6243</v>
      </c>
      <c r="C73" s="76" t="s">
        <v>6244</v>
      </c>
      <c r="D73" s="76" t="s">
        <v>6245</v>
      </c>
      <c r="E73" s="76" t="s">
        <v>6136</v>
      </c>
      <c r="F73" s="76" t="s">
        <v>6137</v>
      </c>
    </row>
    <row r="74" spans="1:6" ht="63.95" customHeight="1">
      <c r="A74" s="76" t="s">
        <v>5976</v>
      </c>
      <c r="B74" s="76" t="s">
        <v>6246</v>
      </c>
      <c r="C74" s="76"/>
      <c r="D74" s="76" t="s">
        <v>6247</v>
      </c>
      <c r="E74" s="76" t="s">
        <v>6136</v>
      </c>
      <c r="F74" s="76" t="s">
        <v>6137</v>
      </c>
    </row>
    <row r="75" spans="1:6" ht="63.95" customHeight="1">
      <c r="A75" s="76" t="s">
        <v>5976</v>
      </c>
      <c r="B75" s="76" t="s">
        <v>6248</v>
      </c>
      <c r="C75" s="76"/>
      <c r="D75" s="76" t="s">
        <v>6249</v>
      </c>
      <c r="E75" s="76" t="s">
        <v>6136</v>
      </c>
      <c r="F75" s="76" t="s">
        <v>6137</v>
      </c>
    </row>
    <row r="76" spans="1:6" ht="63.95" customHeight="1">
      <c r="A76" s="76" t="s">
        <v>5976</v>
      </c>
      <c r="B76" s="76" t="s">
        <v>6250</v>
      </c>
      <c r="C76" s="76" t="s">
        <v>6251</v>
      </c>
      <c r="D76" s="76" t="s">
        <v>124</v>
      </c>
      <c r="E76" s="76" t="s">
        <v>6131</v>
      </c>
      <c r="F76" s="76" t="s">
        <v>6132</v>
      </c>
    </row>
    <row r="77" spans="1:6" ht="63.95" customHeight="1">
      <c r="A77" s="76" t="s">
        <v>5976</v>
      </c>
      <c r="B77" s="76" t="s">
        <v>6252</v>
      </c>
      <c r="C77" s="76" t="s">
        <v>6253</v>
      </c>
      <c r="D77" s="76" t="s">
        <v>6254</v>
      </c>
      <c r="E77" s="76" t="s">
        <v>6136</v>
      </c>
      <c r="F77" s="76" t="s">
        <v>6137</v>
      </c>
    </row>
    <row r="78" spans="1:6" ht="63.95" customHeight="1">
      <c r="A78" s="76" t="s">
        <v>5976</v>
      </c>
      <c r="B78" s="76" t="s">
        <v>6255</v>
      </c>
      <c r="C78" s="76"/>
      <c r="D78" s="76" t="s">
        <v>6256</v>
      </c>
      <c r="E78" s="76" t="s">
        <v>6136</v>
      </c>
      <c r="F78" s="76" t="s">
        <v>6137</v>
      </c>
    </row>
    <row r="79" spans="1:6" ht="63.95" customHeight="1">
      <c r="A79" s="76" t="s">
        <v>5976</v>
      </c>
      <c r="B79" s="76" t="s">
        <v>6257</v>
      </c>
      <c r="C79" s="76"/>
      <c r="D79" s="76" t="s">
        <v>6258</v>
      </c>
      <c r="E79" s="76" t="s">
        <v>6136</v>
      </c>
      <c r="F79" s="76" t="s">
        <v>6137</v>
      </c>
    </row>
    <row r="80" spans="1:6" ht="63.95" customHeight="1">
      <c r="A80" s="76" t="s">
        <v>5976</v>
      </c>
      <c r="B80" s="76" t="s">
        <v>6259</v>
      </c>
      <c r="C80" s="76" t="s">
        <v>6260</v>
      </c>
      <c r="D80" s="76" t="s">
        <v>124</v>
      </c>
      <c r="E80" s="76" t="s">
        <v>6131</v>
      </c>
      <c r="F80" s="76" t="s">
        <v>6132</v>
      </c>
    </row>
    <row r="81" spans="1:6" ht="63.95" customHeight="1">
      <c r="A81" s="76" t="s">
        <v>5976</v>
      </c>
      <c r="B81" s="76" t="s">
        <v>6261</v>
      </c>
      <c r="C81" s="76" t="s">
        <v>6262</v>
      </c>
      <c r="D81" s="76" t="s">
        <v>6263</v>
      </c>
      <c r="E81" s="76" t="s">
        <v>6136</v>
      </c>
      <c r="F81" s="76" t="s">
        <v>6137</v>
      </c>
    </row>
    <row r="82" spans="1:6" ht="63.95" customHeight="1">
      <c r="A82" s="76" t="s">
        <v>5976</v>
      </c>
      <c r="B82" s="76" t="s">
        <v>6264</v>
      </c>
      <c r="C82" s="76"/>
      <c r="D82" s="76" t="s">
        <v>6265</v>
      </c>
      <c r="E82" s="76" t="s">
        <v>6136</v>
      </c>
      <c r="F82" s="76" t="s">
        <v>6137</v>
      </c>
    </row>
    <row r="83" spans="1:6" ht="63.95" customHeight="1">
      <c r="A83" s="76" t="s">
        <v>5976</v>
      </c>
      <c r="B83" s="76" t="s">
        <v>6266</v>
      </c>
      <c r="C83" s="76"/>
      <c r="D83" s="76" t="s">
        <v>6267</v>
      </c>
      <c r="E83" s="76" t="s">
        <v>6136</v>
      </c>
      <c r="F83" s="76" t="s">
        <v>6137</v>
      </c>
    </row>
    <row r="84" spans="1:6" ht="63.95" customHeight="1">
      <c r="A84" s="76" t="s">
        <v>5976</v>
      </c>
      <c r="B84" s="76" t="s">
        <v>6268</v>
      </c>
      <c r="C84" s="76" t="s">
        <v>6269</v>
      </c>
      <c r="D84" s="76" t="s">
        <v>124</v>
      </c>
      <c r="E84" s="76" t="s">
        <v>6131</v>
      </c>
      <c r="F84" s="76" t="s">
        <v>6132</v>
      </c>
    </row>
    <row r="85" spans="1:6" ht="63.95" customHeight="1">
      <c r="A85" s="76" t="s">
        <v>5976</v>
      </c>
      <c r="B85" s="76" t="s">
        <v>6270</v>
      </c>
      <c r="C85" s="76" t="s">
        <v>6271</v>
      </c>
      <c r="D85" s="76" t="s">
        <v>6272</v>
      </c>
      <c r="E85" s="76" t="s">
        <v>6136</v>
      </c>
      <c r="F85" s="76" t="s">
        <v>6137</v>
      </c>
    </row>
    <row r="86" spans="1:6" ht="63.95" customHeight="1">
      <c r="A86" s="76" t="s">
        <v>5976</v>
      </c>
      <c r="B86" s="76" t="s">
        <v>6273</v>
      </c>
      <c r="C86" s="76"/>
      <c r="D86" s="76" t="s">
        <v>6274</v>
      </c>
      <c r="E86" s="76" t="s">
        <v>6136</v>
      </c>
      <c r="F86" s="76" t="s">
        <v>6137</v>
      </c>
    </row>
    <row r="87" spans="1:6" ht="63.95" customHeight="1">
      <c r="A87" s="76" t="s">
        <v>5976</v>
      </c>
      <c r="B87" s="76" t="s">
        <v>6275</v>
      </c>
      <c r="C87" s="76"/>
      <c r="D87" s="76" t="s">
        <v>6276</v>
      </c>
      <c r="E87" s="76" t="s">
        <v>6136</v>
      </c>
      <c r="F87" s="76" t="s">
        <v>6137</v>
      </c>
    </row>
    <row r="88" spans="1:6" ht="63.95" customHeight="1">
      <c r="A88" s="76" t="s">
        <v>5976</v>
      </c>
      <c r="B88" s="76" t="s">
        <v>6277</v>
      </c>
      <c r="C88" s="76" t="s">
        <v>6278</v>
      </c>
      <c r="D88" s="76" t="s">
        <v>124</v>
      </c>
      <c r="E88" s="76" t="s">
        <v>6131</v>
      </c>
      <c r="F88" s="76" t="s">
        <v>6132</v>
      </c>
    </row>
    <row r="89" spans="1:6" ht="63.95" customHeight="1">
      <c r="A89" s="76" t="s">
        <v>5976</v>
      </c>
      <c r="B89" s="76" t="s">
        <v>6279</v>
      </c>
      <c r="C89" s="76" t="s">
        <v>6280</v>
      </c>
      <c r="D89" s="76" t="s">
        <v>6281</v>
      </c>
      <c r="E89" s="76" t="s">
        <v>6136</v>
      </c>
      <c r="F89" s="76" t="s">
        <v>6137</v>
      </c>
    </row>
    <row r="90" spans="1:6" ht="63.95" customHeight="1">
      <c r="A90" s="76" t="s">
        <v>5976</v>
      </c>
      <c r="B90" s="76" t="s">
        <v>6282</v>
      </c>
      <c r="C90" s="76"/>
      <c r="D90" s="76" t="s">
        <v>6283</v>
      </c>
      <c r="E90" s="76" t="s">
        <v>6136</v>
      </c>
      <c r="F90" s="76" t="s">
        <v>6137</v>
      </c>
    </row>
    <row r="91" spans="1:6" ht="63.95" customHeight="1">
      <c r="A91" s="76" t="s">
        <v>5976</v>
      </c>
      <c r="B91" s="76" t="s">
        <v>6284</v>
      </c>
      <c r="C91" s="76"/>
      <c r="D91" s="76" t="s">
        <v>6285</v>
      </c>
      <c r="E91" s="76" t="s">
        <v>6136</v>
      </c>
      <c r="F91" s="76" t="s">
        <v>6137</v>
      </c>
    </row>
    <row r="92" spans="1:6" ht="63.95" customHeight="1">
      <c r="A92" s="76" t="s">
        <v>5976</v>
      </c>
      <c r="B92" s="76" t="s">
        <v>6286</v>
      </c>
      <c r="C92" s="76" t="s">
        <v>6287</v>
      </c>
      <c r="D92" s="76" t="s">
        <v>124</v>
      </c>
      <c r="E92" s="76" t="s">
        <v>6131</v>
      </c>
      <c r="F92" s="76" t="s">
        <v>6132</v>
      </c>
    </row>
    <row r="93" spans="1:6" ht="63.95" customHeight="1">
      <c r="A93" s="76" t="s">
        <v>5976</v>
      </c>
      <c r="B93" s="76" t="s">
        <v>6288</v>
      </c>
      <c r="C93" s="76" t="s">
        <v>6289</v>
      </c>
      <c r="D93" s="76" t="s">
        <v>6290</v>
      </c>
      <c r="E93" s="76" t="s">
        <v>6136</v>
      </c>
      <c r="F93" s="76" t="s">
        <v>6137</v>
      </c>
    </row>
    <row r="94" spans="1:6" ht="63.95" customHeight="1">
      <c r="A94" s="76" t="s">
        <v>5976</v>
      </c>
      <c r="B94" s="76" t="s">
        <v>6291</v>
      </c>
      <c r="C94" s="76"/>
      <c r="D94" s="76" t="s">
        <v>6292</v>
      </c>
      <c r="E94" s="76" t="s">
        <v>6136</v>
      </c>
      <c r="F94" s="76" t="s">
        <v>6137</v>
      </c>
    </row>
    <row r="95" spans="1:6" ht="63.95" customHeight="1">
      <c r="A95" s="76" t="s">
        <v>5976</v>
      </c>
      <c r="B95" s="76" t="s">
        <v>6293</v>
      </c>
      <c r="C95" s="76"/>
      <c r="D95" s="76" t="s">
        <v>6294</v>
      </c>
      <c r="E95" s="76" t="s">
        <v>6136</v>
      </c>
      <c r="F95" s="76" t="s">
        <v>6137</v>
      </c>
    </row>
    <row r="96" spans="1:6" ht="63.95" customHeight="1">
      <c r="A96" s="76" t="s">
        <v>5976</v>
      </c>
      <c r="B96" s="76" t="s">
        <v>6295</v>
      </c>
      <c r="C96" s="76" t="s">
        <v>6296</v>
      </c>
      <c r="D96" s="76" t="s">
        <v>124</v>
      </c>
      <c r="E96" s="76" t="s">
        <v>6131</v>
      </c>
      <c r="F96" s="76" t="s">
        <v>6132</v>
      </c>
    </row>
    <row r="97" spans="1:6" ht="63.95" customHeight="1">
      <c r="A97" s="76" t="s">
        <v>5976</v>
      </c>
      <c r="B97" s="76" t="s">
        <v>6297</v>
      </c>
      <c r="C97" s="76" t="s">
        <v>6298</v>
      </c>
      <c r="D97" s="76" t="s">
        <v>6299</v>
      </c>
      <c r="E97" s="76" t="s">
        <v>6136</v>
      </c>
      <c r="F97" s="76" t="s">
        <v>6137</v>
      </c>
    </row>
    <row r="98" spans="1:6" ht="63.95" customHeight="1">
      <c r="A98" s="76" t="s">
        <v>5976</v>
      </c>
      <c r="B98" s="76" t="s">
        <v>6300</v>
      </c>
      <c r="C98" s="76"/>
      <c r="D98" s="76" t="s">
        <v>6301</v>
      </c>
      <c r="E98" s="76" t="s">
        <v>6136</v>
      </c>
      <c r="F98" s="76" t="s">
        <v>6137</v>
      </c>
    </row>
    <row r="99" spans="1:6" ht="63.95" customHeight="1">
      <c r="A99" s="76" t="s">
        <v>5976</v>
      </c>
      <c r="B99" s="76" t="s">
        <v>6302</v>
      </c>
      <c r="C99" s="76"/>
      <c r="D99" s="76" t="s">
        <v>6303</v>
      </c>
      <c r="E99" s="76" t="s">
        <v>6136</v>
      </c>
      <c r="F99" s="76" t="s">
        <v>6137</v>
      </c>
    </row>
    <row r="100" spans="1:6" ht="63.95" customHeight="1">
      <c r="A100" s="76" t="s">
        <v>5976</v>
      </c>
      <c r="B100" s="76" t="s">
        <v>6304</v>
      </c>
      <c r="C100" s="76" t="s">
        <v>6305</v>
      </c>
      <c r="D100" s="76" t="s">
        <v>124</v>
      </c>
      <c r="E100" s="76" t="s">
        <v>6131</v>
      </c>
      <c r="F100" s="76" t="s">
        <v>6132</v>
      </c>
    </row>
    <row r="101" spans="1:6" ht="63.95" customHeight="1">
      <c r="A101" s="76" t="s">
        <v>5976</v>
      </c>
      <c r="B101" s="76" t="s">
        <v>6306</v>
      </c>
      <c r="C101" s="76" t="s">
        <v>6307</v>
      </c>
      <c r="D101" s="76" t="s">
        <v>6308</v>
      </c>
      <c r="E101" s="76" t="s">
        <v>6136</v>
      </c>
      <c r="F101" s="76" t="s">
        <v>6137</v>
      </c>
    </row>
    <row r="102" spans="1:6" ht="63.95" customHeight="1">
      <c r="A102" s="76" t="s">
        <v>5976</v>
      </c>
      <c r="B102" s="76" t="s">
        <v>6309</v>
      </c>
      <c r="C102" s="76"/>
      <c r="D102" s="76" t="s">
        <v>6310</v>
      </c>
      <c r="E102" s="76" t="s">
        <v>6136</v>
      </c>
      <c r="F102" s="76" t="s">
        <v>6137</v>
      </c>
    </row>
    <row r="103" spans="1:6" ht="63.95" customHeight="1">
      <c r="A103" s="76" t="s">
        <v>5976</v>
      </c>
      <c r="B103" s="76" t="s">
        <v>6311</v>
      </c>
      <c r="C103" s="76"/>
      <c r="D103" s="76" t="s">
        <v>6312</v>
      </c>
      <c r="E103" s="76" t="s">
        <v>6136</v>
      </c>
      <c r="F103" s="76" t="s">
        <v>6137</v>
      </c>
    </row>
    <row r="104" spans="1:6" ht="63.95" customHeight="1">
      <c r="A104" s="76" t="s">
        <v>5976</v>
      </c>
      <c r="B104" s="76" t="s">
        <v>6313</v>
      </c>
      <c r="C104" s="76" t="s">
        <v>6314</v>
      </c>
      <c r="D104" s="76" t="s">
        <v>124</v>
      </c>
      <c r="E104" s="76" t="s">
        <v>6131</v>
      </c>
      <c r="F104" s="76" t="s">
        <v>6132</v>
      </c>
    </row>
    <row r="105" spans="1:6" ht="63.95" customHeight="1">
      <c r="A105" s="76" t="s">
        <v>5976</v>
      </c>
      <c r="B105" s="76" t="s">
        <v>6315</v>
      </c>
      <c r="C105" s="76" t="s">
        <v>6316</v>
      </c>
      <c r="D105" s="76" t="s">
        <v>6317</v>
      </c>
      <c r="E105" s="76" t="s">
        <v>6136</v>
      </c>
      <c r="F105" s="76" t="s">
        <v>6137</v>
      </c>
    </row>
    <row r="106" spans="1:6" ht="63.95" customHeight="1">
      <c r="A106" s="76" t="s">
        <v>5976</v>
      </c>
      <c r="B106" s="76" t="s">
        <v>6318</v>
      </c>
      <c r="C106" s="76"/>
      <c r="D106" s="76" t="s">
        <v>6319</v>
      </c>
      <c r="E106" s="76" t="s">
        <v>6136</v>
      </c>
      <c r="F106" s="76" t="s">
        <v>6137</v>
      </c>
    </row>
    <row r="107" spans="1:6" ht="63.95" customHeight="1">
      <c r="A107" s="76" t="s">
        <v>5976</v>
      </c>
      <c r="B107" s="76" t="s">
        <v>6320</v>
      </c>
      <c r="C107" s="76"/>
      <c r="D107" s="76" t="s">
        <v>6321</v>
      </c>
      <c r="E107" s="76" t="s">
        <v>6136</v>
      </c>
      <c r="F107" s="76" t="s">
        <v>6137</v>
      </c>
    </row>
    <row r="108" spans="1:6" ht="63.95" customHeight="1">
      <c r="A108" s="76" t="s">
        <v>5976</v>
      </c>
      <c r="B108" s="76" t="s">
        <v>6322</v>
      </c>
      <c r="C108" s="76" t="s">
        <v>6323</v>
      </c>
      <c r="D108" s="76" t="s">
        <v>124</v>
      </c>
      <c r="E108" s="76" t="s">
        <v>6131</v>
      </c>
      <c r="F108" s="76" t="s">
        <v>6132</v>
      </c>
    </row>
    <row r="109" spans="1:6" ht="63.95" customHeight="1">
      <c r="A109" s="76" t="s">
        <v>5976</v>
      </c>
      <c r="B109" s="76" t="s">
        <v>6324</v>
      </c>
      <c r="C109" s="76"/>
      <c r="D109" s="76" t="s">
        <v>378</v>
      </c>
      <c r="E109" s="76" t="s">
        <v>6325</v>
      </c>
      <c r="F109" s="76" t="s">
        <v>5566</v>
      </c>
    </row>
    <row r="110" spans="1:6" ht="63.95" customHeight="1">
      <c r="A110" s="76" t="s">
        <v>5976</v>
      </c>
      <c r="B110" s="76" t="s">
        <v>6326</v>
      </c>
      <c r="C110" s="76" t="s">
        <v>6327</v>
      </c>
      <c r="D110" s="76" t="s">
        <v>6328</v>
      </c>
      <c r="E110" s="76" t="s">
        <v>6136</v>
      </c>
      <c r="F110" s="76" t="s">
        <v>6137</v>
      </c>
    </row>
    <row r="111" spans="1:6" ht="63.95" customHeight="1">
      <c r="A111" s="76" t="s">
        <v>5976</v>
      </c>
      <c r="B111" s="76" t="s">
        <v>6329</v>
      </c>
      <c r="C111" s="76" t="s">
        <v>141</v>
      </c>
      <c r="D111" s="76" t="s">
        <v>380</v>
      </c>
      <c r="E111" s="76" t="s">
        <v>6330</v>
      </c>
      <c r="F111" s="76" t="s">
        <v>5566</v>
      </c>
    </row>
    <row r="112" spans="1:6" ht="63.95" customHeight="1">
      <c r="A112" s="76" t="s">
        <v>5976</v>
      </c>
      <c r="B112" s="76" t="s">
        <v>6331</v>
      </c>
      <c r="C112" s="76"/>
      <c r="D112" s="76" t="s">
        <v>6332</v>
      </c>
      <c r="E112" s="76" t="s">
        <v>6136</v>
      </c>
      <c r="F112" s="76" t="s">
        <v>6137</v>
      </c>
    </row>
    <row r="113" spans="1:6" ht="63.95" customHeight="1">
      <c r="A113" s="76" t="s">
        <v>5976</v>
      </c>
      <c r="B113" s="76" t="s">
        <v>6333</v>
      </c>
      <c r="C113" s="76"/>
      <c r="D113" s="76" t="s">
        <v>6334</v>
      </c>
      <c r="E113" s="76" t="s">
        <v>6136</v>
      </c>
      <c r="F113" s="76" t="s">
        <v>6137</v>
      </c>
    </row>
    <row r="114" spans="1:6" ht="63.95" customHeight="1">
      <c r="A114" s="76" t="s">
        <v>5976</v>
      </c>
      <c r="B114" s="76" t="s">
        <v>6335</v>
      </c>
      <c r="C114" s="76" t="s">
        <v>6336</v>
      </c>
      <c r="D114" s="76" t="s">
        <v>124</v>
      </c>
      <c r="E114" s="76" t="s">
        <v>6131</v>
      </c>
      <c r="F114" s="76" t="s">
        <v>6132</v>
      </c>
    </row>
    <row r="115" spans="1:6" ht="63.95" customHeight="1">
      <c r="A115" s="76" t="s">
        <v>5976</v>
      </c>
      <c r="B115" s="76" t="s">
        <v>6337</v>
      </c>
      <c r="C115" s="76" t="s">
        <v>6338</v>
      </c>
      <c r="D115" s="76" t="s">
        <v>6339</v>
      </c>
      <c r="E115" s="76" t="s">
        <v>6136</v>
      </c>
      <c r="F115" s="76" t="s">
        <v>6137</v>
      </c>
    </row>
    <row r="116" spans="1:6" ht="63.95" customHeight="1">
      <c r="A116" s="76" t="s">
        <v>5976</v>
      </c>
      <c r="B116" s="76" t="s">
        <v>6340</v>
      </c>
      <c r="C116" s="76"/>
      <c r="D116" s="76" t="s">
        <v>6341</v>
      </c>
      <c r="E116" s="76" t="s">
        <v>6136</v>
      </c>
      <c r="F116" s="76" t="s">
        <v>6137</v>
      </c>
    </row>
    <row r="117" spans="1:6" ht="63.95" customHeight="1">
      <c r="A117" s="76" t="s">
        <v>5976</v>
      </c>
      <c r="B117" s="76" t="s">
        <v>6342</v>
      </c>
      <c r="C117" s="76"/>
      <c r="D117" s="76" t="s">
        <v>6343</v>
      </c>
      <c r="E117" s="76" t="s">
        <v>6136</v>
      </c>
      <c r="F117" s="76" t="s">
        <v>6137</v>
      </c>
    </row>
    <row r="118" spans="1:6" ht="63.95" customHeight="1">
      <c r="A118" s="76" t="s">
        <v>5976</v>
      </c>
      <c r="B118" s="76" t="s">
        <v>6344</v>
      </c>
      <c r="C118" s="76" t="s">
        <v>6345</v>
      </c>
      <c r="D118" s="76" t="s">
        <v>124</v>
      </c>
      <c r="E118" s="76" t="s">
        <v>6131</v>
      </c>
      <c r="F118" s="76" t="s">
        <v>6132</v>
      </c>
    </row>
    <row r="119" spans="1:6" ht="63.95" customHeight="1">
      <c r="A119" s="76" t="s">
        <v>5976</v>
      </c>
      <c r="B119" s="76" t="s">
        <v>6346</v>
      </c>
      <c r="C119" s="76"/>
      <c r="D119" s="76" t="s">
        <v>402</v>
      </c>
      <c r="E119" s="76" t="s">
        <v>6347</v>
      </c>
      <c r="F119" s="76" t="s">
        <v>5572</v>
      </c>
    </row>
    <row r="120" spans="1:6" ht="63.95" customHeight="1">
      <c r="A120" s="76" t="s">
        <v>5976</v>
      </c>
      <c r="B120" s="76" t="s">
        <v>6348</v>
      </c>
      <c r="C120" s="76" t="s">
        <v>6349</v>
      </c>
      <c r="D120" s="76" t="s">
        <v>6350</v>
      </c>
      <c r="E120" s="76" t="s">
        <v>6136</v>
      </c>
      <c r="F120" s="76" t="s">
        <v>6137</v>
      </c>
    </row>
    <row r="121" spans="1:6" ht="63.95" customHeight="1">
      <c r="A121" s="76" t="s">
        <v>5976</v>
      </c>
      <c r="B121" s="76" t="s">
        <v>6351</v>
      </c>
      <c r="C121" s="76" t="s">
        <v>141</v>
      </c>
      <c r="D121" s="76" t="s">
        <v>404</v>
      </c>
      <c r="E121" s="76" t="s">
        <v>6352</v>
      </c>
      <c r="F121" s="76" t="s">
        <v>5572</v>
      </c>
    </row>
    <row r="122" spans="1:6" ht="63.95" customHeight="1">
      <c r="A122" s="76" t="s">
        <v>5976</v>
      </c>
      <c r="B122" s="76" t="s">
        <v>6353</v>
      </c>
      <c r="C122" s="76"/>
      <c r="D122" s="76" t="s">
        <v>6354</v>
      </c>
      <c r="E122" s="76" t="s">
        <v>6136</v>
      </c>
      <c r="F122" s="76" t="s">
        <v>6137</v>
      </c>
    </row>
    <row r="123" spans="1:6" ht="63.95" customHeight="1">
      <c r="A123" s="76" t="s">
        <v>5976</v>
      </c>
      <c r="B123" s="76" t="s">
        <v>6355</v>
      </c>
      <c r="C123" s="76"/>
      <c r="D123" s="76" t="s">
        <v>6356</v>
      </c>
      <c r="E123" s="76" t="s">
        <v>6136</v>
      </c>
      <c r="F123" s="76" t="s">
        <v>6137</v>
      </c>
    </row>
    <row r="124" spans="1:6" ht="63.95" customHeight="1">
      <c r="A124" s="76" t="s">
        <v>5976</v>
      </c>
      <c r="B124" s="76" t="s">
        <v>6357</v>
      </c>
      <c r="C124" s="76" t="s">
        <v>6358</v>
      </c>
      <c r="D124" s="76" t="s">
        <v>124</v>
      </c>
      <c r="E124" s="76" t="s">
        <v>6131</v>
      </c>
      <c r="F124" s="76" t="s">
        <v>6132</v>
      </c>
    </row>
    <row r="125" spans="1:6" ht="63.95" customHeight="1">
      <c r="A125" s="76" t="s">
        <v>5976</v>
      </c>
      <c r="B125" s="76" t="s">
        <v>6359</v>
      </c>
      <c r="C125" s="76" t="s">
        <v>6360</v>
      </c>
      <c r="D125" s="76" t="s">
        <v>6361</v>
      </c>
      <c r="E125" s="76" t="s">
        <v>6136</v>
      </c>
      <c r="F125" s="76" t="s">
        <v>6137</v>
      </c>
    </row>
    <row r="126" spans="1:6" ht="63.95" customHeight="1">
      <c r="A126" s="76" t="s">
        <v>5976</v>
      </c>
      <c r="B126" s="76" t="s">
        <v>6362</v>
      </c>
      <c r="C126" s="76"/>
      <c r="D126" s="76" t="s">
        <v>6363</v>
      </c>
      <c r="E126" s="76" t="s">
        <v>6136</v>
      </c>
      <c r="F126" s="76" t="s">
        <v>6137</v>
      </c>
    </row>
    <row r="127" spans="1:6" ht="63.95" customHeight="1">
      <c r="A127" s="76" t="s">
        <v>5976</v>
      </c>
      <c r="B127" s="76" t="s">
        <v>6364</v>
      </c>
      <c r="C127" s="76"/>
      <c r="D127" s="76" t="s">
        <v>6365</v>
      </c>
      <c r="E127" s="76" t="s">
        <v>6136</v>
      </c>
      <c r="F127" s="76" t="s">
        <v>6137</v>
      </c>
    </row>
    <row r="128" spans="1:6" ht="63.95" customHeight="1">
      <c r="A128" s="76" t="s">
        <v>5976</v>
      </c>
      <c r="B128" s="76" t="s">
        <v>6366</v>
      </c>
      <c r="C128" s="76" t="s">
        <v>6367</v>
      </c>
      <c r="D128" s="76" t="s">
        <v>124</v>
      </c>
      <c r="E128" s="76" t="s">
        <v>6131</v>
      </c>
      <c r="F128" s="76" t="s">
        <v>6132</v>
      </c>
    </row>
    <row r="129" spans="1:6" ht="63.95" customHeight="1">
      <c r="A129" s="76" t="s">
        <v>5976</v>
      </c>
      <c r="B129" s="76" t="s">
        <v>6368</v>
      </c>
      <c r="C129" s="76" t="s">
        <v>6369</v>
      </c>
      <c r="D129" s="76" t="s">
        <v>6370</v>
      </c>
      <c r="E129" s="76" t="s">
        <v>6136</v>
      </c>
      <c r="F129" s="76" t="s">
        <v>6137</v>
      </c>
    </row>
    <row r="130" spans="1:6" ht="63.95" customHeight="1">
      <c r="A130" s="76" t="s">
        <v>5976</v>
      </c>
      <c r="B130" s="76" t="s">
        <v>6371</v>
      </c>
      <c r="C130" s="76"/>
      <c r="D130" s="76" t="s">
        <v>6372</v>
      </c>
      <c r="E130" s="76" t="s">
        <v>6136</v>
      </c>
      <c r="F130" s="76" t="s">
        <v>6137</v>
      </c>
    </row>
    <row r="131" spans="1:6" ht="63.95" customHeight="1">
      <c r="A131" s="76" t="s">
        <v>5976</v>
      </c>
      <c r="B131" s="76" t="s">
        <v>6373</v>
      </c>
      <c r="C131" s="76"/>
      <c r="D131" s="76" t="s">
        <v>6374</v>
      </c>
      <c r="E131" s="76" t="s">
        <v>6136</v>
      </c>
      <c r="F131" s="76" t="s">
        <v>6137</v>
      </c>
    </row>
    <row r="132" spans="1:6" ht="63.95" customHeight="1">
      <c r="A132" s="76" t="s">
        <v>5976</v>
      </c>
      <c r="B132" s="76" t="s">
        <v>6375</v>
      </c>
      <c r="C132" s="76" t="s">
        <v>6376</v>
      </c>
      <c r="D132" s="76" t="s">
        <v>124</v>
      </c>
      <c r="E132" s="76" t="s">
        <v>6131</v>
      </c>
      <c r="F132" s="76" t="s">
        <v>6132</v>
      </c>
    </row>
    <row r="133" spans="1:6" ht="63.95" customHeight="1">
      <c r="A133" s="76" t="s">
        <v>5976</v>
      </c>
      <c r="B133" s="76" t="s">
        <v>6377</v>
      </c>
      <c r="C133" s="76" t="s">
        <v>6378</v>
      </c>
      <c r="D133" s="76" t="s">
        <v>6379</v>
      </c>
      <c r="E133" s="76" t="s">
        <v>6136</v>
      </c>
      <c r="F133" s="76" t="s">
        <v>6137</v>
      </c>
    </row>
    <row r="134" spans="1:6" ht="63.95" customHeight="1">
      <c r="A134" s="76" t="s">
        <v>5976</v>
      </c>
      <c r="B134" s="76" t="s">
        <v>6380</v>
      </c>
      <c r="C134" s="76"/>
      <c r="D134" s="76" t="s">
        <v>6381</v>
      </c>
      <c r="E134" s="76" t="s">
        <v>6136</v>
      </c>
      <c r="F134" s="76" t="s">
        <v>6137</v>
      </c>
    </row>
    <row r="135" spans="1:6" ht="63.95" customHeight="1">
      <c r="A135" s="76" t="s">
        <v>5976</v>
      </c>
      <c r="B135" s="76" t="s">
        <v>6382</v>
      </c>
      <c r="C135" s="76"/>
      <c r="D135" s="76" t="s">
        <v>6383</v>
      </c>
      <c r="E135" s="76" t="s">
        <v>6136</v>
      </c>
      <c r="F135" s="76" t="s">
        <v>6137</v>
      </c>
    </row>
    <row r="136" spans="1:6" ht="63.95" customHeight="1">
      <c r="A136" s="76" t="s">
        <v>5976</v>
      </c>
      <c r="B136" s="76" t="s">
        <v>6384</v>
      </c>
      <c r="C136" s="76" t="s">
        <v>6385</v>
      </c>
      <c r="D136" s="76" t="s">
        <v>124</v>
      </c>
      <c r="E136" s="76" t="s">
        <v>6131</v>
      </c>
      <c r="F136" s="76" t="s">
        <v>6132</v>
      </c>
    </row>
    <row r="137" spans="1:6" ht="63.95" customHeight="1">
      <c r="A137" s="76" t="s">
        <v>5976</v>
      </c>
      <c r="B137" s="76" t="s">
        <v>6386</v>
      </c>
      <c r="C137" s="76" t="s">
        <v>6387</v>
      </c>
      <c r="D137" s="76" t="s">
        <v>6388</v>
      </c>
      <c r="E137" s="76" t="s">
        <v>6136</v>
      </c>
      <c r="F137" s="76" t="s">
        <v>6137</v>
      </c>
    </row>
    <row r="138" spans="1:6" ht="63.95" customHeight="1">
      <c r="A138" s="76" t="s">
        <v>5976</v>
      </c>
      <c r="B138" s="76" t="s">
        <v>6389</v>
      </c>
      <c r="C138" s="76"/>
      <c r="D138" s="76" t="s">
        <v>6390</v>
      </c>
      <c r="E138" s="76" t="s">
        <v>6136</v>
      </c>
      <c r="F138" s="76" t="s">
        <v>6137</v>
      </c>
    </row>
    <row r="139" spans="1:6" ht="63.95" customHeight="1">
      <c r="A139" s="76" t="s">
        <v>5976</v>
      </c>
      <c r="B139" s="76" t="s">
        <v>6391</v>
      </c>
      <c r="C139" s="76"/>
      <c r="D139" s="76" t="s">
        <v>6392</v>
      </c>
      <c r="E139" s="76" t="s">
        <v>6136</v>
      </c>
      <c r="F139" s="76" t="s">
        <v>6137</v>
      </c>
    </row>
    <row r="140" spans="1:6" ht="63.95" customHeight="1">
      <c r="A140" s="76" t="s">
        <v>5976</v>
      </c>
      <c r="B140" s="76" t="s">
        <v>6393</v>
      </c>
      <c r="C140" s="76" t="s">
        <v>6394</v>
      </c>
      <c r="D140" s="76" t="s">
        <v>124</v>
      </c>
      <c r="E140" s="76" t="s">
        <v>6131</v>
      </c>
      <c r="F140" s="76" t="s">
        <v>6132</v>
      </c>
    </row>
    <row r="141" spans="1:6" ht="63.95" customHeight="1">
      <c r="A141" s="76" t="s">
        <v>5976</v>
      </c>
      <c r="B141" s="76" t="s">
        <v>6395</v>
      </c>
      <c r="C141" s="76" t="s">
        <v>6396</v>
      </c>
      <c r="D141" s="76" t="s">
        <v>6397</v>
      </c>
      <c r="E141" s="76" t="s">
        <v>6136</v>
      </c>
      <c r="F141" s="76" t="s">
        <v>6137</v>
      </c>
    </row>
    <row r="142" spans="1:6" ht="63.95" customHeight="1">
      <c r="A142" s="76" t="s">
        <v>5976</v>
      </c>
      <c r="B142" s="76" t="s">
        <v>6398</v>
      </c>
      <c r="C142" s="76"/>
      <c r="D142" s="76" t="s">
        <v>6399</v>
      </c>
      <c r="E142" s="76" t="s">
        <v>6136</v>
      </c>
      <c r="F142" s="76" t="s">
        <v>6137</v>
      </c>
    </row>
    <row r="143" spans="1:6" ht="63.95" customHeight="1">
      <c r="A143" s="76" t="s">
        <v>5976</v>
      </c>
      <c r="B143" s="76" t="s">
        <v>6400</v>
      </c>
      <c r="C143" s="76"/>
      <c r="D143" s="76" t="s">
        <v>6401</v>
      </c>
      <c r="E143" s="76" t="s">
        <v>6136</v>
      </c>
      <c r="F143" s="76" t="s">
        <v>6137</v>
      </c>
    </row>
    <row r="144" spans="1:6" ht="63.95" customHeight="1">
      <c r="A144" s="76" t="s">
        <v>5976</v>
      </c>
      <c r="B144" s="76" t="s">
        <v>6402</v>
      </c>
      <c r="C144" s="76" t="s">
        <v>6403</v>
      </c>
      <c r="D144" s="76" t="s">
        <v>459</v>
      </c>
      <c r="E144" s="76" t="s">
        <v>6404</v>
      </c>
      <c r="F144" s="76" t="s">
        <v>6405</v>
      </c>
    </row>
    <row r="145" spans="1:6" ht="63.95" customHeight="1">
      <c r="A145" s="76" t="s">
        <v>5976</v>
      </c>
      <c r="B145" s="76" t="s">
        <v>6406</v>
      </c>
      <c r="C145" s="76" t="s">
        <v>6407</v>
      </c>
      <c r="D145" s="76" t="s">
        <v>6408</v>
      </c>
      <c r="E145" s="76" t="s">
        <v>6136</v>
      </c>
      <c r="F145" s="76" t="s">
        <v>6137</v>
      </c>
    </row>
    <row r="146" spans="1:6" ht="63.95" customHeight="1">
      <c r="A146" s="76" t="s">
        <v>5976</v>
      </c>
      <c r="B146" s="76" t="s">
        <v>6409</v>
      </c>
      <c r="C146" s="76"/>
      <c r="D146" s="76" t="s">
        <v>6410</v>
      </c>
      <c r="E146" s="76" t="s">
        <v>6136</v>
      </c>
      <c r="F146" s="76" t="s">
        <v>6137</v>
      </c>
    </row>
    <row r="147" spans="1:6" ht="63.95" customHeight="1">
      <c r="A147" s="76" t="s">
        <v>5976</v>
      </c>
      <c r="B147" s="76" t="s">
        <v>6411</v>
      </c>
      <c r="C147" s="76"/>
      <c r="D147" s="76" t="s">
        <v>6412</v>
      </c>
      <c r="E147" s="76" t="s">
        <v>6136</v>
      </c>
      <c r="F147" s="76" t="s">
        <v>6137</v>
      </c>
    </row>
    <row r="148" spans="1:6" ht="63.95" customHeight="1">
      <c r="A148" s="76" t="s">
        <v>5976</v>
      </c>
      <c r="B148" s="76" t="s">
        <v>6413</v>
      </c>
      <c r="C148" s="76" t="s">
        <v>6414</v>
      </c>
      <c r="D148" s="76" t="s">
        <v>124</v>
      </c>
      <c r="E148" s="76" t="s">
        <v>6131</v>
      </c>
      <c r="F148" s="76" t="s">
        <v>6132</v>
      </c>
    </row>
    <row r="149" spans="1:6" ht="63.95" customHeight="1">
      <c r="A149" s="76" t="s">
        <v>5976</v>
      </c>
      <c r="B149" s="76" t="s">
        <v>6415</v>
      </c>
      <c r="C149" s="76" t="s">
        <v>6416</v>
      </c>
      <c r="D149" s="76" t="s">
        <v>6417</v>
      </c>
      <c r="E149" s="76" t="s">
        <v>6136</v>
      </c>
      <c r="F149" s="76" t="s">
        <v>6137</v>
      </c>
    </row>
    <row r="150" spans="1:6" ht="63.95" customHeight="1">
      <c r="A150" s="76" t="s">
        <v>5976</v>
      </c>
      <c r="B150" s="76" t="s">
        <v>6418</v>
      </c>
      <c r="C150" s="76" t="s">
        <v>3431</v>
      </c>
      <c r="D150" s="76" t="s">
        <v>473</v>
      </c>
      <c r="E150" s="76" t="s">
        <v>6419</v>
      </c>
      <c r="F150" s="76" t="s">
        <v>6420</v>
      </c>
    </row>
    <row r="151" spans="1:6" ht="63.95" customHeight="1">
      <c r="A151" s="76" t="s">
        <v>5976</v>
      </c>
      <c r="B151" s="76" t="s">
        <v>6421</v>
      </c>
      <c r="C151" s="76" t="s">
        <v>3429</v>
      </c>
      <c r="D151" s="76" t="s">
        <v>474</v>
      </c>
      <c r="E151" s="76" t="s">
        <v>6422</v>
      </c>
      <c r="F151" s="76" t="s">
        <v>6420</v>
      </c>
    </row>
    <row r="152" spans="1:6" ht="63.95" customHeight="1">
      <c r="A152" s="76" t="s">
        <v>5976</v>
      </c>
      <c r="B152" s="76" t="s">
        <v>6423</v>
      </c>
      <c r="C152" s="76"/>
      <c r="D152" s="76" t="s">
        <v>6424</v>
      </c>
      <c r="E152" s="76" t="s">
        <v>6136</v>
      </c>
      <c r="F152" s="76" t="s">
        <v>6137</v>
      </c>
    </row>
    <row r="153" spans="1:6" ht="63.95" customHeight="1">
      <c r="A153" s="76" t="s">
        <v>5976</v>
      </c>
      <c r="B153" s="76" t="s">
        <v>6425</v>
      </c>
      <c r="C153" s="76"/>
      <c r="D153" s="76" t="s">
        <v>6426</v>
      </c>
      <c r="E153" s="76" t="s">
        <v>6136</v>
      </c>
      <c r="F153" s="76" t="s">
        <v>6137</v>
      </c>
    </row>
    <row r="154" spans="1:6" ht="63.95" customHeight="1">
      <c r="A154" s="76" t="s">
        <v>5976</v>
      </c>
      <c r="B154" s="76" t="s">
        <v>6427</v>
      </c>
      <c r="C154" s="76" t="s">
        <v>6428</v>
      </c>
      <c r="D154" s="76" t="s">
        <v>6429</v>
      </c>
      <c r="E154" s="76" t="s">
        <v>6404</v>
      </c>
      <c r="F154" s="76" t="s">
        <v>6405</v>
      </c>
    </row>
    <row r="155" spans="1:6" ht="63.95" customHeight="1">
      <c r="A155" s="76" t="s">
        <v>5976</v>
      </c>
      <c r="B155" s="76" t="s">
        <v>6430</v>
      </c>
      <c r="C155" s="76" t="s">
        <v>6431</v>
      </c>
      <c r="D155" s="76" t="s">
        <v>6432</v>
      </c>
      <c r="E155" s="76" t="s">
        <v>6136</v>
      </c>
      <c r="F155" s="76" t="s">
        <v>6137</v>
      </c>
    </row>
    <row r="156" spans="1:6" ht="63.95" customHeight="1">
      <c r="A156" s="76" t="s">
        <v>5976</v>
      </c>
      <c r="B156" s="76" t="s">
        <v>6433</v>
      </c>
      <c r="C156" s="76"/>
      <c r="D156" s="76" t="s">
        <v>6434</v>
      </c>
      <c r="E156" s="76" t="s">
        <v>6136</v>
      </c>
      <c r="F156" s="76" t="s">
        <v>6137</v>
      </c>
    </row>
    <row r="157" spans="1:6" ht="63.95" customHeight="1">
      <c r="A157" s="76" t="s">
        <v>5976</v>
      </c>
      <c r="B157" s="76" t="s">
        <v>6435</v>
      </c>
      <c r="C157" s="76"/>
      <c r="D157" s="76" t="s">
        <v>6436</v>
      </c>
      <c r="E157" s="76" t="s">
        <v>6136</v>
      </c>
      <c r="F157" s="76" t="s">
        <v>6137</v>
      </c>
    </row>
    <row r="158" spans="1:6" ht="63.95" customHeight="1">
      <c r="A158" s="76" t="s">
        <v>5976</v>
      </c>
      <c r="B158" s="76" t="s">
        <v>6437</v>
      </c>
      <c r="C158" s="76" t="s">
        <v>6438</v>
      </c>
      <c r="D158" s="76" t="s">
        <v>494</v>
      </c>
      <c r="E158" s="76" t="s">
        <v>6439</v>
      </c>
      <c r="F158" s="76" t="s">
        <v>6440</v>
      </c>
    </row>
    <row r="159" spans="1:6" ht="63.95" customHeight="1">
      <c r="A159" s="76" t="s">
        <v>5976</v>
      </c>
      <c r="B159" s="76" t="s">
        <v>6441</v>
      </c>
      <c r="C159" s="76" t="s">
        <v>3444</v>
      </c>
      <c r="D159" s="76" t="s">
        <v>496</v>
      </c>
      <c r="E159" s="76" t="s">
        <v>6442</v>
      </c>
      <c r="F159" s="76" t="s">
        <v>6443</v>
      </c>
    </row>
    <row r="160" spans="1:6" ht="63.95" customHeight="1">
      <c r="A160" s="76" t="s">
        <v>5976</v>
      </c>
      <c r="B160" s="76" t="s">
        <v>6444</v>
      </c>
      <c r="C160" s="76" t="s">
        <v>6445</v>
      </c>
      <c r="D160" s="76" t="s">
        <v>6446</v>
      </c>
      <c r="E160" s="76" t="s">
        <v>6136</v>
      </c>
      <c r="F160" s="76" t="s">
        <v>6137</v>
      </c>
    </row>
    <row r="161" spans="1:6" ht="63.95" customHeight="1">
      <c r="A161" s="76" t="s">
        <v>5976</v>
      </c>
      <c r="B161" s="76" t="s">
        <v>6447</v>
      </c>
      <c r="C161" s="76" t="s">
        <v>142</v>
      </c>
      <c r="D161" s="76" t="s">
        <v>486</v>
      </c>
      <c r="E161" s="76" t="s">
        <v>6448</v>
      </c>
      <c r="F161" s="76" t="s">
        <v>6449</v>
      </c>
    </row>
    <row r="162" spans="1:6" ht="63.95" customHeight="1">
      <c r="A162" s="76" t="s">
        <v>5976</v>
      </c>
      <c r="B162" s="76" t="s">
        <v>6450</v>
      </c>
      <c r="C162" s="76"/>
      <c r="D162" s="76" t="s">
        <v>6451</v>
      </c>
      <c r="E162" s="76" t="s">
        <v>6136</v>
      </c>
      <c r="F162" s="76" t="s">
        <v>6137</v>
      </c>
    </row>
    <row r="163" spans="1:6" ht="63.95" customHeight="1">
      <c r="A163" s="76" t="s">
        <v>5976</v>
      </c>
      <c r="B163" s="76" t="s">
        <v>6452</v>
      </c>
      <c r="C163" s="76"/>
      <c r="D163" s="76" t="s">
        <v>6453</v>
      </c>
      <c r="E163" s="76" t="s">
        <v>6136</v>
      </c>
      <c r="F163" s="76" t="s">
        <v>6137</v>
      </c>
    </row>
    <row r="164" spans="1:6" ht="63.95" customHeight="1">
      <c r="A164" s="76" t="s">
        <v>5976</v>
      </c>
      <c r="B164" s="76" t="s">
        <v>6454</v>
      </c>
      <c r="C164" s="76" t="s">
        <v>6455</v>
      </c>
      <c r="D164" s="76" t="s">
        <v>505</v>
      </c>
      <c r="E164" s="76" t="s">
        <v>6404</v>
      </c>
      <c r="F164" s="76" t="s">
        <v>6405</v>
      </c>
    </row>
    <row r="165" spans="1:6" ht="63.95" customHeight="1">
      <c r="A165" s="76" t="s">
        <v>5976</v>
      </c>
      <c r="B165" s="76" t="s">
        <v>6456</v>
      </c>
      <c r="C165" s="76" t="s">
        <v>6457</v>
      </c>
      <c r="D165" s="76" t="s">
        <v>6458</v>
      </c>
      <c r="E165" s="76" t="s">
        <v>6136</v>
      </c>
      <c r="F165" s="76" t="s">
        <v>6137</v>
      </c>
    </row>
    <row r="166" spans="1:6" ht="63.95" customHeight="1">
      <c r="A166" s="76" t="s">
        <v>5976</v>
      </c>
      <c r="B166" s="76" t="s">
        <v>6459</v>
      </c>
      <c r="C166" s="76"/>
      <c r="D166" s="76" t="s">
        <v>6460</v>
      </c>
      <c r="E166" s="76" t="s">
        <v>6136</v>
      </c>
      <c r="F166" s="76" t="s">
        <v>6137</v>
      </c>
    </row>
    <row r="167" spans="1:6" ht="63.95" customHeight="1">
      <c r="A167" s="76" t="s">
        <v>5976</v>
      </c>
      <c r="B167" s="76" t="s">
        <v>6461</v>
      </c>
      <c r="C167" s="76"/>
      <c r="D167" s="76" t="s">
        <v>6462</v>
      </c>
      <c r="E167" s="76" t="s">
        <v>6136</v>
      </c>
      <c r="F167" s="76" t="s">
        <v>6137</v>
      </c>
    </row>
    <row r="168" spans="1:6" ht="63.95" customHeight="1">
      <c r="A168" s="76" t="s">
        <v>5976</v>
      </c>
      <c r="B168" s="76" t="s">
        <v>6463</v>
      </c>
      <c r="C168" s="76" t="s">
        <v>6464</v>
      </c>
      <c r="D168" s="76" t="s">
        <v>513</v>
      </c>
      <c r="E168" s="76" t="s">
        <v>6404</v>
      </c>
      <c r="F168" s="76" t="s">
        <v>6405</v>
      </c>
    </row>
    <row r="169" spans="1:6" ht="63.95" customHeight="1">
      <c r="A169" s="76" t="s">
        <v>5976</v>
      </c>
      <c r="B169" s="76" t="s">
        <v>6465</v>
      </c>
      <c r="C169" s="76" t="s">
        <v>3443</v>
      </c>
      <c r="D169" s="76" t="s">
        <v>496</v>
      </c>
      <c r="E169" s="76" t="s">
        <v>6442</v>
      </c>
      <c r="F169" s="76" t="s">
        <v>6443</v>
      </c>
    </row>
    <row r="170" spans="1:6" ht="63.95" customHeight="1">
      <c r="A170" s="76" t="s">
        <v>5976</v>
      </c>
      <c r="B170" s="76" t="s">
        <v>6466</v>
      </c>
      <c r="C170" s="76" t="s">
        <v>6467</v>
      </c>
      <c r="D170" s="76" t="s">
        <v>6468</v>
      </c>
      <c r="E170" s="76" t="s">
        <v>6136</v>
      </c>
      <c r="F170" s="76" t="s">
        <v>6137</v>
      </c>
    </row>
    <row r="171" spans="1:6" ht="63.95" customHeight="1">
      <c r="A171" s="76" t="s">
        <v>5976</v>
      </c>
      <c r="B171" s="76" t="s">
        <v>6469</v>
      </c>
      <c r="C171" s="76" t="s">
        <v>142</v>
      </c>
      <c r="D171" s="76" t="s">
        <v>486</v>
      </c>
      <c r="E171" s="76" t="s">
        <v>6448</v>
      </c>
      <c r="F171" s="76" t="s">
        <v>6470</v>
      </c>
    </row>
    <row r="172" spans="1:6" ht="63.95" customHeight="1">
      <c r="A172" s="76" t="s">
        <v>5976</v>
      </c>
      <c r="B172" s="76" t="s">
        <v>6471</v>
      </c>
      <c r="C172" s="76"/>
      <c r="D172" s="76" t="s">
        <v>6472</v>
      </c>
      <c r="E172" s="76" t="s">
        <v>6136</v>
      </c>
      <c r="F172" s="76" t="s">
        <v>6137</v>
      </c>
    </row>
    <row r="173" spans="1:6" ht="63.95" customHeight="1">
      <c r="A173" s="76" t="s">
        <v>5976</v>
      </c>
      <c r="B173" s="76" t="s">
        <v>6473</v>
      </c>
      <c r="C173" s="76"/>
      <c r="D173" s="76" t="s">
        <v>6474</v>
      </c>
      <c r="E173" s="76" t="s">
        <v>6136</v>
      </c>
      <c r="F173" s="76" t="s">
        <v>6137</v>
      </c>
    </row>
    <row r="174" spans="1:6" ht="63.95" customHeight="1">
      <c r="A174" s="76" t="s">
        <v>5976</v>
      </c>
      <c r="B174" s="76" t="s">
        <v>6475</v>
      </c>
      <c r="C174" s="76" t="s">
        <v>6476</v>
      </c>
      <c r="D174" s="76" t="s">
        <v>521</v>
      </c>
      <c r="E174" s="76" t="s">
        <v>6439</v>
      </c>
      <c r="F174" s="76" t="s">
        <v>6440</v>
      </c>
    </row>
    <row r="175" spans="1:6" ht="63.95" customHeight="1">
      <c r="A175" s="76" t="s">
        <v>5976</v>
      </c>
      <c r="B175" s="76" t="s">
        <v>6477</v>
      </c>
      <c r="C175" s="76" t="s">
        <v>3443</v>
      </c>
      <c r="D175" s="76" t="s">
        <v>496</v>
      </c>
      <c r="E175" s="76" t="s">
        <v>6442</v>
      </c>
      <c r="F175" s="76" t="s">
        <v>6443</v>
      </c>
    </row>
    <row r="176" spans="1:6" ht="63.95" customHeight="1">
      <c r="A176" s="76" t="s">
        <v>5976</v>
      </c>
      <c r="B176" s="76" t="s">
        <v>6478</v>
      </c>
      <c r="C176" s="76" t="s">
        <v>6479</v>
      </c>
      <c r="D176" s="76" t="s">
        <v>6480</v>
      </c>
      <c r="E176" s="76" t="s">
        <v>6136</v>
      </c>
      <c r="F176" s="76" t="s">
        <v>6137</v>
      </c>
    </row>
    <row r="177" spans="1:6" ht="63.95" customHeight="1">
      <c r="A177" s="76" t="s">
        <v>5976</v>
      </c>
      <c r="B177" s="76" t="s">
        <v>6481</v>
      </c>
      <c r="C177" s="76" t="s">
        <v>142</v>
      </c>
      <c r="D177" s="76" t="s">
        <v>486</v>
      </c>
      <c r="E177" s="76" t="s">
        <v>6448</v>
      </c>
      <c r="F177" s="76" t="s">
        <v>6482</v>
      </c>
    </row>
    <row r="178" spans="1:6" ht="63.95" customHeight="1">
      <c r="A178" s="76" t="s">
        <v>5976</v>
      </c>
      <c r="B178" s="76" t="s">
        <v>6483</v>
      </c>
      <c r="C178" s="76"/>
      <c r="D178" s="76" t="s">
        <v>6484</v>
      </c>
      <c r="E178" s="76" t="s">
        <v>6136</v>
      </c>
      <c r="F178" s="76" t="s">
        <v>6137</v>
      </c>
    </row>
    <row r="179" spans="1:6" ht="63.95" customHeight="1">
      <c r="A179" s="76" t="s">
        <v>5976</v>
      </c>
      <c r="B179" s="76" t="s">
        <v>6485</v>
      </c>
      <c r="C179" s="76"/>
      <c r="D179" s="76" t="s">
        <v>6486</v>
      </c>
      <c r="E179" s="76" t="s">
        <v>6136</v>
      </c>
      <c r="F179" s="76" t="s">
        <v>6137</v>
      </c>
    </row>
    <row r="180" spans="1:6" ht="63.95" customHeight="1">
      <c r="A180" s="76" t="s">
        <v>5976</v>
      </c>
      <c r="B180" s="76" t="s">
        <v>6487</v>
      </c>
      <c r="C180" s="76"/>
      <c r="D180" s="76" t="s">
        <v>532</v>
      </c>
      <c r="E180" s="76" t="s">
        <v>6488</v>
      </c>
      <c r="F180" s="76" t="s">
        <v>6489</v>
      </c>
    </row>
    <row r="181" spans="1:6" ht="63.95" customHeight="1">
      <c r="A181" s="76" t="s">
        <v>5976</v>
      </c>
      <c r="B181" s="76" t="s">
        <v>6490</v>
      </c>
      <c r="C181" s="76"/>
      <c r="D181" s="76" t="s">
        <v>538</v>
      </c>
      <c r="E181" s="76" t="s">
        <v>6491</v>
      </c>
      <c r="F181" s="76" t="s">
        <v>6489</v>
      </c>
    </row>
    <row r="182" spans="1:6" ht="63.95" customHeight="1">
      <c r="A182" s="76" t="s">
        <v>5976</v>
      </c>
      <c r="B182" s="76" t="s">
        <v>6492</v>
      </c>
      <c r="C182" s="76" t="s">
        <v>6493</v>
      </c>
      <c r="D182" s="76" t="s">
        <v>6494</v>
      </c>
      <c r="E182" s="76" t="s">
        <v>6136</v>
      </c>
      <c r="F182" s="76" t="s">
        <v>6137</v>
      </c>
    </row>
    <row r="183" spans="1:6" ht="63.95" customHeight="1">
      <c r="A183" s="76" t="s">
        <v>5976</v>
      </c>
      <c r="B183" s="76" t="s">
        <v>6495</v>
      </c>
      <c r="C183" s="76" t="s">
        <v>3453</v>
      </c>
      <c r="D183" s="76" t="s">
        <v>537</v>
      </c>
      <c r="E183" s="76" t="s">
        <v>6496</v>
      </c>
      <c r="F183" s="76" t="s">
        <v>6497</v>
      </c>
    </row>
    <row r="184" spans="1:6" ht="63.95" customHeight="1">
      <c r="A184" s="76" t="s">
        <v>5976</v>
      </c>
      <c r="B184" s="76" t="s">
        <v>6498</v>
      </c>
      <c r="C184" s="76" t="s">
        <v>141</v>
      </c>
      <c r="D184" s="76" t="s">
        <v>538</v>
      </c>
      <c r="E184" s="76" t="s">
        <v>6499</v>
      </c>
      <c r="F184" s="76" t="s">
        <v>6489</v>
      </c>
    </row>
    <row r="185" spans="1:6" ht="63.95" customHeight="1">
      <c r="A185" s="76" t="s">
        <v>5976</v>
      </c>
      <c r="B185" s="76" t="s">
        <v>6500</v>
      </c>
      <c r="C185" s="76"/>
      <c r="D185" s="76" t="s">
        <v>6501</v>
      </c>
      <c r="E185" s="76" t="s">
        <v>6136</v>
      </c>
      <c r="F185" s="76" t="s">
        <v>6137</v>
      </c>
    </row>
    <row r="186" spans="1:6" ht="63.95" customHeight="1">
      <c r="A186" s="76" t="s">
        <v>5976</v>
      </c>
      <c r="B186" s="76" t="s">
        <v>6502</v>
      </c>
      <c r="C186" s="76"/>
      <c r="D186" s="76" t="s">
        <v>6503</v>
      </c>
      <c r="E186" s="76" t="s">
        <v>6136</v>
      </c>
      <c r="F186" s="76" t="s">
        <v>6137</v>
      </c>
    </row>
    <row r="187" spans="1:6" ht="63.95" customHeight="1">
      <c r="A187" s="76" t="s">
        <v>5976</v>
      </c>
      <c r="B187" s="76" t="s">
        <v>6504</v>
      </c>
      <c r="C187" s="76" t="s">
        <v>6505</v>
      </c>
      <c r="D187" s="76" t="s">
        <v>545</v>
      </c>
      <c r="E187" s="76" t="s">
        <v>6439</v>
      </c>
      <c r="F187" s="76" t="s">
        <v>6440</v>
      </c>
    </row>
    <row r="188" spans="1:6" ht="63.95" customHeight="1">
      <c r="A188" s="76" t="s">
        <v>5976</v>
      </c>
      <c r="B188" s="76" t="s">
        <v>6506</v>
      </c>
      <c r="C188" s="76" t="s">
        <v>6507</v>
      </c>
      <c r="D188" s="76" t="s">
        <v>6508</v>
      </c>
      <c r="E188" s="76" t="s">
        <v>6136</v>
      </c>
      <c r="F188" s="76" t="s">
        <v>6137</v>
      </c>
    </row>
    <row r="189" spans="1:6" ht="63.95" customHeight="1">
      <c r="A189" s="76" t="s">
        <v>5976</v>
      </c>
      <c r="B189" s="76" t="s">
        <v>6509</v>
      </c>
      <c r="C189" s="76"/>
      <c r="D189" s="76" t="s">
        <v>6510</v>
      </c>
      <c r="E189" s="76" t="s">
        <v>6136</v>
      </c>
      <c r="F189" s="76" t="s">
        <v>6137</v>
      </c>
    </row>
    <row r="190" spans="1:6" ht="63.95" customHeight="1">
      <c r="A190" s="76" t="s">
        <v>5976</v>
      </c>
      <c r="B190" s="76" t="s">
        <v>6511</v>
      </c>
      <c r="C190" s="76"/>
      <c r="D190" s="76" t="s">
        <v>6512</v>
      </c>
      <c r="E190" s="76" t="s">
        <v>6136</v>
      </c>
      <c r="F190" s="76" t="s">
        <v>6137</v>
      </c>
    </row>
    <row r="191" spans="1:6" ht="63.95" customHeight="1">
      <c r="A191" s="76" t="s">
        <v>5976</v>
      </c>
      <c r="B191" s="76" t="s">
        <v>6513</v>
      </c>
      <c r="C191" s="76" t="s">
        <v>6514</v>
      </c>
      <c r="D191" s="76" t="s">
        <v>6515</v>
      </c>
      <c r="E191" s="76" t="s">
        <v>6136</v>
      </c>
      <c r="F191" s="76" t="s">
        <v>6137</v>
      </c>
    </row>
    <row r="192" spans="1:6" ht="63.95" customHeight="1">
      <c r="A192" s="76" t="s">
        <v>5976</v>
      </c>
      <c r="B192" s="76" t="s">
        <v>6516</v>
      </c>
      <c r="C192" s="76"/>
      <c r="D192" s="76" t="s">
        <v>6517</v>
      </c>
      <c r="E192" s="76" t="s">
        <v>6136</v>
      </c>
      <c r="F192" s="76" t="s">
        <v>6137</v>
      </c>
    </row>
    <row r="193" spans="1:6" ht="63.95" customHeight="1">
      <c r="A193" s="76" t="s">
        <v>5976</v>
      </c>
      <c r="B193" s="76" t="s">
        <v>6518</v>
      </c>
      <c r="C193" s="76"/>
      <c r="D193" s="76" t="s">
        <v>6519</v>
      </c>
      <c r="E193" s="76" t="s">
        <v>6136</v>
      </c>
      <c r="F193" s="76" t="s">
        <v>6137</v>
      </c>
    </row>
    <row r="194" spans="1:6" ht="63.95" customHeight="1">
      <c r="A194" s="76" t="s">
        <v>5976</v>
      </c>
      <c r="B194" s="76" t="s">
        <v>6520</v>
      </c>
      <c r="C194" s="76" t="s">
        <v>6521</v>
      </c>
      <c r="D194" s="76" t="s">
        <v>565</v>
      </c>
      <c r="E194" s="76" t="s">
        <v>6404</v>
      </c>
      <c r="F194" s="76" t="s">
        <v>6405</v>
      </c>
    </row>
    <row r="195" spans="1:6" ht="63.95" customHeight="1">
      <c r="A195" s="76" t="s">
        <v>5976</v>
      </c>
      <c r="B195" s="76" t="s">
        <v>6522</v>
      </c>
      <c r="C195" s="76" t="s">
        <v>6523</v>
      </c>
      <c r="D195" s="76" t="s">
        <v>6524</v>
      </c>
      <c r="E195" s="76" t="s">
        <v>6136</v>
      </c>
      <c r="F195" s="76" t="s">
        <v>6137</v>
      </c>
    </row>
    <row r="196" spans="1:6" ht="63.95" customHeight="1">
      <c r="A196" s="76" t="s">
        <v>5976</v>
      </c>
      <c r="B196" s="76" t="s">
        <v>6525</v>
      </c>
      <c r="C196" s="76"/>
      <c r="D196" s="76" t="s">
        <v>6526</v>
      </c>
      <c r="E196" s="76" t="s">
        <v>6136</v>
      </c>
      <c r="F196" s="76" t="s">
        <v>6137</v>
      </c>
    </row>
    <row r="197" spans="1:6" ht="63.95" customHeight="1">
      <c r="A197" s="76" t="s">
        <v>5976</v>
      </c>
      <c r="B197" s="76" t="s">
        <v>6527</v>
      </c>
      <c r="C197" s="76"/>
      <c r="D197" s="76" t="s">
        <v>6528</v>
      </c>
      <c r="E197" s="76" t="s">
        <v>6136</v>
      </c>
      <c r="F197" s="76" t="s">
        <v>6137</v>
      </c>
    </row>
    <row r="198" spans="1:6" ht="63.95" customHeight="1">
      <c r="A198" s="76" t="s">
        <v>5976</v>
      </c>
      <c r="B198" s="76" t="s">
        <v>6529</v>
      </c>
      <c r="C198" s="76" t="s">
        <v>6530</v>
      </c>
      <c r="D198" s="76" t="s">
        <v>124</v>
      </c>
      <c r="E198" s="76" t="s">
        <v>6131</v>
      </c>
      <c r="F198" s="76" t="s">
        <v>6132</v>
      </c>
    </row>
    <row r="199" spans="1:6" ht="63.95" customHeight="1">
      <c r="A199" s="76" t="s">
        <v>5976</v>
      </c>
      <c r="B199" s="76" t="s">
        <v>6531</v>
      </c>
      <c r="C199" s="76" t="s">
        <v>6532</v>
      </c>
      <c r="D199" s="76" t="s">
        <v>6533</v>
      </c>
      <c r="E199" s="76" t="s">
        <v>6136</v>
      </c>
      <c r="F199" s="76" t="s">
        <v>6137</v>
      </c>
    </row>
    <row r="200" spans="1:6" ht="63.95" customHeight="1">
      <c r="A200" s="76" t="s">
        <v>5976</v>
      </c>
      <c r="B200" s="76" t="s">
        <v>6534</v>
      </c>
      <c r="C200" s="76"/>
      <c r="D200" s="76" t="s">
        <v>6535</v>
      </c>
      <c r="E200" s="76" t="s">
        <v>6136</v>
      </c>
      <c r="F200" s="76" t="s">
        <v>6137</v>
      </c>
    </row>
    <row r="201" spans="1:6" ht="63.95" customHeight="1">
      <c r="A201" s="76" t="s">
        <v>5976</v>
      </c>
      <c r="B201" s="76" t="s">
        <v>6536</v>
      </c>
      <c r="C201" s="76"/>
      <c r="D201" s="76" t="s">
        <v>6537</v>
      </c>
      <c r="E201" s="76" t="s">
        <v>6136</v>
      </c>
      <c r="F201" s="76" t="s">
        <v>6137</v>
      </c>
    </row>
    <row r="202" spans="1:6" ht="63.95" customHeight="1">
      <c r="A202" s="76" t="s">
        <v>5976</v>
      </c>
      <c r="B202" s="76" t="s">
        <v>6538</v>
      </c>
      <c r="C202" s="76" t="s">
        <v>6539</v>
      </c>
      <c r="D202" s="76" t="s">
        <v>6540</v>
      </c>
      <c r="E202" s="76" t="s">
        <v>6136</v>
      </c>
      <c r="F202" s="76" t="s">
        <v>6137</v>
      </c>
    </row>
    <row r="203" spans="1:6" ht="63.95" customHeight="1">
      <c r="A203" s="76" t="s">
        <v>5976</v>
      </c>
      <c r="B203" s="76" t="s">
        <v>6541</v>
      </c>
      <c r="C203" s="76"/>
      <c r="D203" s="76" t="s">
        <v>6542</v>
      </c>
      <c r="E203" s="76" t="s">
        <v>6136</v>
      </c>
      <c r="F203" s="76" t="s">
        <v>6137</v>
      </c>
    </row>
    <row r="204" spans="1:6" ht="63.95" customHeight="1">
      <c r="A204" s="76" t="s">
        <v>5976</v>
      </c>
      <c r="B204" s="76" t="s">
        <v>6543</v>
      </c>
      <c r="C204" s="76"/>
      <c r="D204" s="76" t="s">
        <v>6544</v>
      </c>
      <c r="E204" s="76" t="s">
        <v>6136</v>
      </c>
      <c r="F204" s="76" t="s">
        <v>6137</v>
      </c>
    </row>
    <row r="205" spans="1:6" ht="63.95" customHeight="1">
      <c r="A205" s="76" t="s">
        <v>5976</v>
      </c>
      <c r="B205" s="76" t="s">
        <v>6545</v>
      </c>
      <c r="C205" s="76" t="s">
        <v>6546</v>
      </c>
      <c r="D205" s="76" t="s">
        <v>124</v>
      </c>
      <c r="E205" s="76" t="s">
        <v>6131</v>
      </c>
      <c r="F205" s="76" t="s">
        <v>6132</v>
      </c>
    </row>
    <row r="206" spans="1:6" ht="63.95" customHeight="1">
      <c r="A206" s="76" t="s">
        <v>5976</v>
      </c>
      <c r="B206" s="76" t="s">
        <v>6547</v>
      </c>
      <c r="C206" s="76" t="s">
        <v>6548</v>
      </c>
      <c r="D206" s="76" t="s">
        <v>6549</v>
      </c>
      <c r="E206" s="76" t="s">
        <v>6136</v>
      </c>
      <c r="F206" s="76" t="s">
        <v>6137</v>
      </c>
    </row>
    <row r="207" spans="1:6" ht="63.95" customHeight="1">
      <c r="A207" s="76" t="s">
        <v>5976</v>
      </c>
      <c r="B207" s="76" t="s">
        <v>6550</v>
      </c>
      <c r="C207" s="76"/>
      <c r="D207" s="76" t="s">
        <v>6551</v>
      </c>
      <c r="E207" s="76" t="s">
        <v>6136</v>
      </c>
      <c r="F207" s="76" t="s">
        <v>6137</v>
      </c>
    </row>
    <row r="208" spans="1:6" ht="63.95" customHeight="1">
      <c r="A208" s="76" t="s">
        <v>5976</v>
      </c>
      <c r="B208" s="76" t="s">
        <v>6552</v>
      </c>
      <c r="C208" s="76"/>
      <c r="D208" s="76" t="s">
        <v>6553</v>
      </c>
      <c r="E208" s="76" t="s">
        <v>6136</v>
      </c>
      <c r="F208" s="76" t="s">
        <v>6137</v>
      </c>
    </row>
    <row r="209" spans="1:6" ht="63.95" customHeight="1">
      <c r="A209" s="76" t="s">
        <v>5976</v>
      </c>
      <c r="B209" s="76" t="s">
        <v>6554</v>
      </c>
      <c r="C209" s="76" t="s">
        <v>6555</v>
      </c>
      <c r="D209" s="76" t="s">
        <v>6556</v>
      </c>
      <c r="E209" s="76" t="s">
        <v>6136</v>
      </c>
      <c r="F209" s="76" t="s">
        <v>6137</v>
      </c>
    </row>
    <row r="210" spans="1:6" ht="63.95" customHeight="1">
      <c r="A210" s="76" t="s">
        <v>5976</v>
      </c>
      <c r="B210" s="76" t="s">
        <v>6557</v>
      </c>
      <c r="C210" s="76"/>
      <c r="D210" s="76" t="s">
        <v>6558</v>
      </c>
      <c r="E210" s="76" t="s">
        <v>6136</v>
      </c>
      <c r="F210" s="76" t="s">
        <v>6137</v>
      </c>
    </row>
    <row r="211" spans="1:6" ht="63.95" customHeight="1">
      <c r="A211" s="76" t="s">
        <v>5976</v>
      </c>
      <c r="B211" s="76" t="s">
        <v>6559</v>
      </c>
      <c r="C211" s="76"/>
      <c r="D211" s="76" t="s">
        <v>6560</v>
      </c>
      <c r="E211" s="76" t="s">
        <v>6136</v>
      </c>
      <c r="F211" s="76" t="s">
        <v>6137</v>
      </c>
    </row>
    <row r="212" spans="1:6" ht="63.95" customHeight="1">
      <c r="A212" s="76" t="s">
        <v>5976</v>
      </c>
      <c r="B212" s="76" t="s">
        <v>6561</v>
      </c>
      <c r="C212" s="76" t="s">
        <v>6562</v>
      </c>
      <c r="D212" s="76" t="s">
        <v>6563</v>
      </c>
      <c r="E212" s="76" t="s">
        <v>6136</v>
      </c>
      <c r="F212" s="76" t="s">
        <v>6137</v>
      </c>
    </row>
    <row r="213" spans="1:6" ht="63.95" customHeight="1">
      <c r="A213" s="76" t="s">
        <v>5976</v>
      </c>
      <c r="B213" s="76" t="s">
        <v>6564</v>
      </c>
      <c r="C213" s="76"/>
      <c r="D213" s="76" t="s">
        <v>6565</v>
      </c>
      <c r="E213" s="76" t="s">
        <v>6136</v>
      </c>
      <c r="F213" s="76" t="s">
        <v>6137</v>
      </c>
    </row>
    <row r="214" spans="1:6" ht="63.95" customHeight="1">
      <c r="A214" s="76" t="s">
        <v>5976</v>
      </c>
      <c r="B214" s="76" t="s">
        <v>6566</v>
      </c>
      <c r="C214" s="76"/>
      <c r="D214" s="76" t="s">
        <v>6567</v>
      </c>
      <c r="E214" s="76" t="s">
        <v>6136</v>
      </c>
      <c r="F214" s="76" t="s">
        <v>6137</v>
      </c>
    </row>
    <row r="215" spans="1:6" ht="63.95" customHeight="1">
      <c r="A215" s="76" t="s">
        <v>5976</v>
      </c>
      <c r="B215" s="76" t="s">
        <v>6568</v>
      </c>
      <c r="C215" s="76" t="s">
        <v>6569</v>
      </c>
      <c r="D215" s="76" t="s">
        <v>6570</v>
      </c>
      <c r="E215" s="76" t="s">
        <v>6136</v>
      </c>
      <c r="F215" s="76" t="s">
        <v>6137</v>
      </c>
    </row>
    <row r="216" spans="1:6" ht="63.95" customHeight="1">
      <c r="A216" s="76" t="s">
        <v>5976</v>
      </c>
      <c r="B216" s="76" t="s">
        <v>6571</v>
      </c>
      <c r="C216" s="76"/>
      <c r="D216" s="76" t="s">
        <v>6572</v>
      </c>
      <c r="E216" s="76" t="s">
        <v>6136</v>
      </c>
      <c r="F216" s="76" t="s">
        <v>6137</v>
      </c>
    </row>
    <row r="217" spans="1:6" ht="63.95" customHeight="1">
      <c r="A217" s="76" t="s">
        <v>5976</v>
      </c>
      <c r="B217" s="76" t="s">
        <v>6573</v>
      </c>
      <c r="C217" s="76"/>
      <c r="D217" s="76" t="s">
        <v>6574</v>
      </c>
      <c r="E217" s="76" t="s">
        <v>6136</v>
      </c>
      <c r="F217" s="76" t="s">
        <v>6137</v>
      </c>
    </row>
    <row r="218" spans="1:6" ht="63.95" customHeight="1">
      <c r="A218" s="76" t="s">
        <v>5976</v>
      </c>
      <c r="B218" s="76" t="s">
        <v>6575</v>
      </c>
      <c r="C218" s="76" t="s">
        <v>6576</v>
      </c>
      <c r="D218" s="76" t="s">
        <v>6577</v>
      </c>
      <c r="E218" s="76" t="s">
        <v>6136</v>
      </c>
      <c r="F218" s="76" t="s">
        <v>6137</v>
      </c>
    </row>
    <row r="219" spans="1:6" ht="63.95" customHeight="1">
      <c r="A219" s="76" t="s">
        <v>5976</v>
      </c>
      <c r="B219" s="76" t="s">
        <v>6578</v>
      </c>
      <c r="C219" s="76"/>
      <c r="D219" s="76" t="s">
        <v>6579</v>
      </c>
      <c r="E219" s="76" t="s">
        <v>6136</v>
      </c>
      <c r="F219" s="76" t="s">
        <v>6137</v>
      </c>
    </row>
    <row r="220" spans="1:6" ht="63.95" customHeight="1">
      <c r="A220" s="76" t="s">
        <v>5976</v>
      </c>
      <c r="B220" s="76" t="s">
        <v>6580</v>
      </c>
      <c r="C220" s="76"/>
      <c r="D220" s="76" t="s">
        <v>6581</v>
      </c>
      <c r="E220" s="76" t="s">
        <v>6136</v>
      </c>
      <c r="F220" s="76" t="s">
        <v>6137</v>
      </c>
    </row>
    <row r="221" spans="1:6" ht="63.95" customHeight="1">
      <c r="A221" s="76" t="s">
        <v>5976</v>
      </c>
      <c r="B221" s="76" t="s">
        <v>6582</v>
      </c>
      <c r="C221" s="76" t="s">
        <v>6583</v>
      </c>
      <c r="D221" s="76" t="s">
        <v>6584</v>
      </c>
      <c r="E221" s="76" t="s">
        <v>6136</v>
      </c>
      <c r="F221" s="76" t="s">
        <v>6137</v>
      </c>
    </row>
    <row r="222" spans="1:6" ht="63.95" customHeight="1">
      <c r="A222" s="76" t="s">
        <v>5976</v>
      </c>
      <c r="B222" s="76" t="s">
        <v>6585</v>
      </c>
      <c r="C222" s="76"/>
      <c r="D222" s="76" t="s">
        <v>6586</v>
      </c>
      <c r="E222" s="76" t="s">
        <v>6136</v>
      </c>
      <c r="F222" s="76" t="s">
        <v>6137</v>
      </c>
    </row>
    <row r="223" spans="1:6" ht="63.95" customHeight="1">
      <c r="A223" s="76" t="s">
        <v>5976</v>
      </c>
      <c r="B223" s="76" t="s">
        <v>6587</v>
      </c>
      <c r="C223" s="76"/>
      <c r="D223" s="76" t="s">
        <v>6588</v>
      </c>
      <c r="E223" s="76" t="s">
        <v>6136</v>
      </c>
      <c r="F223" s="76" t="s">
        <v>6137</v>
      </c>
    </row>
    <row r="224" spans="1:6" ht="63.95" customHeight="1">
      <c r="A224" s="76" t="s">
        <v>5976</v>
      </c>
      <c r="B224" s="76" t="s">
        <v>6589</v>
      </c>
      <c r="C224" s="76" t="s">
        <v>3443</v>
      </c>
      <c r="D224" s="76" t="s">
        <v>496</v>
      </c>
      <c r="E224" s="76" t="s">
        <v>6442</v>
      </c>
      <c r="F224" s="76" t="s">
        <v>6443</v>
      </c>
    </row>
    <row r="225" spans="1:6" ht="63.95" customHeight="1">
      <c r="A225" s="76" t="s">
        <v>5976</v>
      </c>
      <c r="B225" s="76" t="s">
        <v>6590</v>
      </c>
      <c r="C225" s="76" t="s">
        <v>6591</v>
      </c>
      <c r="D225" s="76" t="s">
        <v>6592</v>
      </c>
      <c r="E225" s="76" t="s">
        <v>6136</v>
      </c>
      <c r="F225" s="76" t="s">
        <v>6137</v>
      </c>
    </row>
    <row r="226" spans="1:6" ht="63.95" customHeight="1">
      <c r="A226" s="76" t="s">
        <v>5976</v>
      </c>
      <c r="B226" s="76" t="s">
        <v>6593</v>
      </c>
      <c r="C226" s="76" t="s">
        <v>142</v>
      </c>
      <c r="D226" s="76" t="s">
        <v>486</v>
      </c>
      <c r="E226" s="76" t="s">
        <v>6448</v>
      </c>
      <c r="F226" s="76" t="s">
        <v>6594</v>
      </c>
    </row>
    <row r="227" spans="1:6" ht="63.95" customHeight="1">
      <c r="A227" s="76" t="s">
        <v>5976</v>
      </c>
      <c r="B227" s="76" t="s">
        <v>6595</v>
      </c>
      <c r="C227" s="76"/>
      <c r="D227" s="76" t="s">
        <v>6596</v>
      </c>
      <c r="E227" s="76" t="s">
        <v>6136</v>
      </c>
      <c r="F227" s="76" t="s">
        <v>6137</v>
      </c>
    </row>
    <row r="228" spans="1:6" ht="63.95" customHeight="1">
      <c r="A228" s="76" t="s">
        <v>5976</v>
      </c>
      <c r="B228" s="76" t="s">
        <v>6597</v>
      </c>
      <c r="C228" s="76"/>
      <c r="D228" s="76" t="s">
        <v>6598</v>
      </c>
      <c r="E228" s="76" t="s">
        <v>6136</v>
      </c>
      <c r="F228" s="76" t="s">
        <v>6137</v>
      </c>
    </row>
    <row r="229" spans="1:6" ht="63.95" customHeight="1">
      <c r="A229" s="76" t="s">
        <v>5976</v>
      </c>
      <c r="B229" s="76" t="s">
        <v>6599</v>
      </c>
      <c r="C229" s="76" t="s">
        <v>6600</v>
      </c>
      <c r="D229" s="76" t="s">
        <v>124</v>
      </c>
      <c r="E229" s="76" t="s">
        <v>6131</v>
      </c>
      <c r="F229" s="76" t="s">
        <v>6132</v>
      </c>
    </row>
    <row r="230" spans="1:6" ht="63.95" customHeight="1">
      <c r="A230" s="76" t="s">
        <v>5976</v>
      </c>
      <c r="B230" s="76" t="s">
        <v>6601</v>
      </c>
      <c r="C230" s="76" t="s">
        <v>6602</v>
      </c>
      <c r="D230" s="76" t="s">
        <v>6603</v>
      </c>
      <c r="E230" s="76" t="s">
        <v>6136</v>
      </c>
      <c r="F230" s="76" t="s">
        <v>6137</v>
      </c>
    </row>
    <row r="231" spans="1:6" ht="63.95" customHeight="1">
      <c r="A231" s="76" t="s">
        <v>5976</v>
      </c>
      <c r="B231" s="76" t="s">
        <v>6604</v>
      </c>
      <c r="C231" s="76"/>
      <c r="D231" s="76" t="s">
        <v>6605</v>
      </c>
      <c r="E231" s="76" t="s">
        <v>6136</v>
      </c>
      <c r="F231" s="76" t="s">
        <v>6137</v>
      </c>
    </row>
    <row r="232" spans="1:6" ht="63.95" customHeight="1">
      <c r="A232" s="76" t="s">
        <v>5976</v>
      </c>
      <c r="B232" s="76" t="s">
        <v>6606</v>
      </c>
      <c r="C232" s="76"/>
      <c r="D232" s="76" t="s">
        <v>6607</v>
      </c>
      <c r="E232" s="76" t="s">
        <v>6136</v>
      </c>
      <c r="F232" s="76" t="s">
        <v>6137</v>
      </c>
    </row>
    <row r="233" spans="1:6" ht="63.95" customHeight="1">
      <c r="A233" s="76" t="s">
        <v>5976</v>
      </c>
      <c r="B233" s="76" t="s">
        <v>6608</v>
      </c>
      <c r="C233" s="76" t="s">
        <v>6609</v>
      </c>
      <c r="D233" s="76" t="s">
        <v>124</v>
      </c>
      <c r="E233" s="76" t="s">
        <v>6131</v>
      </c>
      <c r="F233" s="76" t="s">
        <v>6132</v>
      </c>
    </row>
    <row r="234" spans="1:6" ht="63.95" customHeight="1">
      <c r="A234" s="76" t="s">
        <v>5976</v>
      </c>
      <c r="B234" s="76" t="s">
        <v>6610</v>
      </c>
      <c r="C234" s="76" t="s">
        <v>6611</v>
      </c>
      <c r="D234" s="76" t="s">
        <v>6612</v>
      </c>
      <c r="E234" s="76" t="s">
        <v>6136</v>
      </c>
      <c r="F234" s="76" t="s">
        <v>6137</v>
      </c>
    </row>
    <row r="235" spans="1:6" ht="63.95" customHeight="1">
      <c r="A235" s="76" t="s">
        <v>5976</v>
      </c>
      <c r="B235" s="76" t="s">
        <v>6613</v>
      </c>
      <c r="C235" s="76"/>
      <c r="D235" s="76" t="s">
        <v>6614</v>
      </c>
      <c r="E235" s="76" t="s">
        <v>6136</v>
      </c>
      <c r="F235" s="76" t="s">
        <v>6137</v>
      </c>
    </row>
    <row r="236" spans="1:6" ht="63.95" customHeight="1">
      <c r="A236" s="76" t="s">
        <v>5976</v>
      </c>
      <c r="B236" s="76" t="s">
        <v>6615</v>
      </c>
      <c r="C236" s="76"/>
      <c r="D236" s="76" t="s">
        <v>6616</v>
      </c>
      <c r="E236" s="76" t="s">
        <v>6136</v>
      </c>
      <c r="F236" s="76" t="s">
        <v>6137</v>
      </c>
    </row>
    <row r="237" spans="1:6" ht="63.95" customHeight="1">
      <c r="A237" s="76" t="s">
        <v>5976</v>
      </c>
      <c r="B237" s="76" t="s">
        <v>6617</v>
      </c>
      <c r="C237" s="76"/>
      <c r="D237" s="76" t="s">
        <v>705</v>
      </c>
      <c r="E237" s="76" t="s">
        <v>6618</v>
      </c>
      <c r="F237" s="76" t="s">
        <v>6497</v>
      </c>
    </row>
    <row r="238" spans="1:6" ht="63.95" customHeight="1">
      <c r="A238" s="76" t="s">
        <v>5976</v>
      </c>
      <c r="B238" s="76" t="s">
        <v>6619</v>
      </c>
      <c r="C238" s="76"/>
      <c r="D238" s="76" t="s">
        <v>709</v>
      </c>
      <c r="E238" s="76" t="s">
        <v>6620</v>
      </c>
      <c r="F238" s="76" t="s">
        <v>6497</v>
      </c>
    </row>
    <row r="239" spans="1:6" ht="63.95" customHeight="1">
      <c r="A239" s="76" t="s">
        <v>5976</v>
      </c>
      <c r="B239" s="76" t="s">
        <v>6621</v>
      </c>
      <c r="C239" s="76" t="s">
        <v>3443</v>
      </c>
      <c r="D239" s="76" t="s">
        <v>496</v>
      </c>
      <c r="E239" s="76" t="s">
        <v>6442</v>
      </c>
      <c r="F239" s="76" t="s">
        <v>6443</v>
      </c>
    </row>
    <row r="240" spans="1:6" ht="63.95" customHeight="1">
      <c r="A240" s="76" t="s">
        <v>5976</v>
      </c>
      <c r="B240" s="76" t="s">
        <v>6622</v>
      </c>
      <c r="C240" s="76" t="s">
        <v>6623</v>
      </c>
      <c r="D240" s="76" t="s">
        <v>6624</v>
      </c>
      <c r="E240" s="76" t="s">
        <v>6136</v>
      </c>
      <c r="F240" s="76" t="s">
        <v>6137</v>
      </c>
    </row>
    <row r="241" spans="1:6" ht="63.95" customHeight="1">
      <c r="A241" s="76" t="s">
        <v>5976</v>
      </c>
      <c r="B241" s="76" t="s">
        <v>6625</v>
      </c>
      <c r="C241" s="76" t="s">
        <v>3453</v>
      </c>
      <c r="D241" s="76" t="s">
        <v>708</v>
      </c>
      <c r="E241" s="76" t="s">
        <v>6496</v>
      </c>
      <c r="F241" s="76" t="s">
        <v>6497</v>
      </c>
    </row>
    <row r="242" spans="1:6" ht="63.95" customHeight="1">
      <c r="A242" s="76" t="s">
        <v>5976</v>
      </c>
      <c r="B242" s="76" t="s">
        <v>6626</v>
      </c>
      <c r="C242" s="76" t="s">
        <v>141</v>
      </c>
      <c r="D242" s="76" t="s">
        <v>709</v>
      </c>
      <c r="E242" s="76" t="s">
        <v>6627</v>
      </c>
      <c r="F242" s="76" t="s">
        <v>6497</v>
      </c>
    </row>
    <row r="243" spans="1:6" ht="63.95" customHeight="1">
      <c r="A243" s="76" t="s">
        <v>5976</v>
      </c>
      <c r="B243" s="76" t="s">
        <v>6628</v>
      </c>
      <c r="C243" s="76" t="s">
        <v>142</v>
      </c>
      <c r="D243" s="76" t="s">
        <v>486</v>
      </c>
      <c r="E243" s="76" t="s">
        <v>6448</v>
      </c>
      <c r="F243" s="76" t="s">
        <v>6629</v>
      </c>
    </row>
    <row r="244" spans="1:6" ht="63.95" customHeight="1">
      <c r="A244" s="76" t="s">
        <v>5976</v>
      </c>
      <c r="B244" s="76" t="s">
        <v>6630</v>
      </c>
      <c r="C244" s="76"/>
      <c r="D244" s="76" t="s">
        <v>6631</v>
      </c>
      <c r="E244" s="76" t="s">
        <v>6136</v>
      </c>
      <c r="F244" s="76" t="s">
        <v>6137</v>
      </c>
    </row>
    <row r="245" spans="1:6" ht="63.95" customHeight="1">
      <c r="A245" s="76" t="s">
        <v>5976</v>
      </c>
      <c r="B245" s="76" t="s">
        <v>6632</v>
      </c>
      <c r="C245" s="76"/>
      <c r="D245" s="76" t="s">
        <v>6633</v>
      </c>
      <c r="E245" s="76" t="s">
        <v>6136</v>
      </c>
      <c r="F245" s="76" t="s">
        <v>6137</v>
      </c>
    </row>
    <row r="246" spans="1:6" ht="63.95" customHeight="1">
      <c r="A246" s="76" t="s">
        <v>5976</v>
      </c>
      <c r="B246" s="76" t="s">
        <v>6634</v>
      </c>
      <c r="C246" s="76" t="s">
        <v>6600</v>
      </c>
      <c r="D246" s="76" t="s">
        <v>124</v>
      </c>
      <c r="E246" s="76" t="s">
        <v>6131</v>
      </c>
      <c r="F246" s="76" t="s">
        <v>6132</v>
      </c>
    </row>
    <row r="247" spans="1:6" ht="63.95" customHeight="1">
      <c r="A247" s="76" t="s">
        <v>5976</v>
      </c>
      <c r="B247" s="76" t="s">
        <v>6635</v>
      </c>
      <c r="C247" s="76" t="s">
        <v>6636</v>
      </c>
      <c r="D247" s="76" t="s">
        <v>6637</v>
      </c>
      <c r="E247" s="76" t="s">
        <v>6136</v>
      </c>
      <c r="F247" s="76" t="s">
        <v>6137</v>
      </c>
    </row>
    <row r="248" spans="1:6" ht="63.95" customHeight="1">
      <c r="A248" s="76" t="s">
        <v>5976</v>
      </c>
      <c r="B248" s="76" t="s">
        <v>6638</v>
      </c>
      <c r="C248" s="76"/>
      <c r="D248" s="76" t="s">
        <v>6639</v>
      </c>
      <c r="E248" s="76" t="s">
        <v>6136</v>
      </c>
      <c r="F248" s="76" t="s">
        <v>6137</v>
      </c>
    </row>
    <row r="249" spans="1:6" ht="63.95" customHeight="1">
      <c r="A249" s="76" t="s">
        <v>5976</v>
      </c>
      <c r="B249" s="76" t="s">
        <v>6640</v>
      </c>
      <c r="C249" s="76"/>
      <c r="D249" s="76" t="s">
        <v>6641</v>
      </c>
      <c r="E249" s="76" t="s">
        <v>6136</v>
      </c>
      <c r="F249" s="76" t="s">
        <v>6137</v>
      </c>
    </row>
    <row r="250" spans="1:6" ht="63.95" customHeight="1">
      <c r="A250" s="76" t="s">
        <v>5976</v>
      </c>
      <c r="B250" s="76" t="s">
        <v>6642</v>
      </c>
      <c r="C250" s="76" t="s">
        <v>6643</v>
      </c>
      <c r="D250" s="76" t="s">
        <v>6644</v>
      </c>
      <c r="E250" s="76" t="s">
        <v>6136</v>
      </c>
      <c r="F250" s="76" t="s">
        <v>6137</v>
      </c>
    </row>
    <row r="251" spans="1:6" ht="63.95" customHeight="1">
      <c r="A251" s="76" t="s">
        <v>5976</v>
      </c>
      <c r="B251" s="76" t="s">
        <v>6645</v>
      </c>
      <c r="C251" s="76" t="s">
        <v>462</v>
      </c>
      <c r="D251" s="76" t="s">
        <v>6646</v>
      </c>
      <c r="E251" s="76" t="s">
        <v>6647</v>
      </c>
      <c r="F251" s="76" t="s">
        <v>6497</v>
      </c>
    </row>
    <row r="252" spans="1:6" ht="63.95" customHeight="1">
      <c r="A252" s="76" t="s">
        <v>5976</v>
      </c>
      <c r="B252" s="76" t="s">
        <v>6648</v>
      </c>
      <c r="C252" s="76"/>
      <c r="D252" s="76" t="s">
        <v>6649</v>
      </c>
      <c r="E252" s="76" t="s">
        <v>6136</v>
      </c>
      <c r="F252" s="76" t="s">
        <v>6137</v>
      </c>
    </row>
    <row r="253" spans="1:6" ht="63.95" customHeight="1">
      <c r="A253" s="76" t="s">
        <v>5976</v>
      </c>
      <c r="B253" s="76" t="s">
        <v>6650</v>
      </c>
      <c r="C253" s="76"/>
      <c r="D253" s="76" t="s">
        <v>6651</v>
      </c>
      <c r="E253" s="76" t="s">
        <v>6136</v>
      </c>
      <c r="F253" s="76" t="s">
        <v>6137</v>
      </c>
    </row>
    <row r="254" spans="1:6" ht="63.95" customHeight="1">
      <c r="A254" s="76" t="s">
        <v>5976</v>
      </c>
      <c r="B254" s="76" t="s">
        <v>6652</v>
      </c>
      <c r="C254" s="76" t="s">
        <v>6653</v>
      </c>
      <c r="D254" s="76" t="s">
        <v>6654</v>
      </c>
      <c r="E254" s="76" t="s">
        <v>6136</v>
      </c>
      <c r="F254" s="76" t="s">
        <v>6137</v>
      </c>
    </row>
    <row r="255" spans="1:6" ht="63.95" customHeight="1">
      <c r="A255" s="76" t="s">
        <v>5976</v>
      </c>
      <c r="B255" s="76" t="s">
        <v>6655</v>
      </c>
      <c r="C255" s="76"/>
      <c r="D255" s="76" t="s">
        <v>6656</v>
      </c>
      <c r="E255" s="76" t="s">
        <v>6136</v>
      </c>
      <c r="F255" s="76" t="s">
        <v>6137</v>
      </c>
    </row>
    <row r="256" spans="1:6" ht="63.95" customHeight="1">
      <c r="A256" s="76" t="s">
        <v>5976</v>
      </c>
      <c r="B256" s="76" t="s">
        <v>6657</v>
      </c>
      <c r="C256" s="76"/>
      <c r="D256" s="76" t="s">
        <v>6658</v>
      </c>
      <c r="E256" s="76" t="s">
        <v>6136</v>
      </c>
      <c r="F256" s="76" t="s">
        <v>6137</v>
      </c>
    </row>
    <row r="257" spans="1:6" ht="63.95" customHeight="1">
      <c r="A257" s="76" t="s">
        <v>5976</v>
      </c>
      <c r="B257" s="76" t="s">
        <v>6659</v>
      </c>
      <c r="C257" s="76" t="s">
        <v>6660</v>
      </c>
      <c r="D257" s="76" t="s">
        <v>124</v>
      </c>
      <c r="E257" s="76" t="s">
        <v>6131</v>
      </c>
      <c r="F257" s="76" t="s">
        <v>6132</v>
      </c>
    </row>
    <row r="258" spans="1:6" ht="63.95" customHeight="1">
      <c r="A258" s="76" t="s">
        <v>5976</v>
      </c>
      <c r="B258" s="76" t="s">
        <v>6661</v>
      </c>
      <c r="C258" s="76" t="s">
        <v>6662</v>
      </c>
      <c r="D258" s="76" t="s">
        <v>6663</v>
      </c>
      <c r="E258" s="76" t="s">
        <v>6136</v>
      </c>
      <c r="F258" s="76" t="s">
        <v>6137</v>
      </c>
    </row>
    <row r="259" spans="1:6" ht="63.95" customHeight="1">
      <c r="A259" s="76" t="s">
        <v>5976</v>
      </c>
      <c r="B259" s="76" t="s">
        <v>6664</v>
      </c>
      <c r="C259" s="76"/>
      <c r="D259" s="76" t="s">
        <v>6665</v>
      </c>
      <c r="E259" s="76" t="s">
        <v>6136</v>
      </c>
      <c r="F259" s="76" t="s">
        <v>6137</v>
      </c>
    </row>
    <row r="260" spans="1:6" ht="63.95" customHeight="1">
      <c r="A260" s="76" t="s">
        <v>5976</v>
      </c>
      <c r="B260" s="76" t="s">
        <v>6666</v>
      </c>
      <c r="C260" s="76"/>
      <c r="D260" s="76" t="s">
        <v>6667</v>
      </c>
      <c r="E260" s="76" t="s">
        <v>6136</v>
      </c>
      <c r="F260" s="76" t="s">
        <v>6137</v>
      </c>
    </row>
    <row r="261" spans="1:6" ht="63.95" customHeight="1">
      <c r="A261" s="76" t="s">
        <v>5976</v>
      </c>
      <c r="B261" s="76" t="s">
        <v>6668</v>
      </c>
      <c r="C261" s="76" t="s">
        <v>455</v>
      </c>
      <c r="D261" s="76" t="s">
        <v>653</v>
      </c>
      <c r="E261" s="76" t="s">
        <v>6669</v>
      </c>
      <c r="F261" s="76" t="s">
        <v>6670</v>
      </c>
    </row>
    <row r="262" spans="1:6" ht="63.95" customHeight="1">
      <c r="A262" s="76" t="s">
        <v>5976</v>
      </c>
      <c r="B262" s="76" t="s">
        <v>6671</v>
      </c>
      <c r="C262" s="76" t="s">
        <v>6672</v>
      </c>
      <c r="D262" s="76" t="s">
        <v>765</v>
      </c>
      <c r="E262" s="76" t="s">
        <v>6673</v>
      </c>
      <c r="F262" s="76" t="s">
        <v>6670</v>
      </c>
    </row>
    <row r="263" spans="1:6" ht="63.95" customHeight="1">
      <c r="A263" s="76" t="s">
        <v>5976</v>
      </c>
      <c r="B263" s="76" t="s">
        <v>6674</v>
      </c>
      <c r="C263" s="76"/>
      <c r="D263" s="76" t="s">
        <v>769</v>
      </c>
      <c r="E263" s="76" t="s">
        <v>6618</v>
      </c>
      <c r="F263" s="76" t="s">
        <v>6670</v>
      </c>
    </row>
    <row r="264" spans="1:6" ht="63.95" customHeight="1">
      <c r="A264" s="76" t="s">
        <v>5976</v>
      </c>
      <c r="B264" s="76" t="s">
        <v>6675</v>
      </c>
      <c r="C264" s="76" t="s">
        <v>577</v>
      </c>
      <c r="D264" s="76"/>
      <c r="E264" s="76" t="s">
        <v>6676</v>
      </c>
      <c r="F264" s="76" t="s">
        <v>6677</v>
      </c>
    </row>
    <row r="265" spans="1:6" ht="63.95" customHeight="1">
      <c r="A265" s="76" t="s">
        <v>5976</v>
      </c>
      <c r="B265" s="76" t="s">
        <v>6678</v>
      </c>
      <c r="C265" s="76"/>
      <c r="D265" s="76" t="s">
        <v>771</v>
      </c>
      <c r="E265" s="76" t="s">
        <v>6620</v>
      </c>
      <c r="F265" s="76" t="s">
        <v>6670</v>
      </c>
    </row>
    <row r="266" spans="1:6" ht="63.95" customHeight="1">
      <c r="A266" s="76" t="s">
        <v>5976</v>
      </c>
      <c r="B266" s="76" t="s">
        <v>6679</v>
      </c>
      <c r="C266" s="76" t="s">
        <v>3443</v>
      </c>
      <c r="D266" s="76" t="s">
        <v>496</v>
      </c>
      <c r="E266" s="76" t="s">
        <v>6442</v>
      </c>
      <c r="F266" s="76" t="s">
        <v>6443</v>
      </c>
    </row>
    <row r="267" spans="1:6" ht="63.95" customHeight="1">
      <c r="A267" s="76" t="s">
        <v>5976</v>
      </c>
      <c r="B267" s="76" t="s">
        <v>6680</v>
      </c>
      <c r="C267" s="76" t="s">
        <v>6681</v>
      </c>
      <c r="D267" s="76" t="s">
        <v>6682</v>
      </c>
      <c r="E267" s="76" t="s">
        <v>6136</v>
      </c>
      <c r="F267" s="76" t="s">
        <v>6137</v>
      </c>
    </row>
    <row r="268" spans="1:6" ht="63.95" customHeight="1">
      <c r="A268" s="76" t="s">
        <v>5976</v>
      </c>
      <c r="B268" s="76" t="s">
        <v>6683</v>
      </c>
      <c r="C268" s="76" t="s">
        <v>462</v>
      </c>
      <c r="D268" s="76" t="s">
        <v>770</v>
      </c>
      <c r="E268" s="76" t="s">
        <v>6496</v>
      </c>
      <c r="F268" s="76" t="s">
        <v>6670</v>
      </c>
    </row>
    <row r="269" spans="1:6" ht="63.95" customHeight="1">
      <c r="A269" s="76" t="s">
        <v>5976</v>
      </c>
      <c r="B269" s="76" t="s">
        <v>6684</v>
      </c>
      <c r="C269" s="76" t="s">
        <v>141</v>
      </c>
      <c r="D269" s="76" t="s">
        <v>771</v>
      </c>
      <c r="E269" s="76" t="s">
        <v>6627</v>
      </c>
      <c r="F269" s="76" t="s">
        <v>6670</v>
      </c>
    </row>
    <row r="270" spans="1:6" ht="63.95" customHeight="1">
      <c r="A270" s="76" t="s">
        <v>5976</v>
      </c>
      <c r="B270" s="76" t="s">
        <v>6685</v>
      </c>
      <c r="C270" s="76" t="s">
        <v>142</v>
      </c>
      <c r="D270" s="76" t="s">
        <v>486</v>
      </c>
      <c r="E270" s="76" t="s">
        <v>6448</v>
      </c>
      <c r="F270" s="76" t="s">
        <v>6686</v>
      </c>
    </row>
    <row r="271" spans="1:6" ht="63.95" customHeight="1">
      <c r="A271" s="76" t="s">
        <v>5976</v>
      </c>
      <c r="B271" s="76" t="s">
        <v>6687</v>
      </c>
      <c r="C271" s="76"/>
      <c r="D271" s="76" t="s">
        <v>6688</v>
      </c>
      <c r="E271" s="76" t="s">
        <v>6136</v>
      </c>
      <c r="F271" s="76" t="s">
        <v>6137</v>
      </c>
    </row>
    <row r="272" spans="1:6" ht="63.95" customHeight="1">
      <c r="A272" s="76" t="s">
        <v>5976</v>
      </c>
      <c r="B272" s="76" t="s">
        <v>6689</v>
      </c>
      <c r="C272" s="76"/>
      <c r="D272" s="76" t="s">
        <v>6690</v>
      </c>
      <c r="E272" s="76" t="s">
        <v>6136</v>
      </c>
      <c r="F272" s="76" t="s">
        <v>6137</v>
      </c>
    </row>
    <row r="273" spans="1:6" ht="63.95" customHeight="1">
      <c r="A273" s="76" t="s">
        <v>5976</v>
      </c>
      <c r="B273" s="76" t="s">
        <v>6691</v>
      </c>
      <c r="C273" s="76" t="s">
        <v>6692</v>
      </c>
      <c r="D273" s="76" t="s">
        <v>6693</v>
      </c>
      <c r="E273" s="76" t="s">
        <v>6136</v>
      </c>
      <c r="F273" s="76" t="s">
        <v>6137</v>
      </c>
    </row>
    <row r="274" spans="1:6" ht="63.95" customHeight="1">
      <c r="A274" s="76" t="s">
        <v>5976</v>
      </c>
      <c r="B274" s="76" t="s">
        <v>6694</v>
      </c>
      <c r="C274" s="76"/>
      <c r="D274" s="76" t="s">
        <v>6695</v>
      </c>
      <c r="E274" s="76" t="s">
        <v>6136</v>
      </c>
      <c r="F274" s="76" t="s">
        <v>6137</v>
      </c>
    </row>
    <row r="275" spans="1:6" ht="63.95" customHeight="1">
      <c r="A275" s="76" t="s">
        <v>5976</v>
      </c>
      <c r="B275" s="76" t="s">
        <v>6696</v>
      </c>
      <c r="C275" s="76"/>
      <c r="D275" s="76" t="s">
        <v>6697</v>
      </c>
      <c r="E275" s="76" t="s">
        <v>6136</v>
      </c>
      <c r="F275" s="76" t="s">
        <v>6137</v>
      </c>
    </row>
    <row r="276" spans="1:6" ht="63.95" customHeight="1">
      <c r="A276" s="76" t="s">
        <v>5976</v>
      </c>
      <c r="B276" s="76" t="s">
        <v>6698</v>
      </c>
      <c r="C276" s="76"/>
      <c r="D276" s="76" t="s">
        <v>475</v>
      </c>
      <c r="E276" s="76" t="s">
        <v>6618</v>
      </c>
      <c r="F276" s="76" t="s">
        <v>5572</v>
      </c>
    </row>
    <row r="277" spans="1:6" ht="63.95" customHeight="1">
      <c r="A277" s="76" t="s">
        <v>5976</v>
      </c>
      <c r="B277" s="76" t="s">
        <v>6699</v>
      </c>
      <c r="C277" s="76" t="s">
        <v>3467</v>
      </c>
      <c r="D277" s="76" t="s">
        <v>804</v>
      </c>
      <c r="E277" s="76" t="s">
        <v>6620</v>
      </c>
      <c r="F277" s="76" t="s">
        <v>5572</v>
      </c>
    </row>
    <row r="278" spans="1:6" ht="63.95" customHeight="1">
      <c r="A278" s="76" t="s">
        <v>5976</v>
      </c>
      <c r="B278" s="76" t="s">
        <v>6700</v>
      </c>
      <c r="C278" s="76" t="s">
        <v>6701</v>
      </c>
      <c r="D278" s="76" t="s">
        <v>6702</v>
      </c>
      <c r="E278" s="76" t="s">
        <v>6136</v>
      </c>
      <c r="F278" s="76" t="s">
        <v>6137</v>
      </c>
    </row>
    <row r="279" spans="1:6" ht="63.95" customHeight="1">
      <c r="A279" s="76" t="s">
        <v>5976</v>
      </c>
      <c r="B279" s="76" t="s">
        <v>6703</v>
      </c>
      <c r="C279" s="76" t="s">
        <v>3471</v>
      </c>
      <c r="D279" s="76" t="s">
        <v>803</v>
      </c>
      <c r="E279" s="76" t="s">
        <v>6496</v>
      </c>
      <c r="F279" s="76" t="s">
        <v>5572</v>
      </c>
    </row>
    <row r="280" spans="1:6" ht="63.95" customHeight="1">
      <c r="A280" s="76" t="s">
        <v>5976</v>
      </c>
      <c r="B280" s="76" t="s">
        <v>6704</v>
      </c>
      <c r="C280" s="76" t="s">
        <v>3473</v>
      </c>
      <c r="D280" s="76" t="s">
        <v>804</v>
      </c>
      <c r="E280" s="76" t="s">
        <v>6627</v>
      </c>
      <c r="F280" s="76" t="s">
        <v>5572</v>
      </c>
    </row>
    <row r="281" spans="1:6" ht="63.95" customHeight="1">
      <c r="A281" s="76" t="s">
        <v>5976</v>
      </c>
      <c r="B281" s="76" t="s">
        <v>6705</v>
      </c>
      <c r="C281" s="76"/>
      <c r="D281" s="76" t="s">
        <v>402</v>
      </c>
      <c r="E281" s="76" t="s">
        <v>6706</v>
      </c>
      <c r="F281" s="76" t="s">
        <v>5572</v>
      </c>
    </row>
    <row r="282" spans="1:6" ht="63.95" customHeight="1">
      <c r="A282" s="76" t="s">
        <v>5976</v>
      </c>
      <c r="B282" s="76" t="s">
        <v>6707</v>
      </c>
      <c r="C282" s="76"/>
      <c r="D282" s="76" t="s">
        <v>6708</v>
      </c>
      <c r="E282" s="76" t="s">
        <v>6136</v>
      </c>
      <c r="F282" s="76" t="s">
        <v>6137</v>
      </c>
    </row>
    <row r="283" spans="1:6" ht="63.95" customHeight="1">
      <c r="A283" s="76" t="s">
        <v>5976</v>
      </c>
      <c r="B283" s="76" t="s">
        <v>6709</v>
      </c>
      <c r="C283" s="76"/>
      <c r="D283" s="76" t="s">
        <v>6710</v>
      </c>
      <c r="E283" s="76" t="s">
        <v>6136</v>
      </c>
      <c r="F283" s="76" t="s">
        <v>6137</v>
      </c>
    </row>
    <row r="284" spans="1:6" ht="63.95" customHeight="1">
      <c r="A284" s="76" t="s">
        <v>5976</v>
      </c>
      <c r="B284" s="76" t="s">
        <v>6711</v>
      </c>
      <c r="C284" s="76" t="s">
        <v>6712</v>
      </c>
      <c r="D284" s="76" t="s">
        <v>6713</v>
      </c>
      <c r="E284" s="76" t="s">
        <v>6136</v>
      </c>
      <c r="F284" s="76" t="s">
        <v>6137</v>
      </c>
    </row>
    <row r="285" spans="1:6" ht="63.95" customHeight="1">
      <c r="A285" s="76" t="s">
        <v>5976</v>
      </c>
      <c r="B285" s="76" t="s">
        <v>6714</v>
      </c>
      <c r="C285" s="76"/>
      <c r="D285" s="76" t="s">
        <v>6715</v>
      </c>
      <c r="E285" s="76" t="s">
        <v>6136</v>
      </c>
      <c r="F285" s="76" t="s">
        <v>6137</v>
      </c>
    </row>
    <row r="286" spans="1:6" ht="63.95" customHeight="1">
      <c r="A286" s="76" t="s">
        <v>5976</v>
      </c>
      <c r="B286" s="76" t="s">
        <v>6716</v>
      </c>
      <c r="C286" s="76"/>
      <c r="D286" s="76" t="s">
        <v>6717</v>
      </c>
      <c r="E286" s="76" t="s">
        <v>6136</v>
      </c>
      <c r="F286" s="76" t="s">
        <v>6137</v>
      </c>
    </row>
    <row r="287" spans="1:6" ht="63.95" customHeight="1">
      <c r="A287" s="76" t="s">
        <v>5976</v>
      </c>
      <c r="B287" s="76" t="s">
        <v>6718</v>
      </c>
      <c r="C287" s="76" t="s">
        <v>6719</v>
      </c>
      <c r="D287" s="76" t="s">
        <v>6720</v>
      </c>
      <c r="E287" s="76" t="s">
        <v>6136</v>
      </c>
      <c r="F287" s="76" t="s">
        <v>6137</v>
      </c>
    </row>
    <row r="288" spans="1:6" ht="63.95" customHeight="1">
      <c r="A288" s="76" t="s">
        <v>5976</v>
      </c>
      <c r="B288" s="76" t="s">
        <v>6721</v>
      </c>
      <c r="C288" s="76"/>
      <c r="D288" s="76" t="s">
        <v>6722</v>
      </c>
      <c r="E288" s="76" t="s">
        <v>6136</v>
      </c>
      <c r="F288" s="76" t="s">
        <v>6137</v>
      </c>
    </row>
    <row r="289" spans="1:6" ht="63.95" customHeight="1">
      <c r="A289" s="76" t="s">
        <v>5976</v>
      </c>
      <c r="B289" s="76" t="s">
        <v>6723</v>
      </c>
      <c r="C289" s="76"/>
      <c r="D289" s="76" t="s">
        <v>6724</v>
      </c>
      <c r="E289" s="76" t="s">
        <v>6136</v>
      </c>
      <c r="F289" s="76" t="s">
        <v>6137</v>
      </c>
    </row>
    <row r="290" spans="1:6" ht="63.95" customHeight="1">
      <c r="A290" s="76" t="s">
        <v>5976</v>
      </c>
      <c r="B290" s="76" t="s">
        <v>6725</v>
      </c>
      <c r="C290" s="76" t="s">
        <v>6726</v>
      </c>
      <c r="D290" s="76" t="s">
        <v>6727</v>
      </c>
      <c r="E290" s="76" t="s">
        <v>6136</v>
      </c>
      <c r="F290" s="76" t="s">
        <v>6137</v>
      </c>
    </row>
    <row r="291" spans="1:6" ht="63.95" customHeight="1">
      <c r="A291" s="76" t="s">
        <v>5976</v>
      </c>
      <c r="B291" s="76" t="s">
        <v>6728</v>
      </c>
      <c r="C291" s="76"/>
      <c r="D291" s="76" t="s">
        <v>6729</v>
      </c>
      <c r="E291" s="76" t="s">
        <v>6136</v>
      </c>
      <c r="F291" s="76" t="s">
        <v>6137</v>
      </c>
    </row>
    <row r="292" spans="1:6" ht="63.95" customHeight="1">
      <c r="A292" s="76" t="s">
        <v>5976</v>
      </c>
      <c r="B292" s="76" t="s">
        <v>6730</v>
      </c>
      <c r="C292" s="76"/>
      <c r="D292" s="76" t="s">
        <v>6731</v>
      </c>
      <c r="E292" s="76" t="s">
        <v>6136</v>
      </c>
      <c r="F292" s="76" t="s">
        <v>6137</v>
      </c>
    </row>
    <row r="293" spans="1:6" ht="63.95" customHeight="1">
      <c r="A293" s="76" t="s">
        <v>5976</v>
      </c>
      <c r="B293" s="76" t="s">
        <v>6732</v>
      </c>
      <c r="C293" s="76" t="s">
        <v>6733</v>
      </c>
      <c r="D293" s="76" t="s">
        <v>6734</v>
      </c>
      <c r="E293" s="76" t="s">
        <v>6136</v>
      </c>
      <c r="F293" s="76" t="s">
        <v>6137</v>
      </c>
    </row>
    <row r="294" spans="1:6" ht="63.95" customHeight="1">
      <c r="A294" s="76" t="s">
        <v>5976</v>
      </c>
      <c r="B294" s="76" t="s">
        <v>6735</v>
      </c>
      <c r="C294" s="76"/>
      <c r="D294" s="76" t="s">
        <v>6736</v>
      </c>
      <c r="E294" s="76" t="s">
        <v>6136</v>
      </c>
      <c r="F294" s="76" t="s">
        <v>6137</v>
      </c>
    </row>
    <row r="295" spans="1:6" ht="63.95" customHeight="1">
      <c r="A295" s="76" t="s">
        <v>5976</v>
      </c>
      <c r="B295" s="76" t="s">
        <v>6737</v>
      </c>
      <c r="C295" s="76"/>
      <c r="D295" s="76" t="s">
        <v>6738</v>
      </c>
      <c r="E295" s="76" t="s">
        <v>6136</v>
      </c>
      <c r="F295" s="76" t="s">
        <v>6137</v>
      </c>
    </row>
    <row r="296" spans="1:6" ht="63.95" customHeight="1">
      <c r="A296" s="76" t="s">
        <v>5976</v>
      </c>
      <c r="B296" s="76" t="s">
        <v>6739</v>
      </c>
      <c r="C296" s="76" t="s">
        <v>6740</v>
      </c>
      <c r="D296" s="76" t="s">
        <v>124</v>
      </c>
      <c r="E296" s="76" t="s">
        <v>6131</v>
      </c>
      <c r="F296" s="76" t="s">
        <v>6132</v>
      </c>
    </row>
    <row r="297" spans="1:6" ht="63.95" customHeight="1">
      <c r="A297" s="76" t="s">
        <v>5976</v>
      </c>
      <c r="B297" s="76" t="s">
        <v>6741</v>
      </c>
      <c r="C297" s="76" t="s">
        <v>6742</v>
      </c>
      <c r="D297" s="76" t="s">
        <v>6743</v>
      </c>
      <c r="E297" s="76" t="s">
        <v>6136</v>
      </c>
      <c r="F297" s="76" t="s">
        <v>6137</v>
      </c>
    </row>
    <row r="298" spans="1:6" ht="63.95" customHeight="1">
      <c r="A298" s="76" t="s">
        <v>5976</v>
      </c>
      <c r="B298" s="76" t="s">
        <v>6744</v>
      </c>
      <c r="C298" s="76"/>
      <c r="D298" s="76" t="s">
        <v>6745</v>
      </c>
      <c r="E298" s="76" t="s">
        <v>6136</v>
      </c>
      <c r="F298" s="76" t="s">
        <v>6137</v>
      </c>
    </row>
    <row r="299" spans="1:6" ht="63.95" customHeight="1">
      <c r="A299" s="76" t="s">
        <v>5976</v>
      </c>
      <c r="B299" s="76" t="s">
        <v>6746</v>
      </c>
      <c r="C299" s="76"/>
      <c r="D299" s="76" t="s">
        <v>6747</v>
      </c>
      <c r="E299" s="76" t="s">
        <v>6136</v>
      </c>
      <c r="F299" s="76" t="s">
        <v>6137</v>
      </c>
    </row>
    <row r="300" spans="1:6" ht="63.95" customHeight="1">
      <c r="A300" s="76" t="s">
        <v>5976</v>
      </c>
      <c r="B300" s="76" t="s">
        <v>6748</v>
      </c>
      <c r="C300" s="76" t="s">
        <v>6740</v>
      </c>
      <c r="D300" s="76" t="s">
        <v>124</v>
      </c>
      <c r="E300" s="76" t="s">
        <v>6131</v>
      </c>
      <c r="F300" s="76" t="s">
        <v>6132</v>
      </c>
    </row>
    <row r="301" spans="1:6" ht="63.95" customHeight="1">
      <c r="A301" s="76" t="s">
        <v>5976</v>
      </c>
      <c r="B301" s="76" t="s">
        <v>6749</v>
      </c>
      <c r="C301" s="76" t="s">
        <v>6750</v>
      </c>
      <c r="D301" s="76" t="s">
        <v>6751</v>
      </c>
      <c r="E301" s="76" t="s">
        <v>6136</v>
      </c>
      <c r="F301" s="76" t="s">
        <v>6137</v>
      </c>
    </row>
    <row r="302" spans="1:6" ht="63.95" customHeight="1">
      <c r="A302" s="76" t="s">
        <v>5976</v>
      </c>
      <c r="B302" s="76" t="s">
        <v>6752</v>
      </c>
      <c r="C302" s="76"/>
      <c r="D302" s="76" t="s">
        <v>6753</v>
      </c>
      <c r="E302" s="76" t="s">
        <v>6136</v>
      </c>
      <c r="F302" s="76" t="s">
        <v>6137</v>
      </c>
    </row>
    <row r="303" spans="1:6" ht="63.95" customHeight="1">
      <c r="A303" s="76" t="s">
        <v>5976</v>
      </c>
      <c r="B303" s="76" t="s">
        <v>6754</v>
      </c>
      <c r="C303" s="76"/>
      <c r="D303" s="76" t="s">
        <v>6755</v>
      </c>
      <c r="E303" s="76" t="s">
        <v>6136</v>
      </c>
      <c r="F303" s="76" t="s">
        <v>6137</v>
      </c>
    </row>
    <row r="304" spans="1:6" ht="63.95" customHeight="1">
      <c r="A304" s="76" t="s">
        <v>5976</v>
      </c>
      <c r="B304" s="76" t="s">
        <v>6756</v>
      </c>
      <c r="C304" s="76" t="s">
        <v>6740</v>
      </c>
      <c r="D304" s="76" t="s">
        <v>124</v>
      </c>
      <c r="E304" s="76" t="s">
        <v>6131</v>
      </c>
      <c r="F304" s="76" t="s">
        <v>6132</v>
      </c>
    </row>
    <row r="305" spans="1:6" ht="63.95" customHeight="1">
      <c r="A305" s="76" t="s">
        <v>5976</v>
      </c>
      <c r="B305" s="76" t="s">
        <v>6757</v>
      </c>
      <c r="C305" s="76" t="s">
        <v>6758</v>
      </c>
      <c r="D305" s="76" t="s">
        <v>6759</v>
      </c>
      <c r="E305" s="76" t="s">
        <v>6136</v>
      </c>
      <c r="F305" s="76" t="s">
        <v>6137</v>
      </c>
    </row>
    <row r="306" spans="1:6" ht="63.95" customHeight="1">
      <c r="A306" s="76" t="s">
        <v>5976</v>
      </c>
      <c r="B306" s="76" t="s">
        <v>6760</v>
      </c>
      <c r="C306" s="76"/>
      <c r="D306" s="76" t="s">
        <v>6761</v>
      </c>
      <c r="E306" s="76" t="s">
        <v>6136</v>
      </c>
      <c r="F306" s="76" t="s">
        <v>6137</v>
      </c>
    </row>
    <row r="307" spans="1:6" ht="63.95" customHeight="1">
      <c r="A307" s="76" t="s">
        <v>5976</v>
      </c>
      <c r="B307" s="76" t="s">
        <v>6762</v>
      </c>
      <c r="C307" s="76"/>
      <c r="D307" s="76" t="s">
        <v>6763</v>
      </c>
      <c r="E307" s="76" t="s">
        <v>6136</v>
      </c>
      <c r="F307" s="76" t="s">
        <v>6137</v>
      </c>
    </row>
    <row r="308" spans="1:6" ht="63.95" customHeight="1">
      <c r="A308" s="76" t="s">
        <v>5976</v>
      </c>
      <c r="B308" s="76" t="s">
        <v>6764</v>
      </c>
      <c r="C308" s="76" t="s">
        <v>6740</v>
      </c>
      <c r="D308" s="76" t="s">
        <v>124</v>
      </c>
      <c r="E308" s="76" t="s">
        <v>6131</v>
      </c>
      <c r="F308" s="76" t="s">
        <v>6132</v>
      </c>
    </row>
    <row r="309" spans="1:6" ht="63.95" customHeight="1">
      <c r="A309" s="76" t="s">
        <v>5976</v>
      </c>
      <c r="B309" s="76" t="s">
        <v>6765</v>
      </c>
      <c r="C309" s="76" t="s">
        <v>6766</v>
      </c>
      <c r="D309" s="76" t="s">
        <v>6767</v>
      </c>
      <c r="E309" s="76" t="s">
        <v>6136</v>
      </c>
      <c r="F309" s="76" t="s">
        <v>6137</v>
      </c>
    </row>
    <row r="310" spans="1:6" ht="63.95" customHeight="1">
      <c r="A310" s="76" t="s">
        <v>5976</v>
      </c>
      <c r="B310" s="76" t="s">
        <v>6768</v>
      </c>
      <c r="C310" s="76"/>
      <c r="D310" s="76" t="s">
        <v>6769</v>
      </c>
      <c r="E310" s="76" t="s">
        <v>6136</v>
      </c>
      <c r="F310" s="76" t="s">
        <v>6137</v>
      </c>
    </row>
    <row r="311" spans="1:6" ht="63.95" customHeight="1">
      <c r="A311" s="76" t="s">
        <v>5976</v>
      </c>
      <c r="B311" s="76" t="s">
        <v>6770</v>
      </c>
      <c r="C311" s="76"/>
      <c r="D311" s="76" t="s">
        <v>6771</v>
      </c>
      <c r="E311" s="76" t="s">
        <v>6136</v>
      </c>
      <c r="F311" s="76" t="s">
        <v>6137</v>
      </c>
    </row>
    <row r="312" spans="1:6" ht="63.95" customHeight="1">
      <c r="A312" s="76" t="s">
        <v>5976</v>
      </c>
      <c r="B312" s="76" t="s">
        <v>6772</v>
      </c>
      <c r="C312" s="76" t="s">
        <v>6740</v>
      </c>
      <c r="D312" s="76" t="s">
        <v>124</v>
      </c>
      <c r="E312" s="76" t="s">
        <v>6131</v>
      </c>
      <c r="F312" s="76" t="s">
        <v>6132</v>
      </c>
    </row>
    <row r="313" spans="1:6" ht="63.95" customHeight="1">
      <c r="A313" s="76" t="s">
        <v>5976</v>
      </c>
      <c r="B313" s="76" t="s">
        <v>6773</v>
      </c>
      <c r="C313" s="76" t="s">
        <v>6774</v>
      </c>
      <c r="D313" s="76" t="s">
        <v>6775</v>
      </c>
      <c r="E313" s="76" t="s">
        <v>6136</v>
      </c>
      <c r="F313" s="76" t="s">
        <v>6137</v>
      </c>
    </row>
    <row r="314" spans="1:6" ht="63.95" customHeight="1">
      <c r="A314" s="76" t="s">
        <v>5976</v>
      </c>
      <c r="B314" s="76" t="s">
        <v>6776</v>
      </c>
      <c r="C314" s="76"/>
      <c r="D314" s="76" t="s">
        <v>6777</v>
      </c>
      <c r="E314" s="76" t="s">
        <v>6136</v>
      </c>
      <c r="F314" s="76" t="s">
        <v>6137</v>
      </c>
    </row>
    <row r="315" spans="1:6" ht="63.95" customHeight="1">
      <c r="A315" s="76" t="s">
        <v>5976</v>
      </c>
      <c r="B315" s="76" t="s">
        <v>6778</v>
      </c>
      <c r="C315" s="76"/>
      <c r="D315" s="76" t="s">
        <v>6779</v>
      </c>
      <c r="E315" s="76" t="s">
        <v>6136</v>
      </c>
      <c r="F315" s="76" t="s">
        <v>6137</v>
      </c>
    </row>
    <row r="316" spans="1:6" ht="63.95" customHeight="1">
      <c r="A316" s="76" t="s">
        <v>5976</v>
      </c>
      <c r="B316" s="76" t="s">
        <v>6780</v>
      </c>
      <c r="C316" s="76" t="s">
        <v>6740</v>
      </c>
      <c r="D316" s="76" t="s">
        <v>124</v>
      </c>
      <c r="E316" s="76" t="s">
        <v>6131</v>
      </c>
      <c r="F316" s="76" t="s">
        <v>6132</v>
      </c>
    </row>
    <row r="317" spans="1:6" ht="63.95" customHeight="1">
      <c r="A317" s="76" t="s">
        <v>5976</v>
      </c>
      <c r="B317" s="76" t="s">
        <v>6781</v>
      </c>
      <c r="C317" s="76" t="s">
        <v>6782</v>
      </c>
      <c r="D317" s="76" t="s">
        <v>6783</v>
      </c>
      <c r="E317" s="76" t="s">
        <v>6136</v>
      </c>
      <c r="F317" s="76" t="s">
        <v>6137</v>
      </c>
    </row>
    <row r="318" spans="1:6" ht="63.95" customHeight="1">
      <c r="A318" s="76" t="s">
        <v>5976</v>
      </c>
      <c r="B318" s="76" t="s">
        <v>6784</v>
      </c>
      <c r="C318" s="76"/>
      <c r="D318" s="76" t="s">
        <v>6785</v>
      </c>
      <c r="E318" s="76" t="s">
        <v>6136</v>
      </c>
      <c r="F318" s="76" t="s">
        <v>6137</v>
      </c>
    </row>
    <row r="319" spans="1:6" ht="63.95" customHeight="1">
      <c r="A319" s="76" t="s">
        <v>5976</v>
      </c>
      <c r="B319" s="76" t="s">
        <v>6786</v>
      </c>
      <c r="C319" s="76"/>
      <c r="D319" s="76" t="s">
        <v>6787</v>
      </c>
      <c r="E319" s="76" t="s">
        <v>6136</v>
      </c>
      <c r="F319" s="76" t="s">
        <v>6137</v>
      </c>
    </row>
    <row r="320" spans="1:6" ht="63.95" customHeight="1">
      <c r="A320" s="76" t="s">
        <v>5976</v>
      </c>
      <c r="B320" s="76" t="s">
        <v>6788</v>
      </c>
      <c r="C320" s="76" t="s">
        <v>6740</v>
      </c>
      <c r="D320" s="76" t="s">
        <v>124</v>
      </c>
      <c r="E320" s="76" t="s">
        <v>6131</v>
      </c>
      <c r="F320" s="76" t="s">
        <v>6132</v>
      </c>
    </row>
    <row r="321" spans="1:6" ht="63.95" customHeight="1">
      <c r="A321" s="76" t="s">
        <v>5976</v>
      </c>
      <c r="B321" s="76" t="s">
        <v>6789</v>
      </c>
      <c r="C321" s="76" t="s">
        <v>6790</v>
      </c>
      <c r="D321" s="76" t="s">
        <v>6791</v>
      </c>
      <c r="E321" s="76" t="s">
        <v>6136</v>
      </c>
      <c r="F321" s="76" t="s">
        <v>6137</v>
      </c>
    </row>
    <row r="322" spans="1:6" ht="63.95" customHeight="1">
      <c r="A322" s="76" t="s">
        <v>5976</v>
      </c>
      <c r="B322" s="76" t="s">
        <v>6792</v>
      </c>
      <c r="C322" s="76"/>
      <c r="D322" s="76" t="s">
        <v>6793</v>
      </c>
      <c r="E322" s="76" t="s">
        <v>6136</v>
      </c>
      <c r="F322" s="76" t="s">
        <v>6137</v>
      </c>
    </row>
    <row r="323" spans="1:6" ht="63.95" customHeight="1">
      <c r="A323" s="76" t="s">
        <v>5976</v>
      </c>
      <c r="B323" s="76" t="s">
        <v>6794</v>
      </c>
      <c r="C323" s="76"/>
      <c r="D323" s="76" t="s">
        <v>6795</v>
      </c>
      <c r="E323" s="76" t="s">
        <v>6136</v>
      </c>
      <c r="F323" s="76" t="s">
        <v>6137</v>
      </c>
    </row>
    <row r="324" spans="1:6" ht="63.95" customHeight="1">
      <c r="A324" s="76" t="s">
        <v>5976</v>
      </c>
      <c r="B324" s="76" t="s">
        <v>6796</v>
      </c>
      <c r="C324" s="76" t="s">
        <v>6740</v>
      </c>
      <c r="D324" s="76" t="s">
        <v>124</v>
      </c>
      <c r="E324" s="76" t="s">
        <v>6131</v>
      </c>
      <c r="F324" s="76" t="s">
        <v>6132</v>
      </c>
    </row>
    <row r="325" spans="1:6" ht="63.95" customHeight="1">
      <c r="A325" s="76" t="s">
        <v>5976</v>
      </c>
      <c r="B325" s="76" t="s">
        <v>6797</v>
      </c>
      <c r="C325" s="76" t="s">
        <v>6798</v>
      </c>
      <c r="D325" s="76" t="s">
        <v>6799</v>
      </c>
      <c r="E325" s="76" t="s">
        <v>6136</v>
      </c>
      <c r="F325" s="76" t="s">
        <v>6137</v>
      </c>
    </row>
    <row r="326" spans="1:6" ht="63.95" customHeight="1">
      <c r="A326" s="76" t="s">
        <v>5976</v>
      </c>
      <c r="B326" s="76" t="s">
        <v>6800</v>
      </c>
      <c r="C326" s="76"/>
      <c r="D326" s="76" t="s">
        <v>6801</v>
      </c>
      <c r="E326" s="76" t="s">
        <v>6136</v>
      </c>
      <c r="F326" s="76" t="s">
        <v>6137</v>
      </c>
    </row>
    <row r="327" spans="1:6" ht="63.95" customHeight="1">
      <c r="A327" s="76" t="s">
        <v>5976</v>
      </c>
      <c r="B327" s="76" t="s">
        <v>6802</v>
      </c>
      <c r="C327" s="76"/>
      <c r="D327" s="76" t="s">
        <v>6803</v>
      </c>
      <c r="E327" s="76" t="s">
        <v>6136</v>
      </c>
      <c r="F327" s="76" t="s">
        <v>6137</v>
      </c>
    </row>
    <row r="328" spans="1:6" ht="63.95" customHeight="1">
      <c r="A328" s="76" t="s">
        <v>5976</v>
      </c>
      <c r="B328" s="76" t="s">
        <v>6804</v>
      </c>
      <c r="C328" s="76" t="s">
        <v>6740</v>
      </c>
      <c r="D328" s="76" t="s">
        <v>124</v>
      </c>
      <c r="E328" s="76" t="s">
        <v>6131</v>
      </c>
      <c r="F328" s="76" t="s">
        <v>6132</v>
      </c>
    </row>
    <row r="329" spans="1:6" ht="63.95" customHeight="1">
      <c r="A329" s="76" t="s">
        <v>5976</v>
      </c>
      <c r="B329" s="76" t="s">
        <v>6805</v>
      </c>
      <c r="C329" s="76" t="s">
        <v>6806</v>
      </c>
      <c r="D329" s="76" t="s">
        <v>6807</v>
      </c>
      <c r="E329" s="76" t="s">
        <v>6136</v>
      </c>
      <c r="F329" s="76" t="s">
        <v>6137</v>
      </c>
    </row>
    <row r="330" spans="1:6" ht="63.95" customHeight="1">
      <c r="A330" s="76" t="s">
        <v>5976</v>
      </c>
      <c r="B330" s="76" t="s">
        <v>6808</v>
      </c>
      <c r="C330" s="76"/>
      <c r="D330" s="76" t="s">
        <v>6809</v>
      </c>
      <c r="E330" s="76" t="s">
        <v>6136</v>
      </c>
      <c r="F330" s="76" t="s">
        <v>6137</v>
      </c>
    </row>
    <row r="331" spans="1:6" ht="63.95" customHeight="1">
      <c r="A331" s="76" t="s">
        <v>5976</v>
      </c>
      <c r="B331" s="76" t="s">
        <v>6810</v>
      </c>
      <c r="C331" s="76"/>
      <c r="D331" s="76" t="s">
        <v>6811</v>
      </c>
      <c r="E331" s="76" t="s">
        <v>6136</v>
      </c>
      <c r="F331" s="76" t="s">
        <v>6137</v>
      </c>
    </row>
    <row r="332" spans="1:6" ht="63.95" customHeight="1">
      <c r="A332" s="76" t="s">
        <v>5976</v>
      </c>
      <c r="B332" s="76" t="s">
        <v>6812</v>
      </c>
      <c r="C332" s="76" t="s">
        <v>6740</v>
      </c>
      <c r="D332" s="76" t="s">
        <v>124</v>
      </c>
      <c r="E332" s="76" t="s">
        <v>6131</v>
      </c>
      <c r="F332" s="76" t="s">
        <v>6132</v>
      </c>
    </row>
    <row r="333" spans="1:6" ht="63.95" customHeight="1">
      <c r="A333" s="76" t="s">
        <v>5976</v>
      </c>
      <c r="B333" s="76" t="s">
        <v>6813</v>
      </c>
      <c r="C333" s="76" t="s">
        <v>6814</v>
      </c>
      <c r="D333" s="76" t="s">
        <v>6815</v>
      </c>
      <c r="E333" s="76" t="s">
        <v>6136</v>
      </c>
      <c r="F333" s="76" t="s">
        <v>6137</v>
      </c>
    </row>
    <row r="334" spans="1:6" ht="63.95" customHeight="1">
      <c r="A334" s="76" t="s">
        <v>5976</v>
      </c>
      <c r="B334" s="76" t="s">
        <v>6816</v>
      </c>
      <c r="C334" s="76"/>
      <c r="D334" s="76" t="s">
        <v>6817</v>
      </c>
      <c r="E334" s="76" t="s">
        <v>6136</v>
      </c>
      <c r="F334" s="76" t="s">
        <v>6137</v>
      </c>
    </row>
    <row r="335" spans="1:6" ht="63.95" customHeight="1">
      <c r="A335" s="76" t="s">
        <v>5976</v>
      </c>
      <c r="B335" s="76" t="s">
        <v>6818</v>
      </c>
      <c r="C335" s="76"/>
      <c r="D335" s="76" t="s">
        <v>6819</v>
      </c>
      <c r="E335" s="76" t="s">
        <v>6136</v>
      </c>
      <c r="F335" s="76" t="s">
        <v>6137</v>
      </c>
    </row>
    <row r="336" spans="1:6" ht="63.95" customHeight="1">
      <c r="A336" s="76" t="s">
        <v>5976</v>
      </c>
      <c r="B336" s="76" t="s">
        <v>6820</v>
      </c>
      <c r="C336" s="76" t="s">
        <v>6740</v>
      </c>
      <c r="D336" s="76" t="s">
        <v>124</v>
      </c>
      <c r="E336" s="76" t="s">
        <v>6131</v>
      </c>
      <c r="F336" s="76" t="s">
        <v>6132</v>
      </c>
    </row>
    <row r="337" spans="1:6" ht="63.95" customHeight="1">
      <c r="A337" s="76" t="s">
        <v>5976</v>
      </c>
      <c r="B337" s="76" t="s">
        <v>6821</v>
      </c>
      <c r="C337" s="76" t="s">
        <v>6822</v>
      </c>
      <c r="D337" s="76" t="s">
        <v>6823</v>
      </c>
      <c r="E337" s="76" t="s">
        <v>6136</v>
      </c>
      <c r="F337" s="76" t="s">
        <v>6137</v>
      </c>
    </row>
    <row r="338" spans="1:6" ht="63.95" customHeight="1">
      <c r="A338" s="76" t="s">
        <v>5976</v>
      </c>
      <c r="B338" s="76" t="s">
        <v>6824</v>
      </c>
      <c r="C338" s="76"/>
      <c r="D338" s="76" t="s">
        <v>6825</v>
      </c>
      <c r="E338" s="76" t="s">
        <v>6136</v>
      </c>
      <c r="F338" s="76" t="s">
        <v>6137</v>
      </c>
    </row>
    <row r="339" spans="1:6" ht="63.95" customHeight="1">
      <c r="A339" s="76" t="s">
        <v>5976</v>
      </c>
      <c r="B339" s="76" t="s">
        <v>6826</v>
      </c>
      <c r="C339" s="76"/>
      <c r="D339" s="76" t="s">
        <v>6827</v>
      </c>
      <c r="E339" s="76" t="s">
        <v>6136</v>
      </c>
      <c r="F339" s="76" t="s">
        <v>6137</v>
      </c>
    </row>
    <row r="340" spans="1:6" ht="63.95" customHeight="1">
      <c r="A340" s="76" t="s">
        <v>5976</v>
      </c>
      <c r="B340" s="76" t="s">
        <v>6828</v>
      </c>
      <c r="C340" s="76" t="s">
        <v>6740</v>
      </c>
      <c r="D340" s="76" t="s">
        <v>124</v>
      </c>
      <c r="E340" s="76" t="s">
        <v>6131</v>
      </c>
      <c r="F340" s="76" t="s">
        <v>6132</v>
      </c>
    </row>
    <row r="341" spans="1:6" ht="63.95" customHeight="1">
      <c r="A341" s="76" t="s">
        <v>5976</v>
      </c>
      <c r="B341" s="76" t="s">
        <v>6829</v>
      </c>
      <c r="C341" s="76" t="s">
        <v>6830</v>
      </c>
      <c r="D341" s="76" t="s">
        <v>6831</v>
      </c>
      <c r="E341" s="76" t="s">
        <v>6136</v>
      </c>
      <c r="F341" s="76" t="s">
        <v>6137</v>
      </c>
    </row>
    <row r="342" spans="1:6" ht="63.95" customHeight="1">
      <c r="A342" s="76" t="s">
        <v>5976</v>
      </c>
      <c r="B342" s="76" t="s">
        <v>6832</v>
      </c>
      <c r="C342" s="76"/>
      <c r="D342" s="76" t="s">
        <v>6833</v>
      </c>
      <c r="E342" s="76" t="s">
        <v>6136</v>
      </c>
      <c r="F342" s="76" t="s">
        <v>6137</v>
      </c>
    </row>
    <row r="343" spans="1:6" ht="63.95" customHeight="1">
      <c r="A343" s="76" t="s">
        <v>5976</v>
      </c>
      <c r="B343" s="76" t="s">
        <v>6834</v>
      </c>
      <c r="C343" s="76"/>
      <c r="D343" s="76" t="s">
        <v>6835</v>
      </c>
      <c r="E343" s="76" t="s">
        <v>6136</v>
      </c>
      <c r="F343" s="76" t="s">
        <v>6137</v>
      </c>
    </row>
    <row r="344" spans="1:6" ht="63.95" customHeight="1">
      <c r="A344" s="76" t="s">
        <v>5976</v>
      </c>
      <c r="B344" s="76" t="s">
        <v>6836</v>
      </c>
      <c r="C344" s="76" t="s">
        <v>6740</v>
      </c>
      <c r="D344" s="76" t="s">
        <v>124</v>
      </c>
      <c r="E344" s="76" t="s">
        <v>6131</v>
      </c>
      <c r="F344" s="76" t="s">
        <v>6132</v>
      </c>
    </row>
    <row r="345" spans="1:6" ht="63.95" customHeight="1">
      <c r="A345" s="76" t="s">
        <v>5976</v>
      </c>
      <c r="B345" s="76" t="s">
        <v>6837</v>
      </c>
      <c r="C345" s="76" t="s">
        <v>6838</v>
      </c>
      <c r="D345" s="76" t="s">
        <v>6839</v>
      </c>
      <c r="E345" s="76" t="s">
        <v>6136</v>
      </c>
      <c r="F345" s="76" t="s">
        <v>6137</v>
      </c>
    </row>
    <row r="346" spans="1:6" ht="63.95" customHeight="1">
      <c r="A346" s="76" t="s">
        <v>5976</v>
      </c>
      <c r="B346" s="76" t="s">
        <v>6840</v>
      </c>
      <c r="C346" s="76"/>
      <c r="D346" s="76" t="s">
        <v>6841</v>
      </c>
      <c r="E346" s="76" t="s">
        <v>6136</v>
      </c>
      <c r="F346" s="76" t="s">
        <v>6137</v>
      </c>
    </row>
    <row r="347" spans="1:6" ht="63.95" customHeight="1">
      <c r="A347" s="76" t="s">
        <v>5976</v>
      </c>
      <c r="B347" s="76" t="s">
        <v>6842</v>
      </c>
      <c r="C347" s="76"/>
      <c r="D347" s="76" t="s">
        <v>6843</v>
      </c>
      <c r="E347" s="76" t="s">
        <v>6136</v>
      </c>
      <c r="F347" s="76" t="s">
        <v>6137</v>
      </c>
    </row>
    <row r="348" spans="1:6" ht="63.95" customHeight="1">
      <c r="A348" s="76" t="s">
        <v>5976</v>
      </c>
      <c r="B348" s="76" t="s">
        <v>6844</v>
      </c>
      <c r="C348" s="76" t="s">
        <v>6740</v>
      </c>
      <c r="D348" s="76" t="s">
        <v>124</v>
      </c>
      <c r="E348" s="76" t="s">
        <v>6131</v>
      </c>
      <c r="F348" s="76" t="s">
        <v>6132</v>
      </c>
    </row>
    <row r="349" spans="1:6" ht="63.95" customHeight="1">
      <c r="A349" s="76" t="s">
        <v>5976</v>
      </c>
      <c r="B349" s="76" t="s">
        <v>6845</v>
      </c>
      <c r="C349" s="76" t="s">
        <v>6846</v>
      </c>
      <c r="D349" s="76" t="s">
        <v>6847</v>
      </c>
      <c r="E349" s="76" t="s">
        <v>6136</v>
      </c>
      <c r="F349" s="76" t="s">
        <v>6137</v>
      </c>
    </row>
    <row r="350" spans="1:6" ht="63.95" customHeight="1">
      <c r="A350" s="76" t="s">
        <v>5976</v>
      </c>
      <c r="B350" s="76" t="s">
        <v>6848</v>
      </c>
      <c r="C350" s="76"/>
      <c r="D350" s="76" t="s">
        <v>6849</v>
      </c>
      <c r="E350" s="76" t="s">
        <v>6136</v>
      </c>
      <c r="F350" s="76" t="s">
        <v>6137</v>
      </c>
    </row>
    <row r="351" spans="1:6" ht="63.95" customHeight="1">
      <c r="A351" s="76" t="s">
        <v>5976</v>
      </c>
      <c r="B351" s="76" t="s">
        <v>6850</v>
      </c>
      <c r="C351" s="76"/>
      <c r="D351" s="76" t="s">
        <v>6851</v>
      </c>
      <c r="E351" s="76" t="s">
        <v>6136</v>
      </c>
      <c r="F351" s="76" t="s">
        <v>6137</v>
      </c>
    </row>
    <row r="352" spans="1:6" ht="63.95" customHeight="1">
      <c r="A352" s="76" t="s">
        <v>5976</v>
      </c>
      <c r="B352" s="76" t="s">
        <v>6852</v>
      </c>
      <c r="C352" s="76" t="s">
        <v>6740</v>
      </c>
      <c r="D352" s="76" t="s">
        <v>124</v>
      </c>
      <c r="E352" s="76" t="s">
        <v>6131</v>
      </c>
      <c r="F352" s="76" t="s">
        <v>6132</v>
      </c>
    </row>
    <row r="353" spans="1:6" ht="63.95" customHeight="1">
      <c r="A353" s="76" t="s">
        <v>5976</v>
      </c>
      <c r="B353" s="76" t="s">
        <v>6853</v>
      </c>
      <c r="C353" s="76" t="s">
        <v>6854</v>
      </c>
      <c r="D353" s="76" t="s">
        <v>6855</v>
      </c>
      <c r="E353" s="76" t="s">
        <v>6136</v>
      </c>
      <c r="F353" s="76" t="s">
        <v>6137</v>
      </c>
    </row>
    <row r="354" spans="1:6" ht="63.95" customHeight="1">
      <c r="A354" s="76" t="s">
        <v>5976</v>
      </c>
      <c r="B354" s="76" t="s">
        <v>6856</v>
      </c>
      <c r="C354" s="76"/>
      <c r="D354" s="76" t="s">
        <v>6857</v>
      </c>
      <c r="E354" s="76" t="s">
        <v>6136</v>
      </c>
      <c r="F354" s="76" t="s">
        <v>6137</v>
      </c>
    </row>
    <row r="355" spans="1:6" ht="63.95" customHeight="1">
      <c r="A355" s="76" t="s">
        <v>5976</v>
      </c>
      <c r="B355" s="76" t="s">
        <v>6858</v>
      </c>
      <c r="C355" s="76"/>
      <c r="D355" s="76" t="s">
        <v>6859</v>
      </c>
      <c r="E355" s="76" t="s">
        <v>6136</v>
      </c>
      <c r="F355" s="76" t="s">
        <v>6137</v>
      </c>
    </row>
    <row r="356" spans="1:6" ht="63.95" customHeight="1">
      <c r="A356" s="76" t="s">
        <v>5976</v>
      </c>
      <c r="B356" s="76" t="s">
        <v>6860</v>
      </c>
      <c r="C356" s="76" t="s">
        <v>6740</v>
      </c>
      <c r="D356" s="76" t="s">
        <v>124</v>
      </c>
      <c r="E356" s="76" t="s">
        <v>6131</v>
      </c>
      <c r="F356" s="76" t="s">
        <v>6132</v>
      </c>
    </row>
    <row r="357" spans="1:6" ht="63.95" customHeight="1">
      <c r="A357" s="76" t="s">
        <v>5976</v>
      </c>
      <c r="B357" s="76" t="s">
        <v>6861</v>
      </c>
      <c r="C357" s="76" t="s">
        <v>6862</v>
      </c>
      <c r="D357" s="76" t="s">
        <v>6863</v>
      </c>
      <c r="E357" s="76" t="s">
        <v>6136</v>
      </c>
      <c r="F357" s="76" t="s">
        <v>6137</v>
      </c>
    </row>
    <row r="358" spans="1:6" ht="63.95" customHeight="1">
      <c r="A358" s="76" t="s">
        <v>5976</v>
      </c>
      <c r="B358" s="76" t="s">
        <v>6864</v>
      </c>
      <c r="C358" s="76"/>
      <c r="D358" s="76" t="s">
        <v>6865</v>
      </c>
      <c r="E358" s="76" t="s">
        <v>6136</v>
      </c>
      <c r="F358" s="76" t="s">
        <v>6137</v>
      </c>
    </row>
    <row r="359" spans="1:6" ht="63.95" customHeight="1">
      <c r="A359" s="76" t="s">
        <v>5976</v>
      </c>
      <c r="B359" s="76" t="s">
        <v>6866</v>
      </c>
      <c r="C359" s="76"/>
      <c r="D359" s="76" t="s">
        <v>6867</v>
      </c>
      <c r="E359" s="76" t="s">
        <v>6136</v>
      </c>
      <c r="F359" s="76" t="s">
        <v>6137</v>
      </c>
    </row>
    <row r="360" spans="1:6" ht="63.95" customHeight="1">
      <c r="A360" s="76" t="s">
        <v>5976</v>
      </c>
      <c r="B360" s="76" t="s">
        <v>6868</v>
      </c>
      <c r="C360" s="76" t="s">
        <v>6869</v>
      </c>
      <c r="D360" s="76" t="s">
        <v>6870</v>
      </c>
      <c r="E360" s="76" t="s">
        <v>6136</v>
      </c>
      <c r="F360" s="76" t="s">
        <v>6137</v>
      </c>
    </row>
    <row r="361" spans="1:6" ht="63.95" customHeight="1">
      <c r="A361" s="76" t="s">
        <v>5976</v>
      </c>
      <c r="B361" s="76" t="s">
        <v>6871</v>
      </c>
      <c r="C361" s="76"/>
      <c r="D361" s="76" t="s">
        <v>6872</v>
      </c>
      <c r="E361" s="76" t="s">
        <v>6136</v>
      </c>
      <c r="F361" s="76" t="s">
        <v>6137</v>
      </c>
    </row>
    <row r="362" spans="1:6" ht="63.95" customHeight="1">
      <c r="A362" s="76" t="s">
        <v>5976</v>
      </c>
      <c r="B362" s="76" t="s">
        <v>6873</v>
      </c>
      <c r="C362" s="76"/>
      <c r="D362" s="76" t="s">
        <v>6874</v>
      </c>
      <c r="E362" s="76" t="s">
        <v>6136</v>
      </c>
      <c r="F362" s="76" t="s">
        <v>6137</v>
      </c>
    </row>
    <row r="363" spans="1:6" ht="63.95" customHeight="1">
      <c r="A363" s="76" t="s">
        <v>5976</v>
      </c>
      <c r="B363" s="76" t="s">
        <v>6875</v>
      </c>
      <c r="C363" s="76" t="s">
        <v>6876</v>
      </c>
      <c r="D363" s="76" t="s">
        <v>6877</v>
      </c>
      <c r="E363" s="76" t="s">
        <v>6136</v>
      </c>
      <c r="F363" s="76" t="s">
        <v>6137</v>
      </c>
    </row>
    <row r="364" spans="1:6" ht="63.95" customHeight="1">
      <c r="A364" s="76" t="s">
        <v>5976</v>
      </c>
      <c r="B364" s="76" t="s">
        <v>6878</v>
      </c>
      <c r="C364" s="76"/>
      <c r="D364" s="76" t="s">
        <v>6879</v>
      </c>
      <c r="E364" s="76" t="s">
        <v>6136</v>
      </c>
      <c r="F364" s="76" t="s">
        <v>6137</v>
      </c>
    </row>
    <row r="365" spans="1:6" ht="63.95" customHeight="1">
      <c r="A365" s="76" t="s">
        <v>5976</v>
      </c>
      <c r="B365" s="76" t="s">
        <v>6880</v>
      </c>
      <c r="C365" s="76"/>
      <c r="D365" s="76" t="s">
        <v>6881</v>
      </c>
      <c r="E365" s="76" t="s">
        <v>6136</v>
      </c>
      <c r="F365" s="76" t="s">
        <v>6137</v>
      </c>
    </row>
    <row r="366" spans="1:6" ht="63.95" customHeight="1">
      <c r="A366" s="76" t="s">
        <v>5976</v>
      </c>
      <c r="B366" s="76" t="s">
        <v>6882</v>
      </c>
      <c r="C366" s="76" t="s">
        <v>6883</v>
      </c>
      <c r="D366" s="76" t="s">
        <v>124</v>
      </c>
      <c r="E366" s="76" t="s">
        <v>6131</v>
      </c>
      <c r="F366" s="76" t="s">
        <v>6132</v>
      </c>
    </row>
    <row r="367" spans="1:6" ht="63.95" customHeight="1">
      <c r="A367" s="76" t="s">
        <v>5976</v>
      </c>
      <c r="B367" s="76" t="s">
        <v>6884</v>
      </c>
      <c r="C367" s="76" t="s">
        <v>6885</v>
      </c>
      <c r="D367" s="76" t="s">
        <v>6886</v>
      </c>
      <c r="E367" s="76" t="s">
        <v>6136</v>
      </c>
      <c r="F367" s="76" t="s">
        <v>6137</v>
      </c>
    </row>
    <row r="368" spans="1:6" ht="63.95" customHeight="1">
      <c r="A368" s="76" t="s">
        <v>5976</v>
      </c>
      <c r="B368" s="76" t="s">
        <v>6887</v>
      </c>
      <c r="C368" s="76"/>
      <c r="D368" s="76" t="s">
        <v>6888</v>
      </c>
      <c r="E368" s="76" t="s">
        <v>6136</v>
      </c>
      <c r="F368" s="76" t="s">
        <v>6137</v>
      </c>
    </row>
    <row r="369" spans="1:6" ht="63.95" customHeight="1">
      <c r="A369" s="76" t="s">
        <v>5976</v>
      </c>
      <c r="B369" s="76" t="s">
        <v>6889</v>
      </c>
      <c r="C369" s="76"/>
      <c r="D369" s="76" t="s">
        <v>6890</v>
      </c>
      <c r="E369" s="76" t="s">
        <v>6136</v>
      </c>
      <c r="F369" s="76" t="s">
        <v>6137</v>
      </c>
    </row>
    <row r="370" spans="1:6" ht="63.95" customHeight="1">
      <c r="A370" s="76" t="s">
        <v>5976</v>
      </c>
      <c r="B370" s="76" t="s">
        <v>6891</v>
      </c>
      <c r="C370" s="76" t="s">
        <v>6892</v>
      </c>
      <c r="D370" s="76" t="s">
        <v>124</v>
      </c>
      <c r="E370" s="76" t="s">
        <v>6131</v>
      </c>
      <c r="F370" s="76" t="s">
        <v>6132</v>
      </c>
    </row>
    <row r="371" spans="1:6" ht="63.95" customHeight="1">
      <c r="A371" s="76" t="s">
        <v>5976</v>
      </c>
      <c r="B371" s="76" t="s">
        <v>6893</v>
      </c>
      <c r="C371" s="76" t="s">
        <v>6894</v>
      </c>
      <c r="D371" s="76" t="s">
        <v>6895</v>
      </c>
      <c r="E371" s="76" t="s">
        <v>6136</v>
      </c>
      <c r="F371" s="76" t="s">
        <v>6137</v>
      </c>
    </row>
    <row r="372" spans="1:6" ht="63.95" customHeight="1">
      <c r="A372" s="76" t="s">
        <v>5976</v>
      </c>
      <c r="B372" s="76" t="s">
        <v>6896</v>
      </c>
      <c r="C372" s="76"/>
      <c r="D372" s="76" t="s">
        <v>6897</v>
      </c>
      <c r="E372" s="76" t="s">
        <v>6136</v>
      </c>
      <c r="F372" s="76" t="s">
        <v>6137</v>
      </c>
    </row>
    <row r="373" spans="1:6" ht="63.95" customHeight="1">
      <c r="A373" s="76" t="s">
        <v>5976</v>
      </c>
      <c r="B373" s="76" t="s">
        <v>6898</v>
      </c>
      <c r="C373" s="76"/>
      <c r="D373" s="76" t="s">
        <v>6899</v>
      </c>
      <c r="E373" s="76" t="s">
        <v>6136</v>
      </c>
      <c r="F373" s="76" t="s">
        <v>6137</v>
      </c>
    </row>
    <row r="374" spans="1:6" ht="63.95" customHeight="1">
      <c r="A374" s="76" t="s">
        <v>5976</v>
      </c>
      <c r="B374" s="76" t="s">
        <v>6900</v>
      </c>
      <c r="C374" s="76" t="s">
        <v>6901</v>
      </c>
      <c r="D374" s="76" t="s">
        <v>124</v>
      </c>
      <c r="E374" s="76" t="s">
        <v>6131</v>
      </c>
      <c r="F374" s="76" t="s">
        <v>6132</v>
      </c>
    </row>
    <row r="375" spans="1:6" ht="63.95" customHeight="1">
      <c r="A375" s="76" t="s">
        <v>5976</v>
      </c>
      <c r="B375" s="76" t="s">
        <v>6902</v>
      </c>
      <c r="C375" s="76" t="s">
        <v>6903</v>
      </c>
      <c r="D375" s="76" t="s">
        <v>6904</v>
      </c>
      <c r="E375" s="76" t="s">
        <v>6136</v>
      </c>
      <c r="F375" s="76" t="s">
        <v>6137</v>
      </c>
    </row>
    <row r="376" spans="1:6" ht="63.95" customHeight="1">
      <c r="A376" s="76" t="s">
        <v>5976</v>
      </c>
      <c r="B376" s="76" t="s">
        <v>6905</v>
      </c>
      <c r="C376" s="76"/>
      <c r="D376" s="76" t="s">
        <v>6906</v>
      </c>
      <c r="E376" s="76" t="s">
        <v>6136</v>
      </c>
      <c r="F376" s="76" t="s">
        <v>6137</v>
      </c>
    </row>
    <row r="377" spans="1:6" ht="63.95" customHeight="1">
      <c r="A377" s="76" t="s">
        <v>5976</v>
      </c>
      <c r="B377" s="76" t="s">
        <v>6907</v>
      </c>
      <c r="C377" s="76"/>
      <c r="D377" s="76" t="s">
        <v>6908</v>
      </c>
      <c r="E377" s="76" t="s">
        <v>6136</v>
      </c>
      <c r="F377" s="76" t="s">
        <v>6137</v>
      </c>
    </row>
    <row r="378" spans="1:6" ht="63.95" customHeight="1">
      <c r="A378" s="76" t="s">
        <v>5976</v>
      </c>
      <c r="B378" s="76" t="s">
        <v>6909</v>
      </c>
      <c r="C378" s="76" t="s">
        <v>6910</v>
      </c>
      <c r="D378" s="76" t="s">
        <v>124</v>
      </c>
      <c r="E378" s="76" t="s">
        <v>6131</v>
      </c>
      <c r="F378" s="76" t="s">
        <v>6132</v>
      </c>
    </row>
    <row r="379" spans="1:6" ht="63.95" customHeight="1">
      <c r="A379" s="76" t="s">
        <v>5976</v>
      </c>
      <c r="B379" s="76" t="s">
        <v>6911</v>
      </c>
      <c r="C379" s="76" t="s">
        <v>6912</v>
      </c>
      <c r="D379" s="76" t="s">
        <v>6913</v>
      </c>
      <c r="E379" s="76" t="s">
        <v>6136</v>
      </c>
      <c r="F379" s="76" t="s">
        <v>6137</v>
      </c>
    </row>
    <row r="380" spans="1:6" ht="63.95" customHeight="1">
      <c r="A380" s="76" t="s">
        <v>5976</v>
      </c>
      <c r="B380" s="76" t="s">
        <v>6914</v>
      </c>
      <c r="C380" s="76"/>
      <c r="D380" s="76" t="s">
        <v>6915</v>
      </c>
      <c r="E380" s="76" t="s">
        <v>6136</v>
      </c>
      <c r="F380" s="76" t="s">
        <v>6137</v>
      </c>
    </row>
    <row r="381" spans="1:6" ht="63.95" customHeight="1">
      <c r="A381" s="76" t="s">
        <v>5976</v>
      </c>
      <c r="B381" s="76" t="s">
        <v>6916</v>
      </c>
      <c r="C381" s="76"/>
      <c r="D381" s="76" t="s">
        <v>6917</v>
      </c>
      <c r="E381" s="76" t="s">
        <v>6136</v>
      </c>
      <c r="F381" s="76" t="s">
        <v>6137</v>
      </c>
    </row>
    <row r="382" spans="1:6" ht="63.95" customHeight="1">
      <c r="A382" s="76" t="s">
        <v>5976</v>
      </c>
      <c r="B382" s="76" t="s">
        <v>6918</v>
      </c>
      <c r="C382" s="76" t="s">
        <v>6919</v>
      </c>
      <c r="D382" s="76" t="s">
        <v>6920</v>
      </c>
      <c r="E382" s="76" t="s">
        <v>6136</v>
      </c>
      <c r="F382" s="76" t="s">
        <v>6137</v>
      </c>
    </row>
    <row r="383" spans="1:6" ht="63.95" customHeight="1">
      <c r="A383" s="76" t="s">
        <v>5976</v>
      </c>
      <c r="B383" s="76" t="s">
        <v>6921</v>
      </c>
      <c r="C383" s="76"/>
      <c r="D383" s="76" t="s">
        <v>6922</v>
      </c>
      <c r="E383" s="76" t="s">
        <v>6136</v>
      </c>
      <c r="F383" s="76" t="s">
        <v>6137</v>
      </c>
    </row>
    <row r="384" spans="1:6" ht="63.95" customHeight="1">
      <c r="A384" s="76" t="s">
        <v>5976</v>
      </c>
      <c r="B384" s="76" t="s">
        <v>6923</v>
      </c>
      <c r="C384" s="76"/>
      <c r="D384" s="76" t="s">
        <v>6924</v>
      </c>
      <c r="E384" s="76" t="s">
        <v>6136</v>
      </c>
      <c r="F384" s="76" t="s">
        <v>6137</v>
      </c>
    </row>
    <row r="385" spans="1:6" ht="63.95" customHeight="1">
      <c r="A385" s="76" t="s">
        <v>5976</v>
      </c>
      <c r="B385" s="76" t="s">
        <v>6925</v>
      </c>
      <c r="C385" s="76" t="s">
        <v>6926</v>
      </c>
      <c r="D385" s="76" t="s">
        <v>6927</v>
      </c>
      <c r="E385" s="76" t="s">
        <v>6136</v>
      </c>
      <c r="F385" s="76" t="s">
        <v>6137</v>
      </c>
    </row>
    <row r="386" spans="1:6" ht="63.95" customHeight="1">
      <c r="A386" s="76" t="s">
        <v>5976</v>
      </c>
      <c r="B386" s="76" t="s">
        <v>6928</v>
      </c>
      <c r="C386" s="76"/>
      <c r="D386" s="76" t="s">
        <v>6929</v>
      </c>
      <c r="E386" s="76" t="s">
        <v>6136</v>
      </c>
      <c r="F386" s="76" t="s">
        <v>6137</v>
      </c>
    </row>
    <row r="387" spans="1:6" ht="63.95" customHeight="1">
      <c r="A387" s="76" t="s">
        <v>5976</v>
      </c>
      <c r="B387" s="76" t="s">
        <v>6930</v>
      </c>
      <c r="C387" s="76"/>
      <c r="D387" s="76" t="s">
        <v>6931</v>
      </c>
      <c r="E387" s="76" t="s">
        <v>6136</v>
      </c>
      <c r="F387" s="76" t="s">
        <v>6137</v>
      </c>
    </row>
    <row r="388" spans="1:6" ht="63.95" customHeight="1">
      <c r="A388" s="76" t="s">
        <v>5976</v>
      </c>
      <c r="B388" s="76" t="s">
        <v>6932</v>
      </c>
      <c r="C388" s="76" t="s">
        <v>6933</v>
      </c>
      <c r="D388" s="76" t="s">
        <v>124</v>
      </c>
      <c r="E388" s="76" t="s">
        <v>6131</v>
      </c>
      <c r="F388" s="76" t="s">
        <v>6132</v>
      </c>
    </row>
    <row r="389" spans="1:6" ht="63.95" customHeight="1">
      <c r="A389" s="76" t="s">
        <v>5976</v>
      </c>
      <c r="B389" s="76" t="s">
        <v>6934</v>
      </c>
      <c r="C389" s="76" t="s">
        <v>6935</v>
      </c>
      <c r="D389" s="76" t="s">
        <v>6936</v>
      </c>
      <c r="E389" s="76" t="s">
        <v>6136</v>
      </c>
      <c r="F389" s="76" t="s">
        <v>6137</v>
      </c>
    </row>
    <row r="390" spans="1:6" ht="63.95" customHeight="1">
      <c r="A390" s="76" t="s">
        <v>5976</v>
      </c>
      <c r="B390" s="76" t="s">
        <v>6937</v>
      </c>
      <c r="C390" s="76"/>
      <c r="D390" s="76" t="s">
        <v>6938</v>
      </c>
      <c r="E390" s="76" t="s">
        <v>6136</v>
      </c>
      <c r="F390" s="76" t="s">
        <v>6137</v>
      </c>
    </row>
    <row r="391" spans="1:6" ht="63.95" customHeight="1">
      <c r="A391" s="76" t="s">
        <v>5976</v>
      </c>
      <c r="B391" s="76" t="s">
        <v>6939</v>
      </c>
      <c r="C391" s="76"/>
      <c r="D391" s="76" t="s">
        <v>6940</v>
      </c>
      <c r="E391" s="76" t="s">
        <v>6136</v>
      </c>
      <c r="F391" s="76" t="s">
        <v>6137</v>
      </c>
    </row>
    <row r="392" spans="1:6" ht="63.95" customHeight="1">
      <c r="A392" s="76" t="s">
        <v>5976</v>
      </c>
      <c r="B392" s="76" t="s">
        <v>6941</v>
      </c>
      <c r="C392" s="76" t="s">
        <v>6942</v>
      </c>
      <c r="D392" s="76" t="s">
        <v>124</v>
      </c>
      <c r="E392" s="76" t="s">
        <v>6131</v>
      </c>
      <c r="F392" s="76" t="s">
        <v>6132</v>
      </c>
    </row>
    <row r="393" spans="1:6" ht="63.95" customHeight="1">
      <c r="A393" s="76" t="s">
        <v>5976</v>
      </c>
      <c r="B393" s="76" t="s">
        <v>6943</v>
      </c>
      <c r="C393" s="76" t="s">
        <v>6944</v>
      </c>
      <c r="D393" s="76" t="s">
        <v>6945</v>
      </c>
      <c r="E393" s="76" t="s">
        <v>6136</v>
      </c>
      <c r="F393" s="76" t="s">
        <v>6137</v>
      </c>
    </row>
    <row r="394" spans="1:6" ht="63.95" customHeight="1">
      <c r="A394" s="76" t="s">
        <v>5976</v>
      </c>
      <c r="B394" s="76" t="s">
        <v>6946</v>
      </c>
      <c r="C394" s="76"/>
      <c r="D394" s="76" t="s">
        <v>6947</v>
      </c>
      <c r="E394" s="76" t="s">
        <v>6136</v>
      </c>
      <c r="F394" s="76" t="s">
        <v>6137</v>
      </c>
    </row>
    <row r="395" spans="1:6" ht="63.95" customHeight="1">
      <c r="A395" s="76" t="s">
        <v>5976</v>
      </c>
      <c r="B395" s="76" t="s">
        <v>6948</v>
      </c>
      <c r="C395" s="76"/>
      <c r="D395" s="76" t="s">
        <v>6949</v>
      </c>
      <c r="E395" s="76" t="s">
        <v>6136</v>
      </c>
      <c r="F395" s="76" t="s">
        <v>6137</v>
      </c>
    </row>
    <row r="396" spans="1:6" ht="63.95" customHeight="1">
      <c r="A396" s="76" t="s">
        <v>5976</v>
      </c>
      <c r="B396" s="76" t="s">
        <v>6950</v>
      </c>
      <c r="C396" s="76" t="s">
        <v>6951</v>
      </c>
      <c r="D396" s="76" t="s">
        <v>6952</v>
      </c>
      <c r="E396" s="76" t="s">
        <v>6136</v>
      </c>
      <c r="F396" s="76" t="s">
        <v>6137</v>
      </c>
    </row>
    <row r="397" spans="1:6" ht="63.95" customHeight="1">
      <c r="A397" s="76" t="s">
        <v>5976</v>
      </c>
      <c r="B397" s="76" t="s">
        <v>6953</v>
      </c>
      <c r="C397" s="76"/>
      <c r="D397" s="76" t="s">
        <v>6954</v>
      </c>
      <c r="E397" s="76" t="s">
        <v>6136</v>
      </c>
      <c r="F397" s="76" t="s">
        <v>6137</v>
      </c>
    </row>
    <row r="398" spans="1:6" ht="63.95" customHeight="1">
      <c r="A398" s="76" t="s">
        <v>5976</v>
      </c>
      <c r="B398" s="76" t="s">
        <v>6955</v>
      </c>
      <c r="C398" s="76"/>
      <c r="D398" s="76" t="s">
        <v>6956</v>
      </c>
      <c r="E398" s="76" t="s">
        <v>6136</v>
      </c>
      <c r="F398" s="76" t="s">
        <v>6137</v>
      </c>
    </row>
    <row r="399" spans="1:6" ht="63.95" customHeight="1">
      <c r="A399" s="76" t="s">
        <v>5976</v>
      </c>
      <c r="B399" s="76" t="s">
        <v>6957</v>
      </c>
      <c r="C399" s="76" t="s">
        <v>6958</v>
      </c>
      <c r="D399" s="76" t="s">
        <v>1111</v>
      </c>
      <c r="E399" s="76" t="s">
        <v>6439</v>
      </c>
      <c r="F399" s="76" t="s">
        <v>6440</v>
      </c>
    </row>
    <row r="400" spans="1:6" ht="63.95" customHeight="1">
      <c r="A400" s="76" t="s">
        <v>5976</v>
      </c>
      <c r="B400" s="76" t="s">
        <v>6959</v>
      </c>
      <c r="C400" s="76" t="s">
        <v>6960</v>
      </c>
      <c r="D400" s="76" t="s">
        <v>6961</v>
      </c>
      <c r="E400" s="76" t="s">
        <v>6136</v>
      </c>
      <c r="F400" s="76" t="s">
        <v>6137</v>
      </c>
    </row>
    <row r="401" spans="1:6" ht="63.95" customHeight="1">
      <c r="A401" s="76" t="s">
        <v>5976</v>
      </c>
      <c r="B401" s="76" t="s">
        <v>6962</v>
      </c>
      <c r="C401" s="76"/>
      <c r="D401" s="76" t="s">
        <v>6963</v>
      </c>
      <c r="E401" s="76" t="s">
        <v>6136</v>
      </c>
      <c r="F401" s="76" t="s">
        <v>6137</v>
      </c>
    </row>
    <row r="402" spans="1:6" ht="63.95" customHeight="1">
      <c r="A402" s="76" t="s">
        <v>5976</v>
      </c>
      <c r="B402" s="76" t="s">
        <v>6964</v>
      </c>
      <c r="C402" s="76"/>
      <c r="D402" s="76" t="s">
        <v>6965</v>
      </c>
      <c r="E402" s="76" t="s">
        <v>6136</v>
      </c>
      <c r="F402" s="76" t="s">
        <v>6137</v>
      </c>
    </row>
    <row r="403" spans="1:6" ht="63.95" customHeight="1">
      <c r="A403" s="76" t="s">
        <v>5976</v>
      </c>
      <c r="B403" s="76" t="s">
        <v>6966</v>
      </c>
      <c r="C403" s="76" t="s">
        <v>2983</v>
      </c>
      <c r="D403" s="76" t="s">
        <v>1122</v>
      </c>
      <c r="E403" s="76" t="s">
        <v>6404</v>
      </c>
      <c r="F403" s="76" t="s">
        <v>6405</v>
      </c>
    </row>
    <row r="404" spans="1:6" ht="63.95" customHeight="1">
      <c r="A404" s="76" t="s">
        <v>5976</v>
      </c>
      <c r="B404" s="76" t="s">
        <v>6967</v>
      </c>
      <c r="C404" s="76" t="s">
        <v>3443</v>
      </c>
      <c r="D404" s="76" t="s">
        <v>496</v>
      </c>
      <c r="E404" s="76" t="s">
        <v>6442</v>
      </c>
      <c r="F404" s="76" t="s">
        <v>6443</v>
      </c>
    </row>
    <row r="405" spans="1:6" ht="63.95" customHeight="1">
      <c r="A405" s="76" t="s">
        <v>5976</v>
      </c>
      <c r="B405" s="76" t="s">
        <v>6968</v>
      </c>
      <c r="C405" s="76" t="s">
        <v>6969</v>
      </c>
      <c r="D405" s="76" t="s">
        <v>6970</v>
      </c>
      <c r="E405" s="76" t="s">
        <v>6136</v>
      </c>
      <c r="F405" s="76" t="s">
        <v>6137</v>
      </c>
    </row>
    <row r="406" spans="1:6" ht="63.95" customHeight="1">
      <c r="A406" s="76" t="s">
        <v>5976</v>
      </c>
      <c r="B406" s="76" t="s">
        <v>6971</v>
      </c>
      <c r="C406" s="76" t="s">
        <v>142</v>
      </c>
      <c r="D406" s="76" t="s">
        <v>486</v>
      </c>
      <c r="E406" s="76" t="s">
        <v>6448</v>
      </c>
      <c r="F406" s="76" t="s">
        <v>6972</v>
      </c>
    </row>
    <row r="407" spans="1:6" ht="63.95" customHeight="1">
      <c r="A407" s="76" t="s">
        <v>5976</v>
      </c>
      <c r="B407" s="76" t="s">
        <v>6973</v>
      </c>
      <c r="C407" s="76"/>
      <c r="D407" s="76" t="s">
        <v>6974</v>
      </c>
      <c r="E407" s="76" t="s">
        <v>6136</v>
      </c>
      <c r="F407" s="76" t="s">
        <v>6137</v>
      </c>
    </row>
    <row r="408" spans="1:6" ht="63.95" customHeight="1">
      <c r="A408" s="76" t="s">
        <v>5976</v>
      </c>
      <c r="B408" s="76" t="s">
        <v>6975</v>
      </c>
      <c r="C408" s="76"/>
      <c r="D408" s="76" t="s">
        <v>6976</v>
      </c>
      <c r="E408" s="76" t="s">
        <v>6136</v>
      </c>
      <c r="F408" s="76" t="s">
        <v>6137</v>
      </c>
    </row>
    <row r="409" spans="1:6" ht="63.95" customHeight="1">
      <c r="A409" s="76" t="s">
        <v>5976</v>
      </c>
      <c r="B409" s="76" t="s">
        <v>6977</v>
      </c>
      <c r="C409" s="76" t="s">
        <v>6978</v>
      </c>
      <c r="D409" s="76" t="s">
        <v>1130</v>
      </c>
      <c r="E409" s="76" t="s">
        <v>6439</v>
      </c>
      <c r="F409" s="76" t="s">
        <v>6440</v>
      </c>
    </row>
    <row r="410" spans="1:6" ht="63.95" customHeight="1">
      <c r="A410" s="76" t="s">
        <v>5976</v>
      </c>
      <c r="B410" s="76" t="s">
        <v>6979</v>
      </c>
      <c r="C410" s="76" t="s">
        <v>6980</v>
      </c>
      <c r="D410" s="76" t="s">
        <v>6981</v>
      </c>
      <c r="E410" s="76" t="s">
        <v>6136</v>
      </c>
      <c r="F410" s="76" t="s">
        <v>6137</v>
      </c>
    </row>
    <row r="411" spans="1:6" ht="63.95" customHeight="1">
      <c r="A411" s="76" t="s">
        <v>5976</v>
      </c>
      <c r="B411" s="76" t="s">
        <v>6982</v>
      </c>
      <c r="C411" s="76"/>
      <c r="D411" s="76" t="s">
        <v>6983</v>
      </c>
      <c r="E411" s="76" t="s">
        <v>6136</v>
      </c>
      <c r="F411" s="76" t="s">
        <v>6137</v>
      </c>
    </row>
    <row r="412" spans="1:6" ht="63.95" customHeight="1">
      <c r="A412" s="76" t="s">
        <v>5976</v>
      </c>
      <c r="B412" s="76" t="s">
        <v>6984</v>
      </c>
      <c r="C412" s="76"/>
      <c r="D412" s="76" t="s">
        <v>6985</v>
      </c>
      <c r="E412" s="76" t="s">
        <v>6136</v>
      </c>
      <c r="F412" s="76" t="s">
        <v>6137</v>
      </c>
    </row>
    <row r="413" spans="1:6" ht="63.95" customHeight="1">
      <c r="A413" s="76" t="s">
        <v>5976</v>
      </c>
      <c r="B413" s="76" t="s">
        <v>6986</v>
      </c>
      <c r="C413" s="76" t="s">
        <v>2983</v>
      </c>
      <c r="D413" s="76" t="s">
        <v>1122</v>
      </c>
      <c r="E413" s="76" t="s">
        <v>6404</v>
      </c>
      <c r="F413" s="76" t="s">
        <v>6405</v>
      </c>
    </row>
    <row r="414" spans="1:6" ht="63.95" customHeight="1">
      <c r="A414" s="76" t="s">
        <v>5976</v>
      </c>
      <c r="B414" s="76" t="s">
        <v>6987</v>
      </c>
      <c r="C414" s="76" t="s">
        <v>6988</v>
      </c>
      <c r="D414" s="76" t="s">
        <v>6989</v>
      </c>
      <c r="E414" s="76" t="s">
        <v>6136</v>
      </c>
      <c r="F414" s="76" t="s">
        <v>6137</v>
      </c>
    </row>
    <row r="415" spans="1:6" ht="63.95" customHeight="1">
      <c r="A415" s="76" t="s">
        <v>5976</v>
      </c>
      <c r="B415" s="76" t="s">
        <v>6990</v>
      </c>
      <c r="C415" s="76"/>
      <c r="D415" s="76" t="s">
        <v>6991</v>
      </c>
      <c r="E415" s="76" t="s">
        <v>6136</v>
      </c>
      <c r="F415" s="76" t="s">
        <v>6137</v>
      </c>
    </row>
    <row r="416" spans="1:6" ht="63.95" customHeight="1">
      <c r="A416" s="76" t="s">
        <v>5976</v>
      </c>
      <c r="B416" s="76" t="s">
        <v>6992</v>
      </c>
      <c r="C416" s="76"/>
      <c r="D416" s="76" t="s">
        <v>6993</v>
      </c>
      <c r="E416" s="76" t="s">
        <v>6136</v>
      </c>
      <c r="F416" s="76" t="s">
        <v>6137</v>
      </c>
    </row>
    <row r="417" spans="1:6" ht="63.95" customHeight="1">
      <c r="A417" s="76" t="s">
        <v>5976</v>
      </c>
      <c r="B417" s="76" t="s">
        <v>6994</v>
      </c>
      <c r="C417" s="76" t="s">
        <v>2983</v>
      </c>
      <c r="D417" s="76" t="s">
        <v>1122</v>
      </c>
      <c r="E417" s="76" t="s">
        <v>6404</v>
      </c>
      <c r="F417" s="76" t="s">
        <v>6405</v>
      </c>
    </row>
    <row r="418" spans="1:6" ht="63.95" customHeight="1">
      <c r="A418" s="76" t="s">
        <v>5976</v>
      </c>
      <c r="B418" s="76" t="s">
        <v>6995</v>
      </c>
      <c r="C418" s="76" t="s">
        <v>6996</v>
      </c>
      <c r="D418" s="76" t="s">
        <v>6997</v>
      </c>
      <c r="E418" s="76" t="s">
        <v>6136</v>
      </c>
      <c r="F418" s="76" t="s">
        <v>6137</v>
      </c>
    </row>
    <row r="419" spans="1:6" ht="63.95" customHeight="1">
      <c r="A419" s="76" t="s">
        <v>5976</v>
      </c>
      <c r="B419" s="76" t="s">
        <v>6998</v>
      </c>
      <c r="C419" s="76"/>
      <c r="D419" s="76" t="s">
        <v>6999</v>
      </c>
      <c r="E419" s="76" t="s">
        <v>6136</v>
      </c>
      <c r="F419" s="76" t="s">
        <v>6137</v>
      </c>
    </row>
    <row r="420" spans="1:6" ht="63.95" customHeight="1">
      <c r="A420" s="76" t="s">
        <v>5976</v>
      </c>
      <c r="B420" s="76" t="s">
        <v>7000</v>
      </c>
      <c r="C420" s="76"/>
      <c r="D420" s="76" t="s">
        <v>7001</v>
      </c>
      <c r="E420" s="76" t="s">
        <v>6136</v>
      </c>
      <c r="F420" s="76" t="s">
        <v>6137</v>
      </c>
    </row>
    <row r="421" spans="1:6" ht="63.95" customHeight="1">
      <c r="A421" s="76" t="s">
        <v>5976</v>
      </c>
      <c r="B421" s="76" t="s">
        <v>7002</v>
      </c>
      <c r="C421" s="76" t="s">
        <v>2983</v>
      </c>
      <c r="D421" s="76" t="s">
        <v>1122</v>
      </c>
      <c r="E421" s="76" t="s">
        <v>6404</v>
      </c>
      <c r="F421" s="76" t="s">
        <v>6405</v>
      </c>
    </row>
    <row r="422" spans="1:6" ht="63.95" customHeight="1">
      <c r="A422" s="76" t="s">
        <v>5976</v>
      </c>
      <c r="B422" s="76" t="s">
        <v>7003</v>
      </c>
      <c r="C422" s="76" t="s">
        <v>7004</v>
      </c>
      <c r="D422" s="76" t="s">
        <v>7005</v>
      </c>
      <c r="E422" s="76" t="s">
        <v>6136</v>
      </c>
      <c r="F422" s="76" t="s">
        <v>6137</v>
      </c>
    </row>
    <row r="423" spans="1:6" ht="63.95" customHeight="1">
      <c r="A423" s="76" t="s">
        <v>5976</v>
      </c>
      <c r="B423" s="76" t="s">
        <v>7006</v>
      </c>
      <c r="C423" s="76"/>
      <c r="D423" s="76" t="s">
        <v>7007</v>
      </c>
      <c r="E423" s="76" t="s">
        <v>6136</v>
      </c>
      <c r="F423" s="76" t="s">
        <v>6137</v>
      </c>
    </row>
    <row r="424" spans="1:6" ht="63.95" customHeight="1">
      <c r="A424" s="76" t="s">
        <v>5976</v>
      </c>
      <c r="B424" s="76" t="s">
        <v>7008</v>
      </c>
      <c r="C424" s="76"/>
      <c r="D424" s="76" t="s">
        <v>7009</v>
      </c>
      <c r="E424" s="76" t="s">
        <v>6136</v>
      </c>
      <c r="F424" s="76" t="s">
        <v>6137</v>
      </c>
    </row>
    <row r="425" spans="1:6" ht="63.95" customHeight="1">
      <c r="A425" s="76" t="s">
        <v>5976</v>
      </c>
      <c r="B425" s="76" t="s">
        <v>7010</v>
      </c>
      <c r="C425" s="76" t="s">
        <v>7011</v>
      </c>
      <c r="D425" s="76" t="s">
        <v>1155</v>
      </c>
      <c r="E425" s="76" t="s">
        <v>6404</v>
      </c>
      <c r="F425" s="76" t="s">
        <v>6405</v>
      </c>
    </row>
    <row r="426" spans="1:6" ht="63.95" customHeight="1">
      <c r="A426" s="76" t="s">
        <v>5976</v>
      </c>
      <c r="B426" s="76" t="s">
        <v>7012</v>
      </c>
      <c r="C426" s="76" t="s">
        <v>3443</v>
      </c>
      <c r="D426" s="76" t="s">
        <v>496</v>
      </c>
      <c r="E426" s="76" t="s">
        <v>6442</v>
      </c>
      <c r="F426" s="76" t="s">
        <v>6443</v>
      </c>
    </row>
    <row r="427" spans="1:6" ht="63.95" customHeight="1">
      <c r="A427" s="76" t="s">
        <v>5976</v>
      </c>
      <c r="B427" s="76" t="s">
        <v>7013</v>
      </c>
      <c r="C427" s="76" t="s">
        <v>7014</v>
      </c>
      <c r="D427" s="76" t="s">
        <v>7015</v>
      </c>
      <c r="E427" s="76" t="s">
        <v>6136</v>
      </c>
      <c r="F427" s="76" t="s">
        <v>6137</v>
      </c>
    </row>
    <row r="428" spans="1:6" ht="63.95" customHeight="1">
      <c r="A428" s="76" t="s">
        <v>5976</v>
      </c>
      <c r="B428" s="76" t="s">
        <v>7016</v>
      </c>
      <c r="C428" s="76" t="s">
        <v>142</v>
      </c>
      <c r="D428" s="76" t="s">
        <v>486</v>
      </c>
      <c r="E428" s="76" t="s">
        <v>6448</v>
      </c>
      <c r="F428" s="76" t="s">
        <v>7017</v>
      </c>
    </row>
    <row r="429" spans="1:6" ht="63.95" customHeight="1">
      <c r="A429" s="76" t="s">
        <v>5976</v>
      </c>
      <c r="B429" s="76" t="s">
        <v>7018</v>
      </c>
      <c r="C429" s="76"/>
      <c r="D429" s="76" t="s">
        <v>7019</v>
      </c>
      <c r="E429" s="76" t="s">
        <v>6136</v>
      </c>
      <c r="F429" s="76" t="s">
        <v>6137</v>
      </c>
    </row>
    <row r="430" spans="1:6" ht="63.95" customHeight="1">
      <c r="A430" s="76" t="s">
        <v>5976</v>
      </c>
      <c r="B430" s="76" t="s">
        <v>7020</v>
      </c>
      <c r="C430" s="76"/>
      <c r="D430" s="76" t="s">
        <v>7021</v>
      </c>
      <c r="E430" s="76" t="s">
        <v>6136</v>
      </c>
      <c r="F430" s="76" t="s">
        <v>6137</v>
      </c>
    </row>
    <row r="431" spans="1:6" ht="63.95" customHeight="1">
      <c r="A431" s="76" t="s">
        <v>5976</v>
      </c>
      <c r="B431" s="76" t="s">
        <v>7022</v>
      </c>
      <c r="C431" s="76" t="s">
        <v>2983</v>
      </c>
      <c r="D431" s="76" t="s">
        <v>1122</v>
      </c>
      <c r="E431" s="76" t="s">
        <v>6404</v>
      </c>
      <c r="F431" s="76" t="s">
        <v>6405</v>
      </c>
    </row>
    <row r="432" spans="1:6" ht="63.95" customHeight="1">
      <c r="A432" s="76" t="s">
        <v>5976</v>
      </c>
      <c r="B432" s="76" t="s">
        <v>7023</v>
      </c>
      <c r="C432" s="76" t="s">
        <v>3443</v>
      </c>
      <c r="D432" s="76" t="s">
        <v>496</v>
      </c>
      <c r="E432" s="76" t="s">
        <v>6442</v>
      </c>
      <c r="F432" s="76" t="s">
        <v>6443</v>
      </c>
    </row>
    <row r="433" spans="1:6" ht="63.95" customHeight="1">
      <c r="A433" s="76" t="s">
        <v>5976</v>
      </c>
      <c r="B433" s="76" t="s">
        <v>7024</v>
      </c>
      <c r="C433" s="76" t="s">
        <v>7025</v>
      </c>
      <c r="D433" s="76" t="s">
        <v>7026</v>
      </c>
      <c r="E433" s="76" t="s">
        <v>6136</v>
      </c>
      <c r="F433" s="76" t="s">
        <v>6137</v>
      </c>
    </row>
    <row r="434" spans="1:6" ht="63.95" customHeight="1">
      <c r="A434" s="76" t="s">
        <v>5976</v>
      </c>
      <c r="B434" s="76" t="s">
        <v>7027</v>
      </c>
      <c r="C434" s="76" t="s">
        <v>142</v>
      </c>
      <c r="D434" s="76" t="s">
        <v>486</v>
      </c>
      <c r="E434" s="76" t="s">
        <v>6448</v>
      </c>
      <c r="F434" s="76" t="s">
        <v>7028</v>
      </c>
    </row>
    <row r="435" spans="1:6" ht="63.95" customHeight="1">
      <c r="A435" s="76" t="s">
        <v>5976</v>
      </c>
      <c r="B435" s="76" t="s">
        <v>7029</v>
      </c>
      <c r="C435" s="76"/>
      <c r="D435" s="76" t="s">
        <v>7030</v>
      </c>
      <c r="E435" s="76" t="s">
        <v>6136</v>
      </c>
      <c r="F435" s="76" t="s">
        <v>6137</v>
      </c>
    </row>
    <row r="436" spans="1:6" ht="63.95" customHeight="1">
      <c r="A436" s="76" t="s">
        <v>5976</v>
      </c>
      <c r="B436" s="76" t="s">
        <v>7031</v>
      </c>
      <c r="C436" s="76"/>
      <c r="D436" s="76" t="s">
        <v>7032</v>
      </c>
      <c r="E436" s="76" t="s">
        <v>6136</v>
      </c>
      <c r="F436" s="76" t="s">
        <v>6137</v>
      </c>
    </row>
    <row r="437" spans="1:6" ht="63.95" customHeight="1">
      <c r="A437" s="76" t="s">
        <v>5976</v>
      </c>
      <c r="B437" s="76" t="s">
        <v>7033</v>
      </c>
      <c r="C437" s="76" t="s">
        <v>2983</v>
      </c>
      <c r="D437" s="76" t="s">
        <v>1122</v>
      </c>
      <c r="E437" s="76" t="s">
        <v>6404</v>
      </c>
      <c r="F437" s="76" t="s">
        <v>6405</v>
      </c>
    </row>
    <row r="438" spans="1:6" ht="63.95" customHeight="1">
      <c r="A438" s="76" t="s">
        <v>5976</v>
      </c>
      <c r="B438" s="76" t="s">
        <v>7034</v>
      </c>
      <c r="C438" s="76" t="s">
        <v>7035</v>
      </c>
      <c r="D438" s="76" t="s">
        <v>7036</v>
      </c>
      <c r="E438" s="76" t="s">
        <v>6136</v>
      </c>
      <c r="F438" s="76" t="s">
        <v>6137</v>
      </c>
    </row>
    <row r="439" spans="1:6" ht="63.95" customHeight="1">
      <c r="A439" s="76" t="s">
        <v>5976</v>
      </c>
      <c r="B439" s="76" t="s">
        <v>7037</v>
      </c>
      <c r="C439" s="76"/>
      <c r="D439" s="76" t="s">
        <v>7038</v>
      </c>
      <c r="E439" s="76" t="s">
        <v>6136</v>
      </c>
      <c r="F439" s="76" t="s">
        <v>6137</v>
      </c>
    </row>
    <row r="440" spans="1:6" ht="63.95" customHeight="1">
      <c r="A440" s="76" t="s">
        <v>5976</v>
      </c>
      <c r="B440" s="76" t="s">
        <v>7039</v>
      </c>
      <c r="C440" s="76"/>
      <c r="D440" s="76" t="s">
        <v>7040</v>
      </c>
      <c r="E440" s="76" t="s">
        <v>6136</v>
      </c>
      <c r="F440" s="76" t="s">
        <v>6137</v>
      </c>
    </row>
    <row r="441" spans="1:6" ht="63.95" customHeight="1">
      <c r="A441" s="76" t="s">
        <v>5976</v>
      </c>
      <c r="B441" s="76" t="s">
        <v>7041</v>
      </c>
      <c r="C441" s="76" t="s">
        <v>2983</v>
      </c>
      <c r="D441" s="76" t="s">
        <v>1122</v>
      </c>
      <c r="E441" s="76" t="s">
        <v>6404</v>
      </c>
      <c r="F441" s="76" t="s">
        <v>6405</v>
      </c>
    </row>
    <row r="442" spans="1:6" ht="63.95" customHeight="1">
      <c r="A442" s="76" t="s">
        <v>5976</v>
      </c>
      <c r="B442" s="76" t="s">
        <v>7042</v>
      </c>
      <c r="C442" s="76" t="s">
        <v>7043</v>
      </c>
      <c r="D442" s="76" t="s">
        <v>7044</v>
      </c>
      <c r="E442" s="76" t="s">
        <v>6136</v>
      </c>
      <c r="F442" s="76" t="s">
        <v>6137</v>
      </c>
    </row>
    <row r="443" spans="1:6" ht="63.95" customHeight="1">
      <c r="A443" s="76" t="s">
        <v>5976</v>
      </c>
      <c r="B443" s="76" t="s">
        <v>7045</v>
      </c>
      <c r="C443" s="76"/>
      <c r="D443" s="76" t="s">
        <v>7046</v>
      </c>
      <c r="E443" s="76" t="s">
        <v>6136</v>
      </c>
      <c r="F443" s="76" t="s">
        <v>6137</v>
      </c>
    </row>
    <row r="444" spans="1:6" ht="63.95" customHeight="1">
      <c r="A444" s="76" t="s">
        <v>5976</v>
      </c>
      <c r="B444" s="76" t="s">
        <v>7047</v>
      </c>
      <c r="C444" s="76"/>
      <c r="D444" s="76" t="s">
        <v>7048</v>
      </c>
      <c r="E444" s="76" t="s">
        <v>6136</v>
      </c>
      <c r="F444" s="76" t="s">
        <v>6137</v>
      </c>
    </row>
    <row r="445" spans="1:6" ht="63.95" customHeight="1">
      <c r="A445" s="76" t="s">
        <v>5976</v>
      </c>
      <c r="B445" s="76" t="s">
        <v>7049</v>
      </c>
      <c r="C445" s="76" t="s">
        <v>2983</v>
      </c>
      <c r="D445" s="76" t="s">
        <v>1122</v>
      </c>
      <c r="E445" s="76" t="s">
        <v>6404</v>
      </c>
      <c r="F445" s="76" t="s">
        <v>6405</v>
      </c>
    </row>
    <row r="446" spans="1:6" ht="63.95" customHeight="1">
      <c r="A446" s="76" t="s">
        <v>5976</v>
      </c>
      <c r="B446" s="76" t="s">
        <v>7050</v>
      </c>
      <c r="C446" s="76" t="s">
        <v>7051</v>
      </c>
      <c r="D446" s="76" t="s">
        <v>7052</v>
      </c>
      <c r="E446" s="76" t="s">
        <v>6136</v>
      </c>
      <c r="F446" s="76" t="s">
        <v>6137</v>
      </c>
    </row>
    <row r="447" spans="1:6" ht="63.95" customHeight="1">
      <c r="A447" s="76" t="s">
        <v>5976</v>
      </c>
      <c r="B447" s="76" t="s">
        <v>7053</v>
      </c>
      <c r="C447" s="76"/>
      <c r="D447" s="76" t="s">
        <v>7054</v>
      </c>
      <c r="E447" s="76" t="s">
        <v>6136</v>
      </c>
      <c r="F447" s="76" t="s">
        <v>6137</v>
      </c>
    </row>
    <row r="448" spans="1:6" ht="63.95" customHeight="1">
      <c r="A448" s="76" t="s">
        <v>5976</v>
      </c>
      <c r="B448" s="76" t="s">
        <v>7055</v>
      </c>
      <c r="C448" s="76"/>
      <c r="D448" s="76" t="s">
        <v>7056</v>
      </c>
      <c r="E448" s="76" t="s">
        <v>6136</v>
      </c>
      <c r="F448" s="76" t="s">
        <v>6137</v>
      </c>
    </row>
    <row r="449" spans="1:6" ht="63.95" customHeight="1">
      <c r="A449" s="76" t="s">
        <v>5976</v>
      </c>
      <c r="B449" s="76" t="s">
        <v>7057</v>
      </c>
      <c r="C449" s="76" t="s">
        <v>7058</v>
      </c>
      <c r="D449" s="76" t="s">
        <v>1201</v>
      </c>
      <c r="E449" s="76" t="s">
        <v>6439</v>
      </c>
      <c r="F449" s="76" t="s">
        <v>6440</v>
      </c>
    </row>
    <row r="450" spans="1:6" ht="63.95" customHeight="1">
      <c r="A450" s="76" t="s">
        <v>5976</v>
      </c>
      <c r="B450" s="76" t="s">
        <v>7059</v>
      </c>
      <c r="C450" s="76" t="s">
        <v>7060</v>
      </c>
      <c r="D450" s="76" t="s">
        <v>7061</v>
      </c>
      <c r="E450" s="76" t="s">
        <v>6136</v>
      </c>
      <c r="F450" s="76" t="s">
        <v>6137</v>
      </c>
    </row>
    <row r="451" spans="1:6" ht="63.95" customHeight="1">
      <c r="A451" s="76" t="s">
        <v>5976</v>
      </c>
      <c r="B451" s="76" t="s">
        <v>7062</v>
      </c>
      <c r="C451" s="76"/>
      <c r="D451" s="76" t="s">
        <v>7063</v>
      </c>
      <c r="E451" s="76" t="s">
        <v>6136</v>
      </c>
      <c r="F451" s="76" t="s">
        <v>6137</v>
      </c>
    </row>
    <row r="452" spans="1:6" ht="63.95" customHeight="1">
      <c r="A452" s="76" t="s">
        <v>5976</v>
      </c>
      <c r="B452" s="76" t="s">
        <v>7064</v>
      </c>
      <c r="C452" s="76"/>
      <c r="D452" s="76" t="s">
        <v>7065</v>
      </c>
      <c r="E452" s="76" t="s">
        <v>6136</v>
      </c>
      <c r="F452" s="76" t="s">
        <v>6137</v>
      </c>
    </row>
    <row r="453" spans="1:6" ht="63.95" customHeight="1">
      <c r="A453" s="76" t="s">
        <v>5976</v>
      </c>
      <c r="B453" s="76" t="s">
        <v>7066</v>
      </c>
      <c r="C453" s="76" t="s">
        <v>7067</v>
      </c>
      <c r="D453" s="76" t="s">
        <v>7068</v>
      </c>
      <c r="E453" s="76" t="s">
        <v>6136</v>
      </c>
      <c r="F453" s="76" t="s">
        <v>6137</v>
      </c>
    </row>
    <row r="454" spans="1:6" ht="63.95" customHeight="1">
      <c r="A454" s="76" t="s">
        <v>5976</v>
      </c>
      <c r="B454" s="76" t="s">
        <v>7069</v>
      </c>
      <c r="C454" s="76"/>
      <c r="D454" s="76" t="s">
        <v>7070</v>
      </c>
      <c r="E454" s="76" t="s">
        <v>6136</v>
      </c>
      <c r="F454" s="76" t="s">
        <v>6137</v>
      </c>
    </row>
    <row r="455" spans="1:6" ht="63.95" customHeight="1">
      <c r="A455" s="76" t="s">
        <v>5976</v>
      </c>
      <c r="B455" s="76" t="s">
        <v>7071</v>
      </c>
      <c r="C455" s="76"/>
      <c r="D455" s="76" t="s">
        <v>7072</v>
      </c>
      <c r="E455" s="76" t="s">
        <v>6136</v>
      </c>
      <c r="F455" s="76" t="s">
        <v>6137</v>
      </c>
    </row>
    <row r="456" spans="1:6" ht="63.95" customHeight="1">
      <c r="A456" s="76" t="s">
        <v>5976</v>
      </c>
      <c r="B456" s="76" t="s">
        <v>7073</v>
      </c>
      <c r="C456" s="76" t="s">
        <v>7074</v>
      </c>
      <c r="D456" s="76" t="s">
        <v>7075</v>
      </c>
      <c r="E456" s="76" t="s">
        <v>6136</v>
      </c>
      <c r="F456" s="76" t="s">
        <v>6137</v>
      </c>
    </row>
    <row r="457" spans="1:6" ht="63.95" customHeight="1">
      <c r="A457" s="76" t="s">
        <v>5976</v>
      </c>
      <c r="B457" s="76" t="s">
        <v>7076</v>
      </c>
      <c r="C457" s="76"/>
      <c r="D457" s="76" t="s">
        <v>7077</v>
      </c>
      <c r="E457" s="76" t="s">
        <v>6136</v>
      </c>
      <c r="F457" s="76" t="s">
        <v>6137</v>
      </c>
    </row>
    <row r="458" spans="1:6" ht="63.95" customHeight="1">
      <c r="A458" s="76" t="s">
        <v>5976</v>
      </c>
      <c r="B458" s="76" t="s">
        <v>7078</v>
      </c>
      <c r="C458" s="76"/>
      <c r="D458" s="76" t="s">
        <v>7079</v>
      </c>
      <c r="E458" s="76" t="s">
        <v>6136</v>
      </c>
      <c r="F458" s="76" t="s">
        <v>6137</v>
      </c>
    </row>
    <row r="459" spans="1:6" ht="63.95" customHeight="1">
      <c r="A459" s="76" t="s">
        <v>5976</v>
      </c>
      <c r="B459" s="76" t="s">
        <v>7080</v>
      </c>
      <c r="C459" s="76" t="s">
        <v>7081</v>
      </c>
      <c r="D459" s="76" t="s">
        <v>7082</v>
      </c>
      <c r="E459" s="76" t="s">
        <v>6136</v>
      </c>
      <c r="F459" s="76" t="s">
        <v>6137</v>
      </c>
    </row>
    <row r="460" spans="1:6" ht="63.95" customHeight="1">
      <c r="A460" s="76" t="s">
        <v>5976</v>
      </c>
      <c r="B460" s="76" t="s">
        <v>7083</v>
      </c>
      <c r="C460" s="76"/>
      <c r="D460" s="76" t="s">
        <v>7084</v>
      </c>
      <c r="E460" s="76" t="s">
        <v>6136</v>
      </c>
      <c r="F460" s="76" t="s">
        <v>6137</v>
      </c>
    </row>
    <row r="461" spans="1:6" ht="63.95" customHeight="1">
      <c r="A461" s="76" t="s">
        <v>5976</v>
      </c>
      <c r="B461" s="76" t="s">
        <v>7085</v>
      </c>
      <c r="C461" s="76"/>
      <c r="D461" s="76" t="s">
        <v>7086</v>
      </c>
      <c r="E461" s="76" t="s">
        <v>6136</v>
      </c>
      <c r="F461" s="76" t="s">
        <v>6137</v>
      </c>
    </row>
    <row r="462" spans="1:6" ht="63.95" customHeight="1">
      <c r="A462" s="76" t="s">
        <v>5976</v>
      </c>
      <c r="B462" s="76" t="s">
        <v>7087</v>
      </c>
      <c r="C462" s="76" t="s">
        <v>3443</v>
      </c>
      <c r="D462" s="76" t="s">
        <v>496</v>
      </c>
      <c r="E462" s="76" t="s">
        <v>6442</v>
      </c>
      <c r="F462" s="76" t="s">
        <v>6443</v>
      </c>
    </row>
    <row r="463" spans="1:6" ht="63.95" customHeight="1">
      <c r="A463" s="76" t="s">
        <v>5976</v>
      </c>
      <c r="B463" s="76" t="s">
        <v>7088</v>
      </c>
      <c r="C463" s="76" t="s">
        <v>7089</v>
      </c>
      <c r="D463" s="76" t="s">
        <v>7090</v>
      </c>
      <c r="E463" s="76" t="s">
        <v>6136</v>
      </c>
      <c r="F463" s="76" t="s">
        <v>6137</v>
      </c>
    </row>
    <row r="464" spans="1:6" ht="63.95" customHeight="1">
      <c r="A464" s="76" t="s">
        <v>5976</v>
      </c>
      <c r="B464" s="76" t="s">
        <v>7091</v>
      </c>
      <c r="C464" s="76" t="s">
        <v>142</v>
      </c>
      <c r="D464" s="76" t="s">
        <v>486</v>
      </c>
      <c r="E464" s="76" t="s">
        <v>6448</v>
      </c>
      <c r="F464" s="76" t="s">
        <v>7092</v>
      </c>
    </row>
    <row r="465" spans="1:6" ht="63.95" customHeight="1">
      <c r="A465" s="76" t="s">
        <v>5976</v>
      </c>
      <c r="B465" s="76" t="s">
        <v>7093</v>
      </c>
      <c r="C465" s="76"/>
      <c r="D465" s="76" t="s">
        <v>7094</v>
      </c>
      <c r="E465" s="76" t="s">
        <v>6136</v>
      </c>
      <c r="F465" s="76" t="s">
        <v>6137</v>
      </c>
    </row>
    <row r="466" spans="1:6" ht="63.95" customHeight="1">
      <c r="A466" s="76" t="s">
        <v>5976</v>
      </c>
      <c r="B466" s="76" t="s">
        <v>7095</v>
      </c>
      <c r="C466" s="76"/>
      <c r="D466" s="76" t="s">
        <v>7096</v>
      </c>
      <c r="E466" s="76" t="s">
        <v>6136</v>
      </c>
      <c r="F466" s="76" t="s">
        <v>6137</v>
      </c>
    </row>
    <row r="467" spans="1:6" ht="63.95" customHeight="1">
      <c r="A467" s="76" t="s">
        <v>5976</v>
      </c>
      <c r="B467" s="76" t="s">
        <v>7097</v>
      </c>
      <c r="C467" s="76" t="s">
        <v>7098</v>
      </c>
      <c r="D467" s="76" t="s">
        <v>1261</v>
      </c>
      <c r="E467" s="76" t="s">
        <v>6439</v>
      </c>
      <c r="F467" s="76" t="s">
        <v>6440</v>
      </c>
    </row>
    <row r="468" spans="1:6" ht="63.95" customHeight="1">
      <c r="A468" s="76" t="s">
        <v>5976</v>
      </c>
      <c r="B468" s="76" t="s">
        <v>7099</v>
      </c>
      <c r="C468" s="76" t="s">
        <v>7100</v>
      </c>
      <c r="D468" s="76" t="s">
        <v>7101</v>
      </c>
      <c r="E468" s="76" t="s">
        <v>6136</v>
      </c>
      <c r="F468" s="76" t="s">
        <v>6137</v>
      </c>
    </row>
    <row r="469" spans="1:6" ht="63.95" customHeight="1">
      <c r="A469" s="76" t="s">
        <v>5976</v>
      </c>
      <c r="B469" s="76" t="s">
        <v>7102</v>
      </c>
      <c r="C469" s="76"/>
      <c r="D469" s="76" t="s">
        <v>7103</v>
      </c>
      <c r="E469" s="76" t="s">
        <v>6136</v>
      </c>
      <c r="F469" s="76" t="s">
        <v>6137</v>
      </c>
    </row>
    <row r="470" spans="1:6" ht="63.95" customHeight="1">
      <c r="A470" s="76" t="s">
        <v>5976</v>
      </c>
      <c r="B470" s="76" t="s">
        <v>7104</v>
      </c>
      <c r="C470" s="76"/>
      <c r="D470" s="76" t="s">
        <v>7105</v>
      </c>
      <c r="E470" s="76" t="s">
        <v>6136</v>
      </c>
      <c r="F470" s="76" t="s">
        <v>6137</v>
      </c>
    </row>
    <row r="471" spans="1:6" ht="63.95" customHeight="1">
      <c r="A471" s="76" t="s">
        <v>5976</v>
      </c>
      <c r="B471" s="76" t="s">
        <v>7106</v>
      </c>
      <c r="C471" s="76" t="s">
        <v>7107</v>
      </c>
      <c r="D471" s="76" t="s">
        <v>7108</v>
      </c>
      <c r="E471" s="76" t="s">
        <v>6136</v>
      </c>
      <c r="F471" s="76" t="s">
        <v>6137</v>
      </c>
    </row>
    <row r="472" spans="1:6" ht="63.95" customHeight="1">
      <c r="A472" s="76" t="s">
        <v>5976</v>
      </c>
      <c r="B472" s="76" t="s">
        <v>7109</v>
      </c>
      <c r="C472" s="76"/>
      <c r="D472" s="76" t="s">
        <v>7110</v>
      </c>
      <c r="E472" s="76" t="s">
        <v>6136</v>
      </c>
      <c r="F472" s="76" t="s">
        <v>6137</v>
      </c>
    </row>
    <row r="473" spans="1:6" ht="63.95" customHeight="1">
      <c r="A473" s="76" t="s">
        <v>5976</v>
      </c>
      <c r="B473" s="76" t="s">
        <v>7111</v>
      </c>
      <c r="C473" s="76"/>
      <c r="D473" s="76" t="s">
        <v>7112</v>
      </c>
      <c r="E473" s="76" t="s">
        <v>6136</v>
      </c>
      <c r="F473" s="76" t="s">
        <v>6137</v>
      </c>
    </row>
    <row r="474" spans="1:6" ht="63.95" customHeight="1">
      <c r="A474" s="76" t="s">
        <v>5976</v>
      </c>
      <c r="B474" s="76" t="s">
        <v>7113</v>
      </c>
      <c r="C474" s="76" t="s">
        <v>7114</v>
      </c>
      <c r="D474" s="76" t="s">
        <v>7115</v>
      </c>
      <c r="E474" s="76" t="s">
        <v>6136</v>
      </c>
      <c r="F474" s="76" t="s">
        <v>6137</v>
      </c>
    </row>
    <row r="475" spans="1:6" ht="63.95" customHeight="1">
      <c r="A475" s="76" t="s">
        <v>5976</v>
      </c>
      <c r="B475" s="76" t="s">
        <v>7116</v>
      </c>
      <c r="C475" s="76"/>
      <c r="D475" s="76" t="s">
        <v>7117</v>
      </c>
      <c r="E475" s="76" t="s">
        <v>6136</v>
      </c>
      <c r="F475" s="76" t="s">
        <v>6137</v>
      </c>
    </row>
    <row r="476" spans="1:6" ht="63.95" customHeight="1">
      <c r="A476" s="76" t="s">
        <v>5976</v>
      </c>
      <c r="B476" s="76" t="s">
        <v>7118</v>
      </c>
      <c r="C476" s="76"/>
      <c r="D476" s="76" t="s">
        <v>7119</v>
      </c>
      <c r="E476" s="76" t="s">
        <v>6136</v>
      </c>
      <c r="F476" s="76" t="s">
        <v>6137</v>
      </c>
    </row>
    <row r="477" spans="1:6" ht="63.95" customHeight="1">
      <c r="A477" s="76" t="s">
        <v>5976</v>
      </c>
      <c r="B477" s="76" t="s">
        <v>7120</v>
      </c>
      <c r="C477" s="76" t="s">
        <v>7121</v>
      </c>
      <c r="D477" s="76" t="s">
        <v>7122</v>
      </c>
      <c r="E477" s="76" t="s">
        <v>6136</v>
      </c>
      <c r="F477" s="76" t="s">
        <v>6137</v>
      </c>
    </row>
    <row r="478" spans="1:6" ht="63.95" customHeight="1">
      <c r="A478" s="76" t="s">
        <v>5976</v>
      </c>
      <c r="B478" s="76" t="s">
        <v>7123</v>
      </c>
      <c r="C478" s="76"/>
      <c r="D478" s="76" t="s">
        <v>7124</v>
      </c>
      <c r="E478" s="76" t="s">
        <v>6136</v>
      </c>
      <c r="F478" s="76" t="s">
        <v>6137</v>
      </c>
    </row>
    <row r="479" spans="1:6" ht="63.95" customHeight="1">
      <c r="A479" s="76" t="s">
        <v>5976</v>
      </c>
      <c r="B479" s="76" t="s">
        <v>7125</v>
      </c>
      <c r="C479" s="76"/>
      <c r="D479" s="76" t="s">
        <v>7126</v>
      </c>
      <c r="E479" s="76" t="s">
        <v>6136</v>
      </c>
      <c r="F479" s="76" t="s">
        <v>6137</v>
      </c>
    </row>
    <row r="480" spans="1:6" ht="63.95" customHeight="1">
      <c r="A480" s="76" t="s">
        <v>5976</v>
      </c>
      <c r="B480" s="76" t="s">
        <v>7127</v>
      </c>
      <c r="C480" s="76" t="s">
        <v>7128</v>
      </c>
      <c r="D480" s="76" t="s">
        <v>7129</v>
      </c>
      <c r="E480" s="76" t="s">
        <v>6136</v>
      </c>
      <c r="F480" s="76" t="s">
        <v>6137</v>
      </c>
    </row>
    <row r="481" spans="1:6" ht="63.95" customHeight="1">
      <c r="A481" s="76" t="s">
        <v>5976</v>
      </c>
      <c r="B481" s="76" t="s">
        <v>7130</v>
      </c>
      <c r="C481" s="76"/>
      <c r="D481" s="76" t="s">
        <v>7131</v>
      </c>
      <c r="E481" s="76" t="s">
        <v>6136</v>
      </c>
      <c r="F481" s="76" t="s">
        <v>6137</v>
      </c>
    </row>
    <row r="482" spans="1:6" ht="63.95" customHeight="1">
      <c r="A482" s="76" t="s">
        <v>5976</v>
      </c>
      <c r="B482" s="76" t="s">
        <v>7132</v>
      </c>
      <c r="C482" s="76"/>
      <c r="D482" s="76" t="s">
        <v>7133</v>
      </c>
      <c r="E482" s="76" t="s">
        <v>6136</v>
      </c>
      <c r="F482" s="76" t="s">
        <v>6137</v>
      </c>
    </row>
    <row r="483" spans="1:6" ht="63.95" customHeight="1">
      <c r="A483" s="76" t="s">
        <v>5976</v>
      </c>
      <c r="B483" s="76" t="s">
        <v>7134</v>
      </c>
      <c r="C483" s="76" t="s">
        <v>3443</v>
      </c>
      <c r="D483" s="76" t="s">
        <v>496</v>
      </c>
      <c r="E483" s="76" t="s">
        <v>6442</v>
      </c>
      <c r="F483" s="76" t="s">
        <v>6443</v>
      </c>
    </row>
    <row r="484" spans="1:6" ht="63.95" customHeight="1">
      <c r="A484" s="76" t="s">
        <v>5976</v>
      </c>
      <c r="B484" s="76" t="s">
        <v>7135</v>
      </c>
      <c r="C484" s="76" t="s">
        <v>7136</v>
      </c>
      <c r="D484" s="76" t="s">
        <v>7137</v>
      </c>
      <c r="E484" s="76" t="s">
        <v>6136</v>
      </c>
      <c r="F484" s="76" t="s">
        <v>6137</v>
      </c>
    </row>
    <row r="485" spans="1:6" ht="63.95" customHeight="1">
      <c r="A485" s="76" t="s">
        <v>5976</v>
      </c>
      <c r="B485" s="76" t="s">
        <v>7138</v>
      </c>
      <c r="C485" s="76" t="s">
        <v>142</v>
      </c>
      <c r="D485" s="76" t="s">
        <v>486</v>
      </c>
      <c r="E485" s="76" t="s">
        <v>6448</v>
      </c>
      <c r="F485" s="76" t="s">
        <v>7139</v>
      </c>
    </row>
    <row r="486" spans="1:6" ht="63.95" customHeight="1">
      <c r="A486" s="76" t="s">
        <v>5976</v>
      </c>
      <c r="B486" s="76" t="s">
        <v>7140</v>
      </c>
      <c r="C486" s="76"/>
      <c r="D486" s="76" t="s">
        <v>7141</v>
      </c>
      <c r="E486" s="76" t="s">
        <v>6136</v>
      </c>
      <c r="F486" s="76" t="s">
        <v>6137</v>
      </c>
    </row>
    <row r="487" spans="1:6" ht="63.95" customHeight="1">
      <c r="A487" s="76" t="s">
        <v>5976</v>
      </c>
      <c r="B487" s="76" t="s">
        <v>7142</v>
      </c>
      <c r="C487" s="76"/>
      <c r="D487" s="76" t="s">
        <v>7143</v>
      </c>
      <c r="E487" s="76" t="s">
        <v>6136</v>
      </c>
      <c r="F487" s="76" t="s">
        <v>6137</v>
      </c>
    </row>
    <row r="488" spans="1:6" ht="63.95" customHeight="1">
      <c r="A488" s="76" t="s">
        <v>5976</v>
      </c>
      <c r="B488" s="76" t="s">
        <v>7144</v>
      </c>
      <c r="C488" s="76" t="s">
        <v>3443</v>
      </c>
      <c r="D488" s="76" t="s">
        <v>496</v>
      </c>
      <c r="E488" s="76" t="s">
        <v>6442</v>
      </c>
      <c r="F488" s="76" t="s">
        <v>6443</v>
      </c>
    </row>
    <row r="489" spans="1:6" ht="63.95" customHeight="1">
      <c r="A489" s="76" t="s">
        <v>5976</v>
      </c>
      <c r="B489" s="76" t="s">
        <v>7145</v>
      </c>
      <c r="C489" s="76" t="s">
        <v>7146</v>
      </c>
      <c r="D489" s="76" t="s">
        <v>7147</v>
      </c>
      <c r="E489" s="76" t="s">
        <v>6136</v>
      </c>
      <c r="F489" s="76" t="s">
        <v>6137</v>
      </c>
    </row>
    <row r="490" spans="1:6" ht="63.95" customHeight="1">
      <c r="A490" s="76" t="s">
        <v>5976</v>
      </c>
      <c r="B490" s="76" t="s">
        <v>7148</v>
      </c>
      <c r="C490" s="76" t="s">
        <v>142</v>
      </c>
      <c r="D490" s="76" t="s">
        <v>486</v>
      </c>
      <c r="E490" s="76" t="s">
        <v>6448</v>
      </c>
      <c r="F490" s="76" t="s">
        <v>7149</v>
      </c>
    </row>
    <row r="491" spans="1:6" ht="63.95" customHeight="1">
      <c r="A491" s="76" t="s">
        <v>5976</v>
      </c>
      <c r="B491" s="76" t="s">
        <v>7150</v>
      </c>
      <c r="C491" s="76"/>
      <c r="D491" s="76" t="s">
        <v>7151</v>
      </c>
      <c r="E491" s="76" t="s">
        <v>6136</v>
      </c>
      <c r="F491" s="76" t="s">
        <v>6137</v>
      </c>
    </row>
    <row r="492" spans="1:6" ht="63.95" customHeight="1">
      <c r="A492" s="76" t="s">
        <v>5976</v>
      </c>
      <c r="B492" s="76" t="s">
        <v>7152</v>
      </c>
      <c r="C492" s="76"/>
      <c r="D492" s="76" t="s">
        <v>7153</v>
      </c>
      <c r="E492" s="76" t="s">
        <v>6136</v>
      </c>
      <c r="F492" s="76" t="s">
        <v>6137</v>
      </c>
    </row>
    <row r="493" spans="1:6" ht="63.95" customHeight="1">
      <c r="A493" s="76" t="s">
        <v>5976</v>
      </c>
      <c r="B493" s="76" t="s">
        <v>7154</v>
      </c>
      <c r="C493" s="76" t="s">
        <v>7155</v>
      </c>
      <c r="D493" s="76" t="s">
        <v>7156</v>
      </c>
      <c r="E493" s="76" t="s">
        <v>6136</v>
      </c>
      <c r="F493" s="76" t="s">
        <v>6137</v>
      </c>
    </row>
    <row r="494" spans="1:6" ht="63.95" customHeight="1">
      <c r="A494" s="76" t="s">
        <v>5976</v>
      </c>
      <c r="B494" s="76" t="s">
        <v>7157</v>
      </c>
      <c r="C494" s="76"/>
      <c r="D494" s="76" t="s">
        <v>7158</v>
      </c>
      <c r="E494" s="76" t="s">
        <v>6136</v>
      </c>
      <c r="F494" s="76" t="s">
        <v>6137</v>
      </c>
    </row>
    <row r="495" spans="1:6" ht="63.95" customHeight="1">
      <c r="A495" s="76" t="s">
        <v>5976</v>
      </c>
      <c r="B495" s="76" t="s">
        <v>7159</v>
      </c>
      <c r="C495" s="76"/>
      <c r="D495" s="76" t="s">
        <v>7160</v>
      </c>
      <c r="E495" s="76" t="s">
        <v>6136</v>
      </c>
      <c r="F495" s="76" t="s">
        <v>6137</v>
      </c>
    </row>
    <row r="496" spans="1:6" ht="63.95" customHeight="1">
      <c r="A496" s="76" t="s">
        <v>5976</v>
      </c>
      <c r="B496" s="76" t="s">
        <v>7161</v>
      </c>
      <c r="C496" s="76" t="s">
        <v>7162</v>
      </c>
      <c r="D496" s="76" t="s">
        <v>7163</v>
      </c>
      <c r="E496" s="76" t="s">
        <v>6136</v>
      </c>
      <c r="F496" s="76" t="s">
        <v>6137</v>
      </c>
    </row>
    <row r="497" spans="1:6" ht="63.95" customHeight="1">
      <c r="A497" s="76" t="s">
        <v>5976</v>
      </c>
      <c r="B497" s="76" t="s">
        <v>7164</v>
      </c>
      <c r="C497" s="76"/>
      <c r="D497" s="76" t="s">
        <v>7165</v>
      </c>
      <c r="E497" s="76" t="s">
        <v>6136</v>
      </c>
      <c r="F497" s="76" t="s">
        <v>6137</v>
      </c>
    </row>
    <row r="498" spans="1:6" ht="63.95" customHeight="1">
      <c r="A498" s="76" t="s">
        <v>5976</v>
      </c>
      <c r="B498" s="76" t="s">
        <v>7166</v>
      </c>
      <c r="C498" s="76"/>
      <c r="D498" s="76" t="s">
        <v>7167</v>
      </c>
      <c r="E498" s="76" t="s">
        <v>6136</v>
      </c>
      <c r="F498" s="76" t="s">
        <v>6137</v>
      </c>
    </row>
    <row r="499" spans="1:6" ht="63.95" customHeight="1">
      <c r="A499" s="76" t="s">
        <v>5976</v>
      </c>
      <c r="B499" s="76" t="s">
        <v>7168</v>
      </c>
      <c r="C499" s="76" t="s">
        <v>2983</v>
      </c>
      <c r="D499" s="76" t="s">
        <v>1122</v>
      </c>
      <c r="E499" s="76" t="s">
        <v>6404</v>
      </c>
      <c r="F499" s="76" t="s">
        <v>6405</v>
      </c>
    </row>
    <row r="500" spans="1:6" ht="63.95" customHeight="1">
      <c r="A500" s="76" t="s">
        <v>5976</v>
      </c>
      <c r="B500" s="76" t="s">
        <v>7169</v>
      </c>
      <c r="C500" s="76" t="s">
        <v>3443</v>
      </c>
      <c r="D500" s="76" t="s">
        <v>496</v>
      </c>
      <c r="E500" s="76" t="s">
        <v>6442</v>
      </c>
      <c r="F500" s="76" t="s">
        <v>6443</v>
      </c>
    </row>
    <row r="501" spans="1:6" ht="63.95" customHeight="1">
      <c r="A501" s="76" t="s">
        <v>5976</v>
      </c>
      <c r="B501" s="76" t="s">
        <v>7170</v>
      </c>
      <c r="C501" s="76" t="s">
        <v>7171</v>
      </c>
      <c r="D501" s="76" t="s">
        <v>7172</v>
      </c>
      <c r="E501" s="76" t="s">
        <v>6136</v>
      </c>
      <c r="F501" s="76" t="s">
        <v>6137</v>
      </c>
    </row>
    <row r="502" spans="1:6" ht="63.95" customHeight="1">
      <c r="A502" s="76" t="s">
        <v>5976</v>
      </c>
      <c r="B502" s="76" t="s">
        <v>7173</v>
      </c>
      <c r="C502" s="76" t="s">
        <v>142</v>
      </c>
      <c r="D502" s="76" t="s">
        <v>486</v>
      </c>
      <c r="E502" s="76" t="s">
        <v>6448</v>
      </c>
      <c r="F502" s="76" t="s">
        <v>7174</v>
      </c>
    </row>
    <row r="503" spans="1:6" ht="63.95" customHeight="1">
      <c r="A503" s="76" t="s">
        <v>5976</v>
      </c>
      <c r="B503" s="76" t="s">
        <v>7175</v>
      </c>
      <c r="C503" s="76"/>
      <c r="D503" s="76" t="s">
        <v>7176</v>
      </c>
      <c r="E503" s="76" t="s">
        <v>6136</v>
      </c>
      <c r="F503" s="76" t="s">
        <v>6137</v>
      </c>
    </row>
    <row r="504" spans="1:6" ht="63.95" customHeight="1">
      <c r="A504" s="76" t="s">
        <v>5976</v>
      </c>
      <c r="B504" s="76" t="s">
        <v>7177</v>
      </c>
      <c r="C504" s="76"/>
      <c r="D504" s="76" t="s">
        <v>7178</v>
      </c>
      <c r="E504" s="76" t="s">
        <v>6136</v>
      </c>
      <c r="F504" s="76" t="s">
        <v>6137</v>
      </c>
    </row>
    <row r="505" spans="1:6" ht="63.95" customHeight="1">
      <c r="A505" s="76" t="s">
        <v>5976</v>
      </c>
      <c r="B505" s="76" t="s">
        <v>7179</v>
      </c>
      <c r="C505" s="76" t="s">
        <v>2983</v>
      </c>
      <c r="D505" s="76" t="s">
        <v>1122</v>
      </c>
      <c r="E505" s="76" t="s">
        <v>6404</v>
      </c>
      <c r="F505" s="76" t="s">
        <v>6405</v>
      </c>
    </row>
    <row r="506" spans="1:6" ht="63.95" customHeight="1">
      <c r="A506" s="76" t="s">
        <v>5976</v>
      </c>
      <c r="B506" s="76" t="s">
        <v>7180</v>
      </c>
      <c r="C506" s="76" t="s">
        <v>7181</v>
      </c>
      <c r="D506" s="76" t="s">
        <v>7182</v>
      </c>
      <c r="E506" s="76" t="s">
        <v>6136</v>
      </c>
      <c r="F506" s="76" t="s">
        <v>6137</v>
      </c>
    </row>
    <row r="507" spans="1:6" ht="63.95" customHeight="1">
      <c r="A507" s="76" t="s">
        <v>5976</v>
      </c>
      <c r="B507" s="76" t="s">
        <v>7183</v>
      </c>
      <c r="C507" s="76"/>
      <c r="D507" s="76" t="s">
        <v>7184</v>
      </c>
      <c r="E507" s="76" t="s">
        <v>6136</v>
      </c>
      <c r="F507" s="76" t="s">
        <v>6137</v>
      </c>
    </row>
    <row r="508" spans="1:6" ht="63.95" customHeight="1">
      <c r="A508" s="76" t="s">
        <v>5976</v>
      </c>
      <c r="B508" s="76" t="s">
        <v>7185</v>
      </c>
      <c r="C508" s="76"/>
      <c r="D508" s="76" t="s">
        <v>7186</v>
      </c>
      <c r="E508" s="76" t="s">
        <v>6136</v>
      </c>
      <c r="F508" s="76" t="s">
        <v>6137</v>
      </c>
    </row>
    <row r="509" spans="1:6" ht="63.95" customHeight="1">
      <c r="A509" s="76" t="s">
        <v>5976</v>
      </c>
      <c r="B509" s="76" t="s">
        <v>7187</v>
      </c>
      <c r="C509" s="76" t="s">
        <v>7188</v>
      </c>
      <c r="D509" s="76" t="s">
        <v>1328</v>
      </c>
      <c r="E509" s="76" t="s">
        <v>6439</v>
      </c>
      <c r="F509" s="76" t="s">
        <v>6440</v>
      </c>
    </row>
    <row r="510" spans="1:6" ht="63.95" customHeight="1">
      <c r="A510" s="76" t="s">
        <v>5976</v>
      </c>
      <c r="B510" s="76" t="s">
        <v>7189</v>
      </c>
      <c r="C510" s="76" t="s">
        <v>7190</v>
      </c>
      <c r="D510" s="76" t="s">
        <v>7191</v>
      </c>
      <c r="E510" s="76" t="s">
        <v>6136</v>
      </c>
      <c r="F510" s="76" t="s">
        <v>6137</v>
      </c>
    </row>
    <row r="511" spans="1:6" ht="63.95" customHeight="1">
      <c r="A511" s="76" t="s">
        <v>5976</v>
      </c>
      <c r="B511" s="76" t="s">
        <v>7192</v>
      </c>
      <c r="C511" s="76"/>
      <c r="D511" s="76" t="s">
        <v>7193</v>
      </c>
      <c r="E511" s="76" t="s">
        <v>6136</v>
      </c>
      <c r="F511" s="76" t="s">
        <v>6137</v>
      </c>
    </row>
    <row r="512" spans="1:6" ht="63.95" customHeight="1">
      <c r="A512" s="76" t="s">
        <v>5976</v>
      </c>
      <c r="B512" s="76" t="s">
        <v>7194</v>
      </c>
      <c r="C512" s="76"/>
      <c r="D512" s="76" t="s">
        <v>7195</v>
      </c>
      <c r="E512" s="76" t="s">
        <v>6136</v>
      </c>
      <c r="F512" s="76" t="s">
        <v>6137</v>
      </c>
    </row>
    <row r="513" spans="1:6" ht="63.95" customHeight="1">
      <c r="A513" s="76" t="s">
        <v>5976</v>
      </c>
      <c r="B513" s="76" t="s">
        <v>7196</v>
      </c>
      <c r="C513" s="76" t="s">
        <v>7197</v>
      </c>
      <c r="D513" s="76" t="s">
        <v>7198</v>
      </c>
      <c r="E513" s="76" t="s">
        <v>6136</v>
      </c>
      <c r="F513" s="76" t="s">
        <v>6137</v>
      </c>
    </row>
    <row r="514" spans="1:6" ht="63.95" customHeight="1">
      <c r="A514" s="76" t="s">
        <v>5976</v>
      </c>
      <c r="B514" s="76" t="s">
        <v>7199</v>
      </c>
      <c r="C514" s="76"/>
      <c r="D514" s="76" t="s">
        <v>7200</v>
      </c>
      <c r="E514" s="76" t="s">
        <v>6136</v>
      </c>
      <c r="F514" s="76" t="s">
        <v>6137</v>
      </c>
    </row>
    <row r="515" spans="1:6" ht="63.95" customHeight="1">
      <c r="A515" s="76" t="s">
        <v>5976</v>
      </c>
      <c r="B515" s="76" t="s">
        <v>7201</v>
      </c>
      <c r="C515" s="76"/>
      <c r="D515" s="76" t="s">
        <v>7202</v>
      </c>
      <c r="E515" s="76" t="s">
        <v>6136</v>
      </c>
      <c r="F515" s="76" t="s">
        <v>6137</v>
      </c>
    </row>
    <row r="516" spans="1:6" ht="63.95" customHeight="1">
      <c r="A516" s="76" t="s">
        <v>5976</v>
      </c>
      <c r="B516" s="76" t="s">
        <v>7203</v>
      </c>
      <c r="C516" s="76" t="s">
        <v>7204</v>
      </c>
      <c r="D516" s="76" t="s">
        <v>7205</v>
      </c>
      <c r="E516" s="76" t="s">
        <v>6136</v>
      </c>
      <c r="F516" s="76" t="s">
        <v>6137</v>
      </c>
    </row>
    <row r="517" spans="1:6" ht="63.95" customHeight="1">
      <c r="A517" s="76" t="s">
        <v>5976</v>
      </c>
      <c r="B517" s="76" t="s">
        <v>7206</v>
      </c>
      <c r="C517" s="76"/>
      <c r="D517" s="76" t="s">
        <v>7207</v>
      </c>
      <c r="E517" s="76" t="s">
        <v>6136</v>
      </c>
      <c r="F517" s="76" t="s">
        <v>6137</v>
      </c>
    </row>
    <row r="518" spans="1:6" ht="63.95" customHeight="1">
      <c r="A518" s="76" t="s">
        <v>5976</v>
      </c>
      <c r="B518" s="76" t="s">
        <v>7208</v>
      </c>
      <c r="C518" s="76"/>
      <c r="D518" s="76" t="s">
        <v>7209</v>
      </c>
      <c r="E518" s="76" t="s">
        <v>6136</v>
      </c>
      <c r="F518" s="76" t="s">
        <v>6137</v>
      </c>
    </row>
    <row r="519" spans="1:6" ht="63.95" customHeight="1">
      <c r="A519" s="76" t="s">
        <v>5976</v>
      </c>
      <c r="B519" s="76" t="s">
        <v>7210</v>
      </c>
      <c r="C519" s="76" t="s">
        <v>7211</v>
      </c>
      <c r="D519" s="76" t="s">
        <v>7212</v>
      </c>
      <c r="E519" s="76" t="s">
        <v>6136</v>
      </c>
      <c r="F519" s="76" t="s">
        <v>6137</v>
      </c>
    </row>
    <row r="520" spans="1:6" ht="63.95" customHeight="1">
      <c r="A520" s="76" t="s">
        <v>5976</v>
      </c>
      <c r="B520" s="76" t="s">
        <v>7213</v>
      </c>
      <c r="C520" s="76"/>
      <c r="D520" s="76" t="s">
        <v>7214</v>
      </c>
      <c r="E520" s="76" t="s">
        <v>6136</v>
      </c>
      <c r="F520" s="76" t="s">
        <v>6137</v>
      </c>
    </row>
    <row r="521" spans="1:6" ht="63.95" customHeight="1">
      <c r="A521" s="76" t="s">
        <v>5976</v>
      </c>
      <c r="B521" s="76" t="s">
        <v>7215</v>
      </c>
      <c r="C521" s="76"/>
      <c r="D521" s="76" t="s">
        <v>7216</v>
      </c>
      <c r="E521" s="76" t="s">
        <v>6136</v>
      </c>
      <c r="F521" s="76" t="s">
        <v>6137</v>
      </c>
    </row>
    <row r="522" spans="1:6" ht="63.95" customHeight="1">
      <c r="A522" s="76" t="s">
        <v>5976</v>
      </c>
      <c r="B522" s="76" t="s">
        <v>7217</v>
      </c>
      <c r="C522" s="76" t="s">
        <v>7218</v>
      </c>
      <c r="D522" s="76" t="s">
        <v>1348</v>
      </c>
      <c r="E522" s="76" t="s">
        <v>6404</v>
      </c>
      <c r="F522" s="76" t="s">
        <v>6405</v>
      </c>
    </row>
    <row r="523" spans="1:6" ht="63.95" customHeight="1">
      <c r="A523" s="76" t="s">
        <v>5976</v>
      </c>
      <c r="B523" s="76" t="s">
        <v>7219</v>
      </c>
      <c r="C523" s="76" t="s">
        <v>7220</v>
      </c>
      <c r="D523" s="76" t="s">
        <v>7221</v>
      </c>
      <c r="E523" s="76" t="s">
        <v>6136</v>
      </c>
      <c r="F523" s="76" t="s">
        <v>6137</v>
      </c>
    </row>
    <row r="524" spans="1:6" ht="63.95" customHeight="1">
      <c r="A524" s="76" t="s">
        <v>5976</v>
      </c>
      <c r="B524" s="76" t="s">
        <v>7222</v>
      </c>
      <c r="C524" s="76"/>
      <c r="D524" s="76" t="s">
        <v>7223</v>
      </c>
      <c r="E524" s="76" t="s">
        <v>6136</v>
      </c>
      <c r="F524" s="76" t="s">
        <v>6137</v>
      </c>
    </row>
    <row r="525" spans="1:6" ht="63.95" customHeight="1">
      <c r="A525" s="76" t="s">
        <v>5976</v>
      </c>
      <c r="B525" s="76" t="s">
        <v>7224</v>
      </c>
      <c r="C525" s="76"/>
      <c r="D525" s="76" t="s">
        <v>7225</v>
      </c>
      <c r="E525" s="76" t="s">
        <v>6136</v>
      </c>
      <c r="F525" s="76" t="s">
        <v>6137</v>
      </c>
    </row>
    <row r="526" spans="1:6" ht="63.95" customHeight="1">
      <c r="A526" s="76" t="s">
        <v>5976</v>
      </c>
      <c r="B526" s="76" t="s">
        <v>7226</v>
      </c>
      <c r="C526" s="76" t="s">
        <v>7227</v>
      </c>
      <c r="D526" s="76" t="s">
        <v>1355</v>
      </c>
      <c r="E526" s="76" t="s">
        <v>6404</v>
      </c>
      <c r="F526" s="76" t="s">
        <v>6405</v>
      </c>
    </row>
    <row r="527" spans="1:6" ht="63.95" customHeight="1">
      <c r="A527" s="76" t="s">
        <v>5976</v>
      </c>
      <c r="B527" s="76" t="s">
        <v>7228</v>
      </c>
      <c r="C527" s="76" t="s">
        <v>7229</v>
      </c>
      <c r="D527" s="76" t="s">
        <v>7230</v>
      </c>
      <c r="E527" s="76" t="s">
        <v>6136</v>
      </c>
      <c r="F527" s="76" t="s">
        <v>6137</v>
      </c>
    </row>
    <row r="528" spans="1:6" ht="63.95" customHeight="1">
      <c r="A528" s="76" t="s">
        <v>5976</v>
      </c>
      <c r="B528" s="76" t="s">
        <v>7231</v>
      </c>
      <c r="C528" s="76"/>
      <c r="D528" s="76" t="s">
        <v>7232</v>
      </c>
      <c r="E528" s="76" t="s">
        <v>6136</v>
      </c>
      <c r="F528" s="76" t="s">
        <v>6137</v>
      </c>
    </row>
    <row r="529" spans="1:6" ht="63.95" customHeight="1">
      <c r="A529" s="76" t="s">
        <v>5976</v>
      </c>
      <c r="B529" s="76" t="s">
        <v>7233</v>
      </c>
      <c r="C529" s="76"/>
      <c r="D529" s="76" t="s">
        <v>7234</v>
      </c>
      <c r="E529" s="76" t="s">
        <v>6136</v>
      </c>
      <c r="F529" s="76" t="s">
        <v>6137</v>
      </c>
    </row>
    <row r="530" spans="1:6" ht="63.95" customHeight="1">
      <c r="A530" s="76" t="s">
        <v>5976</v>
      </c>
      <c r="B530" s="76" t="s">
        <v>7235</v>
      </c>
      <c r="C530" s="76" t="s">
        <v>7236</v>
      </c>
      <c r="D530" s="76" t="s">
        <v>1364</v>
      </c>
      <c r="E530" s="76" t="s">
        <v>6404</v>
      </c>
      <c r="F530" s="76" t="s">
        <v>6405</v>
      </c>
    </row>
    <row r="531" spans="1:6" ht="63.95" customHeight="1">
      <c r="A531" s="76" t="s">
        <v>5976</v>
      </c>
      <c r="B531" s="76" t="s">
        <v>7237</v>
      </c>
      <c r="C531" s="76" t="s">
        <v>7238</v>
      </c>
      <c r="D531" s="76" t="s">
        <v>7239</v>
      </c>
      <c r="E531" s="76" t="s">
        <v>6136</v>
      </c>
      <c r="F531" s="76" t="s">
        <v>6137</v>
      </c>
    </row>
    <row r="532" spans="1:6" ht="63.95" customHeight="1">
      <c r="A532" s="76" t="s">
        <v>5976</v>
      </c>
      <c r="B532" s="76" t="s">
        <v>7240</v>
      </c>
      <c r="C532" s="76"/>
      <c r="D532" s="76" t="s">
        <v>7241</v>
      </c>
      <c r="E532" s="76" t="s">
        <v>6136</v>
      </c>
      <c r="F532" s="76" t="s">
        <v>6137</v>
      </c>
    </row>
    <row r="533" spans="1:6" ht="63.95" customHeight="1">
      <c r="A533" s="76" t="s">
        <v>5976</v>
      </c>
      <c r="B533" s="76" t="s">
        <v>7242</v>
      </c>
      <c r="C533" s="76"/>
      <c r="D533" s="76" t="s">
        <v>7243</v>
      </c>
      <c r="E533" s="76" t="s">
        <v>6136</v>
      </c>
      <c r="F533" s="76" t="s">
        <v>6137</v>
      </c>
    </row>
    <row r="534" spans="1:6" ht="63.95" customHeight="1">
      <c r="A534" s="76" t="s">
        <v>5976</v>
      </c>
      <c r="B534" s="76" t="s">
        <v>7244</v>
      </c>
      <c r="C534" s="76" t="s">
        <v>7245</v>
      </c>
      <c r="D534" s="76" t="s">
        <v>1374</v>
      </c>
      <c r="E534" s="76" t="s">
        <v>6404</v>
      </c>
      <c r="F534" s="76" t="s">
        <v>6405</v>
      </c>
    </row>
    <row r="535" spans="1:6" ht="63.95" customHeight="1">
      <c r="A535" s="76" t="s">
        <v>5976</v>
      </c>
      <c r="B535" s="76" t="s">
        <v>7246</v>
      </c>
      <c r="C535" s="76" t="s">
        <v>7247</v>
      </c>
      <c r="D535" s="76" t="s">
        <v>7248</v>
      </c>
      <c r="E535" s="76" t="s">
        <v>6136</v>
      </c>
      <c r="F535" s="76" t="s">
        <v>6137</v>
      </c>
    </row>
    <row r="536" spans="1:6" ht="63.95" customHeight="1">
      <c r="A536" s="76" t="s">
        <v>5976</v>
      </c>
      <c r="B536" s="76" t="s">
        <v>7249</v>
      </c>
      <c r="C536" s="76"/>
      <c r="D536" s="76" t="s">
        <v>7250</v>
      </c>
      <c r="E536" s="76" t="s">
        <v>6136</v>
      </c>
      <c r="F536" s="76" t="s">
        <v>6137</v>
      </c>
    </row>
    <row r="537" spans="1:6" ht="63.95" customHeight="1">
      <c r="A537" s="76" t="s">
        <v>5976</v>
      </c>
      <c r="B537" s="76" t="s">
        <v>7251</v>
      </c>
      <c r="C537" s="76"/>
      <c r="D537" s="76" t="s">
        <v>7252</v>
      </c>
      <c r="E537" s="76" t="s">
        <v>6136</v>
      </c>
      <c r="F537" s="76" t="s">
        <v>6137</v>
      </c>
    </row>
    <row r="538" spans="1:6" ht="63.95" customHeight="1">
      <c r="A538" s="76" t="s">
        <v>5976</v>
      </c>
      <c r="B538" s="76" t="s">
        <v>7253</v>
      </c>
      <c r="C538" s="76" t="s">
        <v>7254</v>
      </c>
      <c r="D538" s="76" t="s">
        <v>1383</v>
      </c>
      <c r="E538" s="76" t="s">
        <v>6404</v>
      </c>
      <c r="F538" s="76" t="s">
        <v>6405</v>
      </c>
    </row>
    <row r="539" spans="1:6" ht="63.95" customHeight="1">
      <c r="A539" s="76" t="s">
        <v>5976</v>
      </c>
      <c r="B539" s="76" t="s">
        <v>7255</v>
      </c>
      <c r="C539" s="76" t="s">
        <v>7256</v>
      </c>
      <c r="D539" s="76" t="s">
        <v>7257</v>
      </c>
      <c r="E539" s="76" t="s">
        <v>6136</v>
      </c>
      <c r="F539" s="76" t="s">
        <v>6137</v>
      </c>
    </row>
    <row r="540" spans="1:6" ht="63.95" customHeight="1">
      <c r="A540" s="76" t="s">
        <v>5976</v>
      </c>
      <c r="B540" s="76" t="s">
        <v>7258</v>
      </c>
      <c r="C540" s="76"/>
      <c r="D540" s="76" t="s">
        <v>7259</v>
      </c>
      <c r="E540" s="76" t="s">
        <v>6136</v>
      </c>
      <c r="F540" s="76" t="s">
        <v>6137</v>
      </c>
    </row>
    <row r="541" spans="1:6" ht="63.95" customHeight="1">
      <c r="A541" s="76" t="s">
        <v>5976</v>
      </c>
      <c r="B541" s="76" t="s">
        <v>7260</v>
      </c>
      <c r="C541" s="76"/>
      <c r="D541" s="76" t="s">
        <v>7261</v>
      </c>
      <c r="E541" s="76" t="s">
        <v>6136</v>
      </c>
      <c r="F541" s="76" t="s">
        <v>6137</v>
      </c>
    </row>
    <row r="542" spans="1:6" ht="63.95" customHeight="1">
      <c r="A542" s="76" t="s">
        <v>5976</v>
      </c>
      <c r="B542" s="76" t="s">
        <v>7262</v>
      </c>
      <c r="C542" s="76" t="s">
        <v>7263</v>
      </c>
      <c r="D542" s="76" t="s">
        <v>1390</v>
      </c>
      <c r="E542" s="76" t="s">
        <v>6404</v>
      </c>
      <c r="F542" s="76" t="s">
        <v>6405</v>
      </c>
    </row>
    <row r="543" spans="1:6" ht="63.95" customHeight="1">
      <c r="A543" s="76" t="s">
        <v>5976</v>
      </c>
      <c r="B543" s="76" t="s">
        <v>7264</v>
      </c>
      <c r="C543" s="76" t="s">
        <v>7265</v>
      </c>
      <c r="D543" s="76" t="s">
        <v>7266</v>
      </c>
      <c r="E543" s="76" t="s">
        <v>6136</v>
      </c>
      <c r="F543" s="76" t="s">
        <v>6137</v>
      </c>
    </row>
    <row r="544" spans="1:6" ht="63.95" customHeight="1">
      <c r="A544" s="76" t="s">
        <v>5976</v>
      </c>
      <c r="B544" s="76" t="s">
        <v>7267</v>
      </c>
      <c r="C544" s="76"/>
      <c r="D544" s="76" t="s">
        <v>7268</v>
      </c>
      <c r="E544" s="76" t="s">
        <v>6136</v>
      </c>
      <c r="F544" s="76" t="s">
        <v>6137</v>
      </c>
    </row>
    <row r="545" spans="1:6" ht="63.95" customHeight="1">
      <c r="A545" s="76" t="s">
        <v>5976</v>
      </c>
      <c r="B545" s="76" t="s">
        <v>7269</v>
      </c>
      <c r="C545" s="76"/>
      <c r="D545" s="76" t="s">
        <v>7270</v>
      </c>
      <c r="E545" s="76" t="s">
        <v>6136</v>
      </c>
      <c r="F545" s="76" t="s">
        <v>6137</v>
      </c>
    </row>
    <row r="546" spans="1:6" ht="63.95" customHeight="1">
      <c r="A546" s="76" t="s">
        <v>5976</v>
      </c>
      <c r="B546" s="76" t="s">
        <v>7271</v>
      </c>
      <c r="C546" s="76" t="s">
        <v>7272</v>
      </c>
      <c r="D546" s="76" t="s">
        <v>7273</v>
      </c>
      <c r="E546" s="76" t="s">
        <v>6136</v>
      </c>
      <c r="F546" s="76" t="s">
        <v>6137</v>
      </c>
    </row>
    <row r="547" spans="1:6" ht="63.95" customHeight="1">
      <c r="A547" s="76" t="s">
        <v>5976</v>
      </c>
      <c r="B547" s="76" t="s">
        <v>7274</v>
      </c>
      <c r="C547" s="76"/>
      <c r="D547" s="76" t="s">
        <v>7275</v>
      </c>
      <c r="E547" s="76" t="s">
        <v>6136</v>
      </c>
      <c r="F547" s="76" t="s">
        <v>6137</v>
      </c>
    </row>
    <row r="548" spans="1:6" ht="63.95" customHeight="1">
      <c r="A548" s="76" t="s">
        <v>5976</v>
      </c>
      <c r="B548" s="76" t="s">
        <v>7276</v>
      </c>
      <c r="C548" s="76"/>
      <c r="D548" s="76" t="s">
        <v>7277</v>
      </c>
      <c r="E548" s="76" t="s">
        <v>6136</v>
      </c>
      <c r="F548" s="76" t="s">
        <v>6137</v>
      </c>
    </row>
    <row r="549" spans="1:6" ht="63.95" customHeight="1">
      <c r="A549" s="76" t="s">
        <v>5976</v>
      </c>
      <c r="B549" s="76" t="s">
        <v>7278</v>
      </c>
      <c r="C549" s="76" t="s">
        <v>7279</v>
      </c>
      <c r="D549" s="76" t="s">
        <v>7280</v>
      </c>
      <c r="E549" s="76" t="s">
        <v>6136</v>
      </c>
      <c r="F549" s="76" t="s">
        <v>6137</v>
      </c>
    </row>
    <row r="550" spans="1:6" ht="63.95" customHeight="1">
      <c r="A550" s="76" t="s">
        <v>5976</v>
      </c>
      <c r="B550" s="76" t="s">
        <v>7281</v>
      </c>
      <c r="C550" s="76"/>
      <c r="D550" s="76" t="s">
        <v>7282</v>
      </c>
      <c r="E550" s="76" t="s">
        <v>6136</v>
      </c>
      <c r="F550" s="76" t="s">
        <v>6137</v>
      </c>
    </row>
    <row r="551" spans="1:6" ht="63.95" customHeight="1">
      <c r="A551" s="76" t="s">
        <v>5976</v>
      </c>
      <c r="B551" s="76" t="s">
        <v>7283</v>
      </c>
      <c r="C551" s="76"/>
      <c r="D551" s="76" t="s">
        <v>7284</v>
      </c>
      <c r="E551" s="76" t="s">
        <v>6136</v>
      </c>
      <c r="F551" s="76" t="s">
        <v>6137</v>
      </c>
    </row>
    <row r="552" spans="1:6" ht="63.95" customHeight="1">
      <c r="A552" s="76" t="s">
        <v>5976</v>
      </c>
      <c r="B552" s="76" t="s">
        <v>7285</v>
      </c>
      <c r="C552" s="76" t="s">
        <v>7286</v>
      </c>
      <c r="D552" s="76" t="s">
        <v>7287</v>
      </c>
      <c r="E552" s="76" t="s">
        <v>6136</v>
      </c>
      <c r="F552" s="76" t="s">
        <v>6137</v>
      </c>
    </row>
    <row r="553" spans="1:6" ht="63.95" customHeight="1">
      <c r="A553" s="76" t="s">
        <v>5976</v>
      </c>
      <c r="B553" s="76" t="s">
        <v>7288</v>
      </c>
      <c r="C553" s="76"/>
      <c r="D553" s="76" t="s">
        <v>7289</v>
      </c>
      <c r="E553" s="76" t="s">
        <v>6136</v>
      </c>
      <c r="F553" s="76" t="s">
        <v>6137</v>
      </c>
    </row>
    <row r="554" spans="1:6" ht="63.95" customHeight="1">
      <c r="A554" s="76" t="s">
        <v>5976</v>
      </c>
      <c r="B554" s="76" t="s">
        <v>7290</v>
      </c>
      <c r="C554" s="76"/>
      <c r="D554" s="76" t="s">
        <v>7291</v>
      </c>
      <c r="E554" s="76" t="s">
        <v>6136</v>
      </c>
      <c r="F554" s="76" t="s">
        <v>6137</v>
      </c>
    </row>
    <row r="555" spans="1:6" ht="63.95" customHeight="1">
      <c r="A555" s="76" t="s">
        <v>5976</v>
      </c>
      <c r="B555" s="76" t="s">
        <v>7292</v>
      </c>
      <c r="C555" s="76" t="s">
        <v>7293</v>
      </c>
      <c r="D555" s="76" t="s">
        <v>7294</v>
      </c>
      <c r="E555" s="76" t="s">
        <v>6136</v>
      </c>
      <c r="F555" s="76" t="s">
        <v>6137</v>
      </c>
    </row>
    <row r="556" spans="1:6" ht="63.95" customHeight="1">
      <c r="A556" s="76" t="s">
        <v>5976</v>
      </c>
      <c r="B556" s="76" t="s">
        <v>7295</v>
      </c>
      <c r="C556" s="76"/>
      <c r="D556" s="76" t="s">
        <v>7296</v>
      </c>
      <c r="E556" s="76" t="s">
        <v>6136</v>
      </c>
      <c r="F556" s="76" t="s">
        <v>6137</v>
      </c>
    </row>
    <row r="557" spans="1:6" ht="63.95" customHeight="1">
      <c r="A557" s="76" t="s">
        <v>5976</v>
      </c>
      <c r="B557" s="76" t="s">
        <v>7297</v>
      </c>
      <c r="C557" s="76"/>
      <c r="D557" s="76" t="s">
        <v>7298</v>
      </c>
      <c r="E557" s="76" t="s">
        <v>6136</v>
      </c>
      <c r="F557" s="76" t="s">
        <v>6137</v>
      </c>
    </row>
    <row r="558" spans="1:6" ht="63.95" customHeight="1">
      <c r="A558" s="76" t="s">
        <v>5976</v>
      </c>
      <c r="B558" s="76" t="s">
        <v>7299</v>
      </c>
      <c r="C558" s="76" t="s">
        <v>7300</v>
      </c>
      <c r="D558" s="76" t="s">
        <v>7301</v>
      </c>
      <c r="E558" s="76" t="s">
        <v>6136</v>
      </c>
      <c r="F558" s="76" t="s">
        <v>6137</v>
      </c>
    </row>
    <row r="559" spans="1:6" ht="63.95" customHeight="1">
      <c r="A559" s="76" t="s">
        <v>5976</v>
      </c>
      <c r="B559" s="76" t="s">
        <v>7302</v>
      </c>
      <c r="C559" s="76"/>
      <c r="D559" s="76" t="s">
        <v>7303</v>
      </c>
      <c r="E559" s="76" t="s">
        <v>6136</v>
      </c>
      <c r="F559" s="76" t="s">
        <v>6137</v>
      </c>
    </row>
    <row r="560" spans="1:6" ht="63.95" customHeight="1">
      <c r="A560" s="76" t="s">
        <v>5976</v>
      </c>
      <c r="B560" s="76" t="s">
        <v>7304</v>
      </c>
      <c r="C560" s="76"/>
      <c r="D560" s="76" t="s">
        <v>7305</v>
      </c>
      <c r="E560" s="76" t="s">
        <v>6136</v>
      </c>
      <c r="F560" s="76" t="s">
        <v>6137</v>
      </c>
    </row>
    <row r="561" spans="1:6" ht="63.95" customHeight="1">
      <c r="A561" s="76" t="s">
        <v>5976</v>
      </c>
      <c r="B561" s="76" t="s">
        <v>7306</v>
      </c>
      <c r="C561" s="76" t="s">
        <v>3443</v>
      </c>
      <c r="D561" s="76" t="s">
        <v>496</v>
      </c>
      <c r="E561" s="76" t="s">
        <v>6442</v>
      </c>
      <c r="F561" s="76" t="s">
        <v>6443</v>
      </c>
    </row>
    <row r="562" spans="1:6" ht="63.95" customHeight="1">
      <c r="A562" s="76" t="s">
        <v>5976</v>
      </c>
      <c r="B562" s="76" t="s">
        <v>7307</v>
      </c>
      <c r="C562" s="76" t="s">
        <v>7308</v>
      </c>
      <c r="D562" s="76" t="s">
        <v>7309</v>
      </c>
      <c r="E562" s="76" t="s">
        <v>6136</v>
      </c>
      <c r="F562" s="76" t="s">
        <v>6137</v>
      </c>
    </row>
    <row r="563" spans="1:6" ht="63.95" customHeight="1">
      <c r="A563" s="76" t="s">
        <v>5976</v>
      </c>
      <c r="B563" s="76" t="s">
        <v>7310</v>
      </c>
      <c r="C563" s="76" t="s">
        <v>142</v>
      </c>
      <c r="D563" s="76" t="s">
        <v>486</v>
      </c>
      <c r="E563" s="76" t="s">
        <v>6448</v>
      </c>
      <c r="F563" s="76" t="s">
        <v>7311</v>
      </c>
    </row>
    <row r="564" spans="1:6" ht="63.95" customHeight="1">
      <c r="A564" s="76" t="s">
        <v>5976</v>
      </c>
      <c r="B564" s="76" t="s">
        <v>7312</v>
      </c>
      <c r="C564" s="76"/>
      <c r="D564" s="76" t="s">
        <v>7313</v>
      </c>
      <c r="E564" s="76" t="s">
        <v>6136</v>
      </c>
      <c r="F564" s="76" t="s">
        <v>6137</v>
      </c>
    </row>
    <row r="565" spans="1:6" ht="63.95" customHeight="1">
      <c r="A565" s="76" t="s">
        <v>5976</v>
      </c>
      <c r="B565" s="76" t="s">
        <v>7314</v>
      </c>
      <c r="C565" s="76"/>
      <c r="D565" s="76" t="s">
        <v>7315</v>
      </c>
      <c r="E565" s="76" t="s">
        <v>6136</v>
      </c>
      <c r="F565" s="76" t="s">
        <v>6137</v>
      </c>
    </row>
    <row r="566" spans="1:6" ht="63.95" customHeight="1">
      <c r="A566" s="76" t="s">
        <v>5976</v>
      </c>
      <c r="B566" s="76" t="s">
        <v>7316</v>
      </c>
      <c r="C566" s="76" t="s">
        <v>7317</v>
      </c>
      <c r="D566" s="76" t="s">
        <v>7318</v>
      </c>
      <c r="E566" s="76" t="s">
        <v>6136</v>
      </c>
      <c r="F566" s="76" t="s">
        <v>6137</v>
      </c>
    </row>
    <row r="567" spans="1:6" ht="63.95" customHeight="1">
      <c r="A567" s="76" t="s">
        <v>5976</v>
      </c>
      <c r="B567" s="76" t="s">
        <v>7319</v>
      </c>
      <c r="C567" s="76"/>
      <c r="D567" s="76" t="s">
        <v>7320</v>
      </c>
      <c r="E567" s="76" t="s">
        <v>6136</v>
      </c>
      <c r="F567" s="76" t="s">
        <v>6137</v>
      </c>
    </row>
    <row r="568" spans="1:6" ht="63.95" customHeight="1">
      <c r="A568" s="76" t="s">
        <v>5976</v>
      </c>
      <c r="B568" s="76" t="s">
        <v>7321</v>
      </c>
      <c r="C568" s="76"/>
      <c r="D568" s="76" t="s">
        <v>7322</v>
      </c>
      <c r="E568" s="76" t="s">
        <v>6136</v>
      </c>
      <c r="F568" s="76" t="s">
        <v>6137</v>
      </c>
    </row>
    <row r="569" spans="1:6" ht="63.95" customHeight="1">
      <c r="A569" s="76" t="s">
        <v>5976</v>
      </c>
      <c r="B569" s="76" t="s">
        <v>7323</v>
      </c>
      <c r="C569" s="76" t="s">
        <v>7324</v>
      </c>
      <c r="D569" s="76" t="s">
        <v>1474</v>
      </c>
      <c r="E569" s="76" t="s">
        <v>6439</v>
      </c>
      <c r="F569" s="76" t="s">
        <v>6440</v>
      </c>
    </row>
    <row r="570" spans="1:6" ht="63.95" customHeight="1">
      <c r="A570" s="76" t="s">
        <v>5976</v>
      </c>
      <c r="B570" s="76" t="s">
        <v>7325</v>
      </c>
      <c r="C570" s="76" t="s">
        <v>7326</v>
      </c>
      <c r="D570" s="76" t="s">
        <v>7327</v>
      </c>
      <c r="E570" s="76" t="s">
        <v>6136</v>
      </c>
      <c r="F570" s="76" t="s">
        <v>6137</v>
      </c>
    </row>
    <row r="571" spans="1:6" ht="63.95" customHeight="1">
      <c r="A571" s="76" t="s">
        <v>5976</v>
      </c>
      <c r="B571" s="76" t="s">
        <v>7328</v>
      </c>
      <c r="C571" s="76"/>
      <c r="D571" s="76" t="s">
        <v>7329</v>
      </c>
      <c r="E571" s="76" t="s">
        <v>6136</v>
      </c>
      <c r="F571" s="76" t="s">
        <v>6137</v>
      </c>
    </row>
    <row r="572" spans="1:6" ht="63.95" customHeight="1">
      <c r="A572" s="76" t="s">
        <v>5976</v>
      </c>
      <c r="B572" s="76" t="s">
        <v>7330</v>
      </c>
      <c r="C572" s="76"/>
      <c r="D572" s="76" t="s">
        <v>7331</v>
      </c>
      <c r="E572" s="76" t="s">
        <v>6136</v>
      </c>
      <c r="F572" s="76" t="s">
        <v>6137</v>
      </c>
    </row>
    <row r="573" spans="1:6" ht="63.95" customHeight="1">
      <c r="A573" s="76" t="s">
        <v>5976</v>
      </c>
      <c r="B573" s="76" t="s">
        <v>7332</v>
      </c>
      <c r="C573" s="76" t="s">
        <v>7333</v>
      </c>
      <c r="D573" s="76" t="s">
        <v>7334</v>
      </c>
      <c r="E573" s="76" t="s">
        <v>6136</v>
      </c>
      <c r="F573" s="76" t="s">
        <v>6137</v>
      </c>
    </row>
    <row r="574" spans="1:6" ht="63.95" customHeight="1">
      <c r="A574" s="76" t="s">
        <v>5976</v>
      </c>
      <c r="B574" s="76" t="s">
        <v>7335</v>
      </c>
      <c r="C574" s="76"/>
      <c r="D574" s="76" t="s">
        <v>7336</v>
      </c>
      <c r="E574" s="76" t="s">
        <v>6136</v>
      </c>
      <c r="F574" s="76" t="s">
        <v>6137</v>
      </c>
    </row>
    <row r="575" spans="1:6" ht="63.95" customHeight="1">
      <c r="A575" s="76" t="s">
        <v>5976</v>
      </c>
      <c r="B575" s="76" t="s">
        <v>7337</v>
      </c>
      <c r="C575" s="76"/>
      <c r="D575" s="76" t="s">
        <v>7338</v>
      </c>
      <c r="E575" s="76" t="s">
        <v>6136</v>
      </c>
      <c r="F575" s="76" t="s">
        <v>6137</v>
      </c>
    </row>
    <row r="576" spans="1:6" ht="63.95" customHeight="1">
      <c r="A576" s="76" t="s">
        <v>5976</v>
      </c>
      <c r="B576" s="76" t="s">
        <v>7339</v>
      </c>
      <c r="C576" s="76" t="s">
        <v>7340</v>
      </c>
      <c r="D576" s="76" t="s">
        <v>7341</v>
      </c>
      <c r="E576" s="76" t="s">
        <v>6136</v>
      </c>
      <c r="F576" s="76" t="s">
        <v>6137</v>
      </c>
    </row>
    <row r="577" spans="1:6" ht="63.95" customHeight="1">
      <c r="A577" s="76" t="s">
        <v>5976</v>
      </c>
      <c r="B577" s="76" t="s">
        <v>7342</v>
      </c>
      <c r="C577" s="76"/>
      <c r="D577" s="76" t="s">
        <v>7343</v>
      </c>
      <c r="E577" s="76" t="s">
        <v>6136</v>
      </c>
      <c r="F577" s="76" t="s">
        <v>6137</v>
      </c>
    </row>
    <row r="578" spans="1:6" ht="63.95" customHeight="1">
      <c r="A578" s="76" t="s">
        <v>5976</v>
      </c>
      <c r="B578" s="76" t="s">
        <v>7344</v>
      </c>
      <c r="C578" s="76"/>
      <c r="D578" s="76" t="s">
        <v>7345</v>
      </c>
      <c r="E578" s="76" t="s">
        <v>6136</v>
      </c>
      <c r="F578" s="76" t="s">
        <v>6137</v>
      </c>
    </row>
    <row r="579" spans="1:6" ht="63.95" customHeight="1">
      <c r="A579" s="76" t="s">
        <v>5976</v>
      </c>
      <c r="B579" s="76" t="s">
        <v>7346</v>
      </c>
      <c r="C579" s="76" t="s">
        <v>7347</v>
      </c>
      <c r="D579" s="76" t="s">
        <v>7348</v>
      </c>
      <c r="E579" s="76" t="s">
        <v>6136</v>
      </c>
      <c r="F579" s="76" t="s">
        <v>6137</v>
      </c>
    </row>
    <row r="580" spans="1:6" ht="63.95" customHeight="1">
      <c r="A580" s="76" t="s">
        <v>5976</v>
      </c>
      <c r="B580" s="76" t="s">
        <v>7349</v>
      </c>
      <c r="C580" s="76"/>
      <c r="D580" s="76" t="s">
        <v>7350</v>
      </c>
      <c r="E580" s="76" t="s">
        <v>6136</v>
      </c>
      <c r="F580" s="76" t="s">
        <v>6137</v>
      </c>
    </row>
    <row r="581" spans="1:6" ht="63.95" customHeight="1">
      <c r="A581" s="76" t="s">
        <v>5976</v>
      </c>
      <c r="B581" s="76" t="s">
        <v>7351</v>
      </c>
      <c r="C581" s="76"/>
      <c r="D581" s="76" t="s">
        <v>7352</v>
      </c>
      <c r="E581" s="76" t="s">
        <v>6136</v>
      </c>
      <c r="F581" s="76" t="s">
        <v>6137</v>
      </c>
    </row>
    <row r="582" spans="1:6" ht="63.95" customHeight="1">
      <c r="A582" s="76" t="s">
        <v>5976</v>
      </c>
      <c r="B582" s="76" t="s">
        <v>7353</v>
      </c>
      <c r="C582" s="76" t="s">
        <v>7354</v>
      </c>
      <c r="D582" s="76" t="s">
        <v>7355</v>
      </c>
      <c r="E582" s="76" t="s">
        <v>6136</v>
      </c>
      <c r="F582" s="76" t="s">
        <v>6137</v>
      </c>
    </row>
    <row r="583" spans="1:6" ht="63.95" customHeight="1">
      <c r="A583" s="76" t="s">
        <v>5976</v>
      </c>
      <c r="B583" s="76" t="s">
        <v>7356</v>
      </c>
      <c r="C583" s="76"/>
      <c r="D583" s="76" t="s">
        <v>7357</v>
      </c>
      <c r="E583" s="76" t="s">
        <v>6136</v>
      </c>
      <c r="F583" s="76" t="s">
        <v>6137</v>
      </c>
    </row>
    <row r="584" spans="1:6" ht="63.95" customHeight="1">
      <c r="A584" s="76" t="s">
        <v>5976</v>
      </c>
      <c r="B584" s="76" t="s">
        <v>7358</v>
      </c>
      <c r="C584" s="76"/>
      <c r="D584" s="76" t="s">
        <v>7359</v>
      </c>
      <c r="E584" s="76" t="s">
        <v>6136</v>
      </c>
      <c r="F584" s="76" t="s">
        <v>6137</v>
      </c>
    </row>
    <row r="585" spans="1:6" ht="63.95" customHeight="1">
      <c r="A585" s="76" t="s">
        <v>5976</v>
      </c>
      <c r="B585" s="76" t="s">
        <v>7360</v>
      </c>
      <c r="C585" s="76" t="s">
        <v>7361</v>
      </c>
      <c r="D585" s="76" t="s">
        <v>7362</v>
      </c>
      <c r="E585" s="76" t="s">
        <v>6136</v>
      </c>
      <c r="F585" s="76" t="s">
        <v>6137</v>
      </c>
    </row>
    <row r="586" spans="1:6" ht="63.95" customHeight="1">
      <c r="A586" s="76" t="s">
        <v>5976</v>
      </c>
      <c r="B586" s="76" t="s">
        <v>7363</v>
      </c>
      <c r="C586" s="76"/>
      <c r="D586" s="76" t="s">
        <v>7364</v>
      </c>
      <c r="E586" s="76" t="s">
        <v>6136</v>
      </c>
      <c r="F586" s="76" t="s">
        <v>6137</v>
      </c>
    </row>
    <row r="587" spans="1:6" ht="63.95" customHeight="1">
      <c r="A587" s="76" t="s">
        <v>5976</v>
      </c>
      <c r="B587" s="76" t="s">
        <v>7365</v>
      </c>
      <c r="C587" s="76"/>
      <c r="D587" s="76" t="s">
        <v>7366</v>
      </c>
      <c r="E587" s="76" t="s">
        <v>6136</v>
      </c>
      <c r="F587" s="76" t="s">
        <v>6137</v>
      </c>
    </row>
    <row r="588" spans="1:6" ht="63.95" customHeight="1">
      <c r="A588" s="76" t="s">
        <v>5976</v>
      </c>
      <c r="B588" s="76" t="s">
        <v>7367</v>
      </c>
      <c r="C588" s="76" t="s">
        <v>7368</v>
      </c>
      <c r="D588" s="76" t="s">
        <v>1521</v>
      </c>
      <c r="E588" s="76" t="s">
        <v>6439</v>
      </c>
      <c r="F588" s="76" t="s">
        <v>6440</v>
      </c>
    </row>
    <row r="589" spans="1:6" ht="63.95" customHeight="1">
      <c r="A589" s="76" t="s">
        <v>5976</v>
      </c>
      <c r="B589" s="76" t="s">
        <v>7369</v>
      </c>
      <c r="C589" s="76" t="s">
        <v>7370</v>
      </c>
      <c r="D589" s="76" t="s">
        <v>7371</v>
      </c>
      <c r="E589" s="76" t="s">
        <v>6136</v>
      </c>
      <c r="F589" s="76" t="s">
        <v>6137</v>
      </c>
    </row>
    <row r="590" spans="1:6" ht="63.95" customHeight="1">
      <c r="A590" s="76" t="s">
        <v>5976</v>
      </c>
      <c r="B590" s="76" t="s">
        <v>7372</v>
      </c>
      <c r="C590" s="76"/>
      <c r="D590" s="76" t="s">
        <v>7373</v>
      </c>
      <c r="E590" s="76" t="s">
        <v>6136</v>
      </c>
      <c r="F590" s="76" t="s">
        <v>6137</v>
      </c>
    </row>
    <row r="591" spans="1:6" ht="63.95" customHeight="1">
      <c r="A591" s="76" t="s">
        <v>5976</v>
      </c>
      <c r="B591" s="76" t="s">
        <v>7374</v>
      </c>
      <c r="C591" s="76"/>
      <c r="D591" s="76" t="s">
        <v>7375</v>
      </c>
      <c r="E591" s="76" t="s">
        <v>6136</v>
      </c>
      <c r="F591" s="76" t="s">
        <v>6137</v>
      </c>
    </row>
    <row r="592" spans="1:6" ht="63.95" customHeight="1">
      <c r="A592" s="76" t="s">
        <v>5976</v>
      </c>
      <c r="B592" s="76" t="s">
        <v>7376</v>
      </c>
      <c r="C592" s="76" t="s">
        <v>7377</v>
      </c>
      <c r="D592" s="76" t="s">
        <v>1528</v>
      </c>
      <c r="E592" s="76" t="s">
        <v>6439</v>
      </c>
      <c r="F592" s="76" t="s">
        <v>6440</v>
      </c>
    </row>
    <row r="593" spans="1:6" ht="63.95" customHeight="1">
      <c r="A593" s="76" t="s">
        <v>5976</v>
      </c>
      <c r="B593" s="76" t="s">
        <v>7378</v>
      </c>
      <c r="C593" s="76" t="s">
        <v>7379</v>
      </c>
      <c r="D593" s="76" t="s">
        <v>7380</v>
      </c>
      <c r="E593" s="76" t="s">
        <v>6136</v>
      </c>
      <c r="F593" s="76" t="s">
        <v>6137</v>
      </c>
    </row>
    <row r="594" spans="1:6" ht="63.95" customHeight="1">
      <c r="A594" s="76" t="s">
        <v>5976</v>
      </c>
      <c r="B594" s="76" t="s">
        <v>7381</v>
      </c>
      <c r="C594" s="76"/>
      <c r="D594" s="76" t="s">
        <v>7382</v>
      </c>
      <c r="E594" s="76" t="s">
        <v>6136</v>
      </c>
      <c r="F594" s="76" t="s">
        <v>6137</v>
      </c>
    </row>
    <row r="595" spans="1:6" ht="63.95" customHeight="1">
      <c r="A595" s="76" t="s">
        <v>5976</v>
      </c>
      <c r="B595" s="76" t="s">
        <v>7383</v>
      </c>
      <c r="C595" s="76"/>
      <c r="D595" s="76" t="s">
        <v>7384</v>
      </c>
      <c r="E595" s="76" t="s">
        <v>6136</v>
      </c>
      <c r="F595" s="76" t="s">
        <v>6137</v>
      </c>
    </row>
    <row r="596" spans="1:6" ht="63.95" customHeight="1">
      <c r="A596" s="76" t="s">
        <v>5976</v>
      </c>
      <c r="B596" s="76" t="s">
        <v>7385</v>
      </c>
      <c r="C596" s="76" t="s">
        <v>7386</v>
      </c>
      <c r="D596" s="76" t="s">
        <v>7387</v>
      </c>
      <c r="E596" s="76" t="s">
        <v>6136</v>
      </c>
      <c r="F596" s="76" t="s">
        <v>6137</v>
      </c>
    </row>
    <row r="597" spans="1:6" ht="63.95" customHeight="1">
      <c r="A597" s="76" t="s">
        <v>5976</v>
      </c>
      <c r="B597" s="76" t="s">
        <v>7388</v>
      </c>
      <c r="C597" s="76"/>
      <c r="D597" s="76" t="s">
        <v>7389</v>
      </c>
      <c r="E597" s="76" t="s">
        <v>6136</v>
      </c>
      <c r="F597" s="76" t="s">
        <v>6137</v>
      </c>
    </row>
    <row r="598" spans="1:6" ht="63.95" customHeight="1">
      <c r="A598" s="76" t="s">
        <v>5976</v>
      </c>
      <c r="B598" s="76" t="s">
        <v>7390</v>
      </c>
      <c r="C598" s="76"/>
      <c r="D598" s="76" t="s">
        <v>7391</v>
      </c>
      <c r="E598" s="76" t="s">
        <v>6136</v>
      </c>
      <c r="F598" s="76" t="s">
        <v>6137</v>
      </c>
    </row>
    <row r="599" spans="1:6" ht="63.95" customHeight="1">
      <c r="A599" s="76" t="s">
        <v>5976</v>
      </c>
      <c r="B599" s="76" t="s">
        <v>7392</v>
      </c>
      <c r="C599" s="76" t="s">
        <v>7393</v>
      </c>
      <c r="D599" s="76" t="s">
        <v>7394</v>
      </c>
      <c r="E599" s="76" t="s">
        <v>6136</v>
      </c>
      <c r="F599" s="76" t="s">
        <v>6137</v>
      </c>
    </row>
    <row r="600" spans="1:6" ht="63.95" customHeight="1">
      <c r="A600" s="76" t="s">
        <v>5976</v>
      </c>
      <c r="B600" s="76" t="s">
        <v>7395</v>
      </c>
      <c r="C600" s="76"/>
      <c r="D600" s="76" t="s">
        <v>7396</v>
      </c>
      <c r="E600" s="76" t="s">
        <v>6136</v>
      </c>
      <c r="F600" s="76" t="s">
        <v>6137</v>
      </c>
    </row>
    <row r="601" spans="1:6" ht="63.95" customHeight="1">
      <c r="A601" s="76" t="s">
        <v>5976</v>
      </c>
      <c r="B601" s="76" t="s">
        <v>7397</v>
      </c>
      <c r="C601" s="76"/>
      <c r="D601" s="76" t="s">
        <v>7398</v>
      </c>
      <c r="E601" s="76" t="s">
        <v>6136</v>
      </c>
      <c r="F601" s="76" t="s">
        <v>6137</v>
      </c>
    </row>
    <row r="602" spans="1:6" ht="63.95" customHeight="1">
      <c r="A602" s="76" t="s">
        <v>5976</v>
      </c>
      <c r="B602" s="76" t="s">
        <v>7399</v>
      </c>
      <c r="C602" s="76" t="s">
        <v>7400</v>
      </c>
      <c r="D602" s="76" t="s">
        <v>7401</v>
      </c>
      <c r="E602" s="76" t="s">
        <v>6136</v>
      </c>
      <c r="F602" s="76" t="s">
        <v>6137</v>
      </c>
    </row>
    <row r="603" spans="1:6" ht="63.95" customHeight="1">
      <c r="A603" s="76" t="s">
        <v>5976</v>
      </c>
      <c r="B603" s="76" t="s">
        <v>7402</v>
      </c>
      <c r="C603" s="76"/>
      <c r="D603" s="76" t="s">
        <v>7403</v>
      </c>
      <c r="E603" s="76" t="s">
        <v>6136</v>
      </c>
      <c r="F603" s="76" t="s">
        <v>6137</v>
      </c>
    </row>
    <row r="604" spans="1:6" ht="63.95" customHeight="1">
      <c r="A604" s="76" t="s">
        <v>5976</v>
      </c>
      <c r="B604" s="76" t="s">
        <v>7404</v>
      </c>
      <c r="C604" s="76"/>
      <c r="D604" s="76" t="s">
        <v>7405</v>
      </c>
      <c r="E604" s="76" t="s">
        <v>6136</v>
      </c>
      <c r="F604" s="76" t="s">
        <v>6137</v>
      </c>
    </row>
    <row r="605" spans="1:6" ht="63.95" customHeight="1">
      <c r="A605" s="76" t="s">
        <v>5976</v>
      </c>
      <c r="B605" s="76" t="s">
        <v>7406</v>
      </c>
      <c r="C605" s="76" t="s">
        <v>7407</v>
      </c>
      <c r="D605" s="76" t="s">
        <v>7408</v>
      </c>
      <c r="E605" s="76" t="s">
        <v>6136</v>
      </c>
      <c r="F605" s="76" t="s">
        <v>6137</v>
      </c>
    </row>
    <row r="606" spans="1:6" ht="63.95" customHeight="1">
      <c r="A606" s="76" t="s">
        <v>5976</v>
      </c>
      <c r="B606" s="76" t="s">
        <v>7409</v>
      </c>
      <c r="C606" s="76"/>
      <c r="D606" s="76" t="s">
        <v>7410</v>
      </c>
      <c r="E606" s="76" t="s">
        <v>6136</v>
      </c>
      <c r="F606" s="76" t="s">
        <v>6137</v>
      </c>
    </row>
    <row r="607" spans="1:6" ht="63.95" customHeight="1">
      <c r="A607" s="76" t="s">
        <v>5976</v>
      </c>
      <c r="B607" s="76" t="s">
        <v>7411</v>
      </c>
      <c r="C607" s="76"/>
      <c r="D607" s="76" t="s">
        <v>7412</v>
      </c>
      <c r="E607" s="76" t="s">
        <v>6136</v>
      </c>
      <c r="F607" s="76" t="s">
        <v>6137</v>
      </c>
    </row>
    <row r="608" spans="1:6" ht="63.95" customHeight="1">
      <c r="A608" s="76" t="s">
        <v>5976</v>
      </c>
      <c r="B608" s="76" t="s">
        <v>7413</v>
      </c>
      <c r="C608" s="76" t="s">
        <v>7414</v>
      </c>
      <c r="D608" s="76" t="s">
        <v>7415</v>
      </c>
      <c r="E608" s="76" t="s">
        <v>6136</v>
      </c>
      <c r="F608" s="76" t="s">
        <v>6137</v>
      </c>
    </row>
    <row r="609" spans="1:6" ht="63.95" customHeight="1">
      <c r="A609" s="76" t="s">
        <v>5976</v>
      </c>
      <c r="B609" s="76" t="s">
        <v>7416</v>
      </c>
      <c r="C609" s="76"/>
      <c r="D609" s="76" t="s">
        <v>7417</v>
      </c>
      <c r="E609" s="76" t="s">
        <v>6136</v>
      </c>
      <c r="F609" s="76" t="s">
        <v>6137</v>
      </c>
    </row>
    <row r="610" spans="1:6" ht="63.95" customHeight="1">
      <c r="A610" s="76" t="s">
        <v>5976</v>
      </c>
      <c r="B610" s="76" t="s">
        <v>7418</v>
      </c>
      <c r="C610" s="76"/>
      <c r="D610" s="76" t="s">
        <v>7419</v>
      </c>
      <c r="E610" s="76" t="s">
        <v>6136</v>
      </c>
      <c r="F610" s="76" t="s">
        <v>6137</v>
      </c>
    </row>
    <row r="611" spans="1:6" ht="63.95" customHeight="1">
      <c r="A611" s="76" t="s">
        <v>5976</v>
      </c>
      <c r="B611" s="76" t="s">
        <v>7420</v>
      </c>
      <c r="C611" s="76" t="s">
        <v>7421</v>
      </c>
      <c r="D611" s="76" t="s">
        <v>7422</v>
      </c>
      <c r="E611" s="76" t="s">
        <v>6136</v>
      </c>
      <c r="F611" s="76" t="s">
        <v>6137</v>
      </c>
    </row>
    <row r="612" spans="1:6" ht="63.95" customHeight="1">
      <c r="A612" s="76" t="s">
        <v>5976</v>
      </c>
      <c r="B612" s="76" t="s">
        <v>7423</v>
      </c>
      <c r="C612" s="76"/>
      <c r="D612" s="76" t="s">
        <v>7424</v>
      </c>
      <c r="E612" s="76" t="s">
        <v>6136</v>
      </c>
      <c r="F612" s="76" t="s">
        <v>6137</v>
      </c>
    </row>
    <row r="613" spans="1:6" ht="63.95" customHeight="1">
      <c r="A613" s="76" t="s">
        <v>5976</v>
      </c>
      <c r="B613" s="76" t="s">
        <v>7425</v>
      </c>
      <c r="C613" s="76"/>
      <c r="D613" s="76" t="s">
        <v>7426</v>
      </c>
      <c r="E613" s="76" t="s">
        <v>6136</v>
      </c>
      <c r="F613" s="76" t="s">
        <v>6137</v>
      </c>
    </row>
    <row r="614" spans="1:6" ht="63.95" customHeight="1">
      <c r="A614" s="76" t="s">
        <v>5976</v>
      </c>
      <c r="B614" s="76" t="s">
        <v>7427</v>
      </c>
      <c r="C614" s="76" t="s">
        <v>7428</v>
      </c>
      <c r="D614" s="76" t="s">
        <v>7429</v>
      </c>
      <c r="E614" s="76" t="s">
        <v>6136</v>
      </c>
      <c r="F614" s="76" t="s">
        <v>6137</v>
      </c>
    </row>
    <row r="615" spans="1:6" ht="63.95" customHeight="1">
      <c r="A615" s="76" t="s">
        <v>5976</v>
      </c>
      <c r="B615" s="76" t="s">
        <v>7430</v>
      </c>
      <c r="C615" s="76"/>
      <c r="D615" s="76" t="s">
        <v>7431</v>
      </c>
      <c r="E615" s="76" t="s">
        <v>6136</v>
      </c>
      <c r="F615" s="76" t="s">
        <v>6137</v>
      </c>
    </row>
    <row r="616" spans="1:6" ht="63.95" customHeight="1">
      <c r="A616" s="76" t="s">
        <v>5976</v>
      </c>
      <c r="B616" s="76" t="s">
        <v>7432</v>
      </c>
      <c r="C616" s="76"/>
      <c r="D616" s="76" t="s">
        <v>7433</v>
      </c>
      <c r="E616" s="76" t="s">
        <v>6136</v>
      </c>
      <c r="F616" s="76" t="s">
        <v>6137</v>
      </c>
    </row>
    <row r="617" spans="1:6" ht="63.95" customHeight="1">
      <c r="A617" s="76" t="s">
        <v>5976</v>
      </c>
      <c r="B617" s="76" t="s">
        <v>7434</v>
      </c>
      <c r="C617" s="76" t="s">
        <v>7435</v>
      </c>
      <c r="D617" s="76" t="s">
        <v>7436</v>
      </c>
      <c r="E617" s="76" t="s">
        <v>6136</v>
      </c>
      <c r="F617" s="76" t="s">
        <v>6137</v>
      </c>
    </row>
    <row r="618" spans="1:6" ht="63.95" customHeight="1">
      <c r="A618" s="76" t="s">
        <v>5976</v>
      </c>
      <c r="B618" s="76" t="s">
        <v>7437</v>
      </c>
      <c r="C618" s="76"/>
      <c r="D618" s="76" t="s">
        <v>7438</v>
      </c>
      <c r="E618" s="76" t="s">
        <v>6136</v>
      </c>
      <c r="F618" s="76" t="s">
        <v>6137</v>
      </c>
    </row>
    <row r="619" spans="1:6" ht="63.95" customHeight="1">
      <c r="A619" s="76" t="s">
        <v>5976</v>
      </c>
      <c r="B619" s="76" t="s">
        <v>7439</v>
      </c>
      <c r="C619" s="76"/>
      <c r="D619" s="76" t="s">
        <v>7440</v>
      </c>
      <c r="E619" s="76" t="s">
        <v>6136</v>
      </c>
      <c r="F619" s="76" t="s">
        <v>6137</v>
      </c>
    </row>
    <row r="620" spans="1:6" ht="63.95" customHeight="1">
      <c r="A620" s="76" t="s">
        <v>5976</v>
      </c>
      <c r="B620" s="76" t="s">
        <v>7441</v>
      </c>
      <c r="C620" s="76" t="s">
        <v>3443</v>
      </c>
      <c r="D620" s="76" t="s">
        <v>496</v>
      </c>
      <c r="E620" s="76" t="s">
        <v>6442</v>
      </c>
      <c r="F620" s="76" t="s">
        <v>6443</v>
      </c>
    </row>
    <row r="621" spans="1:6" ht="63.95" customHeight="1">
      <c r="A621" s="76" t="s">
        <v>5976</v>
      </c>
      <c r="B621" s="76" t="s">
        <v>7442</v>
      </c>
      <c r="C621" s="76" t="s">
        <v>7443</v>
      </c>
      <c r="D621" s="76" t="s">
        <v>7444</v>
      </c>
      <c r="E621" s="76" t="s">
        <v>6136</v>
      </c>
      <c r="F621" s="76" t="s">
        <v>6137</v>
      </c>
    </row>
    <row r="622" spans="1:6" ht="63.95" customHeight="1">
      <c r="A622" s="76" t="s">
        <v>5976</v>
      </c>
      <c r="B622" s="76" t="s">
        <v>7445</v>
      </c>
      <c r="C622" s="76" t="s">
        <v>142</v>
      </c>
      <c r="D622" s="76" t="s">
        <v>486</v>
      </c>
      <c r="E622" s="76" t="s">
        <v>6448</v>
      </c>
      <c r="F622" s="76" t="s">
        <v>7446</v>
      </c>
    </row>
    <row r="623" spans="1:6" ht="63.95" customHeight="1">
      <c r="A623" s="76" t="s">
        <v>5976</v>
      </c>
      <c r="B623" s="76" t="s">
        <v>7447</v>
      </c>
      <c r="C623" s="76"/>
      <c r="D623" s="76" t="s">
        <v>7448</v>
      </c>
      <c r="E623" s="76" t="s">
        <v>6136</v>
      </c>
      <c r="F623" s="76" t="s">
        <v>6137</v>
      </c>
    </row>
    <row r="624" spans="1:6" ht="63.95" customHeight="1">
      <c r="A624" s="76" t="s">
        <v>5976</v>
      </c>
      <c r="B624" s="76" t="s">
        <v>7449</v>
      </c>
      <c r="C624" s="76"/>
      <c r="D624" s="76" t="s">
        <v>7450</v>
      </c>
      <c r="E624" s="76" t="s">
        <v>6136</v>
      </c>
      <c r="F624" s="76" t="s">
        <v>6137</v>
      </c>
    </row>
    <row r="625" spans="1:6" ht="63.95" customHeight="1">
      <c r="A625" s="76" t="s">
        <v>5976</v>
      </c>
      <c r="B625" s="76" t="s">
        <v>7451</v>
      </c>
      <c r="C625" s="76" t="s">
        <v>3443</v>
      </c>
      <c r="D625" s="76" t="s">
        <v>496</v>
      </c>
      <c r="E625" s="76" t="s">
        <v>6442</v>
      </c>
      <c r="F625" s="76" t="s">
        <v>6443</v>
      </c>
    </row>
    <row r="626" spans="1:6" ht="63.95" customHeight="1">
      <c r="A626" s="76" t="s">
        <v>5976</v>
      </c>
      <c r="B626" s="76" t="s">
        <v>7452</v>
      </c>
      <c r="C626" s="76" t="s">
        <v>7453</v>
      </c>
      <c r="D626" s="76" t="s">
        <v>7454</v>
      </c>
      <c r="E626" s="76" t="s">
        <v>6136</v>
      </c>
      <c r="F626" s="76" t="s">
        <v>6137</v>
      </c>
    </row>
    <row r="627" spans="1:6" ht="63.95" customHeight="1">
      <c r="A627" s="76" t="s">
        <v>5976</v>
      </c>
      <c r="B627" s="76" t="s">
        <v>7455</v>
      </c>
      <c r="C627" s="76" t="s">
        <v>142</v>
      </c>
      <c r="D627" s="76" t="s">
        <v>486</v>
      </c>
      <c r="E627" s="76" t="s">
        <v>6448</v>
      </c>
      <c r="F627" s="76" t="s">
        <v>7456</v>
      </c>
    </row>
    <row r="628" spans="1:6" ht="63.95" customHeight="1">
      <c r="A628" s="76" t="s">
        <v>5976</v>
      </c>
      <c r="B628" s="76" t="s">
        <v>7457</v>
      </c>
      <c r="C628" s="76"/>
      <c r="D628" s="76" t="s">
        <v>7458</v>
      </c>
      <c r="E628" s="76" t="s">
        <v>6136</v>
      </c>
      <c r="F628" s="76" t="s">
        <v>6137</v>
      </c>
    </row>
    <row r="629" spans="1:6" ht="63.95" customHeight="1">
      <c r="A629" s="76" t="s">
        <v>5976</v>
      </c>
      <c r="B629" s="76" t="s">
        <v>7459</v>
      </c>
      <c r="C629" s="76"/>
      <c r="D629" s="76" t="s">
        <v>7460</v>
      </c>
      <c r="E629" s="76" t="s">
        <v>6136</v>
      </c>
      <c r="F629" s="76" t="s">
        <v>6137</v>
      </c>
    </row>
    <row r="630" spans="1:6" ht="63.95" customHeight="1">
      <c r="A630" s="76" t="s">
        <v>5976</v>
      </c>
      <c r="B630" s="76" t="s">
        <v>7461</v>
      </c>
      <c r="C630" s="76" t="s">
        <v>7462</v>
      </c>
      <c r="D630" s="76" t="s">
        <v>1605</v>
      </c>
      <c r="E630" s="76" t="s">
        <v>6439</v>
      </c>
      <c r="F630" s="76" t="s">
        <v>6440</v>
      </c>
    </row>
    <row r="631" spans="1:6" ht="63.95" customHeight="1">
      <c r="A631" s="76" t="s">
        <v>5976</v>
      </c>
      <c r="B631" s="76" t="s">
        <v>7463</v>
      </c>
      <c r="C631" s="76" t="s">
        <v>7464</v>
      </c>
      <c r="D631" s="76" t="s">
        <v>7465</v>
      </c>
      <c r="E631" s="76" t="s">
        <v>6136</v>
      </c>
      <c r="F631" s="76" t="s">
        <v>6137</v>
      </c>
    </row>
    <row r="632" spans="1:6" ht="63.95" customHeight="1">
      <c r="A632" s="76" t="s">
        <v>5976</v>
      </c>
      <c r="B632" s="76" t="s">
        <v>7466</v>
      </c>
      <c r="C632" s="76"/>
      <c r="D632" s="76" t="s">
        <v>7467</v>
      </c>
      <c r="E632" s="76" t="s">
        <v>6136</v>
      </c>
      <c r="F632" s="76" t="s">
        <v>6137</v>
      </c>
    </row>
    <row r="633" spans="1:6" ht="63.95" customHeight="1">
      <c r="A633" s="76" t="s">
        <v>5976</v>
      </c>
      <c r="B633" s="76" t="s">
        <v>7468</v>
      </c>
      <c r="C633" s="76"/>
      <c r="D633" s="76" t="s">
        <v>7469</v>
      </c>
      <c r="E633" s="76" t="s">
        <v>6136</v>
      </c>
      <c r="F633" s="76" t="s">
        <v>6137</v>
      </c>
    </row>
    <row r="634" spans="1:6" ht="63.95" customHeight="1">
      <c r="A634" s="76" t="s">
        <v>5976</v>
      </c>
      <c r="B634" s="76" t="s">
        <v>7470</v>
      </c>
      <c r="C634" s="76" t="s">
        <v>7471</v>
      </c>
      <c r="D634" s="76" t="s">
        <v>7472</v>
      </c>
      <c r="E634" s="76" t="s">
        <v>6136</v>
      </c>
      <c r="F634" s="76" t="s">
        <v>6137</v>
      </c>
    </row>
    <row r="635" spans="1:6" ht="63.95" customHeight="1">
      <c r="A635" s="76" t="s">
        <v>5976</v>
      </c>
      <c r="B635" s="76" t="s">
        <v>7473</v>
      </c>
      <c r="C635" s="76"/>
      <c r="D635" s="76" t="s">
        <v>7474</v>
      </c>
      <c r="E635" s="76" t="s">
        <v>6136</v>
      </c>
      <c r="F635" s="76" t="s">
        <v>6137</v>
      </c>
    </row>
    <row r="636" spans="1:6" ht="63.95" customHeight="1">
      <c r="A636" s="76" t="s">
        <v>5976</v>
      </c>
      <c r="B636" s="76" t="s">
        <v>7475</v>
      </c>
      <c r="C636" s="76"/>
      <c r="D636" s="76" t="s">
        <v>7476</v>
      </c>
      <c r="E636" s="76" t="s">
        <v>6136</v>
      </c>
      <c r="F636" s="76" t="s">
        <v>6137</v>
      </c>
    </row>
    <row r="637" spans="1:6" ht="63.95" customHeight="1">
      <c r="A637" s="76" t="s">
        <v>5976</v>
      </c>
      <c r="B637" s="76" t="s">
        <v>7477</v>
      </c>
      <c r="C637" s="76" t="s">
        <v>7478</v>
      </c>
      <c r="D637" s="76" t="s">
        <v>7479</v>
      </c>
      <c r="E637" s="76" t="s">
        <v>6136</v>
      </c>
      <c r="F637" s="76" t="s">
        <v>6137</v>
      </c>
    </row>
    <row r="638" spans="1:6" ht="63.95" customHeight="1">
      <c r="A638" s="76" t="s">
        <v>5976</v>
      </c>
      <c r="B638" s="76" t="s">
        <v>7480</v>
      </c>
      <c r="C638" s="76"/>
      <c r="D638" s="76" t="s">
        <v>7481</v>
      </c>
      <c r="E638" s="76" t="s">
        <v>6136</v>
      </c>
      <c r="F638" s="76" t="s">
        <v>6137</v>
      </c>
    </row>
    <row r="639" spans="1:6" ht="63.95" customHeight="1">
      <c r="A639" s="76" t="s">
        <v>5976</v>
      </c>
      <c r="B639" s="76" t="s">
        <v>7482</v>
      </c>
      <c r="C639" s="76"/>
      <c r="D639" s="76" t="s">
        <v>7483</v>
      </c>
      <c r="E639" s="76" t="s">
        <v>6136</v>
      </c>
      <c r="F639" s="76" t="s">
        <v>6137</v>
      </c>
    </row>
    <row r="640" spans="1:6" ht="63.95" customHeight="1">
      <c r="A640" s="76" t="s">
        <v>5976</v>
      </c>
      <c r="B640" s="76" t="s">
        <v>7484</v>
      </c>
      <c r="C640" s="76" t="s">
        <v>7485</v>
      </c>
      <c r="D640" s="76" t="s">
        <v>7486</v>
      </c>
      <c r="E640" s="76" t="s">
        <v>6136</v>
      </c>
      <c r="F640" s="76" t="s">
        <v>6137</v>
      </c>
    </row>
    <row r="641" spans="1:6" ht="63.95" customHeight="1">
      <c r="A641" s="76" t="s">
        <v>5976</v>
      </c>
      <c r="B641" s="76" t="s">
        <v>7487</v>
      </c>
      <c r="C641" s="76"/>
      <c r="D641" s="76" t="s">
        <v>7488</v>
      </c>
      <c r="E641" s="76" t="s">
        <v>6136</v>
      </c>
      <c r="F641" s="76" t="s">
        <v>6137</v>
      </c>
    </row>
    <row r="642" spans="1:6" ht="63.95" customHeight="1">
      <c r="A642" s="76" t="s">
        <v>5976</v>
      </c>
      <c r="B642" s="76" t="s">
        <v>7489</v>
      </c>
      <c r="C642" s="76"/>
      <c r="D642" s="76" t="s">
        <v>7490</v>
      </c>
      <c r="E642" s="76" t="s">
        <v>6136</v>
      </c>
      <c r="F642" s="76" t="s">
        <v>6137</v>
      </c>
    </row>
    <row r="643" spans="1:6" ht="63.95" customHeight="1">
      <c r="A643" s="76" t="s">
        <v>5976</v>
      </c>
      <c r="B643" s="76" t="s">
        <v>7491</v>
      </c>
      <c r="C643" s="76" t="s">
        <v>3443</v>
      </c>
      <c r="D643" s="76" t="s">
        <v>496</v>
      </c>
      <c r="E643" s="76" t="s">
        <v>6442</v>
      </c>
      <c r="F643" s="76" t="s">
        <v>6443</v>
      </c>
    </row>
    <row r="644" spans="1:6" ht="63.95" customHeight="1">
      <c r="A644" s="76" t="s">
        <v>5976</v>
      </c>
      <c r="B644" s="76" t="s">
        <v>7492</v>
      </c>
      <c r="C644" s="76" t="s">
        <v>7493</v>
      </c>
      <c r="D644" s="76" t="s">
        <v>7494</v>
      </c>
      <c r="E644" s="76" t="s">
        <v>6136</v>
      </c>
      <c r="F644" s="76" t="s">
        <v>6137</v>
      </c>
    </row>
    <row r="645" spans="1:6" ht="63.95" customHeight="1">
      <c r="A645" s="76" t="s">
        <v>5976</v>
      </c>
      <c r="B645" s="76" t="s">
        <v>7495</v>
      </c>
      <c r="C645" s="76" t="s">
        <v>142</v>
      </c>
      <c r="D645" s="76" t="s">
        <v>486</v>
      </c>
      <c r="E645" s="76" t="s">
        <v>6448</v>
      </c>
      <c r="F645" s="76" t="s">
        <v>7496</v>
      </c>
    </row>
    <row r="646" spans="1:6" ht="63.95" customHeight="1">
      <c r="A646" s="76" t="s">
        <v>5976</v>
      </c>
      <c r="B646" s="76" t="s">
        <v>7497</v>
      </c>
      <c r="C646" s="76"/>
      <c r="D646" s="76" t="s">
        <v>7498</v>
      </c>
      <c r="E646" s="76" t="s">
        <v>6136</v>
      </c>
      <c r="F646" s="76" t="s">
        <v>6137</v>
      </c>
    </row>
    <row r="647" spans="1:6" ht="63.95" customHeight="1">
      <c r="A647" s="76" t="s">
        <v>5976</v>
      </c>
      <c r="B647" s="76" t="s">
        <v>7499</v>
      </c>
      <c r="C647" s="76"/>
      <c r="D647" s="76" t="s">
        <v>7500</v>
      </c>
      <c r="E647" s="76" t="s">
        <v>6136</v>
      </c>
      <c r="F647" s="76" t="s">
        <v>6137</v>
      </c>
    </row>
    <row r="648" spans="1:6" ht="63.95" customHeight="1">
      <c r="A648" s="76" t="s">
        <v>5976</v>
      </c>
      <c r="B648" s="76" t="s">
        <v>7501</v>
      </c>
      <c r="C648" s="76" t="s">
        <v>7502</v>
      </c>
      <c r="D648" s="76" t="s">
        <v>1640</v>
      </c>
      <c r="E648" s="76" t="s">
        <v>6439</v>
      </c>
      <c r="F648" s="76" t="s">
        <v>6440</v>
      </c>
    </row>
    <row r="649" spans="1:6" ht="63.95" customHeight="1">
      <c r="A649" s="76" t="s">
        <v>5976</v>
      </c>
      <c r="B649" s="76" t="s">
        <v>7503</v>
      </c>
      <c r="C649" s="76" t="s">
        <v>7504</v>
      </c>
      <c r="D649" s="76" t="s">
        <v>7505</v>
      </c>
      <c r="E649" s="76" t="s">
        <v>6136</v>
      </c>
      <c r="F649" s="76" t="s">
        <v>6137</v>
      </c>
    </row>
    <row r="650" spans="1:6" ht="63.95" customHeight="1">
      <c r="A650" s="76" t="s">
        <v>5976</v>
      </c>
      <c r="B650" s="76" t="s">
        <v>7506</v>
      </c>
      <c r="C650" s="76"/>
      <c r="D650" s="76" t="s">
        <v>7507</v>
      </c>
      <c r="E650" s="76" t="s">
        <v>6136</v>
      </c>
      <c r="F650" s="76" t="s">
        <v>6137</v>
      </c>
    </row>
    <row r="651" spans="1:6" ht="63.95" customHeight="1">
      <c r="A651" s="76" t="s">
        <v>5976</v>
      </c>
      <c r="B651" s="76" t="s">
        <v>7508</v>
      </c>
      <c r="C651" s="76"/>
      <c r="D651" s="76" t="s">
        <v>7509</v>
      </c>
      <c r="E651" s="76" t="s">
        <v>6136</v>
      </c>
      <c r="F651" s="76" t="s">
        <v>6137</v>
      </c>
    </row>
    <row r="652" spans="1:6" ht="63.95" customHeight="1">
      <c r="A652" s="76" t="s">
        <v>5976</v>
      </c>
      <c r="B652" s="76" t="s">
        <v>7510</v>
      </c>
      <c r="C652" s="76" t="s">
        <v>7511</v>
      </c>
      <c r="D652" s="76" t="s">
        <v>7512</v>
      </c>
      <c r="E652" s="76" t="s">
        <v>6136</v>
      </c>
      <c r="F652" s="76" t="s">
        <v>6137</v>
      </c>
    </row>
    <row r="653" spans="1:6" ht="63.95" customHeight="1">
      <c r="A653" s="76" t="s">
        <v>5976</v>
      </c>
      <c r="B653" s="76" t="s">
        <v>7513</v>
      </c>
      <c r="C653" s="76"/>
      <c r="D653" s="76" t="s">
        <v>7514</v>
      </c>
      <c r="E653" s="76" t="s">
        <v>6136</v>
      </c>
      <c r="F653" s="76" t="s">
        <v>6137</v>
      </c>
    </row>
    <row r="654" spans="1:6" ht="63.95" customHeight="1">
      <c r="A654" s="76" t="s">
        <v>5976</v>
      </c>
      <c r="B654" s="76" t="s">
        <v>7515</v>
      </c>
      <c r="C654" s="76"/>
      <c r="D654" s="76" t="s">
        <v>7516</v>
      </c>
      <c r="E654" s="76" t="s">
        <v>6136</v>
      </c>
      <c r="F654" s="76" t="s">
        <v>6137</v>
      </c>
    </row>
    <row r="655" spans="1:6" ht="63.95" customHeight="1">
      <c r="A655" s="76" t="s">
        <v>5976</v>
      </c>
      <c r="B655" s="76" t="s">
        <v>7517</v>
      </c>
      <c r="C655" s="76" t="s">
        <v>7518</v>
      </c>
      <c r="D655" s="76" t="s">
        <v>1654</v>
      </c>
      <c r="E655" s="76" t="s">
        <v>6439</v>
      </c>
      <c r="F655" s="76" t="s">
        <v>6440</v>
      </c>
    </row>
    <row r="656" spans="1:6" ht="63.95" customHeight="1">
      <c r="A656" s="76" t="s">
        <v>5976</v>
      </c>
      <c r="B656" s="76" t="s">
        <v>7519</v>
      </c>
      <c r="C656" s="76" t="s">
        <v>7520</v>
      </c>
      <c r="D656" s="76" t="s">
        <v>7521</v>
      </c>
      <c r="E656" s="76" t="s">
        <v>6136</v>
      </c>
      <c r="F656" s="76" t="s">
        <v>6137</v>
      </c>
    </row>
    <row r="657" spans="1:6" ht="63.95" customHeight="1">
      <c r="A657" s="76" t="s">
        <v>5976</v>
      </c>
      <c r="B657" s="76" t="s">
        <v>7522</v>
      </c>
      <c r="C657" s="76"/>
      <c r="D657" s="76" t="s">
        <v>7523</v>
      </c>
      <c r="E657" s="76" t="s">
        <v>6136</v>
      </c>
      <c r="F657" s="76" t="s">
        <v>6137</v>
      </c>
    </row>
    <row r="658" spans="1:6" ht="63.95" customHeight="1">
      <c r="A658" s="76" t="s">
        <v>5976</v>
      </c>
      <c r="B658" s="76" t="s">
        <v>7524</v>
      </c>
      <c r="C658" s="76"/>
      <c r="D658" s="76" t="s">
        <v>7525</v>
      </c>
      <c r="E658" s="76" t="s">
        <v>6136</v>
      </c>
      <c r="F658" s="76" t="s">
        <v>6137</v>
      </c>
    </row>
    <row r="659" spans="1:6" ht="63.95" customHeight="1">
      <c r="A659" s="76" t="s">
        <v>5976</v>
      </c>
      <c r="B659" s="76" t="s">
        <v>7526</v>
      </c>
      <c r="C659" s="76" t="s">
        <v>7527</v>
      </c>
      <c r="D659" s="76" t="s">
        <v>1661</v>
      </c>
      <c r="E659" s="76" t="s">
        <v>6439</v>
      </c>
      <c r="F659" s="76" t="s">
        <v>6440</v>
      </c>
    </row>
    <row r="660" spans="1:6" ht="63.95" customHeight="1">
      <c r="A660" s="76" t="s">
        <v>5976</v>
      </c>
      <c r="B660" s="76" t="s">
        <v>7528</v>
      </c>
      <c r="C660" s="76" t="s">
        <v>3443</v>
      </c>
      <c r="D660" s="76" t="s">
        <v>496</v>
      </c>
      <c r="E660" s="76" t="s">
        <v>6442</v>
      </c>
      <c r="F660" s="76" t="s">
        <v>6443</v>
      </c>
    </row>
    <row r="661" spans="1:6" ht="63.95" customHeight="1">
      <c r="A661" s="76" t="s">
        <v>5976</v>
      </c>
      <c r="B661" s="76" t="s">
        <v>7529</v>
      </c>
      <c r="C661" s="76" t="s">
        <v>7530</v>
      </c>
      <c r="D661" s="76" t="s">
        <v>7531</v>
      </c>
      <c r="E661" s="76" t="s">
        <v>6136</v>
      </c>
      <c r="F661" s="76" t="s">
        <v>6137</v>
      </c>
    </row>
    <row r="662" spans="1:6" ht="63.95" customHeight="1">
      <c r="A662" s="76" t="s">
        <v>5976</v>
      </c>
      <c r="B662" s="76" t="s">
        <v>7532</v>
      </c>
      <c r="C662" s="76" t="s">
        <v>142</v>
      </c>
      <c r="D662" s="76" t="s">
        <v>486</v>
      </c>
      <c r="E662" s="76" t="s">
        <v>6448</v>
      </c>
      <c r="F662" s="76" t="s">
        <v>7533</v>
      </c>
    </row>
    <row r="663" spans="1:6" ht="63.95" customHeight="1">
      <c r="A663" s="76" t="s">
        <v>5976</v>
      </c>
      <c r="B663" s="76" t="s">
        <v>7534</v>
      </c>
      <c r="C663" s="76"/>
      <c r="D663" s="76" t="s">
        <v>7535</v>
      </c>
      <c r="E663" s="76" t="s">
        <v>6136</v>
      </c>
      <c r="F663" s="76" t="s">
        <v>6137</v>
      </c>
    </row>
    <row r="664" spans="1:6" ht="63.95" customHeight="1">
      <c r="A664" s="76" t="s">
        <v>5976</v>
      </c>
      <c r="B664" s="76" t="s">
        <v>7536</v>
      </c>
      <c r="C664" s="76"/>
      <c r="D664" s="76" t="s">
        <v>7537</v>
      </c>
      <c r="E664" s="76" t="s">
        <v>6136</v>
      </c>
      <c r="F664" s="76" t="s">
        <v>6137</v>
      </c>
    </row>
    <row r="665" spans="1:6" ht="63.95" customHeight="1">
      <c r="A665" s="76" t="s">
        <v>5976</v>
      </c>
      <c r="B665" s="76" t="s">
        <v>7538</v>
      </c>
      <c r="C665" s="76" t="s">
        <v>7539</v>
      </c>
      <c r="D665" s="76" t="s">
        <v>7540</v>
      </c>
      <c r="E665" s="76" t="s">
        <v>6136</v>
      </c>
      <c r="F665" s="76" t="s">
        <v>6137</v>
      </c>
    </row>
    <row r="666" spans="1:6" ht="63.95" customHeight="1">
      <c r="A666" s="76" t="s">
        <v>5976</v>
      </c>
      <c r="B666" s="76" t="s">
        <v>7541</v>
      </c>
      <c r="C666" s="76"/>
      <c r="D666" s="76" t="s">
        <v>7542</v>
      </c>
      <c r="E666" s="76" t="s">
        <v>6136</v>
      </c>
      <c r="F666" s="76" t="s">
        <v>6137</v>
      </c>
    </row>
    <row r="667" spans="1:6" ht="63.95" customHeight="1">
      <c r="A667" s="76" t="s">
        <v>5976</v>
      </c>
      <c r="B667" s="76" t="s">
        <v>7543</v>
      </c>
      <c r="C667" s="76"/>
      <c r="D667" s="76" t="s">
        <v>7544</v>
      </c>
      <c r="E667" s="76" t="s">
        <v>6136</v>
      </c>
      <c r="F667" s="76" t="s">
        <v>6137</v>
      </c>
    </row>
    <row r="668" spans="1:6" ht="63.95" customHeight="1">
      <c r="A668" s="76" t="s">
        <v>5976</v>
      </c>
      <c r="B668" s="76" t="s">
        <v>7545</v>
      </c>
      <c r="C668" s="76" t="s">
        <v>7546</v>
      </c>
      <c r="D668" s="76" t="s">
        <v>7547</v>
      </c>
      <c r="E668" s="76" t="s">
        <v>6136</v>
      </c>
      <c r="F668" s="76" t="s">
        <v>6137</v>
      </c>
    </row>
    <row r="669" spans="1:6" ht="63.95" customHeight="1">
      <c r="A669" s="76" t="s">
        <v>5976</v>
      </c>
      <c r="B669" s="76" t="s">
        <v>7548</v>
      </c>
      <c r="C669" s="76"/>
      <c r="D669" s="76" t="s">
        <v>7549</v>
      </c>
      <c r="E669" s="76" t="s">
        <v>6136</v>
      </c>
      <c r="F669" s="76" t="s">
        <v>6137</v>
      </c>
    </row>
    <row r="670" spans="1:6" ht="63.95" customHeight="1">
      <c r="A670" s="76" t="s">
        <v>5976</v>
      </c>
      <c r="B670" s="76" t="s">
        <v>7550</v>
      </c>
      <c r="C670" s="76"/>
      <c r="D670" s="76" t="s">
        <v>7551</v>
      </c>
      <c r="E670" s="76" t="s">
        <v>6136</v>
      </c>
      <c r="F670" s="76" t="s">
        <v>6137</v>
      </c>
    </row>
    <row r="671" spans="1:6" ht="63.95" customHeight="1">
      <c r="A671" s="76" t="s">
        <v>5976</v>
      </c>
      <c r="B671" s="76" t="s">
        <v>7552</v>
      </c>
      <c r="C671" s="76" t="s">
        <v>7553</v>
      </c>
      <c r="D671" s="76" t="s">
        <v>7554</v>
      </c>
      <c r="E671" s="76" t="s">
        <v>6136</v>
      </c>
      <c r="F671" s="76" t="s">
        <v>6137</v>
      </c>
    </row>
    <row r="672" spans="1:6" ht="63.95" customHeight="1">
      <c r="A672" s="76" t="s">
        <v>5976</v>
      </c>
      <c r="B672" s="76" t="s">
        <v>7555</v>
      </c>
      <c r="C672" s="76"/>
      <c r="D672" s="76" t="s">
        <v>7556</v>
      </c>
      <c r="E672" s="76" t="s">
        <v>6136</v>
      </c>
      <c r="F672" s="76" t="s">
        <v>6137</v>
      </c>
    </row>
    <row r="673" spans="1:6" ht="63.95" customHeight="1">
      <c r="A673" s="76" t="s">
        <v>5976</v>
      </c>
      <c r="B673" s="76" t="s">
        <v>7557</v>
      </c>
      <c r="C673" s="76"/>
      <c r="D673" s="76" t="s">
        <v>7558</v>
      </c>
      <c r="E673" s="76" t="s">
        <v>6136</v>
      </c>
      <c r="F673" s="76" t="s">
        <v>6137</v>
      </c>
    </row>
    <row r="674" spans="1:6" ht="63.95" customHeight="1">
      <c r="A674" s="76" t="s">
        <v>5976</v>
      </c>
      <c r="B674" s="76" t="s">
        <v>7559</v>
      </c>
      <c r="C674" s="76" t="s">
        <v>3443</v>
      </c>
      <c r="D674" s="76" t="s">
        <v>496</v>
      </c>
      <c r="E674" s="76" t="s">
        <v>6442</v>
      </c>
      <c r="F674" s="76" t="s">
        <v>6443</v>
      </c>
    </row>
    <row r="675" spans="1:6" ht="63.95" customHeight="1">
      <c r="A675" s="76" t="s">
        <v>5976</v>
      </c>
      <c r="B675" s="76" t="s">
        <v>7560</v>
      </c>
      <c r="C675" s="76" t="s">
        <v>7561</v>
      </c>
      <c r="D675" s="76" t="s">
        <v>7562</v>
      </c>
      <c r="E675" s="76" t="s">
        <v>6136</v>
      </c>
      <c r="F675" s="76" t="s">
        <v>6137</v>
      </c>
    </row>
    <row r="676" spans="1:6" ht="63.95" customHeight="1">
      <c r="A676" s="76" t="s">
        <v>5976</v>
      </c>
      <c r="B676" s="76" t="s">
        <v>7563</v>
      </c>
      <c r="C676" s="76" t="s">
        <v>142</v>
      </c>
      <c r="D676" s="76" t="s">
        <v>486</v>
      </c>
      <c r="E676" s="76" t="s">
        <v>6448</v>
      </c>
      <c r="F676" s="76" t="s">
        <v>7564</v>
      </c>
    </row>
    <row r="677" spans="1:6" ht="63.95" customHeight="1">
      <c r="A677" s="76" t="s">
        <v>5976</v>
      </c>
      <c r="B677" s="76" t="s">
        <v>7565</v>
      </c>
      <c r="C677" s="76"/>
      <c r="D677" s="76" t="s">
        <v>7566</v>
      </c>
      <c r="E677" s="76" t="s">
        <v>6136</v>
      </c>
      <c r="F677" s="76" t="s">
        <v>6137</v>
      </c>
    </row>
    <row r="678" spans="1:6" ht="63.95" customHeight="1">
      <c r="A678" s="76" t="s">
        <v>5976</v>
      </c>
      <c r="B678" s="76" t="s">
        <v>7567</v>
      </c>
      <c r="C678" s="76"/>
      <c r="D678" s="76" t="s">
        <v>7568</v>
      </c>
      <c r="E678" s="76" t="s">
        <v>6136</v>
      </c>
      <c r="F678" s="76" t="s">
        <v>6137</v>
      </c>
    </row>
    <row r="679" spans="1:6" ht="63.95" customHeight="1">
      <c r="A679" s="76" t="s">
        <v>5976</v>
      </c>
      <c r="B679" s="76" t="s">
        <v>7569</v>
      </c>
      <c r="C679" s="76" t="s">
        <v>7570</v>
      </c>
      <c r="D679" s="76" t="s">
        <v>7571</v>
      </c>
      <c r="E679" s="76" t="s">
        <v>6136</v>
      </c>
      <c r="F679" s="76" t="s">
        <v>6137</v>
      </c>
    </row>
    <row r="680" spans="1:6" ht="63.95" customHeight="1">
      <c r="A680" s="76" t="s">
        <v>5976</v>
      </c>
      <c r="B680" s="76" t="s">
        <v>7572</v>
      </c>
      <c r="C680" s="76"/>
      <c r="D680" s="76" t="s">
        <v>7573</v>
      </c>
      <c r="E680" s="76" t="s">
        <v>6136</v>
      </c>
      <c r="F680" s="76" t="s">
        <v>6137</v>
      </c>
    </row>
    <row r="681" spans="1:6" ht="63.95" customHeight="1">
      <c r="A681" s="76" t="s">
        <v>5976</v>
      </c>
      <c r="B681" s="76" t="s">
        <v>7574</v>
      </c>
      <c r="C681" s="76"/>
      <c r="D681" s="76" t="s">
        <v>7575</v>
      </c>
      <c r="E681" s="76" t="s">
        <v>6136</v>
      </c>
      <c r="F681" s="76" t="s">
        <v>6137</v>
      </c>
    </row>
    <row r="682" spans="1:6" ht="63.95" customHeight="1">
      <c r="A682" s="76" t="s">
        <v>5976</v>
      </c>
      <c r="B682" s="76" t="s">
        <v>7576</v>
      </c>
      <c r="C682" s="76" t="s">
        <v>7577</v>
      </c>
      <c r="D682" s="76" t="s">
        <v>7578</v>
      </c>
      <c r="E682" s="76" t="s">
        <v>6136</v>
      </c>
      <c r="F682" s="76" t="s">
        <v>6137</v>
      </c>
    </row>
    <row r="683" spans="1:6" ht="63.95" customHeight="1">
      <c r="A683" s="76" t="s">
        <v>5976</v>
      </c>
      <c r="B683" s="76" t="s">
        <v>7579</v>
      </c>
      <c r="C683" s="76"/>
      <c r="D683" s="76" t="s">
        <v>7580</v>
      </c>
      <c r="E683" s="76" t="s">
        <v>6136</v>
      </c>
      <c r="F683" s="76" t="s">
        <v>6137</v>
      </c>
    </row>
    <row r="684" spans="1:6" ht="63.95" customHeight="1">
      <c r="A684" s="76" t="s">
        <v>5976</v>
      </c>
      <c r="B684" s="76" t="s">
        <v>7581</v>
      </c>
      <c r="C684" s="76"/>
      <c r="D684" s="76" t="s">
        <v>7582</v>
      </c>
      <c r="E684" s="76" t="s">
        <v>6136</v>
      </c>
      <c r="F684" s="76" t="s">
        <v>6137</v>
      </c>
    </row>
    <row r="685" spans="1:6" ht="63.95" customHeight="1">
      <c r="A685" s="76" t="s">
        <v>5976</v>
      </c>
      <c r="B685" s="76" t="s">
        <v>7583</v>
      </c>
      <c r="C685" s="76" t="s">
        <v>7584</v>
      </c>
      <c r="D685" s="76" t="s">
        <v>7585</v>
      </c>
      <c r="E685" s="76" t="s">
        <v>6136</v>
      </c>
      <c r="F685" s="76" t="s">
        <v>6137</v>
      </c>
    </row>
    <row r="686" spans="1:6" ht="63.95" customHeight="1">
      <c r="A686" s="76" t="s">
        <v>5976</v>
      </c>
      <c r="B686" s="76" t="s">
        <v>7586</v>
      </c>
      <c r="C686" s="76"/>
      <c r="D686" s="76" t="s">
        <v>7587</v>
      </c>
      <c r="E686" s="76" t="s">
        <v>6136</v>
      </c>
      <c r="F686" s="76" t="s">
        <v>6137</v>
      </c>
    </row>
    <row r="687" spans="1:6" ht="63.95" customHeight="1">
      <c r="A687" s="76" t="s">
        <v>5976</v>
      </c>
      <c r="B687" s="76" t="s">
        <v>7588</v>
      </c>
      <c r="C687" s="76"/>
      <c r="D687" s="76" t="s">
        <v>7589</v>
      </c>
      <c r="E687" s="76" t="s">
        <v>6136</v>
      </c>
      <c r="F687" s="76" t="s">
        <v>6137</v>
      </c>
    </row>
    <row r="688" spans="1:6" ht="63.95" customHeight="1">
      <c r="A688" s="76" t="s">
        <v>5976</v>
      </c>
      <c r="B688" s="76" t="s">
        <v>7590</v>
      </c>
      <c r="C688" s="76" t="s">
        <v>7591</v>
      </c>
      <c r="D688" s="76" t="s">
        <v>7592</v>
      </c>
      <c r="E688" s="76" t="s">
        <v>6136</v>
      </c>
      <c r="F688" s="76" t="s">
        <v>6137</v>
      </c>
    </row>
    <row r="689" spans="1:6" ht="63.95" customHeight="1">
      <c r="A689" s="76" t="s">
        <v>5976</v>
      </c>
      <c r="B689" s="76" t="s">
        <v>7593</v>
      </c>
      <c r="C689" s="76"/>
      <c r="D689" s="76" t="s">
        <v>7594</v>
      </c>
      <c r="E689" s="76" t="s">
        <v>6136</v>
      </c>
      <c r="F689" s="76" t="s">
        <v>6137</v>
      </c>
    </row>
    <row r="690" spans="1:6" ht="63.95" customHeight="1">
      <c r="A690" s="76" t="s">
        <v>5976</v>
      </c>
      <c r="B690" s="76" t="s">
        <v>7595</v>
      </c>
      <c r="C690" s="76"/>
      <c r="D690" s="76" t="s">
        <v>7596</v>
      </c>
      <c r="E690" s="76" t="s">
        <v>6136</v>
      </c>
      <c r="F690" s="76" t="s">
        <v>6137</v>
      </c>
    </row>
    <row r="691" spans="1:6" ht="63.95" customHeight="1">
      <c r="A691" s="76" t="s">
        <v>5976</v>
      </c>
      <c r="B691" s="76" t="s">
        <v>7597</v>
      </c>
      <c r="C691" s="76" t="s">
        <v>7598</v>
      </c>
      <c r="D691" s="76" t="s">
        <v>7599</v>
      </c>
      <c r="E691" s="76" t="s">
        <v>6136</v>
      </c>
      <c r="F691" s="76" t="s">
        <v>6137</v>
      </c>
    </row>
    <row r="692" spans="1:6" ht="63.95" customHeight="1">
      <c r="A692" s="76" t="s">
        <v>5976</v>
      </c>
      <c r="B692" s="76" t="s">
        <v>7600</v>
      </c>
      <c r="C692" s="76"/>
      <c r="D692" s="76" t="s">
        <v>7601</v>
      </c>
      <c r="E692" s="76" t="s">
        <v>6136</v>
      </c>
      <c r="F692" s="76" t="s">
        <v>6137</v>
      </c>
    </row>
    <row r="693" spans="1:6" ht="63.95" customHeight="1">
      <c r="A693" s="76" t="s">
        <v>5976</v>
      </c>
      <c r="B693" s="76" t="s">
        <v>7602</v>
      </c>
      <c r="C693" s="76"/>
      <c r="D693" s="76" t="s">
        <v>7603</v>
      </c>
      <c r="E693" s="76" t="s">
        <v>6136</v>
      </c>
      <c r="F693" s="76" t="s">
        <v>6137</v>
      </c>
    </row>
    <row r="694" spans="1:6" ht="63.95" customHeight="1">
      <c r="A694" s="76" t="s">
        <v>5976</v>
      </c>
      <c r="B694" s="76" t="s">
        <v>7604</v>
      </c>
      <c r="C694" s="76" t="s">
        <v>7605</v>
      </c>
      <c r="D694" s="76" t="s">
        <v>7606</v>
      </c>
      <c r="E694" s="76" t="s">
        <v>6136</v>
      </c>
      <c r="F694" s="76" t="s">
        <v>6137</v>
      </c>
    </row>
    <row r="695" spans="1:6" ht="63.95" customHeight="1">
      <c r="A695" s="76" t="s">
        <v>5976</v>
      </c>
      <c r="B695" s="76" t="s">
        <v>7607</v>
      </c>
      <c r="C695" s="76"/>
      <c r="D695" s="76" t="s">
        <v>7608</v>
      </c>
      <c r="E695" s="76" t="s">
        <v>6136</v>
      </c>
      <c r="F695" s="76" t="s">
        <v>6137</v>
      </c>
    </row>
    <row r="696" spans="1:6" ht="63.95" customHeight="1">
      <c r="A696" s="76" t="s">
        <v>5976</v>
      </c>
      <c r="B696" s="76" t="s">
        <v>7609</v>
      </c>
      <c r="C696" s="76"/>
      <c r="D696" s="76" t="s">
        <v>7610</v>
      </c>
      <c r="E696" s="76" t="s">
        <v>6136</v>
      </c>
      <c r="F696" s="76" t="s">
        <v>6137</v>
      </c>
    </row>
    <row r="697" spans="1:6" ht="63.95" customHeight="1">
      <c r="A697" s="76" t="s">
        <v>5976</v>
      </c>
      <c r="B697" s="76" t="s">
        <v>7611</v>
      </c>
      <c r="C697" s="76" t="s">
        <v>7612</v>
      </c>
      <c r="D697" s="76" t="s">
        <v>7613</v>
      </c>
      <c r="E697" s="76" t="s">
        <v>6136</v>
      </c>
      <c r="F697" s="76" t="s">
        <v>6137</v>
      </c>
    </row>
    <row r="698" spans="1:6" ht="63.95" customHeight="1">
      <c r="A698" s="76" t="s">
        <v>5976</v>
      </c>
      <c r="B698" s="76" t="s">
        <v>7614</v>
      </c>
      <c r="C698" s="76"/>
      <c r="D698" s="76" t="s">
        <v>7615</v>
      </c>
      <c r="E698" s="76" t="s">
        <v>6136</v>
      </c>
      <c r="F698" s="76" t="s">
        <v>6137</v>
      </c>
    </row>
    <row r="699" spans="1:6" ht="63.95" customHeight="1">
      <c r="A699" s="76" t="s">
        <v>5976</v>
      </c>
      <c r="B699" s="76" t="s">
        <v>7616</v>
      </c>
      <c r="C699" s="76"/>
      <c r="D699" s="76" t="s">
        <v>7617</v>
      </c>
      <c r="E699" s="76" t="s">
        <v>6136</v>
      </c>
      <c r="F699" s="76" t="s">
        <v>6137</v>
      </c>
    </row>
    <row r="700" spans="1:6" ht="63.95" customHeight="1">
      <c r="A700" s="76" t="s">
        <v>5976</v>
      </c>
      <c r="B700" s="76" t="s">
        <v>7618</v>
      </c>
      <c r="C700" s="76" t="s">
        <v>7619</v>
      </c>
      <c r="D700" s="76" t="s">
        <v>7620</v>
      </c>
      <c r="E700" s="76" t="s">
        <v>6136</v>
      </c>
      <c r="F700" s="76" t="s">
        <v>6137</v>
      </c>
    </row>
    <row r="701" spans="1:6" ht="63.95" customHeight="1">
      <c r="A701" s="76" t="s">
        <v>5976</v>
      </c>
      <c r="B701" s="76" t="s">
        <v>7621</v>
      </c>
      <c r="C701" s="76"/>
      <c r="D701" s="76" t="s">
        <v>7622</v>
      </c>
      <c r="E701" s="76" t="s">
        <v>6136</v>
      </c>
      <c r="F701" s="76" t="s">
        <v>6137</v>
      </c>
    </row>
    <row r="702" spans="1:6" ht="63.95" customHeight="1">
      <c r="A702" s="76" t="s">
        <v>5976</v>
      </c>
      <c r="B702" s="76" t="s">
        <v>7623</v>
      </c>
      <c r="C702" s="76"/>
      <c r="D702" s="76" t="s">
        <v>7624</v>
      </c>
      <c r="E702" s="76" t="s">
        <v>6136</v>
      </c>
      <c r="F702" s="76" t="s">
        <v>6137</v>
      </c>
    </row>
    <row r="703" spans="1:6" ht="63.95" customHeight="1">
      <c r="A703" s="76" t="s">
        <v>5976</v>
      </c>
      <c r="B703" s="76" t="s">
        <v>7625</v>
      </c>
      <c r="C703" s="76" t="s">
        <v>7626</v>
      </c>
      <c r="D703" s="76" t="s">
        <v>7627</v>
      </c>
      <c r="E703" s="76" t="s">
        <v>6136</v>
      </c>
      <c r="F703" s="76" t="s">
        <v>6137</v>
      </c>
    </row>
    <row r="704" spans="1:6" ht="63.95" customHeight="1">
      <c r="A704" s="76" t="s">
        <v>5976</v>
      </c>
      <c r="B704" s="76" t="s">
        <v>7628</v>
      </c>
      <c r="C704" s="76"/>
      <c r="D704" s="76" t="s">
        <v>7629</v>
      </c>
      <c r="E704" s="76" t="s">
        <v>6136</v>
      </c>
      <c r="F704" s="76" t="s">
        <v>6137</v>
      </c>
    </row>
    <row r="705" spans="1:6" ht="63.95" customHeight="1">
      <c r="A705" s="76" t="s">
        <v>5976</v>
      </c>
      <c r="B705" s="76" t="s">
        <v>7630</v>
      </c>
      <c r="C705" s="76"/>
      <c r="D705" s="76" t="s">
        <v>7631</v>
      </c>
      <c r="E705" s="76" t="s">
        <v>6136</v>
      </c>
      <c r="F705" s="76" t="s">
        <v>6137</v>
      </c>
    </row>
    <row r="706" spans="1:6" ht="63.95" customHeight="1">
      <c r="A706" s="76" t="s">
        <v>5976</v>
      </c>
      <c r="B706" s="76" t="s">
        <v>7632</v>
      </c>
      <c r="C706" s="76" t="s">
        <v>7633</v>
      </c>
      <c r="D706" s="76" t="s">
        <v>7634</v>
      </c>
      <c r="E706" s="76" t="s">
        <v>6136</v>
      </c>
      <c r="F706" s="76" t="s">
        <v>6137</v>
      </c>
    </row>
    <row r="707" spans="1:6" ht="63.95" customHeight="1">
      <c r="A707" s="76" t="s">
        <v>5976</v>
      </c>
      <c r="B707" s="76" t="s">
        <v>7635</v>
      </c>
      <c r="C707" s="76"/>
      <c r="D707" s="76" t="s">
        <v>7636</v>
      </c>
      <c r="E707" s="76" t="s">
        <v>6136</v>
      </c>
      <c r="F707" s="76" t="s">
        <v>6137</v>
      </c>
    </row>
    <row r="708" spans="1:6" ht="63.95" customHeight="1">
      <c r="A708" s="76" t="s">
        <v>5976</v>
      </c>
      <c r="B708" s="76" t="s">
        <v>7637</v>
      </c>
      <c r="C708" s="76"/>
      <c r="D708" s="76" t="s">
        <v>7638</v>
      </c>
      <c r="E708" s="76" t="s">
        <v>6136</v>
      </c>
      <c r="F708" s="76" t="s">
        <v>6137</v>
      </c>
    </row>
    <row r="709" spans="1:6" ht="63.95" customHeight="1">
      <c r="A709" s="76" t="s">
        <v>5976</v>
      </c>
      <c r="B709" s="76" t="s">
        <v>7639</v>
      </c>
      <c r="C709" s="76" t="s">
        <v>7640</v>
      </c>
      <c r="D709" s="76" t="s">
        <v>7641</v>
      </c>
      <c r="E709" s="76" t="s">
        <v>6136</v>
      </c>
      <c r="F709" s="76" t="s">
        <v>6137</v>
      </c>
    </row>
    <row r="710" spans="1:6" ht="63.95" customHeight="1">
      <c r="A710" s="76" t="s">
        <v>5976</v>
      </c>
      <c r="B710" s="76" t="s">
        <v>7642</v>
      </c>
      <c r="C710" s="76"/>
      <c r="D710" s="76" t="s">
        <v>7643</v>
      </c>
      <c r="E710" s="76" t="s">
        <v>6136</v>
      </c>
      <c r="F710" s="76" t="s">
        <v>6137</v>
      </c>
    </row>
    <row r="711" spans="1:6" ht="63.95" customHeight="1">
      <c r="A711" s="76" t="s">
        <v>5976</v>
      </c>
      <c r="B711" s="76" t="s">
        <v>7644</v>
      </c>
      <c r="C711" s="76"/>
      <c r="D711" s="76" t="s">
        <v>7645</v>
      </c>
      <c r="E711" s="76" t="s">
        <v>6136</v>
      </c>
      <c r="F711" s="76" t="s">
        <v>6137</v>
      </c>
    </row>
    <row r="712" spans="1:6" ht="63.95" customHeight="1">
      <c r="A712" s="76" t="s">
        <v>5976</v>
      </c>
      <c r="B712" s="76" t="s">
        <v>7646</v>
      </c>
      <c r="C712" s="76" t="s">
        <v>7647</v>
      </c>
      <c r="D712" s="76" t="s">
        <v>7648</v>
      </c>
      <c r="E712" s="76" t="s">
        <v>6136</v>
      </c>
      <c r="F712" s="76" t="s">
        <v>6137</v>
      </c>
    </row>
    <row r="713" spans="1:6" ht="63.95" customHeight="1">
      <c r="A713" s="76" t="s">
        <v>5976</v>
      </c>
      <c r="B713" s="76" t="s">
        <v>7649</v>
      </c>
      <c r="C713" s="76"/>
      <c r="D713" s="76" t="s">
        <v>7650</v>
      </c>
      <c r="E713" s="76" t="s">
        <v>6136</v>
      </c>
      <c r="F713" s="76" t="s">
        <v>6137</v>
      </c>
    </row>
    <row r="714" spans="1:6" ht="63.95" customHeight="1">
      <c r="A714" s="76" t="s">
        <v>5976</v>
      </c>
      <c r="B714" s="76" t="s">
        <v>7651</v>
      </c>
      <c r="C714" s="76"/>
      <c r="D714" s="76" t="s">
        <v>7652</v>
      </c>
      <c r="E714" s="76" t="s">
        <v>6136</v>
      </c>
      <c r="F714" s="76" t="s">
        <v>6137</v>
      </c>
    </row>
    <row r="715" spans="1:6" ht="63.95" customHeight="1">
      <c r="A715" s="76" t="s">
        <v>5976</v>
      </c>
      <c r="B715" s="76" t="s">
        <v>7653</v>
      </c>
      <c r="C715" s="76" t="s">
        <v>7654</v>
      </c>
      <c r="D715" s="76" t="s">
        <v>7655</v>
      </c>
      <c r="E715" s="76" t="s">
        <v>6136</v>
      </c>
      <c r="F715" s="76" t="s">
        <v>6137</v>
      </c>
    </row>
    <row r="716" spans="1:6" ht="63.95" customHeight="1">
      <c r="A716" s="76" t="s">
        <v>5976</v>
      </c>
      <c r="B716" s="76" t="s">
        <v>7656</v>
      </c>
      <c r="C716" s="76"/>
      <c r="D716" s="76" t="s">
        <v>7657</v>
      </c>
      <c r="E716" s="76" t="s">
        <v>6136</v>
      </c>
      <c r="F716" s="76" t="s">
        <v>6137</v>
      </c>
    </row>
    <row r="717" spans="1:6" ht="63.95" customHeight="1">
      <c r="A717" s="76" t="s">
        <v>5976</v>
      </c>
      <c r="B717" s="76" t="s">
        <v>7658</v>
      </c>
      <c r="C717" s="76"/>
      <c r="D717" s="76" t="s">
        <v>7659</v>
      </c>
      <c r="E717" s="76" t="s">
        <v>6136</v>
      </c>
      <c r="F717" s="76" t="s">
        <v>6137</v>
      </c>
    </row>
    <row r="718" spans="1:6" ht="63.95" customHeight="1">
      <c r="A718" s="76" t="s">
        <v>5976</v>
      </c>
      <c r="B718" s="76" t="s">
        <v>7660</v>
      </c>
      <c r="C718" s="76" t="s">
        <v>7661</v>
      </c>
      <c r="D718" s="76" t="s">
        <v>7662</v>
      </c>
      <c r="E718" s="76" t="s">
        <v>6136</v>
      </c>
      <c r="F718" s="76" t="s">
        <v>6137</v>
      </c>
    </row>
    <row r="719" spans="1:6" ht="63.95" customHeight="1">
      <c r="A719" s="76" t="s">
        <v>5976</v>
      </c>
      <c r="B719" s="76" t="s">
        <v>7663</v>
      </c>
      <c r="C719" s="76"/>
      <c r="D719" s="76" t="s">
        <v>7664</v>
      </c>
      <c r="E719" s="76" t="s">
        <v>6136</v>
      </c>
      <c r="F719" s="76" t="s">
        <v>6137</v>
      </c>
    </row>
    <row r="720" spans="1:6" ht="63.95" customHeight="1">
      <c r="A720" s="76" t="s">
        <v>5976</v>
      </c>
      <c r="B720" s="76" t="s">
        <v>7665</v>
      </c>
      <c r="C720" s="76"/>
      <c r="D720" s="76" t="s">
        <v>7666</v>
      </c>
      <c r="E720" s="76" t="s">
        <v>6136</v>
      </c>
      <c r="F720" s="76" t="s">
        <v>6137</v>
      </c>
    </row>
    <row r="721" spans="1:6" ht="63.95" customHeight="1">
      <c r="A721" s="76" t="s">
        <v>5978</v>
      </c>
      <c r="B721" s="76" t="s">
        <v>3503</v>
      </c>
      <c r="C721" s="76" t="s">
        <v>7667</v>
      </c>
      <c r="D721" s="76" t="s">
        <v>1831</v>
      </c>
      <c r="E721" s="76" t="s">
        <v>7668</v>
      </c>
      <c r="F721" s="76"/>
    </row>
    <row r="722" spans="1:6" ht="63.95" customHeight="1">
      <c r="A722" s="76" t="s">
        <v>5978</v>
      </c>
      <c r="B722" s="76" t="s">
        <v>7669</v>
      </c>
      <c r="C722" s="76" t="s">
        <v>7670</v>
      </c>
      <c r="D722" s="76" t="s">
        <v>1839</v>
      </c>
      <c r="E722" s="76" t="s">
        <v>7668</v>
      </c>
      <c r="F722" s="76"/>
    </row>
    <row r="723" spans="1:6" ht="63.95" customHeight="1">
      <c r="A723" s="76" t="s">
        <v>5978</v>
      </c>
      <c r="B723" s="76" t="s">
        <v>7671</v>
      </c>
      <c r="C723" s="76" t="s">
        <v>7672</v>
      </c>
      <c r="D723" s="76" t="s">
        <v>1840</v>
      </c>
      <c r="E723" s="76" t="s">
        <v>7668</v>
      </c>
      <c r="F723" s="76"/>
    </row>
    <row r="724" spans="1:6" ht="63.95" customHeight="1">
      <c r="A724" s="76" t="s">
        <v>5978</v>
      </c>
      <c r="B724" s="76" t="s">
        <v>7673</v>
      </c>
      <c r="C724" s="76" t="s">
        <v>7674</v>
      </c>
      <c r="D724" s="76" t="s">
        <v>1841</v>
      </c>
      <c r="E724" s="76" t="s">
        <v>7668</v>
      </c>
      <c r="F724" s="76"/>
    </row>
    <row r="725" spans="1:6" ht="63.95" customHeight="1">
      <c r="A725" s="76" t="s">
        <v>5978</v>
      </c>
      <c r="B725" s="76" t="s">
        <v>7675</v>
      </c>
      <c r="C725" s="76" t="s">
        <v>7676</v>
      </c>
      <c r="D725" s="76" t="s">
        <v>7677</v>
      </c>
      <c r="E725" s="76" t="s">
        <v>7678</v>
      </c>
      <c r="F725" s="76"/>
    </row>
    <row r="726" spans="1:6" ht="63.95" customHeight="1">
      <c r="A726" s="76" t="s">
        <v>5978</v>
      </c>
      <c r="B726" s="76" t="s">
        <v>7679</v>
      </c>
      <c r="C726" s="76" t="s">
        <v>7680</v>
      </c>
      <c r="D726" s="76" t="s">
        <v>7681</v>
      </c>
      <c r="E726" s="76" t="s">
        <v>7678</v>
      </c>
      <c r="F726" s="76"/>
    </row>
    <row r="727" spans="1:6" ht="63.95" customHeight="1">
      <c r="A727" s="76" t="s">
        <v>5978</v>
      </c>
      <c r="B727" s="76" t="s">
        <v>7682</v>
      </c>
      <c r="C727" s="76" t="s">
        <v>7683</v>
      </c>
      <c r="D727" s="76" t="s">
        <v>7684</v>
      </c>
      <c r="E727" s="76" t="s">
        <v>7678</v>
      </c>
      <c r="F727" s="76"/>
    </row>
    <row r="728" spans="1:6" ht="63.95" customHeight="1">
      <c r="A728" s="76" t="s">
        <v>5978</v>
      </c>
      <c r="B728" s="76" t="s">
        <v>7685</v>
      </c>
      <c r="C728" s="76" t="s">
        <v>7686</v>
      </c>
      <c r="D728" s="76" t="s">
        <v>7687</v>
      </c>
      <c r="E728" s="76" t="s">
        <v>7678</v>
      </c>
      <c r="F728" s="76"/>
    </row>
    <row r="729" spans="1:6" ht="63.95" customHeight="1">
      <c r="A729" s="76" t="s">
        <v>5978</v>
      </c>
      <c r="B729" s="76" t="s">
        <v>7688</v>
      </c>
      <c r="C729" s="76" t="s">
        <v>7689</v>
      </c>
      <c r="D729" s="76" t="s">
        <v>7690</v>
      </c>
      <c r="E729" s="76" t="s">
        <v>7678</v>
      </c>
      <c r="F729" s="76"/>
    </row>
    <row r="730" spans="1:6" ht="63.95" customHeight="1">
      <c r="A730" s="76" t="s">
        <v>5978</v>
      </c>
      <c r="B730" s="76" t="s">
        <v>7691</v>
      </c>
      <c r="C730" s="76" t="s">
        <v>7692</v>
      </c>
      <c r="D730" s="76" t="s">
        <v>7693</v>
      </c>
      <c r="E730" s="76" t="s">
        <v>7678</v>
      </c>
      <c r="F730" s="76"/>
    </row>
    <row r="731" spans="1:6" ht="63.95" customHeight="1">
      <c r="A731" s="76" t="s">
        <v>5978</v>
      </c>
      <c r="B731" s="76" t="s">
        <v>7694</v>
      </c>
      <c r="C731" s="76" t="s">
        <v>7695</v>
      </c>
      <c r="D731" s="76" t="s">
        <v>7696</v>
      </c>
      <c r="E731" s="76" t="s">
        <v>7678</v>
      </c>
      <c r="F731" s="76"/>
    </row>
    <row r="732" spans="1:6" ht="63.95" customHeight="1">
      <c r="A732" s="76" t="s">
        <v>5978</v>
      </c>
      <c r="B732" s="76" t="s">
        <v>7697</v>
      </c>
      <c r="C732" s="76" t="s">
        <v>7698</v>
      </c>
      <c r="D732" s="76" t="s">
        <v>7699</v>
      </c>
      <c r="E732" s="76" t="s">
        <v>7678</v>
      </c>
      <c r="F732" s="76"/>
    </row>
    <row r="733" spans="1:6" ht="63.95" customHeight="1">
      <c r="A733" s="76" t="s">
        <v>5978</v>
      </c>
      <c r="B733" s="76" t="s">
        <v>7700</v>
      </c>
      <c r="C733" s="76" t="s">
        <v>7701</v>
      </c>
      <c r="D733" s="76" t="s">
        <v>7702</v>
      </c>
      <c r="E733" s="76" t="s">
        <v>7678</v>
      </c>
      <c r="F733" s="76"/>
    </row>
    <row r="734" spans="1:6" ht="63.95" customHeight="1">
      <c r="A734" s="76" t="s">
        <v>5978</v>
      </c>
      <c r="B734" s="76" t="s">
        <v>7703</v>
      </c>
      <c r="C734" s="76" t="s">
        <v>7704</v>
      </c>
      <c r="D734" s="76" t="s">
        <v>7705</v>
      </c>
      <c r="E734" s="76" t="s">
        <v>7678</v>
      </c>
      <c r="F734" s="76"/>
    </row>
    <row r="735" spans="1:6" ht="63.95" customHeight="1">
      <c r="A735" s="76" t="s">
        <v>5978</v>
      </c>
      <c r="B735" s="76" t="s">
        <v>7706</v>
      </c>
      <c r="C735" s="76" t="s">
        <v>7707</v>
      </c>
      <c r="D735" s="76" t="s">
        <v>7708</v>
      </c>
      <c r="E735" s="76" t="s">
        <v>7678</v>
      </c>
      <c r="F735" s="76"/>
    </row>
    <row r="736" spans="1:6" ht="63.95" customHeight="1">
      <c r="A736" s="76" t="s">
        <v>5978</v>
      </c>
      <c r="B736" s="76" t="s">
        <v>7709</v>
      </c>
      <c r="C736" s="76" t="s">
        <v>7710</v>
      </c>
      <c r="D736" s="76" t="s">
        <v>7711</v>
      </c>
      <c r="E736" s="76" t="s">
        <v>7678</v>
      </c>
      <c r="F736" s="76"/>
    </row>
    <row r="737" spans="1:6" ht="63.95" customHeight="1">
      <c r="A737" s="76" t="s">
        <v>5978</v>
      </c>
      <c r="B737" s="76" t="s">
        <v>7712</v>
      </c>
      <c r="C737" s="76" t="s">
        <v>7713</v>
      </c>
      <c r="D737" s="76" t="s">
        <v>7714</v>
      </c>
      <c r="E737" s="76" t="s">
        <v>7678</v>
      </c>
      <c r="F737" s="76"/>
    </row>
    <row r="738" spans="1:6" ht="63.95" customHeight="1">
      <c r="A738" s="76" t="s">
        <v>5978</v>
      </c>
      <c r="B738" s="76" t="s">
        <v>7715</v>
      </c>
      <c r="C738" s="76" t="s">
        <v>7716</v>
      </c>
      <c r="D738" s="76" t="s">
        <v>7717</v>
      </c>
      <c r="E738" s="76" t="s">
        <v>7678</v>
      </c>
      <c r="F738" s="76"/>
    </row>
    <row r="739" spans="1:6" ht="63.95" customHeight="1">
      <c r="A739" s="76" t="s">
        <v>5978</v>
      </c>
      <c r="B739" s="76" t="s">
        <v>7718</v>
      </c>
      <c r="C739" s="76" t="s">
        <v>7719</v>
      </c>
      <c r="D739" s="76" t="s">
        <v>7720</v>
      </c>
      <c r="E739" s="76" t="s">
        <v>7678</v>
      </c>
      <c r="F739" s="76"/>
    </row>
    <row r="740" spans="1:6" ht="63.95" customHeight="1">
      <c r="A740" s="76" t="s">
        <v>5978</v>
      </c>
      <c r="B740" s="76" t="s">
        <v>7721</v>
      </c>
      <c r="C740" s="76" t="s">
        <v>7722</v>
      </c>
      <c r="D740" s="76" t="s">
        <v>7723</v>
      </c>
      <c r="E740" s="76" t="s">
        <v>7678</v>
      </c>
      <c r="F740" s="76"/>
    </row>
    <row r="741" spans="1:6" ht="63.95" customHeight="1">
      <c r="A741" s="76" t="s">
        <v>5978</v>
      </c>
      <c r="B741" s="76" t="s">
        <v>7724</v>
      </c>
      <c r="C741" s="76" t="s">
        <v>7725</v>
      </c>
      <c r="D741" s="76" t="s">
        <v>7726</v>
      </c>
      <c r="E741" s="76" t="s">
        <v>7678</v>
      </c>
      <c r="F741" s="76"/>
    </row>
    <row r="742" spans="1:6" ht="63.95" customHeight="1">
      <c r="A742" s="76" t="s">
        <v>5978</v>
      </c>
      <c r="B742" s="76" t="s">
        <v>7727</v>
      </c>
      <c r="C742" s="76" t="s">
        <v>7728</v>
      </c>
      <c r="D742" s="76" t="s">
        <v>7729</v>
      </c>
      <c r="E742" s="76" t="s">
        <v>7678</v>
      </c>
      <c r="F742" s="76"/>
    </row>
    <row r="743" spans="1:6" ht="63.95" customHeight="1">
      <c r="A743" s="76" t="s">
        <v>5978</v>
      </c>
      <c r="B743" s="76" t="s">
        <v>7730</v>
      </c>
      <c r="C743" s="76" t="s">
        <v>7731</v>
      </c>
      <c r="D743" s="76" t="s">
        <v>7732</v>
      </c>
      <c r="E743" s="76" t="s">
        <v>7678</v>
      </c>
      <c r="F743" s="76"/>
    </row>
    <row r="744" spans="1:6" ht="63.95" customHeight="1">
      <c r="A744" s="76" t="s">
        <v>5978</v>
      </c>
      <c r="B744" s="76" t="s">
        <v>7733</v>
      </c>
      <c r="C744" s="76" t="s">
        <v>7734</v>
      </c>
      <c r="D744" s="76" t="s">
        <v>7735</v>
      </c>
      <c r="E744" s="76" t="s">
        <v>7678</v>
      </c>
      <c r="F744" s="76"/>
    </row>
    <row r="745" spans="1:6" ht="63.95" customHeight="1">
      <c r="A745" s="76" t="s">
        <v>5979</v>
      </c>
      <c r="B745" s="76" t="s">
        <v>3740</v>
      </c>
      <c r="C745" s="76" t="s">
        <v>7736</v>
      </c>
      <c r="D745" s="76" t="s">
        <v>1853</v>
      </c>
      <c r="E745" s="76" t="s">
        <v>7668</v>
      </c>
      <c r="F745" s="76"/>
    </row>
    <row r="746" spans="1:6" ht="63.95" customHeight="1">
      <c r="A746" s="76" t="s">
        <v>5979</v>
      </c>
      <c r="B746" s="76" t="s">
        <v>7737</v>
      </c>
      <c r="C746" s="76" t="s">
        <v>7738</v>
      </c>
      <c r="D746" s="76" t="s">
        <v>1854</v>
      </c>
      <c r="E746" s="76" t="s">
        <v>7668</v>
      </c>
      <c r="F746" s="76"/>
    </row>
    <row r="747" spans="1:6" ht="63.95" customHeight="1">
      <c r="A747" s="76" t="s">
        <v>5979</v>
      </c>
      <c r="B747" s="76" t="s">
        <v>3743</v>
      </c>
      <c r="C747" s="76" t="s">
        <v>7739</v>
      </c>
      <c r="D747" s="76" t="s">
        <v>7740</v>
      </c>
      <c r="E747" s="76" t="s">
        <v>7678</v>
      </c>
      <c r="F747" s="76"/>
    </row>
    <row r="748" spans="1:6" ht="63.95" customHeight="1">
      <c r="A748" s="76" t="s">
        <v>5979</v>
      </c>
      <c r="B748" s="76" t="s">
        <v>7741</v>
      </c>
      <c r="C748" s="76" t="s">
        <v>7742</v>
      </c>
      <c r="D748" s="76" t="s">
        <v>7743</v>
      </c>
      <c r="E748" s="76" t="s">
        <v>7678</v>
      </c>
      <c r="F748" s="76"/>
    </row>
    <row r="749" spans="1:6" ht="63.95" customHeight="1">
      <c r="A749" s="76" t="s">
        <v>5979</v>
      </c>
      <c r="B749" s="76" t="s">
        <v>3746</v>
      </c>
      <c r="C749" s="76" t="s">
        <v>7744</v>
      </c>
      <c r="D749" s="76" t="s">
        <v>7745</v>
      </c>
      <c r="E749" s="76" t="s">
        <v>7678</v>
      </c>
      <c r="F749" s="76"/>
    </row>
    <row r="750" spans="1:6" ht="63.95" customHeight="1">
      <c r="A750" s="76" t="s">
        <v>5979</v>
      </c>
      <c r="B750" s="76" t="s">
        <v>7746</v>
      </c>
      <c r="C750" s="76" t="s">
        <v>7747</v>
      </c>
      <c r="D750" s="76" t="s">
        <v>7748</v>
      </c>
      <c r="E750" s="76" t="s">
        <v>7678</v>
      </c>
      <c r="F750" s="76"/>
    </row>
    <row r="751" spans="1:6" ht="63.95" customHeight="1">
      <c r="A751" s="76" t="s">
        <v>5979</v>
      </c>
      <c r="B751" s="76" t="s">
        <v>3749</v>
      </c>
      <c r="C751" s="76" t="s">
        <v>7749</v>
      </c>
      <c r="D751" s="76" t="s">
        <v>7750</v>
      </c>
      <c r="E751" s="76" t="s">
        <v>7678</v>
      </c>
      <c r="F751" s="76"/>
    </row>
    <row r="752" spans="1:6" ht="63.95" customHeight="1">
      <c r="A752" s="76" t="s">
        <v>5979</v>
      </c>
      <c r="B752" s="76" t="s">
        <v>7751</v>
      </c>
      <c r="C752" s="76" t="s">
        <v>7752</v>
      </c>
      <c r="D752" s="76" t="s">
        <v>7753</v>
      </c>
      <c r="E752" s="76" t="s">
        <v>7678</v>
      </c>
      <c r="F752" s="76"/>
    </row>
    <row r="753" spans="1:6" ht="63.95" customHeight="1">
      <c r="A753" s="76" t="s">
        <v>5979</v>
      </c>
      <c r="B753" s="76" t="s">
        <v>3752</v>
      </c>
      <c r="C753" s="76" t="s">
        <v>7754</v>
      </c>
      <c r="D753" s="76" t="s">
        <v>7755</v>
      </c>
      <c r="E753" s="76" t="s">
        <v>7678</v>
      </c>
      <c r="F753" s="76"/>
    </row>
    <row r="754" spans="1:6" ht="63.95" customHeight="1">
      <c r="A754" s="76" t="s">
        <v>5979</v>
      </c>
      <c r="B754" s="76" t="s">
        <v>7756</v>
      </c>
      <c r="C754" s="76" t="s">
        <v>7757</v>
      </c>
      <c r="D754" s="76" t="s">
        <v>7758</v>
      </c>
      <c r="E754" s="76" t="s">
        <v>7678</v>
      </c>
      <c r="F754" s="76"/>
    </row>
    <row r="755" spans="1:6" ht="63.95" customHeight="1">
      <c r="A755" s="76" t="s">
        <v>5979</v>
      </c>
      <c r="B755" s="76" t="s">
        <v>7759</v>
      </c>
      <c r="C755" s="76" t="s">
        <v>7760</v>
      </c>
      <c r="D755" s="76" t="s">
        <v>7761</v>
      </c>
      <c r="E755" s="76" t="s">
        <v>7678</v>
      </c>
      <c r="F755" s="76"/>
    </row>
    <row r="756" spans="1:6" ht="63.95" customHeight="1">
      <c r="A756" s="76" t="s">
        <v>5979</v>
      </c>
      <c r="B756" s="76" t="s">
        <v>7762</v>
      </c>
      <c r="C756" s="76" t="s">
        <v>7763</v>
      </c>
      <c r="D756" s="76" t="s">
        <v>7764</v>
      </c>
      <c r="E756" s="76" t="s">
        <v>7678</v>
      </c>
      <c r="F756" s="76"/>
    </row>
    <row r="757" spans="1:6" ht="63.95" customHeight="1">
      <c r="A757" s="76" t="s">
        <v>5979</v>
      </c>
      <c r="B757" s="76" t="s">
        <v>7765</v>
      </c>
      <c r="C757" s="76" t="s">
        <v>7766</v>
      </c>
      <c r="D757" s="76" t="s">
        <v>7767</v>
      </c>
      <c r="E757" s="76" t="s">
        <v>7678</v>
      </c>
      <c r="F757" s="76"/>
    </row>
    <row r="758" spans="1:6" ht="63.95" customHeight="1">
      <c r="A758" s="76" t="s">
        <v>5979</v>
      </c>
      <c r="B758" s="76" t="s">
        <v>7768</v>
      </c>
      <c r="C758" s="76" t="s">
        <v>7769</v>
      </c>
      <c r="D758" s="76" t="s">
        <v>7770</v>
      </c>
      <c r="E758" s="76" t="s">
        <v>7678</v>
      </c>
      <c r="F758" s="76"/>
    </row>
    <row r="759" spans="1:6" ht="63.95" customHeight="1">
      <c r="A759" s="76" t="s">
        <v>5979</v>
      </c>
      <c r="B759" s="76" t="s">
        <v>7771</v>
      </c>
      <c r="C759" s="76" t="s">
        <v>7772</v>
      </c>
      <c r="D759" s="76" t="s">
        <v>7773</v>
      </c>
      <c r="E759" s="76" t="s">
        <v>7678</v>
      </c>
      <c r="F759" s="76"/>
    </row>
    <row r="760" spans="1:6" ht="63.95" customHeight="1">
      <c r="A760" s="76" t="s">
        <v>5979</v>
      </c>
      <c r="B760" s="76" t="s">
        <v>7774</v>
      </c>
      <c r="C760" s="76" t="s">
        <v>7775</v>
      </c>
      <c r="D760" s="76" t="s">
        <v>7776</v>
      </c>
      <c r="E760" s="76" t="s">
        <v>7678</v>
      </c>
      <c r="F760" s="76"/>
    </row>
    <row r="761" spans="1:6" ht="63.95" customHeight="1">
      <c r="A761" s="76" t="s">
        <v>5979</v>
      </c>
      <c r="B761" s="76" t="s">
        <v>7777</v>
      </c>
      <c r="C761" s="76" t="s">
        <v>7778</v>
      </c>
      <c r="D761" s="76" t="s">
        <v>7779</v>
      </c>
      <c r="E761" s="76" t="s">
        <v>7678</v>
      </c>
      <c r="F761" s="76"/>
    </row>
    <row r="762" spans="1:6" ht="63.95" customHeight="1">
      <c r="A762" s="76" t="s">
        <v>5979</v>
      </c>
      <c r="B762" s="76" t="s">
        <v>7780</v>
      </c>
      <c r="C762" s="76" t="s">
        <v>7781</v>
      </c>
      <c r="D762" s="76" t="s">
        <v>7782</v>
      </c>
      <c r="E762" s="76" t="s">
        <v>7678</v>
      </c>
      <c r="F762" s="76"/>
    </row>
    <row r="763" spans="1:6" ht="63.95" customHeight="1">
      <c r="A763" s="76" t="s">
        <v>5979</v>
      </c>
      <c r="B763" s="76" t="s">
        <v>7783</v>
      </c>
      <c r="C763" s="76" t="s">
        <v>7784</v>
      </c>
      <c r="D763" s="76" t="s">
        <v>7785</v>
      </c>
      <c r="E763" s="76" t="s">
        <v>7678</v>
      </c>
      <c r="F763" s="76"/>
    </row>
    <row r="764" spans="1:6" ht="63.95" customHeight="1">
      <c r="A764" s="76" t="s">
        <v>5979</v>
      </c>
      <c r="B764" s="76" t="s">
        <v>7786</v>
      </c>
      <c r="C764" s="76" t="s">
        <v>7787</v>
      </c>
      <c r="D764" s="76" t="s">
        <v>7788</v>
      </c>
      <c r="E764" s="76" t="s">
        <v>7678</v>
      </c>
      <c r="F764" s="76"/>
    </row>
    <row r="765" spans="1:6" ht="63.95" customHeight="1">
      <c r="A765" s="76" t="s">
        <v>5979</v>
      </c>
      <c r="B765" s="76" t="s">
        <v>7789</v>
      </c>
      <c r="C765" s="76" t="s">
        <v>7790</v>
      </c>
      <c r="D765" s="76" t="s">
        <v>7791</v>
      </c>
      <c r="E765" s="76" t="s">
        <v>7678</v>
      </c>
      <c r="F765" s="76"/>
    </row>
    <row r="766" spans="1:6" ht="63.95" customHeight="1">
      <c r="A766" s="76" t="s">
        <v>5979</v>
      </c>
      <c r="B766" s="76" t="s">
        <v>7792</v>
      </c>
      <c r="C766" s="76" t="s">
        <v>7793</v>
      </c>
      <c r="D766" s="76" t="s">
        <v>7794</v>
      </c>
      <c r="E766" s="76" t="s">
        <v>7678</v>
      </c>
      <c r="F766" s="76"/>
    </row>
    <row r="767" spans="1:6" ht="63.95" customHeight="1">
      <c r="A767" s="76" t="s">
        <v>5979</v>
      </c>
      <c r="B767" s="76" t="s">
        <v>7795</v>
      </c>
      <c r="C767" s="76" t="s">
        <v>7796</v>
      </c>
      <c r="D767" s="76" t="s">
        <v>7797</v>
      </c>
      <c r="E767" s="76" t="s">
        <v>7678</v>
      </c>
      <c r="F767" s="76"/>
    </row>
    <row r="768" spans="1:6" ht="63.95" customHeight="1">
      <c r="A768" s="76" t="s">
        <v>5979</v>
      </c>
      <c r="B768" s="76" t="s">
        <v>7798</v>
      </c>
      <c r="C768" s="76" t="s">
        <v>7799</v>
      </c>
      <c r="D768" s="76" t="s">
        <v>7800</v>
      </c>
      <c r="E768" s="76" t="s">
        <v>7678</v>
      </c>
      <c r="F768" s="76"/>
    </row>
    <row r="769" spans="1:6" ht="63.95" customHeight="1">
      <c r="A769" s="76" t="s">
        <v>5979</v>
      </c>
      <c r="B769" s="76" t="s">
        <v>7801</v>
      </c>
      <c r="C769" s="76" t="s">
        <v>7802</v>
      </c>
      <c r="D769" s="76" t="s">
        <v>7803</v>
      </c>
      <c r="E769" s="76" t="s">
        <v>7678</v>
      </c>
      <c r="F769" s="76"/>
    </row>
    <row r="770" spans="1:6" ht="63.95" customHeight="1">
      <c r="A770" s="76" t="s">
        <v>5979</v>
      </c>
      <c r="B770" s="76" t="s">
        <v>7804</v>
      </c>
      <c r="C770" s="76" t="s">
        <v>7805</v>
      </c>
      <c r="D770" s="76" t="s">
        <v>7806</v>
      </c>
      <c r="E770" s="76" t="s">
        <v>7678</v>
      </c>
      <c r="F770" s="76"/>
    </row>
    <row r="771" spans="1:6" ht="63.95" customHeight="1">
      <c r="A771" s="76" t="s">
        <v>5979</v>
      </c>
      <c r="B771" s="76" t="s">
        <v>7807</v>
      </c>
      <c r="C771" s="76" t="s">
        <v>7808</v>
      </c>
      <c r="D771" s="76" t="s">
        <v>7809</v>
      </c>
      <c r="E771" s="76" t="s">
        <v>7678</v>
      </c>
      <c r="F771" s="76"/>
    </row>
    <row r="772" spans="1:6" ht="63.95" customHeight="1">
      <c r="A772" s="76" t="s">
        <v>5979</v>
      </c>
      <c r="B772" s="76" t="s">
        <v>7810</v>
      </c>
      <c r="C772" s="76" t="s">
        <v>7811</v>
      </c>
      <c r="D772" s="76" t="s">
        <v>7812</v>
      </c>
      <c r="E772" s="76" t="s">
        <v>7678</v>
      </c>
      <c r="F772" s="76"/>
    </row>
    <row r="773" spans="1:6" ht="63.95" customHeight="1">
      <c r="A773" s="76" t="s">
        <v>5979</v>
      </c>
      <c r="B773" s="76" t="s">
        <v>7813</v>
      </c>
      <c r="C773" s="76" t="s">
        <v>7814</v>
      </c>
      <c r="D773" s="76" t="s">
        <v>7815</v>
      </c>
      <c r="E773" s="76" t="s">
        <v>7678</v>
      </c>
      <c r="F773" s="76"/>
    </row>
    <row r="774" spans="1:6" ht="63.95" customHeight="1">
      <c r="A774" s="76" t="s">
        <v>5979</v>
      </c>
      <c r="B774" s="76" t="s">
        <v>7816</v>
      </c>
      <c r="C774" s="76" t="s">
        <v>7817</v>
      </c>
      <c r="D774" s="76" t="s">
        <v>7818</v>
      </c>
      <c r="E774" s="76" t="s">
        <v>7678</v>
      </c>
      <c r="F774" s="76"/>
    </row>
    <row r="775" spans="1:6" ht="63.95" customHeight="1">
      <c r="A775" s="76" t="s">
        <v>5979</v>
      </c>
      <c r="B775" s="76" t="s">
        <v>7819</v>
      </c>
      <c r="C775" s="76" t="s">
        <v>7820</v>
      </c>
      <c r="D775" s="76" t="s">
        <v>7821</v>
      </c>
      <c r="E775" s="76" t="s">
        <v>7678</v>
      </c>
      <c r="F775" s="76"/>
    </row>
    <row r="776" spans="1:6" ht="63.95" customHeight="1">
      <c r="A776" s="76" t="s">
        <v>5979</v>
      </c>
      <c r="B776" s="76" t="s">
        <v>7822</v>
      </c>
      <c r="C776" s="76" t="s">
        <v>7823</v>
      </c>
      <c r="D776" s="76" t="s">
        <v>7824</v>
      </c>
      <c r="E776" s="76" t="s">
        <v>7678</v>
      </c>
      <c r="F776" s="76"/>
    </row>
    <row r="777" spans="1:6" ht="63.95" customHeight="1">
      <c r="A777" s="76" t="s">
        <v>5979</v>
      </c>
      <c r="B777" s="76" t="s">
        <v>7825</v>
      </c>
      <c r="C777" s="76" t="s">
        <v>7826</v>
      </c>
      <c r="D777" s="76" t="s">
        <v>7827</v>
      </c>
      <c r="E777" s="76" t="s">
        <v>7678</v>
      </c>
      <c r="F777" s="76"/>
    </row>
    <row r="778" spans="1:6" ht="63.95" customHeight="1">
      <c r="A778" s="76" t="s">
        <v>5979</v>
      </c>
      <c r="B778" s="76" t="s">
        <v>7828</v>
      </c>
      <c r="C778" s="76" t="s">
        <v>7829</v>
      </c>
      <c r="D778" s="76" t="s">
        <v>7830</v>
      </c>
      <c r="E778" s="76" t="s">
        <v>7678</v>
      </c>
      <c r="F778" s="76"/>
    </row>
    <row r="779" spans="1:6" ht="63.95" customHeight="1">
      <c r="A779" s="76" t="s">
        <v>5979</v>
      </c>
      <c r="B779" s="76" t="s">
        <v>7831</v>
      </c>
      <c r="C779" s="76" t="s">
        <v>7832</v>
      </c>
      <c r="D779" s="76" t="s">
        <v>7833</v>
      </c>
      <c r="E779" s="76" t="s">
        <v>7678</v>
      </c>
      <c r="F779" s="76"/>
    </row>
    <row r="780" spans="1:6" ht="63.95" customHeight="1">
      <c r="A780" s="76" t="s">
        <v>5979</v>
      </c>
      <c r="B780" s="76" t="s">
        <v>7834</v>
      </c>
      <c r="C780" s="76" t="s">
        <v>7835</v>
      </c>
      <c r="D780" s="76" t="s">
        <v>7836</v>
      </c>
      <c r="E780" s="76" t="s">
        <v>7678</v>
      </c>
      <c r="F780" s="76"/>
    </row>
    <row r="781" spans="1:6" ht="63.95" customHeight="1">
      <c r="A781" s="76" t="s">
        <v>5979</v>
      </c>
      <c r="B781" s="76" t="s">
        <v>7837</v>
      </c>
      <c r="C781" s="76" t="s">
        <v>7838</v>
      </c>
      <c r="D781" s="76" t="s">
        <v>7839</v>
      </c>
      <c r="E781" s="76" t="s">
        <v>7678</v>
      </c>
      <c r="F781" s="76"/>
    </row>
    <row r="782" spans="1:6" ht="63.95" customHeight="1">
      <c r="A782" s="76" t="s">
        <v>5979</v>
      </c>
      <c r="B782" s="76" t="s">
        <v>7840</v>
      </c>
      <c r="C782" s="76" t="s">
        <v>7841</v>
      </c>
      <c r="D782" s="76" t="s">
        <v>7842</v>
      </c>
      <c r="E782" s="76" t="s">
        <v>7678</v>
      </c>
      <c r="F782" s="76"/>
    </row>
    <row r="783" spans="1:6" ht="63.95" customHeight="1">
      <c r="A783" s="76" t="s">
        <v>5979</v>
      </c>
      <c r="B783" s="76" t="s">
        <v>7843</v>
      </c>
      <c r="C783" s="76" t="s">
        <v>7844</v>
      </c>
      <c r="D783" s="76" t="s">
        <v>7845</v>
      </c>
      <c r="E783" s="76" t="s">
        <v>7678</v>
      </c>
      <c r="F783" s="76"/>
    </row>
    <row r="784" spans="1:6" ht="63.95" customHeight="1">
      <c r="A784" s="76" t="s">
        <v>5979</v>
      </c>
      <c r="B784" s="76" t="s">
        <v>7846</v>
      </c>
      <c r="C784" s="76" t="s">
        <v>7847</v>
      </c>
      <c r="D784" s="76" t="s">
        <v>7848</v>
      </c>
      <c r="E784" s="76" t="s">
        <v>7678</v>
      </c>
      <c r="F784" s="76"/>
    </row>
    <row r="785" spans="1:6" ht="63.95" customHeight="1">
      <c r="A785" s="76" t="s">
        <v>5979</v>
      </c>
      <c r="B785" s="76" t="s">
        <v>7849</v>
      </c>
      <c r="C785" s="76" t="s">
        <v>7850</v>
      </c>
      <c r="D785" s="76" t="s">
        <v>7851</v>
      </c>
      <c r="E785" s="76" t="s">
        <v>7678</v>
      </c>
      <c r="F785" s="76"/>
    </row>
    <row r="786" spans="1:6" ht="63.95" customHeight="1">
      <c r="A786" s="76" t="s">
        <v>5979</v>
      </c>
      <c r="B786" s="76" t="s">
        <v>7852</v>
      </c>
      <c r="C786" s="76" t="s">
        <v>7853</v>
      </c>
      <c r="D786" s="76" t="s">
        <v>7854</v>
      </c>
      <c r="E786" s="76" t="s">
        <v>7678</v>
      </c>
      <c r="F786" s="76"/>
    </row>
    <row r="787" spans="1:6" ht="63.95" customHeight="1">
      <c r="A787" s="76" t="s">
        <v>5979</v>
      </c>
      <c r="B787" s="76" t="s">
        <v>7855</v>
      </c>
      <c r="C787" s="76" t="s">
        <v>7856</v>
      </c>
      <c r="D787" s="76" t="s">
        <v>7857</v>
      </c>
      <c r="E787" s="76" t="s">
        <v>7678</v>
      </c>
      <c r="F787" s="76"/>
    </row>
    <row r="788" spans="1:6" ht="63.95" customHeight="1">
      <c r="A788" s="76" t="s">
        <v>5979</v>
      </c>
      <c r="B788" s="76" t="s">
        <v>7858</v>
      </c>
      <c r="C788" s="76" t="s">
        <v>7859</v>
      </c>
      <c r="D788" s="76" t="s">
        <v>7860</v>
      </c>
      <c r="E788" s="76" t="s">
        <v>7678</v>
      </c>
      <c r="F788" s="76"/>
    </row>
    <row r="789" spans="1:6" ht="63.95" customHeight="1">
      <c r="A789" s="76" t="s">
        <v>5979</v>
      </c>
      <c r="B789" s="76" t="s">
        <v>7861</v>
      </c>
      <c r="C789" s="76" t="s">
        <v>7862</v>
      </c>
      <c r="D789" s="76" t="s">
        <v>7863</v>
      </c>
      <c r="E789" s="76" t="s">
        <v>7678</v>
      </c>
      <c r="F789" s="76"/>
    </row>
    <row r="790" spans="1:6" ht="63.95" customHeight="1">
      <c r="A790" s="76" t="s">
        <v>5979</v>
      </c>
      <c r="B790" s="76" t="s">
        <v>7864</v>
      </c>
      <c r="C790" s="76" t="s">
        <v>7865</v>
      </c>
      <c r="D790" s="76" t="s">
        <v>7866</v>
      </c>
      <c r="E790" s="76" t="s">
        <v>7678</v>
      </c>
      <c r="F790" s="76"/>
    </row>
    <row r="791" spans="1:6" ht="63.95" customHeight="1">
      <c r="A791" s="76" t="s">
        <v>5979</v>
      </c>
      <c r="B791" s="76" t="s">
        <v>7867</v>
      </c>
      <c r="C791" s="76" t="s">
        <v>7868</v>
      </c>
      <c r="D791" s="76" t="s">
        <v>7869</v>
      </c>
      <c r="E791" s="76" t="s">
        <v>7678</v>
      </c>
      <c r="F791" s="76"/>
    </row>
    <row r="792" spans="1:6" ht="63.95" customHeight="1">
      <c r="A792" s="76" t="s">
        <v>5979</v>
      </c>
      <c r="B792" s="76" t="s">
        <v>7870</v>
      </c>
      <c r="C792" s="76" t="s">
        <v>7871</v>
      </c>
      <c r="D792" s="76" t="s">
        <v>7872</v>
      </c>
      <c r="E792" s="76" t="s">
        <v>7678</v>
      </c>
      <c r="F792" s="76"/>
    </row>
    <row r="793" spans="1:6" ht="63.95" customHeight="1">
      <c r="A793" s="76" t="s">
        <v>5979</v>
      </c>
      <c r="B793" s="76" t="s">
        <v>7873</v>
      </c>
      <c r="C793" s="76" t="s">
        <v>7874</v>
      </c>
      <c r="D793" s="76" t="s">
        <v>7875</v>
      </c>
      <c r="E793" s="76" t="s">
        <v>7678</v>
      </c>
      <c r="F793" s="76"/>
    </row>
    <row r="794" spans="1:6" ht="63.95" customHeight="1">
      <c r="A794" s="76" t="s">
        <v>5979</v>
      </c>
      <c r="B794" s="76" t="s">
        <v>7876</v>
      </c>
      <c r="C794" s="76" t="s">
        <v>7877</v>
      </c>
      <c r="D794" s="76" t="s">
        <v>7878</v>
      </c>
      <c r="E794" s="76" t="s">
        <v>7678</v>
      </c>
      <c r="F794" s="76"/>
    </row>
    <row r="795" spans="1:6" ht="63.95" customHeight="1">
      <c r="A795" s="76" t="s">
        <v>5979</v>
      </c>
      <c r="B795" s="76" t="s">
        <v>7879</v>
      </c>
      <c r="C795" s="76" t="s">
        <v>7880</v>
      </c>
      <c r="D795" s="76" t="s">
        <v>7881</v>
      </c>
      <c r="E795" s="76" t="s">
        <v>7678</v>
      </c>
      <c r="F795" s="76"/>
    </row>
    <row r="796" spans="1:6" ht="63.95" customHeight="1">
      <c r="A796" s="76" t="s">
        <v>5979</v>
      </c>
      <c r="B796" s="76" t="s">
        <v>7882</v>
      </c>
      <c r="C796" s="76" t="s">
        <v>7883</v>
      </c>
      <c r="D796" s="76" t="s">
        <v>7884</v>
      </c>
      <c r="E796" s="76" t="s">
        <v>7678</v>
      </c>
      <c r="F796" s="76"/>
    </row>
    <row r="797" spans="1:6" ht="63.95" customHeight="1">
      <c r="A797" s="76" t="s">
        <v>5979</v>
      </c>
      <c r="B797" s="76" t="s">
        <v>7885</v>
      </c>
      <c r="C797" s="76" t="s">
        <v>7886</v>
      </c>
      <c r="D797" s="76" t="s">
        <v>7887</v>
      </c>
      <c r="E797" s="76" t="s">
        <v>7678</v>
      </c>
      <c r="F797" s="76"/>
    </row>
    <row r="798" spans="1:6" ht="63.95" customHeight="1">
      <c r="A798" s="76" t="s">
        <v>5979</v>
      </c>
      <c r="B798" s="76" t="s">
        <v>7888</v>
      </c>
      <c r="C798" s="76" t="s">
        <v>7889</v>
      </c>
      <c r="D798" s="76" t="s">
        <v>7890</v>
      </c>
      <c r="E798" s="76" t="s">
        <v>7678</v>
      </c>
      <c r="F798" s="76"/>
    </row>
    <row r="799" spans="1:6" ht="63.95" customHeight="1">
      <c r="A799" s="76" t="s">
        <v>5979</v>
      </c>
      <c r="B799" s="76" t="s">
        <v>7891</v>
      </c>
      <c r="C799" s="76" t="s">
        <v>7892</v>
      </c>
      <c r="D799" s="76" t="s">
        <v>7893</v>
      </c>
      <c r="E799" s="76" t="s">
        <v>7678</v>
      </c>
      <c r="F799" s="76"/>
    </row>
    <row r="800" spans="1:6" ht="63.95" customHeight="1">
      <c r="A800" s="76" t="s">
        <v>5979</v>
      </c>
      <c r="B800" s="76" t="s">
        <v>7894</v>
      </c>
      <c r="C800" s="76" t="s">
        <v>7895</v>
      </c>
      <c r="D800" s="76" t="s">
        <v>7896</v>
      </c>
      <c r="E800" s="76" t="s">
        <v>7678</v>
      </c>
      <c r="F800" s="76"/>
    </row>
    <row r="801" spans="1:6" ht="63.95" customHeight="1">
      <c r="A801" s="76" t="s">
        <v>5979</v>
      </c>
      <c r="B801" s="76" t="s">
        <v>7897</v>
      </c>
      <c r="C801" s="76" t="s">
        <v>7898</v>
      </c>
      <c r="D801" s="76" t="s">
        <v>7899</v>
      </c>
      <c r="E801" s="76" t="s">
        <v>7678</v>
      </c>
      <c r="F801" s="76"/>
    </row>
    <row r="802" spans="1:6" ht="63.95" customHeight="1">
      <c r="A802" s="76" t="s">
        <v>5979</v>
      </c>
      <c r="B802" s="76" t="s">
        <v>7900</v>
      </c>
      <c r="C802" s="76" t="s">
        <v>7901</v>
      </c>
      <c r="D802" s="76" t="s">
        <v>7902</v>
      </c>
      <c r="E802" s="76" t="s">
        <v>7678</v>
      </c>
      <c r="F802" s="76"/>
    </row>
    <row r="803" spans="1:6" ht="63.95" customHeight="1">
      <c r="A803" s="76" t="s">
        <v>5979</v>
      </c>
      <c r="B803" s="76" t="s">
        <v>7903</v>
      </c>
      <c r="C803" s="76" t="s">
        <v>7904</v>
      </c>
      <c r="D803" s="76" t="s">
        <v>7905</v>
      </c>
      <c r="E803" s="76" t="s">
        <v>7678</v>
      </c>
      <c r="F803" s="76"/>
    </row>
    <row r="804" spans="1:6" ht="63.95" customHeight="1">
      <c r="A804" s="76" t="s">
        <v>5979</v>
      </c>
      <c r="B804" s="76" t="s">
        <v>7906</v>
      </c>
      <c r="C804" s="76" t="s">
        <v>7907</v>
      </c>
      <c r="D804" s="76" t="s">
        <v>7908</v>
      </c>
      <c r="E804" s="76" t="s">
        <v>7678</v>
      </c>
      <c r="F804" s="76"/>
    </row>
    <row r="805" spans="1:6" ht="63.95" customHeight="1">
      <c r="A805" s="76" t="s">
        <v>5979</v>
      </c>
      <c r="B805" s="76" t="s">
        <v>7909</v>
      </c>
      <c r="C805" s="76" t="s">
        <v>7910</v>
      </c>
      <c r="D805" s="76" t="s">
        <v>7911</v>
      </c>
      <c r="E805" s="76" t="s">
        <v>7678</v>
      </c>
      <c r="F805" s="76"/>
    </row>
    <row r="806" spans="1:6" ht="63.95" customHeight="1">
      <c r="A806" s="76" t="s">
        <v>5979</v>
      </c>
      <c r="B806" s="76" t="s">
        <v>7912</v>
      </c>
      <c r="C806" s="76" t="s">
        <v>7913</v>
      </c>
      <c r="D806" s="76" t="s">
        <v>7914</v>
      </c>
      <c r="E806" s="76" t="s">
        <v>7678</v>
      </c>
      <c r="F806" s="76"/>
    </row>
    <row r="807" spans="1:6" ht="63.95" customHeight="1">
      <c r="A807" s="76" t="s">
        <v>5979</v>
      </c>
      <c r="B807" s="76" t="s">
        <v>7915</v>
      </c>
      <c r="C807" s="76" t="s">
        <v>7916</v>
      </c>
      <c r="D807" s="76" t="s">
        <v>7917</v>
      </c>
      <c r="E807" s="76" t="s">
        <v>7678</v>
      </c>
      <c r="F807" s="76"/>
    </row>
    <row r="808" spans="1:6" ht="63.95" customHeight="1">
      <c r="A808" s="76" t="s">
        <v>5979</v>
      </c>
      <c r="B808" s="76" t="s">
        <v>7918</v>
      </c>
      <c r="C808" s="76" t="s">
        <v>7919</v>
      </c>
      <c r="D808" s="76" t="s">
        <v>7920</v>
      </c>
      <c r="E808" s="76" t="s">
        <v>7678</v>
      </c>
      <c r="F808" s="76"/>
    </row>
    <row r="809" spans="1:6" ht="63.95" customHeight="1">
      <c r="A809" s="76" t="s">
        <v>5979</v>
      </c>
      <c r="B809" s="76" t="s">
        <v>7921</v>
      </c>
      <c r="C809" s="76" t="s">
        <v>7922</v>
      </c>
      <c r="D809" s="76" t="s">
        <v>7923</v>
      </c>
      <c r="E809" s="76" t="s">
        <v>7678</v>
      </c>
      <c r="F809" s="76"/>
    </row>
    <row r="810" spans="1:6" ht="63.95" customHeight="1">
      <c r="A810" s="76" t="s">
        <v>5979</v>
      </c>
      <c r="B810" s="76" t="s">
        <v>7924</v>
      </c>
      <c r="C810" s="76" t="s">
        <v>7925</v>
      </c>
      <c r="D810" s="76" t="s">
        <v>7926</v>
      </c>
      <c r="E810" s="76" t="s">
        <v>7678</v>
      </c>
      <c r="F810" s="76"/>
    </row>
    <row r="811" spans="1:6" ht="63.95" customHeight="1">
      <c r="A811" s="76" t="s">
        <v>5979</v>
      </c>
      <c r="B811" s="76" t="s">
        <v>7927</v>
      </c>
      <c r="C811" s="76" t="s">
        <v>7928</v>
      </c>
      <c r="D811" s="76" t="s">
        <v>7929</v>
      </c>
      <c r="E811" s="76" t="s">
        <v>7678</v>
      </c>
      <c r="F811" s="76"/>
    </row>
    <row r="812" spans="1:6" ht="63.95" customHeight="1">
      <c r="A812" s="76" t="s">
        <v>5979</v>
      </c>
      <c r="B812" s="76" t="s">
        <v>7930</v>
      </c>
      <c r="C812" s="76" t="s">
        <v>7931</v>
      </c>
      <c r="D812" s="76" t="s">
        <v>7932</v>
      </c>
      <c r="E812" s="76" t="s">
        <v>7678</v>
      </c>
      <c r="F812" s="76"/>
    </row>
    <row r="813" spans="1:6" ht="63.95" customHeight="1">
      <c r="A813" s="76" t="s">
        <v>5979</v>
      </c>
      <c r="B813" s="76" t="s">
        <v>7933</v>
      </c>
      <c r="C813" s="76" t="s">
        <v>7934</v>
      </c>
      <c r="D813" s="76" t="s">
        <v>7935</v>
      </c>
      <c r="E813" s="76" t="s">
        <v>7678</v>
      </c>
      <c r="F813" s="76"/>
    </row>
    <row r="814" spans="1:6" ht="63.95" customHeight="1">
      <c r="A814" s="76" t="s">
        <v>5979</v>
      </c>
      <c r="B814" s="76" t="s">
        <v>7936</v>
      </c>
      <c r="C814" s="76" t="s">
        <v>7937</v>
      </c>
      <c r="D814" s="76" t="s">
        <v>7938</v>
      </c>
      <c r="E814" s="76" t="s">
        <v>7678</v>
      </c>
      <c r="F814" s="76"/>
    </row>
    <row r="815" spans="1:6" ht="63.95" customHeight="1">
      <c r="A815" s="76" t="s">
        <v>5979</v>
      </c>
      <c r="B815" s="76" t="s">
        <v>7939</v>
      </c>
      <c r="C815" s="76" t="s">
        <v>7940</v>
      </c>
      <c r="D815" s="76" t="s">
        <v>7941</v>
      </c>
      <c r="E815" s="76" t="s">
        <v>7678</v>
      </c>
      <c r="F815" s="76"/>
    </row>
    <row r="816" spans="1:6" ht="63.95" customHeight="1">
      <c r="A816" s="76" t="s">
        <v>5979</v>
      </c>
      <c r="B816" s="76" t="s">
        <v>7942</v>
      </c>
      <c r="C816" s="76" t="s">
        <v>7943</v>
      </c>
      <c r="D816" s="76" t="s">
        <v>7944</v>
      </c>
      <c r="E816" s="76" t="s">
        <v>7678</v>
      </c>
      <c r="F816" s="76"/>
    </row>
    <row r="817" spans="1:6" ht="63.95" customHeight="1">
      <c r="A817" s="76" t="s">
        <v>5979</v>
      </c>
      <c r="B817" s="76" t="s">
        <v>7945</v>
      </c>
      <c r="C817" s="76" t="s">
        <v>7946</v>
      </c>
      <c r="D817" s="76" t="s">
        <v>7947</v>
      </c>
      <c r="E817" s="76" t="s">
        <v>7678</v>
      </c>
      <c r="F817" s="76"/>
    </row>
    <row r="818" spans="1:6" ht="63.95" customHeight="1">
      <c r="A818" s="76" t="s">
        <v>5979</v>
      </c>
      <c r="B818" s="76" t="s">
        <v>7948</v>
      </c>
      <c r="C818" s="76" t="s">
        <v>7949</v>
      </c>
      <c r="D818" s="76" t="s">
        <v>7950</v>
      </c>
      <c r="E818" s="76" t="s">
        <v>7678</v>
      </c>
      <c r="F818" s="76"/>
    </row>
    <row r="819" spans="1:6" ht="63.95" customHeight="1">
      <c r="A819" s="76" t="s">
        <v>5979</v>
      </c>
      <c r="B819" s="76" t="s">
        <v>7951</v>
      </c>
      <c r="C819" s="76" t="s">
        <v>7952</v>
      </c>
      <c r="D819" s="76" t="s">
        <v>7953</v>
      </c>
      <c r="E819" s="76" t="s">
        <v>7678</v>
      </c>
      <c r="F819" s="76"/>
    </row>
    <row r="820" spans="1:6" ht="63.95" customHeight="1">
      <c r="A820" s="76" t="s">
        <v>5979</v>
      </c>
      <c r="B820" s="76" t="s">
        <v>7954</v>
      </c>
      <c r="C820" s="76" t="s">
        <v>7955</v>
      </c>
      <c r="D820" s="76" t="s">
        <v>7956</v>
      </c>
      <c r="E820" s="76" t="s">
        <v>7678</v>
      </c>
      <c r="F820" s="76"/>
    </row>
    <row r="821" spans="1:6" ht="63.95" customHeight="1">
      <c r="A821" s="76" t="s">
        <v>5979</v>
      </c>
      <c r="B821" s="76" t="s">
        <v>7957</v>
      </c>
      <c r="C821" s="76" t="s">
        <v>7958</v>
      </c>
      <c r="D821" s="76" t="s">
        <v>7959</v>
      </c>
      <c r="E821" s="76" t="s">
        <v>7678</v>
      </c>
      <c r="F821" s="76"/>
    </row>
    <row r="822" spans="1:6" ht="63.95" customHeight="1">
      <c r="A822" s="76" t="s">
        <v>5979</v>
      </c>
      <c r="B822" s="76" t="s">
        <v>7960</v>
      </c>
      <c r="C822" s="76" t="s">
        <v>7961</v>
      </c>
      <c r="D822" s="76" t="s">
        <v>7962</v>
      </c>
      <c r="E822" s="76" t="s">
        <v>7678</v>
      </c>
      <c r="F822" s="76"/>
    </row>
    <row r="823" spans="1:6" ht="63.95" customHeight="1">
      <c r="A823" s="76" t="s">
        <v>5979</v>
      </c>
      <c r="B823" s="76" t="s">
        <v>7963</v>
      </c>
      <c r="C823" s="76" t="s">
        <v>7964</v>
      </c>
      <c r="D823" s="76" t="s">
        <v>7965</v>
      </c>
      <c r="E823" s="76" t="s">
        <v>7678</v>
      </c>
      <c r="F823" s="76"/>
    </row>
    <row r="824" spans="1:6" ht="63.95" customHeight="1">
      <c r="A824" s="76" t="s">
        <v>5979</v>
      </c>
      <c r="B824" s="76" t="s">
        <v>7966</v>
      </c>
      <c r="C824" s="76" t="s">
        <v>7967</v>
      </c>
      <c r="D824" s="76" t="s">
        <v>7968</v>
      </c>
      <c r="E824" s="76" t="s">
        <v>7678</v>
      </c>
      <c r="F824" s="76"/>
    </row>
    <row r="825" spans="1:6" ht="63.95" customHeight="1">
      <c r="A825" s="76" t="s">
        <v>5979</v>
      </c>
      <c r="B825" s="76" t="s">
        <v>7969</v>
      </c>
      <c r="C825" s="76" t="s">
        <v>7970</v>
      </c>
      <c r="D825" s="76" t="s">
        <v>7971</v>
      </c>
      <c r="E825" s="76" t="s">
        <v>7678</v>
      </c>
      <c r="F825" s="76"/>
    </row>
    <row r="826" spans="1:6" ht="63.95" customHeight="1">
      <c r="A826" s="76" t="s">
        <v>5979</v>
      </c>
      <c r="B826" s="76" t="s">
        <v>7972</v>
      </c>
      <c r="C826" s="76" t="s">
        <v>7973</v>
      </c>
      <c r="D826" s="76" t="s">
        <v>7974</v>
      </c>
      <c r="E826" s="76" t="s">
        <v>7678</v>
      </c>
      <c r="F826" s="76"/>
    </row>
    <row r="827" spans="1:6" ht="63.95" customHeight="1">
      <c r="A827" s="76" t="s">
        <v>5979</v>
      </c>
      <c r="B827" s="76" t="s">
        <v>7975</v>
      </c>
      <c r="C827" s="76" t="s">
        <v>7976</v>
      </c>
      <c r="D827" s="76" t="s">
        <v>7977</v>
      </c>
      <c r="E827" s="76" t="s">
        <v>7678</v>
      </c>
      <c r="F827" s="76"/>
    </row>
    <row r="828" spans="1:6" ht="63.95" customHeight="1">
      <c r="A828" s="76" t="s">
        <v>5979</v>
      </c>
      <c r="B828" s="76" t="s">
        <v>7978</v>
      </c>
      <c r="C828" s="76" t="s">
        <v>7979</v>
      </c>
      <c r="D828" s="76" t="s">
        <v>7980</v>
      </c>
      <c r="E828" s="76" t="s">
        <v>7678</v>
      </c>
      <c r="F828" s="76"/>
    </row>
    <row r="829" spans="1:6" ht="63.95" customHeight="1">
      <c r="A829" s="76" t="s">
        <v>5979</v>
      </c>
      <c r="B829" s="76" t="s">
        <v>7981</v>
      </c>
      <c r="C829" s="76" t="s">
        <v>7982</v>
      </c>
      <c r="D829" s="76" t="s">
        <v>7983</v>
      </c>
      <c r="E829" s="76" t="s">
        <v>7678</v>
      </c>
      <c r="F829" s="76"/>
    </row>
    <row r="830" spans="1:6" ht="63.95" customHeight="1">
      <c r="A830" s="76" t="s">
        <v>5979</v>
      </c>
      <c r="B830" s="76" t="s">
        <v>7984</v>
      </c>
      <c r="C830" s="76" t="s">
        <v>7985</v>
      </c>
      <c r="D830" s="76" t="s">
        <v>7986</v>
      </c>
      <c r="E830" s="76" t="s">
        <v>7678</v>
      </c>
      <c r="F830" s="76"/>
    </row>
    <row r="831" spans="1:6" ht="63.95" customHeight="1">
      <c r="A831" s="76" t="s">
        <v>5979</v>
      </c>
      <c r="B831" s="76" t="s">
        <v>7987</v>
      </c>
      <c r="C831" s="76" t="s">
        <v>7988</v>
      </c>
      <c r="D831" s="76" t="s">
        <v>7989</v>
      </c>
      <c r="E831" s="76" t="s">
        <v>7678</v>
      </c>
      <c r="F831" s="76"/>
    </row>
    <row r="832" spans="1:6" ht="63.95" customHeight="1">
      <c r="A832" s="76" t="s">
        <v>5979</v>
      </c>
      <c r="B832" s="76" t="s">
        <v>7990</v>
      </c>
      <c r="C832" s="76" t="s">
        <v>7991</v>
      </c>
      <c r="D832" s="76" t="s">
        <v>7992</v>
      </c>
      <c r="E832" s="76" t="s">
        <v>7678</v>
      </c>
      <c r="F832" s="76"/>
    </row>
    <row r="833" spans="1:6" ht="63.95" customHeight="1">
      <c r="A833" s="76" t="s">
        <v>5979</v>
      </c>
      <c r="B833" s="76" t="s">
        <v>7993</v>
      </c>
      <c r="C833" s="76" t="s">
        <v>7994</v>
      </c>
      <c r="D833" s="76" t="s">
        <v>7995</v>
      </c>
      <c r="E833" s="76" t="s">
        <v>7678</v>
      </c>
      <c r="F833" s="76"/>
    </row>
    <row r="834" spans="1:6" ht="63.95" customHeight="1">
      <c r="A834" s="76" t="s">
        <v>5979</v>
      </c>
      <c r="B834" s="76" t="s">
        <v>7996</v>
      </c>
      <c r="C834" s="76" t="s">
        <v>7997</v>
      </c>
      <c r="D834" s="76" t="s">
        <v>7998</v>
      </c>
      <c r="E834" s="76" t="s">
        <v>7678</v>
      </c>
      <c r="F834" s="76"/>
    </row>
    <row r="835" spans="1:6" ht="63.95" customHeight="1">
      <c r="A835" s="76" t="s">
        <v>5979</v>
      </c>
      <c r="B835" s="76" t="s">
        <v>7999</v>
      </c>
      <c r="C835" s="76" t="s">
        <v>8000</v>
      </c>
      <c r="D835" s="76" t="s">
        <v>8001</v>
      </c>
      <c r="E835" s="76" t="s">
        <v>7678</v>
      </c>
      <c r="F835" s="76"/>
    </row>
    <row r="836" spans="1:6" ht="63.95" customHeight="1">
      <c r="A836" s="76" t="s">
        <v>5979</v>
      </c>
      <c r="B836" s="76" t="s">
        <v>8002</v>
      </c>
      <c r="C836" s="76" t="s">
        <v>8003</v>
      </c>
      <c r="D836" s="76" t="s">
        <v>8004</v>
      </c>
      <c r="E836" s="76" t="s">
        <v>7678</v>
      </c>
      <c r="F836" s="76"/>
    </row>
    <row r="837" spans="1:6" ht="63.95" customHeight="1">
      <c r="A837" s="76" t="s">
        <v>5979</v>
      </c>
      <c r="B837" s="76" t="s">
        <v>8005</v>
      </c>
      <c r="C837" s="76" t="s">
        <v>8006</v>
      </c>
      <c r="D837" s="76" t="s">
        <v>8007</v>
      </c>
      <c r="E837" s="76" t="s">
        <v>7678</v>
      </c>
      <c r="F837" s="76"/>
    </row>
    <row r="838" spans="1:6" ht="63.95" customHeight="1">
      <c r="A838" s="76" t="s">
        <v>5979</v>
      </c>
      <c r="B838" s="76" t="s">
        <v>8008</v>
      </c>
      <c r="C838" s="76" t="s">
        <v>8009</v>
      </c>
      <c r="D838" s="76" t="s">
        <v>8010</v>
      </c>
      <c r="E838" s="76" t="s">
        <v>7678</v>
      </c>
      <c r="F838" s="76"/>
    </row>
    <row r="839" spans="1:6" ht="63.95" customHeight="1">
      <c r="A839" s="76" t="s">
        <v>5979</v>
      </c>
      <c r="B839" s="76" t="s">
        <v>8011</v>
      </c>
      <c r="C839" s="76" t="s">
        <v>8012</v>
      </c>
      <c r="D839" s="76" t="s">
        <v>8013</v>
      </c>
      <c r="E839" s="76" t="s">
        <v>7678</v>
      </c>
      <c r="F839" s="76"/>
    </row>
    <row r="840" spans="1:6" ht="63.95" customHeight="1">
      <c r="A840" s="76" t="s">
        <v>5979</v>
      </c>
      <c r="B840" s="76" t="s">
        <v>8014</v>
      </c>
      <c r="C840" s="76" t="s">
        <v>8015</v>
      </c>
      <c r="D840" s="76" t="s">
        <v>8016</v>
      </c>
      <c r="E840" s="76" t="s">
        <v>7678</v>
      </c>
      <c r="F840" s="76"/>
    </row>
    <row r="841" spans="1:6" ht="63.95" customHeight="1">
      <c r="A841" s="76" t="s">
        <v>5979</v>
      </c>
      <c r="B841" s="76" t="s">
        <v>8017</v>
      </c>
      <c r="C841" s="76" t="s">
        <v>8018</v>
      </c>
      <c r="D841" s="76" t="s">
        <v>8019</v>
      </c>
      <c r="E841" s="76" t="s">
        <v>7678</v>
      </c>
      <c r="F841" s="76"/>
    </row>
    <row r="842" spans="1:6" ht="63.95" customHeight="1">
      <c r="A842" s="76" t="s">
        <v>5979</v>
      </c>
      <c r="B842" s="76" t="s">
        <v>8020</v>
      </c>
      <c r="C842" s="76" t="s">
        <v>8021</v>
      </c>
      <c r="D842" s="76" t="s">
        <v>8022</v>
      </c>
      <c r="E842" s="76" t="s">
        <v>7678</v>
      </c>
      <c r="F842" s="76"/>
    </row>
    <row r="843" spans="1:6" ht="63.95" customHeight="1">
      <c r="A843" s="76" t="s">
        <v>5979</v>
      </c>
      <c r="B843" s="76" t="s">
        <v>8023</v>
      </c>
      <c r="C843" s="76" t="s">
        <v>8024</v>
      </c>
      <c r="D843" s="76" t="s">
        <v>8025</v>
      </c>
      <c r="E843" s="76" t="s">
        <v>7678</v>
      </c>
      <c r="F843" s="76"/>
    </row>
    <row r="844" spans="1:6" ht="63.95" customHeight="1">
      <c r="A844" s="76" t="s">
        <v>5979</v>
      </c>
      <c r="B844" s="76" t="s">
        <v>8026</v>
      </c>
      <c r="C844" s="76" t="s">
        <v>8027</v>
      </c>
      <c r="D844" s="76" t="s">
        <v>8028</v>
      </c>
      <c r="E844" s="76" t="s">
        <v>7678</v>
      </c>
      <c r="F844" s="76"/>
    </row>
    <row r="845" spans="1:6" ht="63.95" customHeight="1">
      <c r="A845" s="76" t="s">
        <v>5979</v>
      </c>
      <c r="B845" s="76" t="s">
        <v>8029</v>
      </c>
      <c r="C845" s="76" t="s">
        <v>8030</v>
      </c>
      <c r="D845" s="76" t="s">
        <v>8031</v>
      </c>
      <c r="E845" s="76" t="s">
        <v>7678</v>
      </c>
      <c r="F845" s="76"/>
    </row>
    <row r="846" spans="1:6" ht="63.95" customHeight="1">
      <c r="A846" s="76" t="s">
        <v>5979</v>
      </c>
      <c r="B846" s="76" t="s">
        <v>8032</v>
      </c>
      <c r="C846" s="76" t="s">
        <v>8033</v>
      </c>
      <c r="D846" s="76" t="s">
        <v>8034</v>
      </c>
      <c r="E846" s="76" t="s">
        <v>7678</v>
      </c>
      <c r="F846" s="76"/>
    </row>
    <row r="847" spans="1:6" ht="63.95" customHeight="1">
      <c r="A847" s="76" t="s">
        <v>5979</v>
      </c>
      <c r="B847" s="76" t="s">
        <v>8035</v>
      </c>
      <c r="C847" s="76" t="s">
        <v>8036</v>
      </c>
      <c r="D847" s="76" t="s">
        <v>8037</v>
      </c>
      <c r="E847" s="76" t="s">
        <v>7678</v>
      </c>
      <c r="F847" s="76"/>
    </row>
    <row r="848" spans="1:6" ht="63.95" customHeight="1">
      <c r="A848" s="76" t="s">
        <v>5979</v>
      </c>
      <c r="B848" s="76" t="s">
        <v>8038</v>
      </c>
      <c r="C848" s="76" t="s">
        <v>8039</v>
      </c>
      <c r="D848" s="76" t="s">
        <v>8040</v>
      </c>
      <c r="E848" s="76" t="s">
        <v>7678</v>
      </c>
      <c r="F848" s="76"/>
    </row>
    <row r="849" spans="1:6" ht="63.95" customHeight="1">
      <c r="A849" s="76" t="s">
        <v>5979</v>
      </c>
      <c r="B849" s="76" t="s">
        <v>8041</v>
      </c>
      <c r="C849" s="76" t="s">
        <v>8042</v>
      </c>
      <c r="D849" s="76" t="s">
        <v>8043</v>
      </c>
      <c r="E849" s="76" t="s">
        <v>7678</v>
      </c>
      <c r="F849" s="76"/>
    </row>
    <row r="850" spans="1:6" ht="63.95" customHeight="1">
      <c r="A850" s="76" t="s">
        <v>5979</v>
      </c>
      <c r="B850" s="76" t="s">
        <v>8044</v>
      </c>
      <c r="C850" s="76" t="s">
        <v>8045</v>
      </c>
      <c r="D850" s="76" t="s">
        <v>8046</v>
      </c>
      <c r="E850" s="76" t="s">
        <v>7678</v>
      </c>
      <c r="F850" s="76"/>
    </row>
    <row r="851" spans="1:6" ht="63.95" customHeight="1">
      <c r="A851" s="76" t="s">
        <v>5979</v>
      </c>
      <c r="B851" s="76" t="s">
        <v>8047</v>
      </c>
      <c r="C851" s="76" t="s">
        <v>8048</v>
      </c>
      <c r="D851" s="76" t="s">
        <v>8049</v>
      </c>
      <c r="E851" s="76" t="s">
        <v>7678</v>
      </c>
      <c r="F851" s="76"/>
    </row>
    <row r="852" spans="1:6" ht="63.95" customHeight="1">
      <c r="A852" s="76" t="s">
        <v>5979</v>
      </c>
      <c r="B852" s="76" t="s">
        <v>8050</v>
      </c>
      <c r="C852" s="76" t="s">
        <v>8051</v>
      </c>
      <c r="D852" s="76" t="s">
        <v>8052</v>
      </c>
      <c r="E852" s="76" t="s">
        <v>7678</v>
      </c>
      <c r="F852" s="76"/>
    </row>
    <row r="853" spans="1:6" ht="63.95" customHeight="1">
      <c r="A853" s="76" t="s">
        <v>5979</v>
      </c>
      <c r="B853" s="76" t="s">
        <v>8053</v>
      </c>
      <c r="C853" s="76" t="s">
        <v>8054</v>
      </c>
      <c r="D853" s="76" t="s">
        <v>8055</v>
      </c>
      <c r="E853" s="76" t="s">
        <v>7678</v>
      </c>
      <c r="F853" s="76"/>
    </row>
    <row r="854" spans="1:6" ht="63.95" customHeight="1">
      <c r="A854" s="76" t="s">
        <v>5979</v>
      </c>
      <c r="B854" s="76" t="s">
        <v>8056</v>
      </c>
      <c r="C854" s="76" t="s">
        <v>8057</v>
      </c>
      <c r="D854" s="76" t="s">
        <v>8058</v>
      </c>
      <c r="E854" s="76" t="s">
        <v>7678</v>
      </c>
      <c r="F854" s="76"/>
    </row>
    <row r="855" spans="1:6" ht="63.95" customHeight="1">
      <c r="A855" s="76" t="s">
        <v>5979</v>
      </c>
      <c r="B855" s="76" t="s">
        <v>8059</v>
      </c>
      <c r="C855" s="76" t="s">
        <v>8060</v>
      </c>
      <c r="D855" s="76" t="s">
        <v>8061</v>
      </c>
      <c r="E855" s="76" t="s">
        <v>7678</v>
      </c>
      <c r="F855" s="76"/>
    </row>
    <row r="856" spans="1:6" ht="63.95" customHeight="1">
      <c r="A856" s="76" t="s">
        <v>5979</v>
      </c>
      <c r="B856" s="76" t="s">
        <v>8062</v>
      </c>
      <c r="C856" s="76" t="s">
        <v>8063</v>
      </c>
      <c r="D856" s="76" t="s">
        <v>8064</v>
      </c>
      <c r="E856" s="76" t="s">
        <v>7678</v>
      </c>
      <c r="F856" s="76"/>
    </row>
    <row r="857" spans="1:6" ht="63.95" customHeight="1">
      <c r="A857" s="76" t="s">
        <v>5979</v>
      </c>
      <c r="B857" s="76" t="s">
        <v>8065</v>
      </c>
      <c r="C857" s="76" t="s">
        <v>8066</v>
      </c>
      <c r="D857" s="76" t="s">
        <v>8067</v>
      </c>
      <c r="E857" s="76" t="s">
        <v>7678</v>
      </c>
      <c r="F857" s="76"/>
    </row>
    <row r="858" spans="1:6" ht="63.95" customHeight="1">
      <c r="A858" s="76" t="s">
        <v>5979</v>
      </c>
      <c r="B858" s="76" t="s">
        <v>8068</v>
      </c>
      <c r="C858" s="76" t="s">
        <v>8069</v>
      </c>
      <c r="D858" s="76" t="s">
        <v>8070</v>
      </c>
      <c r="E858" s="76" t="s">
        <v>7678</v>
      </c>
      <c r="F858" s="76"/>
    </row>
    <row r="859" spans="1:6" ht="63.95" customHeight="1">
      <c r="A859" s="76" t="s">
        <v>5979</v>
      </c>
      <c r="B859" s="76" t="s">
        <v>8071</v>
      </c>
      <c r="C859" s="76" t="s">
        <v>8072</v>
      </c>
      <c r="D859" s="76" t="s">
        <v>8073</v>
      </c>
      <c r="E859" s="76" t="s">
        <v>7678</v>
      </c>
      <c r="F859" s="76"/>
    </row>
    <row r="860" spans="1:6" ht="63.95" customHeight="1">
      <c r="A860" s="76" t="s">
        <v>5979</v>
      </c>
      <c r="B860" s="76" t="s">
        <v>8074</v>
      </c>
      <c r="C860" s="76" t="s">
        <v>8075</v>
      </c>
      <c r="D860" s="76" t="s">
        <v>8076</v>
      </c>
      <c r="E860" s="76" t="s">
        <v>7678</v>
      </c>
      <c r="F860" s="76"/>
    </row>
    <row r="861" spans="1:6" ht="63.95" customHeight="1">
      <c r="A861" s="76" t="s">
        <v>5979</v>
      </c>
      <c r="B861" s="76" t="s">
        <v>8077</v>
      </c>
      <c r="C861" s="76" t="s">
        <v>8078</v>
      </c>
      <c r="D861" s="76" t="s">
        <v>8079</v>
      </c>
      <c r="E861" s="76" t="s">
        <v>7678</v>
      </c>
      <c r="F861" s="76"/>
    </row>
    <row r="862" spans="1:6" ht="63.95" customHeight="1">
      <c r="A862" s="76" t="s">
        <v>5979</v>
      </c>
      <c r="B862" s="76" t="s">
        <v>8080</v>
      </c>
      <c r="C862" s="76" t="s">
        <v>8081</v>
      </c>
      <c r="D862" s="76" t="s">
        <v>8082</v>
      </c>
      <c r="E862" s="76" t="s">
        <v>7678</v>
      </c>
      <c r="F862" s="76"/>
    </row>
    <row r="863" spans="1:6" ht="63.95" customHeight="1">
      <c r="A863" s="76" t="s">
        <v>5979</v>
      </c>
      <c r="B863" s="76" t="s">
        <v>8083</v>
      </c>
      <c r="C863" s="76" t="s">
        <v>8084</v>
      </c>
      <c r="D863" s="76" t="s">
        <v>8085</v>
      </c>
      <c r="E863" s="76" t="s">
        <v>7678</v>
      </c>
      <c r="F863" s="76"/>
    </row>
    <row r="864" spans="1:6" ht="63.95" customHeight="1">
      <c r="A864" s="76" t="s">
        <v>5979</v>
      </c>
      <c r="B864" s="76" t="s">
        <v>8086</v>
      </c>
      <c r="C864" s="76" t="s">
        <v>8087</v>
      </c>
      <c r="D864" s="76" t="s">
        <v>8088</v>
      </c>
      <c r="E864" s="76" t="s">
        <v>7678</v>
      </c>
      <c r="F864" s="76"/>
    </row>
    <row r="865" spans="1:6" ht="63.95" customHeight="1">
      <c r="A865" s="76" t="s">
        <v>5979</v>
      </c>
      <c r="B865" s="76" t="s">
        <v>8089</v>
      </c>
      <c r="C865" s="76" t="s">
        <v>8090</v>
      </c>
      <c r="D865" s="76" t="s">
        <v>8091</v>
      </c>
      <c r="E865" s="76" t="s">
        <v>7678</v>
      </c>
      <c r="F865" s="76"/>
    </row>
    <row r="866" spans="1:6" ht="63.95" customHeight="1">
      <c r="A866" s="76" t="s">
        <v>5979</v>
      </c>
      <c r="B866" s="76" t="s">
        <v>8092</v>
      </c>
      <c r="C866" s="76" t="s">
        <v>8093</v>
      </c>
      <c r="D866" s="76" t="s">
        <v>8094</v>
      </c>
      <c r="E866" s="76" t="s">
        <v>7678</v>
      </c>
      <c r="F866" s="76"/>
    </row>
    <row r="867" spans="1:6" ht="63.95" customHeight="1">
      <c r="A867" s="76" t="s">
        <v>5979</v>
      </c>
      <c r="B867" s="76" t="s">
        <v>8095</v>
      </c>
      <c r="C867" s="76" t="s">
        <v>8096</v>
      </c>
      <c r="D867" s="76" t="s">
        <v>8097</v>
      </c>
      <c r="E867" s="76" t="s">
        <v>7678</v>
      </c>
      <c r="F867" s="76"/>
    </row>
    <row r="868" spans="1:6" ht="63.95" customHeight="1">
      <c r="A868" s="76" t="s">
        <v>5979</v>
      </c>
      <c r="B868" s="76" t="s">
        <v>8098</v>
      </c>
      <c r="C868" s="76" t="s">
        <v>8099</v>
      </c>
      <c r="D868" s="76" t="s">
        <v>8100</v>
      </c>
      <c r="E868" s="76" t="s">
        <v>7678</v>
      </c>
      <c r="F868" s="76"/>
    </row>
    <row r="869" spans="1:6" ht="63.95" customHeight="1">
      <c r="A869" s="76" t="s">
        <v>5979</v>
      </c>
      <c r="B869" s="76" t="s">
        <v>8101</v>
      </c>
      <c r="C869" s="76" t="s">
        <v>8102</v>
      </c>
      <c r="D869" s="76" t="s">
        <v>8103</v>
      </c>
      <c r="E869" s="76" t="s">
        <v>7678</v>
      </c>
      <c r="F869" s="76"/>
    </row>
    <row r="870" spans="1:6" ht="63.95" customHeight="1">
      <c r="A870" s="76" t="s">
        <v>5979</v>
      </c>
      <c r="B870" s="76" t="s">
        <v>8104</v>
      </c>
      <c r="C870" s="76" t="s">
        <v>8105</v>
      </c>
      <c r="D870" s="76" t="s">
        <v>8106</v>
      </c>
      <c r="E870" s="76" t="s">
        <v>7678</v>
      </c>
      <c r="F870" s="76"/>
    </row>
    <row r="871" spans="1:6" ht="63.95" customHeight="1">
      <c r="A871" s="76" t="s">
        <v>5979</v>
      </c>
      <c r="B871" s="76" t="s">
        <v>8107</v>
      </c>
      <c r="C871" s="76" t="s">
        <v>8108</v>
      </c>
      <c r="D871" s="76" t="s">
        <v>8109</v>
      </c>
      <c r="E871" s="76" t="s">
        <v>7678</v>
      </c>
      <c r="F871" s="76"/>
    </row>
    <row r="872" spans="1:6" ht="63.95" customHeight="1">
      <c r="A872" s="76" t="s">
        <v>5979</v>
      </c>
      <c r="B872" s="76" t="s">
        <v>8110</v>
      </c>
      <c r="C872" s="76" t="s">
        <v>8111</v>
      </c>
      <c r="D872" s="76" t="s">
        <v>8112</v>
      </c>
      <c r="E872" s="76" t="s">
        <v>7678</v>
      </c>
      <c r="F872" s="76"/>
    </row>
    <row r="873" spans="1:6" ht="63.95" customHeight="1">
      <c r="A873" s="76" t="s">
        <v>5979</v>
      </c>
      <c r="B873" s="76" t="s">
        <v>8113</v>
      </c>
      <c r="C873" s="76" t="s">
        <v>8114</v>
      </c>
      <c r="D873" s="76" t="s">
        <v>8115</v>
      </c>
      <c r="E873" s="76" t="s">
        <v>7678</v>
      </c>
      <c r="F873" s="76"/>
    </row>
    <row r="874" spans="1:6" ht="63.95" customHeight="1">
      <c r="A874" s="76" t="s">
        <v>5979</v>
      </c>
      <c r="B874" s="76" t="s">
        <v>8116</v>
      </c>
      <c r="C874" s="76" t="s">
        <v>8117</v>
      </c>
      <c r="D874" s="76" t="s">
        <v>8118</v>
      </c>
      <c r="E874" s="76" t="s">
        <v>7678</v>
      </c>
      <c r="F874" s="76"/>
    </row>
    <row r="875" spans="1:6" ht="63.95" customHeight="1">
      <c r="A875" s="76" t="s">
        <v>5979</v>
      </c>
      <c r="B875" s="76" t="s">
        <v>8119</v>
      </c>
      <c r="C875" s="76" t="s">
        <v>8120</v>
      </c>
      <c r="D875" s="76" t="s">
        <v>8121</v>
      </c>
      <c r="E875" s="76" t="s">
        <v>7678</v>
      </c>
      <c r="F875" s="76"/>
    </row>
    <row r="876" spans="1:6" ht="63.95" customHeight="1">
      <c r="A876" s="76" t="s">
        <v>5979</v>
      </c>
      <c r="B876" s="76" t="s">
        <v>8122</v>
      </c>
      <c r="C876" s="76" t="s">
        <v>8123</v>
      </c>
      <c r="D876" s="76" t="s">
        <v>8124</v>
      </c>
      <c r="E876" s="76" t="s">
        <v>7678</v>
      </c>
      <c r="F876" s="76"/>
    </row>
    <row r="877" spans="1:6" ht="63.95" customHeight="1">
      <c r="A877" s="76" t="s">
        <v>5979</v>
      </c>
      <c r="B877" s="76" t="s">
        <v>8125</v>
      </c>
      <c r="C877" s="76" t="s">
        <v>8126</v>
      </c>
      <c r="D877" s="76" t="s">
        <v>8127</v>
      </c>
      <c r="E877" s="76" t="s">
        <v>7678</v>
      </c>
      <c r="F877" s="76"/>
    </row>
    <row r="878" spans="1:6" ht="63.95" customHeight="1">
      <c r="A878" s="76" t="s">
        <v>5979</v>
      </c>
      <c r="B878" s="76" t="s">
        <v>8128</v>
      </c>
      <c r="C878" s="76" t="s">
        <v>8129</v>
      </c>
      <c r="D878" s="76" t="s">
        <v>8130</v>
      </c>
      <c r="E878" s="76" t="s">
        <v>7678</v>
      </c>
      <c r="F878" s="76"/>
    </row>
    <row r="879" spans="1:6" ht="63.95" customHeight="1">
      <c r="A879" s="76" t="s">
        <v>5979</v>
      </c>
      <c r="B879" s="76" t="s">
        <v>8131</v>
      </c>
      <c r="C879" s="76" t="s">
        <v>8132</v>
      </c>
      <c r="D879" s="76" t="s">
        <v>8133</v>
      </c>
      <c r="E879" s="76" t="s">
        <v>7678</v>
      </c>
      <c r="F879" s="76"/>
    </row>
    <row r="880" spans="1:6" ht="63.95" customHeight="1">
      <c r="A880" s="76" t="s">
        <v>5979</v>
      </c>
      <c r="B880" s="76" t="s">
        <v>8134</v>
      </c>
      <c r="C880" s="76" t="s">
        <v>8135</v>
      </c>
      <c r="D880" s="76" t="s">
        <v>8136</v>
      </c>
      <c r="E880" s="76" t="s">
        <v>7678</v>
      </c>
      <c r="F880" s="76"/>
    </row>
    <row r="881" spans="1:6" ht="63.95" customHeight="1">
      <c r="A881" s="76" t="s">
        <v>5979</v>
      </c>
      <c r="B881" s="76" t="s">
        <v>8137</v>
      </c>
      <c r="C881" s="76" t="s">
        <v>8138</v>
      </c>
      <c r="D881" s="76" t="s">
        <v>8139</v>
      </c>
      <c r="E881" s="76" t="s">
        <v>7678</v>
      </c>
      <c r="F881" s="76"/>
    </row>
    <row r="882" spans="1:6" ht="63.95" customHeight="1">
      <c r="A882" s="76" t="s">
        <v>5979</v>
      </c>
      <c r="B882" s="76" t="s">
        <v>8140</v>
      </c>
      <c r="C882" s="76" t="s">
        <v>8141</v>
      </c>
      <c r="D882" s="76" t="s">
        <v>8142</v>
      </c>
      <c r="E882" s="76" t="s">
        <v>7678</v>
      </c>
      <c r="F882" s="76"/>
    </row>
    <row r="883" spans="1:6" ht="63.95" customHeight="1">
      <c r="A883" s="76" t="s">
        <v>5979</v>
      </c>
      <c r="B883" s="76" t="s">
        <v>8143</v>
      </c>
      <c r="C883" s="76" t="s">
        <v>8144</v>
      </c>
      <c r="D883" s="76" t="s">
        <v>8145</v>
      </c>
      <c r="E883" s="76" t="s">
        <v>7678</v>
      </c>
      <c r="F883" s="76"/>
    </row>
    <row r="884" spans="1:6" ht="63.95" customHeight="1">
      <c r="A884" s="76" t="s">
        <v>5979</v>
      </c>
      <c r="B884" s="76" t="s">
        <v>8146</v>
      </c>
      <c r="C884" s="76" t="s">
        <v>8147</v>
      </c>
      <c r="D884" s="76" t="s">
        <v>8148</v>
      </c>
      <c r="E884" s="76" t="s">
        <v>7678</v>
      </c>
      <c r="F884" s="76"/>
    </row>
    <row r="885" spans="1:6" ht="63.95" customHeight="1">
      <c r="A885" s="76" t="s">
        <v>5979</v>
      </c>
      <c r="B885" s="76" t="s">
        <v>8149</v>
      </c>
      <c r="C885" s="76" t="s">
        <v>8150</v>
      </c>
      <c r="D885" s="76" t="s">
        <v>8151</v>
      </c>
      <c r="E885" s="76" t="s">
        <v>7678</v>
      </c>
      <c r="F885" s="76"/>
    </row>
    <row r="886" spans="1:6" ht="63.95" customHeight="1">
      <c r="A886" s="76" t="s">
        <v>5979</v>
      </c>
      <c r="B886" s="76" t="s">
        <v>8152</v>
      </c>
      <c r="C886" s="76" t="s">
        <v>8153</v>
      </c>
      <c r="D886" s="76" t="s">
        <v>8154</v>
      </c>
      <c r="E886" s="76" t="s">
        <v>7678</v>
      </c>
      <c r="F886" s="76"/>
    </row>
    <row r="887" spans="1:6" ht="63.95" customHeight="1">
      <c r="A887" s="76" t="s">
        <v>5979</v>
      </c>
      <c r="B887" s="76" t="s">
        <v>8155</v>
      </c>
      <c r="C887" s="76" t="s">
        <v>8156</v>
      </c>
      <c r="D887" s="76" t="s">
        <v>8157</v>
      </c>
      <c r="E887" s="76" t="s">
        <v>7678</v>
      </c>
      <c r="F887" s="76"/>
    </row>
    <row r="888" spans="1:6" ht="63.95" customHeight="1">
      <c r="A888" s="76" t="s">
        <v>5979</v>
      </c>
      <c r="B888" s="76" t="s">
        <v>8158</v>
      </c>
      <c r="C888" s="76" t="s">
        <v>8159</v>
      </c>
      <c r="D888" s="76" t="s">
        <v>8160</v>
      </c>
      <c r="E888" s="76" t="s">
        <v>7678</v>
      </c>
      <c r="F888" s="76"/>
    </row>
    <row r="889" spans="1:6" ht="63.95" customHeight="1">
      <c r="A889" s="76" t="s">
        <v>5979</v>
      </c>
      <c r="B889" s="76" t="s">
        <v>8161</v>
      </c>
      <c r="C889" s="76" t="s">
        <v>8162</v>
      </c>
      <c r="D889" s="76" t="s">
        <v>8163</v>
      </c>
      <c r="E889" s="76" t="s">
        <v>7678</v>
      </c>
      <c r="F889" s="76"/>
    </row>
    <row r="890" spans="1:6" ht="63.95" customHeight="1">
      <c r="A890" s="76" t="s">
        <v>5979</v>
      </c>
      <c r="B890" s="76" t="s">
        <v>8164</v>
      </c>
      <c r="C890" s="76" t="s">
        <v>8165</v>
      </c>
      <c r="D890" s="76" t="s">
        <v>8166</v>
      </c>
      <c r="E890" s="76" t="s">
        <v>7678</v>
      </c>
      <c r="F890" s="76"/>
    </row>
    <row r="891" spans="1:6" ht="63.95" customHeight="1">
      <c r="A891" s="76" t="s">
        <v>5979</v>
      </c>
      <c r="B891" s="76" t="s">
        <v>8167</v>
      </c>
      <c r="C891" s="76" t="s">
        <v>8168</v>
      </c>
      <c r="D891" s="76" t="s">
        <v>8169</v>
      </c>
      <c r="E891" s="76" t="s">
        <v>7678</v>
      </c>
      <c r="F891" s="76"/>
    </row>
    <row r="892" spans="1:6" ht="63.95" customHeight="1">
      <c r="A892" s="76" t="s">
        <v>5979</v>
      </c>
      <c r="B892" s="76" t="s">
        <v>8170</v>
      </c>
      <c r="C892" s="76" t="s">
        <v>8171</v>
      </c>
      <c r="D892" s="76" t="s">
        <v>8172</v>
      </c>
      <c r="E892" s="76" t="s">
        <v>7678</v>
      </c>
      <c r="F892" s="76"/>
    </row>
    <row r="893" spans="1:6" ht="63.95" customHeight="1">
      <c r="A893" s="76" t="s">
        <v>5979</v>
      </c>
      <c r="B893" s="76" t="s">
        <v>8173</v>
      </c>
      <c r="C893" s="76" t="s">
        <v>8174</v>
      </c>
      <c r="D893" s="76" t="s">
        <v>8175</v>
      </c>
      <c r="E893" s="76" t="s">
        <v>7678</v>
      </c>
      <c r="F893" s="76"/>
    </row>
    <row r="894" spans="1:6" ht="63.95" customHeight="1">
      <c r="A894" s="76" t="s">
        <v>5979</v>
      </c>
      <c r="B894" s="76" t="s">
        <v>8176</v>
      </c>
      <c r="C894" s="76" t="s">
        <v>8177</v>
      </c>
      <c r="D894" s="76" t="s">
        <v>8178</v>
      </c>
      <c r="E894" s="76" t="s">
        <v>7678</v>
      </c>
      <c r="F894" s="76"/>
    </row>
    <row r="895" spans="1:6" ht="63.95" customHeight="1">
      <c r="A895" s="76" t="s">
        <v>5979</v>
      </c>
      <c r="B895" s="76" t="s">
        <v>8179</v>
      </c>
      <c r="C895" s="76" t="s">
        <v>8180</v>
      </c>
      <c r="D895" s="76" t="s">
        <v>8181</v>
      </c>
      <c r="E895" s="76" t="s">
        <v>7678</v>
      </c>
      <c r="F895" s="76"/>
    </row>
    <row r="896" spans="1:6" ht="63.95" customHeight="1">
      <c r="A896" s="76" t="s">
        <v>5979</v>
      </c>
      <c r="B896" s="76" t="s">
        <v>8182</v>
      </c>
      <c r="C896" s="76" t="s">
        <v>8183</v>
      </c>
      <c r="D896" s="76" t="s">
        <v>8184</v>
      </c>
      <c r="E896" s="76" t="s">
        <v>7678</v>
      </c>
      <c r="F896" s="76"/>
    </row>
    <row r="897" spans="1:6" ht="63.95" customHeight="1">
      <c r="A897" s="76" t="s">
        <v>5979</v>
      </c>
      <c r="B897" s="76" t="s">
        <v>8185</v>
      </c>
      <c r="C897" s="76" t="s">
        <v>8186</v>
      </c>
      <c r="D897" s="76" t="s">
        <v>8187</v>
      </c>
      <c r="E897" s="76" t="s">
        <v>7678</v>
      </c>
      <c r="F897" s="76"/>
    </row>
    <row r="898" spans="1:6" ht="63.95" customHeight="1">
      <c r="A898" s="76" t="s">
        <v>5979</v>
      </c>
      <c r="B898" s="76" t="s">
        <v>8188</v>
      </c>
      <c r="C898" s="76" t="s">
        <v>8189</v>
      </c>
      <c r="D898" s="76" t="s">
        <v>8190</v>
      </c>
      <c r="E898" s="76" t="s">
        <v>7678</v>
      </c>
      <c r="F898" s="76"/>
    </row>
    <row r="899" spans="1:6" ht="63.95" customHeight="1">
      <c r="A899" s="76" t="s">
        <v>5979</v>
      </c>
      <c r="B899" s="76" t="s">
        <v>8191</v>
      </c>
      <c r="C899" s="76" t="s">
        <v>8192</v>
      </c>
      <c r="D899" s="76" t="s">
        <v>8193</v>
      </c>
      <c r="E899" s="76" t="s">
        <v>7678</v>
      </c>
      <c r="F899" s="76"/>
    </row>
    <row r="900" spans="1:6" ht="63.95" customHeight="1">
      <c r="A900" s="76" t="s">
        <v>5979</v>
      </c>
      <c r="B900" s="76" t="s">
        <v>8194</v>
      </c>
      <c r="C900" s="76" t="s">
        <v>8195</v>
      </c>
      <c r="D900" s="76" t="s">
        <v>8196</v>
      </c>
      <c r="E900" s="76" t="s">
        <v>7678</v>
      </c>
      <c r="F900" s="76"/>
    </row>
    <row r="901" spans="1:6" ht="63.95" customHeight="1">
      <c r="A901" s="76" t="s">
        <v>5979</v>
      </c>
      <c r="B901" s="76" t="s">
        <v>8197</v>
      </c>
      <c r="C901" s="76" t="s">
        <v>8198</v>
      </c>
      <c r="D901" s="76" t="s">
        <v>8199</v>
      </c>
      <c r="E901" s="76" t="s">
        <v>7678</v>
      </c>
      <c r="F901" s="76"/>
    </row>
    <row r="902" spans="1:6" ht="63.95" customHeight="1">
      <c r="A902" s="76" t="s">
        <v>5979</v>
      </c>
      <c r="B902" s="76" t="s">
        <v>8200</v>
      </c>
      <c r="C902" s="76" t="s">
        <v>8201</v>
      </c>
      <c r="D902" s="76" t="s">
        <v>8202</v>
      </c>
      <c r="E902" s="76" t="s">
        <v>7678</v>
      </c>
      <c r="F902" s="76"/>
    </row>
    <row r="903" spans="1:6" ht="63.95" customHeight="1">
      <c r="A903" s="76" t="s">
        <v>5979</v>
      </c>
      <c r="B903" s="76" t="s">
        <v>8203</v>
      </c>
      <c r="C903" s="76" t="s">
        <v>8204</v>
      </c>
      <c r="D903" s="76" t="s">
        <v>8205</v>
      </c>
      <c r="E903" s="76" t="s">
        <v>7678</v>
      </c>
      <c r="F903" s="76"/>
    </row>
    <row r="904" spans="1:6" ht="63.95" customHeight="1">
      <c r="A904" s="76" t="s">
        <v>5979</v>
      </c>
      <c r="B904" s="76" t="s">
        <v>8206</v>
      </c>
      <c r="C904" s="76" t="s">
        <v>8207</v>
      </c>
      <c r="D904" s="76" t="s">
        <v>8208</v>
      </c>
      <c r="E904" s="76" t="s">
        <v>7678</v>
      </c>
      <c r="F904" s="76"/>
    </row>
    <row r="905" spans="1:6" ht="63.95" customHeight="1">
      <c r="A905" s="76" t="s">
        <v>5979</v>
      </c>
      <c r="B905" s="76" t="s">
        <v>8209</v>
      </c>
      <c r="C905" s="76" t="s">
        <v>8210</v>
      </c>
      <c r="D905" s="76" t="s">
        <v>8211</v>
      </c>
      <c r="E905" s="76" t="s">
        <v>7678</v>
      </c>
      <c r="F905" s="76"/>
    </row>
    <row r="906" spans="1:6" ht="63.95" customHeight="1">
      <c r="A906" s="76" t="s">
        <v>5979</v>
      </c>
      <c r="B906" s="76" t="s">
        <v>8212</v>
      </c>
      <c r="C906" s="76" t="s">
        <v>8213</v>
      </c>
      <c r="D906" s="76" t="s">
        <v>8214</v>
      </c>
      <c r="E906" s="76" t="s">
        <v>7678</v>
      </c>
      <c r="F906" s="76"/>
    </row>
    <row r="907" spans="1:6" ht="63.95" customHeight="1">
      <c r="A907" s="76" t="s">
        <v>5979</v>
      </c>
      <c r="B907" s="76" t="s">
        <v>8215</v>
      </c>
      <c r="C907" s="76" t="s">
        <v>8216</v>
      </c>
      <c r="D907" s="76" t="s">
        <v>8217</v>
      </c>
      <c r="E907" s="76" t="s">
        <v>7678</v>
      </c>
      <c r="F907" s="76"/>
    </row>
    <row r="908" spans="1:6" ht="63.95" customHeight="1">
      <c r="A908" s="76" t="s">
        <v>5979</v>
      </c>
      <c r="B908" s="76" t="s">
        <v>8218</v>
      </c>
      <c r="C908" s="76" t="s">
        <v>8219</v>
      </c>
      <c r="D908" s="76" t="s">
        <v>8220</v>
      </c>
      <c r="E908" s="76" t="s">
        <v>7678</v>
      </c>
      <c r="F908" s="76"/>
    </row>
    <row r="909" spans="1:6" ht="63.95" customHeight="1">
      <c r="A909" s="76" t="s">
        <v>5979</v>
      </c>
      <c r="B909" s="76" t="s">
        <v>8221</v>
      </c>
      <c r="C909" s="76" t="s">
        <v>8222</v>
      </c>
      <c r="D909" s="76" t="s">
        <v>8223</v>
      </c>
      <c r="E909" s="76" t="s">
        <v>7678</v>
      </c>
      <c r="F909" s="76"/>
    </row>
    <row r="910" spans="1:6" ht="63.95" customHeight="1">
      <c r="A910" s="76" t="s">
        <v>5979</v>
      </c>
      <c r="B910" s="76" t="s">
        <v>8224</v>
      </c>
      <c r="C910" s="76" t="s">
        <v>8225</v>
      </c>
      <c r="D910" s="76" t="s">
        <v>8226</v>
      </c>
      <c r="E910" s="76" t="s">
        <v>7678</v>
      </c>
      <c r="F910" s="76"/>
    </row>
    <row r="911" spans="1:6" ht="63.95" customHeight="1">
      <c r="A911" s="76" t="s">
        <v>5979</v>
      </c>
      <c r="B911" s="76" t="s">
        <v>8227</v>
      </c>
      <c r="C911" s="76" t="s">
        <v>8228</v>
      </c>
      <c r="D911" s="76" t="s">
        <v>8229</v>
      </c>
      <c r="E911" s="76" t="s">
        <v>7678</v>
      </c>
      <c r="F911" s="76"/>
    </row>
    <row r="912" spans="1:6" ht="63.95" customHeight="1">
      <c r="A912" s="76" t="s">
        <v>5979</v>
      </c>
      <c r="B912" s="76" t="s">
        <v>8230</v>
      </c>
      <c r="C912" s="76" t="s">
        <v>8231</v>
      </c>
      <c r="D912" s="76" t="s">
        <v>8232</v>
      </c>
      <c r="E912" s="76" t="s">
        <v>7678</v>
      </c>
      <c r="F912" s="76"/>
    </row>
    <row r="913" spans="1:6" ht="63.95" customHeight="1">
      <c r="A913" s="76" t="s">
        <v>5979</v>
      </c>
      <c r="B913" s="76" t="s">
        <v>8233</v>
      </c>
      <c r="C913" s="76" t="s">
        <v>8234</v>
      </c>
      <c r="D913" s="76" t="s">
        <v>8235</v>
      </c>
      <c r="E913" s="76" t="s">
        <v>7678</v>
      </c>
      <c r="F913" s="76"/>
    </row>
    <row r="914" spans="1:6" ht="63.95" customHeight="1">
      <c r="A914" s="76" t="s">
        <v>5979</v>
      </c>
      <c r="B914" s="76" t="s">
        <v>8236</v>
      </c>
      <c r="C914" s="76" t="s">
        <v>8237</v>
      </c>
      <c r="D914" s="76" t="s">
        <v>8238</v>
      </c>
      <c r="E914" s="76" t="s">
        <v>7678</v>
      </c>
      <c r="F914" s="76"/>
    </row>
    <row r="915" spans="1:6" ht="63.95" customHeight="1">
      <c r="A915" s="76" t="s">
        <v>5979</v>
      </c>
      <c r="B915" s="76" t="s">
        <v>8239</v>
      </c>
      <c r="C915" s="76" t="s">
        <v>8240</v>
      </c>
      <c r="D915" s="76" t="s">
        <v>8241</v>
      </c>
      <c r="E915" s="76" t="s">
        <v>7678</v>
      </c>
      <c r="F915" s="76"/>
    </row>
    <row r="916" spans="1:6" ht="63.95" customHeight="1">
      <c r="A916" s="76" t="s">
        <v>5979</v>
      </c>
      <c r="B916" s="76" t="s">
        <v>8242</v>
      </c>
      <c r="C916" s="76" t="s">
        <v>8243</v>
      </c>
      <c r="D916" s="76" t="s">
        <v>8244</v>
      </c>
      <c r="E916" s="76" t="s">
        <v>7678</v>
      </c>
      <c r="F916" s="76"/>
    </row>
    <row r="917" spans="1:6" ht="63.95" customHeight="1">
      <c r="A917" s="76" t="s">
        <v>5979</v>
      </c>
      <c r="B917" s="76" t="s">
        <v>8245</v>
      </c>
      <c r="C917" s="76" t="s">
        <v>8246</v>
      </c>
      <c r="D917" s="76" t="s">
        <v>8247</v>
      </c>
      <c r="E917" s="76" t="s">
        <v>7678</v>
      </c>
      <c r="F917" s="76"/>
    </row>
    <row r="918" spans="1:6" ht="63.95" customHeight="1">
      <c r="A918" s="76" t="s">
        <v>5979</v>
      </c>
      <c r="B918" s="76" t="s">
        <v>8248</v>
      </c>
      <c r="C918" s="76" t="s">
        <v>8249</v>
      </c>
      <c r="D918" s="76" t="s">
        <v>8250</v>
      </c>
      <c r="E918" s="76" t="s">
        <v>7678</v>
      </c>
      <c r="F918" s="76"/>
    </row>
    <row r="919" spans="1:6" ht="63.95" customHeight="1">
      <c r="A919" s="76" t="s">
        <v>5979</v>
      </c>
      <c r="B919" s="76" t="s">
        <v>8251</v>
      </c>
      <c r="C919" s="76" t="s">
        <v>8252</v>
      </c>
      <c r="D919" s="76" t="s">
        <v>8253</v>
      </c>
      <c r="E919" s="76" t="s">
        <v>7678</v>
      </c>
      <c r="F919" s="76"/>
    </row>
    <row r="920" spans="1:6" ht="63.95" customHeight="1">
      <c r="A920" s="76" t="s">
        <v>5979</v>
      </c>
      <c r="B920" s="76" t="s">
        <v>8254</v>
      </c>
      <c r="C920" s="76" t="s">
        <v>8255</v>
      </c>
      <c r="D920" s="76" t="s">
        <v>8256</v>
      </c>
      <c r="E920" s="76" t="s">
        <v>7678</v>
      </c>
      <c r="F920" s="76"/>
    </row>
    <row r="921" spans="1:6" ht="63.95" customHeight="1">
      <c r="A921" s="76" t="s">
        <v>5979</v>
      </c>
      <c r="B921" s="76" t="s">
        <v>8257</v>
      </c>
      <c r="C921" s="76" t="s">
        <v>8258</v>
      </c>
      <c r="D921" s="76" t="s">
        <v>8259</v>
      </c>
      <c r="E921" s="76" t="s">
        <v>7678</v>
      </c>
      <c r="F921" s="76"/>
    </row>
    <row r="922" spans="1:6" ht="63.95" customHeight="1">
      <c r="A922" s="76" t="s">
        <v>5979</v>
      </c>
      <c r="B922" s="76" t="s">
        <v>8260</v>
      </c>
      <c r="C922" s="76" t="s">
        <v>8261</v>
      </c>
      <c r="D922" s="76" t="s">
        <v>8262</v>
      </c>
      <c r="E922" s="76" t="s">
        <v>7678</v>
      </c>
      <c r="F922" s="76"/>
    </row>
    <row r="923" spans="1:6" ht="63.95" customHeight="1">
      <c r="A923" s="76" t="s">
        <v>5979</v>
      </c>
      <c r="B923" s="76" t="s">
        <v>8263</v>
      </c>
      <c r="C923" s="76" t="s">
        <v>8264</v>
      </c>
      <c r="D923" s="76" t="s">
        <v>8265</v>
      </c>
      <c r="E923" s="76" t="s">
        <v>7678</v>
      </c>
      <c r="F923" s="76"/>
    </row>
    <row r="924" spans="1:6" ht="63.95" customHeight="1">
      <c r="A924" s="76" t="s">
        <v>5979</v>
      </c>
      <c r="B924" s="76" t="s">
        <v>8266</v>
      </c>
      <c r="C924" s="76" t="s">
        <v>8267</v>
      </c>
      <c r="D924" s="76" t="s">
        <v>8268</v>
      </c>
      <c r="E924" s="76" t="s">
        <v>7678</v>
      </c>
      <c r="F924" s="76"/>
    </row>
    <row r="925" spans="1:6" ht="63.95" customHeight="1">
      <c r="A925" s="76" t="s">
        <v>5979</v>
      </c>
      <c r="B925" s="76" t="s">
        <v>8269</v>
      </c>
      <c r="C925" s="76" t="s">
        <v>8270</v>
      </c>
      <c r="D925" s="76" t="s">
        <v>8271</v>
      </c>
      <c r="E925" s="76" t="s">
        <v>7678</v>
      </c>
      <c r="F925" s="76"/>
    </row>
    <row r="926" spans="1:6" ht="63.95" customHeight="1">
      <c r="A926" s="76" t="s">
        <v>5979</v>
      </c>
      <c r="B926" s="76" t="s">
        <v>8272</v>
      </c>
      <c r="C926" s="76" t="s">
        <v>8273</v>
      </c>
      <c r="D926" s="76" t="s">
        <v>8274</v>
      </c>
      <c r="E926" s="76" t="s">
        <v>7678</v>
      </c>
      <c r="F926" s="76"/>
    </row>
    <row r="927" spans="1:6" ht="63.95" customHeight="1">
      <c r="A927" s="76" t="s">
        <v>5979</v>
      </c>
      <c r="B927" s="76" t="s">
        <v>8275</v>
      </c>
      <c r="C927" s="76" t="s">
        <v>8276</v>
      </c>
      <c r="D927" s="76" t="s">
        <v>8277</v>
      </c>
      <c r="E927" s="76" t="s">
        <v>7678</v>
      </c>
      <c r="F927" s="76"/>
    </row>
    <row r="928" spans="1:6" ht="63.95" customHeight="1">
      <c r="A928" s="76" t="s">
        <v>5979</v>
      </c>
      <c r="B928" s="76" t="s">
        <v>8278</v>
      </c>
      <c r="C928" s="76" t="s">
        <v>8279</v>
      </c>
      <c r="D928" s="76" t="s">
        <v>8280</v>
      </c>
      <c r="E928" s="76" t="s">
        <v>7678</v>
      </c>
      <c r="F928" s="76"/>
    </row>
    <row r="929" spans="1:6" ht="63.95" customHeight="1">
      <c r="A929" s="76" t="s">
        <v>5979</v>
      </c>
      <c r="B929" s="76" t="s">
        <v>8281</v>
      </c>
      <c r="C929" s="76" t="s">
        <v>8282</v>
      </c>
      <c r="D929" s="76" t="s">
        <v>8283</v>
      </c>
      <c r="E929" s="76" t="s">
        <v>7678</v>
      </c>
      <c r="F929" s="76"/>
    </row>
    <row r="930" spans="1:6" ht="63.95" customHeight="1">
      <c r="A930" s="76" t="s">
        <v>5979</v>
      </c>
      <c r="B930" s="76" t="s">
        <v>8284</v>
      </c>
      <c r="C930" s="76" t="s">
        <v>8285</v>
      </c>
      <c r="D930" s="76" t="s">
        <v>8286</v>
      </c>
      <c r="E930" s="76" t="s">
        <v>7678</v>
      </c>
      <c r="F930" s="76"/>
    </row>
    <row r="931" spans="1:6" ht="63.95" customHeight="1">
      <c r="A931" s="76" t="s">
        <v>5979</v>
      </c>
      <c r="B931" s="76" t="s">
        <v>8287</v>
      </c>
      <c r="C931" s="76" t="s">
        <v>8288</v>
      </c>
      <c r="D931" s="76" t="s">
        <v>8289</v>
      </c>
      <c r="E931" s="76" t="s">
        <v>7678</v>
      </c>
      <c r="F931" s="76"/>
    </row>
    <row r="932" spans="1:6" ht="63.95" customHeight="1">
      <c r="A932" s="76" t="s">
        <v>5979</v>
      </c>
      <c r="B932" s="76" t="s">
        <v>8290</v>
      </c>
      <c r="C932" s="76" t="s">
        <v>8291</v>
      </c>
      <c r="D932" s="76" t="s">
        <v>8292</v>
      </c>
      <c r="E932" s="76" t="s">
        <v>7678</v>
      </c>
      <c r="F932" s="76"/>
    </row>
    <row r="933" spans="1:6" ht="63.95" customHeight="1">
      <c r="A933" s="76" t="s">
        <v>5979</v>
      </c>
      <c r="B933" s="76" t="s">
        <v>8293</v>
      </c>
      <c r="C933" s="76" t="s">
        <v>8294</v>
      </c>
      <c r="D933" s="76" t="s">
        <v>8295</v>
      </c>
      <c r="E933" s="76" t="s">
        <v>7678</v>
      </c>
      <c r="F933" s="76"/>
    </row>
    <row r="934" spans="1:6" ht="63.95" customHeight="1">
      <c r="A934" s="76" t="s">
        <v>5979</v>
      </c>
      <c r="B934" s="76" t="s">
        <v>8296</v>
      </c>
      <c r="C934" s="76" t="s">
        <v>8297</v>
      </c>
      <c r="D934" s="76" t="s">
        <v>8298</v>
      </c>
      <c r="E934" s="76" t="s">
        <v>7678</v>
      </c>
      <c r="F934" s="76"/>
    </row>
    <row r="935" spans="1:6" ht="63.95" customHeight="1">
      <c r="A935" s="76" t="s">
        <v>5979</v>
      </c>
      <c r="B935" s="76" t="s">
        <v>8299</v>
      </c>
      <c r="C935" s="76" t="s">
        <v>8300</v>
      </c>
      <c r="D935" s="76" t="s">
        <v>8301</v>
      </c>
      <c r="E935" s="76" t="s">
        <v>7678</v>
      </c>
      <c r="F935" s="76"/>
    </row>
    <row r="936" spans="1:6" ht="63.95" customHeight="1">
      <c r="A936" s="76" t="s">
        <v>5979</v>
      </c>
      <c r="B936" s="76" t="s">
        <v>8302</v>
      </c>
      <c r="C936" s="76" t="s">
        <v>8303</v>
      </c>
      <c r="D936" s="76" t="s">
        <v>8304</v>
      </c>
      <c r="E936" s="76" t="s">
        <v>7678</v>
      </c>
      <c r="F936" s="76"/>
    </row>
    <row r="937" spans="1:6" ht="63.95" customHeight="1">
      <c r="A937" s="76" t="s">
        <v>5979</v>
      </c>
      <c r="B937" s="76" t="s">
        <v>8305</v>
      </c>
      <c r="C937" s="76" t="s">
        <v>8306</v>
      </c>
      <c r="D937" s="76" t="s">
        <v>8307</v>
      </c>
      <c r="E937" s="76" t="s">
        <v>7678</v>
      </c>
      <c r="F937" s="76"/>
    </row>
    <row r="938" spans="1:6" ht="63.95" customHeight="1">
      <c r="A938" s="76" t="s">
        <v>5979</v>
      </c>
      <c r="B938" s="76" t="s">
        <v>8308</v>
      </c>
      <c r="C938" s="76" t="s">
        <v>8309</v>
      </c>
      <c r="D938" s="76" t="s">
        <v>8310</v>
      </c>
      <c r="E938" s="76" t="s">
        <v>7678</v>
      </c>
      <c r="F938" s="76"/>
    </row>
    <row r="939" spans="1:6" ht="63.95" customHeight="1">
      <c r="A939" s="76" t="s">
        <v>5979</v>
      </c>
      <c r="B939" s="76" t="s">
        <v>8311</v>
      </c>
      <c r="C939" s="76" t="s">
        <v>8312</v>
      </c>
      <c r="D939" s="76" t="s">
        <v>8313</v>
      </c>
      <c r="E939" s="76" t="s">
        <v>7678</v>
      </c>
      <c r="F939" s="76"/>
    </row>
    <row r="940" spans="1:6" ht="63.95" customHeight="1">
      <c r="A940" s="76" t="s">
        <v>5979</v>
      </c>
      <c r="B940" s="76" t="s">
        <v>8314</v>
      </c>
      <c r="C940" s="76" t="s">
        <v>8315</v>
      </c>
      <c r="D940" s="76" t="s">
        <v>8316</v>
      </c>
      <c r="E940" s="76" t="s">
        <v>7678</v>
      </c>
      <c r="F940" s="76"/>
    </row>
    <row r="941" spans="1:6" ht="63.95" customHeight="1">
      <c r="A941" s="76" t="s">
        <v>5979</v>
      </c>
      <c r="B941" s="76" t="s">
        <v>8317</v>
      </c>
      <c r="C941" s="76" t="s">
        <v>8318</v>
      </c>
      <c r="D941" s="76" t="s">
        <v>8319</v>
      </c>
      <c r="E941" s="76" t="s">
        <v>7678</v>
      </c>
      <c r="F941" s="76"/>
    </row>
    <row r="942" spans="1:6" ht="63.95" customHeight="1">
      <c r="A942" s="76" t="s">
        <v>5979</v>
      </c>
      <c r="B942" s="76" t="s">
        <v>8320</v>
      </c>
      <c r="C942" s="76" t="s">
        <v>8321</v>
      </c>
      <c r="D942" s="76" t="s">
        <v>8322</v>
      </c>
      <c r="E942" s="76" t="s">
        <v>7678</v>
      </c>
      <c r="F942" s="76"/>
    </row>
    <row r="943" spans="1:6" ht="63.95" customHeight="1">
      <c r="A943" s="76" t="s">
        <v>5979</v>
      </c>
      <c r="B943" s="76" t="s">
        <v>8323</v>
      </c>
      <c r="C943" s="76" t="s">
        <v>8324</v>
      </c>
      <c r="D943" s="76" t="s">
        <v>8325</v>
      </c>
      <c r="E943" s="76" t="s">
        <v>7678</v>
      </c>
      <c r="F943" s="76"/>
    </row>
    <row r="944" spans="1:6" ht="63.95" customHeight="1">
      <c r="A944" s="76" t="s">
        <v>5979</v>
      </c>
      <c r="B944" s="76" t="s">
        <v>8326</v>
      </c>
      <c r="C944" s="76" t="s">
        <v>8327</v>
      </c>
      <c r="D944" s="76" t="s">
        <v>8328</v>
      </c>
      <c r="E944" s="76" t="s">
        <v>7678</v>
      </c>
      <c r="F944" s="76"/>
    </row>
    <row r="945" spans="1:6" ht="63.95" customHeight="1">
      <c r="A945" s="76" t="s">
        <v>5979</v>
      </c>
      <c r="B945" s="76" t="s">
        <v>8329</v>
      </c>
      <c r="C945" s="76" t="s">
        <v>8330</v>
      </c>
      <c r="D945" s="76" t="s">
        <v>8331</v>
      </c>
      <c r="E945" s="76" t="s">
        <v>7678</v>
      </c>
      <c r="F945" s="76"/>
    </row>
    <row r="946" spans="1:6" ht="63.95" customHeight="1">
      <c r="A946" s="76" t="s">
        <v>5979</v>
      </c>
      <c r="B946" s="76" t="s">
        <v>8332</v>
      </c>
      <c r="C946" s="76" t="s">
        <v>8333</v>
      </c>
      <c r="D946" s="76" t="s">
        <v>8334</v>
      </c>
      <c r="E946" s="76" t="s">
        <v>7678</v>
      </c>
      <c r="F946" s="76"/>
    </row>
    <row r="947" spans="1:6" ht="63.95" customHeight="1">
      <c r="A947" s="76" t="s">
        <v>5979</v>
      </c>
      <c r="B947" s="76" t="s">
        <v>8335</v>
      </c>
      <c r="C947" s="76" t="s">
        <v>8336</v>
      </c>
      <c r="D947" s="76" t="s">
        <v>8337</v>
      </c>
      <c r="E947" s="76" t="s">
        <v>7678</v>
      </c>
      <c r="F947" s="76"/>
    </row>
    <row r="948" spans="1:6" ht="63.95" customHeight="1">
      <c r="A948" s="76" t="s">
        <v>5979</v>
      </c>
      <c r="B948" s="76" t="s">
        <v>8338</v>
      </c>
      <c r="C948" s="76" t="s">
        <v>8339</v>
      </c>
      <c r="D948" s="76" t="s">
        <v>8340</v>
      </c>
      <c r="E948" s="76" t="s">
        <v>7678</v>
      </c>
      <c r="F948" s="76"/>
    </row>
    <row r="949" spans="1:6" ht="63.95" customHeight="1">
      <c r="A949" s="76" t="s">
        <v>5979</v>
      </c>
      <c r="B949" s="76" t="s">
        <v>8341</v>
      </c>
      <c r="C949" s="76" t="s">
        <v>8342</v>
      </c>
      <c r="D949" s="76" t="s">
        <v>8343</v>
      </c>
      <c r="E949" s="76" t="s">
        <v>7678</v>
      </c>
      <c r="F949" s="76"/>
    </row>
    <row r="950" spans="1:6" ht="63.95" customHeight="1">
      <c r="A950" s="76" t="s">
        <v>5979</v>
      </c>
      <c r="B950" s="76" t="s">
        <v>8344</v>
      </c>
      <c r="C950" s="76" t="s">
        <v>8345</v>
      </c>
      <c r="D950" s="76" t="s">
        <v>8346</v>
      </c>
      <c r="E950" s="76" t="s">
        <v>7678</v>
      </c>
      <c r="F950" s="76"/>
    </row>
    <row r="951" spans="1:6" ht="63.95" customHeight="1">
      <c r="A951" s="76" t="s">
        <v>5979</v>
      </c>
      <c r="B951" s="76" t="s">
        <v>8347</v>
      </c>
      <c r="C951" s="76" t="s">
        <v>8348</v>
      </c>
      <c r="D951" s="76" t="s">
        <v>8349</v>
      </c>
      <c r="E951" s="76" t="s">
        <v>7678</v>
      </c>
      <c r="F951" s="76"/>
    </row>
    <row r="952" spans="1:6" ht="63.95" customHeight="1">
      <c r="A952" s="76" t="s">
        <v>5979</v>
      </c>
      <c r="B952" s="76" t="s">
        <v>8350</v>
      </c>
      <c r="C952" s="76" t="s">
        <v>8351</v>
      </c>
      <c r="D952" s="76" t="s">
        <v>8352</v>
      </c>
      <c r="E952" s="76" t="s">
        <v>7678</v>
      </c>
      <c r="F952" s="76"/>
    </row>
    <row r="953" spans="1:6" ht="63.95" customHeight="1">
      <c r="A953" s="76" t="s">
        <v>5979</v>
      </c>
      <c r="B953" s="76" t="s">
        <v>8353</v>
      </c>
      <c r="C953" s="76" t="s">
        <v>8354</v>
      </c>
      <c r="D953" s="76" t="s">
        <v>8355</v>
      </c>
      <c r="E953" s="76" t="s">
        <v>7678</v>
      </c>
      <c r="F953" s="76"/>
    </row>
    <row r="954" spans="1:6" ht="63.95" customHeight="1">
      <c r="A954" s="76" t="s">
        <v>5979</v>
      </c>
      <c r="B954" s="76" t="s">
        <v>8356</v>
      </c>
      <c r="C954" s="76" t="s">
        <v>8357</v>
      </c>
      <c r="D954" s="76" t="s">
        <v>8358</v>
      </c>
      <c r="E954" s="76" t="s">
        <v>7678</v>
      </c>
      <c r="F954" s="76"/>
    </row>
    <row r="955" spans="1:6" ht="63.95" customHeight="1">
      <c r="A955" s="76" t="s">
        <v>5979</v>
      </c>
      <c r="B955" s="76" t="s">
        <v>8359</v>
      </c>
      <c r="C955" s="76" t="s">
        <v>8360</v>
      </c>
      <c r="D955" s="76" t="s">
        <v>8361</v>
      </c>
      <c r="E955" s="76" t="s">
        <v>7678</v>
      </c>
      <c r="F955" s="76"/>
    </row>
    <row r="956" spans="1:6" ht="63.95" customHeight="1">
      <c r="A956" s="76" t="s">
        <v>5979</v>
      </c>
      <c r="B956" s="76" t="s">
        <v>8362</v>
      </c>
      <c r="C956" s="76" t="s">
        <v>8363</v>
      </c>
      <c r="D956" s="76" t="s">
        <v>8364</v>
      </c>
      <c r="E956" s="76" t="s">
        <v>7678</v>
      </c>
      <c r="F956" s="76"/>
    </row>
    <row r="957" spans="1:6" ht="63.95" customHeight="1">
      <c r="A957" s="76" t="s">
        <v>5979</v>
      </c>
      <c r="B957" s="76" t="s">
        <v>8365</v>
      </c>
      <c r="C957" s="76" t="s">
        <v>8366</v>
      </c>
      <c r="D957" s="76" t="s">
        <v>8367</v>
      </c>
      <c r="E957" s="76" t="s">
        <v>7678</v>
      </c>
      <c r="F957" s="76"/>
    </row>
    <row r="958" spans="1:6" ht="63.95" customHeight="1">
      <c r="A958" s="76" t="s">
        <v>5979</v>
      </c>
      <c r="B958" s="76" t="s">
        <v>8368</v>
      </c>
      <c r="C958" s="76" t="s">
        <v>8369</v>
      </c>
      <c r="D958" s="76" t="s">
        <v>8370</v>
      </c>
      <c r="E958" s="76" t="s">
        <v>7678</v>
      </c>
      <c r="F958" s="76"/>
    </row>
    <row r="959" spans="1:6" ht="63.95" customHeight="1">
      <c r="A959" s="76" t="s">
        <v>5979</v>
      </c>
      <c r="B959" s="76" t="s">
        <v>8371</v>
      </c>
      <c r="C959" s="76" t="s">
        <v>8372</v>
      </c>
      <c r="D959" s="76" t="s">
        <v>8373</v>
      </c>
      <c r="E959" s="76" t="s">
        <v>7678</v>
      </c>
      <c r="F959" s="76"/>
    </row>
    <row r="960" spans="1:6" ht="63.95" customHeight="1">
      <c r="A960" s="76" t="s">
        <v>5979</v>
      </c>
      <c r="B960" s="76" t="s">
        <v>8374</v>
      </c>
      <c r="C960" s="76" t="s">
        <v>8375</v>
      </c>
      <c r="D960" s="76" t="s">
        <v>8376</v>
      </c>
      <c r="E960" s="76" t="s">
        <v>7678</v>
      </c>
      <c r="F960" s="76"/>
    </row>
    <row r="961" spans="1:6" ht="63.95" customHeight="1">
      <c r="A961" s="76" t="s">
        <v>5979</v>
      </c>
      <c r="B961" s="76" t="s">
        <v>8377</v>
      </c>
      <c r="C961" s="76" t="s">
        <v>8378</v>
      </c>
      <c r="D961" s="76" t="s">
        <v>8379</v>
      </c>
      <c r="E961" s="76" t="s">
        <v>7678</v>
      </c>
      <c r="F961" s="76"/>
    </row>
    <row r="962" spans="1:6" ht="63.95" customHeight="1">
      <c r="A962" s="76" t="s">
        <v>5979</v>
      </c>
      <c r="B962" s="76" t="s">
        <v>8380</v>
      </c>
      <c r="C962" s="76" t="s">
        <v>8381</v>
      </c>
      <c r="D962" s="76" t="s">
        <v>8382</v>
      </c>
      <c r="E962" s="76" t="s">
        <v>7678</v>
      </c>
      <c r="F962" s="76"/>
    </row>
    <row r="963" spans="1:6" ht="63.95" customHeight="1">
      <c r="A963" s="76" t="s">
        <v>5979</v>
      </c>
      <c r="B963" s="76" t="s">
        <v>8383</v>
      </c>
      <c r="C963" s="76" t="s">
        <v>8384</v>
      </c>
      <c r="D963" s="76" t="s">
        <v>8385</v>
      </c>
      <c r="E963" s="76" t="s">
        <v>7678</v>
      </c>
      <c r="F963" s="76"/>
    </row>
    <row r="964" spans="1:6" ht="63.95" customHeight="1">
      <c r="A964" s="76" t="s">
        <v>5979</v>
      </c>
      <c r="B964" s="76" t="s">
        <v>8386</v>
      </c>
      <c r="C964" s="76" t="s">
        <v>8387</v>
      </c>
      <c r="D964" s="76" t="s">
        <v>8388</v>
      </c>
      <c r="E964" s="76" t="s">
        <v>7678</v>
      </c>
      <c r="F964" s="76"/>
    </row>
    <row r="965" spans="1:6" ht="63.95" customHeight="1">
      <c r="A965" s="76" t="s">
        <v>5979</v>
      </c>
      <c r="B965" s="76" t="s">
        <v>8389</v>
      </c>
      <c r="C965" s="76" t="s">
        <v>8390</v>
      </c>
      <c r="D965" s="76" t="s">
        <v>8391</v>
      </c>
      <c r="E965" s="76" t="s">
        <v>7678</v>
      </c>
      <c r="F965" s="76"/>
    </row>
    <row r="966" spans="1:6" ht="63.95" customHeight="1">
      <c r="A966" s="76" t="s">
        <v>5979</v>
      </c>
      <c r="B966" s="76" t="s">
        <v>8392</v>
      </c>
      <c r="C966" s="76" t="s">
        <v>8393</v>
      </c>
      <c r="D966" s="76" t="s">
        <v>8394</v>
      </c>
      <c r="E966" s="76" t="s">
        <v>7678</v>
      </c>
      <c r="F966" s="76"/>
    </row>
    <row r="967" spans="1:6" ht="63.95" customHeight="1">
      <c r="A967" s="76" t="s">
        <v>5979</v>
      </c>
      <c r="B967" s="76" t="s">
        <v>8395</v>
      </c>
      <c r="C967" s="76" t="s">
        <v>8396</v>
      </c>
      <c r="D967" s="76" t="s">
        <v>8397</v>
      </c>
      <c r="E967" s="76" t="s">
        <v>7678</v>
      </c>
      <c r="F967" s="76"/>
    </row>
    <row r="968" spans="1:6" ht="63.95" customHeight="1">
      <c r="A968" s="76" t="s">
        <v>5979</v>
      </c>
      <c r="B968" s="76" t="s">
        <v>8398</v>
      </c>
      <c r="C968" s="76" t="s">
        <v>8399</v>
      </c>
      <c r="D968" s="76" t="s">
        <v>8400</v>
      </c>
      <c r="E968" s="76" t="s">
        <v>7678</v>
      </c>
      <c r="F968" s="76"/>
    </row>
    <row r="969" spans="1:6" ht="63.95" customHeight="1">
      <c r="A969" s="76" t="s">
        <v>5979</v>
      </c>
      <c r="B969" s="76" t="s">
        <v>8401</v>
      </c>
      <c r="C969" s="76" t="s">
        <v>8402</v>
      </c>
      <c r="D969" s="76" t="s">
        <v>8403</v>
      </c>
      <c r="E969" s="76" t="s">
        <v>7678</v>
      </c>
      <c r="F969" s="76"/>
    </row>
    <row r="970" spans="1:6" ht="63.95" customHeight="1">
      <c r="A970" s="76" t="s">
        <v>5979</v>
      </c>
      <c r="B970" s="76" t="s">
        <v>8404</v>
      </c>
      <c r="C970" s="76" t="s">
        <v>8405</v>
      </c>
      <c r="D970" s="76" t="s">
        <v>8406</v>
      </c>
      <c r="E970" s="76" t="s">
        <v>7678</v>
      </c>
      <c r="F970" s="76"/>
    </row>
    <row r="971" spans="1:6" ht="63.95" customHeight="1">
      <c r="A971" s="76" t="s">
        <v>5979</v>
      </c>
      <c r="B971" s="76" t="s">
        <v>8407</v>
      </c>
      <c r="C971" s="76" t="s">
        <v>8408</v>
      </c>
      <c r="D971" s="76" t="s">
        <v>8409</v>
      </c>
      <c r="E971" s="76" t="s">
        <v>7678</v>
      </c>
      <c r="F971" s="76"/>
    </row>
    <row r="972" spans="1:6" ht="63.95" customHeight="1">
      <c r="A972" s="76" t="s">
        <v>5979</v>
      </c>
      <c r="B972" s="76" t="s">
        <v>8410</v>
      </c>
      <c r="C972" s="76" t="s">
        <v>8411</v>
      </c>
      <c r="D972" s="76" t="s">
        <v>8412</v>
      </c>
      <c r="E972" s="76" t="s">
        <v>7678</v>
      </c>
      <c r="F972" s="76"/>
    </row>
    <row r="973" spans="1:6" ht="63.95" customHeight="1">
      <c r="A973" s="76" t="s">
        <v>5979</v>
      </c>
      <c r="B973" s="76" t="s">
        <v>8413</v>
      </c>
      <c r="C973" s="76" t="s">
        <v>8414</v>
      </c>
      <c r="D973" s="76" t="s">
        <v>8415</v>
      </c>
      <c r="E973" s="76" t="s">
        <v>7678</v>
      </c>
      <c r="F973" s="76"/>
    </row>
    <row r="974" spans="1:6" ht="63.95" customHeight="1">
      <c r="A974" s="76" t="s">
        <v>5979</v>
      </c>
      <c r="B974" s="76" t="s">
        <v>8416</v>
      </c>
      <c r="C974" s="76" t="s">
        <v>8417</v>
      </c>
      <c r="D974" s="76" t="s">
        <v>8418</v>
      </c>
      <c r="E974" s="76" t="s">
        <v>7678</v>
      </c>
      <c r="F974" s="76"/>
    </row>
    <row r="975" spans="1:6" ht="63.95" customHeight="1">
      <c r="A975" s="76" t="s">
        <v>5979</v>
      </c>
      <c r="B975" s="76" t="s">
        <v>8419</v>
      </c>
      <c r="C975" s="76" t="s">
        <v>8420</v>
      </c>
      <c r="D975" s="76" t="s">
        <v>8421</v>
      </c>
      <c r="E975" s="76" t="s">
        <v>7678</v>
      </c>
      <c r="F975" s="76"/>
    </row>
    <row r="976" spans="1:6" ht="63.95" customHeight="1">
      <c r="A976" s="76" t="s">
        <v>5979</v>
      </c>
      <c r="B976" s="76" t="s">
        <v>8422</v>
      </c>
      <c r="C976" s="76" t="s">
        <v>8423</v>
      </c>
      <c r="D976" s="76" t="s">
        <v>8424</v>
      </c>
      <c r="E976" s="76" t="s">
        <v>7678</v>
      </c>
      <c r="F976" s="76"/>
    </row>
    <row r="977" spans="1:6" ht="63.95" customHeight="1">
      <c r="A977" s="76" t="s">
        <v>5979</v>
      </c>
      <c r="B977" s="76" t="s">
        <v>8425</v>
      </c>
      <c r="C977" s="76" t="s">
        <v>8426</v>
      </c>
      <c r="D977" s="76" t="s">
        <v>8427</v>
      </c>
      <c r="E977" s="76" t="s">
        <v>7678</v>
      </c>
      <c r="F977" s="76"/>
    </row>
    <row r="978" spans="1:6" ht="63.95" customHeight="1">
      <c r="A978" s="76" t="s">
        <v>5979</v>
      </c>
      <c r="B978" s="76" t="s">
        <v>8428</v>
      </c>
      <c r="C978" s="76" t="s">
        <v>8429</v>
      </c>
      <c r="D978" s="76" t="s">
        <v>8430</v>
      </c>
      <c r="E978" s="76" t="s">
        <v>7678</v>
      </c>
      <c r="F978" s="76"/>
    </row>
    <row r="979" spans="1:6" ht="63.95" customHeight="1">
      <c r="A979" s="76" t="s">
        <v>5979</v>
      </c>
      <c r="B979" s="76" t="s">
        <v>8431</v>
      </c>
      <c r="C979" s="76" t="s">
        <v>8432</v>
      </c>
      <c r="D979" s="76" t="s">
        <v>8433</v>
      </c>
      <c r="E979" s="76" t="s">
        <v>7678</v>
      </c>
      <c r="F979" s="76"/>
    </row>
    <row r="980" spans="1:6" ht="63.95" customHeight="1">
      <c r="A980" s="76" t="s">
        <v>5979</v>
      </c>
      <c r="B980" s="76" t="s">
        <v>8434</v>
      </c>
      <c r="C980" s="76" t="s">
        <v>8435</v>
      </c>
      <c r="D980" s="76" t="s">
        <v>8436</v>
      </c>
      <c r="E980" s="76" t="s">
        <v>7678</v>
      </c>
      <c r="F980" s="76"/>
    </row>
    <row r="981" spans="1:6" ht="63.95" customHeight="1">
      <c r="A981" s="76" t="s">
        <v>5979</v>
      </c>
      <c r="B981" s="76" t="s">
        <v>8437</v>
      </c>
      <c r="C981" s="76" t="s">
        <v>8438</v>
      </c>
      <c r="D981" s="76" t="s">
        <v>8439</v>
      </c>
      <c r="E981" s="76" t="s">
        <v>7678</v>
      </c>
      <c r="F981" s="76"/>
    </row>
    <row r="982" spans="1:6" ht="63.95" customHeight="1">
      <c r="A982" s="76" t="s">
        <v>5979</v>
      </c>
      <c r="B982" s="76" t="s">
        <v>8440</v>
      </c>
      <c r="C982" s="76" t="s">
        <v>8441</v>
      </c>
      <c r="D982" s="76" t="s">
        <v>8442</v>
      </c>
      <c r="E982" s="76" t="s">
        <v>7678</v>
      </c>
      <c r="F982" s="76"/>
    </row>
    <row r="983" spans="1:6" ht="63.95" customHeight="1">
      <c r="A983" s="76" t="s">
        <v>5979</v>
      </c>
      <c r="B983" s="76" t="s">
        <v>8443</v>
      </c>
      <c r="C983" s="76" t="s">
        <v>8444</v>
      </c>
      <c r="D983" s="76" t="s">
        <v>8445</v>
      </c>
      <c r="E983" s="76" t="s">
        <v>7678</v>
      </c>
      <c r="F983" s="76"/>
    </row>
    <row r="984" spans="1:6" ht="63.95" customHeight="1">
      <c r="A984" s="76" t="s">
        <v>5979</v>
      </c>
      <c r="B984" s="76" t="s">
        <v>8446</v>
      </c>
      <c r="C984" s="76" t="s">
        <v>8447</v>
      </c>
      <c r="D984" s="76" t="s">
        <v>8448</v>
      </c>
      <c r="E984" s="76" t="s">
        <v>7678</v>
      </c>
      <c r="F984" s="76"/>
    </row>
    <row r="985" spans="1:6" ht="63.95" customHeight="1">
      <c r="A985" s="76" t="s">
        <v>5979</v>
      </c>
      <c r="B985" s="76" t="s">
        <v>8449</v>
      </c>
      <c r="C985" s="76" t="s">
        <v>8450</v>
      </c>
      <c r="D985" s="76" t="s">
        <v>8451</v>
      </c>
      <c r="E985" s="76" t="s">
        <v>7678</v>
      </c>
      <c r="F985" s="76"/>
    </row>
    <row r="986" spans="1:6" ht="63.95" customHeight="1">
      <c r="A986" s="76" t="s">
        <v>5979</v>
      </c>
      <c r="B986" s="76" t="s">
        <v>8452</v>
      </c>
      <c r="C986" s="76" t="s">
        <v>8453</v>
      </c>
      <c r="D986" s="76" t="s">
        <v>8454</v>
      </c>
      <c r="E986" s="76" t="s">
        <v>7678</v>
      </c>
      <c r="F986" s="76"/>
    </row>
    <row r="987" spans="1:6" ht="63.95" customHeight="1">
      <c r="A987" s="76" t="s">
        <v>5979</v>
      </c>
      <c r="B987" s="76" t="s">
        <v>8455</v>
      </c>
      <c r="C987" s="76" t="s">
        <v>8456</v>
      </c>
      <c r="D987" s="76" t="s">
        <v>8457</v>
      </c>
      <c r="E987" s="76" t="s">
        <v>7678</v>
      </c>
      <c r="F987" s="76"/>
    </row>
    <row r="988" spans="1:6" ht="63.95" customHeight="1">
      <c r="A988" s="76" t="s">
        <v>5979</v>
      </c>
      <c r="B988" s="76" t="s">
        <v>8458</v>
      </c>
      <c r="C988" s="76" t="s">
        <v>8459</v>
      </c>
      <c r="D988" s="76" t="s">
        <v>8460</v>
      </c>
      <c r="E988" s="76" t="s">
        <v>7678</v>
      </c>
      <c r="F988" s="76"/>
    </row>
    <row r="989" spans="1:6" ht="63.95" customHeight="1">
      <c r="A989" s="76" t="s">
        <v>5979</v>
      </c>
      <c r="B989" s="76" t="s">
        <v>8461</v>
      </c>
      <c r="C989" s="76" t="s">
        <v>8462</v>
      </c>
      <c r="D989" s="76" t="s">
        <v>8463</v>
      </c>
      <c r="E989" s="76" t="s">
        <v>7678</v>
      </c>
      <c r="F989" s="76"/>
    </row>
    <row r="990" spans="1:6" ht="63.95" customHeight="1">
      <c r="A990" s="76" t="s">
        <v>5979</v>
      </c>
      <c r="B990" s="76" t="s">
        <v>8464</v>
      </c>
      <c r="C990" s="76" t="s">
        <v>8465</v>
      </c>
      <c r="D990" s="76" t="s">
        <v>8466</v>
      </c>
      <c r="E990" s="76" t="s">
        <v>7678</v>
      </c>
      <c r="F990" s="76"/>
    </row>
    <row r="991" spans="1:6" ht="63.95" customHeight="1">
      <c r="A991" s="76" t="s">
        <v>5979</v>
      </c>
      <c r="B991" s="76" t="s">
        <v>8467</v>
      </c>
      <c r="C991" s="76" t="s">
        <v>8468</v>
      </c>
      <c r="D991" s="76" t="s">
        <v>8469</v>
      </c>
      <c r="E991" s="76" t="s">
        <v>7678</v>
      </c>
      <c r="F991" s="76"/>
    </row>
    <row r="992" spans="1:6" ht="63.95" customHeight="1">
      <c r="A992" s="76" t="s">
        <v>5979</v>
      </c>
      <c r="B992" s="76" t="s">
        <v>8470</v>
      </c>
      <c r="C992" s="76" t="s">
        <v>8471</v>
      </c>
      <c r="D992" s="76" t="s">
        <v>8472</v>
      </c>
      <c r="E992" s="76" t="s">
        <v>7678</v>
      </c>
      <c r="F992" s="76"/>
    </row>
    <row r="993" spans="1:6" ht="63.95" customHeight="1">
      <c r="A993" s="76" t="s">
        <v>5979</v>
      </c>
      <c r="B993" s="76" t="s">
        <v>8473</v>
      </c>
      <c r="C993" s="76" t="s">
        <v>8474</v>
      </c>
      <c r="D993" s="76" t="s">
        <v>8475</v>
      </c>
      <c r="E993" s="76" t="s">
        <v>7678</v>
      </c>
      <c r="F993" s="76"/>
    </row>
    <row r="994" spans="1:6" ht="63.95" customHeight="1">
      <c r="A994" s="76" t="s">
        <v>5979</v>
      </c>
      <c r="B994" s="76" t="s">
        <v>8476</v>
      </c>
      <c r="C994" s="76" t="s">
        <v>8477</v>
      </c>
      <c r="D994" s="76" t="s">
        <v>8478</v>
      </c>
      <c r="E994" s="76" t="s">
        <v>7678</v>
      </c>
      <c r="F994" s="76"/>
    </row>
    <row r="995" spans="1:6" ht="63.95" customHeight="1">
      <c r="A995" s="76" t="s">
        <v>5979</v>
      </c>
      <c r="B995" s="76" t="s">
        <v>8479</v>
      </c>
      <c r="C995" s="76" t="s">
        <v>8480</v>
      </c>
      <c r="D995" s="76" t="s">
        <v>8481</v>
      </c>
      <c r="E995" s="76" t="s">
        <v>7678</v>
      </c>
      <c r="F995" s="76"/>
    </row>
    <row r="996" spans="1:6" ht="63.95" customHeight="1">
      <c r="A996" s="76" t="s">
        <v>5979</v>
      </c>
      <c r="B996" s="76" t="s">
        <v>8482</v>
      </c>
      <c r="C996" s="76" t="s">
        <v>8483</v>
      </c>
      <c r="D996" s="76" t="s">
        <v>8484</v>
      </c>
      <c r="E996" s="76" t="s">
        <v>7678</v>
      </c>
      <c r="F996" s="76"/>
    </row>
    <row r="997" spans="1:6" ht="63.95" customHeight="1">
      <c r="A997" s="76" t="s">
        <v>5979</v>
      </c>
      <c r="B997" s="76" t="s">
        <v>8485</v>
      </c>
      <c r="C997" s="76" t="s">
        <v>8486</v>
      </c>
      <c r="D997" s="76" t="s">
        <v>8487</v>
      </c>
      <c r="E997" s="76" t="s">
        <v>7678</v>
      </c>
      <c r="F997" s="76"/>
    </row>
    <row r="998" spans="1:6" ht="63.95" customHeight="1">
      <c r="A998" s="76" t="s">
        <v>5979</v>
      </c>
      <c r="B998" s="76" t="s">
        <v>8488</v>
      </c>
      <c r="C998" s="76" t="s">
        <v>8489</v>
      </c>
      <c r="D998" s="76" t="s">
        <v>8490</v>
      </c>
      <c r="E998" s="76" t="s">
        <v>7678</v>
      </c>
      <c r="F998" s="76"/>
    </row>
    <row r="999" spans="1:6" ht="63.95" customHeight="1">
      <c r="A999" s="76" t="s">
        <v>5979</v>
      </c>
      <c r="B999" s="76" t="s">
        <v>8491</v>
      </c>
      <c r="C999" s="76" t="s">
        <v>8492</v>
      </c>
      <c r="D999" s="76" t="s">
        <v>8493</v>
      </c>
      <c r="E999" s="76" t="s">
        <v>7678</v>
      </c>
      <c r="F999" s="76"/>
    </row>
    <row r="1000" spans="1:6" ht="63.95" customHeight="1">
      <c r="A1000" s="76" t="s">
        <v>5979</v>
      </c>
      <c r="B1000" s="76" t="s">
        <v>8494</v>
      </c>
      <c r="C1000" s="76" t="s">
        <v>8495</v>
      </c>
      <c r="D1000" s="76" t="s">
        <v>8496</v>
      </c>
      <c r="E1000" s="76" t="s">
        <v>7678</v>
      </c>
      <c r="F1000" s="76"/>
    </row>
    <row r="1001" spans="1:6" ht="63.95" customHeight="1">
      <c r="A1001" s="76" t="s">
        <v>5979</v>
      </c>
      <c r="B1001" s="76" t="s">
        <v>8497</v>
      </c>
      <c r="C1001" s="76" t="s">
        <v>8498</v>
      </c>
      <c r="D1001" s="76" t="s">
        <v>8499</v>
      </c>
      <c r="E1001" s="76" t="s">
        <v>7678</v>
      </c>
      <c r="F1001" s="76"/>
    </row>
    <row r="1002" spans="1:6" ht="63.95" customHeight="1">
      <c r="A1002" s="76" t="s">
        <v>5979</v>
      </c>
      <c r="B1002" s="76" t="s">
        <v>8500</v>
      </c>
      <c r="C1002" s="76" t="s">
        <v>8501</v>
      </c>
      <c r="D1002" s="76" t="s">
        <v>8502</v>
      </c>
      <c r="E1002" s="76" t="s">
        <v>7678</v>
      </c>
      <c r="F1002" s="76"/>
    </row>
    <row r="1003" spans="1:6" ht="63.95" customHeight="1">
      <c r="A1003" s="76" t="s">
        <v>5979</v>
      </c>
      <c r="B1003" s="76" t="s">
        <v>8503</v>
      </c>
      <c r="C1003" s="76" t="s">
        <v>8504</v>
      </c>
      <c r="D1003" s="76" t="s">
        <v>8505</v>
      </c>
      <c r="E1003" s="76" t="s">
        <v>7678</v>
      </c>
      <c r="F1003" s="76"/>
    </row>
    <row r="1004" spans="1:6" ht="63.95" customHeight="1">
      <c r="A1004" s="76" t="s">
        <v>5979</v>
      </c>
      <c r="B1004" s="76" t="s">
        <v>8506</v>
      </c>
      <c r="C1004" s="76" t="s">
        <v>8507</v>
      </c>
      <c r="D1004" s="76" t="s">
        <v>8508</v>
      </c>
      <c r="E1004" s="76" t="s">
        <v>7678</v>
      </c>
      <c r="F1004" s="76"/>
    </row>
    <row r="1005" spans="1:6" ht="63.95" customHeight="1">
      <c r="A1005" s="76" t="s">
        <v>5979</v>
      </c>
      <c r="B1005" s="76" t="s">
        <v>8509</v>
      </c>
      <c r="C1005" s="76" t="s">
        <v>8510</v>
      </c>
      <c r="D1005" s="76" t="s">
        <v>8511</v>
      </c>
      <c r="E1005" s="76" t="s">
        <v>7678</v>
      </c>
      <c r="F1005" s="76"/>
    </row>
    <row r="1006" spans="1:6" ht="63.95" customHeight="1">
      <c r="A1006" s="76" t="s">
        <v>5979</v>
      </c>
      <c r="B1006" s="76" t="s">
        <v>8512</v>
      </c>
      <c r="C1006" s="76" t="s">
        <v>8513</v>
      </c>
      <c r="D1006" s="76" t="s">
        <v>8514</v>
      </c>
      <c r="E1006" s="76" t="s">
        <v>7678</v>
      </c>
      <c r="F1006" s="76"/>
    </row>
    <row r="1007" spans="1:6" ht="63.95" customHeight="1">
      <c r="A1007" s="76" t="s">
        <v>5979</v>
      </c>
      <c r="B1007" s="76" t="s">
        <v>8515</v>
      </c>
      <c r="C1007" s="76" t="s">
        <v>8516</v>
      </c>
      <c r="D1007" s="76" t="s">
        <v>8517</v>
      </c>
      <c r="E1007" s="76" t="s">
        <v>7678</v>
      </c>
      <c r="F1007" s="76"/>
    </row>
    <row r="1008" spans="1:6" ht="63.95" customHeight="1">
      <c r="A1008" s="76" t="s">
        <v>5979</v>
      </c>
      <c r="B1008" s="76" t="s">
        <v>8518</v>
      </c>
      <c r="C1008" s="76" t="s">
        <v>8519</v>
      </c>
      <c r="D1008" s="76" t="s">
        <v>8520</v>
      </c>
      <c r="E1008" s="76" t="s">
        <v>7678</v>
      </c>
      <c r="F1008" s="76"/>
    </row>
    <row r="1009" spans="1:6" ht="63.95" customHeight="1">
      <c r="A1009" s="76" t="s">
        <v>5979</v>
      </c>
      <c r="B1009" s="76" t="s">
        <v>8521</v>
      </c>
      <c r="C1009" s="76" t="s">
        <v>8522</v>
      </c>
      <c r="D1009" s="76" t="s">
        <v>8523</v>
      </c>
      <c r="E1009" s="76" t="s">
        <v>7678</v>
      </c>
      <c r="F1009" s="76"/>
    </row>
    <row r="1010" spans="1:6" ht="63.95" customHeight="1">
      <c r="A1010" s="76" t="s">
        <v>5979</v>
      </c>
      <c r="B1010" s="76" t="s">
        <v>8524</v>
      </c>
      <c r="C1010" s="76" t="s">
        <v>8525</v>
      </c>
      <c r="D1010" s="76" t="s">
        <v>8526</v>
      </c>
      <c r="E1010" s="76" t="s">
        <v>7678</v>
      </c>
      <c r="F1010" s="76"/>
    </row>
    <row r="1011" spans="1:6" ht="63.95" customHeight="1">
      <c r="A1011" s="76" t="s">
        <v>5979</v>
      </c>
      <c r="B1011" s="76" t="s">
        <v>8527</v>
      </c>
      <c r="C1011" s="76" t="s">
        <v>8528</v>
      </c>
      <c r="D1011" s="76" t="s">
        <v>8529</v>
      </c>
      <c r="E1011" s="76" t="s">
        <v>7678</v>
      </c>
      <c r="F1011" s="76"/>
    </row>
    <row r="1012" spans="1:6" ht="63.95" customHeight="1">
      <c r="A1012" s="76" t="s">
        <v>5979</v>
      </c>
      <c r="B1012" s="76" t="s">
        <v>8530</v>
      </c>
      <c r="C1012" s="76" t="s">
        <v>8531</v>
      </c>
      <c r="D1012" s="76" t="s">
        <v>8532</v>
      </c>
      <c r="E1012" s="76" t="s">
        <v>7678</v>
      </c>
      <c r="F1012" s="76"/>
    </row>
    <row r="1013" spans="1:6" ht="63.95" customHeight="1">
      <c r="A1013" s="76" t="s">
        <v>5979</v>
      </c>
      <c r="B1013" s="76" t="s">
        <v>8533</v>
      </c>
      <c r="C1013" s="76" t="s">
        <v>8534</v>
      </c>
      <c r="D1013" s="76" t="s">
        <v>8535</v>
      </c>
      <c r="E1013" s="76" t="s">
        <v>7678</v>
      </c>
      <c r="F1013" s="76"/>
    </row>
    <row r="1014" spans="1:6" ht="63.95" customHeight="1">
      <c r="A1014" s="76" t="s">
        <v>5979</v>
      </c>
      <c r="B1014" s="76" t="s">
        <v>8536</v>
      </c>
      <c r="C1014" s="76" t="s">
        <v>8537</v>
      </c>
      <c r="D1014" s="76" t="s">
        <v>8538</v>
      </c>
      <c r="E1014" s="76" t="s">
        <v>7678</v>
      </c>
      <c r="F1014" s="76"/>
    </row>
    <row r="1015" spans="1:6" ht="63.95" customHeight="1">
      <c r="A1015" s="76" t="s">
        <v>5979</v>
      </c>
      <c r="B1015" s="76" t="s">
        <v>8539</v>
      </c>
      <c r="C1015" s="76" t="s">
        <v>8540</v>
      </c>
      <c r="D1015" s="76" t="s">
        <v>8541</v>
      </c>
      <c r="E1015" s="76" t="s">
        <v>7678</v>
      </c>
      <c r="F1015" s="76"/>
    </row>
    <row r="1016" spans="1:6" ht="63.95" customHeight="1">
      <c r="A1016" s="76" t="s">
        <v>5979</v>
      </c>
      <c r="B1016" s="76" t="s">
        <v>8542</v>
      </c>
      <c r="C1016" s="76" t="s">
        <v>8543</v>
      </c>
      <c r="D1016" s="76" t="s">
        <v>8544</v>
      </c>
      <c r="E1016" s="76" t="s">
        <v>7678</v>
      </c>
      <c r="F1016" s="76"/>
    </row>
    <row r="1017" spans="1:6" ht="63.95" customHeight="1">
      <c r="A1017" s="76" t="s">
        <v>5979</v>
      </c>
      <c r="B1017" s="76" t="s">
        <v>8545</v>
      </c>
      <c r="C1017" s="76" t="s">
        <v>8546</v>
      </c>
      <c r="D1017" s="76" t="s">
        <v>8547</v>
      </c>
      <c r="E1017" s="76" t="s">
        <v>7678</v>
      </c>
      <c r="F1017" s="76"/>
    </row>
    <row r="1018" spans="1:6" ht="63.95" customHeight="1">
      <c r="A1018" s="76" t="s">
        <v>5979</v>
      </c>
      <c r="B1018" s="76" t="s">
        <v>8548</v>
      </c>
      <c r="C1018" s="76" t="s">
        <v>8549</v>
      </c>
      <c r="D1018" s="76" t="s">
        <v>8550</v>
      </c>
      <c r="E1018" s="76" t="s">
        <v>7678</v>
      </c>
      <c r="F1018" s="76"/>
    </row>
    <row r="1019" spans="1:6" ht="63.95" customHeight="1">
      <c r="A1019" s="76" t="s">
        <v>5979</v>
      </c>
      <c r="B1019" s="76" t="s">
        <v>8551</v>
      </c>
      <c r="C1019" s="76" t="s">
        <v>8552</v>
      </c>
      <c r="D1019" s="76" t="s">
        <v>8553</v>
      </c>
      <c r="E1019" s="76" t="s">
        <v>7678</v>
      </c>
      <c r="F1019" s="76"/>
    </row>
    <row r="1020" spans="1:6" ht="63.95" customHeight="1">
      <c r="A1020" s="76" t="s">
        <v>5979</v>
      </c>
      <c r="B1020" s="76" t="s">
        <v>8554</v>
      </c>
      <c r="C1020" s="76" t="s">
        <v>8555</v>
      </c>
      <c r="D1020" s="76" t="s">
        <v>8556</v>
      </c>
      <c r="E1020" s="76" t="s">
        <v>7678</v>
      </c>
      <c r="F1020" s="76"/>
    </row>
    <row r="1021" spans="1:6" ht="63.95" customHeight="1">
      <c r="A1021" s="76" t="s">
        <v>5979</v>
      </c>
      <c r="B1021" s="76" t="s">
        <v>8557</v>
      </c>
      <c r="C1021" s="76" t="s">
        <v>8558</v>
      </c>
      <c r="D1021" s="76" t="s">
        <v>8559</v>
      </c>
      <c r="E1021" s="76" t="s">
        <v>7678</v>
      </c>
      <c r="F1021" s="76"/>
    </row>
    <row r="1022" spans="1:6" ht="63.95" customHeight="1">
      <c r="A1022" s="76" t="s">
        <v>5979</v>
      </c>
      <c r="B1022" s="76" t="s">
        <v>8560</v>
      </c>
      <c r="C1022" s="76" t="s">
        <v>8561</v>
      </c>
      <c r="D1022" s="76" t="s">
        <v>8562</v>
      </c>
      <c r="E1022" s="76" t="s">
        <v>7678</v>
      </c>
      <c r="F1022" s="76"/>
    </row>
    <row r="1023" spans="1:6" ht="63.95" customHeight="1">
      <c r="A1023" s="76" t="s">
        <v>5979</v>
      </c>
      <c r="B1023" s="76" t="s">
        <v>8563</v>
      </c>
      <c r="C1023" s="76" t="s">
        <v>8564</v>
      </c>
      <c r="D1023" s="76" t="s">
        <v>8565</v>
      </c>
      <c r="E1023" s="76" t="s">
        <v>7678</v>
      </c>
      <c r="F1023" s="76"/>
    </row>
    <row r="1024" spans="1:6" ht="63.95" customHeight="1">
      <c r="A1024" s="76" t="s">
        <v>5979</v>
      </c>
      <c r="B1024" s="76" t="s">
        <v>8566</v>
      </c>
      <c r="C1024" s="76" t="s">
        <v>8567</v>
      </c>
      <c r="D1024" s="76" t="s">
        <v>8568</v>
      </c>
      <c r="E1024" s="76" t="s">
        <v>7678</v>
      </c>
      <c r="F1024" s="76"/>
    </row>
    <row r="1025" spans="1:6" ht="63.95" customHeight="1">
      <c r="A1025" s="76" t="s">
        <v>5979</v>
      </c>
      <c r="B1025" s="76" t="s">
        <v>8569</v>
      </c>
      <c r="C1025" s="76" t="s">
        <v>8570</v>
      </c>
      <c r="D1025" s="76" t="s">
        <v>8571</v>
      </c>
      <c r="E1025" s="76" t="s">
        <v>7678</v>
      </c>
      <c r="F1025" s="76"/>
    </row>
    <row r="1026" spans="1:6" ht="63.95" customHeight="1">
      <c r="A1026" s="76" t="s">
        <v>5979</v>
      </c>
      <c r="B1026" s="76" t="s">
        <v>8572</v>
      </c>
      <c r="C1026" s="76" t="s">
        <v>8573</v>
      </c>
      <c r="D1026" s="76" t="s">
        <v>8574</v>
      </c>
      <c r="E1026" s="76" t="s">
        <v>7678</v>
      </c>
      <c r="F1026" s="76"/>
    </row>
    <row r="1027" spans="1:6" ht="63.95" customHeight="1">
      <c r="A1027" s="76" t="s">
        <v>5979</v>
      </c>
      <c r="B1027" s="76" t="s">
        <v>8575</v>
      </c>
      <c r="C1027" s="76" t="s">
        <v>8576</v>
      </c>
      <c r="D1027" s="76" t="s">
        <v>8577</v>
      </c>
      <c r="E1027" s="76" t="s">
        <v>7678</v>
      </c>
      <c r="F1027" s="76"/>
    </row>
    <row r="1028" spans="1:6" ht="63.95" customHeight="1">
      <c r="A1028" s="76" t="s">
        <v>5979</v>
      </c>
      <c r="B1028" s="76" t="s">
        <v>8578</v>
      </c>
      <c r="C1028" s="76" t="s">
        <v>8579</v>
      </c>
      <c r="D1028" s="76" t="s">
        <v>8580</v>
      </c>
      <c r="E1028" s="76" t="s">
        <v>7678</v>
      </c>
      <c r="F1028" s="76"/>
    </row>
    <row r="1029" spans="1:6" ht="63.95" customHeight="1">
      <c r="A1029" s="76" t="s">
        <v>5979</v>
      </c>
      <c r="B1029" s="76" t="s">
        <v>8581</v>
      </c>
      <c r="C1029" s="76" t="s">
        <v>8582</v>
      </c>
      <c r="D1029" s="76" t="s">
        <v>8583</v>
      </c>
      <c r="E1029" s="76" t="s">
        <v>7678</v>
      </c>
      <c r="F1029" s="76"/>
    </row>
    <row r="1030" spans="1:6" ht="63.95" customHeight="1">
      <c r="A1030" s="76" t="s">
        <v>5979</v>
      </c>
      <c r="B1030" s="76" t="s">
        <v>8584</v>
      </c>
      <c r="C1030" s="76" t="s">
        <v>8585</v>
      </c>
      <c r="D1030" s="76" t="s">
        <v>8586</v>
      </c>
      <c r="E1030" s="76" t="s">
        <v>7678</v>
      </c>
      <c r="F1030" s="76"/>
    </row>
    <row r="1031" spans="1:6" ht="63.95" customHeight="1">
      <c r="A1031" s="76" t="s">
        <v>5979</v>
      </c>
      <c r="B1031" s="76" t="s">
        <v>8587</v>
      </c>
      <c r="C1031" s="76" t="s">
        <v>8588</v>
      </c>
      <c r="D1031" s="76" t="s">
        <v>8589</v>
      </c>
      <c r="E1031" s="76" t="s">
        <v>7678</v>
      </c>
      <c r="F1031" s="76"/>
    </row>
    <row r="1032" spans="1:6" ht="63.95" customHeight="1">
      <c r="A1032" s="76" t="s">
        <v>5979</v>
      </c>
      <c r="B1032" s="76" t="s">
        <v>8590</v>
      </c>
      <c r="C1032" s="76" t="s">
        <v>8591</v>
      </c>
      <c r="D1032" s="76" t="s">
        <v>8592</v>
      </c>
      <c r="E1032" s="76" t="s">
        <v>7678</v>
      </c>
      <c r="F1032" s="76"/>
    </row>
    <row r="1033" spans="1:6" ht="63.95" customHeight="1">
      <c r="A1033" s="76" t="s">
        <v>5979</v>
      </c>
      <c r="B1033" s="76" t="s">
        <v>8593</v>
      </c>
      <c r="C1033" s="76" t="s">
        <v>8594</v>
      </c>
      <c r="D1033" s="76" t="s">
        <v>8595</v>
      </c>
      <c r="E1033" s="76" t="s">
        <v>7678</v>
      </c>
      <c r="F1033" s="76"/>
    </row>
    <row r="1034" spans="1:6" ht="63.95" customHeight="1">
      <c r="A1034" s="76" t="s">
        <v>5979</v>
      </c>
      <c r="B1034" s="76" t="s">
        <v>8596</v>
      </c>
      <c r="C1034" s="76" t="s">
        <v>8597</v>
      </c>
      <c r="D1034" s="76" t="s">
        <v>8598</v>
      </c>
      <c r="E1034" s="76" t="s">
        <v>7678</v>
      </c>
      <c r="F1034" s="76"/>
    </row>
    <row r="1035" spans="1:6" ht="63.95" customHeight="1">
      <c r="A1035" s="76" t="s">
        <v>5979</v>
      </c>
      <c r="B1035" s="76" t="s">
        <v>8599</v>
      </c>
      <c r="C1035" s="76" t="s">
        <v>8600</v>
      </c>
      <c r="D1035" s="76" t="s">
        <v>8601</v>
      </c>
      <c r="E1035" s="76" t="s">
        <v>7678</v>
      </c>
      <c r="F1035" s="76"/>
    </row>
    <row r="1036" spans="1:6" ht="63.95" customHeight="1">
      <c r="A1036" s="76" t="s">
        <v>5979</v>
      </c>
      <c r="B1036" s="76" t="s">
        <v>8602</v>
      </c>
      <c r="C1036" s="76" t="s">
        <v>8603</v>
      </c>
      <c r="D1036" s="76" t="s">
        <v>8604</v>
      </c>
      <c r="E1036" s="76" t="s">
        <v>7678</v>
      </c>
      <c r="F1036" s="76"/>
    </row>
    <row r="1037" spans="1:6" ht="63.95" customHeight="1">
      <c r="A1037" s="76" t="s">
        <v>5979</v>
      </c>
      <c r="B1037" s="76" t="s">
        <v>8605</v>
      </c>
      <c r="C1037" s="76" t="s">
        <v>8606</v>
      </c>
      <c r="D1037" s="76" t="s">
        <v>8607</v>
      </c>
      <c r="E1037" s="76" t="s">
        <v>7678</v>
      </c>
      <c r="F1037" s="76"/>
    </row>
    <row r="1038" spans="1:6" ht="63.95" customHeight="1">
      <c r="A1038" s="76" t="s">
        <v>5979</v>
      </c>
      <c r="B1038" s="76" t="s">
        <v>8608</v>
      </c>
      <c r="C1038" s="76" t="s">
        <v>8609</v>
      </c>
      <c r="D1038" s="76" t="s">
        <v>8610</v>
      </c>
      <c r="E1038" s="76" t="s">
        <v>7678</v>
      </c>
      <c r="F1038" s="76"/>
    </row>
    <row r="1039" spans="1:6" ht="63.95" customHeight="1">
      <c r="A1039" s="76" t="s">
        <v>5979</v>
      </c>
      <c r="B1039" s="76" t="s">
        <v>8611</v>
      </c>
      <c r="C1039" s="76" t="s">
        <v>8612</v>
      </c>
      <c r="D1039" s="76" t="s">
        <v>8613</v>
      </c>
      <c r="E1039" s="76" t="s">
        <v>7678</v>
      </c>
      <c r="F1039" s="76"/>
    </row>
    <row r="1040" spans="1:6" ht="63.95" customHeight="1">
      <c r="A1040" s="76" t="s">
        <v>5979</v>
      </c>
      <c r="B1040" s="76" t="s">
        <v>8614</v>
      </c>
      <c r="C1040" s="76" t="s">
        <v>8615</v>
      </c>
      <c r="D1040" s="76" t="s">
        <v>8616</v>
      </c>
      <c r="E1040" s="76" t="s">
        <v>7678</v>
      </c>
      <c r="F1040" s="76"/>
    </row>
    <row r="1041" spans="1:6" ht="63.95" customHeight="1">
      <c r="A1041" s="76" t="s">
        <v>5979</v>
      </c>
      <c r="B1041" s="76" t="s">
        <v>8617</v>
      </c>
      <c r="C1041" s="76" t="s">
        <v>8618</v>
      </c>
      <c r="D1041" s="76" t="s">
        <v>8619</v>
      </c>
      <c r="E1041" s="76" t="s">
        <v>7678</v>
      </c>
      <c r="F1041" s="76"/>
    </row>
    <row r="1042" spans="1:6" ht="63.95" customHeight="1">
      <c r="A1042" s="76" t="s">
        <v>5979</v>
      </c>
      <c r="B1042" s="76" t="s">
        <v>8620</v>
      </c>
      <c r="C1042" s="76" t="s">
        <v>8621</v>
      </c>
      <c r="D1042" s="76" t="s">
        <v>8622</v>
      </c>
      <c r="E1042" s="76" t="s">
        <v>7678</v>
      </c>
      <c r="F1042" s="76"/>
    </row>
    <row r="1043" spans="1:6" ht="63.95" customHeight="1">
      <c r="A1043" s="76" t="s">
        <v>5979</v>
      </c>
      <c r="B1043" s="76" t="s">
        <v>8623</v>
      </c>
      <c r="C1043" s="76" t="s">
        <v>8624</v>
      </c>
      <c r="D1043" s="76" t="s">
        <v>8625</v>
      </c>
      <c r="E1043" s="76" t="s">
        <v>7678</v>
      </c>
      <c r="F1043" s="76"/>
    </row>
    <row r="1044" spans="1:6" ht="63.95" customHeight="1">
      <c r="A1044" s="76" t="s">
        <v>5979</v>
      </c>
      <c r="B1044" s="76" t="s">
        <v>8626</v>
      </c>
      <c r="C1044" s="76" t="s">
        <v>8627</v>
      </c>
      <c r="D1044" s="76" t="s">
        <v>8628</v>
      </c>
      <c r="E1044" s="76" t="s">
        <v>7678</v>
      </c>
      <c r="F1044" s="76"/>
    </row>
    <row r="1045" spans="1:6" ht="63.95" customHeight="1">
      <c r="A1045" s="76" t="s">
        <v>5979</v>
      </c>
      <c r="B1045" s="76" t="s">
        <v>8629</v>
      </c>
      <c r="C1045" s="76" t="s">
        <v>8630</v>
      </c>
      <c r="D1045" s="76" t="s">
        <v>8631</v>
      </c>
      <c r="E1045" s="76" t="s">
        <v>7678</v>
      </c>
      <c r="F1045" s="76"/>
    </row>
    <row r="1046" spans="1:6" ht="63.95" customHeight="1">
      <c r="A1046" s="76" t="s">
        <v>5979</v>
      </c>
      <c r="B1046" s="76" t="s">
        <v>8632</v>
      </c>
      <c r="C1046" s="76" t="s">
        <v>8633</v>
      </c>
      <c r="D1046" s="76" t="s">
        <v>8634</v>
      </c>
      <c r="E1046" s="76" t="s">
        <v>7678</v>
      </c>
      <c r="F1046" s="76"/>
    </row>
    <row r="1047" spans="1:6" ht="63.95" customHeight="1">
      <c r="A1047" s="76" t="s">
        <v>5979</v>
      </c>
      <c r="B1047" s="76" t="s">
        <v>8635</v>
      </c>
      <c r="C1047" s="76" t="s">
        <v>8636</v>
      </c>
      <c r="D1047" s="76" t="s">
        <v>8637</v>
      </c>
      <c r="E1047" s="76" t="s">
        <v>7678</v>
      </c>
      <c r="F1047" s="76"/>
    </row>
    <row r="1048" spans="1:6" ht="63.95" customHeight="1">
      <c r="A1048" s="76" t="s">
        <v>5979</v>
      </c>
      <c r="B1048" s="76" t="s">
        <v>8638</v>
      </c>
      <c r="C1048" s="76" t="s">
        <v>8639</v>
      </c>
      <c r="D1048" s="76" t="s">
        <v>8640</v>
      </c>
      <c r="E1048" s="76" t="s">
        <v>7678</v>
      </c>
      <c r="F1048" s="76"/>
    </row>
    <row r="1049" spans="1:6" ht="63.95" customHeight="1">
      <c r="A1049" s="76" t="s">
        <v>5979</v>
      </c>
      <c r="B1049" s="76" t="s">
        <v>8641</v>
      </c>
      <c r="C1049" s="76" t="s">
        <v>8642</v>
      </c>
      <c r="D1049" s="76" t="s">
        <v>8643</v>
      </c>
      <c r="E1049" s="76" t="s">
        <v>7678</v>
      </c>
      <c r="F1049" s="76"/>
    </row>
    <row r="1050" spans="1:6" ht="63.95" customHeight="1">
      <c r="A1050" s="76" t="s">
        <v>5979</v>
      </c>
      <c r="B1050" s="76" t="s">
        <v>8644</v>
      </c>
      <c r="C1050" s="76" t="s">
        <v>8645</v>
      </c>
      <c r="D1050" s="76" t="s">
        <v>8646</v>
      </c>
      <c r="E1050" s="76" t="s">
        <v>7678</v>
      </c>
      <c r="F1050" s="76"/>
    </row>
    <row r="1051" spans="1:6" ht="63.95" customHeight="1">
      <c r="A1051" s="76" t="s">
        <v>5979</v>
      </c>
      <c r="B1051" s="76" t="s">
        <v>8647</v>
      </c>
      <c r="C1051" s="76" t="s">
        <v>8648</v>
      </c>
      <c r="D1051" s="76" t="s">
        <v>8649</v>
      </c>
      <c r="E1051" s="76" t="s">
        <v>7678</v>
      </c>
      <c r="F1051" s="76"/>
    </row>
    <row r="1052" spans="1:6" ht="63.95" customHeight="1">
      <c r="A1052" s="76" t="s">
        <v>5979</v>
      </c>
      <c r="B1052" s="76" t="s">
        <v>8650</v>
      </c>
      <c r="C1052" s="76" t="s">
        <v>8651</v>
      </c>
      <c r="D1052" s="76" t="s">
        <v>8652</v>
      </c>
      <c r="E1052" s="76" t="s">
        <v>7678</v>
      </c>
      <c r="F1052" s="76"/>
    </row>
    <row r="1053" spans="1:6" ht="63.95" customHeight="1">
      <c r="A1053" s="76" t="s">
        <v>5979</v>
      </c>
      <c r="B1053" s="76" t="s">
        <v>8653</v>
      </c>
      <c r="C1053" s="76" t="s">
        <v>8654</v>
      </c>
      <c r="D1053" s="76" t="s">
        <v>8655</v>
      </c>
      <c r="E1053" s="76" t="s">
        <v>7678</v>
      </c>
      <c r="F1053" s="76"/>
    </row>
    <row r="1054" spans="1:6" ht="63.95" customHeight="1">
      <c r="A1054" s="76" t="s">
        <v>5979</v>
      </c>
      <c r="B1054" s="76" t="s">
        <v>8656</v>
      </c>
      <c r="C1054" s="76" t="s">
        <v>8657</v>
      </c>
      <c r="D1054" s="76" t="s">
        <v>8658</v>
      </c>
      <c r="E1054" s="76" t="s">
        <v>7678</v>
      </c>
      <c r="F1054" s="76"/>
    </row>
    <row r="1055" spans="1:6" ht="63.95" customHeight="1">
      <c r="A1055" s="76" t="s">
        <v>5979</v>
      </c>
      <c r="B1055" s="76" t="s">
        <v>8659</v>
      </c>
      <c r="C1055" s="76" t="s">
        <v>8660</v>
      </c>
      <c r="D1055" s="76" t="s">
        <v>8661</v>
      </c>
      <c r="E1055" s="76" t="s">
        <v>7678</v>
      </c>
      <c r="F1055" s="76"/>
    </row>
    <row r="1056" spans="1:6" ht="63.95" customHeight="1">
      <c r="A1056" s="76" t="s">
        <v>5979</v>
      </c>
      <c r="B1056" s="76" t="s">
        <v>8662</v>
      </c>
      <c r="C1056" s="76" t="s">
        <v>8663</v>
      </c>
      <c r="D1056" s="76" t="s">
        <v>8664</v>
      </c>
      <c r="E1056" s="76" t="s">
        <v>7678</v>
      </c>
      <c r="F1056" s="76"/>
    </row>
    <row r="1057" spans="1:6" ht="63.95" customHeight="1">
      <c r="A1057" s="76" t="s">
        <v>5979</v>
      </c>
      <c r="B1057" s="76" t="s">
        <v>8665</v>
      </c>
      <c r="C1057" s="76" t="s">
        <v>8666</v>
      </c>
      <c r="D1057" s="76" t="s">
        <v>8667</v>
      </c>
      <c r="E1057" s="76" t="s">
        <v>7678</v>
      </c>
      <c r="F1057" s="76"/>
    </row>
    <row r="1058" spans="1:6" ht="63.95" customHeight="1">
      <c r="A1058" s="76" t="s">
        <v>5979</v>
      </c>
      <c r="B1058" s="76" t="s">
        <v>8668</v>
      </c>
      <c r="C1058" s="76" t="s">
        <v>8669</v>
      </c>
      <c r="D1058" s="76" t="s">
        <v>8670</v>
      </c>
      <c r="E1058" s="76" t="s">
        <v>7678</v>
      </c>
      <c r="F1058" s="76"/>
    </row>
    <row r="1059" spans="1:6" ht="63.95" customHeight="1">
      <c r="A1059" s="76" t="s">
        <v>5979</v>
      </c>
      <c r="B1059" s="76" t="s">
        <v>8671</v>
      </c>
      <c r="C1059" s="76" t="s">
        <v>8672</v>
      </c>
      <c r="D1059" s="76" t="s">
        <v>8673</v>
      </c>
      <c r="E1059" s="76" t="s">
        <v>7678</v>
      </c>
      <c r="F1059" s="76"/>
    </row>
    <row r="1060" spans="1:6" ht="63.95" customHeight="1">
      <c r="A1060" s="76" t="s">
        <v>5979</v>
      </c>
      <c r="B1060" s="76" t="s">
        <v>8674</v>
      </c>
      <c r="C1060" s="76" t="s">
        <v>8675</v>
      </c>
      <c r="D1060" s="76" t="s">
        <v>8676</v>
      </c>
      <c r="E1060" s="76" t="s">
        <v>7678</v>
      </c>
      <c r="F1060" s="76"/>
    </row>
    <row r="1061" spans="1:6" ht="63.95" customHeight="1">
      <c r="A1061" s="76" t="s">
        <v>5979</v>
      </c>
      <c r="B1061" s="76" t="s">
        <v>8677</v>
      </c>
      <c r="C1061" s="76" t="s">
        <v>8678</v>
      </c>
      <c r="D1061" s="76" t="s">
        <v>8679</v>
      </c>
      <c r="E1061" s="76" t="s">
        <v>7678</v>
      </c>
      <c r="F1061" s="76"/>
    </row>
    <row r="1062" spans="1:6" ht="63.95" customHeight="1">
      <c r="A1062" s="76" t="s">
        <v>5979</v>
      </c>
      <c r="B1062" s="76" t="s">
        <v>8680</v>
      </c>
      <c r="C1062" s="76" t="s">
        <v>8681</v>
      </c>
      <c r="D1062" s="76" t="s">
        <v>8682</v>
      </c>
      <c r="E1062" s="76" t="s">
        <v>7678</v>
      </c>
      <c r="F1062" s="76"/>
    </row>
    <row r="1063" spans="1:6" ht="63.95" customHeight="1">
      <c r="A1063" s="76" t="s">
        <v>5979</v>
      </c>
      <c r="B1063" s="76" t="s">
        <v>8683</v>
      </c>
      <c r="C1063" s="76" t="s">
        <v>8684</v>
      </c>
      <c r="D1063" s="76" t="s">
        <v>8685</v>
      </c>
      <c r="E1063" s="76" t="s">
        <v>7678</v>
      </c>
      <c r="F1063" s="76"/>
    </row>
    <row r="1064" spans="1:6" ht="63.95" customHeight="1">
      <c r="A1064" s="76" t="s">
        <v>5979</v>
      </c>
      <c r="B1064" s="76" t="s">
        <v>8686</v>
      </c>
      <c r="C1064" s="76" t="s">
        <v>8687</v>
      </c>
      <c r="D1064" s="76" t="s">
        <v>8688</v>
      </c>
      <c r="E1064" s="76" t="s">
        <v>7678</v>
      </c>
      <c r="F1064" s="76"/>
    </row>
    <row r="1065" spans="1:6" ht="63.95" customHeight="1">
      <c r="A1065" s="76" t="s">
        <v>5979</v>
      </c>
      <c r="B1065" s="76" t="s">
        <v>8689</v>
      </c>
      <c r="C1065" s="76" t="s">
        <v>8690</v>
      </c>
      <c r="D1065" s="76" t="s">
        <v>8691</v>
      </c>
      <c r="E1065" s="76" t="s">
        <v>7678</v>
      </c>
      <c r="F1065" s="76"/>
    </row>
    <row r="1066" spans="1:6" ht="63.95" customHeight="1">
      <c r="A1066" s="76" t="s">
        <v>5979</v>
      </c>
      <c r="B1066" s="76" t="s">
        <v>8692</v>
      </c>
      <c r="C1066" s="76" t="s">
        <v>8693</v>
      </c>
      <c r="D1066" s="76" t="s">
        <v>8694</v>
      </c>
      <c r="E1066" s="76" t="s">
        <v>7678</v>
      </c>
      <c r="F1066" s="76"/>
    </row>
    <row r="1067" spans="1:6" ht="63.95" customHeight="1">
      <c r="A1067" s="76" t="s">
        <v>5979</v>
      </c>
      <c r="B1067" s="76" t="s">
        <v>8695</v>
      </c>
      <c r="C1067" s="76" t="s">
        <v>8696</v>
      </c>
      <c r="D1067" s="76" t="s">
        <v>8697</v>
      </c>
      <c r="E1067" s="76" t="s">
        <v>7678</v>
      </c>
      <c r="F1067" s="76"/>
    </row>
    <row r="1068" spans="1:6" ht="63.95" customHeight="1">
      <c r="A1068" s="76" t="s">
        <v>5979</v>
      </c>
      <c r="B1068" s="76" t="s">
        <v>8698</v>
      </c>
      <c r="C1068" s="76" t="s">
        <v>8699</v>
      </c>
      <c r="D1068" s="76" t="s">
        <v>8700</v>
      </c>
      <c r="E1068" s="76" t="s">
        <v>7678</v>
      </c>
      <c r="F1068" s="76"/>
    </row>
    <row r="1069" spans="1:6" ht="63.95" customHeight="1">
      <c r="A1069" s="76" t="s">
        <v>5979</v>
      </c>
      <c r="B1069" s="76" t="s">
        <v>8701</v>
      </c>
      <c r="C1069" s="76" t="s">
        <v>8702</v>
      </c>
      <c r="D1069" s="76" t="s">
        <v>8703</v>
      </c>
      <c r="E1069" s="76" t="s">
        <v>7678</v>
      </c>
      <c r="F1069" s="76"/>
    </row>
    <row r="1070" spans="1:6" ht="63.95" customHeight="1">
      <c r="A1070" s="76" t="s">
        <v>5979</v>
      </c>
      <c r="B1070" s="76" t="s">
        <v>8704</v>
      </c>
      <c r="C1070" s="76" t="s">
        <v>8705</v>
      </c>
      <c r="D1070" s="76" t="s">
        <v>8706</v>
      </c>
      <c r="E1070" s="76" t="s">
        <v>7678</v>
      </c>
      <c r="F1070" s="76"/>
    </row>
    <row r="1071" spans="1:6" ht="63.95" customHeight="1">
      <c r="A1071" s="76" t="s">
        <v>5979</v>
      </c>
      <c r="B1071" s="76" t="s">
        <v>8707</v>
      </c>
      <c r="C1071" s="76" t="s">
        <v>8708</v>
      </c>
      <c r="D1071" s="76" t="s">
        <v>8709</v>
      </c>
      <c r="E1071" s="76" t="s">
        <v>7678</v>
      </c>
      <c r="F1071" s="76"/>
    </row>
    <row r="1072" spans="1:6" ht="63.95" customHeight="1">
      <c r="A1072" s="76" t="s">
        <v>5979</v>
      </c>
      <c r="B1072" s="76" t="s">
        <v>8710</v>
      </c>
      <c r="C1072" s="76" t="s">
        <v>8711</v>
      </c>
      <c r="D1072" s="76" t="s">
        <v>8712</v>
      </c>
      <c r="E1072" s="76" t="s">
        <v>7678</v>
      </c>
      <c r="F1072" s="76"/>
    </row>
    <row r="1073" spans="1:6" ht="63.95" customHeight="1">
      <c r="A1073" s="76" t="s">
        <v>5979</v>
      </c>
      <c r="B1073" s="76" t="s">
        <v>8713</v>
      </c>
      <c r="C1073" s="76" t="s">
        <v>8714</v>
      </c>
      <c r="D1073" s="76" t="s">
        <v>8715</v>
      </c>
      <c r="E1073" s="76" t="s">
        <v>7678</v>
      </c>
      <c r="F1073" s="76"/>
    </row>
    <row r="1074" spans="1:6" ht="63.95" customHeight="1">
      <c r="A1074" s="76" t="s">
        <v>5979</v>
      </c>
      <c r="B1074" s="76" t="s">
        <v>8716</v>
      </c>
      <c r="C1074" s="76" t="s">
        <v>8717</v>
      </c>
      <c r="D1074" s="76" t="s">
        <v>8718</v>
      </c>
      <c r="E1074" s="76" t="s">
        <v>7678</v>
      </c>
      <c r="F1074" s="76"/>
    </row>
    <row r="1075" spans="1:6" ht="63.95" customHeight="1">
      <c r="A1075" s="76" t="s">
        <v>5979</v>
      </c>
      <c r="B1075" s="76" t="s">
        <v>8719</v>
      </c>
      <c r="C1075" s="76" t="s">
        <v>8720</v>
      </c>
      <c r="D1075" s="76" t="s">
        <v>8721</v>
      </c>
      <c r="E1075" s="76" t="s">
        <v>7678</v>
      </c>
      <c r="F1075" s="76"/>
    </row>
    <row r="1076" spans="1:6" ht="63.95" customHeight="1">
      <c r="A1076" s="76" t="s">
        <v>5979</v>
      </c>
      <c r="B1076" s="76" t="s">
        <v>8722</v>
      </c>
      <c r="C1076" s="76" t="s">
        <v>8723</v>
      </c>
      <c r="D1076" s="76" t="s">
        <v>8724</v>
      </c>
      <c r="E1076" s="76" t="s">
        <v>7678</v>
      </c>
      <c r="F1076" s="76"/>
    </row>
    <row r="1077" spans="1:6" ht="63.95" customHeight="1">
      <c r="A1077" s="76" t="s">
        <v>5979</v>
      </c>
      <c r="B1077" s="76" t="s">
        <v>8725</v>
      </c>
      <c r="C1077" s="76" t="s">
        <v>8726</v>
      </c>
      <c r="D1077" s="76" t="s">
        <v>8727</v>
      </c>
      <c r="E1077" s="76" t="s">
        <v>7678</v>
      </c>
      <c r="F1077" s="76"/>
    </row>
    <row r="1078" spans="1:6" ht="63.95" customHeight="1">
      <c r="A1078" s="76" t="s">
        <v>5979</v>
      </c>
      <c r="B1078" s="76" t="s">
        <v>8728</v>
      </c>
      <c r="C1078" s="76" t="s">
        <v>8729</v>
      </c>
      <c r="D1078" s="76" t="s">
        <v>8730</v>
      </c>
      <c r="E1078" s="76" t="s">
        <v>7678</v>
      </c>
      <c r="F1078" s="76"/>
    </row>
    <row r="1079" spans="1:6" ht="63.95" customHeight="1">
      <c r="A1079" s="76" t="s">
        <v>5979</v>
      </c>
      <c r="B1079" s="76" t="s">
        <v>8731</v>
      </c>
      <c r="C1079" s="76" t="s">
        <v>8732</v>
      </c>
      <c r="D1079" s="76" t="s">
        <v>8733</v>
      </c>
      <c r="E1079" s="76" t="s">
        <v>7678</v>
      </c>
      <c r="F1079" s="76"/>
    </row>
    <row r="1080" spans="1:6" ht="63.95" customHeight="1">
      <c r="A1080" s="76" t="s">
        <v>5979</v>
      </c>
      <c r="B1080" s="76" t="s">
        <v>8734</v>
      </c>
      <c r="C1080" s="76" t="s">
        <v>8735</v>
      </c>
      <c r="D1080" s="76" t="s">
        <v>8736</v>
      </c>
      <c r="E1080" s="76" t="s">
        <v>7678</v>
      </c>
      <c r="F1080" s="76"/>
    </row>
    <row r="1081" spans="1:6" ht="63.95" customHeight="1">
      <c r="A1081" s="76" t="s">
        <v>5979</v>
      </c>
      <c r="B1081" s="76" t="s">
        <v>8737</v>
      </c>
      <c r="C1081" s="76" t="s">
        <v>8738</v>
      </c>
      <c r="D1081" s="76" t="s">
        <v>8739</v>
      </c>
      <c r="E1081" s="76" t="s">
        <v>7678</v>
      </c>
      <c r="F1081" s="76"/>
    </row>
    <row r="1082" spans="1:6" ht="63.95" customHeight="1">
      <c r="A1082" s="76" t="s">
        <v>5979</v>
      </c>
      <c r="B1082" s="76" t="s">
        <v>8740</v>
      </c>
      <c r="C1082" s="76" t="s">
        <v>8741</v>
      </c>
      <c r="D1082" s="76" t="s">
        <v>8742</v>
      </c>
      <c r="E1082" s="76" t="s">
        <v>7678</v>
      </c>
      <c r="F1082" s="76"/>
    </row>
    <row r="1083" spans="1:6" ht="63.95" customHeight="1">
      <c r="A1083" s="76" t="s">
        <v>5979</v>
      </c>
      <c r="B1083" s="76" t="s">
        <v>8743</v>
      </c>
      <c r="C1083" s="76" t="s">
        <v>8744</v>
      </c>
      <c r="D1083" s="76" t="s">
        <v>8745</v>
      </c>
      <c r="E1083" s="76" t="s">
        <v>7678</v>
      </c>
      <c r="F1083" s="76"/>
    </row>
    <row r="1084" spans="1:6" ht="63.95" customHeight="1">
      <c r="A1084" s="76" t="s">
        <v>5979</v>
      </c>
      <c r="B1084" s="76" t="s">
        <v>8746</v>
      </c>
      <c r="C1084" s="76" t="s">
        <v>8747</v>
      </c>
      <c r="D1084" s="76" t="s">
        <v>8748</v>
      </c>
      <c r="E1084" s="76" t="s">
        <v>7678</v>
      </c>
      <c r="F1084" s="76"/>
    </row>
    <row r="1085" spans="1:6" ht="63.95" customHeight="1">
      <c r="A1085" s="76" t="s">
        <v>5979</v>
      </c>
      <c r="B1085" s="76" t="s">
        <v>8749</v>
      </c>
      <c r="C1085" s="76" t="s">
        <v>8750</v>
      </c>
      <c r="D1085" s="76" t="s">
        <v>8751</v>
      </c>
      <c r="E1085" s="76" t="s">
        <v>7678</v>
      </c>
      <c r="F1085" s="76"/>
    </row>
    <row r="1086" spans="1:6" ht="63.95" customHeight="1">
      <c r="A1086" s="76" t="s">
        <v>5979</v>
      </c>
      <c r="B1086" s="76" t="s">
        <v>8752</v>
      </c>
      <c r="C1086" s="76" t="s">
        <v>8753</v>
      </c>
      <c r="D1086" s="76" t="s">
        <v>8754</v>
      </c>
      <c r="E1086" s="76" t="s">
        <v>7678</v>
      </c>
      <c r="F1086" s="76"/>
    </row>
    <row r="1087" spans="1:6" ht="63.95" customHeight="1">
      <c r="A1087" s="76" t="s">
        <v>5979</v>
      </c>
      <c r="B1087" s="76" t="s">
        <v>8755</v>
      </c>
      <c r="C1087" s="76" t="s">
        <v>8756</v>
      </c>
      <c r="D1087" s="76" t="s">
        <v>8757</v>
      </c>
      <c r="E1087" s="76" t="s">
        <v>7678</v>
      </c>
      <c r="F1087" s="76"/>
    </row>
    <row r="1088" spans="1:6" ht="63.95" customHeight="1">
      <c r="A1088" s="76" t="s">
        <v>5979</v>
      </c>
      <c r="B1088" s="76" t="s">
        <v>8758</v>
      </c>
      <c r="C1088" s="76" t="s">
        <v>8759</v>
      </c>
      <c r="D1088" s="76" t="s">
        <v>8760</v>
      </c>
      <c r="E1088" s="76" t="s">
        <v>7678</v>
      </c>
      <c r="F1088" s="76"/>
    </row>
    <row r="1089" spans="1:6" ht="63.95" customHeight="1">
      <c r="A1089" s="76" t="s">
        <v>5979</v>
      </c>
      <c r="B1089" s="76" t="s">
        <v>8761</v>
      </c>
      <c r="C1089" s="76" t="s">
        <v>8762</v>
      </c>
      <c r="D1089" s="76" t="s">
        <v>8763</v>
      </c>
      <c r="E1089" s="76" t="s">
        <v>7678</v>
      </c>
      <c r="F1089" s="76"/>
    </row>
    <row r="1090" spans="1:6" ht="63.95" customHeight="1">
      <c r="A1090" s="76" t="s">
        <v>5979</v>
      </c>
      <c r="B1090" s="76" t="s">
        <v>8764</v>
      </c>
      <c r="C1090" s="76" t="s">
        <v>8765</v>
      </c>
      <c r="D1090" s="76" t="s">
        <v>8766</v>
      </c>
      <c r="E1090" s="76" t="s">
        <v>7678</v>
      </c>
      <c r="F1090" s="76"/>
    </row>
    <row r="1091" spans="1:6" ht="63.95" customHeight="1">
      <c r="A1091" s="76" t="s">
        <v>5979</v>
      </c>
      <c r="B1091" s="76" t="s">
        <v>8767</v>
      </c>
      <c r="C1091" s="76" t="s">
        <v>8768</v>
      </c>
      <c r="D1091" s="76" t="s">
        <v>8769</v>
      </c>
      <c r="E1091" s="76" t="s">
        <v>7678</v>
      </c>
      <c r="F1091" s="76"/>
    </row>
    <row r="1092" spans="1:6" ht="63.95" customHeight="1">
      <c r="A1092" s="76" t="s">
        <v>5979</v>
      </c>
      <c r="B1092" s="76" t="s">
        <v>8770</v>
      </c>
      <c r="C1092" s="76" t="s">
        <v>8771</v>
      </c>
      <c r="D1092" s="76" t="s">
        <v>8772</v>
      </c>
      <c r="E1092" s="76" t="s">
        <v>7678</v>
      </c>
      <c r="F1092" s="76"/>
    </row>
    <row r="1093" spans="1:6" ht="63.95" customHeight="1">
      <c r="A1093" s="76" t="s">
        <v>5979</v>
      </c>
      <c r="B1093" s="76" t="s">
        <v>8773</v>
      </c>
      <c r="C1093" s="76" t="s">
        <v>8774</v>
      </c>
      <c r="D1093" s="76" t="s">
        <v>8775</v>
      </c>
      <c r="E1093" s="76" t="s">
        <v>7678</v>
      </c>
      <c r="F1093" s="76"/>
    </row>
    <row r="1094" spans="1:6" ht="63.95" customHeight="1">
      <c r="A1094" s="76" t="s">
        <v>5979</v>
      </c>
      <c r="B1094" s="76" t="s">
        <v>8776</v>
      </c>
      <c r="C1094" s="76" t="s">
        <v>8777</v>
      </c>
      <c r="D1094" s="76" t="s">
        <v>8778</v>
      </c>
      <c r="E1094" s="76" t="s">
        <v>7678</v>
      </c>
      <c r="F1094" s="76"/>
    </row>
    <row r="1095" spans="1:6" ht="63.95" customHeight="1">
      <c r="A1095" s="76" t="s">
        <v>5979</v>
      </c>
      <c r="B1095" s="76" t="s">
        <v>8779</v>
      </c>
      <c r="C1095" s="76" t="s">
        <v>8780</v>
      </c>
      <c r="D1095" s="76" t="s">
        <v>8781</v>
      </c>
      <c r="E1095" s="76" t="s">
        <v>7678</v>
      </c>
      <c r="F1095" s="76"/>
    </row>
    <row r="1096" spans="1:6" ht="63.95" customHeight="1">
      <c r="A1096" s="76" t="s">
        <v>5979</v>
      </c>
      <c r="B1096" s="76" t="s">
        <v>8782</v>
      </c>
      <c r="C1096" s="76" t="s">
        <v>8783</v>
      </c>
      <c r="D1096" s="76" t="s">
        <v>8784</v>
      </c>
      <c r="E1096" s="76" t="s">
        <v>7678</v>
      </c>
      <c r="F1096" s="76"/>
    </row>
    <row r="1097" spans="1:6" ht="63.95" customHeight="1">
      <c r="A1097" s="76" t="s">
        <v>5979</v>
      </c>
      <c r="B1097" s="76" t="s">
        <v>8785</v>
      </c>
      <c r="C1097" s="76" t="s">
        <v>8786</v>
      </c>
      <c r="D1097" s="76" t="s">
        <v>8787</v>
      </c>
      <c r="E1097" s="76" t="s">
        <v>7678</v>
      </c>
      <c r="F1097" s="76"/>
    </row>
    <row r="1098" spans="1:6" ht="63.95" customHeight="1">
      <c r="A1098" s="76" t="s">
        <v>5979</v>
      </c>
      <c r="B1098" s="76" t="s">
        <v>8788</v>
      </c>
      <c r="C1098" s="76" t="s">
        <v>8789</v>
      </c>
      <c r="D1098" s="76" t="s">
        <v>8790</v>
      </c>
      <c r="E1098" s="76" t="s">
        <v>7678</v>
      </c>
      <c r="F1098" s="76"/>
    </row>
    <row r="1099" spans="1:6" ht="63.95" customHeight="1">
      <c r="A1099" s="76" t="s">
        <v>5979</v>
      </c>
      <c r="B1099" s="76" t="s">
        <v>8791</v>
      </c>
      <c r="C1099" s="76" t="s">
        <v>8792</v>
      </c>
      <c r="D1099" s="76" t="s">
        <v>8793</v>
      </c>
      <c r="E1099" s="76" t="s">
        <v>7678</v>
      </c>
      <c r="F1099" s="76"/>
    </row>
    <row r="1100" spans="1:6" ht="63.95" customHeight="1">
      <c r="A1100" s="76" t="s">
        <v>5979</v>
      </c>
      <c r="B1100" s="76" t="s">
        <v>8794</v>
      </c>
      <c r="C1100" s="76" t="s">
        <v>8795</v>
      </c>
      <c r="D1100" s="76" t="s">
        <v>8796</v>
      </c>
      <c r="E1100" s="76" t="s">
        <v>7678</v>
      </c>
      <c r="F1100" s="76"/>
    </row>
    <row r="1101" spans="1:6" ht="63.95" customHeight="1">
      <c r="A1101" s="76" t="s">
        <v>5979</v>
      </c>
      <c r="B1101" s="76" t="s">
        <v>8797</v>
      </c>
      <c r="C1101" s="76" t="s">
        <v>8798</v>
      </c>
      <c r="D1101" s="76" t="s">
        <v>8799</v>
      </c>
      <c r="E1101" s="76" t="s">
        <v>7678</v>
      </c>
      <c r="F1101" s="76"/>
    </row>
    <row r="1102" spans="1:6" ht="63.95" customHeight="1">
      <c r="A1102" s="76" t="s">
        <v>5979</v>
      </c>
      <c r="B1102" s="76" t="s">
        <v>8800</v>
      </c>
      <c r="C1102" s="76" t="s">
        <v>8801</v>
      </c>
      <c r="D1102" s="76" t="s">
        <v>8802</v>
      </c>
      <c r="E1102" s="76" t="s">
        <v>7678</v>
      </c>
      <c r="F1102" s="76"/>
    </row>
    <row r="1103" spans="1:6" ht="63.95" customHeight="1">
      <c r="A1103" s="76" t="s">
        <v>5979</v>
      </c>
      <c r="B1103" s="76" t="s">
        <v>8803</v>
      </c>
      <c r="C1103" s="76" t="s">
        <v>8804</v>
      </c>
      <c r="D1103" s="76" t="s">
        <v>8805</v>
      </c>
      <c r="E1103" s="76" t="s">
        <v>7678</v>
      </c>
      <c r="F1103" s="76"/>
    </row>
    <row r="1104" spans="1:6" ht="63.95" customHeight="1">
      <c r="A1104" s="76" t="s">
        <v>5979</v>
      </c>
      <c r="B1104" s="76" t="s">
        <v>8806</v>
      </c>
      <c r="C1104" s="76" t="s">
        <v>8807</v>
      </c>
      <c r="D1104" s="76" t="s">
        <v>8808</v>
      </c>
      <c r="E1104" s="76" t="s">
        <v>7678</v>
      </c>
      <c r="F1104" s="76"/>
    </row>
    <row r="1105" spans="1:6" ht="63.95" customHeight="1">
      <c r="A1105" s="76" t="s">
        <v>3146</v>
      </c>
      <c r="B1105" s="76" t="s">
        <v>3503</v>
      </c>
      <c r="C1105" s="76" t="s">
        <v>8809</v>
      </c>
      <c r="D1105" s="76" t="s">
        <v>1861</v>
      </c>
      <c r="E1105" s="76" t="s">
        <v>7668</v>
      </c>
      <c r="F1105" s="76"/>
    </row>
    <row r="1106" spans="1:6" ht="63.95" customHeight="1">
      <c r="A1106" s="76" t="s">
        <v>5980</v>
      </c>
      <c r="B1106" s="76" t="s">
        <v>3685</v>
      </c>
      <c r="C1106" s="76" t="s">
        <v>7738</v>
      </c>
      <c r="D1106" s="76" t="s">
        <v>1854</v>
      </c>
      <c r="E1106" s="76" t="s">
        <v>7668</v>
      </c>
      <c r="F1106" s="76"/>
    </row>
    <row r="1107" spans="1:6" ht="63.95" customHeight="1">
      <c r="A1107" s="76" t="s">
        <v>5980</v>
      </c>
      <c r="B1107" s="76" t="s">
        <v>3691</v>
      </c>
      <c r="C1107" s="76" t="s">
        <v>8810</v>
      </c>
      <c r="D1107" s="76" t="s">
        <v>8811</v>
      </c>
      <c r="E1107" s="76" t="s">
        <v>7678</v>
      </c>
      <c r="F1107" s="76"/>
    </row>
    <row r="1108" spans="1:6" ht="63.95" customHeight="1">
      <c r="A1108" s="76" t="s">
        <v>5980</v>
      </c>
      <c r="B1108" s="76" t="s">
        <v>3697</v>
      </c>
      <c r="C1108" s="76" t="s">
        <v>8812</v>
      </c>
      <c r="D1108" s="76" t="s">
        <v>8813</v>
      </c>
      <c r="E1108" s="76" t="s">
        <v>7678</v>
      </c>
      <c r="F1108" s="76"/>
    </row>
    <row r="1109" spans="1:6" ht="63.95" customHeight="1">
      <c r="A1109" s="76" t="s">
        <v>5980</v>
      </c>
      <c r="B1109" s="76" t="s">
        <v>3702</v>
      </c>
      <c r="C1109" s="76" t="s">
        <v>8814</v>
      </c>
      <c r="D1109" s="76" t="s">
        <v>8815</v>
      </c>
      <c r="E1109" s="76" t="s">
        <v>7678</v>
      </c>
      <c r="F1109" s="76"/>
    </row>
    <row r="1110" spans="1:6" ht="63.95" customHeight="1">
      <c r="A1110" s="76" t="s">
        <v>5980</v>
      </c>
      <c r="B1110" s="76" t="s">
        <v>3708</v>
      </c>
      <c r="C1110" s="76" t="s">
        <v>8816</v>
      </c>
      <c r="D1110" s="76" t="s">
        <v>8817</v>
      </c>
      <c r="E1110" s="76" t="s">
        <v>7678</v>
      </c>
      <c r="F1110" s="76"/>
    </row>
    <row r="1111" spans="1:6" ht="63.95" customHeight="1">
      <c r="A1111" s="76" t="s">
        <v>5980</v>
      </c>
      <c r="B1111" s="76" t="s">
        <v>3713</v>
      </c>
      <c r="C1111" s="76" t="s">
        <v>8818</v>
      </c>
      <c r="D1111" s="76" t="s">
        <v>8819</v>
      </c>
      <c r="E1111" s="76" t="s">
        <v>7678</v>
      </c>
      <c r="F1111" s="76"/>
    </row>
    <row r="1112" spans="1:6" ht="63.95" customHeight="1">
      <c r="A1112" s="76" t="s">
        <v>5980</v>
      </c>
      <c r="B1112" s="76" t="s">
        <v>3718</v>
      </c>
      <c r="C1112" s="76" t="s">
        <v>8820</v>
      </c>
      <c r="D1112" s="76" t="s">
        <v>8821</v>
      </c>
      <c r="E1112" s="76" t="s">
        <v>7678</v>
      </c>
      <c r="F1112" s="76"/>
    </row>
    <row r="1113" spans="1:6" ht="63.95" customHeight="1">
      <c r="A1113" s="76" t="s">
        <v>5980</v>
      </c>
      <c r="B1113" s="76" t="s">
        <v>3724</v>
      </c>
      <c r="C1113" s="76" t="s">
        <v>8822</v>
      </c>
      <c r="D1113" s="76" t="s">
        <v>8823</v>
      </c>
      <c r="E1113" s="76" t="s">
        <v>7678</v>
      </c>
      <c r="F1113" s="76"/>
    </row>
    <row r="1114" spans="1:6" ht="63.95" customHeight="1">
      <c r="A1114" s="76" t="s">
        <v>5980</v>
      </c>
      <c r="B1114" s="76" t="s">
        <v>3729</v>
      </c>
      <c r="C1114" s="76" t="s">
        <v>8824</v>
      </c>
      <c r="D1114" s="76" t="s">
        <v>8825</v>
      </c>
      <c r="E1114" s="76" t="s">
        <v>7678</v>
      </c>
      <c r="F1114" s="76"/>
    </row>
    <row r="1115" spans="1:6" ht="63.95" customHeight="1">
      <c r="A1115" s="76" t="s">
        <v>5980</v>
      </c>
      <c r="B1115" s="76" t="s">
        <v>8826</v>
      </c>
      <c r="C1115" s="76" t="s">
        <v>8827</v>
      </c>
      <c r="D1115" s="76" t="s">
        <v>8828</v>
      </c>
      <c r="E1115" s="76" t="s">
        <v>7678</v>
      </c>
      <c r="F1115" s="76"/>
    </row>
    <row r="1116" spans="1:6" ht="63.95" customHeight="1">
      <c r="A1116" s="76" t="s">
        <v>5980</v>
      </c>
      <c r="B1116" s="76" t="s">
        <v>8829</v>
      </c>
      <c r="C1116" s="76" t="s">
        <v>8830</v>
      </c>
      <c r="D1116" s="76" t="s">
        <v>8831</v>
      </c>
      <c r="E1116" s="76" t="s">
        <v>7678</v>
      </c>
      <c r="F1116" s="76"/>
    </row>
    <row r="1117" spans="1:6" ht="63.95" customHeight="1">
      <c r="A1117" s="76" t="s">
        <v>5980</v>
      </c>
      <c r="B1117" s="76" t="s">
        <v>8832</v>
      </c>
      <c r="C1117" s="76" t="s">
        <v>8833</v>
      </c>
      <c r="D1117" s="76" t="s">
        <v>8834</v>
      </c>
      <c r="E1117" s="76" t="s">
        <v>7678</v>
      </c>
      <c r="F1117" s="76"/>
    </row>
    <row r="1118" spans="1:6" ht="63.95" customHeight="1">
      <c r="A1118" s="76" t="s">
        <v>5980</v>
      </c>
      <c r="B1118" s="76" t="s">
        <v>8835</v>
      </c>
      <c r="C1118" s="76" t="s">
        <v>8836</v>
      </c>
      <c r="D1118" s="76" t="s">
        <v>8837</v>
      </c>
      <c r="E1118" s="76" t="s">
        <v>7678</v>
      </c>
      <c r="F1118" s="76"/>
    </row>
    <row r="1119" spans="1:6" ht="63.95" customHeight="1">
      <c r="A1119" s="76" t="s">
        <v>5980</v>
      </c>
      <c r="B1119" s="76" t="s">
        <v>8838</v>
      </c>
      <c r="C1119" s="76" t="s">
        <v>8839</v>
      </c>
      <c r="D1119" s="76" t="s">
        <v>8840</v>
      </c>
      <c r="E1119" s="76" t="s">
        <v>7678</v>
      </c>
      <c r="F1119" s="76"/>
    </row>
    <row r="1120" spans="1:6" ht="63.95" customHeight="1">
      <c r="A1120" s="76" t="s">
        <v>5980</v>
      </c>
      <c r="B1120" s="76" t="s">
        <v>8841</v>
      </c>
      <c r="C1120" s="76" t="s">
        <v>8842</v>
      </c>
      <c r="D1120" s="76" t="s">
        <v>8843</v>
      </c>
      <c r="E1120" s="76" t="s">
        <v>7678</v>
      </c>
      <c r="F1120" s="76"/>
    </row>
    <row r="1121" spans="1:6" ht="63.95" customHeight="1">
      <c r="A1121" s="76" t="s">
        <v>5980</v>
      </c>
      <c r="B1121" s="76" t="s">
        <v>8844</v>
      </c>
      <c r="C1121" s="76" t="s">
        <v>8845</v>
      </c>
      <c r="D1121" s="76" t="s">
        <v>8846</v>
      </c>
      <c r="E1121" s="76" t="s">
        <v>7678</v>
      </c>
      <c r="F1121" s="76"/>
    </row>
    <row r="1122" spans="1:6" ht="63.95" customHeight="1">
      <c r="A1122" s="76" t="s">
        <v>5980</v>
      </c>
      <c r="B1122" s="76" t="s">
        <v>8847</v>
      </c>
      <c r="C1122" s="76" t="s">
        <v>8848</v>
      </c>
      <c r="D1122" s="76" t="s">
        <v>8849</v>
      </c>
      <c r="E1122" s="76" t="s">
        <v>7678</v>
      </c>
      <c r="F1122" s="76"/>
    </row>
    <row r="1123" spans="1:6" ht="63.95" customHeight="1">
      <c r="A1123" s="76" t="s">
        <v>5980</v>
      </c>
      <c r="B1123" s="76" t="s">
        <v>8850</v>
      </c>
      <c r="C1123" s="76" t="s">
        <v>8851</v>
      </c>
      <c r="D1123" s="76" t="s">
        <v>8852</v>
      </c>
      <c r="E1123" s="76" t="s">
        <v>7678</v>
      </c>
      <c r="F1123" s="76"/>
    </row>
    <row r="1124" spans="1:6" ht="63.95" customHeight="1">
      <c r="A1124" s="76" t="s">
        <v>5980</v>
      </c>
      <c r="B1124" s="76" t="s">
        <v>8853</v>
      </c>
      <c r="C1124" s="76" t="s">
        <v>8854</v>
      </c>
      <c r="D1124" s="76" t="s">
        <v>8855</v>
      </c>
      <c r="E1124" s="76" t="s">
        <v>7678</v>
      </c>
      <c r="F1124" s="76"/>
    </row>
    <row r="1125" spans="1:6" ht="63.95" customHeight="1">
      <c r="A1125" s="76" t="s">
        <v>5980</v>
      </c>
      <c r="B1125" s="76" t="s">
        <v>8856</v>
      </c>
      <c r="C1125" s="76" t="s">
        <v>8857</v>
      </c>
      <c r="D1125" s="76" t="s">
        <v>8858</v>
      </c>
      <c r="E1125" s="76" t="s">
        <v>7678</v>
      </c>
      <c r="F1125" s="76"/>
    </row>
    <row r="1126" spans="1:6" ht="63.95" customHeight="1">
      <c r="A1126" s="76" t="s">
        <v>5980</v>
      </c>
      <c r="B1126" s="76" t="s">
        <v>8859</v>
      </c>
      <c r="C1126" s="76" t="s">
        <v>8860</v>
      </c>
      <c r="D1126" s="76" t="s">
        <v>8861</v>
      </c>
      <c r="E1126" s="76" t="s">
        <v>7678</v>
      </c>
      <c r="F1126" s="76"/>
    </row>
    <row r="1127" spans="1:6" ht="63.95" customHeight="1">
      <c r="A1127" s="76" t="s">
        <v>5980</v>
      </c>
      <c r="B1127" s="76" t="s">
        <v>8862</v>
      </c>
      <c r="C1127" s="76" t="s">
        <v>8863</v>
      </c>
      <c r="D1127" s="76" t="s">
        <v>8864</v>
      </c>
      <c r="E1127" s="76" t="s">
        <v>7678</v>
      </c>
      <c r="F1127" s="76"/>
    </row>
    <row r="1128" spans="1:6" ht="63.95" customHeight="1">
      <c r="A1128" s="76" t="s">
        <v>5980</v>
      </c>
      <c r="B1128" s="76" t="s">
        <v>8865</v>
      </c>
      <c r="C1128" s="76" t="s">
        <v>8866</v>
      </c>
      <c r="D1128" s="76" t="s">
        <v>8867</v>
      </c>
      <c r="E1128" s="76" t="s">
        <v>7678</v>
      </c>
      <c r="F1128" s="76"/>
    </row>
    <row r="1129" spans="1:6" ht="63.95" customHeight="1">
      <c r="A1129" s="76" t="s">
        <v>5980</v>
      </c>
      <c r="B1129" s="76" t="s">
        <v>8868</v>
      </c>
      <c r="C1129" s="76" t="s">
        <v>8869</v>
      </c>
      <c r="D1129" s="76" t="s">
        <v>8870</v>
      </c>
      <c r="E1129" s="76" t="s">
        <v>7678</v>
      </c>
      <c r="F1129" s="76"/>
    </row>
    <row r="1130" spans="1:6" ht="63.95" customHeight="1">
      <c r="A1130" s="76" t="s">
        <v>5980</v>
      </c>
      <c r="B1130" s="76" t="s">
        <v>8871</v>
      </c>
      <c r="C1130" s="76" t="s">
        <v>8872</v>
      </c>
      <c r="D1130" s="76" t="s">
        <v>8873</v>
      </c>
      <c r="E1130" s="76" t="s">
        <v>7678</v>
      </c>
      <c r="F1130" s="76"/>
    </row>
    <row r="1131" spans="1:6" ht="63.95" customHeight="1">
      <c r="A1131" s="76" t="s">
        <v>5980</v>
      </c>
      <c r="B1131" s="76" t="s">
        <v>8874</v>
      </c>
      <c r="C1131" s="76" t="s">
        <v>8875</v>
      </c>
      <c r="D1131" s="76" t="s">
        <v>8876</v>
      </c>
      <c r="E1131" s="76" t="s">
        <v>7678</v>
      </c>
      <c r="F1131" s="76"/>
    </row>
    <row r="1132" spans="1:6" ht="63.95" customHeight="1">
      <c r="A1132" s="76" t="s">
        <v>5980</v>
      </c>
      <c r="B1132" s="76" t="s">
        <v>8877</v>
      </c>
      <c r="C1132" s="76" t="s">
        <v>8878</v>
      </c>
      <c r="D1132" s="76" t="s">
        <v>8879</v>
      </c>
      <c r="E1132" s="76" t="s">
        <v>7678</v>
      </c>
      <c r="F1132" s="76"/>
    </row>
    <row r="1133" spans="1:6" ht="63.95" customHeight="1">
      <c r="A1133" s="76" t="s">
        <v>5980</v>
      </c>
      <c r="B1133" s="76" t="s">
        <v>8880</v>
      </c>
      <c r="C1133" s="76" t="s">
        <v>8881</v>
      </c>
      <c r="D1133" s="76" t="s">
        <v>8882</v>
      </c>
      <c r="E1133" s="76" t="s">
        <v>7678</v>
      </c>
      <c r="F1133" s="76"/>
    </row>
    <row r="1134" spans="1:6" ht="63.95" customHeight="1">
      <c r="A1134" s="76" t="s">
        <v>5980</v>
      </c>
      <c r="B1134" s="76" t="s">
        <v>8883</v>
      </c>
      <c r="C1134" s="76" t="s">
        <v>8884</v>
      </c>
      <c r="D1134" s="76" t="s">
        <v>8885</v>
      </c>
      <c r="E1134" s="76" t="s">
        <v>7678</v>
      </c>
      <c r="F1134" s="76"/>
    </row>
    <row r="1135" spans="1:6" ht="63.95" customHeight="1">
      <c r="A1135" s="76" t="s">
        <v>5980</v>
      </c>
      <c r="B1135" s="76" t="s">
        <v>8886</v>
      </c>
      <c r="C1135" s="76" t="s">
        <v>8887</v>
      </c>
      <c r="D1135" s="76" t="s">
        <v>8888</v>
      </c>
      <c r="E1135" s="76" t="s">
        <v>7678</v>
      </c>
      <c r="F1135" s="76"/>
    </row>
    <row r="1136" spans="1:6" ht="63.95" customHeight="1">
      <c r="A1136" s="76" t="s">
        <v>5980</v>
      </c>
      <c r="B1136" s="76" t="s">
        <v>8889</v>
      </c>
      <c r="C1136" s="76" t="s">
        <v>8890</v>
      </c>
      <c r="D1136" s="76" t="s">
        <v>8891</v>
      </c>
      <c r="E1136" s="76" t="s">
        <v>7678</v>
      </c>
      <c r="F1136" s="76"/>
    </row>
    <row r="1137" spans="1:6" ht="63.95" customHeight="1">
      <c r="A1137" s="76" t="s">
        <v>5980</v>
      </c>
      <c r="B1137" s="76" t="s">
        <v>8892</v>
      </c>
      <c r="C1137" s="76" t="s">
        <v>8893</v>
      </c>
      <c r="D1137" s="76" t="s">
        <v>8894</v>
      </c>
      <c r="E1137" s="76" t="s">
        <v>7678</v>
      </c>
      <c r="F1137" s="76"/>
    </row>
    <row r="1138" spans="1:6" ht="63.95" customHeight="1">
      <c r="A1138" s="76" t="s">
        <v>5980</v>
      </c>
      <c r="B1138" s="76" t="s">
        <v>8895</v>
      </c>
      <c r="C1138" s="76" t="s">
        <v>8896</v>
      </c>
      <c r="D1138" s="76" t="s">
        <v>8897</v>
      </c>
      <c r="E1138" s="76" t="s">
        <v>7678</v>
      </c>
      <c r="F1138" s="76"/>
    </row>
    <row r="1139" spans="1:6" ht="63.95" customHeight="1">
      <c r="A1139" s="76" t="s">
        <v>5980</v>
      </c>
      <c r="B1139" s="76" t="s">
        <v>8898</v>
      </c>
      <c r="C1139" s="76" t="s">
        <v>8899</v>
      </c>
      <c r="D1139" s="76" t="s">
        <v>8900</v>
      </c>
      <c r="E1139" s="76" t="s">
        <v>7678</v>
      </c>
      <c r="F1139" s="76"/>
    </row>
    <row r="1140" spans="1:6" ht="63.95" customHeight="1">
      <c r="A1140" s="76" t="s">
        <v>5980</v>
      </c>
      <c r="B1140" s="76" t="s">
        <v>8901</v>
      </c>
      <c r="C1140" s="76" t="s">
        <v>8902</v>
      </c>
      <c r="D1140" s="76" t="s">
        <v>8903</v>
      </c>
      <c r="E1140" s="76" t="s">
        <v>7678</v>
      </c>
      <c r="F1140" s="76"/>
    </row>
    <row r="1141" spans="1:6" ht="63.95" customHeight="1">
      <c r="A1141" s="76" t="s">
        <v>5980</v>
      </c>
      <c r="B1141" s="76" t="s">
        <v>8904</v>
      </c>
      <c r="C1141" s="76" t="s">
        <v>8905</v>
      </c>
      <c r="D1141" s="76" t="s">
        <v>8906</v>
      </c>
      <c r="E1141" s="76" t="s">
        <v>7678</v>
      </c>
      <c r="F1141" s="76"/>
    </row>
    <row r="1142" spans="1:6" ht="63.95" customHeight="1">
      <c r="A1142" s="76" t="s">
        <v>5980</v>
      </c>
      <c r="B1142" s="76" t="s">
        <v>8907</v>
      </c>
      <c r="C1142" s="76" t="s">
        <v>8908</v>
      </c>
      <c r="D1142" s="76" t="s">
        <v>8909</v>
      </c>
      <c r="E1142" s="76" t="s">
        <v>7678</v>
      </c>
      <c r="F1142" s="76"/>
    </row>
    <row r="1143" spans="1:6" ht="63.95" customHeight="1">
      <c r="A1143" s="76" t="s">
        <v>5980</v>
      </c>
      <c r="B1143" s="76" t="s">
        <v>8910</v>
      </c>
      <c r="C1143" s="76" t="s">
        <v>8911</v>
      </c>
      <c r="D1143" s="76" t="s">
        <v>8912</v>
      </c>
      <c r="E1143" s="76" t="s">
        <v>7678</v>
      </c>
      <c r="F1143" s="76"/>
    </row>
    <row r="1144" spans="1:6" ht="63.95" customHeight="1">
      <c r="A1144" s="76" t="s">
        <v>5980</v>
      </c>
      <c r="B1144" s="76" t="s">
        <v>8913</v>
      </c>
      <c r="C1144" s="76" t="s">
        <v>8914</v>
      </c>
      <c r="D1144" s="76" t="s">
        <v>8915</v>
      </c>
      <c r="E1144" s="76" t="s">
        <v>7678</v>
      </c>
      <c r="F1144" s="76"/>
    </row>
    <row r="1145" spans="1:6" ht="63.95" customHeight="1">
      <c r="A1145" s="76" t="s">
        <v>5980</v>
      </c>
      <c r="B1145" s="76" t="s">
        <v>8916</v>
      </c>
      <c r="C1145" s="76" t="s">
        <v>8917</v>
      </c>
      <c r="D1145" s="76" t="s">
        <v>8918</v>
      </c>
      <c r="E1145" s="76" t="s">
        <v>7678</v>
      </c>
      <c r="F1145" s="76"/>
    </row>
    <row r="1146" spans="1:6" ht="63.95" customHeight="1">
      <c r="A1146" s="76" t="s">
        <v>5980</v>
      </c>
      <c r="B1146" s="76" t="s">
        <v>8919</v>
      </c>
      <c r="C1146" s="76" t="s">
        <v>8920</v>
      </c>
      <c r="D1146" s="76" t="s">
        <v>8921</v>
      </c>
      <c r="E1146" s="76" t="s">
        <v>7678</v>
      </c>
      <c r="F1146" s="76"/>
    </row>
    <row r="1147" spans="1:6" ht="63.95" customHeight="1">
      <c r="A1147" s="76" t="s">
        <v>5980</v>
      </c>
      <c r="B1147" s="76" t="s">
        <v>8922</v>
      </c>
      <c r="C1147" s="76" t="s">
        <v>8923</v>
      </c>
      <c r="D1147" s="76" t="s">
        <v>8924</v>
      </c>
      <c r="E1147" s="76" t="s">
        <v>7678</v>
      </c>
      <c r="F1147" s="76"/>
    </row>
    <row r="1148" spans="1:6" ht="63.95" customHeight="1">
      <c r="A1148" s="76" t="s">
        <v>5980</v>
      </c>
      <c r="B1148" s="76" t="s">
        <v>8925</v>
      </c>
      <c r="C1148" s="76" t="s">
        <v>8926</v>
      </c>
      <c r="D1148" s="76" t="s">
        <v>8927</v>
      </c>
      <c r="E1148" s="76" t="s">
        <v>7678</v>
      </c>
      <c r="F1148" s="76"/>
    </row>
    <row r="1149" spans="1:6" ht="63.95" customHeight="1">
      <c r="A1149" s="76" t="s">
        <v>5980</v>
      </c>
      <c r="B1149" s="76" t="s">
        <v>8928</v>
      </c>
      <c r="C1149" s="76" t="s">
        <v>8929</v>
      </c>
      <c r="D1149" s="76" t="s">
        <v>8930</v>
      </c>
      <c r="E1149" s="76" t="s">
        <v>7678</v>
      </c>
      <c r="F1149" s="76"/>
    </row>
    <row r="1150" spans="1:6" ht="63.95" customHeight="1">
      <c r="A1150" s="76" t="s">
        <v>5980</v>
      </c>
      <c r="B1150" s="76" t="s">
        <v>8931</v>
      </c>
      <c r="C1150" s="76" t="s">
        <v>8932</v>
      </c>
      <c r="D1150" s="76" t="s">
        <v>8933</v>
      </c>
      <c r="E1150" s="76" t="s">
        <v>7678</v>
      </c>
      <c r="F1150" s="76"/>
    </row>
    <row r="1151" spans="1:6" ht="63.95" customHeight="1">
      <c r="A1151" s="76" t="s">
        <v>5980</v>
      </c>
      <c r="B1151" s="76" t="s">
        <v>8934</v>
      </c>
      <c r="C1151" s="76" t="s">
        <v>8935</v>
      </c>
      <c r="D1151" s="76" t="s">
        <v>8936</v>
      </c>
      <c r="E1151" s="76" t="s">
        <v>7678</v>
      </c>
      <c r="F1151" s="76"/>
    </row>
    <row r="1152" spans="1:6" ht="63.95" customHeight="1">
      <c r="A1152" s="76" t="s">
        <v>5980</v>
      </c>
      <c r="B1152" s="76" t="s">
        <v>8937</v>
      </c>
      <c r="C1152" s="76" t="s">
        <v>8938</v>
      </c>
      <c r="D1152" s="76" t="s">
        <v>8939</v>
      </c>
      <c r="E1152" s="76" t="s">
        <v>7678</v>
      </c>
      <c r="F1152" s="76"/>
    </row>
    <row r="1153" spans="1:6" ht="63.95" customHeight="1">
      <c r="A1153" s="76" t="s">
        <v>5980</v>
      </c>
      <c r="B1153" s="76" t="s">
        <v>8940</v>
      </c>
      <c r="C1153" s="76" t="s">
        <v>8941</v>
      </c>
      <c r="D1153" s="76" t="s">
        <v>8942</v>
      </c>
      <c r="E1153" s="76" t="s">
        <v>7678</v>
      </c>
      <c r="F1153" s="76"/>
    </row>
    <row r="1154" spans="1:6" ht="63.95" customHeight="1">
      <c r="A1154" s="76" t="s">
        <v>5980</v>
      </c>
      <c r="B1154" s="76" t="s">
        <v>8943</v>
      </c>
      <c r="C1154" s="76" t="s">
        <v>8944</v>
      </c>
      <c r="D1154" s="76" t="s">
        <v>8945</v>
      </c>
      <c r="E1154" s="76" t="s">
        <v>7678</v>
      </c>
      <c r="F1154" s="76"/>
    </row>
    <row r="1155" spans="1:6" ht="63.95" customHeight="1">
      <c r="A1155" s="76" t="s">
        <v>5980</v>
      </c>
      <c r="B1155" s="76" t="s">
        <v>8946</v>
      </c>
      <c r="C1155" s="76" t="s">
        <v>8947</v>
      </c>
      <c r="D1155" s="76" t="s">
        <v>8948</v>
      </c>
      <c r="E1155" s="76" t="s">
        <v>7678</v>
      </c>
      <c r="F1155" s="76"/>
    </row>
    <row r="1156" spans="1:6" ht="63.95" customHeight="1">
      <c r="A1156" s="76" t="s">
        <v>5980</v>
      </c>
      <c r="B1156" s="76" t="s">
        <v>8949</v>
      </c>
      <c r="C1156" s="76" t="s">
        <v>8950</v>
      </c>
      <c r="D1156" s="76" t="s">
        <v>8951</v>
      </c>
      <c r="E1156" s="76" t="s">
        <v>7678</v>
      </c>
      <c r="F1156" s="76"/>
    </row>
    <row r="1157" spans="1:6" ht="63.95" customHeight="1">
      <c r="A1157" s="76" t="s">
        <v>5980</v>
      </c>
      <c r="B1157" s="76" t="s">
        <v>8952</v>
      </c>
      <c r="C1157" s="76" t="s">
        <v>8953</v>
      </c>
      <c r="D1157" s="76" t="s">
        <v>8954</v>
      </c>
      <c r="E1157" s="76" t="s">
        <v>7678</v>
      </c>
      <c r="F1157" s="76"/>
    </row>
    <row r="1158" spans="1:6" ht="63.95" customHeight="1">
      <c r="A1158" s="76" t="s">
        <v>5980</v>
      </c>
      <c r="B1158" s="76" t="s">
        <v>8955</v>
      </c>
      <c r="C1158" s="76" t="s">
        <v>8956</v>
      </c>
      <c r="D1158" s="76" t="s">
        <v>8957</v>
      </c>
      <c r="E1158" s="76" t="s">
        <v>7678</v>
      </c>
      <c r="F1158" s="76"/>
    </row>
    <row r="1159" spans="1:6" ht="63.95" customHeight="1">
      <c r="A1159" s="76" t="s">
        <v>5980</v>
      </c>
      <c r="B1159" s="76" t="s">
        <v>8958</v>
      </c>
      <c r="C1159" s="76" t="s">
        <v>8959</v>
      </c>
      <c r="D1159" s="76" t="s">
        <v>8960</v>
      </c>
      <c r="E1159" s="76" t="s">
        <v>7678</v>
      </c>
      <c r="F1159" s="76"/>
    </row>
    <row r="1160" spans="1:6" ht="63.95" customHeight="1">
      <c r="A1160" s="76" t="s">
        <v>5980</v>
      </c>
      <c r="B1160" s="76" t="s">
        <v>8961</v>
      </c>
      <c r="C1160" s="76" t="s">
        <v>8962</v>
      </c>
      <c r="D1160" s="76" t="s">
        <v>8963</v>
      </c>
      <c r="E1160" s="76" t="s">
        <v>7678</v>
      </c>
      <c r="F1160" s="76"/>
    </row>
    <row r="1161" spans="1:6" ht="63.95" customHeight="1">
      <c r="A1161" s="76" t="s">
        <v>5980</v>
      </c>
      <c r="B1161" s="76" t="s">
        <v>8964</v>
      </c>
      <c r="C1161" s="76" t="s">
        <v>8965</v>
      </c>
      <c r="D1161" s="76" t="s">
        <v>8966</v>
      </c>
      <c r="E1161" s="76" t="s">
        <v>7678</v>
      </c>
      <c r="F1161" s="76"/>
    </row>
    <row r="1162" spans="1:6" ht="63.95" customHeight="1">
      <c r="A1162" s="76" t="s">
        <v>5980</v>
      </c>
      <c r="B1162" s="76" t="s">
        <v>8967</v>
      </c>
      <c r="C1162" s="76" t="s">
        <v>8968</v>
      </c>
      <c r="D1162" s="76" t="s">
        <v>8969</v>
      </c>
      <c r="E1162" s="76" t="s">
        <v>7678</v>
      </c>
      <c r="F1162" s="76"/>
    </row>
    <row r="1163" spans="1:6" ht="63.95" customHeight="1">
      <c r="A1163" s="76" t="s">
        <v>5980</v>
      </c>
      <c r="B1163" s="76" t="s">
        <v>8970</v>
      </c>
      <c r="C1163" s="76" t="s">
        <v>8971</v>
      </c>
      <c r="D1163" s="76" t="s">
        <v>8972</v>
      </c>
      <c r="E1163" s="76" t="s">
        <v>7678</v>
      </c>
      <c r="F1163" s="76"/>
    </row>
    <row r="1164" spans="1:6" ht="63.95" customHeight="1">
      <c r="A1164" s="76" t="s">
        <v>5980</v>
      </c>
      <c r="B1164" s="76" t="s">
        <v>8973</v>
      </c>
      <c r="C1164" s="76" t="s">
        <v>8974</v>
      </c>
      <c r="D1164" s="76" t="s">
        <v>8975</v>
      </c>
      <c r="E1164" s="76" t="s">
        <v>7678</v>
      </c>
      <c r="F1164" s="76"/>
    </row>
    <row r="1165" spans="1:6" ht="63.95" customHeight="1">
      <c r="A1165" s="76" t="s">
        <v>5980</v>
      </c>
      <c r="B1165" s="76" t="s">
        <v>8976</v>
      </c>
      <c r="C1165" s="76" t="s">
        <v>8977</v>
      </c>
      <c r="D1165" s="76" t="s">
        <v>8978</v>
      </c>
      <c r="E1165" s="76" t="s">
        <v>7678</v>
      </c>
      <c r="F1165" s="76"/>
    </row>
    <row r="1166" spans="1:6" ht="63.95" customHeight="1">
      <c r="A1166" s="76" t="s">
        <v>5980</v>
      </c>
      <c r="B1166" s="76" t="s">
        <v>8979</v>
      </c>
      <c r="C1166" s="76" t="s">
        <v>8980</v>
      </c>
      <c r="D1166" s="76" t="s">
        <v>8981</v>
      </c>
      <c r="E1166" s="76" t="s">
        <v>7678</v>
      </c>
      <c r="F1166" s="76"/>
    </row>
    <row r="1167" spans="1:6" ht="63.95" customHeight="1">
      <c r="A1167" s="76" t="s">
        <v>5980</v>
      </c>
      <c r="B1167" s="76" t="s">
        <v>8982</v>
      </c>
      <c r="C1167" s="76" t="s">
        <v>8983</v>
      </c>
      <c r="D1167" s="76" t="s">
        <v>8984</v>
      </c>
      <c r="E1167" s="76" t="s">
        <v>7678</v>
      </c>
      <c r="F1167" s="76"/>
    </row>
    <row r="1168" spans="1:6" ht="63.95" customHeight="1">
      <c r="A1168" s="76" t="s">
        <v>5980</v>
      </c>
      <c r="B1168" s="76" t="s">
        <v>8985</v>
      </c>
      <c r="C1168" s="76" t="s">
        <v>8986</v>
      </c>
      <c r="D1168" s="76" t="s">
        <v>8987</v>
      </c>
      <c r="E1168" s="76" t="s">
        <v>7678</v>
      </c>
      <c r="F1168" s="76"/>
    </row>
    <row r="1169" spans="1:6" ht="63.95" customHeight="1">
      <c r="A1169" s="76" t="s">
        <v>5980</v>
      </c>
      <c r="B1169" s="76" t="s">
        <v>8988</v>
      </c>
      <c r="C1169" s="76" t="s">
        <v>8989</v>
      </c>
      <c r="D1169" s="76" t="s">
        <v>8990</v>
      </c>
      <c r="E1169" s="76" t="s">
        <v>7678</v>
      </c>
      <c r="F1169" s="76"/>
    </row>
    <row r="1170" spans="1:6" ht="63.95" customHeight="1">
      <c r="A1170" s="76" t="s">
        <v>5980</v>
      </c>
      <c r="B1170" s="76" t="s">
        <v>8991</v>
      </c>
      <c r="C1170" s="76" t="s">
        <v>8992</v>
      </c>
      <c r="D1170" s="76" t="s">
        <v>8993</v>
      </c>
      <c r="E1170" s="76" t="s">
        <v>7678</v>
      </c>
      <c r="F1170" s="76"/>
    </row>
    <row r="1171" spans="1:6" ht="63.95" customHeight="1">
      <c r="A1171" s="76" t="s">
        <v>5980</v>
      </c>
      <c r="B1171" s="76" t="s">
        <v>8994</v>
      </c>
      <c r="C1171" s="76" t="s">
        <v>8995</v>
      </c>
      <c r="D1171" s="76" t="s">
        <v>8996</v>
      </c>
      <c r="E1171" s="76" t="s">
        <v>7678</v>
      </c>
      <c r="F1171" s="76"/>
    </row>
    <row r="1172" spans="1:6" ht="63.95" customHeight="1">
      <c r="A1172" s="76" t="s">
        <v>5980</v>
      </c>
      <c r="B1172" s="76" t="s">
        <v>8997</v>
      </c>
      <c r="C1172" s="76" t="s">
        <v>8998</v>
      </c>
      <c r="D1172" s="76" t="s">
        <v>8999</v>
      </c>
      <c r="E1172" s="76" t="s">
        <v>7678</v>
      </c>
      <c r="F1172" s="76"/>
    </row>
    <row r="1173" spans="1:6" ht="63.95" customHeight="1">
      <c r="A1173" s="76" t="s">
        <v>5980</v>
      </c>
      <c r="B1173" s="76" t="s">
        <v>9000</v>
      </c>
      <c r="C1173" s="76" t="s">
        <v>9001</v>
      </c>
      <c r="D1173" s="76" t="s">
        <v>9002</v>
      </c>
      <c r="E1173" s="76" t="s">
        <v>7678</v>
      </c>
      <c r="F1173" s="76"/>
    </row>
    <row r="1174" spans="1:6" ht="63.95" customHeight="1">
      <c r="A1174" s="76" t="s">
        <v>5980</v>
      </c>
      <c r="B1174" s="76" t="s">
        <v>9003</v>
      </c>
      <c r="C1174" s="76" t="s">
        <v>9004</v>
      </c>
      <c r="D1174" s="76" t="s">
        <v>9005</v>
      </c>
      <c r="E1174" s="76" t="s">
        <v>7678</v>
      </c>
      <c r="F1174" s="76"/>
    </row>
    <row r="1175" spans="1:6" ht="63.95" customHeight="1">
      <c r="A1175" s="76" t="s">
        <v>5980</v>
      </c>
      <c r="B1175" s="76" t="s">
        <v>9006</v>
      </c>
      <c r="C1175" s="76" t="s">
        <v>9007</v>
      </c>
      <c r="D1175" s="76" t="s">
        <v>9008</v>
      </c>
      <c r="E1175" s="76" t="s">
        <v>7678</v>
      </c>
      <c r="F1175" s="76"/>
    </row>
    <row r="1176" spans="1:6" ht="63.95" customHeight="1">
      <c r="A1176" s="76" t="s">
        <v>5980</v>
      </c>
      <c r="B1176" s="76" t="s">
        <v>9009</v>
      </c>
      <c r="C1176" s="76" t="s">
        <v>9010</v>
      </c>
      <c r="D1176" s="76" t="s">
        <v>9011</v>
      </c>
      <c r="E1176" s="76" t="s">
        <v>7678</v>
      </c>
      <c r="F1176" s="76"/>
    </row>
    <row r="1177" spans="1:6" ht="63.95" customHeight="1">
      <c r="A1177" s="76" t="s">
        <v>5980</v>
      </c>
      <c r="B1177" s="76" t="s">
        <v>9012</v>
      </c>
      <c r="C1177" s="76" t="s">
        <v>9013</v>
      </c>
      <c r="D1177" s="76" t="s">
        <v>9014</v>
      </c>
      <c r="E1177" s="76" t="s">
        <v>7678</v>
      </c>
      <c r="F1177" s="76"/>
    </row>
    <row r="1178" spans="1:6" ht="63.95" customHeight="1">
      <c r="A1178" s="76" t="s">
        <v>5980</v>
      </c>
      <c r="B1178" s="76" t="s">
        <v>9015</v>
      </c>
      <c r="C1178" s="76" t="s">
        <v>9016</v>
      </c>
      <c r="D1178" s="76" t="s">
        <v>9017</v>
      </c>
      <c r="E1178" s="76" t="s">
        <v>7678</v>
      </c>
      <c r="F1178" s="76"/>
    </row>
    <row r="1179" spans="1:6" ht="63.95" customHeight="1">
      <c r="A1179" s="76" t="s">
        <v>5980</v>
      </c>
      <c r="B1179" s="76" t="s">
        <v>9018</v>
      </c>
      <c r="C1179" s="76" t="s">
        <v>9019</v>
      </c>
      <c r="D1179" s="76" t="s">
        <v>9020</v>
      </c>
      <c r="E1179" s="76" t="s">
        <v>7678</v>
      </c>
      <c r="F1179" s="76"/>
    </row>
    <row r="1180" spans="1:6" ht="63.95" customHeight="1">
      <c r="A1180" s="76" t="s">
        <v>5980</v>
      </c>
      <c r="B1180" s="76" t="s">
        <v>9021</v>
      </c>
      <c r="C1180" s="76" t="s">
        <v>9022</v>
      </c>
      <c r="D1180" s="76" t="s">
        <v>9023</v>
      </c>
      <c r="E1180" s="76" t="s">
        <v>7678</v>
      </c>
      <c r="F1180" s="76"/>
    </row>
    <row r="1181" spans="1:6" ht="63.95" customHeight="1">
      <c r="A1181" s="76" t="s">
        <v>5980</v>
      </c>
      <c r="B1181" s="76" t="s">
        <v>9024</v>
      </c>
      <c r="C1181" s="76" t="s">
        <v>9025</v>
      </c>
      <c r="D1181" s="76" t="s">
        <v>9026</v>
      </c>
      <c r="E1181" s="76" t="s">
        <v>7678</v>
      </c>
      <c r="F1181" s="76"/>
    </row>
    <row r="1182" spans="1:6" ht="63.95" customHeight="1">
      <c r="A1182" s="76" t="s">
        <v>5980</v>
      </c>
      <c r="B1182" s="76" t="s">
        <v>9027</v>
      </c>
      <c r="C1182" s="76" t="s">
        <v>9028</v>
      </c>
      <c r="D1182" s="76" t="s">
        <v>9029</v>
      </c>
      <c r="E1182" s="76" t="s">
        <v>7678</v>
      </c>
      <c r="F1182" s="76"/>
    </row>
    <row r="1183" spans="1:6" ht="63.95" customHeight="1">
      <c r="A1183" s="76" t="s">
        <v>5980</v>
      </c>
      <c r="B1183" s="76" t="s">
        <v>9030</v>
      </c>
      <c r="C1183" s="76" t="s">
        <v>9031</v>
      </c>
      <c r="D1183" s="76" t="s">
        <v>9032</v>
      </c>
      <c r="E1183" s="76" t="s">
        <v>7678</v>
      </c>
      <c r="F1183" s="76"/>
    </row>
    <row r="1184" spans="1:6" ht="63.95" customHeight="1">
      <c r="A1184" s="76" t="s">
        <v>5980</v>
      </c>
      <c r="B1184" s="76" t="s">
        <v>9033</v>
      </c>
      <c r="C1184" s="76" t="s">
        <v>9034</v>
      </c>
      <c r="D1184" s="76" t="s">
        <v>9035</v>
      </c>
      <c r="E1184" s="76" t="s">
        <v>7678</v>
      </c>
      <c r="F1184" s="76"/>
    </row>
    <row r="1185" spans="1:6" ht="63.95" customHeight="1">
      <c r="A1185" s="76" t="s">
        <v>5980</v>
      </c>
      <c r="B1185" s="76" t="s">
        <v>9036</v>
      </c>
      <c r="C1185" s="76" t="s">
        <v>9037</v>
      </c>
      <c r="D1185" s="76" t="s">
        <v>9038</v>
      </c>
      <c r="E1185" s="76" t="s">
        <v>7678</v>
      </c>
      <c r="F1185" s="76"/>
    </row>
    <row r="1186" spans="1:6" ht="63.95" customHeight="1">
      <c r="A1186" s="76" t="s">
        <v>5980</v>
      </c>
      <c r="B1186" s="76" t="s">
        <v>9039</v>
      </c>
      <c r="C1186" s="76" t="s">
        <v>9040</v>
      </c>
      <c r="D1186" s="76" t="s">
        <v>9041</v>
      </c>
      <c r="E1186" s="76" t="s">
        <v>7678</v>
      </c>
      <c r="F1186" s="76"/>
    </row>
    <row r="1187" spans="1:6" ht="63.95" customHeight="1">
      <c r="A1187" s="76" t="s">
        <v>5980</v>
      </c>
      <c r="B1187" s="76" t="s">
        <v>9042</v>
      </c>
      <c r="C1187" s="76" t="s">
        <v>9043</v>
      </c>
      <c r="D1187" s="76" t="s">
        <v>9044</v>
      </c>
      <c r="E1187" s="76" t="s">
        <v>7678</v>
      </c>
      <c r="F1187" s="76"/>
    </row>
    <row r="1188" spans="1:6" ht="63.95" customHeight="1">
      <c r="A1188" s="76" t="s">
        <v>5980</v>
      </c>
      <c r="B1188" s="76" t="s">
        <v>9045</v>
      </c>
      <c r="C1188" s="76" t="s">
        <v>9046</v>
      </c>
      <c r="D1188" s="76" t="s">
        <v>9047</v>
      </c>
      <c r="E1188" s="76" t="s">
        <v>7678</v>
      </c>
      <c r="F1188" s="76"/>
    </row>
    <row r="1189" spans="1:6" ht="63.95" customHeight="1">
      <c r="A1189" s="76" t="s">
        <v>5980</v>
      </c>
      <c r="B1189" s="76" t="s">
        <v>9048</v>
      </c>
      <c r="C1189" s="76" t="s">
        <v>9049</v>
      </c>
      <c r="D1189" s="76" t="s">
        <v>9050</v>
      </c>
      <c r="E1189" s="76" t="s">
        <v>7678</v>
      </c>
      <c r="F1189" s="76"/>
    </row>
    <row r="1190" spans="1:6" ht="63.95" customHeight="1">
      <c r="A1190" s="76" t="s">
        <v>5980</v>
      </c>
      <c r="B1190" s="76" t="s">
        <v>9051</v>
      </c>
      <c r="C1190" s="76" t="s">
        <v>9052</v>
      </c>
      <c r="D1190" s="76" t="s">
        <v>9053</v>
      </c>
      <c r="E1190" s="76" t="s">
        <v>7678</v>
      </c>
      <c r="F1190" s="76"/>
    </row>
    <row r="1191" spans="1:6" ht="63.95" customHeight="1">
      <c r="A1191" s="76" t="s">
        <v>5980</v>
      </c>
      <c r="B1191" s="76" t="s">
        <v>9054</v>
      </c>
      <c r="C1191" s="76" t="s">
        <v>9055</v>
      </c>
      <c r="D1191" s="76" t="s">
        <v>9056</v>
      </c>
      <c r="E1191" s="76" t="s">
        <v>7678</v>
      </c>
      <c r="F1191" s="76"/>
    </row>
    <row r="1192" spans="1:6" ht="63.95" customHeight="1">
      <c r="A1192" s="76" t="s">
        <v>5980</v>
      </c>
      <c r="B1192" s="76" t="s">
        <v>9057</v>
      </c>
      <c r="C1192" s="76" t="s">
        <v>9058</v>
      </c>
      <c r="D1192" s="76" t="s">
        <v>9059</v>
      </c>
      <c r="E1192" s="76" t="s">
        <v>7678</v>
      </c>
      <c r="F1192" s="76"/>
    </row>
    <row r="1193" spans="1:6" ht="63.95" customHeight="1">
      <c r="A1193" s="76" t="s">
        <v>5980</v>
      </c>
      <c r="B1193" s="76" t="s">
        <v>9060</v>
      </c>
      <c r="C1193" s="76" t="s">
        <v>9061</v>
      </c>
      <c r="D1193" s="76" t="s">
        <v>9062</v>
      </c>
      <c r="E1193" s="76" t="s">
        <v>7678</v>
      </c>
      <c r="F1193" s="76"/>
    </row>
    <row r="1194" spans="1:6" ht="63.95" customHeight="1">
      <c r="A1194" s="76" t="s">
        <v>5980</v>
      </c>
      <c r="B1194" s="76" t="s">
        <v>9063</v>
      </c>
      <c r="C1194" s="76" t="s">
        <v>9064</v>
      </c>
      <c r="D1194" s="76" t="s">
        <v>9065</v>
      </c>
      <c r="E1194" s="76" t="s">
        <v>7678</v>
      </c>
      <c r="F1194" s="76"/>
    </row>
    <row r="1195" spans="1:6" ht="63.95" customHeight="1">
      <c r="A1195" s="76" t="s">
        <v>5980</v>
      </c>
      <c r="B1195" s="76" t="s">
        <v>9066</v>
      </c>
      <c r="C1195" s="76" t="s">
        <v>9067</v>
      </c>
      <c r="D1195" s="76" t="s">
        <v>9068</v>
      </c>
      <c r="E1195" s="76" t="s">
        <v>7678</v>
      </c>
      <c r="F1195" s="76"/>
    </row>
    <row r="1196" spans="1:6" ht="63.95" customHeight="1">
      <c r="A1196" s="76" t="s">
        <v>5980</v>
      </c>
      <c r="B1196" s="76" t="s">
        <v>9069</v>
      </c>
      <c r="C1196" s="76" t="s">
        <v>9070</v>
      </c>
      <c r="D1196" s="76" t="s">
        <v>9071</v>
      </c>
      <c r="E1196" s="76" t="s">
        <v>7678</v>
      </c>
      <c r="F1196" s="76"/>
    </row>
    <row r="1197" spans="1:6" ht="63.95" customHeight="1">
      <c r="A1197" s="76" t="s">
        <v>5980</v>
      </c>
      <c r="B1197" s="76" t="s">
        <v>9072</v>
      </c>
      <c r="C1197" s="76" t="s">
        <v>9073</v>
      </c>
      <c r="D1197" s="76" t="s">
        <v>9074</v>
      </c>
      <c r="E1197" s="76" t="s">
        <v>7678</v>
      </c>
      <c r="F1197" s="76"/>
    </row>
    <row r="1198" spans="1:6" ht="63.95" customHeight="1">
      <c r="A1198" s="76" t="s">
        <v>5980</v>
      </c>
      <c r="B1198" s="76" t="s">
        <v>9075</v>
      </c>
      <c r="C1198" s="76" t="s">
        <v>9076</v>
      </c>
      <c r="D1198" s="76" t="s">
        <v>9077</v>
      </c>
      <c r="E1198" s="76" t="s">
        <v>7678</v>
      </c>
      <c r="F1198" s="76"/>
    </row>
    <row r="1199" spans="1:6" ht="63.95" customHeight="1">
      <c r="A1199" s="76" t="s">
        <v>5980</v>
      </c>
      <c r="B1199" s="76" t="s">
        <v>9078</v>
      </c>
      <c r="C1199" s="76" t="s">
        <v>9079</v>
      </c>
      <c r="D1199" s="76" t="s">
        <v>9080</v>
      </c>
      <c r="E1199" s="76" t="s">
        <v>7678</v>
      </c>
      <c r="F1199" s="76"/>
    </row>
    <row r="1200" spans="1:6" ht="63.95" customHeight="1">
      <c r="A1200" s="76" t="s">
        <v>5980</v>
      </c>
      <c r="B1200" s="76" t="s">
        <v>9081</v>
      </c>
      <c r="C1200" s="76" t="s">
        <v>9082</v>
      </c>
      <c r="D1200" s="76" t="s">
        <v>9083</v>
      </c>
      <c r="E1200" s="76" t="s">
        <v>7678</v>
      </c>
      <c r="F1200" s="76"/>
    </row>
    <row r="1201" spans="1:6" ht="63.95" customHeight="1">
      <c r="A1201" s="76" t="s">
        <v>5980</v>
      </c>
      <c r="B1201" s="76" t="s">
        <v>9084</v>
      </c>
      <c r="C1201" s="76" t="s">
        <v>9085</v>
      </c>
      <c r="D1201" s="76" t="s">
        <v>9086</v>
      </c>
      <c r="E1201" s="76" t="s">
        <v>7678</v>
      </c>
      <c r="F1201" s="76"/>
    </row>
    <row r="1202" spans="1:6" ht="63.95" customHeight="1">
      <c r="A1202" s="76" t="s">
        <v>5980</v>
      </c>
      <c r="B1202" s="76" t="s">
        <v>9087</v>
      </c>
      <c r="C1202" s="76" t="s">
        <v>9088</v>
      </c>
      <c r="D1202" s="76" t="s">
        <v>9089</v>
      </c>
      <c r="E1202" s="76" t="s">
        <v>7678</v>
      </c>
      <c r="F1202" s="76"/>
    </row>
    <row r="1203" spans="1:6" ht="63.95" customHeight="1">
      <c r="A1203" s="76" t="s">
        <v>5980</v>
      </c>
      <c r="B1203" s="76" t="s">
        <v>9090</v>
      </c>
      <c r="C1203" s="76" t="s">
        <v>9091</v>
      </c>
      <c r="D1203" s="76" t="s">
        <v>9092</v>
      </c>
      <c r="E1203" s="76" t="s">
        <v>7678</v>
      </c>
      <c r="F1203" s="76"/>
    </row>
    <row r="1204" spans="1:6" ht="63.95" customHeight="1">
      <c r="A1204" s="76" t="s">
        <v>5980</v>
      </c>
      <c r="B1204" s="76" t="s">
        <v>9093</v>
      </c>
      <c r="C1204" s="76" t="s">
        <v>9094</v>
      </c>
      <c r="D1204" s="76" t="s">
        <v>9095</v>
      </c>
      <c r="E1204" s="76" t="s">
        <v>7678</v>
      </c>
      <c r="F1204" s="76"/>
    </row>
    <row r="1205" spans="1:6" ht="63.95" customHeight="1">
      <c r="A1205" s="76" t="s">
        <v>5980</v>
      </c>
      <c r="B1205" s="76" t="s">
        <v>9096</v>
      </c>
      <c r="C1205" s="76" t="s">
        <v>9097</v>
      </c>
      <c r="D1205" s="76" t="s">
        <v>9098</v>
      </c>
      <c r="E1205" s="76" t="s">
        <v>7678</v>
      </c>
      <c r="F1205" s="76"/>
    </row>
    <row r="1206" spans="1:6" ht="63.95" customHeight="1">
      <c r="A1206" s="76" t="s">
        <v>5980</v>
      </c>
      <c r="B1206" s="76" t="s">
        <v>9099</v>
      </c>
      <c r="C1206" s="76" t="s">
        <v>9100</v>
      </c>
      <c r="D1206" s="76" t="s">
        <v>9101</v>
      </c>
      <c r="E1206" s="76" t="s">
        <v>7678</v>
      </c>
      <c r="F1206" s="76"/>
    </row>
    <row r="1207" spans="1:6" ht="63.95" customHeight="1">
      <c r="A1207" s="76" t="s">
        <v>5980</v>
      </c>
      <c r="B1207" s="76" t="s">
        <v>9102</v>
      </c>
      <c r="C1207" s="76" t="s">
        <v>9103</v>
      </c>
      <c r="D1207" s="76" t="s">
        <v>9104</v>
      </c>
      <c r="E1207" s="76" t="s">
        <v>7678</v>
      </c>
      <c r="F1207" s="76"/>
    </row>
    <row r="1208" spans="1:6" ht="63.95" customHeight="1">
      <c r="A1208" s="76" t="s">
        <v>5980</v>
      </c>
      <c r="B1208" s="76" t="s">
        <v>9105</v>
      </c>
      <c r="C1208" s="76" t="s">
        <v>9106</v>
      </c>
      <c r="D1208" s="76" t="s">
        <v>9107</v>
      </c>
      <c r="E1208" s="76" t="s">
        <v>7678</v>
      </c>
      <c r="F1208" s="76"/>
    </row>
    <row r="1209" spans="1:6" ht="63.95" customHeight="1">
      <c r="A1209" s="76" t="s">
        <v>5980</v>
      </c>
      <c r="B1209" s="76" t="s">
        <v>9108</v>
      </c>
      <c r="C1209" s="76" t="s">
        <v>9109</v>
      </c>
      <c r="D1209" s="76" t="s">
        <v>9110</v>
      </c>
      <c r="E1209" s="76" t="s">
        <v>7678</v>
      </c>
      <c r="F1209" s="76"/>
    </row>
    <row r="1210" spans="1:6" ht="63.95" customHeight="1">
      <c r="A1210" s="76" t="s">
        <v>5980</v>
      </c>
      <c r="B1210" s="76" t="s">
        <v>9111</v>
      </c>
      <c r="C1210" s="76" t="s">
        <v>9112</v>
      </c>
      <c r="D1210" s="76" t="s">
        <v>9113</v>
      </c>
      <c r="E1210" s="76" t="s">
        <v>7678</v>
      </c>
      <c r="F1210" s="76"/>
    </row>
    <row r="1211" spans="1:6" ht="63.95" customHeight="1">
      <c r="A1211" s="76" t="s">
        <v>5980</v>
      </c>
      <c r="B1211" s="76" t="s">
        <v>9114</v>
      </c>
      <c r="C1211" s="76" t="s">
        <v>9115</v>
      </c>
      <c r="D1211" s="76" t="s">
        <v>9116</v>
      </c>
      <c r="E1211" s="76" t="s">
        <v>7678</v>
      </c>
      <c r="F1211" s="76"/>
    </row>
    <row r="1212" spans="1:6" ht="63.95" customHeight="1">
      <c r="A1212" s="76" t="s">
        <v>5980</v>
      </c>
      <c r="B1212" s="76" t="s">
        <v>9117</v>
      </c>
      <c r="C1212" s="76" t="s">
        <v>9118</v>
      </c>
      <c r="D1212" s="76" t="s">
        <v>9119</v>
      </c>
      <c r="E1212" s="76" t="s">
        <v>7678</v>
      </c>
      <c r="F1212" s="76"/>
    </row>
    <row r="1213" spans="1:6" ht="63.95" customHeight="1">
      <c r="A1213" s="76" t="s">
        <v>5980</v>
      </c>
      <c r="B1213" s="76" t="s">
        <v>9120</v>
      </c>
      <c r="C1213" s="76" t="s">
        <v>9121</v>
      </c>
      <c r="D1213" s="76" t="s">
        <v>9122</v>
      </c>
      <c r="E1213" s="76" t="s">
        <v>7678</v>
      </c>
      <c r="F1213" s="76"/>
    </row>
    <row r="1214" spans="1:6" ht="63.95" customHeight="1">
      <c r="A1214" s="76" t="s">
        <v>5980</v>
      </c>
      <c r="B1214" s="76" t="s">
        <v>9123</v>
      </c>
      <c r="C1214" s="76" t="s">
        <v>9124</v>
      </c>
      <c r="D1214" s="76" t="s">
        <v>9125</v>
      </c>
      <c r="E1214" s="76" t="s">
        <v>7678</v>
      </c>
      <c r="F1214" s="76"/>
    </row>
    <row r="1215" spans="1:6" ht="63.95" customHeight="1">
      <c r="A1215" s="76" t="s">
        <v>5980</v>
      </c>
      <c r="B1215" s="76" t="s">
        <v>9126</v>
      </c>
      <c r="C1215" s="76" t="s">
        <v>9127</v>
      </c>
      <c r="D1215" s="76" t="s">
        <v>9128</v>
      </c>
      <c r="E1215" s="76" t="s">
        <v>7678</v>
      </c>
      <c r="F1215" s="76"/>
    </row>
    <row r="1216" spans="1:6" ht="63.95" customHeight="1">
      <c r="A1216" s="76" t="s">
        <v>5980</v>
      </c>
      <c r="B1216" s="76" t="s">
        <v>9129</v>
      </c>
      <c r="C1216" s="76" t="s">
        <v>9130</v>
      </c>
      <c r="D1216" s="76" t="s">
        <v>9131</v>
      </c>
      <c r="E1216" s="76" t="s">
        <v>7678</v>
      </c>
      <c r="F1216" s="76"/>
    </row>
    <row r="1217" spans="1:6" ht="63.95" customHeight="1">
      <c r="A1217" s="76" t="s">
        <v>5980</v>
      </c>
      <c r="B1217" s="76" t="s">
        <v>9132</v>
      </c>
      <c r="C1217" s="76" t="s">
        <v>9133</v>
      </c>
      <c r="D1217" s="76" t="s">
        <v>9134</v>
      </c>
      <c r="E1217" s="76" t="s">
        <v>7678</v>
      </c>
      <c r="F1217" s="76"/>
    </row>
    <row r="1218" spans="1:6" ht="63.95" customHeight="1">
      <c r="A1218" s="76" t="s">
        <v>5980</v>
      </c>
      <c r="B1218" s="76" t="s">
        <v>9135</v>
      </c>
      <c r="C1218" s="76" t="s">
        <v>9136</v>
      </c>
      <c r="D1218" s="76" t="s">
        <v>9137</v>
      </c>
      <c r="E1218" s="76" t="s">
        <v>7678</v>
      </c>
      <c r="F1218" s="76"/>
    </row>
    <row r="1219" spans="1:6" ht="63.95" customHeight="1">
      <c r="A1219" s="76" t="s">
        <v>5980</v>
      </c>
      <c r="B1219" s="76" t="s">
        <v>9138</v>
      </c>
      <c r="C1219" s="76" t="s">
        <v>9139</v>
      </c>
      <c r="D1219" s="76" t="s">
        <v>9140</v>
      </c>
      <c r="E1219" s="76" t="s">
        <v>7678</v>
      </c>
      <c r="F1219" s="76"/>
    </row>
    <row r="1220" spans="1:6" ht="63.95" customHeight="1">
      <c r="A1220" s="76" t="s">
        <v>5980</v>
      </c>
      <c r="B1220" s="76" t="s">
        <v>9141</v>
      </c>
      <c r="C1220" s="76" t="s">
        <v>9142</v>
      </c>
      <c r="D1220" s="76" t="s">
        <v>9143</v>
      </c>
      <c r="E1220" s="76" t="s">
        <v>7678</v>
      </c>
      <c r="F1220" s="76"/>
    </row>
    <row r="1221" spans="1:6" ht="63.95" customHeight="1">
      <c r="A1221" s="76" t="s">
        <v>5980</v>
      </c>
      <c r="B1221" s="76" t="s">
        <v>9144</v>
      </c>
      <c r="C1221" s="76" t="s">
        <v>9145</v>
      </c>
      <c r="D1221" s="76" t="s">
        <v>9146</v>
      </c>
      <c r="E1221" s="76" t="s">
        <v>7678</v>
      </c>
      <c r="F1221" s="76"/>
    </row>
    <row r="1222" spans="1:6" ht="63.95" customHeight="1">
      <c r="A1222" s="76" t="s">
        <v>5980</v>
      </c>
      <c r="B1222" s="76" t="s">
        <v>9147</v>
      </c>
      <c r="C1222" s="76" t="s">
        <v>9148</v>
      </c>
      <c r="D1222" s="76" t="s">
        <v>9149</v>
      </c>
      <c r="E1222" s="76" t="s">
        <v>7678</v>
      </c>
      <c r="F1222" s="76"/>
    </row>
    <row r="1223" spans="1:6" ht="63.95" customHeight="1">
      <c r="A1223" s="76" t="s">
        <v>5980</v>
      </c>
      <c r="B1223" s="76" t="s">
        <v>9150</v>
      </c>
      <c r="C1223" s="76" t="s">
        <v>9151</v>
      </c>
      <c r="D1223" s="76" t="s">
        <v>9152</v>
      </c>
      <c r="E1223" s="76" t="s">
        <v>7678</v>
      </c>
      <c r="F1223" s="76"/>
    </row>
    <row r="1224" spans="1:6" ht="63.95" customHeight="1">
      <c r="A1224" s="76" t="s">
        <v>5980</v>
      </c>
      <c r="B1224" s="76" t="s">
        <v>9153</v>
      </c>
      <c r="C1224" s="76" t="s">
        <v>9154</v>
      </c>
      <c r="D1224" s="76" t="s">
        <v>9155</v>
      </c>
      <c r="E1224" s="76" t="s">
        <v>7678</v>
      </c>
      <c r="F1224" s="76"/>
    </row>
    <row r="1225" spans="1:6" ht="63.95" customHeight="1">
      <c r="A1225" s="76" t="s">
        <v>5980</v>
      </c>
      <c r="B1225" s="76" t="s">
        <v>9156</v>
      </c>
      <c r="C1225" s="76" t="s">
        <v>9157</v>
      </c>
      <c r="D1225" s="76" t="s">
        <v>9158</v>
      </c>
      <c r="E1225" s="76" t="s">
        <v>7678</v>
      </c>
      <c r="F1225" s="76"/>
    </row>
    <row r="1226" spans="1:6" ht="63.95" customHeight="1">
      <c r="A1226" s="76" t="s">
        <v>5980</v>
      </c>
      <c r="B1226" s="76" t="s">
        <v>9159</v>
      </c>
      <c r="C1226" s="76" t="s">
        <v>9160</v>
      </c>
      <c r="D1226" s="76" t="s">
        <v>9161</v>
      </c>
      <c r="E1226" s="76" t="s">
        <v>7678</v>
      </c>
      <c r="F1226" s="76"/>
    </row>
    <row r="1227" spans="1:6" ht="63.95" customHeight="1">
      <c r="A1227" s="76" t="s">
        <v>5980</v>
      </c>
      <c r="B1227" s="76" t="s">
        <v>9162</v>
      </c>
      <c r="C1227" s="76" t="s">
        <v>9163</v>
      </c>
      <c r="D1227" s="76" t="s">
        <v>9164</v>
      </c>
      <c r="E1227" s="76" t="s">
        <v>7678</v>
      </c>
      <c r="F1227" s="76"/>
    </row>
    <row r="1228" spans="1:6" ht="63.95" customHeight="1">
      <c r="A1228" s="76" t="s">
        <v>5980</v>
      </c>
      <c r="B1228" s="76" t="s">
        <v>9165</v>
      </c>
      <c r="C1228" s="76" t="s">
        <v>9166</v>
      </c>
      <c r="D1228" s="76" t="s">
        <v>9167</v>
      </c>
      <c r="E1228" s="76" t="s">
        <v>7678</v>
      </c>
      <c r="F1228" s="76"/>
    </row>
    <row r="1229" spans="1:6" ht="63.95" customHeight="1">
      <c r="A1229" s="76" t="s">
        <v>5980</v>
      </c>
      <c r="B1229" s="76" t="s">
        <v>9168</v>
      </c>
      <c r="C1229" s="76" t="s">
        <v>9169</v>
      </c>
      <c r="D1229" s="76" t="s">
        <v>9170</v>
      </c>
      <c r="E1229" s="76" t="s">
        <v>7678</v>
      </c>
      <c r="F1229" s="76"/>
    </row>
    <row r="1230" spans="1:6" ht="63.95" customHeight="1">
      <c r="A1230" s="76" t="s">
        <v>5980</v>
      </c>
      <c r="B1230" s="76" t="s">
        <v>9171</v>
      </c>
      <c r="C1230" s="76" t="s">
        <v>9172</v>
      </c>
      <c r="D1230" s="76" t="s">
        <v>9173</v>
      </c>
      <c r="E1230" s="76" t="s">
        <v>7678</v>
      </c>
      <c r="F1230" s="76"/>
    </row>
    <row r="1231" spans="1:6" ht="63.95" customHeight="1">
      <c r="A1231" s="76" t="s">
        <v>5980</v>
      </c>
      <c r="B1231" s="76" t="s">
        <v>9174</v>
      </c>
      <c r="C1231" s="76" t="s">
        <v>9175</v>
      </c>
      <c r="D1231" s="76" t="s">
        <v>9176</v>
      </c>
      <c r="E1231" s="76" t="s">
        <v>7678</v>
      </c>
      <c r="F1231" s="76"/>
    </row>
    <row r="1232" spans="1:6" ht="63.95" customHeight="1">
      <c r="A1232" s="76" t="s">
        <v>5980</v>
      </c>
      <c r="B1232" s="76" t="s">
        <v>9177</v>
      </c>
      <c r="C1232" s="76" t="s">
        <v>9178</v>
      </c>
      <c r="D1232" s="76" t="s">
        <v>9179</v>
      </c>
      <c r="E1232" s="76" t="s">
        <v>7678</v>
      </c>
      <c r="F1232" s="76"/>
    </row>
    <row r="1233" spans="1:6" ht="63.95" customHeight="1">
      <c r="A1233" s="76" t="s">
        <v>5980</v>
      </c>
      <c r="B1233" s="76" t="s">
        <v>9180</v>
      </c>
      <c r="C1233" s="76" t="s">
        <v>9181</v>
      </c>
      <c r="D1233" s="76" t="s">
        <v>9182</v>
      </c>
      <c r="E1233" s="76" t="s">
        <v>7678</v>
      </c>
      <c r="F1233" s="76"/>
    </row>
    <row r="1234" spans="1:6" ht="63.95" customHeight="1">
      <c r="A1234" s="76" t="s">
        <v>5980</v>
      </c>
      <c r="B1234" s="76" t="s">
        <v>9183</v>
      </c>
      <c r="C1234" s="76" t="s">
        <v>9184</v>
      </c>
      <c r="D1234" s="76" t="s">
        <v>9185</v>
      </c>
      <c r="E1234" s="76" t="s">
        <v>7678</v>
      </c>
      <c r="F1234" s="76"/>
    </row>
    <row r="1235" spans="1:6" ht="63.95" customHeight="1">
      <c r="A1235" s="76" t="s">
        <v>5980</v>
      </c>
      <c r="B1235" s="76" t="s">
        <v>9186</v>
      </c>
      <c r="C1235" s="76" t="s">
        <v>9187</v>
      </c>
      <c r="D1235" s="76" t="s">
        <v>9188</v>
      </c>
      <c r="E1235" s="76" t="s">
        <v>7678</v>
      </c>
      <c r="F1235" s="76"/>
    </row>
    <row r="1236" spans="1:6" ht="63.95" customHeight="1">
      <c r="A1236" s="76" t="s">
        <v>5980</v>
      </c>
      <c r="B1236" s="76" t="s">
        <v>9189</v>
      </c>
      <c r="C1236" s="76" t="s">
        <v>9190</v>
      </c>
      <c r="D1236" s="76" t="s">
        <v>9191</v>
      </c>
      <c r="E1236" s="76" t="s">
        <v>7678</v>
      </c>
      <c r="F1236" s="76"/>
    </row>
    <row r="1237" spans="1:6" ht="63.95" customHeight="1">
      <c r="A1237" s="76" t="s">
        <v>5980</v>
      </c>
      <c r="B1237" s="76" t="s">
        <v>9192</v>
      </c>
      <c r="C1237" s="76" t="s">
        <v>9193</v>
      </c>
      <c r="D1237" s="76" t="s">
        <v>9194</v>
      </c>
      <c r="E1237" s="76" t="s">
        <v>7678</v>
      </c>
      <c r="F1237" s="76"/>
    </row>
    <row r="1238" spans="1:6" ht="63.95" customHeight="1">
      <c r="A1238" s="76" t="s">
        <v>5980</v>
      </c>
      <c r="B1238" s="76" t="s">
        <v>9195</v>
      </c>
      <c r="C1238" s="76" t="s">
        <v>9196</v>
      </c>
      <c r="D1238" s="76" t="s">
        <v>9197</v>
      </c>
      <c r="E1238" s="76" t="s">
        <v>7678</v>
      </c>
      <c r="F1238" s="76"/>
    </row>
    <row r="1239" spans="1:6" ht="63.95" customHeight="1">
      <c r="A1239" s="76" t="s">
        <v>5980</v>
      </c>
      <c r="B1239" s="76" t="s">
        <v>9198</v>
      </c>
      <c r="C1239" s="76" t="s">
        <v>9199</v>
      </c>
      <c r="D1239" s="76" t="s">
        <v>9200</v>
      </c>
      <c r="E1239" s="76" t="s">
        <v>7678</v>
      </c>
      <c r="F1239" s="76"/>
    </row>
    <row r="1240" spans="1:6" ht="63.95" customHeight="1">
      <c r="A1240" s="76" t="s">
        <v>5980</v>
      </c>
      <c r="B1240" s="76" t="s">
        <v>9201</v>
      </c>
      <c r="C1240" s="76" t="s">
        <v>9202</v>
      </c>
      <c r="D1240" s="76" t="s">
        <v>9203</v>
      </c>
      <c r="E1240" s="76" t="s">
        <v>7678</v>
      </c>
      <c r="F1240" s="76"/>
    </row>
    <row r="1241" spans="1:6" ht="63.95" customHeight="1">
      <c r="A1241" s="76" t="s">
        <v>5980</v>
      </c>
      <c r="B1241" s="76" t="s">
        <v>9204</v>
      </c>
      <c r="C1241" s="76" t="s">
        <v>9205</v>
      </c>
      <c r="D1241" s="76" t="s">
        <v>9206</v>
      </c>
      <c r="E1241" s="76" t="s">
        <v>7678</v>
      </c>
      <c r="F1241" s="76"/>
    </row>
    <row r="1242" spans="1:6" ht="63.95" customHeight="1">
      <c r="A1242" s="76" t="s">
        <v>5980</v>
      </c>
      <c r="B1242" s="76" t="s">
        <v>9207</v>
      </c>
      <c r="C1242" s="76" t="s">
        <v>9208</v>
      </c>
      <c r="D1242" s="76" t="s">
        <v>9209</v>
      </c>
      <c r="E1242" s="76" t="s">
        <v>7678</v>
      </c>
      <c r="F1242" s="76"/>
    </row>
    <row r="1243" spans="1:6" ht="63.95" customHeight="1">
      <c r="A1243" s="76" t="s">
        <v>5980</v>
      </c>
      <c r="B1243" s="76" t="s">
        <v>9210</v>
      </c>
      <c r="C1243" s="76" t="s">
        <v>9211</v>
      </c>
      <c r="D1243" s="76" t="s">
        <v>9212</v>
      </c>
      <c r="E1243" s="76" t="s">
        <v>7678</v>
      </c>
      <c r="F1243" s="76"/>
    </row>
    <row r="1244" spans="1:6" ht="63.95" customHeight="1">
      <c r="A1244" s="76" t="s">
        <v>5980</v>
      </c>
      <c r="B1244" s="76" t="s">
        <v>9213</v>
      </c>
      <c r="C1244" s="76" t="s">
        <v>9214</v>
      </c>
      <c r="D1244" s="76" t="s">
        <v>9215</v>
      </c>
      <c r="E1244" s="76" t="s">
        <v>7678</v>
      </c>
      <c r="F1244" s="76"/>
    </row>
    <row r="1245" spans="1:6" ht="63.95" customHeight="1">
      <c r="A1245" s="76" t="s">
        <v>5980</v>
      </c>
      <c r="B1245" s="76" t="s">
        <v>9216</v>
      </c>
      <c r="C1245" s="76" t="s">
        <v>9217</v>
      </c>
      <c r="D1245" s="76" t="s">
        <v>9218</v>
      </c>
      <c r="E1245" s="76" t="s">
        <v>7678</v>
      </c>
      <c r="F1245" s="76"/>
    </row>
    <row r="1246" spans="1:6" ht="63.95" customHeight="1">
      <c r="A1246" s="76" t="s">
        <v>5980</v>
      </c>
      <c r="B1246" s="76" t="s">
        <v>9219</v>
      </c>
      <c r="C1246" s="76" t="s">
        <v>9220</v>
      </c>
      <c r="D1246" s="76" t="s">
        <v>9221</v>
      </c>
      <c r="E1246" s="76" t="s">
        <v>7678</v>
      </c>
      <c r="F1246" s="76"/>
    </row>
    <row r="1247" spans="1:6" ht="63.95" customHeight="1">
      <c r="A1247" s="76" t="s">
        <v>5980</v>
      </c>
      <c r="B1247" s="76" t="s">
        <v>9222</v>
      </c>
      <c r="C1247" s="76" t="s">
        <v>9223</v>
      </c>
      <c r="D1247" s="76" t="s">
        <v>9224</v>
      </c>
      <c r="E1247" s="76" t="s">
        <v>7678</v>
      </c>
      <c r="F1247" s="76"/>
    </row>
    <row r="1248" spans="1:6" ht="63.95" customHeight="1">
      <c r="A1248" s="76" t="s">
        <v>5980</v>
      </c>
      <c r="B1248" s="76" t="s">
        <v>9225</v>
      </c>
      <c r="C1248" s="76" t="s">
        <v>9226</v>
      </c>
      <c r="D1248" s="76" t="s">
        <v>9227</v>
      </c>
      <c r="E1248" s="76" t="s">
        <v>7678</v>
      </c>
      <c r="F1248" s="76"/>
    </row>
    <row r="1249" spans="1:6" ht="63.95" customHeight="1">
      <c r="A1249" s="76" t="s">
        <v>5980</v>
      </c>
      <c r="B1249" s="76" t="s">
        <v>9228</v>
      </c>
      <c r="C1249" s="76" t="s">
        <v>9229</v>
      </c>
      <c r="D1249" s="76" t="s">
        <v>9230</v>
      </c>
      <c r="E1249" s="76" t="s">
        <v>7678</v>
      </c>
      <c r="F1249" s="76"/>
    </row>
    <row r="1250" spans="1:6" ht="63.95" customHeight="1">
      <c r="A1250" s="76" t="s">
        <v>5980</v>
      </c>
      <c r="B1250" s="76" t="s">
        <v>9231</v>
      </c>
      <c r="C1250" s="76" t="s">
        <v>9232</v>
      </c>
      <c r="D1250" s="76" t="s">
        <v>9233</v>
      </c>
      <c r="E1250" s="76" t="s">
        <v>7678</v>
      </c>
      <c r="F1250" s="76"/>
    </row>
    <row r="1251" spans="1:6" ht="63.95" customHeight="1">
      <c r="A1251" s="76" t="s">
        <v>5980</v>
      </c>
      <c r="B1251" s="76" t="s">
        <v>9234</v>
      </c>
      <c r="C1251" s="76" t="s">
        <v>9235</v>
      </c>
      <c r="D1251" s="76" t="s">
        <v>9236</v>
      </c>
      <c r="E1251" s="76" t="s">
        <v>7678</v>
      </c>
      <c r="F1251" s="76"/>
    </row>
    <row r="1252" spans="1:6" ht="63.95" customHeight="1">
      <c r="A1252" s="76" t="s">
        <v>5980</v>
      </c>
      <c r="B1252" s="76" t="s">
        <v>9237</v>
      </c>
      <c r="C1252" s="76" t="s">
        <v>9238</v>
      </c>
      <c r="D1252" s="76" t="s">
        <v>9239</v>
      </c>
      <c r="E1252" s="76" t="s">
        <v>7678</v>
      </c>
      <c r="F1252" s="76"/>
    </row>
    <row r="1253" spans="1:6" ht="63.95" customHeight="1">
      <c r="A1253" s="76" t="s">
        <v>5980</v>
      </c>
      <c r="B1253" s="76" t="s">
        <v>9240</v>
      </c>
      <c r="C1253" s="76" t="s">
        <v>9241</v>
      </c>
      <c r="D1253" s="76" t="s">
        <v>9242</v>
      </c>
      <c r="E1253" s="76" t="s">
        <v>7678</v>
      </c>
      <c r="F1253" s="76"/>
    </row>
    <row r="1254" spans="1:6" ht="63.95" customHeight="1">
      <c r="A1254" s="76" t="s">
        <v>5980</v>
      </c>
      <c r="B1254" s="76" t="s">
        <v>9243</v>
      </c>
      <c r="C1254" s="76" t="s">
        <v>9244</v>
      </c>
      <c r="D1254" s="76" t="s">
        <v>9245</v>
      </c>
      <c r="E1254" s="76" t="s">
        <v>7678</v>
      </c>
      <c r="F1254" s="76"/>
    </row>
    <row r="1255" spans="1:6" ht="63.95" customHeight="1">
      <c r="A1255" s="76" t="s">
        <v>5980</v>
      </c>
      <c r="B1255" s="76" t="s">
        <v>9246</v>
      </c>
      <c r="C1255" s="76" t="s">
        <v>9247</v>
      </c>
      <c r="D1255" s="76" t="s">
        <v>9248</v>
      </c>
      <c r="E1255" s="76" t="s">
        <v>7678</v>
      </c>
      <c r="F1255" s="76"/>
    </row>
    <row r="1256" spans="1:6" ht="63.95" customHeight="1">
      <c r="A1256" s="76" t="s">
        <v>5980</v>
      </c>
      <c r="B1256" s="76" t="s">
        <v>9249</v>
      </c>
      <c r="C1256" s="76" t="s">
        <v>9250</v>
      </c>
      <c r="D1256" s="76" t="s">
        <v>9251</v>
      </c>
      <c r="E1256" s="76" t="s">
        <v>7678</v>
      </c>
      <c r="F1256" s="76"/>
    </row>
    <row r="1257" spans="1:6" ht="63.95" customHeight="1">
      <c r="A1257" s="76" t="s">
        <v>5980</v>
      </c>
      <c r="B1257" s="76" t="s">
        <v>9252</v>
      </c>
      <c r="C1257" s="76" t="s">
        <v>9253</v>
      </c>
      <c r="D1257" s="76" t="s">
        <v>9254</v>
      </c>
      <c r="E1257" s="76" t="s">
        <v>7678</v>
      </c>
      <c r="F1257" s="76"/>
    </row>
    <row r="1258" spans="1:6" ht="63.95" customHeight="1">
      <c r="A1258" s="76" t="s">
        <v>5980</v>
      </c>
      <c r="B1258" s="76" t="s">
        <v>9255</v>
      </c>
      <c r="C1258" s="76" t="s">
        <v>9256</v>
      </c>
      <c r="D1258" s="76" t="s">
        <v>9257</v>
      </c>
      <c r="E1258" s="76" t="s">
        <v>7678</v>
      </c>
      <c r="F1258" s="76"/>
    </row>
    <row r="1259" spans="1:6" ht="63.95" customHeight="1">
      <c r="A1259" s="76" t="s">
        <v>5980</v>
      </c>
      <c r="B1259" s="76" t="s">
        <v>9258</v>
      </c>
      <c r="C1259" s="76" t="s">
        <v>9259</v>
      </c>
      <c r="D1259" s="76" t="s">
        <v>9260</v>
      </c>
      <c r="E1259" s="76" t="s">
        <v>7678</v>
      </c>
      <c r="F1259" s="76"/>
    </row>
    <row r="1260" spans="1:6" ht="63.95" customHeight="1">
      <c r="A1260" s="76" t="s">
        <v>5980</v>
      </c>
      <c r="B1260" s="76" t="s">
        <v>9261</v>
      </c>
      <c r="C1260" s="76" t="s">
        <v>9262</v>
      </c>
      <c r="D1260" s="76" t="s">
        <v>9263</v>
      </c>
      <c r="E1260" s="76" t="s">
        <v>7678</v>
      </c>
      <c r="F1260" s="76"/>
    </row>
    <row r="1261" spans="1:6" ht="63.95" customHeight="1">
      <c r="A1261" s="76" t="s">
        <v>5980</v>
      </c>
      <c r="B1261" s="76" t="s">
        <v>9264</v>
      </c>
      <c r="C1261" s="76" t="s">
        <v>9265</v>
      </c>
      <c r="D1261" s="76" t="s">
        <v>9266</v>
      </c>
      <c r="E1261" s="76" t="s">
        <v>7678</v>
      </c>
      <c r="F1261" s="76"/>
    </row>
    <row r="1262" spans="1:6" ht="63.95" customHeight="1">
      <c r="A1262" s="76" t="s">
        <v>5980</v>
      </c>
      <c r="B1262" s="76" t="s">
        <v>9267</v>
      </c>
      <c r="C1262" s="76" t="s">
        <v>9268</v>
      </c>
      <c r="D1262" s="76" t="s">
        <v>9269</v>
      </c>
      <c r="E1262" s="76" t="s">
        <v>7678</v>
      </c>
      <c r="F1262" s="76"/>
    </row>
    <row r="1263" spans="1:6" ht="63.95" customHeight="1">
      <c r="A1263" s="76" t="s">
        <v>5980</v>
      </c>
      <c r="B1263" s="76" t="s">
        <v>9270</v>
      </c>
      <c r="C1263" s="76" t="s">
        <v>9271</v>
      </c>
      <c r="D1263" s="76" t="s">
        <v>9272</v>
      </c>
      <c r="E1263" s="76" t="s">
        <v>7678</v>
      </c>
      <c r="F1263" s="76"/>
    </row>
    <row r="1264" spans="1:6" ht="63.95" customHeight="1">
      <c r="A1264" s="76" t="s">
        <v>5980</v>
      </c>
      <c r="B1264" s="76" t="s">
        <v>9273</v>
      </c>
      <c r="C1264" s="76" t="s">
        <v>9274</v>
      </c>
      <c r="D1264" s="76" t="s">
        <v>9275</v>
      </c>
      <c r="E1264" s="76" t="s">
        <v>7678</v>
      </c>
      <c r="F1264" s="76"/>
    </row>
    <row r="1265" spans="1:6" ht="63.95" customHeight="1">
      <c r="A1265" s="76" t="s">
        <v>5980</v>
      </c>
      <c r="B1265" s="76" t="s">
        <v>9276</v>
      </c>
      <c r="C1265" s="76" t="s">
        <v>9277</v>
      </c>
      <c r="D1265" s="76" t="s">
        <v>9278</v>
      </c>
      <c r="E1265" s="76" t="s">
        <v>7678</v>
      </c>
      <c r="F1265" s="76"/>
    </row>
    <row r="1266" spans="1:6" ht="63.95" customHeight="1">
      <c r="A1266" s="76" t="s">
        <v>5980</v>
      </c>
      <c r="B1266" s="76" t="s">
        <v>9279</v>
      </c>
      <c r="C1266" s="76" t="s">
        <v>9280</v>
      </c>
      <c r="D1266" s="76" t="s">
        <v>9281</v>
      </c>
      <c r="E1266" s="76" t="s">
        <v>7678</v>
      </c>
      <c r="F1266" s="76"/>
    </row>
    <row r="1267" spans="1:6" ht="63.95" customHeight="1">
      <c r="A1267" s="76" t="s">
        <v>5980</v>
      </c>
      <c r="B1267" s="76" t="s">
        <v>9282</v>
      </c>
      <c r="C1267" s="76" t="s">
        <v>9283</v>
      </c>
      <c r="D1267" s="76" t="s">
        <v>9284</v>
      </c>
      <c r="E1267" s="76" t="s">
        <v>7678</v>
      </c>
      <c r="F1267" s="76"/>
    </row>
    <row r="1268" spans="1:6" ht="63.95" customHeight="1">
      <c r="A1268" s="76" t="s">
        <v>5980</v>
      </c>
      <c r="B1268" s="76" t="s">
        <v>9285</v>
      </c>
      <c r="C1268" s="76" t="s">
        <v>9286</v>
      </c>
      <c r="D1268" s="76" t="s">
        <v>9287</v>
      </c>
      <c r="E1268" s="76" t="s">
        <v>7678</v>
      </c>
      <c r="F1268" s="76"/>
    </row>
    <row r="1269" spans="1:6" ht="63.95" customHeight="1">
      <c r="A1269" s="76" t="s">
        <v>5980</v>
      </c>
      <c r="B1269" s="76" t="s">
        <v>9288</v>
      </c>
      <c r="C1269" s="76" t="s">
        <v>9289</v>
      </c>
      <c r="D1269" s="76" t="s">
        <v>9290</v>
      </c>
      <c r="E1269" s="76" t="s">
        <v>7678</v>
      </c>
      <c r="F1269" s="76"/>
    </row>
    <row r="1270" spans="1:6" ht="63.95" customHeight="1">
      <c r="A1270" s="76" t="s">
        <v>5980</v>
      </c>
      <c r="B1270" s="76" t="s">
        <v>9291</v>
      </c>
      <c r="C1270" s="76" t="s">
        <v>9292</v>
      </c>
      <c r="D1270" s="76" t="s">
        <v>9293</v>
      </c>
      <c r="E1270" s="76" t="s">
        <v>7678</v>
      </c>
      <c r="F1270" s="76"/>
    </row>
    <row r="1271" spans="1:6" ht="63.95" customHeight="1">
      <c r="A1271" s="76" t="s">
        <v>5980</v>
      </c>
      <c r="B1271" s="76" t="s">
        <v>9294</v>
      </c>
      <c r="C1271" s="76" t="s">
        <v>9295</v>
      </c>
      <c r="D1271" s="76" t="s">
        <v>9296</v>
      </c>
      <c r="E1271" s="76" t="s">
        <v>7678</v>
      </c>
      <c r="F1271" s="76"/>
    </row>
    <row r="1272" spans="1:6" ht="63.95" customHeight="1">
      <c r="A1272" s="76" t="s">
        <v>5980</v>
      </c>
      <c r="B1272" s="76" t="s">
        <v>9297</v>
      </c>
      <c r="C1272" s="76" t="s">
        <v>9298</v>
      </c>
      <c r="D1272" s="76" t="s">
        <v>9299</v>
      </c>
      <c r="E1272" s="76" t="s">
        <v>7678</v>
      </c>
      <c r="F1272" s="76"/>
    </row>
    <row r="1273" spans="1:6" ht="63.95" customHeight="1">
      <c r="A1273" s="76" t="s">
        <v>5980</v>
      </c>
      <c r="B1273" s="76" t="s">
        <v>9300</v>
      </c>
      <c r="C1273" s="76" t="s">
        <v>9301</v>
      </c>
      <c r="D1273" s="76" t="s">
        <v>9302</v>
      </c>
      <c r="E1273" s="76" t="s">
        <v>7678</v>
      </c>
      <c r="F1273" s="76"/>
    </row>
    <row r="1274" spans="1:6" ht="63.95" customHeight="1">
      <c r="A1274" s="76" t="s">
        <v>5980</v>
      </c>
      <c r="B1274" s="76" t="s">
        <v>9303</v>
      </c>
      <c r="C1274" s="76" t="s">
        <v>9304</v>
      </c>
      <c r="D1274" s="76" t="s">
        <v>9305</v>
      </c>
      <c r="E1274" s="76" t="s">
        <v>7678</v>
      </c>
      <c r="F1274" s="76"/>
    </row>
    <row r="1275" spans="1:6" ht="63.95" customHeight="1">
      <c r="A1275" s="76" t="s">
        <v>5980</v>
      </c>
      <c r="B1275" s="76" t="s">
        <v>9306</v>
      </c>
      <c r="C1275" s="76" t="s">
        <v>9307</v>
      </c>
      <c r="D1275" s="76" t="s">
        <v>9308</v>
      </c>
      <c r="E1275" s="76" t="s">
        <v>7678</v>
      </c>
      <c r="F1275" s="76"/>
    </row>
    <row r="1276" spans="1:6" ht="63.95" customHeight="1">
      <c r="A1276" s="76" t="s">
        <v>5980</v>
      </c>
      <c r="B1276" s="76" t="s">
        <v>9309</v>
      </c>
      <c r="C1276" s="76" t="s">
        <v>9310</v>
      </c>
      <c r="D1276" s="76" t="s">
        <v>9311</v>
      </c>
      <c r="E1276" s="76" t="s">
        <v>7678</v>
      </c>
      <c r="F1276" s="76"/>
    </row>
    <row r="1277" spans="1:6" ht="63.95" customHeight="1">
      <c r="A1277" s="76" t="s">
        <v>5980</v>
      </c>
      <c r="B1277" s="76" t="s">
        <v>9312</v>
      </c>
      <c r="C1277" s="76" t="s">
        <v>9313</v>
      </c>
      <c r="D1277" s="76" t="s">
        <v>9314</v>
      </c>
      <c r="E1277" s="76" t="s">
        <v>7678</v>
      </c>
      <c r="F1277" s="76"/>
    </row>
    <row r="1278" spans="1:6" ht="63.95" customHeight="1">
      <c r="A1278" s="76" t="s">
        <v>5980</v>
      </c>
      <c r="B1278" s="76" t="s">
        <v>9315</v>
      </c>
      <c r="C1278" s="76" t="s">
        <v>9316</v>
      </c>
      <c r="D1278" s="76" t="s">
        <v>9317</v>
      </c>
      <c r="E1278" s="76" t="s">
        <v>7678</v>
      </c>
      <c r="F1278" s="76"/>
    </row>
    <row r="1279" spans="1:6" ht="63.95" customHeight="1">
      <c r="A1279" s="76" t="s">
        <v>5980</v>
      </c>
      <c r="B1279" s="76" t="s">
        <v>9318</v>
      </c>
      <c r="C1279" s="76" t="s">
        <v>9319</v>
      </c>
      <c r="D1279" s="76" t="s">
        <v>9320</v>
      </c>
      <c r="E1279" s="76" t="s">
        <v>7678</v>
      </c>
      <c r="F1279" s="76"/>
    </row>
    <row r="1280" spans="1:6" ht="63.95" customHeight="1">
      <c r="A1280" s="76" t="s">
        <v>5980</v>
      </c>
      <c r="B1280" s="76" t="s">
        <v>9321</v>
      </c>
      <c r="C1280" s="76" t="s">
        <v>9322</v>
      </c>
      <c r="D1280" s="76" t="s">
        <v>9323</v>
      </c>
      <c r="E1280" s="76" t="s">
        <v>7678</v>
      </c>
      <c r="F1280" s="76"/>
    </row>
    <row r="1281" spans="1:6" ht="63.95" customHeight="1">
      <c r="A1281" s="76" t="s">
        <v>5980</v>
      </c>
      <c r="B1281" s="76" t="s">
        <v>9324</v>
      </c>
      <c r="C1281" s="76" t="s">
        <v>9325</v>
      </c>
      <c r="D1281" s="76" t="s">
        <v>9326</v>
      </c>
      <c r="E1281" s="76" t="s">
        <v>7678</v>
      </c>
      <c r="F1281" s="76"/>
    </row>
    <row r="1282" spans="1:6" ht="63.95" customHeight="1">
      <c r="A1282" s="76" t="s">
        <v>5980</v>
      </c>
      <c r="B1282" s="76" t="s">
        <v>9327</v>
      </c>
      <c r="C1282" s="76" t="s">
        <v>9328</v>
      </c>
      <c r="D1282" s="76" t="s">
        <v>9329</v>
      </c>
      <c r="E1282" s="76" t="s">
        <v>7678</v>
      </c>
      <c r="F1282" s="76"/>
    </row>
    <row r="1283" spans="1:6" ht="63.95" customHeight="1">
      <c r="A1283" s="76" t="s">
        <v>5980</v>
      </c>
      <c r="B1283" s="76" t="s">
        <v>9330</v>
      </c>
      <c r="C1283" s="76" t="s">
        <v>9331</v>
      </c>
      <c r="D1283" s="76" t="s">
        <v>9332</v>
      </c>
      <c r="E1283" s="76" t="s">
        <v>7678</v>
      </c>
      <c r="F1283" s="76"/>
    </row>
    <row r="1284" spans="1:6" ht="63.95" customHeight="1">
      <c r="A1284" s="76" t="s">
        <v>5980</v>
      </c>
      <c r="B1284" s="76" t="s">
        <v>9333</v>
      </c>
      <c r="C1284" s="76" t="s">
        <v>9334</v>
      </c>
      <c r="D1284" s="76" t="s">
        <v>9335</v>
      </c>
      <c r="E1284" s="76" t="s">
        <v>7678</v>
      </c>
      <c r="F1284" s="76"/>
    </row>
    <row r="1285" spans="1:6" ht="63.95" customHeight="1">
      <c r="A1285" s="76" t="s">
        <v>5980</v>
      </c>
      <c r="B1285" s="76" t="s">
        <v>9336</v>
      </c>
      <c r="C1285" s="76" t="s">
        <v>9337</v>
      </c>
      <c r="D1285" s="76" t="s">
        <v>9338</v>
      </c>
      <c r="E1285" s="76" t="s">
        <v>7678</v>
      </c>
      <c r="F1285" s="76"/>
    </row>
    <row r="1286" spans="1:6" ht="63.95" customHeight="1">
      <c r="A1286" s="76" t="s">
        <v>3107</v>
      </c>
      <c r="B1286" s="76" t="s">
        <v>3503</v>
      </c>
      <c r="C1286" s="76" t="s">
        <v>9339</v>
      </c>
      <c r="D1286" s="76" t="s">
        <v>2298</v>
      </c>
      <c r="E1286" s="76" t="s">
        <v>7668</v>
      </c>
      <c r="F1286" s="76"/>
    </row>
    <row r="1287" spans="1:6" ht="63.95" customHeight="1">
      <c r="A1287" s="76" t="s">
        <v>3107</v>
      </c>
      <c r="B1287" s="76" t="s">
        <v>9340</v>
      </c>
      <c r="C1287" s="76" t="s">
        <v>9341</v>
      </c>
      <c r="D1287" s="76" t="s">
        <v>2334</v>
      </c>
      <c r="E1287" s="76" t="s">
        <v>7668</v>
      </c>
      <c r="F1287" s="76"/>
    </row>
    <row r="1288" spans="1:6" ht="63.95" customHeight="1">
      <c r="A1288" s="76" t="s">
        <v>3107</v>
      </c>
      <c r="B1288" s="76" t="s">
        <v>9342</v>
      </c>
      <c r="C1288" s="76" t="s">
        <v>9343</v>
      </c>
      <c r="D1288" s="76" t="s">
        <v>2372</v>
      </c>
      <c r="E1288" s="76" t="s">
        <v>7668</v>
      </c>
      <c r="F1288" s="76"/>
    </row>
    <row r="1289" spans="1:6" ht="63.95" customHeight="1">
      <c r="A1289" s="76" t="s">
        <v>3107</v>
      </c>
      <c r="B1289" s="76" t="s">
        <v>9344</v>
      </c>
      <c r="C1289" s="76" t="s">
        <v>3429</v>
      </c>
      <c r="D1289" s="76" t="s">
        <v>474</v>
      </c>
      <c r="E1289" s="76" t="s">
        <v>7668</v>
      </c>
      <c r="F1289" s="76"/>
    </row>
    <row r="1290" spans="1:6" ht="63.95" customHeight="1">
      <c r="A1290" s="76" t="s">
        <v>3107</v>
      </c>
      <c r="B1290" s="76" t="s">
        <v>9345</v>
      </c>
      <c r="C1290" s="76" t="s">
        <v>9346</v>
      </c>
      <c r="D1290" s="76" t="s">
        <v>2379</v>
      </c>
      <c r="E1290" s="76" t="s">
        <v>7668</v>
      </c>
      <c r="F1290" s="76"/>
    </row>
    <row r="1291" spans="1:6" ht="63.95" customHeight="1">
      <c r="A1291" s="76" t="s">
        <v>3107</v>
      </c>
      <c r="B1291" s="76" t="s">
        <v>9347</v>
      </c>
      <c r="C1291" s="76" t="s">
        <v>9348</v>
      </c>
      <c r="D1291" s="76" t="s">
        <v>2385</v>
      </c>
      <c r="E1291" s="76" t="s">
        <v>9349</v>
      </c>
      <c r="F1291" s="76"/>
    </row>
    <row r="1292" spans="1:6" ht="63.95" customHeight="1">
      <c r="A1292" s="76" t="s">
        <v>3107</v>
      </c>
      <c r="B1292" s="76" t="s">
        <v>9350</v>
      </c>
      <c r="C1292" s="76"/>
      <c r="D1292" s="76" t="s">
        <v>2390</v>
      </c>
      <c r="E1292" s="76" t="s">
        <v>9351</v>
      </c>
      <c r="F1292" s="76"/>
    </row>
    <row r="1293" spans="1:6" ht="63.95" customHeight="1">
      <c r="A1293" s="76" t="s">
        <v>3107</v>
      </c>
      <c r="B1293" s="76" t="s">
        <v>9352</v>
      </c>
      <c r="C1293" s="76"/>
      <c r="D1293" s="76" t="s">
        <v>2391</v>
      </c>
      <c r="E1293" s="76" t="s">
        <v>9353</v>
      </c>
      <c r="F1293" s="76"/>
    </row>
    <row r="1294" spans="1:6" ht="63.95" customHeight="1">
      <c r="A1294" s="76" t="s">
        <v>5983</v>
      </c>
      <c r="B1294" s="76" t="s">
        <v>9354</v>
      </c>
      <c r="C1294" s="76"/>
      <c r="D1294" s="76" t="s">
        <v>522</v>
      </c>
      <c r="E1294" s="76" t="s">
        <v>9355</v>
      </c>
      <c r="F1294" s="76" t="s">
        <v>9356</v>
      </c>
    </row>
    <row r="1295" spans="1:6" ht="63.95" customHeight="1">
      <c r="A1295" s="76" t="s">
        <v>5983</v>
      </c>
      <c r="B1295" s="76" t="s">
        <v>9347</v>
      </c>
      <c r="C1295" s="76"/>
      <c r="D1295" s="76" t="s">
        <v>426</v>
      </c>
      <c r="E1295" s="76" t="s">
        <v>9355</v>
      </c>
      <c r="F1295" s="76" t="s">
        <v>9356</v>
      </c>
    </row>
    <row r="1296" spans="1:6" ht="63.95" customHeight="1">
      <c r="A1296" s="76" t="s">
        <v>5983</v>
      </c>
      <c r="B1296" s="76" t="s">
        <v>9357</v>
      </c>
      <c r="C1296" s="76"/>
      <c r="D1296" s="76" t="s">
        <v>293</v>
      </c>
      <c r="E1296" s="76" t="s">
        <v>9355</v>
      </c>
      <c r="F1296" s="76" t="s">
        <v>9356</v>
      </c>
    </row>
    <row r="1297" spans="1:6" ht="63.95" customHeight="1">
      <c r="A1297" s="76" t="s">
        <v>5983</v>
      </c>
      <c r="B1297" s="76" t="s">
        <v>9358</v>
      </c>
      <c r="C1297" s="76"/>
      <c r="D1297" s="76" t="s">
        <v>532</v>
      </c>
      <c r="E1297" s="76" t="s">
        <v>9355</v>
      </c>
      <c r="F1297" s="76" t="s">
        <v>9356</v>
      </c>
    </row>
    <row r="1298" spans="1:6" ht="63.95" customHeight="1">
      <c r="A1298" s="76" t="s">
        <v>5983</v>
      </c>
      <c r="B1298" s="76" t="s">
        <v>9359</v>
      </c>
      <c r="C1298" s="76"/>
      <c r="D1298" s="76" t="s">
        <v>523</v>
      </c>
      <c r="E1298" s="76" t="s">
        <v>9355</v>
      </c>
      <c r="F1298" s="76" t="s">
        <v>9356</v>
      </c>
    </row>
    <row r="1299" spans="1:6" ht="63.95" customHeight="1">
      <c r="A1299" s="76" t="s">
        <v>5983</v>
      </c>
      <c r="B1299" s="76" t="s">
        <v>7987</v>
      </c>
      <c r="C1299" s="76"/>
      <c r="D1299" s="76" t="s">
        <v>2562</v>
      </c>
      <c r="E1299" s="76" t="s">
        <v>9355</v>
      </c>
      <c r="F1299" s="76" t="s">
        <v>9356</v>
      </c>
    </row>
    <row r="1300" spans="1:6" ht="63.95" customHeight="1">
      <c r="A1300" s="76" t="s">
        <v>5983</v>
      </c>
      <c r="B1300" s="76" t="s">
        <v>7990</v>
      </c>
      <c r="C1300" s="76"/>
      <c r="D1300" s="76" t="s">
        <v>2563</v>
      </c>
      <c r="E1300" s="76" t="s">
        <v>9355</v>
      </c>
      <c r="F1300" s="76" t="s">
        <v>9356</v>
      </c>
    </row>
    <row r="1301" spans="1:6" ht="63.95" customHeight="1">
      <c r="A1301" s="76" t="s">
        <v>5983</v>
      </c>
      <c r="B1301" s="76" t="s">
        <v>9360</v>
      </c>
      <c r="C1301" s="76"/>
      <c r="D1301" s="76" t="s">
        <v>538</v>
      </c>
      <c r="E1301" s="76" t="s">
        <v>9355</v>
      </c>
      <c r="F1301" s="76" t="s">
        <v>9356</v>
      </c>
    </row>
    <row r="1302" spans="1:6" ht="63.95" customHeight="1">
      <c r="A1302" s="76" t="s">
        <v>5983</v>
      </c>
      <c r="B1302" s="76" t="s">
        <v>9361</v>
      </c>
      <c r="C1302" s="76"/>
      <c r="D1302" s="76" t="s">
        <v>696</v>
      </c>
      <c r="E1302" s="76" t="s">
        <v>9362</v>
      </c>
      <c r="F1302" s="76" t="s">
        <v>696</v>
      </c>
    </row>
    <row r="1303" spans="1:6" ht="63.95" customHeight="1">
      <c r="A1303" s="76" t="s">
        <v>5983</v>
      </c>
      <c r="B1303" s="76" t="s">
        <v>9363</v>
      </c>
      <c r="C1303" s="76"/>
      <c r="D1303" s="76" t="s">
        <v>426</v>
      </c>
      <c r="E1303" s="76" t="s">
        <v>9362</v>
      </c>
      <c r="F1303" s="76" t="s">
        <v>696</v>
      </c>
    </row>
    <row r="1304" spans="1:6" ht="63.95" customHeight="1">
      <c r="A1304" s="76" t="s">
        <v>5983</v>
      </c>
      <c r="B1304" s="76" t="s">
        <v>9364</v>
      </c>
      <c r="C1304" s="76"/>
      <c r="D1304" s="76" t="s">
        <v>36</v>
      </c>
      <c r="E1304" s="76" t="s">
        <v>9362</v>
      </c>
      <c r="F1304" s="76" t="s">
        <v>696</v>
      </c>
    </row>
    <row r="1305" spans="1:6" ht="63.95" customHeight="1">
      <c r="A1305" s="76" t="s">
        <v>5983</v>
      </c>
      <c r="B1305" s="76" t="s">
        <v>9365</v>
      </c>
      <c r="C1305" s="76"/>
      <c r="D1305" s="76" t="s">
        <v>705</v>
      </c>
      <c r="E1305" s="76" t="s">
        <v>9362</v>
      </c>
      <c r="F1305" s="76" t="s">
        <v>696</v>
      </c>
    </row>
    <row r="1306" spans="1:6" ht="63.95" customHeight="1">
      <c r="A1306" s="76" t="s">
        <v>5983</v>
      </c>
      <c r="B1306" s="76" t="s">
        <v>9366</v>
      </c>
      <c r="C1306" s="76"/>
      <c r="D1306" s="76" t="s">
        <v>697</v>
      </c>
      <c r="E1306" s="76" t="s">
        <v>9362</v>
      </c>
      <c r="F1306" s="76" t="s">
        <v>696</v>
      </c>
    </row>
    <row r="1307" spans="1:6" ht="63.95" customHeight="1">
      <c r="A1307" s="76" t="s">
        <v>5983</v>
      </c>
      <c r="B1307" s="76" t="s">
        <v>7993</v>
      </c>
      <c r="C1307" s="76"/>
      <c r="D1307" s="76" t="s">
        <v>2564</v>
      </c>
      <c r="E1307" s="76" t="s">
        <v>9362</v>
      </c>
      <c r="F1307" s="76" t="s">
        <v>696</v>
      </c>
    </row>
    <row r="1308" spans="1:6" ht="63.95" customHeight="1">
      <c r="A1308" s="76" t="s">
        <v>5983</v>
      </c>
      <c r="B1308" s="76" t="s">
        <v>7996</v>
      </c>
      <c r="C1308" s="76"/>
      <c r="D1308" s="76" t="s">
        <v>2565</v>
      </c>
      <c r="E1308" s="76" t="s">
        <v>9362</v>
      </c>
      <c r="F1308" s="76" t="s">
        <v>696</v>
      </c>
    </row>
    <row r="1309" spans="1:6" ht="63.95" customHeight="1">
      <c r="A1309" s="76" t="s">
        <v>5983</v>
      </c>
      <c r="B1309" s="76" t="s">
        <v>9367</v>
      </c>
      <c r="C1309" s="76"/>
      <c r="D1309" s="76" t="s">
        <v>709</v>
      </c>
      <c r="E1309" s="76" t="s">
        <v>9362</v>
      </c>
      <c r="F1309" s="76" t="s">
        <v>696</v>
      </c>
    </row>
    <row r="1310" spans="1:6" ht="63.95" customHeight="1">
      <c r="A1310" s="76" t="s">
        <v>5983</v>
      </c>
      <c r="B1310" s="76" t="s">
        <v>9368</v>
      </c>
      <c r="C1310" s="76"/>
      <c r="D1310" s="76" t="s">
        <v>759</v>
      </c>
      <c r="E1310" s="76" t="s">
        <v>9362</v>
      </c>
      <c r="F1310" s="76" t="s">
        <v>759</v>
      </c>
    </row>
    <row r="1311" spans="1:6" ht="63.95" customHeight="1">
      <c r="A1311" s="76" t="s">
        <v>5983</v>
      </c>
      <c r="B1311" s="76" t="s">
        <v>9369</v>
      </c>
      <c r="C1311" s="76"/>
      <c r="D1311" s="76" t="s">
        <v>426</v>
      </c>
      <c r="E1311" s="76" t="s">
        <v>9362</v>
      </c>
      <c r="F1311" s="76" t="s">
        <v>759</v>
      </c>
    </row>
    <row r="1312" spans="1:6" ht="63.95" customHeight="1">
      <c r="A1312" s="76" t="s">
        <v>5983</v>
      </c>
      <c r="B1312" s="76" t="s">
        <v>9370</v>
      </c>
      <c r="C1312" s="76"/>
      <c r="D1312" s="76" t="s">
        <v>36</v>
      </c>
      <c r="E1312" s="76" t="s">
        <v>9362</v>
      </c>
      <c r="F1312" s="76" t="s">
        <v>759</v>
      </c>
    </row>
    <row r="1313" spans="1:6" ht="63.95" customHeight="1">
      <c r="A1313" s="76" t="s">
        <v>5983</v>
      </c>
      <c r="B1313" s="76" t="s">
        <v>9371</v>
      </c>
      <c r="C1313" s="76"/>
      <c r="D1313" s="76" t="s">
        <v>769</v>
      </c>
      <c r="E1313" s="76" t="s">
        <v>9362</v>
      </c>
      <c r="F1313" s="76" t="s">
        <v>759</v>
      </c>
    </row>
    <row r="1314" spans="1:6" ht="63.95" customHeight="1">
      <c r="A1314" s="76" t="s">
        <v>5983</v>
      </c>
      <c r="B1314" s="76" t="s">
        <v>9372</v>
      </c>
      <c r="C1314" s="76"/>
      <c r="D1314" s="76" t="s">
        <v>760</v>
      </c>
      <c r="E1314" s="76" t="s">
        <v>9362</v>
      </c>
      <c r="F1314" s="76" t="s">
        <v>759</v>
      </c>
    </row>
    <row r="1315" spans="1:6" ht="63.95" customHeight="1">
      <c r="A1315" s="76" t="s">
        <v>5983</v>
      </c>
      <c r="B1315" s="76" t="s">
        <v>7999</v>
      </c>
      <c r="C1315" s="76"/>
      <c r="D1315" s="76" t="s">
        <v>2564</v>
      </c>
      <c r="E1315" s="76" t="s">
        <v>9362</v>
      </c>
      <c r="F1315" s="76" t="s">
        <v>759</v>
      </c>
    </row>
    <row r="1316" spans="1:6" ht="63.95" customHeight="1">
      <c r="A1316" s="76" t="s">
        <v>5983</v>
      </c>
      <c r="B1316" s="76" t="s">
        <v>8002</v>
      </c>
      <c r="C1316" s="76"/>
      <c r="D1316" s="76" t="s">
        <v>2565</v>
      </c>
      <c r="E1316" s="76" t="s">
        <v>9362</v>
      </c>
      <c r="F1316" s="76" t="s">
        <v>759</v>
      </c>
    </row>
    <row r="1317" spans="1:6" ht="63.95" customHeight="1">
      <c r="A1317" s="76" t="s">
        <v>5983</v>
      </c>
      <c r="B1317" s="76" t="s">
        <v>9373</v>
      </c>
      <c r="C1317" s="76"/>
      <c r="D1317" s="76" t="s">
        <v>771</v>
      </c>
      <c r="E1317" s="76" t="s">
        <v>9362</v>
      </c>
      <c r="F1317" s="76" t="s">
        <v>759</v>
      </c>
    </row>
    <row r="1318" spans="1:6" ht="63.95" customHeight="1">
      <c r="A1318" s="76" t="s">
        <v>5983</v>
      </c>
      <c r="B1318" s="76" t="s">
        <v>9350</v>
      </c>
      <c r="C1318" s="76"/>
      <c r="D1318" s="76" t="s">
        <v>787</v>
      </c>
      <c r="E1318" s="76" t="s">
        <v>9362</v>
      </c>
      <c r="F1318" s="76" t="s">
        <v>787</v>
      </c>
    </row>
    <row r="1319" spans="1:6" ht="63.95" customHeight="1">
      <c r="A1319" s="76" t="s">
        <v>5983</v>
      </c>
      <c r="B1319" s="76" t="s">
        <v>9352</v>
      </c>
      <c r="C1319" s="76"/>
      <c r="D1319" s="76" t="s">
        <v>426</v>
      </c>
      <c r="E1319" s="76" t="s">
        <v>9362</v>
      </c>
      <c r="F1319" s="76" t="s">
        <v>787</v>
      </c>
    </row>
    <row r="1320" spans="1:6" ht="63.95" customHeight="1">
      <c r="A1320" s="76" t="s">
        <v>5983</v>
      </c>
      <c r="B1320" s="76" t="s">
        <v>9374</v>
      </c>
      <c r="C1320" s="76"/>
      <c r="D1320" s="76" t="s">
        <v>36</v>
      </c>
      <c r="E1320" s="76" t="s">
        <v>9362</v>
      </c>
      <c r="F1320" s="76" t="s">
        <v>787</v>
      </c>
    </row>
    <row r="1321" spans="1:6" ht="63.95" customHeight="1">
      <c r="A1321" s="76" t="s">
        <v>5983</v>
      </c>
      <c r="B1321" s="76" t="s">
        <v>9375</v>
      </c>
      <c r="C1321" s="76"/>
      <c r="D1321" s="76" t="s">
        <v>475</v>
      </c>
      <c r="E1321" s="76" t="s">
        <v>9362</v>
      </c>
      <c r="F1321" s="76" t="s">
        <v>787</v>
      </c>
    </row>
    <row r="1322" spans="1:6" ht="63.95" customHeight="1">
      <c r="A1322" s="76" t="s">
        <v>5983</v>
      </c>
      <c r="B1322" s="76" t="s">
        <v>9376</v>
      </c>
      <c r="C1322" s="76"/>
      <c r="D1322" s="76" t="s">
        <v>788</v>
      </c>
      <c r="E1322" s="76" t="s">
        <v>9362</v>
      </c>
      <c r="F1322" s="76" t="s">
        <v>787</v>
      </c>
    </row>
    <row r="1323" spans="1:6" ht="63.95" customHeight="1">
      <c r="A1323" s="76" t="s">
        <v>5983</v>
      </c>
      <c r="B1323" s="76" t="s">
        <v>8005</v>
      </c>
      <c r="C1323" s="76"/>
      <c r="D1323" s="76" t="s">
        <v>2564</v>
      </c>
      <c r="E1323" s="76" t="s">
        <v>9362</v>
      </c>
      <c r="F1323" s="76" t="s">
        <v>787</v>
      </c>
    </row>
    <row r="1324" spans="1:6" ht="63.95" customHeight="1">
      <c r="A1324" s="76" t="s">
        <v>5983</v>
      </c>
      <c r="B1324" s="76" t="s">
        <v>8008</v>
      </c>
      <c r="C1324" s="76"/>
      <c r="D1324" s="76" t="s">
        <v>2565</v>
      </c>
      <c r="E1324" s="76" t="s">
        <v>9362</v>
      </c>
      <c r="F1324" s="76" t="s">
        <v>787</v>
      </c>
    </row>
    <row r="1325" spans="1:6" ht="63.95" customHeight="1">
      <c r="A1325" s="76" t="s">
        <v>5983</v>
      </c>
      <c r="B1325" s="76" t="s">
        <v>9377</v>
      </c>
      <c r="C1325" s="76"/>
      <c r="D1325" s="76" t="s">
        <v>804</v>
      </c>
      <c r="E1325" s="76" t="s">
        <v>9362</v>
      </c>
      <c r="F1325" s="76" t="s">
        <v>787</v>
      </c>
    </row>
    <row r="1326" spans="1:6" ht="63.95" customHeight="1">
      <c r="A1326" s="76" t="s">
        <v>5983</v>
      </c>
      <c r="B1326" s="76" t="s">
        <v>9378</v>
      </c>
      <c r="C1326" s="76"/>
      <c r="D1326" s="76" t="s">
        <v>368</v>
      </c>
      <c r="E1326" s="76" t="s">
        <v>9355</v>
      </c>
      <c r="F1326" s="76" t="s">
        <v>9356</v>
      </c>
    </row>
    <row r="1327" spans="1:6" ht="63.95" customHeight="1">
      <c r="A1327" s="76" t="s">
        <v>5983</v>
      </c>
      <c r="B1327" s="76" t="s">
        <v>9379</v>
      </c>
      <c r="C1327" s="76"/>
      <c r="D1327" s="76" t="s">
        <v>109</v>
      </c>
      <c r="E1327" s="76" t="s">
        <v>9355</v>
      </c>
      <c r="F1327" s="76" t="s">
        <v>9356</v>
      </c>
    </row>
    <row r="1328" spans="1:6" ht="63.95" customHeight="1">
      <c r="A1328" s="76" t="s">
        <v>5983</v>
      </c>
      <c r="B1328" s="76" t="s">
        <v>9380</v>
      </c>
      <c r="C1328" s="76"/>
      <c r="D1328" s="76" t="s">
        <v>117</v>
      </c>
      <c r="E1328" s="76" t="s">
        <v>9355</v>
      </c>
      <c r="F1328" s="76" t="s">
        <v>9356</v>
      </c>
    </row>
    <row r="1329" spans="1:6" ht="63.95" customHeight="1">
      <c r="A1329" s="76" t="s">
        <v>5983</v>
      </c>
      <c r="B1329" s="76" t="s">
        <v>9381</v>
      </c>
      <c r="C1329" s="76"/>
      <c r="D1329" s="76" t="s">
        <v>378</v>
      </c>
      <c r="E1329" s="76" t="s">
        <v>9355</v>
      </c>
      <c r="F1329" s="76" t="s">
        <v>9356</v>
      </c>
    </row>
    <row r="1330" spans="1:6" ht="63.95" customHeight="1">
      <c r="A1330" s="76" t="s">
        <v>5983</v>
      </c>
      <c r="B1330" s="76" t="s">
        <v>9382</v>
      </c>
      <c r="C1330" s="76"/>
      <c r="D1330" s="76" t="s">
        <v>369</v>
      </c>
      <c r="E1330" s="76" t="s">
        <v>9355</v>
      </c>
      <c r="F1330" s="76" t="s">
        <v>9356</v>
      </c>
    </row>
    <row r="1331" spans="1:6" ht="63.95" customHeight="1">
      <c r="A1331" s="76" t="s">
        <v>5983</v>
      </c>
      <c r="B1331" s="76" t="s">
        <v>8011</v>
      </c>
      <c r="C1331" s="76"/>
      <c r="D1331" s="76" t="s">
        <v>2562</v>
      </c>
      <c r="E1331" s="76" t="s">
        <v>9355</v>
      </c>
      <c r="F1331" s="76" t="s">
        <v>9356</v>
      </c>
    </row>
    <row r="1332" spans="1:6" ht="63.95" customHeight="1">
      <c r="A1332" s="76" t="s">
        <v>5983</v>
      </c>
      <c r="B1332" s="76" t="s">
        <v>8014</v>
      </c>
      <c r="C1332" s="76"/>
      <c r="D1332" s="76" t="s">
        <v>2563</v>
      </c>
      <c r="E1332" s="76" t="s">
        <v>9355</v>
      </c>
      <c r="F1332" s="76" t="s">
        <v>9356</v>
      </c>
    </row>
    <row r="1333" spans="1:6" ht="63.95" customHeight="1">
      <c r="A1333" s="76" t="s">
        <v>5983</v>
      </c>
      <c r="B1333" s="76" t="s">
        <v>9383</v>
      </c>
      <c r="C1333" s="76"/>
      <c r="D1333" s="76" t="s">
        <v>380</v>
      </c>
      <c r="E1333" s="76" t="s">
        <v>9355</v>
      </c>
      <c r="F1333" s="76" t="s">
        <v>9356</v>
      </c>
    </row>
    <row r="1334" spans="1:6" ht="63.95" customHeight="1">
      <c r="A1334" s="76" t="s">
        <v>5983</v>
      </c>
      <c r="B1334" s="76" t="s">
        <v>9384</v>
      </c>
      <c r="C1334" s="76"/>
      <c r="D1334" s="76" t="s">
        <v>392</v>
      </c>
      <c r="E1334" s="76" t="s">
        <v>9355</v>
      </c>
      <c r="F1334" s="76" t="s">
        <v>9356</v>
      </c>
    </row>
    <row r="1335" spans="1:6" ht="63.95" customHeight="1">
      <c r="A1335" s="76" t="s">
        <v>5983</v>
      </c>
      <c r="B1335" s="76" t="s">
        <v>9385</v>
      </c>
      <c r="C1335" s="76"/>
      <c r="D1335" s="76" t="s">
        <v>109</v>
      </c>
      <c r="E1335" s="76" t="s">
        <v>9355</v>
      </c>
      <c r="F1335" s="76" t="s">
        <v>9356</v>
      </c>
    </row>
    <row r="1336" spans="1:6" ht="63.95" customHeight="1">
      <c r="A1336" s="76" t="s">
        <v>5983</v>
      </c>
      <c r="B1336" s="76" t="s">
        <v>9386</v>
      </c>
      <c r="C1336" s="76"/>
      <c r="D1336" s="76" t="s">
        <v>117</v>
      </c>
      <c r="E1336" s="76" t="s">
        <v>9355</v>
      </c>
      <c r="F1336" s="76" t="s">
        <v>9356</v>
      </c>
    </row>
    <row r="1337" spans="1:6" ht="63.95" customHeight="1">
      <c r="A1337" s="76" t="s">
        <v>5983</v>
      </c>
      <c r="B1337" s="76" t="s">
        <v>9387</v>
      </c>
      <c r="C1337" s="76"/>
      <c r="D1337" s="76" t="s">
        <v>402</v>
      </c>
      <c r="E1337" s="76" t="s">
        <v>9355</v>
      </c>
      <c r="F1337" s="76" t="s">
        <v>9356</v>
      </c>
    </row>
    <row r="1338" spans="1:6" ht="63.95" customHeight="1">
      <c r="A1338" s="76" t="s">
        <v>5983</v>
      </c>
      <c r="B1338" s="76" t="s">
        <v>9388</v>
      </c>
      <c r="C1338" s="76"/>
      <c r="D1338" s="76" t="s">
        <v>393</v>
      </c>
      <c r="E1338" s="76" t="s">
        <v>9355</v>
      </c>
      <c r="F1338" s="76" t="s">
        <v>9356</v>
      </c>
    </row>
    <row r="1339" spans="1:6" ht="63.95" customHeight="1">
      <c r="A1339" s="76" t="s">
        <v>5983</v>
      </c>
      <c r="B1339" s="76" t="s">
        <v>8017</v>
      </c>
      <c r="C1339" s="76"/>
      <c r="D1339" s="76" t="s">
        <v>2562</v>
      </c>
      <c r="E1339" s="76" t="s">
        <v>9355</v>
      </c>
      <c r="F1339" s="76" t="s">
        <v>9356</v>
      </c>
    </row>
    <row r="1340" spans="1:6" ht="63.95" customHeight="1">
      <c r="A1340" s="76" t="s">
        <v>5983</v>
      </c>
      <c r="B1340" s="76" t="s">
        <v>8020</v>
      </c>
      <c r="C1340" s="76"/>
      <c r="D1340" s="76" t="s">
        <v>2563</v>
      </c>
      <c r="E1340" s="76" t="s">
        <v>9355</v>
      </c>
      <c r="F1340" s="76" t="s">
        <v>9356</v>
      </c>
    </row>
    <row r="1341" spans="1:6" ht="63.95" customHeight="1">
      <c r="A1341" s="76" t="s">
        <v>5983</v>
      </c>
      <c r="B1341" s="76" t="s">
        <v>9389</v>
      </c>
      <c r="C1341" s="76"/>
      <c r="D1341" s="76" t="s">
        <v>404</v>
      </c>
      <c r="E1341" s="76" t="s">
        <v>9355</v>
      </c>
      <c r="F1341" s="76" t="s">
        <v>9356</v>
      </c>
    </row>
    <row r="1342" spans="1:6" ht="63.95" customHeight="1">
      <c r="A1342" s="76" t="s">
        <v>5988</v>
      </c>
      <c r="B1342" s="76" t="s">
        <v>9390</v>
      </c>
      <c r="C1342" s="76" t="s">
        <v>9391</v>
      </c>
      <c r="D1342" s="76" t="s">
        <v>9392</v>
      </c>
      <c r="E1342" s="76" t="s">
        <v>9393</v>
      </c>
      <c r="F1342" s="76"/>
    </row>
    <row r="1343" spans="1:6" ht="63.95" customHeight="1">
      <c r="A1343" s="76" t="s">
        <v>5988</v>
      </c>
      <c r="B1343" s="76" t="s">
        <v>2855</v>
      </c>
      <c r="C1343" s="76" t="s">
        <v>9394</v>
      </c>
      <c r="D1343" s="76" t="s">
        <v>9395</v>
      </c>
      <c r="E1343" s="76" t="s">
        <v>9393</v>
      </c>
      <c r="F1343" s="76"/>
    </row>
    <row r="1344" spans="1:6" ht="63.95" customHeight="1">
      <c r="A1344" s="76" t="s">
        <v>5988</v>
      </c>
      <c r="B1344" s="76" t="s">
        <v>9396</v>
      </c>
      <c r="C1344" s="76" t="s">
        <v>9397</v>
      </c>
      <c r="D1344" s="76" t="s">
        <v>9398</v>
      </c>
      <c r="E1344" s="76" t="s">
        <v>9393</v>
      </c>
      <c r="F1344" s="76"/>
    </row>
    <row r="1345" spans="1:6" ht="63.95" customHeight="1">
      <c r="A1345" s="76" t="s">
        <v>5988</v>
      </c>
      <c r="B1345" s="76" t="s">
        <v>2856</v>
      </c>
      <c r="C1345" s="76" t="s">
        <v>9399</v>
      </c>
      <c r="D1345" s="76" t="s">
        <v>9400</v>
      </c>
      <c r="E1345" s="76" t="s">
        <v>9393</v>
      </c>
      <c r="F1345" s="76"/>
    </row>
    <row r="1346" spans="1:6" ht="63.95" customHeight="1">
      <c r="A1346" s="76" t="s">
        <v>5988</v>
      </c>
      <c r="B1346" s="76" t="s">
        <v>9401</v>
      </c>
      <c r="C1346" s="76" t="s">
        <v>9402</v>
      </c>
      <c r="D1346" s="76" t="s">
        <v>9403</v>
      </c>
      <c r="E1346" s="76" t="s">
        <v>9393</v>
      </c>
      <c r="F1346" s="76"/>
    </row>
    <row r="1347" spans="1:6" ht="63.95" customHeight="1">
      <c r="A1347" s="76" t="s">
        <v>5988</v>
      </c>
      <c r="B1347" s="76" t="s">
        <v>2858</v>
      </c>
      <c r="C1347" s="76" t="s">
        <v>9404</v>
      </c>
      <c r="D1347" s="76" t="s">
        <v>9405</v>
      </c>
      <c r="E1347" s="76" t="s">
        <v>9393</v>
      </c>
      <c r="F1347" s="76"/>
    </row>
    <row r="1348" spans="1:6" ht="63.95" customHeight="1">
      <c r="A1348" s="76" t="s">
        <v>5988</v>
      </c>
      <c r="B1348" s="76" t="s">
        <v>9406</v>
      </c>
      <c r="C1348" s="76" t="s">
        <v>9407</v>
      </c>
      <c r="D1348" s="76" t="s">
        <v>9408</v>
      </c>
      <c r="E1348" s="76" t="s">
        <v>9393</v>
      </c>
      <c r="F1348" s="76"/>
    </row>
    <row r="1349" spans="1:6" ht="63.95" customHeight="1">
      <c r="A1349" s="76" t="s">
        <v>5988</v>
      </c>
      <c r="B1349" s="76" t="s">
        <v>2861</v>
      </c>
      <c r="C1349" s="76" t="s">
        <v>9409</v>
      </c>
      <c r="D1349" s="76" t="s">
        <v>9410</v>
      </c>
      <c r="E1349" s="76" t="s">
        <v>9393</v>
      </c>
      <c r="F1349" s="76"/>
    </row>
    <row r="1350" spans="1:6" ht="63.95" customHeight="1">
      <c r="A1350" s="76" t="s">
        <v>5988</v>
      </c>
      <c r="B1350" s="76" t="s">
        <v>9411</v>
      </c>
      <c r="C1350" s="76" t="s">
        <v>9412</v>
      </c>
      <c r="D1350" s="76" t="s">
        <v>9413</v>
      </c>
      <c r="E1350" s="76" t="s">
        <v>9414</v>
      </c>
      <c r="F1350" s="76"/>
    </row>
    <row r="1351" spans="1:6" ht="63.95" customHeight="1">
      <c r="A1351" s="76" t="s">
        <v>5988</v>
      </c>
      <c r="B1351" s="76" t="s">
        <v>9415</v>
      </c>
      <c r="C1351" s="76" t="s">
        <v>9416</v>
      </c>
      <c r="D1351" s="76" t="s">
        <v>9417</v>
      </c>
      <c r="E1351" s="76" t="s">
        <v>9393</v>
      </c>
      <c r="F1351" s="76"/>
    </row>
    <row r="1352" spans="1:6" ht="63.95" customHeight="1">
      <c r="A1352" s="76" t="s">
        <v>5988</v>
      </c>
      <c r="B1352" s="76" t="s">
        <v>2864</v>
      </c>
      <c r="C1352" s="76" t="s">
        <v>9418</v>
      </c>
      <c r="D1352" s="76" t="s">
        <v>9419</v>
      </c>
      <c r="E1352" s="76" t="s">
        <v>9393</v>
      </c>
      <c r="F1352" s="76"/>
    </row>
    <row r="1353" spans="1:6" ht="63.95" customHeight="1">
      <c r="A1353" s="76" t="s">
        <v>5988</v>
      </c>
      <c r="B1353" s="76" t="s">
        <v>9420</v>
      </c>
      <c r="C1353" s="76" t="s">
        <v>9421</v>
      </c>
      <c r="D1353" s="76" t="s">
        <v>9422</v>
      </c>
      <c r="E1353" s="76" t="s">
        <v>9393</v>
      </c>
      <c r="F1353" s="76"/>
    </row>
    <row r="1354" spans="1:6" ht="63.95" customHeight="1">
      <c r="A1354" s="76" t="s">
        <v>5988</v>
      </c>
      <c r="B1354" s="76" t="s">
        <v>2866</v>
      </c>
      <c r="C1354" s="76" t="s">
        <v>9423</v>
      </c>
      <c r="D1354" s="76" t="s">
        <v>9424</v>
      </c>
      <c r="E1354" s="76" t="s">
        <v>9393</v>
      </c>
      <c r="F1354" s="76"/>
    </row>
    <row r="1355" spans="1:6" ht="63.95" customHeight="1">
      <c r="A1355" s="76" t="s">
        <v>5988</v>
      </c>
      <c r="B1355" s="76" t="s">
        <v>9425</v>
      </c>
      <c r="C1355" s="76" t="s">
        <v>9426</v>
      </c>
      <c r="D1355" s="76" t="s">
        <v>9427</v>
      </c>
      <c r="E1355" s="76" t="s">
        <v>9393</v>
      </c>
      <c r="F1355" s="76"/>
    </row>
    <row r="1356" spans="1:6" ht="63.95" customHeight="1">
      <c r="A1356" s="76" t="s">
        <v>5988</v>
      </c>
      <c r="B1356" s="76" t="s">
        <v>2872</v>
      </c>
      <c r="C1356" s="76" t="s">
        <v>9428</v>
      </c>
      <c r="D1356" s="76" t="s">
        <v>9429</v>
      </c>
      <c r="E1356" s="76" t="s">
        <v>9393</v>
      </c>
      <c r="F1356" s="76"/>
    </row>
    <row r="1357" spans="1:6" ht="63.95" customHeight="1">
      <c r="A1357" s="76" t="s">
        <v>5988</v>
      </c>
      <c r="B1357" s="76" t="s">
        <v>9430</v>
      </c>
      <c r="C1357" s="76" t="s">
        <v>9431</v>
      </c>
      <c r="D1357" s="76" t="s">
        <v>9432</v>
      </c>
      <c r="E1357" s="76" t="s">
        <v>9393</v>
      </c>
      <c r="F1357" s="76"/>
    </row>
    <row r="1358" spans="1:6" ht="63.95" customHeight="1">
      <c r="A1358" s="76" t="s">
        <v>5988</v>
      </c>
      <c r="B1358" s="76" t="s">
        <v>9433</v>
      </c>
      <c r="C1358" s="76" t="s">
        <v>9434</v>
      </c>
      <c r="D1358" s="76" t="s">
        <v>9435</v>
      </c>
      <c r="E1358" s="76" t="s">
        <v>9393</v>
      </c>
      <c r="F1358" s="76"/>
    </row>
    <row r="1359" spans="1:6" ht="63.95" customHeight="1">
      <c r="A1359" s="76" t="s">
        <v>5988</v>
      </c>
      <c r="B1359" s="76" t="s">
        <v>9436</v>
      </c>
      <c r="C1359" s="76" t="s">
        <v>9437</v>
      </c>
      <c r="D1359" s="76" t="s">
        <v>9438</v>
      </c>
      <c r="E1359" s="76" t="s">
        <v>9393</v>
      </c>
      <c r="F1359" s="76"/>
    </row>
    <row r="1360" spans="1:6" ht="63.95" customHeight="1">
      <c r="A1360" s="76" t="s">
        <v>5988</v>
      </c>
      <c r="B1360" s="76" t="s">
        <v>9439</v>
      </c>
      <c r="C1360" s="76" t="s">
        <v>9440</v>
      </c>
      <c r="D1360" s="76" t="s">
        <v>9441</v>
      </c>
      <c r="E1360" s="76" t="s">
        <v>9393</v>
      </c>
      <c r="F1360" s="76"/>
    </row>
    <row r="1361" spans="1:6" ht="63.95" customHeight="1">
      <c r="A1361" s="76" t="s">
        <v>5988</v>
      </c>
      <c r="B1361" s="76" t="s">
        <v>9442</v>
      </c>
      <c r="C1361" s="76" t="s">
        <v>9443</v>
      </c>
      <c r="D1361" s="76" t="s">
        <v>9444</v>
      </c>
      <c r="E1361" s="76" t="s">
        <v>9393</v>
      </c>
      <c r="F1361" s="76"/>
    </row>
    <row r="1362" spans="1:6" ht="63.95" customHeight="1">
      <c r="A1362" s="76" t="s">
        <v>5988</v>
      </c>
      <c r="B1362" s="76" t="s">
        <v>9445</v>
      </c>
      <c r="C1362" s="76" t="s">
        <v>9446</v>
      </c>
      <c r="D1362" s="76" t="s">
        <v>9447</v>
      </c>
      <c r="E1362" s="76" t="s">
        <v>9393</v>
      </c>
      <c r="F1362" s="76"/>
    </row>
    <row r="1363" spans="1:6" ht="63.95" customHeight="1">
      <c r="A1363" s="76" t="s">
        <v>5988</v>
      </c>
      <c r="B1363" s="76" t="s">
        <v>9448</v>
      </c>
      <c r="C1363" s="76" t="s">
        <v>9449</v>
      </c>
      <c r="D1363" s="76" t="s">
        <v>9450</v>
      </c>
      <c r="E1363" s="76" t="s">
        <v>9393</v>
      </c>
      <c r="F1363" s="76"/>
    </row>
    <row r="1364" spans="1:6" ht="63.95" customHeight="1">
      <c r="A1364" s="76" t="s">
        <v>5988</v>
      </c>
      <c r="B1364" s="76" t="s">
        <v>9451</v>
      </c>
      <c r="C1364" s="76" t="s">
        <v>9452</v>
      </c>
      <c r="D1364" s="76" t="s">
        <v>9453</v>
      </c>
      <c r="E1364" s="76" t="s">
        <v>9393</v>
      </c>
      <c r="F1364" s="76"/>
    </row>
    <row r="1365" spans="1:6" ht="63.95" customHeight="1">
      <c r="A1365" s="76" t="s">
        <v>5988</v>
      </c>
      <c r="B1365" s="76" t="s">
        <v>9454</v>
      </c>
      <c r="C1365" s="76" t="s">
        <v>9455</v>
      </c>
      <c r="D1365" s="76" t="s">
        <v>9456</v>
      </c>
      <c r="E1365" s="76" t="s">
        <v>9393</v>
      </c>
      <c r="F1365" s="76"/>
    </row>
    <row r="1366" spans="1:6" ht="63.95" customHeight="1">
      <c r="A1366" s="76" t="s">
        <v>5988</v>
      </c>
      <c r="B1366" s="76" t="s">
        <v>9457</v>
      </c>
      <c r="C1366" s="76" t="s">
        <v>9458</v>
      </c>
      <c r="D1366" s="76" t="s">
        <v>9459</v>
      </c>
      <c r="E1366" s="76" t="s">
        <v>9393</v>
      </c>
      <c r="F1366" s="76"/>
    </row>
    <row r="1367" spans="1:6" ht="63.95" customHeight="1">
      <c r="A1367" s="76" t="s">
        <v>5988</v>
      </c>
      <c r="B1367" s="76" t="s">
        <v>9460</v>
      </c>
      <c r="C1367" s="76" t="s">
        <v>9461</v>
      </c>
      <c r="D1367" s="76" t="s">
        <v>9462</v>
      </c>
      <c r="E1367" s="76" t="s">
        <v>9393</v>
      </c>
      <c r="F1367" s="76"/>
    </row>
    <row r="1368" spans="1:6" ht="63.95" customHeight="1">
      <c r="A1368" s="76" t="s">
        <v>5988</v>
      </c>
      <c r="B1368" s="76" t="s">
        <v>9463</v>
      </c>
      <c r="C1368" s="76" t="s">
        <v>9464</v>
      </c>
      <c r="D1368" s="76" t="s">
        <v>9465</v>
      </c>
      <c r="E1368" s="76" t="s">
        <v>9393</v>
      </c>
      <c r="F1368" s="76"/>
    </row>
    <row r="1369" spans="1:6" ht="63.95" customHeight="1">
      <c r="A1369" s="76" t="s">
        <v>5988</v>
      </c>
      <c r="B1369" s="76" t="s">
        <v>9466</v>
      </c>
      <c r="C1369" s="76" t="s">
        <v>9467</v>
      </c>
      <c r="D1369" s="76" t="s">
        <v>9468</v>
      </c>
      <c r="E1369" s="76" t="s">
        <v>9393</v>
      </c>
      <c r="F1369" s="76"/>
    </row>
    <row r="1370" spans="1:6" ht="63.95" customHeight="1">
      <c r="A1370" s="76" t="s">
        <v>5988</v>
      </c>
      <c r="B1370" s="76" t="s">
        <v>9469</v>
      </c>
      <c r="C1370" s="76" t="s">
        <v>9470</v>
      </c>
      <c r="D1370" s="76" t="s">
        <v>9471</v>
      </c>
      <c r="E1370" s="76" t="s">
        <v>9393</v>
      </c>
      <c r="F1370" s="76"/>
    </row>
    <row r="1371" spans="1:6" ht="63.95" customHeight="1">
      <c r="A1371" s="76" t="s">
        <v>5988</v>
      </c>
      <c r="B1371" s="76" t="s">
        <v>9472</v>
      </c>
      <c r="C1371" s="76" t="s">
        <v>9473</v>
      </c>
      <c r="D1371" s="76" t="s">
        <v>9474</v>
      </c>
      <c r="E1371" s="76" t="s">
        <v>9393</v>
      </c>
      <c r="F1371" s="76"/>
    </row>
    <row r="1372" spans="1:6" ht="63.95" customHeight="1">
      <c r="A1372" s="76" t="s">
        <v>5988</v>
      </c>
      <c r="B1372" s="76" t="s">
        <v>9475</v>
      </c>
      <c r="C1372" s="76" t="s">
        <v>9476</v>
      </c>
      <c r="D1372" s="76" t="s">
        <v>9477</v>
      </c>
      <c r="E1372" s="76" t="s">
        <v>9393</v>
      </c>
      <c r="F1372" s="76"/>
    </row>
    <row r="1373" spans="1:6" ht="63.95" customHeight="1">
      <c r="A1373" s="76" t="s">
        <v>5988</v>
      </c>
      <c r="B1373" s="76" t="s">
        <v>9478</v>
      </c>
      <c r="C1373" s="76" t="s">
        <v>9479</v>
      </c>
      <c r="D1373" s="76" t="s">
        <v>9480</v>
      </c>
      <c r="E1373" s="76" t="s">
        <v>9393</v>
      </c>
      <c r="F1373" s="76"/>
    </row>
    <row r="1374" spans="1:6" ht="63.95" customHeight="1">
      <c r="A1374" s="76" t="s">
        <v>5988</v>
      </c>
      <c r="B1374" s="76" t="s">
        <v>9481</v>
      </c>
      <c r="C1374" s="76" t="s">
        <v>9482</v>
      </c>
      <c r="D1374" s="76" t="s">
        <v>9483</v>
      </c>
      <c r="E1374" s="76" t="s">
        <v>9393</v>
      </c>
      <c r="F1374" s="76"/>
    </row>
    <row r="1375" spans="1:6" ht="63.95" customHeight="1">
      <c r="A1375" s="76" t="s">
        <v>5988</v>
      </c>
      <c r="B1375" s="76" t="s">
        <v>9484</v>
      </c>
      <c r="C1375" s="76" t="s">
        <v>9485</v>
      </c>
      <c r="D1375" s="76" t="s">
        <v>9486</v>
      </c>
      <c r="E1375" s="76" t="s">
        <v>9393</v>
      </c>
      <c r="F1375" s="76"/>
    </row>
    <row r="1376" spans="1:6" ht="63.95" customHeight="1">
      <c r="A1376" s="76" t="s">
        <v>5988</v>
      </c>
      <c r="B1376" s="76" t="s">
        <v>9487</v>
      </c>
      <c r="C1376" s="76" t="s">
        <v>9488</v>
      </c>
      <c r="D1376" s="76" t="s">
        <v>9489</v>
      </c>
      <c r="E1376" s="76" t="s">
        <v>9393</v>
      </c>
      <c r="F1376" s="76"/>
    </row>
    <row r="1377" spans="1:6" ht="63.95" customHeight="1">
      <c r="A1377" s="76" t="s">
        <v>5988</v>
      </c>
      <c r="B1377" s="76" t="s">
        <v>9490</v>
      </c>
      <c r="C1377" s="76" t="s">
        <v>9491</v>
      </c>
      <c r="D1377" s="76" t="s">
        <v>9492</v>
      </c>
      <c r="E1377" s="76" t="s">
        <v>9393</v>
      </c>
      <c r="F1377" s="76"/>
    </row>
    <row r="1378" spans="1:6" ht="63.95" customHeight="1">
      <c r="A1378" s="76" t="s">
        <v>5988</v>
      </c>
      <c r="B1378" s="76" t="s">
        <v>9493</v>
      </c>
      <c r="C1378" s="76" t="s">
        <v>9494</v>
      </c>
      <c r="D1378" s="76" t="s">
        <v>9495</v>
      </c>
      <c r="E1378" s="76" t="s">
        <v>9393</v>
      </c>
      <c r="F1378" s="76"/>
    </row>
    <row r="1379" spans="1:6" ht="63.95" customHeight="1">
      <c r="A1379" s="76" t="s">
        <v>5988</v>
      </c>
      <c r="B1379" s="76" t="s">
        <v>9496</v>
      </c>
      <c r="C1379" s="76" t="s">
        <v>9497</v>
      </c>
      <c r="D1379" s="76" t="s">
        <v>9498</v>
      </c>
      <c r="E1379" s="76" t="s">
        <v>9393</v>
      </c>
      <c r="F1379" s="76"/>
    </row>
    <row r="1380" spans="1:6" ht="63.95" customHeight="1">
      <c r="A1380" s="76" t="s">
        <v>5988</v>
      </c>
      <c r="B1380" s="76" t="s">
        <v>9499</v>
      </c>
      <c r="C1380" s="76" t="s">
        <v>9500</v>
      </c>
      <c r="D1380" s="76" t="s">
        <v>9501</v>
      </c>
      <c r="E1380" s="76" t="s">
        <v>9393</v>
      </c>
      <c r="F1380" s="76"/>
    </row>
    <row r="1381" spans="1:6" ht="63.95" customHeight="1">
      <c r="A1381" s="76" t="s">
        <v>5988</v>
      </c>
      <c r="B1381" s="76" t="s">
        <v>9502</v>
      </c>
      <c r="C1381" s="76" t="s">
        <v>9503</v>
      </c>
      <c r="D1381" s="76" t="s">
        <v>9504</v>
      </c>
      <c r="E1381" s="76" t="s">
        <v>9393</v>
      </c>
      <c r="F1381" s="76"/>
    </row>
    <row r="1382" spans="1:6" ht="63.95" customHeight="1">
      <c r="A1382" s="76" t="s">
        <v>5988</v>
      </c>
      <c r="B1382" s="76" t="s">
        <v>9505</v>
      </c>
      <c r="C1382" s="76" t="s">
        <v>9506</v>
      </c>
      <c r="D1382" s="76" t="s">
        <v>9507</v>
      </c>
      <c r="E1382" s="76" t="s">
        <v>9393</v>
      </c>
      <c r="F1382" s="76"/>
    </row>
    <row r="1383" spans="1:6" ht="63.95" customHeight="1">
      <c r="A1383" s="76" t="s">
        <v>5988</v>
      </c>
      <c r="B1383" s="76" t="s">
        <v>9508</v>
      </c>
      <c r="C1383" s="76" t="s">
        <v>9509</v>
      </c>
      <c r="D1383" s="76" t="s">
        <v>9510</v>
      </c>
      <c r="E1383" s="76" t="s">
        <v>9393</v>
      </c>
      <c r="F1383" s="76"/>
    </row>
    <row r="1384" spans="1:6" ht="63.95" customHeight="1">
      <c r="A1384" s="76" t="s">
        <v>5988</v>
      </c>
      <c r="B1384" s="76" t="s">
        <v>9511</v>
      </c>
      <c r="C1384" s="76" t="s">
        <v>9512</v>
      </c>
      <c r="D1384" s="76" t="s">
        <v>9513</v>
      </c>
      <c r="E1384" s="76" t="s">
        <v>9393</v>
      </c>
      <c r="F1384" s="76"/>
    </row>
    <row r="1385" spans="1:6" ht="63.95" customHeight="1">
      <c r="A1385" s="76" t="s">
        <v>5988</v>
      </c>
      <c r="B1385" s="76" t="s">
        <v>9514</v>
      </c>
      <c r="C1385" s="76" t="s">
        <v>9515</v>
      </c>
      <c r="D1385" s="76" t="s">
        <v>9516</v>
      </c>
      <c r="E1385" s="76" t="s">
        <v>9393</v>
      </c>
      <c r="F1385" s="76"/>
    </row>
    <row r="1386" spans="1:6" ht="63.95" customHeight="1">
      <c r="A1386" s="76" t="s">
        <v>5988</v>
      </c>
      <c r="B1386" s="76" t="s">
        <v>9517</v>
      </c>
      <c r="C1386" s="76" t="s">
        <v>9518</v>
      </c>
      <c r="D1386" s="76" t="s">
        <v>9519</v>
      </c>
      <c r="E1386" s="76" t="s">
        <v>9393</v>
      </c>
      <c r="F1386" s="76"/>
    </row>
    <row r="1387" spans="1:6" ht="63.95" customHeight="1">
      <c r="A1387" s="76" t="s">
        <v>5988</v>
      </c>
      <c r="B1387" s="76" t="s">
        <v>9520</v>
      </c>
      <c r="C1387" s="76" t="s">
        <v>9521</v>
      </c>
      <c r="D1387" s="76" t="s">
        <v>9522</v>
      </c>
      <c r="E1387" s="76" t="s">
        <v>9393</v>
      </c>
      <c r="F1387" s="76"/>
    </row>
    <row r="1388" spans="1:6" ht="63.95" customHeight="1">
      <c r="A1388" s="76" t="s">
        <v>5988</v>
      </c>
      <c r="B1388" s="76" t="s">
        <v>9523</v>
      </c>
      <c r="C1388" s="76" t="s">
        <v>9524</v>
      </c>
      <c r="D1388" s="76" t="s">
        <v>9525</v>
      </c>
      <c r="E1388" s="76" t="s">
        <v>9393</v>
      </c>
      <c r="F1388" s="76"/>
    </row>
    <row r="1389" spans="1:6" ht="63.95" customHeight="1">
      <c r="A1389" s="76" t="s">
        <v>5988</v>
      </c>
      <c r="B1389" s="76" t="s">
        <v>9526</v>
      </c>
      <c r="C1389" s="76" t="s">
        <v>9527</v>
      </c>
      <c r="D1389" s="76" t="s">
        <v>9528</v>
      </c>
      <c r="E1389" s="76" t="s">
        <v>9393</v>
      </c>
      <c r="F1389" s="76"/>
    </row>
    <row r="1390" spans="1:6" ht="63.95" customHeight="1">
      <c r="A1390" s="76" t="s">
        <v>5988</v>
      </c>
      <c r="B1390" s="76" t="s">
        <v>9529</v>
      </c>
      <c r="C1390" s="76" t="s">
        <v>9530</v>
      </c>
      <c r="D1390" s="76" t="s">
        <v>9531</v>
      </c>
      <c r="E1390" s="76" t="s">
        <v>9393</v>
      </c>
      <c r="F1390" s="76"/>
    </row>
    <row r="1391" spans="1:6" ht="63.95" customHeight="1">
      <c r="A1391" s="76" t="s">
        <v>5988</v>
      </c>
      <c r="B1391" s="76" t="s">
        <v>9532</v>
      </c>
      <c r="C1391" s="76" t="s">
        <v>9533</v>
      </c>
      <c r="D1391" s="76" t="s">
        <v>9534</v>
      </c>
      <c r="E1391" s="76" t="s">
        <v>9393</v>
      </c>
      <c r="F1391" s="76"/>
    </row>
    <row r="1392" spans="1:6" ht="63.95" customHeight="1">
      <c r="A1392" s="76" t="s">
        <v>5988</v>
      </c>
      <c r="B1392" s="76" t="s">
        <v>9535</v>
      </c>
      <c r="C1392" s="76" t="s">
        <v>9536</v>
      </c>
      <c r="D1392" s="76" t="s">
        <v>9537</v>
      </c>
      <c r="E1392" s="76" t="s">
        <v>9393</v>
      </c>
      <c r="F1392" s="76"/>
    </row>
    <row r="1393" spans="1:6" ht="63.95" customHeight="1">
      <c r="A1393" s="76" t="s">
        <v>5988</v>
      </c>
      <c r="B1393" s="76" t="s">
        <v>9538</v>
      </c>
      <c r="C1393" s="76" t="s">
        <v>9539</v>
      </c>
      <c r="D1393" s="76" t="s">
        <v>9540</v>
      </c>
      <c r="E1393" s="76" t="s">
        <v>9393</v>
      </c>
      <c r="F1393" s="76"/>
    </row>
    <row r="1394" spans="1:6" ht="63.95" customHeight="1">
      <c r="A1394" s="76" t="s">
        <v>5988</v>
      </c>
      <c r="B1394" s="76" t="s">
        <v>9541</v>
      </c>
      <c r="C1394" s="76" t="s">
        <v>9542</v>
      </c>
      <c r="D1394" s="76" t="s">
        <v>9543</v>
      </c>
      <c r="E1394" s="76" t="s">
        <v>9393</v>
      </c>
      <c r="F1394" s="76"/>
    </row>
    <row r="1395" spans="1:6" ht="63.95" customHeight="1">
      <c r="A1395" s="76" t="s">
        <v>5988</v>
      </c>
      <c r="B1395" s="76" t="s">
        <v>9544</v>
      </c>
      <c r="C1395" s="76" t="s">
        <v>9545</v>
      </c>
      <c r="D1395" s="76" t="s">
        <v>9546</v>
      </c>
      <c r="E1395" s="76" t="s">
        <v>9393</v>
      </c>
      <c r="F1395" s="76"/>
    </row>
    <row r="1396" spans="1:6" ht="63.95" customHeight="1">
      <c r="A1396" s="76" t="s">
        <v>5988</v>
      </c>
      <c r="B1396" s="76" t="s">
        <v>9547</v>
      </c>
      <c r="C1396" s="76" t="s">
        <v>9548</v>
      </c>
      <c r="D1396" s="76" t="s">
        <v>9549</v>
      </c>
      <c r="E1396" s="76" t="s">
        <v>9393</v>
      </c>
      <c r="F1396" s="76"/>
    </row>
    <row r="1397" spans="1:6" ht="63.95" customHeight="1">
      <c r="A1397" s="76" t="s">
        <v>5988</v>
      </c>
      <c r="B1397" s="76" t="s">
        <v>9550</v>
      </c>
      <c r="C1397" s="76" t="s">
        <v>9551</v>
      </c>
      <c r="D1397" s="76" t="s">
        <v>9552</v>
      </c>
      <c r="E1397" s="76" t="s">
        <v>9393</v>
      </c>
      <c r="F1397" s="76"/>
    </row>
    <row r="1398" spans="1:6" ht="63.95" customHeight="1">
      <c r="A1398" s="76" t="s">
        <v>5988</v>
      </c>
      <c r="B1398" s="76" t="s">
        <v>9553</v>
      </c>
      <c r="C1398" s="76" t="s">
        <v>9554</v>
      </c>
      <c r="D1398" s="76" t="s">
        <v>9555</v>
      </c>
      <c r="E1398" s="76" t="s">
        <v>9393</v>
      </c>
      <c r="F1398" s="76"/>
    </row>
    <row r="1399" spans="1:6" ht="63.95" customHeight="1">
      <c r="A1399" s="76" t="s">
        <v>5988</v>
      </c>
      <c r="B1399" s="76" t="s">
        <v>9556</v>
      </c>
      <c r="C1399" s="76" t="s">
        <v>9557</v>
      </c>
      <c r="D1399" s="76" t="s">
        <v>9558</v>
      </c>
      <c r="E1399" s="76" t="s">
        <v>9393</v>
      </c>
      <c r="F1399" s="76"/>
    </row>
    <row r="1400" spans="1:6" ht="63.95" customHeight="1">
      <c r="A1400" s="76" t="s">
        <v>5988</v>
      </c>
      <c r="B1400" s="76" t="s">
        <v>9559</v>
      </c>
      <c r="C1400" s="76" t="s">
        <v>9560</v>
      </c>
      <c r="D1400" s="76" t="s">
        <v>9561</v>
      </c>
      <c r="E1400" s="76" t="s">
        <v>9393</v>
      </c>
      <c r="F1400" s="76"/>
    </row>
    <row r="1401" spans="1:6" ht="63.95" customHeight="1">
      <c r="A1401" s="76" t="s">
        <v>5988</v>
      </c>
      <c r="B1401" s="76" t="s">
        <v>9562</v>
      </c>
      <c r="C1401" s="76" t="s">
        <v>9563</v>
      </c>
      <c r="D1401" s="76" t="s">
        <v>9564</v>
      </c>
      <c r="E1401" s="76" t="s">
        <v>9393</v>
      </c>
      <c r="F1401" s="76"/>
    </row>
    <row r="1402" spans="1:6" ht="63.95" customHeight="1">
      <c r="A1402" s="76" t="s">
        <v>5988</v>
      </c>
      <c r="B1402" s="76" t="s">
        <v>9565</v>
      </c>
      <c r="C1402" s="76" t="s">
        <v>9566</v>
      </c>
      <c r="D1402" s="76" t="s">
        <v>9567</v>
      </c>
      <c r="E1402" s="76" t="s">
        <v>9393</v>
      </c>
      <c r="F1402" s="76"/>
    </row>
    <row r="1403" spans="1:6" ht="63.95" customHeight="1">
      <c r="A1403" s="76" t="s">
        <v>5988</v>
      </c>
      <c r="B1403" s="76" t="s">
        <v>9568</v>
      </c>
      <c r="C1403" s="76" t="s">
        <v>9569</v>
      </c>
      <c r="D1403" s="76" t="s">
        <v>9570</v>
      </c>
      <c r="E1403" s="76" t="s">
        <v>9393</v>
      </c>
      <c r="F1403" s="76"/>
    </row>
    <row r="1404" spans="1:6" ht="63.95" customHeight="1">
      <c r="A1404" s="76" t="s">
        <v>5988</v>
      </c>
      <c r="B1404" s="76" t="s">
        <v>9571</v>
      </c>
      <c r="C1404" s="76" t="s">
        <v>9572</v>
      </c>
      <c r="D1404" s="76" t="s">
        <v>9573</v>
      </c>
      <c r="E1404" s="76" t="s">
        <v>9393</v>
      </c>
      <c r="F1404" s="76"/>
    </row>
    <row r="1405" spans="1:6" ht="63.95" customHeight="1">
      <c r="A1405" s="76" t="s">
        <v>5988</v>
      </c>
      <c r="B1405" s="76" t="s">
        <v>9574</v>
      </c>
      <c r="C1405" s="76" t="s">
        <v>9575</v>
      </c>
      <c r="D1405" s="76" t="s">
        <v>9576</v>
      </c>
      <c r="E1405" s="76" t="s">
        <v>9393</v>
      </c>
      <c r="F1405" s="76"/>
    </row>
    <row r="1406" spans="1:6" ht="63.95" customHeight="1">
      <c r="A1406" s="76" t="s">
        <v>5988</v>
      </c>
      <c r="B1406" s="76" t="s">
        <v>9577</v>
      </c>
      <c r="C1406" s="76" t="s">
        <v>9578</v>
      </c>
      <c r="D1406" s="76" t="s">
        <v>9579</v>
      </c>
      <c r="E1406" s="76" t="s">
        <v>9393</v>
      </c>
      <c r="F1406" s="76"/>
    </row>
    <row r="1407" spans="1:6" ht="63.95" customHeight="1">
      <c r="A1407" s="76" t="s">
        <v>5988</v>
      </c>
      <c r="B1407" s="76" t="s">
        <v>9580</v>
      </c>
      <c r="C1407" s="76" t="s">
        <v>9581</v>
      </c>
      <c r="D1407" s="76" t="s">
        <v>9582</v>
      </c>
      <c r="E1407" s="76" t="s">
        <v>9393</v>
      </c>
      <c r="F1407" s="76"/>
    </row>
    <row r="1408" spans="1:6" ht="63.95" customHeight="1">
      <c r="A1408" s="76" t="s">
        <v>5988</v>
      </c>
      <c r="B1408" s="76" t="s">
        <v>9583</v>
      </c>
      <c r="C1408" s="76" t="s">
        <v>9584</v>
      </c>
      <c r="D1408" s="76" t="s">
        <v>9585</v>
      </c>
      <c r="E1408" s="76" t="s">
        <v>9393</v>
      </c>
      <c r="F1408" s="76"/>
    </row>
    <row r="1409" spans="1:6" ht="63.95" customHeight="1">
      <c r="A1409" s="76" t="s">
        <v>5988</v>
      </c>
      <c r="B1409" s="76" t="s">
        <v>9586</v>
      </c>
      <c r="C1409" s="76" t="s">
        <v>9587</v>
      </c>
      <c r="D1409" s="76" t="s">
        <v>9588</v>
      </c>
      <c r="E1409" s="76" t="s">
        <v>9393</v>
      </c>
      <c r="F1409" s="76"/>
    </row>
    <row r="1410" spans="1:6" ht="63.95" customHeight="1">
      <c r="A1410" s="76" t="s">
        <v>5988</v>
      </c>
      <c r="B1410" s="76" t="s">
        <v>9589</v>
      </c>
      <c r="C1410" s="76" t="s">
        <v>9590</v>
      </c>
      <c r="D1410" s="76" t="s">
        <v>9591</v>
      </c>
      <c r="E1410" s="76" t="s">
        <v>9393</v>
      </c>
      <c r="F1410" s="76"/>
    </row>
    <row r="1411" spans="1:6" ht="63.95" customHeight="1">
      <c r="A1411" s="76" t="s">
        <v>5988</v>
      </c>
      <c r="B1411" s="76" t="s">
        <v>9592</v>
      </c>
      <c r="C1411" s="76" t="s">
        <v>9593</v>
      </c>
      <c r="D1411" s="76" t="s">
        <v>9594</v>
      </c>
      <c r="E1411" s="76" t="s">
        <v>9393</v>
      </c>
      <c r="F1411" s="76"/>
    </row>
    <row r="1412" spans="1:6" ht="63.95" customHeight="1">
      <c r="A1412" s="76" t="s">
        <v>5988</v>
      </c>
      <c r="B1412" s="76" t="s">
        <v>9595</v>
      </c>
      <c r="C1412" s="76" t="s">
        <v>9596</v>
      </c>
      <c r="D1412" s="76" t="s">
        <v>9597</v>
      </c>
      <c r="E1412" s="76" t="s">
        <v>9393</v>
      </c>
      <c r="F1412" s="76"/>
    </row>
    <row r="1413" spans="1:6" ht="63.95" customHeight="1">
      <c r="A1413" s="76" t="s">
        <v>5988</v>
      </c>
      <c r="B1413" s="76" t="s">
        <v>9598</v>
      </c>
      <c r="C1413" s="76" t="s">
        <v>9599</v>
      </c>
      <c r="D1413" s="76" t="s">
        <v>9600</v>
      </c>
      <c r="E1413" s="76" t="s">
        <v>9393</v>
      </c>
      <c r="F1413" s="76"/>
    </row>
    <row r="1414" spans="1:6" ht="63.95" customHeight="1">
      <c r="A1414" s="76" t="s">
        <v>5988</v>
      </c>
      <c r="B1414" s="76" t="s">
        <v>9601</v>
      </c>
      <c r="C1414" s="76" t="s">
        <v>9602</v>
      </c>
      <c r="D1414" s="76" t="s">
        <v>9603</v>
      </c>
      <c r="E1414" s="76" t="s">
        <v>9393</v>
      </c>
      <c r="F1414" s="76"/>
    </row>
    <row r="1415" spans="1:6" ht="63.95" customHeight="1">
      <c r="A1415" s="76" t="s">
        <v>5988</v>
      </c>
      <c r="B1415" s="76" t="s">
        <v>9604</v>
      </c>
      <c r="C1415" s="76" t="s">
        <v>9605</v>
      </c>
      <c r="D1415" s="76" t="s">
        <v>9606</v>
      </c>
      <c r="E1415" s="76" t="s">
        <v>9393</v>
      </c>
      <c r="F1415" s="76"/>
    </row>
    <row r="1416" spans="1:6" ht="63.95" customHeight="1">
      <c r="A1416" s="76" t="s">
        <v>5988</v>
      </c>
      <c r="B1416" s="76" t="s">
        <v>9607</v>
      </c>
      <c r="C1416" s="76" t="s">
        <v>9608</v>
      </c>
      <c r="D1416" s="76" t="s">
        <v>9609</v>
      </c>
      <c r="E1416" s="76" t="s">
        <v>9393</v>
      </c>
      <c r="F1416" s="76"/>
    </row>
    <row r="1417" spans="1:6" ht="63.95" customHeight="1">
      <c r="A1417" s="76" t="s">
        <v>5988</v>
      </c>
      <c r="B1417" s="76" t="s">
        <v>9610</v>
      </c>
      <c r="C1417" s="76" t="s">
        <v>9611</v>
      </c>
      <c r="D1417" s="76" t="s">
        <v>9612</v>
      </c>
      <c r="E1417" s="76" t="s">
        <v>9393</v>
      </c>
      <c r="F1417" s="76"/>
    </row>
    <row r="1418" spans="1:6" ht="63.95" customHeight="1">
      <c r="A1418" s="76" t="s">
        <v>5988</v>
      </c>
      <c r="B1418" s="76" t="s">
        <v>9613</v>
      </c>
      <c r="C1418" s="76" t="s">
        <v>9614</v>
      </c>
      <c r="D1418" s="76" t="s">
        <v>9615</v>
      </c>
      <c r="E1418" s="76" t="s">
        <v>9393</v>
      </c>
      <c r="F1418" s="76"/>
    </row>
    <row r="1419" spans="1:6" ht="63.95" customHeight="1">
      <c r="A1419" s="76" t="s">
        <v>5988</v>
      </c>
      <c r="B1419" s="76" t="s">
        <v>9616</v>
      </c>
      <c r="C1419" s="76" t="s">
        <v>9617</v>
      </c>
      <c r="D1419" s="76" t="s">
        <v>9618</v>
      </c>
      <c r="E1419" s="76" t="s">
        <v>9393</v>
      </c>
      <c r="F1419" s="76"/>
    </row>
    <row r="1420" spans="1:6" ht="63.95" customHeight="1">
      <c r="A1420" s="76" t="s">
        <v>5988</v>
      </c>
      <c r="B1420" s="76" t="s">
        <v>9619</v>
      </c>
      <c r="C1420" s="76" t="s">
        <v>9620</v>
      </c>
      <c r="D1420" s="76" t="s">
        <v>9621</v>
      </c>
      <c r="E1420" s="76" t="s">
        <v>9393</v>
      </c>
      <c r="F1420" s="76"/>
    </row>
    <row r="1421" spans="1:6" ht="63.95" customHeight="1">
      <c r="A1421" s="76" t="s">
        <v>5988</v>
      </c>
      <c r="B1421" s="76" t="s">
        <v>9622</v>
      </c>
      <c r="C1421" s="76" t="s">
        <v>9623</v>
      </c>
      <c r="D1421" s="76" t="s">
        <v>9624</v>
      </c>
      <c r="E1421" s="76" t="s">
        <v>9393</v>
      </c>
      <c r="F1421" s="76"/>
    </row>
    <row r="1422" spans="1:6" ht="63.95" customHeight="1">
      <c r="A1422" s="76" t="s">
        <v>5988</v>
      </c>
      <c r="B1422" s="76" t="s">
        <v>9625</v>
      </c>
      <c r="C1422" s="76" t="s">
        <v>9626</v>
      </c>
      <c r="D1422" s="76" t="s">
        <v>9627</v>
      </c>
      <c r="E1422" s="76" t="s">
        <v>9393</v>
      </c>
      <c r="F1422" s="76"/>
    </row>
    <row r="1423" spans="1:6" ht="63.95" customHeight="1">
      <c r="A1423" s="76" t="s">
        <v>5988</v>
      </c>
      <c r="B1423" s="76" t="s">
        <v>9628</v>
      </c>
      <c r="C1423" s="76" t="s">
        <v>9629</v>
      </c>
      <c r="D1423" s="76" t="s">
        <v>9630</v>
      </c>
      <c r="E1423" s="76" t="s">
        <v>9393</v>
      </c>
      <c r="F1423" s="76"/>
    </row>
    <row r="1424" spans="1:6" ht="63.95" customHeight="1">
      <c r="A1424" s="76" t="s">
        <v>5988</v>
      </c>
      <c r="B1424" s="76" t="s">
        <v>9631</v>
      </c>
      <c r="C1424" s="76" t="s">
        <v>9632</v>
      </c>
      <c r="D1424" s="76" t="s">
        <v>9633</v>
      </c>
      <c r="E1424" s="76" t="s">
        <v>9393</v>
      </c>
      <c r="F1424" s="76"/>
    </row>
    <row r="1425" spans="1:6" ht="63.95" customHeight="1">
      <c r="A1425" s="76" t="s">
        <v>5988</v>
      </c>
      <c r="B1425" s="76" t="s">
        <v>9634</v>
      </c>
      <c r="C1425" s="76" t="s">
        <v>9635</v>
      </c>
      <c r="D1425" s="76" t="s">
        <v>9636</v>
      </c>
      <c r="E1425" s="76" t="s">
        <v>9393</v>
      </c>
      <c r="F1425" s="76"/>
    </row>
    <row r="1426" spans="1:6" ht="63.95" customHeight="1">
      <c r="A1426" s="76" t="s">
        <v>5988</v>
      </c>
      <c r="B1426" s="76" t="s">
        <v>9637</v>
      </c>
      <c r="C1426" s="76" t="s">
        <v>9638</v>
      </c>
      <c r="D1426" s="76" t="s">
        <v>9639</v>
      </c>
      <c r="E1426" s="76" t="s">
        <v>9393</v>
      </c>
      <c r="F1426" s="76"/>
    </row>
    <row r="1427" spans="1:6" ht="63.95" customHeight="1">
      <c r="A1427" s="76" t="s">
        <v>5988</v>
      </c>
      <c r="B1427" s="76" t="s">
        <v>9640</v>
      </c>
      <c r="C1427" s="76" t="s">
        <v>9641</v>
      </c>
      <c r="D1427" s="76" t="s">
        <v>9642</v>
      </c>
      <c r="E1427" s="76" t="s">
        <v>9393</v>
      </c>
      <c r="F1427" s="76"/>
    </row>
    <row r="1428" spans="1:6" ht="63.95" customHeight="1">
      <c r="A1428" s="76" t="s">
        <v>5988</v>
      </c>
      <c r="B1428" s="76" t="s">
        <v>9643</v>
      </c>
      <c r="C1428" s="76" t="s">
        <v>9644</v>
      </c>
      <c r="D1428" s="76" t="s">
        <v>9645</v>
      </c>
      <c r="E1428" s="76" t="s">
        <v>9393</v>
      </c>
      <c r="F1428" s="76"/>
    </row>
    <row r="1429" spans="1:6" ht="63.95" customHeight="1">
      <c r="A1429" s="76" t="s">
        <v>5988</v>
      </c>
      <c r="B1429" s="76" t="s">
        <v>9646</v>
      </c>
      <c r="C1429" s="76" t="s">
        <v>9647</v>
      </c>
      <c r="D1429" s="76" t="s">
        <v>9648</v>
      </c>
      <c r="E1429" s="76" t="s">
        <v>9393</v>
      </c>
      <c r="F1429" s="76"/>
    </row>
    <row r="1430" spans="1:6" ht="63.95" customHeight="1">
      <c r="A1430" s="76" t="s">
        <v>5988</v>
      </c>
      <c r="B1430" s="76" t="s">
        <v>9649</v>
      </c>
      <c r="C1430" s="76" t="s">
        <v>9650</v>
      </c>
      <c r="D1430" s="76" t="s">
        <v>9651</v>
      </c>
      <c r="E1430" s="76" t="s">
        <v>9393</v>
      </c>
      <c r="F1430" s="76"/>
    </row>
    <row r="1431" spans="1:6" ht="63.95" customHeight="1">
      <c r="A1431" s="76" t="s">
        <v>5988</v>
      </c>
      <c r="B1431" s="76" t="s">
        <v>9652</v>
      </c>
      <c r="C1431" s="76" t="s">
        <v>9653</v>
      </c>
      <c r="D1431" s="76" t="s">
        <v>9654</v>
      </c>
      <c r="E1431" s="76" t="s">
        <v>9393</v>
      </c>
      <c r="F1431" s="76"/>
    </row>
    <row r="1432" spans="1:6" ht="63.95" customHeight="1">
      <c r="A1432" s="76" t="s">
        <v>5988</v>
      </c>
      <c r="B1432" s="76" t="s">
        <v>9655</v>
      </c>
      <c r="C1432" s="76" t="s">
        <v>9656</v>
      </c>
      <c r="D1432" s="76" t="s">
        <v>9657</v>
      </c>
      <c r="E1432" s="76" t="s">
        <v>9393</v>
      </c>
      <c r="F1432" s="76"/>
    </row>
    <row r="1433" spans="1:6" ht="63.95" customHeight="1">
      <c r="A1433" s="76" t="s">
        <v>5988</v>
      </c>
      <c r="B1433" s="76" t="s">
        <v>9658</v>
      </c>
      <c r="C1433" s="76" t="s">
        <v>9659</v>
      </c>
      <c r="D1433" s="76" t="s">
        <v>9660</v>
      </c>
      <c r="E1433" s="76" t="s">
        <v>9393</v>
      </c>
      <c r="F1433" s="76"/>
    </row>
    <row r="1434" spans="1:6" ht="63.95" customHeight="1">
      <c r="A1434" s="76" t="s">
        <v>5988</v>
      </c>
      <c r="B1434" s="76" t="s">
        <v>9661</v>
      </c>
      <c r="C1434" s="76" t="s">
        <v>9662</v>
      </c>
      <c r="D1434" s="76" t="s">
        <v>9663</v>
      </c>
      <c r="E1434" s="76" t="s">
        <v>9393</v>
      </c>
      <c r="F1434" s="76"/>
    </row>
    <row r="1435" spans="1:6" ht="63.95" customHeight="1">
      <c r="A1435" s="76" t="s">
        <v>5988</v>
      </c>
      <c r="B1435" s="76" t="s">
        <v>9664</v>
      </c>
      <c r="C1435" s="76" t="s">
        <v>9665</v>
      </c>
      <c r="D1435" s="76" t="s">
        <v>9666</v>
      </c>
      <c r="E1435" s="76" t="s">
        <v>9393</v>
      </c>
      <c r="F1435" s="76"/>
    </row>
    <row r="1436" spans="1:6" ht="63.95" customHeight="1">
      <c r="A1436" s="76" t="s">
        <v>5988</v>
      </c>
      <c r="B1436" s="76" t="s">
        <v>9667</v>
      </c>
      <c r="C1436" s="76" t="s">
        <v>9668</v>
      </c>
      <c r="D1436" s="76" t="s">
        <v>9669</v>
      </c>
      <c r="E1436" s="76" t="s">
        <v>9393</v>
      </c>
      <c r="F1436" s="76"/>
    </row>
    <row r="1437" spans="1:6" ht="63.95" customHeight="1">
      <c r="A1437" s="76" t="s">
        <v>5988</v>
      </c>
      <c r="B1437" s="76" t="s">
        <v>9670</v>
      </c>
      <c r="C1437" s="76" t="s">
        <v>9671</v>
      </c>
      <c r="D1437" s="76" t="s">
        <v>9672</v>
      </c>
      <c r="E1437" s="76" t="s">
        <v>9393</v>
      </c>
      <c r="F1437" s="76"/>
    </row>
    <row r="1438" spans="1:6" ht="63.95" customHeight="1">
      <c r="A1438" s="76" t="s">
        <v>5988</v>
      </c>
      <c r="B1438" s="76" t="s">
        <v>9673</v>
      </c>
      <c r="C1438" s="76" t="s">
        <v>9674</v>
      </c>
      <c r="D1438" s="76" t="s">
        <v>9675</v>
      </c>
      <c r="E1438" s="76" t="s">
        <v>9393</v>
      </c>
      <c r="F1438" s="76"/>
    </row>
    <row r="1439" spans="1:6" ht="63.95" customHeight="1">
      <c r="A1439" s="76" t="s">
        <v>5988</v>
      </c>
      <c r="B1439" s="76" t="s">
        <v>9676</v>
      </c>
      <c r="C1439" s="76" t="s">
        <v>9677</v>
      </c>
      <c r="D1439" s="76" t="s">
        <v>9678</v>
      </c>
      <c r="E1439" s="76" t="s">
        <v>9393</v>
      </c>
      <c r="F1439" s="76"/>
    </row>
    <row r="1440" spans="1:6" ht="63.95" customHeight="1">
      <c r="A1440" s="76" t="s">
        <v>5988</v>
      </c>
      <c r="B1440" s="76" t="s">
        <v>9679</v>
      </c>
      <c r="C1440" s="76" t="s">
        <v>9680</v>
      </c>
      <c r="D1440" s="76" t="s">
        <v>9681</v>
      </c>
      <c r="E1440" s="76" t="s">
        <v>9393</v>
      </c>
      <c r="F1440" s="76"/>
    </row>
    <row r="1441" spans="1:6" ht="63.95" customHeight="1">
      <c r="A1441" s="76" t="s">
        <v>5988</v>
      </c>
      <c r="B1441" s="76" t="s">
        <v>9682</v>
      </c>
      <c r="C1441" s="76" t="s">
        <v>9683</v>
      </c>
      <c r="D1441" s="76" t="s">
        <v>9684</v>
      </c>
      <c r="E1441" s="76" t="s">
        <v>9393</v>
      </c>
      <c r="F1441" s="76"/>
    </row>
    <row r="1442" spans="1:6" ht="63.95" customHeight="1">
      <c r="A1442" s="76" t="s">
        <v>5988</v>
      </c>
      <c r="B1442" s="76" t="s">
        <v>9685</v>
      </c>
      <c r="C1442" s="76" t="s">
        <v>9686</v>
      </c>
      <c r="D1442" s="76" t="s">
        <v>9687</v>
      </c>
      <c r="E1442" s="76" t="s">
        <v>9393</v>
      </c>
      <c r="F1442" s="76"/>
    </row>
    <row r="1443" spans="1:6" ht="63.95" customHeight="1">
      <c r="A1443" s="76" t="s">
        <v>5988</v>
      </c>
      <c r="B1443" s="76" t="s">
        <v>9688</v>
      </c>
      <c r="C1443" s="76" t="s">
        <v>9689</v>
      </c>
      <c r="D1443" s="76" t="s">
        <v>9690</v>
      </c>
      <c r="E1443" s="76" t="s">
        <v>9393</v>
      </c>
      <c r="F1443" s="76"/>
    </row>
    <row r="1444" spans="1:6" ht="63.95" customHeight="1">
      <c r="A1444" s="76" t="s">
        <v>5988</v>
      </c>
      <c r="B1444" s="76" t="s">
        <v>9691</v>
      </c>
      <c r="C1444" s="76" t="s">
        <v>9692</v>
      </c>
      <c r="D1444" s="76" t="s">
        <v>9693</v>
      </c>
      <c r="E1444" s="76" t="s">
        <v>9393</v>
      </c>
      <c r="F1444" s="76"/>
    </row>
    <row r="1445" spans="1:6" ht="63.95" customHeight="1">
      <c r="A1445" s="76" t="s">
        <v>5988</v>
      </c>
      <c r="B1445" s="76" t="s">
        <v>9694</v>
      </c>
      <c r="C1445" s="76" t="s">
        <v>9695</v>
      </c>
      <c r="D1445" s="76" t="s">
        <v>9696</v>
      </c>
      <c r="E1445" s="76" t="s">
        <v>9393</v>
      </c>
      <c r="F1445" s="76"/>
    </row>
    <row r="1446" spans="1:6" ht="63.95" customHeight="1">
      <c r="A1446" s="76" t="s">
        <v>5988</v>
      </c>
      <c r="B1446" s="76" t="s">
        <v>9697</v>
      </c>
      <c r="C1446" s="76" t="s">
        <v>9698</v>
      </c>
      <c r="D1446" s="76" t="s">
        <v>9699</v>
      </c>
      <c r="E1446" s="76" t="s">
        <v>9393</v>
      </c>
      <c r="F1446" s="76"/>
    </row>
    <row r="1447" spans="1:6" ht="63.95" customHeight="1">
      <c r="A1447" s="76" t="s">
        <v>5988</v>
      </c>
      <c r="B1447" s="76" t="s">
        <v>9700</v>
      </c>
      <c r="C1447" s="76" t="s">
        <v>9701</v>
      </c>
      <c r="D1447" s="76" t="s">
        <v>9702</v>
      </c>
      <c r="E1447" s="76" t="s">
        <v>9393</v>
      </c>
      <c r="F1447" s="76"/>
    </row>
    <row r="1448" spans="1:6" ht="63.95" customHeight="1">
      <c r="A1448" s="76" t="s">
        <v>5988</v>
      </c>
      <c r="B1448" s="76" t="s">
        <v>9703</v>
      </c>
      <c r="C1448" s="76" t="s">
        <v>9704</v>
      </c>
      <c r="D1448" s="76" t="s">
        <v>9705</v>
      </c>
      <c r="E1448" s="76" t="s">
        <v>9393</v>
      </c>
      <c r="F1448" s="76"/>
    </row>
    <row r="1449" spans="1:6" ht="63.95" customHeight="1">
      <c r="A1449" s="76" t="s">
        <v>5988</v>
      </c>
      <c r="B1449" s="76" t="s">
        <v>9706</v>
      </c>
      <c r="C1449" s="76" t="s">
        <v>9707</v>
      </c>
      <c r="D1449" s="76" t="s">
        <v>9708</v>
      </c>
      <c r="E1449" s="76" t="s">
        <v>9393</v>
      </c>
      <c r="F1449" s="76"/>
    </row>
    <row r="1450" spans="1:6" ht="63.95" customHeight="1">
      <c r="A1450" s="76" t="s">
        <v>5988</v>
      </c>
      <c r="B1450" s="76" t="s">
        <v>9709</v>
      </c>
      <c r="C1450" s="76" t="s">
        <v>9710</v>
      </c>
      <c r="D1450" s="76" t="s">
        <v>9711</v>
      </c>
      <c r="E1450" s="76" t="s">
        <v>9393</v>
      </c>
      <c r="F1450" s="76"/>
    </row>
    <row r="1451" spans="1:6" ht="63.95" customHeight="1">
      <c r="A1451" s="76" t="s">
        <v>5988</v>
      </c>
      <c r="B1451" s="76" t="s">
        <v>6668</v>
      </c>
      <c r="C1451" s="76" t="s">
        <v>9712</v>
      </c>
      <c r="D1451" s="76" t="s">
        <v>9713</v>
      </c>
      <c r="E1451" s="76" t="s">
        <v>9393</v>
      </c>
      <c r="F1451" s="76"/>
    </row>
    <row r="1452" spans="1:6" ht="63.95" customHeight="1">
      <c r="A1452" s="76" t="s">
        <v>5988</v>
      </c>
      <c r="B1452" s="76" t="s">
        <v>9714</v>
      </c>
      <c r="C1452" s="76" t="s">
        <v>9715</v>
      </c>
      <c r="D1452" s="76" t="s">
        <v>9716</v>
      </c>
      <c r="E1452" s="76" t="s">
        <v>9393</v>
      </c>
      <c r="F1452" s="76"/>
    </row>
    <row r="1453" spans="1:6" ht="63.95" customHeight="1">
      <c r="A1453" s="76" t="s">
        <v>5988</v>
      </c>
      <c r="B1453" s="76" t="s">
        <v>9717</v>
      </c>
      <c r="C1453" s="76" t="s">
        <v>9718</v>
      </c>
      <c r="D1453" s="76" t="s">
        <v>9719</v>
      </c>
      <c r="E1453" s="76" t="s">
        <v>9393</v>
      </c>
      <c r="F1453" s="76"/>
    </row>
    <row r="1454" spans="1:6" ht="63.95" customHeight="1">
      <c r="A1454" s="76" t="s">
        <v>5988</v>
      </c>
      <c r="B1454" s="76" t="s">
        <v>9720</v>
      </c>
      <c r="C1454" s="76" t="s">
        <v>9721</v>
      </c>
      <c r="D1454" s="76" t="s">
        <v>9722</v>
      </c>
      <c r="E1454" s="76" t="s">
        <v>9393</v>
      </c>
      <c r="F1454" s="76"/>
    </row>
    <row r="1455" spans="1:6" ht="63.95" customHeight="1">
      <c r="A1455" s="76" t="s">
        <v>5988</v>
      </c>
      <c r="B1455" s="76" t="s">
        <v>9723</v>
      </c>
      <c r="C1455" s="76" t="s">
        <v>9724</v>
      </c>
      <c r="D1455" s="76" t="s">
        <v>9725</v>
      </c>
      <c r="E1455" s="76" t="s">
        <v>9393</v>
      </c>
      <c r="F1455" s="76"/>
    </row>
    <row r="1456" spans="1:6" ht="63.95" customHeight="1">
      <c r="A1456" s="76" t="s">
        <v>5988</v>
      </c>
      <c r="B1456" s="76" t="s">
        <v>9726</v>
      </c>
      <c r="C1456" s="76" t="s">
        <v>9727</v>
      </c>
      <c r="D1456" s="76" t="s">
        <v>9728</v>
      </c>
      <c r="E1456" s="76" t="s">
        <v>9393</v>
      </c>
      <c r="F1456" s="76"/>
    </row>
    <row r="1457" spans="1:6" ht="63.95" customHeight="1">
      <c r="A1457" s="76" t="s">
        <v>5988</v>
      </c>
      <c r="B1457" s="76" t="s">
        <v>9729</v>
      </c>
      <c r="C1457" s="76" t="s">
        <v>9730</v>
      </c>
      <c r="D1457" s="76" t="s">
        <v>9731</v>
      </c>
      <c r="E1457" s="76" t="s">
        <v>9393</v>
      </c>
      <c r="F1457" s="76"/>
    </row>
    <row r="1458" spans="1:6" ht="63.95" customHeight="1">
      <c r="A1458" s="76" t="s">
        <v>5988</v>
      </c>
      <c r="B1458" s="76" t="s">
        <v>9732</v>
      </c>
      <c r="C1458" s="76" t="s">
        <v>9733</v>
      </c>
      <c r="D1458" s="76" t="s">
        <v>9734</v>
      </c>
      <c r="E1458" s="76" t="s">
        <v>9393</v>
      </c>
      <c r="F1458" s="76"/>
    </row>
    <row r="1459" spans="1:6" ht="63.95" customHeight="1">
      <c r="A1459" s="76" t="s">
        <v>5988</v>
      </c>
      <c r="B1459" s="76" t="s">
        <v>9735</v>
      </c>
      <c r="C1459" s="76" t="s">
        <v>9736</v>
      </c>
      <c r="D1459" s="76" t="s">
        <v>9737</v>
      </c>
      <c r="E1459" s="76" t="s">
        <v>9393</v>
      </c>
      <c r="F1459" s="76"/>
    </row>
    <row r="1460" spans="1:6" ht="63.95" customHeight="1">
      <c r="A1460" s="76" t="s">
        <v>5988</v>
      </c>
      <c r="B1460" s="76" t="s">
        <v>9738</v>
      </c>
      <c r="C1460" s="76" t="s">
        <v>9739</v>
      </c>
      <c r="D1460" s="76" t="s">
        <v>9740</v>
      </c>
      <c r="E1460" s="76" t="s">
        <v>9393</v>
      </c>
      <c r="F1460" s="76"/>
    </row>
    <row r="1461" spans="1:6" ht="63.95" customHeight="1">
      <c r="A1461" s="76" t="s">
        <v>5988</v>
      </c>
      <c r="B1461" s="76" t="s">
        <v>9741</v>
      </c>
      <c r="C1461" s="76" t="s">
        <v>9742</v>
      </c>
      <c r="D1461" s="76" t="s">
        <v>9743</v>
      </c>
      <c r="E1461" s="76" t="s">
        <v>9393</v>
      </c>
      <c r="F1461" s="76"/>
    </row>
    <row r="1462" spans="1:6" ht="63.95" customHeight="1">
      <c r="A1462" s="76" t="s">
        <v>5988</v>
      </c>
      <c r="B1462" s="76" t="s">
        <v>9744</v>
      </c>
      <c r="C1462" s="76" t="s">
        <v>9745</v>
      </c>
      <c r="D1462" s="76" t="s">
        <v>9746</v>
      </c>
      <c r="E1462" s="76" t="s">
        <v>9393</v>
      </c>
      <c r="F1462" s="76"/>
    </row>
    <row r="1463" spans="1:6" ht="63.95" customHeight="1">
      <c r="A1463" s="76" t="s">
        <v>5988</v>
      </c>
      <c r="B1463" s="76" t="s">
        <v>9747</v>
      </c>
      <c r="C1463" s="76" t="s">
        <v>9748</v>
      </c>
      <c r="D1463" s="76" t="s">
        <v>9749</v>
      </c>
      <c r="E1463" s="76" t="s">
        <v>9393</v>
      </c>
      <c r="F1463" s="76"/>
    </row>
    <row r="1464" spans="1:6" ht="63.95" customHeight="1">
      <c r="A1464" s="76" t="s">
        <v>5988</v>
      </c>
      <c r="B1464" s="76" t="s">
        <v>9750</v>
      </c>
      <c r="C1464" s="76" t="s">
        <v>9751</v>
      </c>
      <c r="D1464" s="76" t="s">
        <v>9752</v>
      </c>
      <c r="E1464" s="76" t="s">
        <v>9393</v>
      </c>
      <c r="F1464" s="76"/>
    </row>
    <row r="1465" spans="1:6" ht="63.95" customHeight="1">
      <c r="A1465" s="76" t="s">
        <v>5988</v>
      </c>
      <c r="B1465" s="76" t="s">
        <v>9753</v>
      </c>
      <c r="C1465" s="76" t="s">
        <v>9754</v>
      </c>
      <c r="D1465" s="76" t="s">
        <v>9755</v>
      </c>
      <c r="E1465" s="76" t="s">
        <v>9393</v>
      </c>
      <c r="F1465" s="76"/>
    </row>
    <row r="1466" spans="1:6" ht="63.95" customHeight="1">
      <c r="A1466" s="76" t="s">
        <v>5988</v>
      </c>
      <c r="B1466" s="76" t="s">
        <v>9756</v>
      </c>
      <c r="C1466" s="76" t="s">
        <v>9757</v>
      </c>
      <c r="D1466" s="76" t="s">
        <v>9758</v>
      </c>
      <c r="E1466" s="76" t="s">
        <v>9393</v>
      </c>
      <c r="F1466" s="76"/>
    </row>
    <row r="1467" spans="1:6" ht="63.95" customHeight="1">
      <c r="A1467" s="76" t="s">
        <v>5988</v>
      </c>
      <c r="B1467" s="76" t="s">
        <v>9759</v>
      </c>
      <c r="C1467" s="76" t="s">
        <v>9760</v>
      </c>
      <c r="D1467" s="76" t="s">
        <v>9761</v>
      </c>
      <c r="E1467" s="76" t="s">
        <v>9393</v>
      </c>
      <c r="F1467" s="76"/>
    </row>
    <row r="1468" spans="1:6" ht="63.95" customHeight="1">
      <c r="A1468" s="76" t="s">
        <v>5988</v>
      </c>
      <c r="B1468" s="76" t="s">
        <v>9762</v>
      </c>
      <c r="C1468" s="76" t="s">
        <v>9763</v>
      </c>
      <c r="D1468" s="76" t="s">
        <v>9764</v>
      </c>
      <c r="E1468" s="76" t="s">
        <v>9393</v>
      </c>
      <c r="F1468" s="76"/>
    </row>
    <row r="1469" spans="1:6" ht="63.95" customHeight="1">
      <c r="A1469" s="76" t="s">
        <v>5988</v>
      </c>
      <c r="B1469" s="76" t="s">
        <v>9765</v>
      </c>
      <c r="C1469" s="76" t="s">
        <v>9766</v>
      </c>
      <c r="D1469" s="76" t="s">
        <v>9767</v>
      </c>
      <c r="E1469" s="76" t="s">
        <v>9393</v>
      </c>
      <c r="F1469" s="76"/>
    </row>
    <row r="1470" spans="1:6" ht="63.95" customHeight="1">
      <c r="A1470" s="76" t="s">
        <v>5988</v>
      </c>
      <c r="B1470" s="76" t="s">
        <v>9768</v>
      </c>
      <c r="C1470" s="76" t="s">
        <v>9769</v>
      </c>
      <c r="D1470" s="76" t="s">
        <v>9770</v>
      </c>
      <c r="E1470" s="76" t="s">
        <v>9393</v>
      </c>
      <c r="F1470" s="76"/>
    </row>
    <row r="1471" spans="1:6" ht="63.95" customHeight="1">
      <c r="A1471" s="76" t="s">
        <v>5988</v>
      </c>
      <c r="B1471" s="76" t="s">
        <v>9771</v>
      </c>
      <c r="C1471" s="76" t="s">
        <v>9772</v>
      </c>
      <c r="D1471" s="76" t="s">
        <v>9773</v>
      </c>
      <c r="E1471" s="76" t="s">
        <v>9393</v>
      </c>
      <c r="F1471" s="76"/>
    </row>
    <row r="1472" spans="1:6" ht="63.95" customHeight="1">
      <c r="A1472" s="76" t="s">
        <v>5988</v>
      </c>
      <c r="B1472" s="76" t="s">
        <v>9774</v>
      </c>
      <c r="C1472" s="76" t="s">
        <v>9775</v>
      </c>
      <c r="D1472" s="76" t="s">
        <v>9776</v>
      </c>
      <c r="E1472" s="76" t="s">
        <v>9393</v>
      </c>
      <c r="F1472" s="76"/>
    </row>
    <row r="1473" spans="1:6" ht="63.95" customHeight="1">
      <c r="A1473" s="76" t="s">
        <v>5988</v>
      </c>
      <c r="B1473" s="76" t="s">
        <v>9777</v>
      </c>
      <c r="C1473" s="76" t="s">
        <v>9778</v>
      </c>
      <c r="D1473" s="76" t="s">
        <v>9779</v>
      </c>
      <c r="E1473" s="76" t="s">
        <v>9393</v>
      </c>
      <c r="F1473" s="76"/>
    </row>
    <row r="1474" spans="1:6" ht="63.95" customHeight="1">
      <c r="A1474" s="76" t="s">
        <v>5988</v>
      </c>
      <c r="B1474" s="76" t="s">
        <v>9780</v>
      </c>
      <c r="C1474" s="76" t="s">
        <v>9781</v>
      </c>
      <c r="D1474" s="76" t="s">
        <v>9782</v>
      </c>
      <c r="E1474" s="76" t="s">
        <v>9393</v>
      </c>
      <c r="F1474" s="76"/>
    </row>
    <row r="1475" spans="1:6" ht="63.95" customHeight="1">
      <c r="A1475" s="76" t="s">
        <v>5988</v>
      </c>
      <c r="B1475" s="76" t="s">
        <v>9783</v>
      </c>
      <c r="C1475" s="76" t="s">
        <v>9784</v>
      </c>
      <c r="D1475" s="76" t="s">
        <v>9785</v>
      </c>
      <c r="E1475" s="76" t="s">
        <v>9393</v>
      </c>
      <c r="F1475" s="76"/>
    </row>
    <row r="1476" spans="1:6" ht="63.95" customHeight="1">
      <c r="A1476" s="76" t="s">
        <v>5988</v>
      </c>
      <c r="B1476" s="76" t="s">
        <v>9786</v>
      </c>
      <c r="C1476" s="76" t="s">
        <v>9787</v>
      </c>
      <c r="D1476" s="76" t="s">
        <v>9788</v>
      </c>
      <c r="E1476" s="76" t="s">
        <v>9393</v>
      </c>
      <c r="F1476" s="76"/>
    </row>
    <row r="1477" spans="1:6" ht="63.95" customHeight="1">
      <c r="A1477" s="76" t="s">
        <v>5988</v>
      </c>
      <c r="B1477" s="76" t="s">
        <v>9789</v>
      </c>
      <c r="C1477" s="76" t="s">
        <v>9790</v>
      </c>
      <c r="D1477" s="76" t="s">
        <v>9791</v>
      </c>
      <c r="E1477" s="76" t="s">
        <v>9393</v>
      </c>
      <c r="F1477" s="76"/>
    </row>
    <row r="1478" spans="1:6" ht="63.95" customHeight="1">
      <c r="A1478" s="76" t="s">
        <v>5988</v>
      </c>
      <c r="B1478" s="76" t="s">
        <v>9792</v>
      </c>
      <c r="C1478" s="76" t="s">
        <v>9793</v>
      </c>
      <c r="D1478" s="76" t="s">
        <v>9794</v>
      </c>
      <c r="E1478" s="76" t="s">
        <v>9393</v>
      </c>
      <c r="F1478" s="76"/>
    </row>
    <row r="1479" spans="1:6" ht="63.95" customHeight="1">
      <c r="A1479" s="76" t="s">
        <v>5988</v>
      </c>
      <c r="B1479" s="76" t="s">
        <v>9795</v>
      </c>
      <c r="C1479" s="76" t="s">
        <v>9796</v>
      </c>
      <c r="D1479" s="76" t="s">
        <v>9797</v>
      </c>
      <c r="E1479" s="76" t="s">
        <v>9393</v>
      </c>
      <c r="F1479" s="76"/>
    </row>
    <row r="1480" spans="1:6" ht="63.95" customHeight="1">
      <c r="A1480" s="76" t="s">
        <v>5988</v>
      </c>
      <c r="B1480" s="76" t="s">
        <v>9798</v>
      </c>
      <c r="C1480" s="76" t="s">
        <v>9799</v>
      </c>
      <c r="D1480" s="76" t="s">
        <v>9800</v>
      </c>
      <c r="E1480" s="76" t="s">
        <v>9393</v>
      </c>
      <c r="F1480" s="76"/>
    </row>
    <row r="1481" spans="1:6" ht="63.95" customHeight="1">
      <c r="A1481" s="76" t="s">
        <v>5988</v>
      </c>
      <c r="B1481" s="76" t="s">
        <v>9801</v>
      </c>
      <c r="C1481" s="76" t="s">
        <v>9802</v>
      </c>
      <c r="D1481" s="76" t="s">
        <v>9803</v>
      </c>
      <c r="E1481" s="76" t="s">
        <v>9393</v>
      </c>
      <c r="F1481" s="76"/>
    </row>
    <row r="1482" spans="1:6" ht="63.95" customHeight="1">
      <c r="A1482" s="76" t="s">
        <v>5988</v>
      </c>
      <c r="B1482" s="76" t="s">
        <v>9804</v>
      </c>
      <c r="C1482" s="76" t="s">
        <v>9805</v>
      </c>
      <c r="D1482" s="76" t="s">
        <v>9806</v>
      </c>
      <c r="E1482" s="76" t="s">
        <v>9393</v>
      </c>
      <c r="F1482" s="76"/>
    </row>
    <row r="1483" spans="1:6" ht="63.95" customHeight="1">
      <c r="A1483" s="76" t="s">
        <v>5988</v>
      </c>
      <c r="B1483" s="76" t="s">
        <v>9807</v>
      </c>
      <c r="C1483" s="76" t="s">
        <v>9808</v>
      </c>
      <c r="D1483" s="76" t="s">
        <v>9809</v>
      </c>
      <c r="E1483" s="76" t="s">
        <v>9393</v>
      </c>
      <c r="F1483" s="76"/>
    </row>
    <row r="1484" spans="1:6" ht="63.95" customHeight="1">
      <c r="A1484" s="76" t="s">
        <v>5988</v>
      </c>
      <c r="B1484" s="76" t="s">
        <v>9810</v>
      </c>
      <c r="C1484" s="76" t="s">
        <v>9811</v>
      </c>
      <c r="D1484" s="76" t="s">
        <v>9812</v>
      </c>
      <c r="E1484" s="76" t="s">
        <v>9393</v>
      </c>
      <c r="F1484" s="76"/>
    </row>
    <row r="1485" spans="1:6" ht="63.95" customHeight="1">
      <c r="A1485" s="76" t="s">
        <v>5988</v>
      </c>
      <c r="B1485" s="76" t="s">
        <v>9813</v>
      </c>
      <c r="C1485" s="76" t="s">
        <v>9814</v>
      </c>
      <c r="D1485" s="76" t="s">
        <v>9815</v>
      </c>
      <c r="E1485" s="76" t="s">
        <v>9393</v>
      </c>
      <c r="F1485" s="76"/>
    </row>
    <row r="1486" spans="1:6" ht="63.95" customHeight="1">
      <c r="A1486" s="76" t="s">
        <v>5988</v>
      </c>
      <c r="B1486" s="76" t="s">
        <v>9816</v>
      </c>
      <c r="C1486" s="76" t="s">
        <v>9817</v>
      </c>
      <c r="D1486" s="76" t="s">
        <v>9818</v>
      </c>
      <c r="E1486" s="76" t="s">
        <v>9393</v>
      </c>
      <c r="F1486" s="76"/>
    </row>
    <row r="1487" spans="1:6" ht="63.95" customHeight="1">
      <c r="A1487" s="76" t="s">
        <v>5988</v>
      </c>
      <c r="B1487" s="76" t="s">
        <v>9819</v>
      </c>
      <c r="C1487" s="76" t="s">
        <v>9820</v>
      </c>
      <c r="D1487" s="76" t="s">
        <v>9821</v>
      </c>
      <c r="E1487" s="76" t="s">
        <v>9393</v>
      </c>
      <c r="F1487" s="76"/>
    </row>
    <row r="1488" spans="1:6" ht="63.95" customHeight="1">
      <c r="A1488" s="76" t="s">
        <v>5988</v>
      </c>
      <c r="B1488" s="76" t="s">
        <v>9822</v>
      </c>
      <c r="C1488" s="76" t="s">
        <v>9823</v>
      </c>
      <c r="D1488" s="76" t="s">
        <v>9824</v>
      </c>
      <c r="E1488" s="76" t="s">
        <v>9393</v>
      </c>
      <c r="F1488" s="76"/>
    </row>
    <row r="1489" spans="1:6" ht="63.95" customHeight="1">
      <c r="A1489" s="76" t="s">
        <v>5988</v>
      </c>
      <c r="B1489" s="76" t="s">
        <v>9825</v>
      </c>
      <c r="C1489" s="76" t="s">
        <v>9826</v>
      </c>
      <c r="D1489" s="76" t="s">
        <v>9827</v>
      </c>
      <c r="E1489" s="76" t="s">
        <v>9393</v>
      </c>
      <c r="F1489" s="76"/>
    </row>
    <row r="1490" spans="1:6" ht="63.95" customHeight="1">
      <c r="A1490" s="76" t="s">
        <v>5988</v>
      </c>
      <c r="B1490" s="76" t="s">
        <v>9828</v>
      </c>
      <c r="C1490" s="76" t="s">
        <v>9829</v>
      </c>
      <c r="D1490" s="76" t="s">
        <v>9830</v>
      </c>
      <c r="E1490" s="76" t="s">
        <v>9393</v>
      </c>
      <c r="F1490" s="76"/>
    </row>
    <row r="1491" spans="1:6" ht="63.95" customHeight="1">
      <c r="A1491" s="76" t="s">
        <v>5988</v>
      </c>
      <c r="B1491" s="76" t="s">
        <v>9831</v>
      </c>
      <c r="C1491" s="76" t="s">
        <v>9832</v>
      </c>
      <c r="D1491" s="76" t="s">
        <v>9833</v>
      </c>
      <c r="E1491" s="76" t="s">
        <v>9393</v>
      </c>
      <c r="F1491" s="76"/>
    </row>
    <row r="1492" spans="1:6" ht="63.95" customHeight="1">
      <c r="A1492" s="76" t="s">
        <v>5988</v>
      </c>
      <c r="B1492" s="76" t="s">
        <v>9834</v>
      </c>
      <c r="C1492" s="76" t="s">
        <v>9835</v>
      </c>
      <c r="D1492" s="76" t="s">
        <v>9836</v>
      </c>
      <c r="E1492" s="76" t="s">
        <v>9393</v>
      </c>
      <c r="F1492" s="76"/>
    </row>
    <row r="1493" spans="1:6" ht="63.95" customHeight="1">
      <c r="A1493" s="76" t="s">
        <v>5988</v>
      </c>
      <c r="B1493" s="76" t="s">
        <v>9837</v>
      </c>
      <c r="C1493" s="76" t="s">
        <v>9838</v>
      </c>
      <c r="D1493" s="76" t="s">
        <v>9839</v>
      </c>
      <c r="E1493" s="76" t="s">
        <v>9393</v>
      </c>
      <c r="F1493" s="76"/>
    </row>
    <row r="1494" spans="1:6" ht="63.95" customHeight="1">
      <c r="A1494" s="76" t="s">
        <v>5988</v>
      </c>
      <c r="B1494" s="76" t="s">
        <v>9840</v>
      </c>
      <c r="C1494" s="76" t="s">
        <v>9841</v>
      </c>
      <c r="D1494" s="76" t="s">
        <v>9842</v>
      </c>
      <c r="E1494" s="76" t="s">
        <v>9393</v>
      </c>
      <c r="F1494" s="76"/>
    </row>
    <row r="1495" spans="1:6" ht="63.95" customHeight="1">
      <c r="A1495" s="76" t="s">
        <v>5988</v>
      </c>
      <c r="B1495" s="76" t="s">
        <v>9843</v>
      </c>
      <c r="C1495" s="76" t="s">
        <v>9844</v>
      </c>
      <c r="D1495" s="76" t="s">
        <v>9845</v>
      </c>
      <c r="E1495" s="76" t="s">
        <v>9393</v>
      </c>
      <c r="F1495" s="76"/>
    </row>
    <row r="1496" spans="1:6" ht="63.95" customHeight="1">
      <c r="A1496" s="76" t="s">
        <v>5988</v>
      </c>
      <c r="B1496" s="76" t="s">
        <v>9846</v>
      </c>
      <c r="C1496" s="76" t="s">
        <v>9847</v>
      </c>
      <c r="D1496" s="76" t="s">
        <v>9848</v>
      </c>
      <c r="E1496" s="76" t="s">
        <v>9393</v>
      </c>
      <c r="F1496" s="76"/>
    </row>
    <row r="1497" spans="1:6" ht="63.95" customHeight="1">
      <c r="A1497" s="76" t="s">
        <v>5988</v>
      </c>
      <c r="B1497" s="76" t="s">
        <v>9849</v>
      </c>
      <c r="C1497" s="76" t="s">
        <v>9850</v>
      </c>
      <c r="D1497" s="76" t="s">
        <v>9851</v>
      </c>
      <c r="E1497" s="76" t="s">
        <v>9393</v>
      </c>
      <c r="F1497" s="76"/>
    </row>
    <row r="1498" spans="1:6" ht="63.95" customHeight="1">
      <c r="A1498" s="76" t="s">
        <v>5988</v>
      </c>
      <c r="B1498" s="76" t="s">
        <v>9852</v>
      </c>
      <c r="C1498" s="76" t="s">
        <v>9853</v>
      </c>
      <c r="D1498" s="76" t="s">
        <v>9854</v>
      </c>
      <c r="E1498" s="76" t="s">
        <v>9393</v>
      </c>
      <c r="F1498" s="76"/>
    </row>
    <row r="1499" spans="1:6" ht="63.95" customHeight="1">
      <c r="A1499" s="76" t="s">
        <v>5991</v>
      </c>
      <c r="B1499" s="76" t="s">
        <v>3503</v>
      </c>
      <c r="C1499" s="76" t="s">
        <v>9855</v>
      </c>
      <c r="D1499" s="76" t="s">
        <v>3051</v>
      </c>
      <c r="E1499" s="76" t="s">
        <v>7668</v>
      </c>
      <c r="F1499" s="76"/>
    </row>
    <row r="1500" spans="1:6" ht="63.95" customHeight="1">
      <c r="A1500" s="76" t="s">
        <v>5991</v>
      </c>
      <c r="B1500" s="76" t="s">
        <v>3740</v>
      </c>
      <c r="C1500" s="76" t="s">
        <v>7670</v>
      </c>
      <c r="D1500" s="76" t="s">
        <v>1839</v>
      </c>
      <c r="E1500" s="76" t="s">
        <v>7668</v>
      </c>
      <c r="F1500" s="76"/>
    </row>
    <row r="1501" spans="1:6" ht="63.95" customHeight="1">
      <c r="A1501" s="76" t="s">
        <v>5991</v>
      </c>
      <c r="B1501" s="76" t="s">
        <v>7737</v>
      </c>
      <c r="C1501" s="76" t="s">
        <v>9856</v>
      </c>
      <c r="D1501" s="76" t="s">
        <v>3053</v>
      </c>
      <c r="E1501" s="76" t="s">
        <v>7668</v>
      </c>
      <c r="F1501" s="76"/>
    </row>
    <row r="1502" spans="1:6" ht="63.95" customHeight="1">
      <c r="A1502" s="76" t="s">
        <v>5991</v>
      </c>
      <c r="B1502" s="76" t="s">
        <v>9857</v>
      </c>
      <c r="C1502" s="76" t="s">
        <v>7672</v>
      </c>
      <c r="D1502" s="76" t="s">
        <v>3054</v>
      </c>
      <c r="E1502" s="76" t="s">
        <v>7668</v>
      </c>
      <c r="F1502" s="76"/>
    </row>
    <row r="1503" spans="1:6" ht="63.95" customHeight="1">
      <c r="A1503" s="76" t="s">
        <v>5991</v>
      </c>
      <c r="B1503" s="76" t="s">
        <v>9858</v>
      </c>
      <c r="C1503" s="76" t="s">
        <v>7674</v>
      </c>
      <c r="D1503" s="76" t="s">
        <v>3055</v>
      </c>
      <c r="E1503" s="76" t="s">
        <v>7668</v>
      </c>
      <c r="F1503" s="76"/>
    </row>
    <row r="1504" spans="1:6" ht="63.95" customHeight="1">
      <c r="A1504" s="76" t="s">
        <v>5991</v>
      </c>
      <c r="B1504" s="76" t="s">
        <v>3743</v>
      </c>
      <c r="C1504" s="76" t="s">
        <v>9859</v>
      </c>
      <c r="D1504" s="76" t="s">
        <v>9860</v>
      </c>
      <c r="E1504" s="76" t="s">
        <v>7678</v>
      </c>
      <c r="F1504" s="76"/>
    </row>
    <row r="1505" spans="1:6" ht="63.95" customHeight="1">
      <c r="A1505" s="76" t="s">
        <v>5991</v>
      </c>
      <c r="B1505" s="76" t="s">
        <v>7741</v>
      </c>
      <c r="C1505" s="76" t="s">
        <v>9861</v>
      </c>
      <c r="D1505" s="76" t="s">
        <v>9862</v>
      </c>
      <c r="E1505" s="76" t="s">
        <v>7678</v>
      </c>
      <c r="F1505" s="76"/>
    </row>
    <row r="1506" spans="1:6" ht="63.95" customHeight="1">
      <c r="A1506" s="76" t="s">
        <v>5991</v>
      </c>
      <c r="B1506" s="76" t="s">
        <v>3746</v>
      </c>
      <c r="C1506" s="76" t="s">
        <v>9863</v>
      </c>
      <c r="D1506" s="76" t="s">
        <v>9864</v>
      </c>
      <c r="E1506" s="76" t="s">
        <v>7678</v>
      </c>
      <c r="F1506" s="76"/>
    </row>
    <row r="1507" spans="1:6" ht="63.95" customHeight="1">
      <c r="A1507" s="76" t="s">
        <v>5991</v>
      </c>
      <c r="B1507" s="76" t="s">
        <v>7746</v>
      </c>
      <c r="C1507" s="76" t="s">
        <v>9865</v>
      </c>
      <c r="D1507" s="76" t="s">
        <v>9866</v>
      </c>
      <c r="E1507" s="76" t="s">
        <v>7678</v>
      </c>
      <c r="F1507" s="76"/>
    </row>
    <row r="1508" spans="1:6" ht="63.95" customHeight="1">
      <c r="A1508" s="76" t="s">
        <v>5991</v>
      </c>
      <c r="B1508" s="76" t="s">
        <v>3749</v>
      </c>
      <c r="C1508" s="76" t="s">
        <v>9867</v>
      </c>
      <c r="D1508" s="76" t="s">
        <v>9868</v>
      </c>
      <c r="E1508" s="76" t="s">
        <v>7678</v>
      </c>
      <c r="F1508" s="76"/>
    </row>
    <row r="1509" spans="1:6" ht="63.95" customHeight="1">
      <c r="A1509" s="76" t="s">
        <v>5991</v>
      </c>
      <c r="B1509" s="76" t="s">
        <v>7751</v>
      </c>
      <c r="C1509" s="76" t="s">
        <v>9869</v>
      </c>
      <c r="D1509" s="76" t="s">
        <v>9870</v>
      </c>
      <c r="E1509" s="76" t="s">
        <v>7678</v>
      </c>
      <c r="F1509" s="76"/>
    </row>
    <row r="1510" spans="1:6" ht="63.95" customHeight="1">
      <c r="A1510" s="76" t="s">
        <v>5991</v>
      </c>
      <c r="B1510" s="76" t="s">
        <v>3752</v>
      </c>
      <c r="C1510" s="76" t="s">
        <v>9871</v>
      </c>
      <c r="D1510" s="76" t="s">
        <v>9872</v>
      </c>
      <c r="E1510" s="76" t="s">
        <v>7678</v>
      </c>
      <c r="F1510" s="76"/>
    </row>
    <row r="1511" spans="1:6" ht="63.95" customHeight="1">
      <c r="A1511" s="76" t="s">
        <v>5991</v>
      </c>
      <c r="B1511" s="76" t="s">
        <v>7756</v>
      </c>
      <c r="C1511" s="76" t="s">
        <v>9873</v>
      </c>
      <c r="D1511" s="76" t="s">
        <v>9874</v>
      </c>
      <c r="E1511" s="76" t="s">
        <v>7678</v>
      </c>
      <c r="F1511" s="76"/>
    </row>
    <row r="1512" spans="1:6" ht="63.95" customHeight="1">
      <c r="A1512" s="76" t="s">
        <v>5991</v>
      </c>
      <c r="B1512" s="76" t="s">
        <v>7759</v>
      </c>
      <c r="C1512" s="76" t="s">
        <v>9875</v>
      </c>
      <c r="D1512" s="76" t="s">
        <v>9876</v>
      </c>
      <c r="E1512" s="76" t="s">
        <v>7678</v>
      </c>
      <c r="F1512" s="76"/>
    </row>
    <row r="1513" spans="1:6" ht="63.95" customHeight="1">
      <c r="A1513" s="76" t="s">
        <v>5991</v>
      </c>
      <c r="B1513" s="76" t="s">
        <v>7762</v>
      </c>
      <c r="C1513" s="76" t="s">
        <v>9877</v>
      </c>
      <c r="D1513" s="76" t="s">
        <v>9878</v>
      </c>
      <c r="E1513" s="76" t="s">
        <v>7678</v>
      </c>
      <c r="F1513" s="76"/>
    </row>
    <row r="1514" spans="1:6" ht="63.95" customHeight="1">
      <c r="A1514" s="76" t="s">
        <v>5991</v>
      </c>
      <c r="B1514" s="76" t="s">
        <v>7765</v>
      </c>
      <c r="C1514" s="76" t="s">
        <v>9879</v>
      </c>
      <c r="D1514" s="76" t="s">
        <v>9880</v>
      </c>
      <c r="E1514" s="76" t="s">
        <v>7678</v>
      </c>
      <c r="F1514" s="76"/>
    </row>
    <row r="1515" spans="1:6" ht="63.95" customHeight="1">
      <c r="A1515" s="76" t="s">
        <v>5991</v>
      </c>
      <c r="B1515" s="76" t="s">
        <v>7768</v>
      </c>
      <c r="C1515" s="76" t="s">
        <v>9881</v>
      </c>
      <c r="D1515" s="76" t="s">
        <v>9882</v>
      </c>
      <c r="E1515" s="76" t="s">
        <v>7678</v>
      </c>
      <c r="F1515" s="76"/>
    </row>
    <row r="1516" spans="1:6" ht="63.95" customHeight="1">
      <c r="A1516" s="76" t="s">
        <v>5991</v>
      </c>
      <c r="B1516" s="76" t="s">
        <v>7771</v>
      </c>
      <c r="C1516" s="76" t="s">
        <v>9883</v>
      </c>
      <c r="D1516" s="76" t="s">
        <v>9884</v>
      </c>
      <c r="E1516" s="76" t="s">
        <v>7678</v>
      </c>
      <c r="F1516" s="76"/>
    </row>
    <row r="1517" spans="1:6" ht="63.95" customHeight="1">
      <c r="A1517" s="76" t="s">
        <v>5991</v>
      </c>
      <c r="B1517" s="76" t="s">
        <v>7774</v>
      </c>
      <c r="C1517" s="76" t="s">
        <v>9885</v>
      </c>
      <c r="D1517" s="76" t="s">
        <v>9886</v>
      </c>
      <c r="E1517" s="76" t="s">
        <v>7678</v>
      </c>
      <c r="F1517" s="76"/>
    </row>
    <row r="1518" spans="1:6" ht="63.95" customHeight="1">
      <c r="A1518" s="76" t="s">
        <v>5991</v>
      </c>
      <c r="B1518" s="76" t="s">
        <v>7777</v>
      </c>
      <c r="C1518" s="76" t="s">
        <v>9887</v>
      </c>
      <c r="D1518" s="76" t="s">
        <v>9888</v>
      </c>
      <c r="E1518" s="76" t="s">
        <v>7678</v>
      </c>
      <c r="F1518" s="76"/>
    </row>
    <row r="1519" spans="1:6" ht="63.95" customHeight="1">
      <c r="A1519" s="76" t="s">
        <v>5991</v>
      </c>
      <c r="B1519" s="76" t="s">
        <v>7780</v>
      </c>
      <c r="C1519" s="76" t="s">
        <v>9889</v>
      </c>
      <c r="D1519" s="76" t="s">
        <v>9890</v>
      </c>
      <c r="E1519" s="76" t="s">
        <v>7678</v>
      </c>
      <c r="F1519" s="76"/>
    </row>
    <row r="1520" spans="1:6" ht="63.95" customHeight="1">
      <c r="A1520" s="76" t="s">
        <v>5991</v>
      </c>
      <c r="B1520" s="76" t="s">
        <v>7783</v>
      </c>
      <c r="C1520" s="76" t="s">
        <v>9891</v>
      </c>
      <c r="D1520" s="76" t="s">
        <v>9892</v>
      </c>
      <c r="E1520" s="76" t="s">
        <v>7678</v>
      </c>
      <c r="F1520" s="76"/>
    </row>
    <row r="1521" spans="1:6" ht="63.95" customHeight="1">
      <c r="A1521" s="76" t="s">
        <v>5991</v>
      </c>
      <c r="B1521" s="76" t="s">
        <v>7786</v>
      </c>
      <c r="C1521" s="76" t="s">
        <v>9893</v>
      </c>
      <c r="D1521" s="76" t="s">
        <v>9894</v>
      </c>
      <c r="E1521" s="76" t="s">
        <v>7678</v>
      </c>
      <c r="F1521" s="76"/>
    </row>
    <row r="1522" spans="1:6" ht="63.95" customHeight="1">
      <c r="A1522" s="76" t="s">
        <v>5991</v>
      </c>
      <c r="B1522" s="76" t="s">
        <v>7789</v>
      </c>
      <c r="C1522" s="76" t="s">
        <v>9895</v>
      </c>
      <c r="D1522" s="76" t="s">
        <v>9896</v>
      </c>
      <c r="E1522" s="76" t="s">
        <v>7678</v>
      </c>
      <c r="F1522" s="76"/>
    </row>
    <row r="1523" spans="1:6" ht="63.95" customHeight="1">
      <c r="A1523" s="76" t="s">
        <v>5991</v>
      </c>
      <c r="B1523" s="76" t="s">
        <v>7792</v>
      </c>
      <c r="C1523" s="76" t="s">
        <v>9897</v>
      </c>
      <c r="D1523" s="76" t="s">
        <v>9898</v>
      </c>
      <c r="E1523" s="76" t="s">
        <v>7678</v>
      </c>
      <c r="F1523" s="76"/>
    </row>
    <row r="1524" spans="1:6" ht="63.95" customHeight="1">
      <c r="A1524" s="76" t="s">
        <v>5991</v>
      </c>
      <c r="B1524" s="76" t="s">
        <v>7795</v>
      </c>
      <c r="C1524" s="76" t="s">
        <v>9899</v>
      </c>
      <c r="D1524" s="76" t="s">
        <v>9900</v>
      </c>
      <c r="E1524" s="76" t="s">
        <v>7678</v>
      </c>
      <c r="F1524" s="76"/>
    </row>
    <row r="1525" spans="1:6" ht="63.95" customHeight="1">
      <c r="A1525" s="76" t="s">
        <v>5991</v>
      </c>
      <c r="B1525" s="76" t="s">
        <v>7798</v>
      </c>
      <c r="C1525" s="76" t="s">
        <v>9901</v>
      </c>
      <c r="D1525" s="76" t="s">
        <v>9902</v>
      </c>
      <c r="E1525" s="76" t="s">
        <v>7678</v>
      </c>
      <c r="F1525" s="76"/>
    </row>
    <row r="1526" spans="1:6" ht="63.95" customHeight="1">
      <c r="A1526" s="76" t="s">
        <v>5991</v>
      </c>
      <c r="B1526" s="76" t="s">
        <v>7801</v>
      </c>
      <c r="C1526" s="76" t="s">
        <v>9903</v>
      </c>
      <c r="D1526" s="76" t="s">
        <v>9904</v>
      </c>
      <c r="E1526" s="76" t="s">
        <v>7678</v>
      </c>
      <c r="F1526" s="76"/>
    </row>
    <row r="1527" spans="1:6" ht="63.95" customHeight="1">
      <c r="A1527" s="76" t="s">
        <v>5991</v>
      </c>
      <c r="B1527" s="76" t="s">
        <v>7804</v>
      </c>
      <c r="C1527" s="76" t="s">
        <v>9905</v>
      </c>
      <c r="D1527" s="76" t="s">
        <v>9906</v>
      </c>
      <c r="E1527" s="76" t="s">
        <v>7678</v>
      </c>
      <c r="F1527" s="76"/>
    </row>
    <row r="1528" spans="1:6" ht="63.95" customHeight="1">
      <c r="A1528" s="76" t="s">
        <v>5991</v>
      </c>
      <c r="B1528" s="76" t="s">
        <v>7807</v>
      </c>
      <c r="C1528" s="76" t="s">
        <v>9907</v>
      </c>
      <c r="D1528" s="76" t="s">
        <v>9908</v>
      </c>
      <c r="E1528" s="76" t="s">
        <v>7678</v>
      </c>
      <c r="F1528" s="76"/>
    </row>
    <row r="1529" spans="1:6" ht="63.95" customHeight="1">
      <c r="A1529" s="76" t="s">
        <v>5991</v>
      </c>
      <c r="B1529" s="76" t="s">
        <v>7810</v>
      </c>
      <c r="C1529" s="76" t="s">
        <v>9909</v>
      </c>
      <c r="D1529" s="76" t="s">
        <v>9910</v>
      </c>
      <c r="E1529" s="76" t="s">
        <v>7678</v>
      </c>
      <c r="F1529" s="76"/>
    </row>
    <row r="1530" spans="1:6" ht="63.95" customHeight="1">
      <c r="A1530" s="76" t="s">
        <v>5991</v>
      </c>
      <c r="B1530" s="76" t="s">
        <v>7813</v>
      </c>
      <c r="C1530" s="76" t="s">
        <v>9911</v>
      </c>
      <c r="D1530" s="76" t="s">
        <v>9912</v>
      </c>
      <c r="E1530" s="76" t="s">
        <v>7678</v>
      </c>
      <c r="F1530" s="76"/>
    </row>
    <row r="1531" spans="1:6" ht="63.95" customHeight="1">
      <c r="A1531" s="76" t="s">
        <v>5991</v>
      </c>
      <c r="B1531" s="76" t="s">
        <v>7816</v>
      </c>
      <c r="C1531" s="76" t="s">
        <v>9913</v>
      </c>
      <c r="D1531" s="76" t="s">
        <v>9914</v>
      </c>
      <c r="E1531" s="76" t="s">
        <v>7678</v>
      </c>
      <c r="F1531" s="76"/>
    </row>
    <row r="1532" spans="1:6" ht="63.95" customHeight="1">
      <c r="A1532" s="76" t="s">
        <v>5991</v>
      </c>
      <c r="B1532" s="76" t="s">
        <v>7819</v>
      </c>
      <c r="C1532" s="76" t="s">
        <v>9915</v>
      </c>
      <c r="D1532" s="76" t="s">
        <v>9916</v>
      </c>
      <c r="E1532" s="76" t="s">
        <v>7678</v>
      </c>
      <c r="F1532" s="76"/>
    </row>
    <row r="1533" spans="1:6" ht="63.95" customHeight="1">
      <c r="A1533" s="76" t="s">
        <v>5991</v>
      </c>
      <c r="B1533" s="76" t="s">
        <v>7822</v>
      </c>
      <c r="C1533" s="76" t="s">
        <v>9917</v>
      </c>
      <c r="D1533" s="76" t="s">
        <v>9918</v>
      </c>
      <c r="E1533" s="76" t="s">
        <v>7678</v>
      </c>
      <c r="F1533" s="76"/>
    </row>
    <row r="1534" spans="1:6" ht="63.95" customHeight="1">
      <c r="A1534" s="76" t="s">
        <v>5991</v>
      </c>
      <c r="B1534" s="76" t="s">
        <v>7825</v>
      </c>
      <c r="C1534" s="76" t="s">
        <v>9919</v>
      </c>
      <c r="D1534" s="76" t="s">
        <v>9920</v>
      </c>
      <c r="E1534" s="76" t="s">
        <v>7678</v>
      </c>
      <c r="F1534" s="76"/>
    </row>
    <row r="1535" spans="1:6" ht="63.95" customHeight="1">
      <c r="A1535" s="76" t="s">
        <v>5991</v>
      </c>
      <c r="B1535" s="76" t="s">
        <v>7828</v>
      </c>
      <c r="C1535" s="76" t="s">
        <v>9921</v>
      </c>
      <c r="D1535" s="76" t="s">
        <v>9922</v>
      </c>
      <c r="E1535" s="76" t="s">
        <v>7678</v>
      </c>
      <c r="F1535" s="76"/>
    </row>
    <row r="1536" spans="1:6" ht="63.95" customHeight="1">
      <c r="A1536" s="76" t="s">
        <v>5991</v>
      </c>
      <c r="B1536" s="76" t="s">
        <v>7831</v>
      </c>
      <c r="C1536" s="76" t="s">
        <v>9923</v>
      </c>
      <c r="D1536" s="76" t="s">
        <v>9924</v>
      </c>
      <c r="E1536" s="76" t="s">
        <v>7678</v>
      </c>
      <c r="F1536" s="76"/>
    </row>
    <row r="1537" spans="1:6" ht="63.95" customHeight="1">
      <c r="A1537" s="76" t="s">
        <v>5991</v>
      </c>
      <c r="B1537" s="76" t="s">
        <v>7834</v>
      </c>
      <c r="C1537" s="76" t="s">
        <v>9925</v>
      </c>
      <c r="D1537" s="76" t="s">
        <v>9926</v>
      </c>
      <c r="E1537" s="76" t="s">
        <v>7678</v>
      </c>
      <c r="F1537" s="76"/>
    </row>
    <row r="1538" spans="1:6" ht="63.95" customHeight="1">
      <c r="A1538" s="76" t="s">
        <v>5991</v>
      </c>
      <c r="B1538" s="76" t="s">
        <v>7837</v>
      </c>
      <c r="C1538" s="76" t="s">
        <v>9927</v>
      </c>
      <c r="D1538" s="76" t="s">
        <v>9928</v>
      </c>
      <c r="E1538" s="76" t="s">
        <v>7678</v>
      </c>
      <c r="F1538" s="76"/>
    </row>
    <row r="1539" spans="1:6" ht="63.95" customHeight="1">
      <c r="A1539" s="76" t="s">
        <v>5991</v>
      </c>
      <c r="B1539" s="76" t="s">
        <v>7840</v>
      </c>
      <c r="C1539" s="76" t="s">
        <v>9929</v>
      </c>
      <c r="D1539" s="76" t="s">
        <v>9930</v>
      </c>
      <c r="E1539" s="76" t="s">
        <v>7678</v>
      </c>
      <c r="F1539" s="76"/>
    </row>
    <row r="1540" spans="1:6" ht="63.95" customHeight="1">
      <c r="A1540" s="76" t="s">
        <v>5991</v>
      </c>
      <c r="B1540" s="76" t="s">
        <v>7843</v>
      </c>
      <c r="C1540" s="76" t="s">
        <v>9931</v>
      </c>
      <c r="D1540" s="76" t="s">
        <v>9932</v>
      </c>
      <c r="E1540" s="76" t="s">
        <v>7678</v>
      </c>
      <c r="F1540" s="76"/>
    </row>
    <row r="1541" spans="1:6" ht="63.95" customHeight="1">
      <c r="A1541" s="76" t="s">
        <v>5991</v>
      </c>
      <c r="B1541" s="76" t="s">
        <v>7846</v>
      </c>
      <c r="C1541" s="76" t="s">
        <v>9933</v>
      </c>
      <c r="D1541" s="76" t="s">
        <v>9934</v>
      </c>
      <c r="E1541" s="76" t="s">
        <v>7678</v>
      </c>
      <c r="F1541" s="76"/>
    </row>
    <row r="1542" spans="1:6" ht="63.95" customHeight="1">
      <c r="A1542" s="76" t="s">
        <v>5991</v>
      </c>
      <c r="B1542" s="76" t="s">
        <v>7849</v>
      </c>
      <c r="C1542" s="76" t="s">
        <v>9935</v>
      </c>
      <c r="D1542" s="76" t="s">
        <v>9936</v>
      </c>
      <c r="E1542" s="76" t="s">
        <v>7678</v>
      </c>
      <c r="F1542" s="76"/>
    </row>
    <row r="1543" spans="1:6" ht="63.95" customHeight="1">
      <c r="A1543" s="76" t="s">
        <v>5991</v>
      </c>
      <c r="B1543" s="76" t="s">
        <v>7852</v>
      </c>
      <c r="C1543" s="76" t="s">
        <v>9937</v>
      </c>
      <c r="D1543" s="76" t="s">
        <v>9938</v>
      </c>
      <c r="E1543" s="76" t="s">
        <v>7678</v>
      </c>
      <c r="F1543" s="76"/>
    </row>
    <row r="1544" spans="1:6" ht="63.95" customHeight="1">
      <c r="A1544" s="76" t="s">
        <v>5991</v>
      </c>
      <c r="B1544" s="76" t="s">
        <v>7855</v>
      </c>
      <c r="C1544" s="76" t="s">
        <v>9939</v>
      </c>
      <c r="D1544" s="76" t="s">
        <v>9940</v>
      </c>
      <c r="E1544" s="76" t="s">
        <v>7678</v>
      </c>
      <c r="F1544" s="76"/>
    </row>
    <row r="1545" spans="1:6" ht="63.95" customHeight="1">
      <c r="A1545" s="76" t="s">
        <v>5991</v>
      </c>
      <c r="B1545" s="76" t="s">
        <v>7858</v>
      </c>
      <c r="C1545" s="76" t="s">
        <v>9941</v>
      </c>
      <c r="D1545" s="76" t="s">
        <v>9942</v>
      </c>
      <c r="E1545" s="76" t="s">
        <v>7678</v>
      </c>
      <c r="F1545" s="76"/>
    </row>
    <row r="1546" spans="1:6" ht="63.95" customHeight="1">
      <c r="A1546" s="76" t="s">
        <v>5991</v>
      </c>
      <c r="B1546" s="76" t="s">
        <v>7861</v>
      </c>
      <c r="C1546" s="76" t="s">
        <v>9943</v>
      </c>
      <c r="D1546" s="76" t="s">
        <v>9944</v>
      </c>
      <c r="E1546" s="76" t="s">
        <v>7678</v>
      </c>
      <c r="F1546" s="76"/>
    </row>
    <row r="1547" spans="1:6" ht="63.95" customHeight="1">
      <c r="A1547" s="76" t="s">
        <v>5991</v>
      </c>
      <c r="B1547" s="76" t="s">
        <v>7864</v>
      </c>
      <c r="C1547" s="76" t="s">
        <v>9945</v>
      </c>
      <c r="D1547" s="76" t="s">
        <v>9946</v>
      </c>
      <c r="E1547" s="76" t="s">
        <v>7678</v>
      </c>
      <c r="F1547" s="76"/>
    </row>
    <row r="1548" spans="1:6" ht="63.95" customHeight="1">
      <c r="A1548" s="76" t="s">
        <v>5991</v>
      </c>
      <c r="B1548" s="76" t="s">
        <v>7867</v>
      </c>
      <c r="C1548" s="76" t="s">
        <v>9947</v>
      </c>
      <c r="D1548" s="76" t="s">
        <v>9948</v>
      </c>
      <c r="E1548" s="76" t="s">
        <v>7678</v>
      </c>
      <c r="F1548" s="76"/>
    </row>
    <row r="1549" spans="1:6" ht="63.95" customHeight="1">
      <c r="A1549" s="76" t="s">
        <v>5991</v>
      </c>
      <c r="B1549" s="76" t="s">
        <v>7870</v>
      </c>
      <c r="C1549" s="76" t="s">
        <v>9949</v>
      </c>
      <c r="D1549" s="76" t="s">
        <v>9950</v>
      </c>
      <c r="E1549" s="76" t="s">
        <v>7678</v>
      </c>
      <c r="F1549" s="76"/>
    </row>
    <row r="1550" spans="1:6" ht="63.95" customHeight="1">
      <c r="A1550" s="76" t="s">
        <v>5991</v>
      </c>
      <c r="B1550" s="76" t="s">
        <v>7873</v>
      </c>
      <c r="C1550" s="76" t="s">
        <v>9951</v>
      </c>
      <c r="D1550" s="76" t="s">
        <v>9952</v>
      </c>
      <c r="E1550" s="76" t="s">
        <v>7678</v>
      </c>
      <c r="F1550" s="76"/>
    </row>
    <row r="1551" spans="1:6" ht="63.95" customHeight="1">
      <c r="A1551" s="76" t="s">
        <v>5991</v>
      </c>
      <c r="B1551" s="76" t="s">
        <v>7876</v>
      </c>
      <c r="C1551" s="76" t="s">
        <v>9953</v>
      </c>
      <c r="D1551" s="76" t="s">
        <v>9954</v>
      </c>
      <c r="E1551" s="76" t="s">
        <v>7678</v>
      </c>
      <c r="F1551" s="76"/>
    </row>
    <row r="1552" spans="1:6" ht="63.95" customHeight="1">
      <c r="A1552" s="76" t="s">
        <v>5991</v>
      </c>
      <c r="B1552" s="76" t="s">
        <v>7879</v>
      </c>
      <c r="C1552" s="76" t="s">
        <v>9955</v>
      </c>
      <c r="D1552" s="76" t="s">
        <v>9956</v>
      </c>
      <c r="E1552" s="76" t="s">
        <v>7678</v>
      </c>
      <c r="F1552" s="76"/>
    </row>
    <row r="1553" spans="1:6" ht="63.95" customHeight="1">
      <c r="A1553" s="76" t="s">
        <v>5991</v>
      </c>
      <c r="B1553" s="76" t="s">
        <v>7882</v>
      </c>
      <c r="C1553" s="76" t="s">
        <v>9957</v>
      </c>
      <c r="D1553" s="76" t="s">
        <v>9958</v>
      </c>
      <c r="E1553" s="76" t="s">
        <v>7678</v>
      </c>
      <c r="F1553" s="76"/>
    </row>
    <row r="1554" spans="1:6" ht="63.95" customHeight="1">
      <c r="A1554" s="76" t="s">
        <v>5991</v>
      </c>
      <c r="B1554" s="76" t="s">
        <v>7885</v>
      </c>
      <c r="C1554" s="76" t="s">
        <v>9959</v>
      </c>
      <c r="D1554" s="76" t="s">
        <v>9960</v>
      </c>
      <c r="E1554" s="76" t="s">
        <v>7678</v>
      </c>
      <c r="F1554" s="76"/>
    </row>
    <row r="1555" spans="1:6" ht="63.95" customHeight="1">
      <c r="A1555" s="76" t="s">
        <v>5991</v>
      </c>
      <c r="B1555" s="76" t="s">
        <v>7888</v>
      </c>
      <c r="C1555" s="76" t="s">
        <v>9961</v>
      </c>
      <c r="D1555" s="76" t="s">
        <v>9962</v>
      </c>
      <c r="E1555" s="76" t="s">
        <v>7678</v>
      </c>
      <c r="F1555" s="76"/>
    </row>
    <row r="1556" spans="1:6" ht="63.95" customHeight="1">
      <c r="A1556" s="76" t="s">
        <v>5991</v>
      </c>
      <c r="B1556" s="76" t="s">
        <v>7891</v>
      </c>
      <c r="C1556" s="76" t="s">
        <v>9963</v>
      </c>
      <c r="D1556" s="76" t="s">
        <v>9964</v>
      </c>
      <c r="E1556" s="76" t="s">
        <v>7678</v>
      </c>
      <c r="F1556" s="76"/>
    </row>
    <row r="1557" spans="1:6" ht="63.95" customHeight="1">
      <c r="A1557" s="76" t="s">
        <v>5991</v>
      </c>
      <c r="B1557" s="76" t="s">
        <v>7894</v>
      </c>
      <c r="C1557" s="76" t="s">
        <v>9965</v>
      </c>
      <c r="D1557" s="76" t="s">
        <v>9966</v>
      </c>
      <c r="E1557" s="76" t="s">
        <v>7678</v>
      </c>
      <c r="F1557" s="76"/>
    </row>
    <row r="1558" spans="1:6" ht="63.95" customHeight="1">
      <c r="A1558" s="76" t="s">
        <v>5991</v>
      </c>
      <c r="B1558" s="76" t="s">
        <v>7897</v>
      </c>
      <c r="C1558" s="76" t="s">
        <v>9967</v>
      </c>
      <c r="D1558" s="76" t="s">
        <v>9968</v>
      </c>
      <c r="E1558" s="76" t="s">
        <v>7678</v>
      </c>
      <c r="F1558" s="76"/>
    </row>
    <row r="1559" spans="1:6" ht="63.95" customHeight="1">
      <c r="A1559" s="76" t="s">
        <v>5991</v>
      </c>
      <c r="B1559" s="76" t="s">
        <v>7900</v>
      </c>
      <c r="C1559" s="76" t="s">
        <v>9969</v>
      </c>
      <c r="D1559" s="76" t="s">
        <v>9970</v>
      </c>
      <c r="E1559" s="76" t="s">
        <v>7678</v>
      </c>
      <c r="F1559" s="76"/>
    </row>
    <row r="1560" spans="1:6" ht="63.95" customHeight="1">
      <c r="A1560" s="76" t="s">
        <v>5991</v>
      </c>
      <c r="B1560" s="76" t="s">
        <v>7903</v>
      </c>
      <c r="C1560" s="76" t="s">
        <v>9971</v>
      </c>
      <c r="D1560" s="76" t="s">
        <v>9972</v>
      </c>
      <c r="E1560" s="76" t="s">
        <v>7678</v>
      </c>
      <c r="F1560" s="76"/>
    </row>
    <row r="1561" spans="1:6" ht="63.95" customHeight="1">
      <c r="A1561" s="76" t="s">
        <v>5991</v>
      </c>
      <c r="B1561" s="76" t="s">
        <v>7906</v>
      </c>
      <c r="C1561" s="76" t="s">
        <v>9973</v>
      </c>
      <c r="D1561" s="76" t="s">
        <v>9974</v>
      </c>
      <c r="E1561" s="76" t="s">
        <v>7678</v>
      </c>
      <c r="F1561" s="76"/>
    </row>
    <row r="1562" spans="1:6" ht="63.95" customHeight="1">
      <c r="A1562" s="76" t="s">
        <v>5991</v>
      </c>
      <c r="B1562" s="76" t="s">
        <v>7909</v>
      </c>
      <c r="C1562" s="76" t="s">
        <v>9975</v>
      </c>
      <c r="D1562" s="76" t="s">
        <v>9976</v>
      </c>
      <c r="E1562" s="76" t="s">
        <v>7678</v>
      </c>
      <c r="F1562" s="76"/>
    </row>
    <row r="1563" spans="1:6" ht="63.95" customHeight="1">
      <c r="A1563" s="76" t="s">
        <v>5991</v>
      </c>
      <c r="B1563" s="76" t="s">
        <v>7912</v>
      </c>
      <c r="C1563" s="76" t="s">
        <v>9977</v>
      </c>
      <c r="D1563" s="76" t="s">
        <v>9978</v>
      </c>
      <c r="E1563" s="76" t="s">
        <v>7678</v>
      </c>
      <c r="F1563" s="76"/>
    </row>
    <row r="1564" spans="1:6" ht="63.95" customHeight="1">
      <c r="A1564" s="76" t="s">
        <v>5993</v>
      </c>
      <c r="B1564" s="76" t="s">
        <v>3512</v>
      </c>
      <c r="C1564" s="76" t="s">
        <v>9979</v>
      </c>
      <c r="D1564" s="76" t="s">
        <v>3165</v>
      </c>
      <c r="E1564" s="76" t="s">
        <v>7668</v>
      </c>
      <c r="F1564" s="76"/>
    </row>
    <row r="1565" spans="1:6" ht="63.95" customHeight="1">
      <c r="A1565" s="76" t="s">
        <v>5993</v>
      </c>
      <c r="B1565" s="76" t="s">
        <v>3680</v>
      </c>
      <c r="C1565" s="76" t="s">
        <v>9980</v>
      </c>
      <c r="D1565" s="76" t="s">
        <v>3168</v>
      </c>
      <c r="E1565" s="76" t="s">
        <v>7668</v>
      </c>
      <c r="F1565" s="76"/>
    </row>
    <row r="1566" spans="1:6" ht="63.95" customHeight="1">
      <c r="A1566" s="76" t="s">
        <v>5993</v>
      </c>
      <c r="B1566" s="76" t="s">
        <v>9981</v>
      </c>
      <c r="C1566" s="76" t="s">
        <v>9982</v>
      </c>
      <c r="D1566" s="76" t="s">
        <v>3169</v>
      </c>
      <c r="E1566" s="76" t="s">
        <v>7668</v>
      </c>
      <c r="F1566" s="76"/>
    </row>
    <row r="1567" spans="1:6" ht="63.95" customHeight="1">
      <c r="A1567" s="76" t="s">
        <v>5993</v>
      </c>
      <c r="B1567" s="76" t="s">
        <v>9983</v>
      </c>
      <c r="C1567" s="76" t="s">
        <v>9984</v>
      </c>
      <c r="D1567" s="76" t="s">
        <v>3172</v>
      </c>
      <c r="E1567" s="76" t="s">
        <v>7668</v>
      </c>
      <c r="F1567" s="76"/>
    </row>
    <row r="1568" spans="1:6" ht="63.95" customHeight="1">
      <c r="A1568" s="76" t="s">
        <v>5993</v>
      </c>
      <c r="B1568" s="76" t="s">
        <v>9985</v>
      </c>
      <c r="C1568" s="76" t="s">
        <v>9986</v>
      </c>
      <c r="D1568" s="76" t="s">
        <v>9987</v>
      </c>
      <c r="E1568" s="76" t="s">
        <v>7678</v>
      </c>
      <c r="F1568" s="76"/>
    </row>
    <row r="1569" spans="1:6" ht="63.95" customHeight="1">
      <c r="A1569" s="76" t="s">
        <v>5993</v>
      </c>
      <c r="B1569" s="76" t="s">
        <v>6091</v>
      </c>
      <c r="C1569" s="76" t="s">
        <v>9988</v>
      </c>
      <c r="D1569" s="76" t="s">
        <v>9989</v>
      </c>
      <c r="E1569" s="76" t="s">
        <v>7678</v>
      </c>
      <c r="F1569" s="76"/>
    </row>
    <row r="1570" spans="1:6" ht="63.95" customHeight="1">
      <c r="A1570" s="76" t="s">
        <v>5993</v>
      </c>
      <c r="B1570" s="76" t="s">
        <v>9990</v>
      </c>
      <c r="C1570" s="76" t="s">
        <v>9991</v>
      </c>
      <c r="D1570" s="76" t="s">
        <v>3173</v>
      </c>
      <c r="E1570" s="76" t="s">
        <v>7668</v>
      </c>
      <c r="F1570" s="76"/>
    </row>
    <row r="1571" spans="1:6" ht="63.95" customHeight="1">
      <c r="A1571" s="76" t="s">
        <v>5993</v>
      </c>
      <c r="B1571" s="76" t="s">
        <v>9992</v>
      </c>
      <c r="C1571" s="76" t="s">
        <v>9993</v>
      </c>
      <c r="D1571" s="76" t="s">
        <v>3174</v>
      </c>
      <c r="E1571" s="76" t="s">
        <v>7668</v>
      </c>
      <c r="F1571" s="76"/>
    </row>
    <row r="1572" spans="1:6" ht="63.95" customHeight="1">
      <c r="A1572" s="76" t="s">
        <v>5993</v>
      </c>
      <c r="B1572" s="76" t="s">
        <v>6094</v>
      </c>
      <c r="C1572" s="76" t="s">
        <v>9994</v>
      </c>
      <c r="D1572" s="76" t="s">
        <v>9995</v>
      </c>
      <c r="E1572" s="76" t="s">
        <v>7678</v>
      </c>
      <c r="F1572" s="76"/>
    </row>
    <row r="1573" spans="1:6" ht="63.95" customHeight="1">
      <c r="A1573" s="76" t="s">
        <v>5993</v>
      </c>
      <c r="B1573" s="76" t="s">
        <v>6096</v>
      </c>
      <c r="C1573" s="76" t="s">
        <v>9996</v>
      </c>
      <c r="D1573" s="76" t="s">
        <v>9997</v>
      </c>
      <c r="E1573" s="76" t="s">
        <v>7678</v>
      </c>
      <c r="F1573" s="76"/>
    </row>
    <row r="1574" spans="1:6" ht="63.95" customHeight="1">
      <c r="A1574" s="76" t="s">
        <v>5993</v>
      </c>
      <c r="B1574" s="76" t="s">
        <v>9998</v>
      </c>
      <c r="C1574" s="76" t="s">
        <v>9999</v>
      </c>
      <c r="D1574" s="76" t="s">
        <v>3175</v>
      </c>
      <c r="E1574" s="76" t="s">
        <v>7668</v>
      </c>
      <c r="F1574" s="76"/>
    </row>
    <row r="1575" spans="1:6" ht="63.95" customHeight="1">
      <c r="A1575" s="76" t="s">
        <v>5993</v>
      </c>
      <c r="B1575" s="76" t="s">
        <v>10000</v>
      </c>
      <c r="C1575" s="76" t="s">
        <v>7674</v>
      </c>
      <c r="D1575" s="76" t="s">
        <v>3176</v>
      </c>
      <c r="E1575" s="76" t="s">
        <v>7668</v>
      </c>
      <c r="F1575" s="76"/>
    </row>
    <row r="1576" spans="1:6" ht="63.95" customHeight="1">
      <c r="A1576" s="76" t="s">
        <v>5993</v>
      </c>
      <c r="B1576" s="76" t="s">
        <v>10001</v>
      </c>
      <c r="C1576" s="76" t="s">
        <v>10002</v>
      </c>
      <c r="D1576" s="76" t="s">
        <v>3177</v>
      </c>
      <c r="E1576" s="76" t="s">
        <v>7668</v>
      </c>
      <c r="F1576" s="76"/>
    </row>
    <row r="1577" spans="1:6" ht="63.95" customHeight="1">
      <c r="A1577" s="76" t="s">
        <v>5993</v>
      </c>
      <c r="B1577" s="76" t="s">
        <v>10003</v>
      </c>
      <c r="C1577" s="76" t="s">
        <v>10004</v>
      </c>
      <c r="D1577" s="76" t="s">
        <v>3181</v>
      </c>
      <c r="E1577" s="76" t="s">
        <v>10005</v>
      </c>
      <c r="F1577" s="76"/>
    </row>
    <row r="1578" spans="1:6" ht="63.95" customHeight="1">
      <c r="A1578" s="76" t="s">
        <v>5994</v>
      </c>
      <c r="B1578" s="76" t="s">
        <v>3685</v>
      </c>
      <c r="C1578" s="76" t="s">
        <v>10006</v>
      </c>
      <c r="D1578" s="76" t="s">
        <v>3196</v>
      </c>
      <c r="E1578" s="76" t="s">
        <v>10007</v>
      </c>
      <c r="F1578" s="76"/>
    </row>
    <row r="1579" spans="1:6" ht="63.95" customHeight="1">
      <c r="A1579" s="76" t="s">
        <v>5994</v>
      </c>
      <c r="B1579" s="76" t="s">
        <v>9992</v>
      </c>
      <c r="C1579" s="76"/>
      <c r="D1579" s="76" t="s">
        <v>489</v>
      </c>
      <c r="E1579" s="76" t="s">
        <v>6136</v>
      </c>
      <c r="F1579" s="76" t="s">
        <v>6137</v>
      </c>
    </row>
    <row r="1580" spans="1:6" ht="63.95" customHeight="1">
      <c r="A1580" s="76" t="s">
        <v>5994</v>
      </c>
      <c r="B1580" s="76" t="s">
        <v>6094</v>
      </c>
      <c r="C1580" s="76"/>
      <c r="D1580" s="76">
        <v>12</v>
      </c>
      <c r="E1580" s="76" t="s">
        <v>6136</v>
      </c>
      <c r="F1580" s="76" t="s">
        <v>6137</v>
      </c>
    </row>
    <row r="1581" spans="1:6" ht="63.95" customHeight="1">
      <c r="A1581" s="76" t="s">
        <v>5994</v>
      </c>
      <c r="B1581" s="76" t="s">
        <v>6096</v>
      </c>
      <c r="C1581" s="76"/>
      <c r="D1581" s="76">
        <v>2</v>
      </c>
      <c r="E1581" s="76" t="s">
        <v>6136</v>
      </c>
      <c r="F1581" s="76" t="s">
        <v>6137</v>
      </c>
    </row>
    <row r="1582" spans="1:6" ht="63.95" customHeight="1">
      <c r="A1582" s="76" t="s">
        <v>5994</v>
      </c>
      <c r="B1582" s="76" t="s">
        <v>3642</v>
      </c>
      <c r="C1582" s="76"/>
      <c r="D1582" s="76" t="s">
        <v>3201</v>
      </c>
      <c r="E1582" s="76" t="s">
        <v>6136</v>
      </c>
      <c r="F1582" s="76" t="s">
        <v>6137</v>
      </c>
    </row>
    <row r="1583" spans="1:6" ht="63.95" customHeight="1">
      <c r="A1583" s="76" t="s">
        <v>5994</v>
      </c>
      <c r="B1583" s="76" t="s">
        <v>9998</v>
      </c>
      <c r="C1583" s="76"/>
      <c r="D1583" s="76" t="s">
        <v>10008</v>
      </c>
      <c r="E1583" s="76" t="s">
        <v>6136</v>
      </c>
      <c r="F1583" s="76" t="s">
        <v>6137</v>
      </c>
    </row>
    <row r="1584" spans="1:6" ht="63.95" customHeight="1">
      <c r="A1584" s="76" t="s">
        <v>5994</v>
      </c>
      <c r="B1584" s="76" t="s">
        <v>8826</v>
      </c>
      <c r="C1584" s="76"/>
      <c r="D1584" s="76" t="s">
        <v>10009</v>
      </c>
      <c r="E1584" s="76" t="s">
        <v>6136</v>
      </c>
      <c r="F1584" s="76" t="s">
        <v>6137</v>
      </c>
    </row>
    <row r="1585" spans="1:6" ht="63.95" customHeight="1">
      <c r="A1585" s="76" t="s">
        <v>5994</v>
      </c>
      <c r="B1585" s="76" t="s">
        <v>7777</v>
      </c>
      <c r="C1585" s="76"/>
      <c r="D1585" s="76" t="s">
        <v>10010</v>
      </c>
      <c r="E1585" s="76" t="s">
        <v>6136</v>
      </c>
      <c r="F1585" s="76" t="s">
        <v>6137</v>
      </c>
    </row>
    <row r="1586" spans="1:6" ht="63.95" customHeight="1">
      <c r="A1586" s="76" t="s">
        <v>5994</v>
      </c>
      <c r="B1586" s="76" t="s">
        <v>10000</v>
      </c>
      <c r="C1586" s="76"/>
      <c r="D1586" s="76" t="s">
        <v>508</v>
      </c>
      <c r="E1586" s="76" t="s">
        <v>6136</v>
      </c>
      <c r="F1586" s="76" t="s">
        <v>6137</v>
      </c>
    </row>
    <row r="1587" spans="1:6" ht="63.95" customHeight="1">
      <c r="A1587" s="76" t="s">
        <v>5994</v>
      </c>
      <c r="B1587" s="76" t="s">
        <v>6098</v>
      </c>
      <c r="C1587" s="76"/>
      <c r="D1587" s="76">
        <v>6</v>
      </c>
      <c r="E1587" s="76" t="s">
        <v>6136</v>
      </c>
      <c r="F1587" s="76" t="s">
        <v>6137</v>
      </c>
    </row>
    <row r="1588" spans="1:6" ht="63.95" customHeight="1">
      <c r="A1588" s="76" t="s">
        <v>5994</v>
      </c>
      <c r="B1588" s="76" t="s">
        <v>6101</v>
      </c>
      <c r="C1588" s="76"/>
      <c r="D1588" s="76">
        <v>0.89999999999999991</v>
      </c>
      <c r="E1588" s="76" t="s">
        <v>6136</v>
      </c>
      <c r="F1588" s="76" t="s">
        <v>6137</v>
      </c>
    </row>
    <row r="1589" spans="1:6" ht="63.95" customHeight="1">
      <c r="A1589" s="76" t="s">
        <v>5994</v>
      </c>
      <c r="B1589" s="76" t="s">
        <v>3648</v>
      </c>
      <c r="C1589" s="76"/>
      <c r="D1589" s="76" t="s">
        <v>3201</v>
      </c>
      <c r="E1589" s="76" t="s">
        <v>6136</v>
      </c>
      <c r="F1589" s="76" t="s">
        <v>6137</v>
      </c>
    </row>
    <row r="1590" spans="1:6" ht="63.95" customHeight="1">
      <c r="A1590" s="76" t="s">
        <v>5994</v>
      </c>
      <c r="B1590" s="76" t="s">
        <v>10001</v>
      </c>
      <c r="C1590" s="76"/>
      <c r="D1590" s="76" t="s">
        <v>10011</v>
      </c>
      <c r="E1590" s="76" t="s">
        <v>6136</v>
      </c>
      <c r="F1590" s="76" t="s">
        <v>6137</v>
      </c>
    </row>
    <row r="1591" spans="1:6" ht="63.95" customHeight="1">
      <c r="A1591" s="76" t="s">
        <v>5994</v>
      </c>
      <c r="B1591" s="76" t="s">
        <v>8829</v>
      </c>
      <c r="C1591" s="76"/>
      <c r="D1591" s="76" t="s">
        <v>10012</v>
      </c>
      <c r="E1591" s="76" t="s">
        <v>6136</v>
      </c>
      <c r="F1591" s="76" t="s">
        <v>6137</v>
      </c>
    </row>
    <row r="1592" spans="1:6" ht="63.95" customHeight="1">
      <c r="A1592" s="76" t="s">
        <v>5994</v>
      </c>
      <c r="B1592" s="76" t="s">
        <v>7783</v>
      </c>
      <c r="C1592" s="76"/>
      <c r="D1592" s="76" t="s">
        <v>10013</v>
      </c>
      <c r="E1592" s="76" t="s">
        <v>6136</v>
      </c>
      <c r="F1592" s="76" t="s">
        <v>6137</v>
      </c>
    </row>
    <row r="1593" spans="1:6" ht="63.95" customHeight="1">
      <c r="A1593" s="76" t="s">
        <v>5994</v>
      </c>
      <c r="B1593" s="76" t="s">
        <v>10014</v>
      </c>
      <c r="C1593" s="76"/>
      <c r="D1593" s="76" t="s">
        <v>514</v>
      </c>
      <c r="E1593" s="76" t="s">
        <v>6136</v>
      </c>
      <c r="F1593" s="76" t="s">
        <v>6137</v>
      </c>
    </row>
    <row r="1594" spans="1:6" ht="63.95" customHeight="1">
      <c r="A1594" s="76" t="s">
        <v>5994</v>
      </c>
      <c r="B1594" s="76" t="s">
        <v>6104</v>
      </c>
      <c r="C1594" s="76"/>
      <c r="D1594" s="76">
        <v>14</v>
      </c>
      <c r="E1594" s="76" t="s">
        <v>6136</v>
      </c>
      <c r="F1594" s="76" t="s">
        <v>6137</v>
      </c>
    </row>
    <row r="1595" spans="1:6" ht="63.95" customHeight="1">
      <c r="A1595" s="76" t="s">
        <v>5994</v>
      </c>
      <c r="B1595" s="76" t="s">
        <v>10015</v>
      </c>
      <c r="C1595" s="76"/>
      <c r="D1595" s="76">
        <v>1.2000000000000002</v>
      </c>
      <c r="E1595" s="76" t="s">
        <v>6136</v>
      </c>
      <c r="F1595" s="76" t="s">
        <v>6137</v>
      </c>
    </row>
    <row r="1596" spans="1:6" ht="63.95" customHeight="1">
      <c r="A1596" s="76" t="s">
        <v>5994</v>
      </c>
      <c r="B1596" s="76" t="s">
        <v>3653</v>
      </c>
      <c r="C1596" s="76"/>
      <c r="D1596" s="76" t="s">
        <v>3201</v>
      </c>
      <c r="E1596" s="76" t="s">
        <v>6136</v>
      </c>
      <c r="F1596" s="76" t="s">
        <v>6137</v>
      </c>
    </row>
    <row r="1597" spans="1:6" ht="63.95" customHeight="1">
      <c r="A1597" s="76" t="s">
        <v>5994</v>
      </c>
      <c r="B1597" s="76" t="s">
        <v>10016</v>
      </c>
      <c r="C1597" s="76"/>
      <c r="D1597" s="76" t="s">
        <v>10017</v>
      </c>
      <c r="E1597" s="76" t="s">
        <v>6136</v>
      </c>
      <c r="F1597" s="76" t="s">
        <v>6137</v>
      </c>
    </row>
    <row r="1598" spans="1:6" ht="63.95" customHeight="1">
      <c r="A1598" s="76" t="s">
        <v>5994</v>
      </c>
      <c r="B1598" s="76" t="s">
        <v>8832</v>
      </c>
      <c r="C1598" s="76"/>
      <c r="D1598" s="76" t="s">
        <v>10018</v>
      </c>
      <c r="E1598" s="76" t="s">
        <v>6136</v>
      </c>
      <c r="F1598" s="76" t="s">
        <v>6137</v>
      </c>
    </row>
    <row r="1599" spans="1:6" ht="63.95" customHeight="1">
      <c r="A1599" s="76" t="s">
        <v>5994</v>
      </c>
      <c r="B1599" s="76" t="s">
        <v>7789</v>
      </c>
      <c r="C1599" s="76"/>
      <c r="D1599" s="76" t="s">
        <v>10019</v>
      </c>
      <c r="E1599" s="76" t="s">
        <v>6136</v>
      </c>
      <c r="F1599" s="76" t="s">
        <v>6137</v>
      </c>
    </row>
    <row r="1600" spans="1:6" ht="63.95" customHeight="1">
      <c r="A1600" s="76" t="s">
        <v>5994</v>
      </c>
      <c r="B1600" s="76" t="s">
        <v>10020</v>
      </c>
      <c r="C1600" s="76"/>
      <c r="D1600" s="76" t="s">
        <v>659</v>
      </c>
      <c r="E1600" s="76" t="s">
        <v>6136</v>
      </c>
      <c r="F1600" s="76" t="s">
        <v>6137</v>
      </c>
    </row>
    <row r="1601" spans="1:6" ht="63.95" customHeight="1">
      <c r="A1601" s="76" t="s">
        <v>5994</v>
      </c>
      <c r="B1601" s="76" t="s">
        <v>10021</v>
      </c>
      <c r="C1601" s="76"/>
      <c r="D1601" s="76">
        <v>8</v>
      </c>
      <c r="E1601" s="76" t="s">
        <v>6136</v>
      </c>
      <c r="F1601" s="76" t="s">
        <v>6137</v>
      </c>
    </row>
    <row r="1602" spans="1:6" ht="63.95" customHeight="1">
      <c r="A1602" s="76" t="s">
        <v>5994</v>
      </c>
      <c r="B1602" s="76" t="s">
        <v>10022</v>
      </c>
      <c r="C1602" s="76"/>
      <c r="D1602" s="76">
        <v>3.4</v>
      </c>
      <c r="E1602" s="76" t="s">
        <v>6136</v>
      </c>
      <c r="F1602" s="76" t="s">
        <v>6137</v>
      </c>
    </row>
    <row r="1603" spans="1:6" ht="63.95" customHeight="1">
      <c r="A1603" s="76" t="s">
        <v>5994</v>
      </c>
      <c r="B1603" s="76" t="s">
        <v>10023</v>
      </c>
      <c r="C1603" s="76"/>
      <c r="D1603" s="76" t="s">
        <v>3201</v>
      </c>
      <c r="E1603" s="76" t="s">
        <v>6136</v>
      </c>
      <c r="F1603" s="76" t="s">
        <v>6137</v>
      </c>
    </row>
    <row r="1604" spans="1:6" ht="63.95" customHeight="1">
      <c r="A1604" s="76" t="s">
        <v>5994</v>
      </c>
      <c r="B1604" s="76" t="s">
        <v>10024</v>
      </c>
      <c r="C1604" s="76"/>
      <c r="D1604" s="76" t="s">
        <v>10025</v>
      </c>
      <c r="E1604" s="76" t="s">
        <v>6136</v>
      </c>
      <c r="F1604" s="76" t="s">
        <v>6137</v>
      </c>
    </row>
    <row r="1605" spans="1:6" ht="63.95" customHeight="1">
      <c r="A1605" s="76" t="s">
        <v>5994</v>
      </c>
      <c r="B1605" s="76" t="s">
        <v>8835</v>
      </c>
      <c r="C1605" s="76"/>
      <c r="D1605" s="76" t="s">
        <v>10026</v>
      </c>
      <c r="E1605" s="76" t="s">
        <v>6136</v>
      </c>
      <c r="F1605" s="76" t="s">
        <v>6137</v>
      </c>
    </row>
    <row r="1606" spans="1:6" ht="63.95" customHeight="1">
      <c r="A1606" s="76" t="s">
        <v>5994</v>
      </c>
      <c r="B1606" s="76" t="s">
        <v>7795</v>
      </c>
      <c r="C1606" s="76"/>
      <c r="D1606" s="76" t="s">
        <v>10027</v>
      </c>
      <c r="E1606" s="76" t="s">
        <v>6136</v>
      </c>
      <c r="F1606" s="76" t="s">
        <v>6137</v>
      </c>
    </row>
    <row r="1607" spans="1:6" ht="63.95" customHeight="1">
      <c r="A1607" s="76" t="s">
        <v>5994</v>
      </c>
      <c r="B1607" s="76" t="s">
        <v>10028</v>
      </c>
      <c r="C1607" s="76"/>
      <c r="D1607" s="76" t="s">
        <v>696</v>
      </c>
      <c r="E1607" s="76" t="s">
        <v>6136</v>
      </c>
      <c r="F1607" s="76" t="s">
        <v>6137</v>
      </c>
    </row>
    <row r="1608" spans="1:6" ht="63.95" customHeight="1">
      <c r="A1608" s="76" t="s">
        <v>5994</v>
      </c>
      <c r="B1608" s="76" t="s">
        <v>6107</v>
      </c>
      <c r="C1608" s="76"/>
      <c r="D1608" s="76">
        <v>12</v>
      </c>
      <c r="E1608" s="76" t="s">
        <v>6136</v>
      </c>
      <c r="F1608" s="76" t="s">
        <v>6137</v>
      </c>
    </row>
    <row r="1609" spans="1:6" ht="63.95" customHeight="1">
      <c r="A1609" s="76" t="s">
        <v>5994</v>
      </c>
      <c r="B1609" s="76" t="s">
        <v>6110</v>
      </c>
      <c r="C1609" s="76"/>
      <c r="D1609" s="76">
        <v>4.8</v>
      </c>
      <c r="E1609" s="76" t="s">
        <v>6136</v>
      </c>
      <c r="F1609" s="76" t="s">
        <v>6137</v>
      </c>
    </row>
    <row r="1610" spans="1:6" ht="63.95" customHeight="1">
      <c r="A1610" s="76" t="s">
        <v>5994</v>
      </c>
      <c r="B1610" s="76" t="s">
        <v>6111</v>
      </c>
      <c r="C1610" s="76"/>
      <c r="D1610" s="76" t="s">
        <v>3201</v>
      </c>
      <c r="E1610" s="76" t="s">
        <v>6136</v>
      </c>
      <c r="F1610" s="76" t="s">
        <v>6137</v>
      </c>
    </row>
    <row r="1611" spans="1:6" ht="63.95" customHeight="1">
      <c r="A1611" s="76" t="s">
        <v>5994</v>
      </c>
      <c r="B1611" s="76" t="s">
        <v>10029</v>
      </c>
      <c r="C1611" s="76"/>
      <c r="D1611" s="76" t="s">
        <v>10030</v>
      </c>
      <c r="E1611" s="76" t="s">
        <v>6136</v>
      </c>
      <c r="F1611" s="76" t="s">
        <v>6137</v>
      </c>
    </row>
    <row r="1612" spans="1:6" ht="63.95" customHeight="1">
      <c r="A1612" s="76" t="s">
        <v>5994</v>
      </c>
      <c r="B1612" s="76" t="s">
        <v>8838</v>
      </c>
      <c r="C1612" s="76"/>
      <c r="D1612" s="76" t="s">
        <v>10031</v>
      </c>
      <c r="E1612" s="76" t="s">
        <v>6136</v>
      </c>
      <c r="F1612" s="76" t="s">
        <v>6137</v>
      </c>
    </row>
    <row r="1613" spans="1:6" ht="63.95" customHeight="1">
      <c r="A1613" s="76" t="s">
        <v>5994</v>
      </c>
      <c r="B1613" s="76" t="s">
        <v>7801</v>
      </c>
      <c r="C1613" s="76"/>
      <c r="D1613" s="76" t="s">
        <v>10032</v>
      </c>
      <c r="E1613" s="76" t="s">
        <v>6136</v>
      </c>
      <c r="F1613" s="76" t="s">
        <v>6137</v>
      </c>
    </row>
    <row r="1614" spans="1:6" ht="63.95" customHeight="1">
      <c r="A1614" s="76" t="s">
        <v>5994</v>
      </c>
      <c r="B1614" s="76" t="s">
        <v>10033</v>
      </c>
      <c r="C1614" s="76"/>
      <c r="D1614" s="76" t="s">
        <v>759</v>
      </c>
      <c r="E1614" s="76" t="s">
        <v>6136</v>
      </c>
      <c r="F1614" s="76" t="s">
        <v>6137</v>
      </c>
    </row>
    <row r="1615" spans="1:6" ht="63.95" customHeight="1">
      <c r="A1615" s="76" t="s">
        <v>5994</v>
      </c>
      <c r="B1615" s="76" t="s">
        <v>10034</v>
      </c>
      <c r="C1615" s="76"/>
      <c r="D1615" s="76">
        <v>6</v>
      </c>
      <c r="E1615" s="76" t="s">
        <v>6136</v>
      </c>
      <c r="F1615" s="76" t="s">
        <v>6137</v>
      </c>
    </row>
    <row r="1616" spans="1:6" ht="63.95" customHeight="1">
      <c r="A1616" s="76" t="s">
        <v>5994</v>
      </c>
      <c r="B1616" s="76" t="s">
        <v>10035</v>
      </c>
      <c r="C1616" s="76"/>
      <c r="D1616" s="76">
        <v>2.5499999999999998</v>
      </c>
      <c r="E1616" s="76" t="s">
        <v>6136</v>
      </c>
      <c r="F1616" s="76" t="s">
        <v>6137</v>
      </c>
    </row>
    <row r="1617" spans="1:6" ht="63.95" customHeight="1">
      <c r="A1617" s="76" t="s">
        <v>5994</v>
      </c>
      <c r="B1617" s="76" t="s">
        <v>10036</v>
      </c>
      <c r="C1617" s="76"/>
      <c r="D1617" s="76" t="s">
        <v>3201</v>
      </c>
      <c r="E1617" s="76" t="s">
        <v>6136</v>
      </c>
      <c r="F1617" s="76" t="s">
        <v>6137</v>
      </c>
    </row>
    <row r="1618" spans="1:6" ht="63.95" customHeight="1">
      <c r="A1618" s="76" t="s">
        <v>5994</v>
      </c>
      <c r="B1618" s="76" t="s">
        <v>10037</v>
      </c>
      <c r="C1618" s="76"/>
      <c r="D1618" s="76" t="s">
        <v>10038</v>
      </c>
      <c r="E1618" s="76" t="s">
        <v>6136</v>
      </c>
      <c r="F1618" s="76" t="s">
        <v>6137</v>
      </c>
    </row>
    <row r="1619" spans="1:6" ht="63.95" customHeight="1">
      <c r="A1619" s="76" t="s">
        <v>5994</v>
      </c>
      <c r="B1619" s="76" t="s">
        <v>8841</v>
      </c>
      <c r="C1619" s="76"/>
      <c r="D1619" s="76" t="s">
        <v>10039</v>
      </c>
      <c r="E1619" s="76" t="s">
        <v>6136</v>
      </c>
      <c r="F1619" s="76" t="s">
        <v>6137</v>
      </c>
    </row>
    <row r="1620" spans="1:6" ht="63.95" customHeight="1">
      <c r="A1620" s="76" t="s">
        <v>5994</v>
      </c>
      <c r="B1620" s="76" t="s">
        <v>7807</v>
      </c>
      <c r="C1620" s="76"/>
      <c r="D1620" s="76" t="s">
        <v>10040</v>
      </c>
      <c r="E1620" s="76" t="s">
        <v>6136</v>
      </c>
      <c r="F1620" s="76" t="s">
        <v>6137</v>
      </c>
    </row>
    <row r="1621" spans="1:6" ht="63.95" customHeight="1">
      <c r="A1621" s="76" t="s">
        <v>5994</v>
      </c>
      <c r="B1621" s="76" t="s">
        <v>10041</v>
      </c>
      <c r="C1621" s="76"/>
      <c r="D1621" s="76" t="s">
        <v>1117</v>
      </c>
      <c r="E1621" s="76" t="s">
        <v>6136</v>
      </c>
      <c r="F1621" s="76" t="s">
        <v>6137</v>
      </c>
    </row>
    <row r="1622" spans="1:6" ht="63.95" customHeight="1">
      <c r="A1622" s="76" t="s">
        <v>5994</v>
      </c>
      <c r="B1622" s="76" t="s">
        <v>10042</v>
      </c>
      <c r="C1622" s="76"/>
      <c r="D1622" s="76">
        <v>8</v>
      </c>
      <c r="E1622" s="76" t="s">
        <v>6136</v>
      </c>
      <c r="F1622" s="76" t="s">
        <v>6137</v>
      </c>
    </row>
    <row r="1623" spans="1:6" ht="63.95" customHeight="1">
      <c r="A1623" s="76" t="s">
        <v>5994</v>
      </c>
      <c r="B1623" s="76" t="s">
        <v>10043</v>
      </c>
      <c r="C1623" s="76"/>
      <c r="D1623" s="76">
        <v>1.2000000000000002</v>
      </c>
      <c r="E1623" s="76" t="s">
        <v>6136</v>
      </c>
      <c r="F1623" s="76" t="s">
        <v>6137</v>
      </c>
    </row>
    <row r="1624" spans="1:6" ht="63.95" customHeight="1">
      <c r="A1624" s="76" t="s">
        <v>5994</v>
      </c>
      <c r="B1624" s="76" t="s">
        <v>10044</v>
      </c>
      <c r="C1624" s="76"/>
      <c r="D1624" s="76" t="s">
        <v>3201</v>
      </c>
      <c r="E1624" s="76" t="s">
        <v>6136</v>
      </c>
      <c r="F1624" s="76" t="s">
        <v>6137</v>
      </c>
    </row>
    <row r="1625" spans="1:6" ht="63.95" customHeight="1">
      <c r="A1625" s="76" t="s">
        <v>5994</v>
      </c>
      <c r="B1625" s="76" t="s">
        <v>10045</v>
      </c>
      <c r="C1625" s="76"/>
      <c r="D1625" s="76" t="s">
        <v>10046</v>
      </c>
      <c r="E1625" s="76" t="s">
        <v>6136</v>
      </c>
      <c r="F1625" s="76" t="s">
        <v>6137</v>
      </c>
    </row>
    <row r="1626" spans="1:6" ht="63.95" customHeight="1">
      <c r="A1626" s="76" t="s">
        <v>5994</v>
      </c>
      <c r="B1626" s="76" t="s">
        <v>8844</v>
      </c>
      <c r="C1626" s="76"/>
      <c r="D1626" s="76" t="s">
        <v>10047</v>
      </c>
      <c r="E1626" s="76" t="s">
        <v>6136</v>
      </c>
      <c r="F1626" s="76" t="s">
        <v>6137</v>
      </c>
    </row>
    <row r="1627" spans="1:6" ht="63.95" customHeight="1">
      <c r="A1627" s="76" t="s">
        <v>5994</v>
      </c>
      <c r="B1627" s="76" t="s">
        <v>7813</v>
      </c>
      <c r="C1627" s="76"/>
      <c r="D1627" s="76" t="s">
        <v>10048</v>
      </c>
      <c r="E1627" s="76" t="s">
        <v>6136</v>
      </c>
      <c r="F1627" s="76" t="s">
        <v>6137</v>
      </c>
    </row>
    <row r="1628" spans="1:6" ht="63.95" customHeight="1">
      <c r="A1628" s="76" t="s">
        <v>5994</v>
      </c>
      <c r="B1628" s="76" t="s">
        <v>6114</v>
      </c>
      <c r="C1628" s="76"/>
      <c r="D1628" s="76" t="s">
        <v>1149</v>
      </c>
      <c r="E1628" s="76" t="s">
        <v>6136</v>
      </c>
      <c r="F1628" s="76" t="s">
        <v>6137</v>
      </c>
    </row>
    <row r="1629" spans="1:6" ht="63.95" customHeight="1">
      <c r="A1629" s="76" t="s">
        <v>5994</v>
      </c>
      <c r="B1629" s="76" t="s">
        <v>6116</v>
      </c>
      <c r="C1629" s="76"/>
      <c r="D1629" s="76">
        <v>16</v>
      </c>
      <c r="E1629" s="76" t="s">
        <v>6136</v>
      </c>
      <c r="F1629" s="76" t="s">
        <v>6137</v>
      </c>
    </row>
    <row r="1630" spans="1:6" ht="63.95" customHeight="1">
      <c r="A1630" s="76" t="s">
        <v>5994</v>
      </c>
      <c r="B1630" s="76" t="s">
        <v>6119</v>
      </c>
      <c r="C1630" s="76"/>
      <c r="D1630" s="76">
        <v>1.7999999999999998</v>
      </c>
      <c r="E1630" s="76" t="s">
        <v>6136</v>
      </c>
      <c r="F1630" s="76" t="s">
        <v>6137</v>
      </c>
    </row>
    <row r="1631" spans="1:6" ht="63.95" customHeight="1">
      <c r="A1631" s="76" t="s">
        <v>5994</v>
      </c>
      <c r="B1631" s="76" t="s">
        <v>6121</v>
      </c>
      <c r="C1631" s="76"/>
      <c r="D1631" s="76" t="s">
        <v>3201</v>
      </c>
      <c r="E1631" s="76" t="s">
        <v>6136</v>
      </c>
      <c r="F1631" s="76" t="s">
        <v>6137</v>
      </c>
    </row>
    <row r="1632" spans="1:6" ht="63.95" customHeight="1">
      <c r="A1632" s="76" t="s">
        <v>5994</v>
      </c>
      <c r="B1632" s="76" t="s">
        <v>10049</v>
      </c>
      <c r="C1632" s="76"/>
      <c r="D1632" s="76" t="s">
        <v>10050</v>
      </c>
      <c r="E1632" s="76" t="s">
        <v>6136</v>
      </c>
      <c r="F1632" s="76" t="s">
        <v>6137</v>
      </c>
    </row>
    <row r="1633" spans="1:6" ht="63.95" customHeight="1">
      <c r="A1633" s="76" t="s">
        <v>5994</v>
      </c>
      <c r="B1633" s="76" t="s">
        <v>8847</v>
      </c>
      <c r="C1633" s="76"/>
      <c r="D1633" s="76" t="s">
        <v>10051</v>
      </c>
      <c r="E1633" s="76" t="s">
        <v>6136</v>
      </c>
      <c r="F1633" s="76" t="s">
        <v>6137</v>
      </c>
    </row>
    <row r="1634" spans="1:6" ht="63.95" customHeight="1">
      <c r="A1634" s="76" t="s">
        <v>5994</v>
      </c>
      <c r="B1634" s="76" t="s">
        <v>7819</v>
      </c>
      <c r="C1634" s="76"/>
      <c r="D1634" s="76" t="s">
        <v>10052</v>
      </c>
      <c r="E1634" s="76" t="s">
        <v>6136</v>
      </c>
      <c r="F1634" s="76" t="s">
        <v>6137</v>
      </c>
    </row>
    <row r="1635" spans="1:6" ht="63.95" customHeight="1">
      <c r="A1635" s="76" t="s">
        <v>5994</v>
      </c>
      <c r="B1635" s="76" t="s">
        <v>10053</v>
      </c>
      <c r="C1635" s="76"/>
      <c r="D1635" s="76" t="s">
        <v>1160</v>
      </c>
      <c r="E1635" s="76" t="s">
        <v>6136</v>
      </c>
      <c r="F1635" s="76" t="s">
        <v>6137</v>
      </c>
    </row>
    <row r="1636" spans="1:6" ht="63.95" customHeight="1">
      <c r="A1636" s="76" t="s">
        <v>5994</v>
      </c>
      <c r="B1636" s="76" t="s">
        <v>10054</v>
      </c>
      <c r="C1636" s="76"/>
      <c r="D1636" s="76">
        <v>14</v>
      </c>
      <c r="E1636" s="76" t="s">
        <v>6136</v>
      </c>
      <c r="F1636" s="76" t="s">
        <v>6137</v>
      </c>
    </row>
    <row r="1637" spans="1:6" ht="63.95" customHeight="1">
      <c r="A1637" s="76" t="s">
        <v>5994</v>
      </c>
      <c r="B1637" s="76" t="s">
        <v>10055</v>
      </c>
      <c r="C1637" s="76"/>
      <c r="D1637" s="76">
        <v>3.2</v>
      </c>
      <c r="E1637" s="76" t="s">
        <v>6136</v>
      </c>
      <c r="F1637" s="76" t="s">
        <v>6137</v>
      </c>
    </row>
    <row r="1638" spans="1:6" ht="63.95" customHeight="1">
      <c r="A1638" s="76" t="s">
        <v>5994</v>
      </c>
      <c r="B1638" s="76" t="s">
        <v>10056</v>
      </c>
      <c r="C1638" s="76"/>
      <c r="D1638" s="76" t="s">
        <v>3201</v>
      </c>
      <c r="E1638" s="76" t="s">
        <v>6136</v>
      </c>
      <c r="F1638" s="76" t="s">
        <v>6137</v>
      </c>
    </row>
    <row r="1639" spans="1:6" ht="63.95" customHeight="1">
      <c r="A1639" s="76" t="s">
        <v>5994</v>
      </c>
      <c r="B1639" s="76" t="s">
        <v>10057</v>
      </c>
      <c r="C1639" s="76"/>
      <c r="D1639" s="76" t="s">
        <v>10058</v>
      </c>
      <c r="E1639" s="76" t="s">
        <v>6136</v>
      </c>
      <c r="F1639" s="76" t="s">
        <v>6137</v>
      </c>
    </row>
    <row r="1640" spans="1:6" ht="63.95" customHeight="1">
      <c r="A1640" s="76" t="s">
        <v>5994</v>
      </c>
      <c r="B1640" s="76" t="s">
        <v>8850</v>
      </c>
      <c r="C1640" s="76"/>
      <c r="D1640" s="76" t="s">
        <v>10059</v>
      </c>
      <c r="E1640" s="76" t="s">
        <v>6136</v>
      </c>
      <c r="F1640" s="76" t="s">
        <v>6137</v>
      </c>
    </row>
    <row r="1641" spans="1:6" ht="63.95" customHeight="1">
      <c r="A1641" s="76" t="s">
        <v>5994</v>
      </c>
      <c r="B1641" s="76" t="s">
        <v>7825</v>
      </c>
      <c r="C1641" s="76"/>
      <c r="D1641" s="76" t="s">
        <v>10060</v>
      </c>
      <c r="E1641" s="76" t="s">
        <v>6136</v>
      </c>
      <c r="F1641" s="76" t="s">
        <v>6137</v>
      </c>
    </row>
    <row r="1642" spans="1:6" ht="63.95" customHeight="1">
      <c r="A1642" s="76" t="s">
        <v>5994</v>
      </c>
      <c r="B1642" s="76" t="s">
        <v>10003</v>
      </c>
      <c r="C1642" s="76"/>
      <c r="D1642" s="76" t="s">
        <v>1242</v>
      </c>
      <c r="E1642" s="76" t="s">
        <v>6136</v>
      </c>
      <c r="F1642" s="76" t="s">
        <v>6137</v>
      </c>
    </row>
    <row r="1643" spans="1:6" ht="63.95" customHeight="1">
      <c r="A1643" s="76" t="s">
        <v>5994</v>
      </c>
      <c r="B1643" s="76" t="s">
        <v>9340</v>
      </c>
      <c r="C1643" s="76"/>
      <c r="D1643" s="76">
        <v>24</v>
      </c>
      <c r="E1643" s="76" t="s">
        <v>6136</v>
      </c>
      <c r="F1643" s="76" t="s">
        <v>6137</v>
      </c>
    </row>
    <row r="1644" spans="1:6" ht="63.95" customHeight="1">
      <c r="A1644" s="76" t="s">
        <v>5994</v>
      </c>
      <c r="B1644" s="76" t="s">
        <v>10061</v>
      </c>
      <c r="C1644" s="76"/>
      <c r="D1644" s="76">
        <v>1.7999999999999998</v>
      </c>
      <c r="E1644" s="76" t="s">
        <v>6136</v>
      </c>
      <c r="F1644" s="76" t="s">
        <v>6137</v>
      </c>
    </row>
    <row r="1645" spans="1:6" ht="63.95" customHeight="1">
      <c r="A1645" s="76" t="s">
        <v>5994</v>
      </c>
      <c r="B1645" s="76" t="s">
        <v>10062</v>
      </c>
      <c r="C1645" s="76"/>
      <c r="D1645" s="76" t="s">
        <v>3201</v>
      </c>
      <c r="E1645" s="76" t="s">
        <v>6136</v>
      </c>
      <c r="F1645" s="76" t="s">
        <v>6137</v>
      </c>
    </row>
    <row r="1646" spans="1:6" ht="63.95" customHeight="1">
      <c r="A1646" s="76" t="s">
        <v>5994</v>
      </c>
      <c r="B1646" s="76" t="s">
        <v>10063</v>
      </c>
      <c r="C1646" s="76"/>
      <c r="D1646" s="76" t="s">
        <v>10064</v>
      </c>
      <c r="E1646" s="76" t="s">
        <v>6136</v>
      </c>
      <c r="F1646" s="76" t="s">
        <v>6137</v>
      </c>
    </row>
    <row r="1647" spans="1:6" ht="63.95" customHeight="1">
      <c r="A1647" s="76" t="s">
        <v>5994</v>
      </c>
      <c r="B1647" s="76" t="s">
        <v>8853</v>
      </c>
      <c r="C1647" s="76"/>
      <c r="D1647" s="76" t="s">
        <v>10065</v>
      </c>
      <c r="E1647" s="76" t="s">
        <v>6136</v>
      </c>
      <c r="F1647" s="76" t="s">
        <v>6137</v>
      </c>
    </row>
    <row r="1648" spans="1:6" ht="63.95" customHeight="1">
      <c r="A1648" s="76" t="s">
        <v>5994</v>
      </c>
      <c r="B1648" s="76" t="s">
        <v>7831</v>
      </c>
      <c r="C1648" s="76"/>
      <c r="D1648" s="76" t="s">
        <v>10066</v>
      </c>
      <c r="E1648" s="76" t="s">
        <v>6136</v>
      </c>
      <c r="F1648" s="76" t="s">
        <v>6137</v>
      </c>
    </row>
    <row r="1649" spans="1:6" ht="63.95" customHeight="1">
      <c r="A1649" s="76" t="s">
        <v>5994</v>
      </c>
      <c r="B1649" s="76" t="s">
        <v>10067</v>
      </c>
      <c r="C1649" s="76"/>
      <c r="D1649" s="76" t="s">
        <v>1289</v>
      </c>
      <c r="E1649" s="76" t="s">
        <v>6136</v>
      </c>
      <c r="F1649" s="76" t="s">
        <v>6137</v>
      </c>
    </row>
    <row r="1650" spans="1:6" ht="63.95" customHeight="1">
      <c r="A1650" s="76" t="s">
        <v>5994</v>
      </c>
      <c r="B1650" s="76" t="s">
        <v>10068</v>
      </c>
      <c r="C1650" s="76"/>
      <c r="D1650" s="76">
        <v>12</v>
      </c>
      <c r="E1650" s="76" t="s">
        <v>6136</v>
      </c>
      <c r="F1650" s="76" t="s">
        <v>6137</v>
      </c>
    </row>
    <row r="1651" spans="1:6" ht="63.95" customHeight="1">
      <c r="A1651" s="76" t="s">
        <v>5994</v>
      </c>
      <c r="B1651" s="76" t="s">
        <v>10069</v>
      </c>
      <c r="C1651" s="76"/>
      <c r="D1651" s="76">
        <v>4.32</v>
      </c>
      <c r="E1651" s="76" t="s">
        <v>6136</v>
      </c>
      <c r="F1651" s="76" t="s">
        <v>6137</v>
      </c>
    </row>
    <row r="1652" spans="1:6" ht="63.95" customHeight="1">
      <c r="A1652" s="76" t="s">
        <v>5994</v>
      </c>
      <c r="B1652" s="76" t="s">
        <v>10070</v>
      </c>
      <c r="C1652" s="76"/>
      <c r="D1652" s="76" t="s">
        <v>3201</v>
      </c>
      <c r="E1652" s="76" t="s">
        <v>6136</v>
      </c>
      <c r="F1652" s="76" t="s">
        <v>6137</v>
      </c>
    </row>
    <row r="1653" spans="1:6" ht="63.95" customHeight="1">
      <c r="A1653" s="76" t="s">
        <v>5994</v>
      </c>
      <c r="B1653" s="76" t="s">
        <v>10071</v>
      </c>
      <c r="C1653" s="76"/>
      <c r="D1653" s="76" t="s">
        <v>10072</v>
      </c>
      <c r="E1653" s="76" t="s">
        <v>6136</v>
      </c>
      <c r="F1653" s="76" t="s">
        <v>6137</v>
      </c>
    </row>
    <row r="1654" spans="1:6" ht="63.95" customHeight="1">
      <c r="A1654" s="76" t="s">
        <v>5994</v>
      </c>
      <c r="B1654" s="76" t="s">
        <v>8856</v>
      </c>
      <c r="C1654" s="76"/>
      <c r="D1654" s="76" t="s">
        <v>10073</v>
      </c>
      <c r="E1654" s="76" t="s">
        <v>6136</v>
      </c>
      <c r="F1654" s="76" t="s">
        <v>6137</v>
      </c>
    </row>
    <row r="1655" spans="1:6" ht="63.95" customHeight="1">
      <c r="A1655" s="76" t="s">
        <v>5994</v>
      </c>
      <c r="B1655" s="76" t="s">
        <v>7837</v>
      </c>
      <c r="C1655" s="76"/>
      <c r="D1655" s="76" t="s">
        <v>10074</v>
      </c>
      <c r="E1655" s="76" t="s">
        <v>6136</v>
      </c>
      <c r="F1655" s="76" t="s">
        <v>6137</v>
      </c>
    </row>
    <row r="1656" spans="1:6" ht="63.95" customHeight="1">
      <c r="A1656" s="76" t="s">
        <v>5994</v>
      </c>
      <c r="B1656" s="76" t="s">
        <v>10075</v>
      </c>
      <c r="C1656" s="76"/>
      <c r="D1656" s="76" t="s">
        <v>1296</v>
      </c>
      <c r="E1656" s="76" t="s">
        <v>6136</v>
      </c>
      <c r="F1656" s="76" t="s">
        <v>6137</v>
      </c>
    </row>
    <row r="1657" spans="1:6" ht="63.95" customHeight="1">
      <c r="A1657" s="76" t="s">
        <v>5994</v>
      </c>
      <c r="B1657" s="76" t="s">
        <v>10076</v>
      </c>
      <c r="C1657" s="76"/>
      <c r="D1657" s="76">
        <v>12</v>
      </c>
      <c r="E1657" s="76" t="s">
        <v>6136</v>
      </c>
      <c r="F1657" s="76" t="s">
        <v>6137</v>
      </c>
    </row>
    <row r="1658" spans="1:6" ht="63.95" customHeight="1">
      <c r="A1658" s="76" t="s">
        <v>5994</v>
      </c>
      <c r="B1658" s="76" t="s">
        <v>10077</v>
      </c>
      <c r="C1658" s="76"/>
      <c r="D1658" s="76">
        <v>4.32</v>
      </c>
      <c r="E1658" s="76" t="s">
        <v>6136</v>
      </c>
      <c r="F1658" s="76" t="s">
        <v>6137</v>
      </c>
    </row>
    <row r="1659" spans="1:6" ht="63.95" customHeight="1">
      <c r="A1659" s="76" t="s">
        <v>5994</v>
      </c>
      <c r="B1659" s="76" t="s">
        <v>10078</v>
      </c>
      <c r="C1659" s="76"/>
      <c r="D1659" s="76" t="s">
        <v>3201</v>
      </c>
      <c r="E1659" s="76" t="s">
        <v>6136</v>
      </c>
      <c r="F1659" s="76" t="s">
        <v>6137</v>
      </c>
    </row>
    <row r="1660" spans="1:6" ht="63.95" customHeight="1">
      <c r="A1660" s="76" t="s">
        <v>5994</v>
      </c>
      <c r="B1660" s="76" t="s">
        <v>10079</v>
      </c>
      <c r="C1660" s="76"/>
      <c r="D1660" s="76" t="s">
        <v>10080</v>
      </c>
      <c r="E1660" s="76" t="s">
        <v>6136</v>
      </c>
      <c r="F1660" s="76" t="s">
        <v>6137</v>
      </c>
    </row>
    <row r="1661" spans="1:6" ht="63.95" customHeight="1">
      <c r="A1661" s="76" t="s">
        <v>5994</v>
      </c>
      <c r="B1661" s="76" t="s">
        <v>8859</v>
      </c>
      <c r="C1661" s="76"/>
      <c r="D1661" s="76" t="s">
        <v>10081</v>
      </c>
      <c r="E1661" s="76" t="s">
        <v>6136</v>
      </c>
      <c r="F1661" s="76" t="s">
        <v>6137</v>
      </c>
    </row>
    <row r="1662" spans="1:6" ht="63.95" customHeight="1">
      <c r="A1662" s="76" t="s">
        <v>5994</v>
      </c>
      <c r="B1662" s="76" t="s">
        <v>7843</v>
      </c>
      <c r="C1662" s="76"/>
      <c r="D1662" s="76" t="s">
        <v>10082</v>
      </c>
      <c r="E1662" s="76" t="s">
        <v>6136</v>
      </c>
      <c r="F1662" s="76" t="s">
        <v>6137</v>
      </c>
    </row>
    <row r="1663" spans="1:6" ht="63.95" customHeight="1">
      <c r="A1663" s="76" t="s">
        <v>5994</v>
      </c>
      <c r="B1663" s="76" t="s">
        <v>10083</v>
      </c>
      <c r="C1663" s="76"/>
      <c r="D1663" s="76" t="s">
        <v>1310</v>
      </c>
      <c r="E1663" s="76" t="s">
        <v>6136</v>
      </c>
      <c r="F1663" s="76" t="s">
        <v>6137</v>
      </c>
    </row>
    <row r="1664" spans="1:6" ht="63.95" customHeight="1">
      <c r="A1664" s="76" t="s">
        <v>5994</v>
      </c>
      <c r="B1664" s="76" t="s">
        <v>10084</v>
      </c>
      <c r="C1664" s="76"/>
      <c r="D1664" s="76">
        <v>8</v>
      </c>
      <c r="E1664" s="76" t="s">
        <v>6136</v>
      </c>
      <c r="F1664" s="76" t="s">
        <v>6137</v>
      </c>
    </row>
    <row r="1665" spans="1:6" ht="63.95" customHeight="1">
      <c r="A1665" s="76" t="s">
        <v>5994</v>
      </c>
      <c r="B1665" s="76" t="s">
        <v>10085</v>
      </c>
      <c r="C1665" s="76"/>
      <c r="D1665" s="76">
        <v>1.2000000000000002</v>
      </c>
      <c r="E1665" s="76" t="s">
        <v>6136</v>
      </c>
      <c r="F1665" s="76" t="s">
        <v>6137</v>
      </c>
    </row>
    <row r="1666" spans="1:6" ht="63.95" customHeight="1">
      <c r="A1666" s="76" t="s">
        <v>5994</v>
      </c>
      <c r="B1666" s="76" t="s">
        <v>10086</v>
      </c>
      <c r="C1666" s="76"/>
      <c r="D1666" s="76" t="s">
        <v>3201</v>
      </c>
      <c r="E1666" s="76" t="s">
        <v>6136</v>
      </c>
      <c r="F1666" s="76" t="s">
        <v>6137</v>
      </c>
    </row>
    <row r="1667" spans="1:6" ht="63.95" customHeight="1">
      <c r="A1667" s="76" t="s">
        <v>5994</v>
      </c>
      <c r="B1667" s="76" t="s">
        <v>10087</v>
      </c>
      <c r="C1667" s="76"/>
      <c r="D1667" s="76" t="s">
        <v>10088</v>
      </c>
      <c r="E1667" s="76" t="s">
        <v>6136</v>
      </c>
      <c r="F1667" s="76" t="s">
        <v>6137</v>
      </c>
    </row>
    <row r="1668" spans="1:6" ht="63.95" customHeight="1">
      <c r="A1668" s="76" t="s">
        <v>5994</v>
      </c>
      <c r="B1668" s="76" t="s">
        <v>8862</v>
      </c>
      <c r="C1668" s="76"/>
      <c r="D1668" s="76" t="s">
        <v>10089</v>
      </c>
      <c r="E1668" s="76" t="s">
        <v>6136</v>
      </c>
      <c r="F1668" s="76" t="s">
        <v>6137</v>
      </c>
    </row>
    <row r="1669" spans="1:6" ht="63.95" customHeight="1">
      <c r="A1669" s="76" t="s">
        <v>5994</v>
      </c>
      <c r="B1669" s="76" t="s">
        <v>7849</v>
      </c>
      <c r="C1669" s="76"/>
      <c r="D1669" s="76" t="s">
        <v>10090</v>
      </c>
      <c r="E1669" s="76" t="s">
        <v>6136</v>
      </c>
      <c r="F1669" s="76" t="s">
        <v>6137</v>
      </c>
    </row>
    <row r="1670" spans="1:6" ht="63.95" customHeight="1">
      <c r="A1670" s="76" t="s">
        <v>5994</v>
      </c>
      <c r="B1670" s="76" t="s">
        <v>10091</v>
      </c>
      <c r="C1670" s="76"/>
      <c r="D1670" s="76" t="s">
        <v>812</v>
      </c>
      <c r="E1670" s="76" t="s">
        <v>6136</v>
      </c>
      <c r="F1670" s="76" t="s">
        <v>6137</v>
      </c>
    </row>
    <row r="1671" spans="1:6" ht="63.95" customHeight="1">
      <c r="A1671" s="76" t="s">
        <v>5994</v>
      </c>
      <c r="B1671" s="76" t="s">
        <v>10092</v>
      </c>
      <c r="C1671" s="76"/>
      <c r="D1671" s="76">
        <v>30</v>
      </c>
      <c r="E1671" s="76" t="s">
        <v>6136</v>
      </c>
      <c r="F1671" s="76" t="s">
        <v>6137</v>
      </c>
    </row>
    <row r="1672" spans="1:6" ht="63.95" customHeight="1">
      <c r="A1672" s="76" t="s">
        <v>5994</v>
      </c>
      <c r="B1672" s="76" t="s">
        <v>10093</v>
      </c>
      <c r="C1672" s="76"/>
      <c r="D1672" s="76">
        <v>11.2</v>
      </c>
      <c r="E1672" s="76" t="s">
        <v>6136</v>
      </c>
      <c r="F1672" s="76" t="s">
        <v>6137</v>
      </c>
    </row>
    <row r="1673" spans="1:6" ht="63.95" customHeight="1">
      <c r="A1673" s="76" t="s">
        <v>5994</v>
      </c>
      <c r="B1673" s="76" t="s">
        <v>10094</v>
      </c>
      <c r="C1673" s="76"/>
      <c r="D1673" s="76" t="s">
        <v>3201</v>
      </c>
      <c r="E1673" s="76" t="s">
        <v>6136</v>
      </c>
      <c r="F1673" s="76" t="s">
        <v>6137</v>
      </c>
    </row>
    <row r="1674" spans="1:6" ht="63.95" customHeight="1">
      <c r="A1674" s="76" t="s">
        <v>5994</v>
      </c>
      <c r="B1674" s="76" t="s">
        <v>10095</v>
      </c>
      <c r="C1674" s="76"/>
      <c r="D1674" s="76" t="s">
        <v>10096</v>
      </c>
      <c r="E1674" s="76" t="s">
        <v>6136</v>
      </c>
      <c r="F1674" s="76" t="s">
        <v>6137</v>
      </c>
    </row>
    <row r="1675" spans="1:6" ht="63.95" customHeight="1">
      <c r="A1675" s="76" t="s">
        <v>5994</v>
      </c>
      <c r="B1675" s="76" t="s">
        <v>8865</v>
      </c>
      <c r="C1675" s="76"/>
      <c r="D1675" s="76" t="s">
        <v>10097</v>
      </c>
      <c r="E1675" s="76" t="s">
        <v>6136</v>
      </c>
      <c r="F1675" s="76" t="s">
        <v>6137</v>
      </c>
    </row>
    <row r="1676" spans="1:6" ht="63.95" customHeight="1">
      <c r="A1676" s="76" t="s">
        <v>5994</v>
      </c>
      <c r="B1676" s="76" t="s">
        <v>7855</v>
      </c>
      <c r="C1676" s="76"/>
      <c r="D1676" s="76" t="s">
        <v>10098</v>
      </c>
      <c r="E1676" s="76" t="s">
        <v>6136</v>
      </c>
      <c r="F1676" s="76" t="s">
        <v>6137</v>
      </c>
    </row>
    <row r="1677" spans="1:6" ht="63.95" customHeight="1">
      <c r="A1677" s="76" t="s">
        <v>5994</v>
      </c>
      <c r="B1677" s="76" t="s">
        <v>10099</v>
      </c>
      <c r="C1677" s="76"/>
      <c r="D1677" s="76" t="s">
        <v>1586</v>
      </c>
      <c r="E1677" s="76" t="s">
        <v>6136</v>
      </c>
      <c r="F1677" s="76" t="s">
        <v>6137</v>
      </c>
    </row>
    <row r="1678" spans="1:6" ht="63.95" customHeight="1">
      <c r="A1678" s="76" t="s">
        <v>5994</v>
      </c>
      <c r="B1678" s="76" t="s">
        <v>10100</v>
      </c>
      <c r="C1678" s="76"/>
      <c r="D1678" s="76">
        <v>8</v>
      </c>
      <c r="E1678" s="76" t="s">
        <v>6136</v>
      </c>
      <c r="F1678" s="76" t="s">
        <v>6137</v>
      </c>
    </row>
    <row r="1679" spans="1:6" ht="63.95" customHeight="1">
      <c r="A1679" s="76" t="s">
        <v>5994</v>
      </c>
      <c r="B1679" s="76" t="s">
        <v>10101</v>
      </c>
      <c r="C1679" s="76"/>
      <c r="D1679" s="76">
        <v>1.2000000000000002</v>
      </c>
      <c r="E1679" s="76" t="s">
        <v>6136</v>
      </c>
      <c r="F1679" s="76" t="s">
        <v>6137</v>
      </c>
    </row>
    <row r="1680" spans="1:6" ht="63.95" customHeight="1">
      <c r="A1680" s="76" t="s">
        <v>5994</v>
      </c>
      <c r="B1680" s="76" t="s">
        <v>10102</v>
      </c>
      <c r="C1680" s="76"/>
      <c r="D1680" s="76" t="s">
        <v>3201</v>
      </c>
      <c r="E1680" s="76" t="s">
        <v>6136</v>
      </c>
      <c r="F1680" s="76" t="s">
        <v>6137</v>
      </c>
    </row>
    <row r="1681" spans="1:6" ht="63.95" customHeight="1">
      <c r="A1681" s="76" t="s">
        <v>5994</v>
      </c>
      <c r="B1681" s="76" t="s">
        <v>10103</v>
      </c>
      <c r="C1681" s="76"/>
      <c r="D1681" s="76" t="s">
        <v>10104</v>
      </c>
      <c r="E1681" s="76" t="s">
        <v>6136</v>
      </c>
      <c r="F1681" s="76" t="s">
        <v>6137</v>
      </c>
    </row>
    <row r="1682" spans="1:6" ht="63.95" customHeight="1">
      <c r="A1682" s="76" t="s">
        <v>5994</v>
      </c>
      <c r="B1682" s="76" t="s">
        <v>8868</v>
      </c>
      <c r="C1682" s="76"/>
      <c r="D1682" s="76" t="s">
        <v>10105</v>
      </c>
      <c r="E1682" s="76" t="s">
        <v>6136</v>
      </c>
      <c r="F1682" s="76" t="s">
        <v>6137</v>
      </c>
    </row>
    <row r="1683" spans="1:6" ht="63.95" customHeight="1">
      <c r="A1683" s="76" t="s">
        <v>5994</v>
      </c>
      <c r="B1683" s="76" t="s">
        <v>7861</v>
      </c>
      <c r="C1683" s="76"/>
      <c r="D1683" s="76" t="s">
        <v>10106</v>
      </c>
      <c r="E1683" s="76" t="s">
        <v>6136</v>
      </c>
      <c r="F1683" s="76" t="s">
        <v>6137</v>
      </c>
    </row>
    <row r="1684" spans="1:6" ht="63.95" customHeight="1">
      <c r="A1684" s="76" t="s">
        <v>5994</v>
      </c>
      <c r="B1684" s="76" t="s">
        <v>10107</v>
      </c>
      <c r="C1684" s="76"/>
      <c r="D1684" s="76" t="s">
        <v>1593</v>
      </c>
      <c r="E1684" s="76" t="s">
        <v>6136</v>
      </c>
      <c r="F1684" s="76" t="s">
        <v>6137</v>
      </c>
    </row>
    <row r="1685" spans="1:6" ht="63.95" customHeight="1">
      <c r="A1685" s="76" t="s">
        <v>5994</v>
      </c>
      <c r="B1685" s="76" t="s">
        <v>10108</v>
      </c>
      <c r="C1685" s="76"/>
      <c r="D1685" s="76">
        <v>10</v>
      </c>
      <c r="E1685" s="76" t="s">
        <v>6136</v>
      </c>
      <c r="F1685" s="76" t="s">
        <v>6137</v>
      </c>
    </row>
    <row r="1686" spans="1:6" ht="63.95" customHeight="1">
      <c r="A1686" s="76" t="s">
        <v>5994</v>
      </c>
      <c r="B1686" s="76" t="s">
        <v>10109</v>
      </c>
      <c r="C1686" s="76"/>
      <c r="D1686" s="76">
        <v>1.5</v>
      </c>
      <c r="E1686" s="76" t="s">
        <v>6136</v>
      </c>
      <c r="F1686" s="76" t="s">
        <v>6137</v>
      </c>
    </row>
    <row r="1687" spans="1:6" ht="63.95" customHeight="1">
      <c r="A1687" s="76" t="s">
        <v>5994</v>
      </c>
      <c r="B1687" s="76" t="s">
        <v>10110</v>
      </c>
      <c r="C1687" s="76"/>
      <c r="D1687" s="76" t="s">
        <v>3201</v>
      </c>
      <c r="E1687" s="76" t="s">
        <v>6136</v>
      </c>
      <c r="F1687" s="76" t="s">
        <v>6137</v>
      </c>
    </row>
    <row r="1688" spans="1:6" ht="63.95" customHeight="1">
      <c r="A1688" s="76" t="s">
        <v>5994</v>
      </c>
      <c r="B1688" s="76" t="s">
        <v>10111</v>
      </c>
      <c r="C1688" s="76"/>
      <c r="D1688" s="76" t="s">
        <v>10112</v>
      </c>
      <c r="E1688" s="76" t="s">
        <v>6136</v>
      </c>
      <c r="F1688" s="76" t="s">
        <v>6137</v>
      </c>
    </row>
    <row r="1689" spans="1:6" ht="63.95" customHeight="1">
      <c r="A1689" s="76" t="s">
        <v>5994</v>
      </c>
      <c r="B1689" s="76" t="s">
        <v>8871</v>
      </c>
      <c r="C1689" s="76"/>
      <c r="D1689" s="76" t="s">
        <v>10113</v>
      </c>
      <c r="E1689" s="76" t="s">
        <v>6136</v>
      </c>
      <c r="F1689" s="76" t="s">
        <v>6137</v>
      </c>
    </row>
    <row r="1690" spans="1:6" ht="63.95" customHeight="1">
      <c r="A1690" s="76" t="s">
        <v>5994</v>
      </c>
      <c r="B1690" s="76" t="s">
        <v>7867</v>
      </c>
      <c r="C1690" s="76"/>
      <c r="D1690" s="76" t="s">
        <v>10114</v>
      </c>
      <c r="E1690" s="76" t="s">
        <v>6136</v>
      </c>
      <c r="F1690" s="76" t="s">
        <v>6137</v>
      </c>
    </row>
    <row r="1691" spans="1:6" ht="63.95" customHeight="1">
      <c r="A1691" s="76" t="s">
        <v>5994</v>
      </c>
      <c r="B1691" s="76" t="s">
        <v>10115</v>
      </c>
      <c r="C1691" s="76"/>
      <c r="D1691" s="76" t="s">
        <v>1625</v>
      </c>
      <c r="E1691" s="76" t="s">
        <v>6136</v>
      </c>
      <c r="F1691" s="76" t="s">
        <v>6137</v>
      </c>
    </row>
    <row r="1692" spans="1:6" ht="63.95" customHeight="1">
      <c r="A1692" s="76" t="s">
        <v>5994</v>
      </c>
      <c r="B1692" s="76" t="s">
        <v>10116</v>
      </c>
      <c r="C1692" s="76"/>
      <c r="D1692" s="76">
        <v>12</v>
      </c>
      <c r="E1692" s="76" t="s">
        <v>6136</v>
      </c>
      <c r="F1692" s="76" t="s">
        <v>6137</v>
      </c>
    </row>
    <row r="1693" spans="1:6" ht="63.95" customHeight="1">
      <c r="A1693" s="76" t="s">
        <v>5994</v>
      </c>
      <c r="B1693" s="76" t="s">
        <v>10117</v>
      </c>
      <c r="C1693" s="76"/>
      <c r="D1693" s="76">
        <v>7.2</v>
      </c>
      <c r="E1693" s="76" t="s">
        <v>6136</v>
      </c>
      <c r="F1693" s="76" t="s">
        <v>6137</v>
      </c>
    </row>
    <row r="1694" spans="1:6" ht="63.95" customHeight="1">
      <c r="A1694" s="76" t="s">
        <v>5994</v>
      </c>
      <c r="B1694" s="76" t="s">
        <v>10118</v>
      </c>
      <c r="C1694" s="76"/>
      <c r="D1694" s="76" t="s">
        <v>3201</v>
      </c>
      <c r="E1694" s="76" t="s">
        <v>6136</v>
      </c>
      <c r="F1694" s="76" t="s">
        <v>6137</v>
      </c>
    </row>
    <row r="1695" spans="1:6" ht="63.95" customHeight="1">
      <c r="A1695" s="76" t="s">
        <v>5994</v>
      </c>
      <c r="B1695" s="76" t="s">
        <v>10119</v>
      </c>
      <c r="C1695" s="76"/>
      <c r="D1695" s="76" t="s">
        <v>10120</v>
      </c>
      <c r="E1695" s="76" t="s">
        <v>6136</v>
      </c>
      <c r="F1695" s="76" t="s">
        <v>6137</v>
      </c>
    </row>
    <row r="1696" spans="1:6" ht="63.95" customHeight="1">
      <c r="A1696" s="76" t="s">
        <v>5994</v>
      </c>
      <c r="B1696" s="76" t="s">
        <v>8874</v>
      </c>
      <c r="C1696" s="76"/>
      <c r="D1696" s="76" t="s">
        <v>10121</v>
      </c>
      <c r="E1696" s="76" t="s">
        <v>6136</v>
      </c>
      <c r="F1696" s="76" t="s">
        <v>6137</v>
      </c>
    </row>
    <row r="1697" spans="1:6" ht="63.95" customHeight="1">
      <c r="A1697" s="76" t="s">
        <v>5994</v>
      </c>
      <c r="B1697" s="76" t="s">
        <v>7873</v>
      </c>
      <c r="C1697" s="76"/>
      <c r="D1697" s="76" t="s">
        <v>10122</v>
      </c>
      <c r="E1697" s="76" t="s">
        <v>6136</v>
      </c>
      <c r="F1697" s="76" t="s">
        <v>6137</v>
      </c>
    </row>
    <row r="1698" spans="1:6" ht="63.95" customHeight="1">
      <c r="A1698" s="76" t="s">
        <v>5994</v>
      </c>
      <c r="B1698" s="76" t="s">
        <v>10123</v>
      </c>
      <c r="C1698" s="76"/>
      <c r="D1698" s="76" t="s">
        <v>1655</v>
      </c>
      <c r="E1698" s="76" t="s">
        <v>6136</v>
      </c>
      <c r="F1698" s="76" t="s">
        <v>6137</v>
      </c>
    </row>
    <row r="1699" spans="1:6" ht="63.95" customHeight="1">
      <c r="A1699" s="76" t="s">
        <v>5994</v>
      </c>
      <c r="B1699" s="76" t="s">
        <v>10124</v>
      </c>
      <c r="C1699" s="76"/>
      <c r="D1699" s="76">
        <v>12</v>
      </c>
      <c r="E1699" s="76" t="s">
        <v>6136</v>
      </c>
      <c r="F1699" s="76" t="s">
        <v>6137</v>
      </c>
    </row>
    <row r="1700" spans="1:6" ht="63.95" customHeight="1">
      <c r="A1700" s="76" t="s">
        <v>5994</v>
      </c>
      <c r="B1700" s="76" t="s">
        <v>10125</v>
      </c>
      <c r="C1700" s="76"/>
      <c r="D1700" s="76">
        <v>1.7999999999999998</v>
      </c>
      <c r="E1700" s="76" t="s">
        <v>6136</v>
      </c>
      <c r="F1700" s="76" t="s">
        <v>6137</v>
      </c>
    </row>
    <row r="1701" spans="1:6" ht="63.95" customHeight="1">
      <c r="A1701" s="76" t="s">
        <v>5994</v>
      </c>
      <c r="B1701" s="76" t="s">
        <v>10126</v>
      </c>
      <c r="C1701" s="76"/>
      <c r="D1701" s="76" t="s">
        <v>3201</v>
      </c>
      <c r="E1701" s="76" t="s">
        <v>6136</v>
      </c>
      <c r="F1701" s="76" t="s">
        <v>6137</v>
      </c>
    </row>
    <row r="1702" spans="1:6" ht="63.95" customHeight="1">
      <c r="A1702" s="76" t="s">
        <v>5994</v>
      </c>
      <c r="B1702" s="76" t="s">
        <v>10127</v>
      </c>
      <c r="C1702" s="76"/>
      <c r="D1702" s="76" t="s">
        <v>10128</v>
      </c>
      <c r="E1702" s="76" t="s">
        <v>6136</v>
      </c>
      <c r="F1702" s="76" t="s">
        <v>6137</v>
      </c>
    </row>
    <row r="1703" spans="1:6" ht="63.95" customHeight="1">
      <c r="A1703" s="76" t="s">
        <v>5994</v>
      </c>
      <c r="B1703" s="76" t="s">
        <v>8877</v>
      </c>
      <c r="C1703" s="76"/>
      <c r="D1703" s="76" t="s">
        <v>10129</v>
      </c>
      <c r="E1703" s="76" t="s">
        <v>6136</v>
      </c>
      <c r="F1703" s="76" t="s">
        <v>6137</v>
      </c>
    </row>
    <row r="1704" spans="1:6" ht="63.95" customHeight="1">
      <c r="A1704" s="76" t="s">
        <v>5994</v>
      </c>
      <c r="B1704" s="76" t="s">
        <v>7879</v>
      </c>
      <c r="C1704" s="76"/>
      <c r="D1704" s="76" t="s">
        <v>10130</v>
      </c>
      <c r="E1704" s="76" t="s">
        <v>6136</v>
      </c>
      <c r="F1704" s="76" t="s">
        <v>6137</v>
      </c>
    </row>
    <row r="1705" spans="1:6" ht="63.95" customHeight="1">
      <c r="A1705" s="76" t="s">
        <v>5994</v>
      </c>
      <c r="B1705" s="76" t="s">
        <v>10131</v>
      </c>
      <c r="C1705" s="76"/>
      <c r="D1705" s="76" t="s">
        <v>1685</v>
      </c>
      <c r="E1705" s="76" t="s">
        <v>6136</v>
      </c>
      <c r="F1705" s="76" t="s">
        <v>6137</v>
      </c>
    </row>
    <row r="1706" spans="1:6" ht="63.95" customHeight="1">
      <c r="A1706" s="76" t="s">
        <v>5994</v>
      </c>
      <c r="B1706" s="76" t="s">
        <v>10132</v>
      </c>
      <c r="C1706" s="76"/>
      <c r="D1706" s="76">
        <v>12</v>
      </c>
      <c r="E1706" s="76" t="s">
        <v>6136</v>
      </c>
      <c r="F1706" s="76" t="s">
        <v>6137</v>
      </c>
    </row>
    <row r="1707" spans="1:6" ht="63.95" customHeight="1">
      <c r="A1707" s="76" t="s">
        <v>5994</v>
      </c>
      <c r="B1707" s="76" t="s">
        <v>10133</v>
      </c>
      <c r="C1707" s="76"/>
      <c r="D1707" s="76">
        <v>2</v>
      </c>
      <c r="E1707" s="76" t="s">
        <v>6136</v>
      </c>
      <c r="F1707" s="76" t="s">
        <v>6137</v>
      </c>
    </row>
    <row r="1708" spans="1:6" ht="63.95" customHeight="1">
      <c r="A1708" s="76" t="s">
        <v>5994</v>
      </c>
      <c r="B1708" s="76" t="s">
        <v>10134</v>
      </c>
      <c r="C1708" s="76"/>
      <c r="D1708" s="76" t="s">
        <v>3201</v>
      </c>
      <c r="E1708" s="76" t="s">
        <v>6136</v>
      </c>
      <c r="F1708" s="76" t="s">
        <v>6137</v>
      </c>
    </row>
    <row r="1709" spans="1:6" ht="63.95" customHeight="1">
      <c r="A1709" s="76" t="s">
        <v>5994</v>
      </c>
      <c r="B1709" s="76" t="s">
        <v>10135</v>
      </c>
      <c r="C1709" s="76"/>
      <c r="D1709" s="76" t="s">
        <v>10136</v>
      </c>
      <c r="E1709" s="76" t="s">
        <v>6136</v>
      </c>
      <c r="F1709" s="76" t="s">
        <v>6137</v>
      </c>
    </row>
    <row r="1710" spans="1:6" ht="63.95" customHeight="1">
      <c r="A1710" s="76" t="s">
        <v>5994</v>
      </c>
      <c r="B1710" s="76" t="s">
        <v>8880</v>
      </c>
      <c r="C1710" s="76"/>
      <c r="D1710" s="76" t="s">
        <v>10137</v>
      </c>
      <c r="E1710" s="76" t="s">
        <v>6136</v>
      </c>
      <c r="F1710" s="76" t="s">
        <v>6137</v>
      </c>
    </row>
    <row r="1711" spans="1:6" ht="63.95" customHeight="1">
      <c r="A1711" s="76" t="s">
        <v>5994</v>
      </c>
      <c r="B1711" s="76" t="s">
        <v>7885</v>
      </c>
      <c r="C1711" s="76"/>
      <c r="D1711" s="76" t="s">
        <v>10138</v>
      </c>
      <c r="E1711" s="76" t="s">
        <v>6136</v>
      </c>
      <c r="F1711" s="76" t="s">
        <v>6137</v>
      </c>
    </row>
    <row r="1712" spans="1:6" ht="63.95" customHeight="1">
      <c r="A1712" s="76" t="s">
        <v>5997</v>
      </c>
      <c r="B1712" s="76" t="s">
        <v>3562</v>
      </c>
      <c r="C1712" s="76" t="s">
        <v>10139</v>
      </c>
      <c r="D1712" s="76" t="s">
        <v>10140</v>
      </c>
      <c r="E1712" s="76" t="s">
        <v>6136</v>
      </c>
      <c r="F1712" s="76" t="s">
        <v>6137</v>
      </c>
    </row>
    <row r="1713" spans="1:6" ht="63.95" customHeight="1">
      <c r="A1713" s="76" t="s">
        <v>5997</v>
      </c>
      <c r="B1713" s="76" t="s">
        <v>3595</v>
      </c>
      <c r="C1713" s="76" t="s">
        <v>10141</v>
      </c>
      <c r="D1713" s="76" t="s">
        <v>10142</v>
      </c>
      <c r="E1713" s="76" t="s">
        <v>6136</v>
      </c>
      <c r="F1713" s="76" t="s">
        <v>6137</v>
      </c>
    </row>
    <row r="1714" spans="1:6" ht="63.95" customHeight="1">
      <c r="A1714" s="76" t="s">
        <v>5997</v>
      </c>
      <c r="B1714" s="76" t="s">
        <v>3567</v>
      </c>
      <c r="C1714" s="76" t="s">
        <v>10143</v>
      </c>
      <c r="D1714" s="76" t="s">
        <v>10144</v>
      </c>
      <c r="E1714" s="76" t="s">
        <v>6136</v>
      </c>
      <c r="F1714" s="76" t="s">
        <v>6137</v>
      </c>
    </row>
    <row r="1715" spans="1:6" ht="63.95" customHeight="1">
      <c r="A1715" s="76" t="s">
        <v>5997</v>
      </c>
      <c r="B1715" s="76" t="s">
        <v>3601</v>
      </c>
      <c r="C1715" s="76" t="s">
        <v>10145</v>
      </c>
      <c r="D1715" s="76" t="s">
        <v>10146</v>
      </c>
      <c r="E1715" s="76" t="s">
        <v>6136</v>
      </c>
      <c r="F1715" s="76" t="s">
        <v>6137</v>
      </c>
    </row>
    <row r="1716" spans="1:6" ht="63.95" customHeight="1">
      <c r="A1716" s="76" t="s">
        <v>5997</v>
      </c>
      <c r="B1716" s="76" t="s">
        <v>3573</v>
      </c>
      <c r="C1716" s="76" t="s">
        <v>10147</v>
      </c>
      <c r="D1716" s="76" t="s">
        <v>10148</v>
      </c>
      <c r="E1716" s="76" t="s">
        <v>6136</v>
      </c>
      <c r="F1716" s="76" t="s">
        <v>6137</v>
      </c>
    </row>
    <row r="1717" spans="1:6" ht="63.95" customHeight="1">
      <c r="A1717" s="76" t="s">
        <v>5997</v>
      </c>
      <c r="B1717" s="76" t="s">
        <v>3607</v>
      </c>
      <c r="C1717" s="76" t="s">
        <v>10149</v>
      </c>
      <c r="D1717" s="76" t="s">
        <v>10150</v>
      </c>
      <c r="E1717" s="76" t="s">
        <v>6136</v>
      </c>
      <c r="F1717" s="76" t="s">
        <v>6137</v>
      </c>
    </row>
    <row r="1718" spans="1:6" ht="63.95" customHeight="1">
      <c r="A1718" s="76" t="s">
        <v>5997</v>
      </c>
      <c r="B1718" s="76" t="s">
        <v>3578</v>
      </c>
      <c r="C1718" s="76" t="s">
        <v>10151</v>
      </c>
      <c r="D1718" s="76" t="s">
        <v>10152</v>
      </c>
      <c r="E1718" s="76" t="s">
        <v>6136</v>
      </c>
      <c r="F1718" s="76" t="s">
        <v>6137</v>
      </c>
    </row>
    <row r="1719" spans="1:6" ht="63.95" customHeight="1">
      <c r="A1719" s="76" t="s">
        <v>5997</v>
      </c>
      <c r="B1719" s="76" t="s">
        <v>133</v>
      </c>
      <c r="C1719" s="76" t="s">
        <v>10153</v>
      </c>
      <c r="D1719" s="76" t="s">
        <v>10154</v>
      </c>
      <c r="E1719" s="76" t="s">
        <v>6136</v>
      </c>
      <c r="F1719" s="76" t="s">
        <v>6137</v>
      </c>
    </row>
    <row r="1720" spans="1:6" ht="63.95" customHeight="1">
      <c r="A1720" s="76" t="s">
        <v>5997</v>
      </c>
      <c r="B1720" s="76" t="s">
        <v>3584</v>
      </c>
      <c r="C1720" s="76" t="s">
        <v>10155</v>
      </c>
      <c r="D1720" s="76" t="s">
        <v>10156</v>
      </c>
      <c r="E1720" s="76" t="s">
        <v>6136</v>
      </c>
      <c r="F1720" s="76" t="s">
        <v>6137</v>
      </c>
    </row>
    <row r="1721" spans="1:6" ht="63.95" customHeight="1">
      <c r="A1721" s="76" t="s">
        <v>5997</v>
      </c>
      <c r="B1721" s="76" t="s">
        <v>3618</v>
      </c>
      <c r="C1721" s="76" t="s">
        <v>10157</v>
      </c>
      <c r="D1721" s="76" t="s">
        <v>10158</v>
      </c>
      <c r="E1721" s="76" t="s">
        <v>6136</v>
      </c>
      <c r="F1721" s="76" t="s">
        <v>6137</v>
      </c>
    </row>
    <row r="1722" spans="1:6" ht="63.95" customHeight="1">
      <c r="A1722" s="76" t="s">
        <v>5997</v>
      </c>
      <c r="B1722" s="76" t="s">
        <v>10159</v>
      </c>
      <c r="C1722" s="76" t="s">
        <v>10160</v>
      </c>
      <c r="D1722" s="76" t="s">
        <v>10161</v>
      </c>
      <c r="E1722" s="76" t="s">
        <v>6136</v>
      </c>
      <c r="F1722" s="76" t="s">
        <v>6137</v>
      </c>
    </row>
    <row r="1723" spans="1:6" ht="63.95" customHeight="1">
      <c r="A1723" s="76" t="s">
        <v>5997</v>
      </c>
      <c r="B1723" s="76" t="s">
        <v>3624</v>
      </c>
      <c r="C1723" s="76" t="s">
        <v>10162</v>
      </c>
      <c r="D1723" s="76" t="s">
        <v>10163</v>
      </c>
      <c r="E1723" s="76" t="s">
        <v>6136</v>
      </c>
      <c r="F1723" s="76" t="s">
        <v>6137</v>
      </c>
    </row>
    <row r="1724" spans="1:6" ht="63.95" customHeight="1">
      <c r="A1724" s="76" t="s">
        <v>5997</v>
      </c>
      <c r="B1724" s="76" t="s">
        <v>10164</v>
      </c>
      <c r="C1724" s="76" t="s">
        <v>10165</v>
      </c>
      <c r="D1724" s="76" t="s">
        <v>10166</v>
      </c>
      <c r="E1724" s="76" t="s">
        <v>6136</v>
      </c>
      <c r="F1724" s="76" t="s">
        <v>6137</v>
      </c>
    </row>
    <row r="1725" spans="1:6" ht="63.95" customHeight="1">
      <c r="A1725" s="76" t="s">
        <v>5997</v>
      </c>
      <c r="B1725" s="76" t="s">
        <v>3630</v>
      </c>
      <c r="C1725" s="76" t="s">
        <v>10167</v>
      </c>
      <c r="D1725" s="76" t="s">
        <v>10168</v>
      </c>
      <c r="E1725" s="76" t="s">
        <v>6136</v>
      </c>
      <c r="F1725" s="76" t="s">
        <v>6137</v>
      </c>
    </row>
    <row r="1726" spans="1:6" ht="63.95" customHeight="1">
      <c r="A1726" s="76" t="s">
        <v>5997</v>
      </c>
      <c r="B1726" s="76" t="s">
        <v>6091</v>
      </c>
      <c r="C1726" s="76" t="s">
        <v>10169</v>
      </c>
      <c r="D1726" s="76" t="s">
        <v>10170</v>
      </c>
      <c r="E1726" s="76" t="s">
        <v>6136</v>
      </c>
      <c r="F1726" s="76" t="s">
        <v>6137</v>
      </c>
    </row>
    <row r="1727" spans="1:6" ht="63.95" customHeight="1">
      <c r="A1727" s="76" t="s">
        <v>5997</v>
      </c>
      <c r="B1727" s="76" t="s">
        <v>3636</v>
      </c>
      <c r="C1727" s="76" t="s">
        <v>10171</v>
      </c>
      <c r="D1727" s="76" t="s">
        <v>10172</v>
      </c>
      <c r="E1727" s="76" t="s">
        <v>6136</v>
      </c>
      <c r="F1727" s="76" t="s">
        <v>6137</v>
      </c>
    </row>
    <row r="1728" spans="1:6" ht="63.95" customHeight="1">
      <c r="A1728" s="76" t="s">
        <v>5997</v>
      </c>
      <c r="B1728" s="76" t="s">
        <v>6096</v>
      </c>
      <c r="C1728" s="76" t="s">
        <v>10173</v>
      </c>
      <c r="D1728" s="76" t="s">
        <v>10174</v>
      </c>
      <c r="E1728" s="76" t="s">
        <v>6136</v>
      </c>
      <c r="F1728" s="76" t="s">
        <v>6137</v>
      </c>
    </row>
    <row r="1729" spans="1:6" ht="63.95" customHeight="1">
      <c r="A1729" s="76" t="s">
        <v>5997</v>
      </c>
      <c r="B1729" s="76" t="s">
        <v>3642</v>
      </c>
      <c r="C1729" s="76" t="s">
        <v>10175</v>
      </c>
      <c r="D1729" s="76" t="s">
        <v>10176</v>
      </c>
      <c r="E1729" s="76" t="s">
        <v>6136</v>
      </c>
      <c r="F1729" s="76" t="s">
        <v>6137</v>
      </c>
    </row>
    <row r="1730" spans="1:6" ht="63.95" customHeight="1">
      <c r="A1730" s="76" t="s">
        <v>5997</v>
      </c>
      <c r="B1730" s="76" t="s">
        <v>6101</v>
      </c>
      <c r="C1730" s="76" t="s">
        <v>10177</v>
      </c>
      <c r="D1730" s="76" t="s">
        <v>10178</v>
      </c>
      <c r="E1730" s="76" t="s">
        <v>6136</v>
      </c>
      <c r="F1730" s="76" t="s">
        <v>6137</v>
      </c>
    </row>
    <row r="1731" spans="1:6" ht="63.95" customHeight="1">
      <c r="A1731" s="76" t="s">
        <v>5997</v>
      </c>
      <c r="B1731" s="76" t="s">
        <v>3648</v>
      </c>
      <c r="C1731" s="76" t="s">
        <v>10179</v>
      </c>
      <c r="D1731" s="76" t="s">
        <v>10180</v>
      </c>
      <c r="E1731" s="76" t="s">
        <v>6136</v>
      </c>
      <c r="F1731" s="76" t="s">
        <v>6137</v>
      </c>
    </row>
    <row r="1732" spans="1:6" ht="63.95" customHeight="1">
      <c r="A1732" s="76" t="s">
        <v>5997</v>
      </c>
      <c r="B1732" s="76" t="s">
        <v>10015</v>
      </c>
      <c r="C1732" s="76" t="s">
        <v>10181</v>
      </c>
      <c r="D1732" s="76" t="s">
        <v>10182</v>
      </c>
      <c r="E1732" s="76" t="s">
        <v>6136</v>
      </c>
      <c r="F1732" s="76" t="s">
        <v>6137</v>
      </c>
    </row>
    <row r="1733" spans="1:6" ht="63.95" customHeight="1">
      <c r="A1733" s="76" t="s">
        <v>5997</v>
      </c>
      <c r="B1733" s="76" t="s">
        <v>3653</v>
      </c>
      <c r="C1733" s="76" t="s">
        <v>10183</v>
      </c>
      <c r="D1733" s="76" t="s">
        <v>10184</v>
      </c>
      <c r="E1733" s="76" t="s">
        <v>6136</v>
      </c>
      <c r="F1733" s="76" t="s">
        <v>6137</v>
      </c>
    </row>
    <row r="1734" spans="1:6" ht="63.95" customHeight="1">
      <c r="A1734" s="76" t="s">
        <v>5997</v>
      </c>
      <c r="B1734" s="76" t="s">
        <v>10022</v>
      </c>
      <c r="C1734" s="76" t="s">
        <v>10185</v>
      </c>
      <c r="D1734" s="76" t="s">
        <v>10186</v>
      </c>
      <c r="E1734" s="76" t="s">
        <v>6136</v>
      </c>
      <c r="F1734" s="76" t="s">
        <v>6137</v>
      </c>
    </row>
    <row r="1735" spans="1:6" ht="63.95" customHeight="1">
      <c r="A1735" s="76" t="s">
        <v>5997</v>
      </c>
      <c r="B1735" s="76" t="s">
        <v>10023</v>
      </c>
      <c r="C1735" s="76" t="s">
        <v>10187</v>
      </c>
      <c r="D1735" s="76" t="s">
        <v>10188</v>
      </c>
      <c r="E1735" s="76" t="s">
        <v>6136</v>
      </c>
      <c r="F1735" s="76" t="s">
        <v>6137</v>
      </c>
    </row>
    <row r="1736" spans="1:6" ht="63.95" customHeight="1">
      <c r="A1736" s="76" t="s">
        <v>5997</v>
      </c>
      <c r="B1736" s="76" t="s">
        <v>6110</v>
      </c>
      <c r="C1736" s="76" t="s">
        <v>10189</v>
      </c>
      <c r="D1736" s="76" t="s">
        <v>10190</v>
      </c>
      <c r="E1736" s="76" t="s">
        <v>6136</v>
      </c>
      <c r="F1736" s="76" t="s">
        <v>6137</v>
      </c>
    </row>
    <row r="1737" spans="1:6" ht="63.95" customHeight="1">
      <c r="A1737" s="76" t="s">
        <v>5997</v>
      </c>
      <c r="B1737" s="76" t="s">
        <v>6111</v>
      </c>
      <c r="C1737" s="76" t="s">
        <v>10191</v>
      </c>
      <c r="D1737" s="76" t="s">
        <v>10192</v>
      </c>
      <c r="E1737" s="76" t="s">
        <v>6136</v>
      </c>
      <c r="F1737" s="76" t="s">
        <v>6137</v>
      </c>
    </row>
    <row r="1738" spans="1:6" ht="63.95" customHeight="1">
      <c r="A1738" s="76" t="s">
        <v>5997</v>
      </c>
      <c r="B1738" s="76" t="s">
        <v>10035</v>
      </c>
      <c r="C1738" s="76" t="s">
        <v>10193</v>
      </c>
      <c r="D1738" s="76" t="s">
        <v>10194</v>
      </c>
      <c r="E1738" s="76" t="s">
        <v>6136</v>
      </c>
      <c r="F1738" s="76" t="s">
        <v>6137</v>
      </c>
    </row>
    <row r="1739" spans="1:6" ht="63.95" customHeight="1">
      <c r="A1739" s="76" t="s">
        <v>5997</v>
      </c>
      <c r="B1739" s="76" t="s">
        <v>10036</v>
      </c>
      <c r="C1739" s="76" t="s">
        <v>10195</v>
      </c>
      <c r="D1739" s="76" t="s">
        <v>10196</v>
      </c>
      <c r="E1739" s="76" t="s">
        <v>6136</v>
      </c>
      <c r="F1739" s="76" t="s">
        <v>6137</v>
      </c>
    </row>
    <row r="1740" spans="1:6" ht="63.95" customHeight="1">
      <c r="A1740" s="76" t="s">
        <v>5997</v>
      </c>
      <c r="B1740" s="76" t="s">
        <v>10043</v>
      </c>
      <c r="C1740" s="76" t="s">
        <v>10197</v>
      </c>
      <c r="D1740" s="76" t="s">
        <v>10198</v>
      </c>
      <c r="E1740" s="76" t="s">
        <v>6136</v>
      </c>
      <c r="F1740" s="76" t="s">
        <v>6137</v>
      </c>
    </row>
    <row r="1741" spans="1:6" ht="63.95" customHeight="1">
      <c r="A1741" s="76" t="s">
        <v>5997</v>
      </c>
      <c r="B1741" s="76" t="s">
        <v>10044</v>
      </c>
      <c r="C1741" s="76" t="s">
        <v>10199</v>
      </c>
      <c r="D1741" s="76" t="s">
        <v>10200</v>
      </c>
      <c r="E1741" s="76" t="s">
        <v>6136</v>
      </c>
      <c r="F1741" s="76" t="s">
        <v>6137</v>
      </c>
    </row>
    <row r="1742" spans="1:6" ht="63.95" customHeight="1">
      <c r="A1742" s="76" t="s">
        <v>5997</v>
      </c>
      <c r="B1742" s="76" t="s">
        <v>6119</v>
      </c>
      <c r="C1742" s="76" t="s">
        <v>10201</v>
      </c>
      <c r="D1742" s="76" t="s">
        <v>10202</v>
      </c>
      <c r="E1742" s="76" t="s">
        <v>6136</v>
      </c>
      <c r="F1742" s="76" t="s">
        <v>6137</v>
      </c>
    </row>
    <row r="1743" spans="1:6" ht="63.95" customHeight="1">
      <c r="A1743" s="76" t="s">
        <v>5997</v>
      </c>
      <c r="B1743" s="76" t="s">
        <v>6121</v>
      </c>
      <c r="C1743" s="76" t="s">
        <v>10203</v>
      </c>
      <c r="D1743" s="76" t="s">
        <v>10204</v>
      </c>
      <c r="E1743" s="76" t="s">
        <v>6136</v>
      </c>
      <c r="F1743" s="76" t="s">
        <v>6137</v>
      </c>
    </row>
    <row r="1744" spans="1:6" ht="63.95" customHeight="1">
      <c r="A1744" s="76" t="s">
        <v>5997</v>
      </c>
      <c r="B1744" s="76" t="s">
        <v>10055</v>
      </c>
      <c r="C1744" s="76" t="s">
        <v>10205</v>
      </c>
      <c r="D1744" s="76" t="s">
        <v>10206</v>
      </c>
      <c r="E1744" s="76" t="s">
        <v>6136</v>
      </c>
      <c r="F1744" s="76" t="s">
        <v>6137</v>
      </c>
    </row>
    <row r="1745" spans="1:6" ht="63.95" customHeight="1">
      <c r="A1745" s="76" t="s">
        <v>5997</v>
      </c>
      <c r="B1745" s="76" t="s">
        <v>10056</v>
      </c>
      <c r="C1745" s="76" t="s">
        <v>10207</v>
      </c>
      <c r="D1745" s="76" t="s">
        <v>10208</v>
      </c>
      <c r="E1745" s="76" t="s">
        <v>6136</v>
      </c>
      <c r="F1745" s="76" t="s">
        <v>6137</v>
      </c>
    </row>
    <row r="1746" spans="1:6" ht="63.95" customHeight="1">
      <c r="A1746" s="76" t="s">
        <v>5997</v>
      </c>
      <c r="B1746" s="76" t="s">
        <v>10061</v>
      </c>
      <c r="C1746" s="76" t="s">
        <v>10209</v>
      </c>
      <c r="D1746" s="76" t="s">
        <v>10210</v>
      </c>
      <c r="E1746" s="76" t="s">
        <v>6136</v>
      </c>
      <c r="F1746" s="76" t="s">
        <v>6137</v>
      </c>
    </row>
    <row r="1747" spans="1:6" ht="63.95" customHeight="1">
      <c r="A1747" s="76" t="s">
        <v>5997</v>
      </c>
      <c r="B1747" s="76" t="s">
        <v>10062</v>
      </c>
      <c r="C1747" s="76" t="s">
        <v>10211</v>
      </c>
      <c r="D1747" s="76" t="s">
        <v>10212</v>
      </c>
      <c r="E1747" s="76" t="s">
        <v>6136</v>
      </c>
      <c r="F1747" s="76" t="s">
        <v>6137</v>
      </c>
    </row>
    <row r="1748" spans="1:6" ht="63.95" customHeight="1">
      <c r="A1748" s="76" t="s">
        <v>5997</v>
      </c>
      <c r="B1748" s="76" t="s">
        <v>10069</v>
      </c>
      <c r="C1748" s="76" t="s">
        <v>10213</v>
      </c>
      <c r="D1748" s="76" t="s">
        <v>10214</v>
      </c>
      <c r="E1748" s="76" t="s">
        <v>6136</v>
      </c>
      <c r="F1748" s="76" t="s">
        <v>6137</v>
      </c>
    </row>
    <row r="1749" spans="1:6" ht="63.95" customHeight="1">
      <c r="A1749" s="76" t="s">
        <v>5997</v>
      </c>
      <c r="B1749" s="76" t="s">
        <v>10070</v>
      </c>
      <c r="C1749" s="76" t="s">
        <v>10215</v>
      </c>
      <c r="D1749" s="76" t="s">
        <v>10216</v>
      </c>
      <c r="E1749" s="76" t="s">
        <v>6136</v>
      </c>
      <c r="F1749" s="76" t="s">
        <v>6137</v>
      </c>
    </row>
    <row r="1750" spans="1:6" ht="63.95" customHeight="1">
      <c r="A1750" s="76" t="s">
        <v>5997</v>
      </c>
      <c r="B1750" s="76" t="s">
        <v>10077</v>
      </c>
      <c r="C1750" s="76" t="s">
        <v>10217</v>
      </c>
      <c r="D1750" s="76" t="s">
        <v>10218</v>
      </c>
      <c r="E1750" s="76" t="s">
        <v>6136</v>
      </c>
      <c r="F1750" s="76" t="s">
        <v>6137</v>
      </c>
    </row>
    <row r="1751" spans="1:6" ht="63.95" customHeight="1">
      <c r="A1751" s="76" t="s">
        <v>5997</v>
      </c>
      <c r="B1751" s="76" t="s">
        <v>10078</v>
      </c>
      <c r="C1751" s="76" t="s">
        <v>10219</v>
      </c>
      <c r="D1751" s="76" t="s">
        <v>10220</v>
      </c>
      <c r="E1751" s="76" t="s">
        <v>6136</v>
      </c>
      <c r="F1751" s="76" t="s">
        <v>6137</v>
      </c>
    </row>
    <row r="1752" spans="1:6" ht="63.95" customHeight="1">
      <c r="A1752" s="76" t="s">
        <v>5997</v>
      </c>
      <c r="B1752" s="76" t="s">
        <v>10085</v>
      </c>
      <c r="C1752" s="76" t="s">
        <v>10221</v>
      </c>
      <c r="D1752" s="76" t="s">
        <v>10222</v>
      </c>
      <c r="E1752" s="76" t="s">
        <v>6136</v>
      </c>
      <c r="F1752" s="76" t="s">
        <v>6137</v>
      </c>
    </row>
    <row r="1753" spans="1:6" ht="63.95" customHeight="1">
      <c r="A1753" s="76" t="s">
        <v>5997</v>
      </c>
      <c r="B1753" s="76" t="s">
        <v>10086</v>
      </c>
      <c r="C1753" s="76" t="s">
        <v>10223</v>
      </c>
      <c r="D1753" s="76" t="s">
        <v>10224</v>
      </c>
      <c r="E1753" s="76" t="s">
        <v>6136</v>
      </c>
      <c r="F1753" s="76" t="s">
        <v>6137</v>
      </c>
    </row>
    <row r="1754" spans="1:6" ht="63.95" customHeight="1">
      <c r="A1754" s="76" t="s">
        <v>5997</v>
      </c>
      <c r="B1754" s="76" t="s">
        <v>10093</v>
      </c>
      <c r="C1754" s="76" t="s">
        <v>10225</v>
      </c>
      <c r="D1754" s="76" t="s">
        <v>10226</v>
      </c>
      <c r="E1754" s="76" t="s">
        <v>6136</v>
      </c>
      <c r="F1754" s="76" t="s">
        <v>6137</v>
      </c>
    </row>
    <row r="1755" spans="1:6" ht="63.95" customHeight="1">
      <c r="A1755" s="76" t="s">
        <v>5997</v>
      </c>
      <c r="B1755" s="76" t="s">
        <v>10094</v>
      </c>
      <c r="C1755" s="76" t="s">
        <v>10227</v>
      </c>
      <c r="D1755" s="76" t="s">
        <v>10228</v>
      </c>
      <c r="E1755" s="76" t="s">
        <v>6136</v>
      </c>
      <c r="F1755" s="76" t="s">
        <v>6137</v>
      </c>
    </row>
    <row r="1756" spans="1:6" ht="63.95" customHeight="1">
      <c r="A1756" s="76" t="s">
        <v>5997</v>
      </c>
      <c r="B1756" s="76" t="s">
        <v>10101</v>
      </c>
      <c r="C1756" s="76" t="s">
        <v>10229</v>
      </c>
      <c r="D1756" s="76" t="s">
        <v>10230</v>
      </c>
      <c r="E1756" s="76" t="s">
        <v>6136</v>
      </c>
      <c r="F1756" s="76" t="s">
        <v>6137</v>
      </c>
    </row>
    <row r="1757" spans="1:6" ht="63.95" customHeight="1">
      <c r="A1757" s="76" t="s">
        <v>5997</v>
      </c>
      <c r="B1757" s="76" t="s">
        <v>10102</v>
      </c>
      <c r="C1757" s="76" t="s">
        <v>10231</v>
      </c>
      <c r="D1757" s="76" t="s">
        <v>10232</v>
      </c>
      <c r="E1757" s="76" t="s">
        <v>6136</v>
      </c>
      <c r="F1757" s="76" t="s">
        <v>6137</v>
      </c>
    </row>
    <row r="1758" spans="1:6" ht="63.95" customHeight="1">
      <c r="A1758" s="76" t="s">
        <v>5997</v>
      </c>
      <c r="B1758" s="76" t="s">
        <v>10109</v>
      </c>
      <c r="C1758" s="76" t="s">
        <v>10233</v>
      </c>
      <c r="D1758" s="76" t="s">
        <v>10234</v>
      </c>
      <c r="E1758" s="76" t="s">
        <v>6136</v>
      </c>
      <c r="F1758" s="76" t="s">
        <v>6137</v>
      </c>
    </row>
    <row r="1759" spans="1:6" ht="63.95" customHeight="1">
      <c r="A1759" s="76" t="s">
        <v>5997</v>
      </c>
      <c r="B1759" s="76" t="s">
        <v>10110</v>
      </c>
      <c r="C1759" s="76" t="s">
        <v>10235</v>
      </c>
      <c r="D1759" s="76" t="s">
        <v>10236</v>
      </c>
      <c r="E1759" s="76" t="s">
        <v>6136</v>
      </c>
      <c r="F1759" s="76" t="s">
        <v>6137</v>
      </c>
    </row>
    <row r="1760" spans="1:6" ht="63.95" customHeight="1">
      <c r="A1760" s="76" t="s">
        <v>5997</v>
      </c>
      <c r="B1760" s="76" t="s">
        <v>10117</v>
      </c>
      <c r="C1760" s="76" t="s">
        <v>10237</v>
      </c>
      <c r="D1760" s="76" t="s">
        <v>10238</v>
      </c>
      <c r="E1760" s="76" t="s">
        <v>6136</v>
      </c>
      <c r="F1760" s="76" t="s">
        <v>6137</v>
      </c>
    </row>
    <row r="1761" spans="1:6" ht="63.95" customHeight="1">
      <c r="A1761" s="76" t="s">
        <v>5997</v>
      </c>
      <c r="B1761" s="76" t="s">
        <v>10118</v>
      </c>
      <c r="C1761" s="76" t="s">
        <v>10239</v>
      </c>
      <c r="D1761" s="76" t="s">
        <v>10240</v>
      </c>
      <c r="E1761" s="76" t="s">
        <v>6136</v>
      </c>
      <c r="F1761" s="76" t="s">
        <v>6137</v>
      </c>
    </row>
    <row r="1762" spans="1:6" ht="63.95" customHeight="1">
      <c r="A1762" s="76" t="s">
        <v>5997</v>
      </c>
      <c r="B1762" s="76" t="s">
        <v>10125</v>
      </c>
      <c r="C1762" s="76" t="s">
        <v>10241</v>
      </c>
      <c r="D1762" s="76" t="s">
        <v>10242</v>
      </c>
      <c r="E1762" s="76" t="s">
        <v>6136</v>
      </c>
      <c r="F1762" s="76" t="s">
        <v>6137</v>
      </c>
    </row>
    <row r="1763" spans="1:6" ht="63.95" customHeight="1">
      <c r="A1763" s="76" t="s">
        <v>5997</v>
      </c>
      <c r="B1763" s="76" t="s">
        <v>10126</v>
      </c>
      <c r="C1763" s="76" t="s">
        <v>10243</v>
      </c>
      <c r="D1763" s="76" t="s">
        <v>10244</v>
      </c>
      <c r="E1763" s="76" t="s">
        <v>6136</v>
      </c>
      <c r="F1763" s="76" t="s">
        <v>6137</v>
      </c>
    </row>
    <row r="1764" spans="1:6" ht="63.95" customHeight="1">
      <c r="A1764" s="76" t="s">
        <v>5997</v>
      </c>
      <c r="B1764" s="76" t="s">
        <v>10133</v>
      </c>
      <c r="C1764" s="76" t="s">
        <v>10245</v>
      </c>
      <c r="D1764" s="76" t="s">
        <v>10246</v>
      </c>
      <c r="E1764" s="76" t="s">
        <v>6136</v>
      </c>
      <c r="F1764" s="76" t="s">
        <v>6137</v>
      </c>
    </row>
    <row r="1765" spans="1:6" ht="63.95" customHeight="1">
      <c r="A1765" s="76" t="s">
        <v>5997</v>
      </c>
      <c r="B1765" s="76" t="s">
        <v>10134</v>
      </c>
      <c r="C1765" s="76" t="s">
        <v>10247</v>
      </c>
      <c r="D1765" s="76" t="s">
        <v>10248</v>
      </c>
      <c r="E1765" s="76" t="s">
        <v>6136</v>
      </c>
      <c r="F1765" s="76" t="s">
        <v>6137</v>
      </c>
    </row>
    <row r="1766" spans="1:6" ht="63.95" customHeight="1">
      <c r="A1766" s="76" t="s">
        <v>5997</v>
      </c>
      <c r="B1766" s="76" t="s">
        <v>10249</v>
      </c>
      <c r="C1766" s="76" t="s">
        <v>10250</v>
      </c>
      <c r="D1766" s="76" t="s">
        <v>10251</v>
      </c>
      <c r="E1766" s="76" t="s">
        <v>6136</v>
      </c>
      <c r="F1766" s="76" t="s">
        <v>6137</v>
      </c>
    </row>
    <row r="1767" spans="1:6" ht="63.95" customHeight="1">
      <c r="A1767" s="76" t="s">
        <v>5997</v>
      </c>
      <c r="B1767" s="76" t="s">
        <v>10252</v>
      </c>
      <c r="C1767" s="76" t="s">
        <v>10253</v>
      </c>
      <c r="D1767" s="76" t="s">
        <v>10254</v>
      </c>
      <c r="E1767" s="76" t="s">
        <v>6136</v>
      </c>
      <c r="F1767" s="76" t="s">
        <v>6137</v>
      </c>
    </row>
    <row r="1768" spans="1:6" ht="63.95" customHeight="1">
      <c r="A1768" s="76" t="s">
        <v>5997</v>
      </c>
      <c r="B1768" s="76" t="s">
        <v>10255</v>
      </c>
      <c r="C1768" s="76" t="s">
        <v>10256</v>
      </c>
      <c r="D1768" s="76" t="s">
        <v>10257</v>
      </c>
      <c r="E1768" s="76" t="s">
        <v>6136</v>
      </c>
      <c r="F1768" s="76" t="s">
        <v>6137</v>
      </c>
    </row>
    <row r="1769" spans="1:6" ht="63.95" customHeight="1">
      <c r="A1769" s="76" t="s">
        <v>5997</v>
      </c>
      <c r="B1769" s="76" t="s">
        <v>10258</v>
      </c>
      <c r="C1769" s="76" t="s">
        <v>10259</v>
      </c>
      <c r="D1769" s="76" t="s">
        <v>10260</v>
      </c>
      <c r="E1769" s="76" t="s">
        <v>6136</v>
      </c>
      <c r="F1769" s="76" t="s">
        <v>6137</v>
      </c>
    </row>
    <row r="1770" spans="1:6" ht="63.95" customHeight="1">
      <c r="A1770" s="76" t="s">
        <v>5997</v>
      </c>
      <c r="B1770" s="76" t="s">
        <v>10261</v>
      </c>
      <c r="C1770" s="76" t="s">
        <v>10262</v>
      </c>
      <c r="D1770" s="76" t="s">
        <v>10263</v>
      </c>
      <c r="E1770" s="76" t="s">
        <v>6136</v>
      </c>
      <c r="F1770" s="76" t="s">
        <v>6137</v>
      </c>
    </row>
    <row r="1771" spans="1:6" ht="63.95" customHeight="1">
      <c r="A1771" s="76" t="s">
        <v>5997</v>
      </c>
      <c r="B1771" s="76" t="s">
        <v>10264</v>
      </c>
      <c r="C1771" s="76" t="s">
        <v>10265</v>
      </c>
      <c r="D1771" s="76" t="s">
        <v>10266</v>
      </c>
      <c r="E1771" s="76" t="s">
        <v>6136</v>
      </c>
      <c r="F1771" s="76" t="s">
        <v>6137</v>
      </c>
    </row>
    <row r="1772" spans="1:6" ht="63.95" customHeight="1">
      <c r="A1772" s="76" t="s">
        <v>5997</v>
      </c>
      <c r="B1772" s="76" t="s">
        <v>10267</v>
      </c>
      <c r="C1772" s="76" t="s">
        <v>10268</v>
      </c>
      <c r="D1772" s="76" t="s">
        <v>10269</v>
      </c>
      <c r="E1772" s="76" t="s">
        <v>6136</v>
      </c>
      <c r="F1772" s="76" t="s">
        <v>6137</v>
      </c>
    </row>
    <row r="1773" spans="1:6" ht="63.95" customHeight="1">
      <c r="A1773" s="76" t="s">
        <v>5997</v>
      </c>
      <c r="B1773" s="76" t="s">
        <v>10270</v>
      </c>
      <c r="C1773" s="76" t="s">
        <v>10271</v>
      </c>
      <c r="D1773" s="76" t="s">
        <v>10272</v>
      </c>
      <c r="E1773" s="76" t="s">
        <v>6136</v>
      </c>
      <c r="F1773" s="76" t="s">
        <v>6137</v>
      </c>
    </row>
    <row r="1774" spans="1:6" ht="63.95" customHeight="1">
      <c r="A1774" s="76" t="s">
        <v>5997</v>
      </c>
      <c r="B1774" s="76" t="s">
        <v>10273</v>
      </c>
      <c r="C1774" s="76" t="s">
        <v>10274</v>
      </c>
      <c r="D1774" s="76" t="s">
        <v>10275</v>
      </c>
      <c r="E1774" s="76" t="s">
        <v>6136</v>
      </c>
      <c r="F1774" s="76" t="s">
        <v>6137</v>
      </c>
    </row>
    <row r="1775" spans="1:6" ht="63.95" customHeight="1">
      <c r="A1775" s="76" t="s">
        <v>5997</v>
      </c>
      <c r="B1775" s="76" t="s">
        <v>10276</v>
      </c>
      <c r="C1775" s="76" t="s">
        <v>10277</v>
      </c>
      <c r="D1775" s="76" t="s">
        <v>10278</v>
      </c>
      <c r="E1775" s="76" t="s">
        <v>6136</v>
      </c>
      <c r="F1775" s="76" t="s">
        <v>6137</v>
      </c>
    </row>
    <row r="1776" spans="1:6" ht="63.95" customHeight="1">
      <c r="A1776" s="76" t="s">
        <v>5997</v>
      </c>
      <c r="B1776" s="76" t="s">
        <v>10279</v>
      </c>
      <c r="C1776" s="76" t="s">
        <v>10280</v>
      </c>
      <c r="D1776" s="76" t="s">
        <v>10281</v>
      </c>
      <c r="E1776" s="76" t="s">
        <v>6136</v>
      </c>
      <c r="F1776" s="76" t="s">
        <v>6137</v>
      </c>
    </row>
    <row r="1777" spans="1:6" ht="63.95" customHeight="1">
      <c r="A1777" s="76" t="s">
        <v>5997</v>
      </c>
      <c r="B1777" s="76" t="s">
        <v>10282</v>
      </c>
      <c r="C1777" s="76" t="s">
        <v>10283</v>
      </c>
      <c r="D1777" s="76" t="s">
        <v>10284</v>
      </c>
      <c r="E1777" s="76" t="s">
        <v>6136</v>
      </c>
      <c r="F1777" s="76" t="s">
        <v>6137</v>
      </c>
    </row>
    <row r="1778" spans="1:6" ht="63.95" customHeight="1">
      <c r="A1778" s="76" t="s">
        <v>5997</v>
      </c>
      <c r="B1778" s="76" t="s">
        <v>10285</v>
      </c>
      <c r="C1778" s="76" t="s">
        <v>10286</v>
      </c>
      <c r="D1778" s="76" t="s">
        <v>10287</v>
      </c>
      <c r="E1778" s="76" t="s">
        <v>6136</v>
      </c>
      <c r="F1778" s="76" t="s">
        <v>6137</v>
      </c>
    </row>
    <row r="1779" spans="1:6" ht="63.95" customHeight="1">
      <c r="A1779" s="76" t="s">
        <v>5997</v>
      </c>
      <c r="B1779" s="76" t="s">
        <v>10288</v>
      </c>
      <c r="C1779" s="76" t="s">
        <v>10289</v>
      </c>
      <c r="D1779" s="76" t="s">
        <v>10290</v>
      </c>
      <c r="E1779" s="76" t="s">
        <v>6136</v>
      </c>
      <c r="F1779" s="76" t="s">
        <v>6137</v>
      </c>
    </row>
    <row r="1780" spans="1:6" ht="63.95" customHeight="1">
      <c r="A1780" s="76" t="s">
        <v>5997</v>
      </c>
      <c r="B1780" s="76" t="s">
        <v>10291</v>
      </c>
      <c r="C1780" s="76" t="s">
        <v>10292</v>
      </c>
      <c r="D1780" s="76" t="s">
        <v>10293</v>
      </c>
      <c r="E1780" s="76" t="s">
        <v>6136</v>
      </c>
      <c r="F1780" s="76" t="s">
        <v>6137</v>
      </c>
    </row>
    <row r="1781" spans="1:6" ht="63.95" customHeight="1">
      <c r="A1781" s="76" t="s">
        <v>5997</v>
      </c>
      <c r="B1781" s="76" t="s">
        <v>10294</v>
      </c>
      <c r="C1781" s="76" t="s">
        <v>10295</v>
      </c>
      <c r="D1781" s="76" t="s">
        <v>10296</v>
      </c>
      <c r="E1781" s="76" t="s">
        <v>6136</v>
      </c>
      <c r="F1781" s="76" t="s">
        <v>6137</v>
      </c>
    </row>
    <row r="1782" spans="1:6" ht="63.95" customHeight="1">
      <c r="A1782" s="76" t="s">
        <v>5997</v>
      </c>
      <c r="B1782" s="76" t="s">
        <v>10297</v>
      </c>
      <c r="C1782" s="76" t="s">
        <v>10298</v>
      </c>
      <c r="D1782" s="76" t="s">
        <v>10299</v>
      </c>
      <c r="E1782" s="76" t="s">
        <v>6136</v>
      </c>
      <c r="F1782" s="76" t="s">
        <v>6137</v>
      </c>
    </row>
    <row r="1783" spans="1:6" ht="63.95" customHeight="1">
      <c r="A1783" s="76" t="s">
        <v>5997</v>
      </c>
      <c r="B1783" s="76" t="s">
        <v>10300</v>
      </c>
      <c r="C1783" s="76" t="s">
        <v>10301</v>
      </c>
      <c r="D1783" s="76" t="s">
        <v>10302</v>
      </c>
      <c r="E1783" s="76" t="s">
        <v>6136</v>
      </c>
      <c r="F1783" s="76" t="s">
        <v>6137</v>
      </c>
    </row>
    <row r="1784" spans="1:6" ht="63.95" customHeight="1">
      <c r="A1784" s="76" t="s">
        <v>5997</v>
      </c>
      <c r="B1784" s="76" t="s">
        <v>10303</v>
      </c>
      <c r="C1784" s="76" t="s">
        <v>10304</v>
      </c>
      <c r="D1784" s="76" t="s">
        <v>10305</v>
      </c>
      <c r="E1784" s="76" t="s">
        <v>6136</v>
      </c>
      <c r="F1784" s="76" t="s">
        <v>6137</v>
      </c>
    </row>
    <row r="1785" spans="1:6" ht="63.95" customHeight="1">
      <c r="A1785" s="76" t="s">
        <v>5997</v>
      </c>
      <c r="B1785" s="76" t="s">
        <v>10306</v>
      </c>
      <c r="C1785" s="76" t="s">
        <v>10307</v>
      </c>
      <c r="D1785" s="76" t="s">
        <v>10308</v>
      </c>
      <c r="E1785" s="76" t="s">
        <v>6136</v>
      </c>
      <c r="F1785" s="76" t="s">
        <v>6137</v>
      </c>
    </row>
    <row r="1786" spans="1:6" ht="63.95" customHeight="1">
      <c r="A1786" s="76" t="s">
        <v>5997</v>
      </c>
      <c r="B1786" s="76" t="s">
        <v>10309</v>
      </c>
      <c r="C1786" s="76" t="s">
        <v>10310</v>
      </c>
      <c r="D1786" s="76" t="s">
        <v>10311</v>
      </c>
      <c r="E1786" s="76" t="s">
        <v>6136</v>
      </c>
      <c r="F1786" s="76" t="s">
        <v>6137</v>
      </c>
    </row>
    <row r="1787" spans="1:6" ht="63.95" customHeight="1">
      <c r="A1787" s="76" t="s">
        <v>5997</v>
      </c>
      <c r="B1787" s="76" t="s">
        <v>10312</v>
      </c>
      <c r="C1787" s="76" t="s">
        <v>10313</v>
      </c>
      <c r="D1787" s="76" t="s">
        <v>10314</v>
      </c>
      <c r="E1787" s="76" t="s">
        <v>6136</v>
      </c>
      <c r="F1787" s="76" t="s">
        <v>6137</v>
      </c>
    </row>
    <row r="1788" spans="1:6" ht="63.95" customHeight="1">
      <c r="A1788" s="76" t="s">
        <v>5997</v>
      </c>
      <c r="B1788" s="76" t="s">
        <v>10315</v>
      </c>
      <c r="C1788" s="76" t="s">
        <v>10316</v>
      </c>
      <c r="D1788" s="76" t="s">
        <v>10317</v>
      </c>
      <c r="E1788" s="76" t="s">
        <v>6136</v>
      </c>
      <c r="F1788" s="76" t="s">
        <v>6137</v>
      </c>
    </row>
    <row r="1789" spans="1:6" ht="63.95" customHeight="1">
      <c r="A1789" s="76" t="s">
        <v>5997</v>
      </c>
      <c r="B1789" s="76" t="s">
        <v>10318</v>
      </c>
      <c r="C1789" s="76" t="s">
        <v>10319</v>
      </c>
      <c r="D1789" s="76" t="s">
        <v>10320</v>
      </c>
      <c r="E1789" s="76" t="s">
        <v>6136</v>
      </c>
      <c r="F1789" s="76" t="s">
        <v>6137</v>
      </c>
    </row>
    <row r="1790" spans="1:6" ht="63.95" customHeight="1">
      <c r="A1790" s="76" t="s">
        <v>5997</v>
      </c>
      <c r="B1790" s="76" t="s">
        <v>10321</v>
      </c>
      <c r="C1790" s="76" t="s">
        <v>10322</v>
      </c>
      <c r="D1790" s="76" t="s">
        <v>10323</v>
      </c>
      <c r="E1790" s="76" t="s">
        <v>6136</v>
      </c>
      <c r="F1790" s="76" t="s">
        <v>6137</v>
      </c>
    </row>
    <row r="1791" spans="1:6" ht="63.95" customHeight="1">
      <c r="A1791" s="76" t="s">
        <v>5997</v>
      </c>
      <c r="B1791" s="76" t="s">
        <v>10324</v>
      </c>
      <c r="C1791" s="76" t="s">
        <v>10325</v>
      </c>
      <c r="D1791" s="76" t="s">
        <v>10326</v>
      </c>
      <c r="E1791" s="76" t="s">
        <v>6136</v>
      </c>
      <c r="F1791" s="76" t="s">
        <v>6137</v>
      </c>
    </row>
    <row r="1792" spans="1:6" ht="63.95" customHeight="1">
      <c r="A1792" s="76" t="s">
        <v>5997</v>
      </c>
      <c r="B1792" s="76" t="s">
        <v>10327</v>
      </c>
      <c r="C1792" s="76" t="s">
        <v>10328</v>
      </c>
      <c r="D1792" s="76" t="s">
        <v>10329</v>
      </c>
      <c r="E1792" s="76" t="s">
        <v>6136</v>
      </c>
      <c r="F1792" s="76" t="s">
        <v>6137</v>
      </c>
    </row>
    <row r="1793" spans="1:6" ht="63.95" customHeight="1">
      <c r="A1793" s="76" t="s">
        <v>5997</v>
      </c>
      <c r="B1793" s="76" t="s">
        <v>10330</v>
      </c>
      <c r="C1793" s="76" t="s">
        <v>10331</v>
      </c>
      <c r="D1793" s="76" t="s">
        <v>10332</v>
      </c>
      <c r="E1793" s="76" t="s">
        <v>6136</v>
      </c>
      <c r="F1793" s="76" t="s">
        <v>6137</v>
      </c>
    </row>
    <row r="1794" spans="1:6" ht="63.95" customHeight="1">
      <c r="A1794" s="76" t="s">
        <v>5997</v>
      </c>
      <c r="B1794" s="76" t="s">
        <v>10333</v>
      </c>
      <c r="C1794" s="76" t="s">
        <v>10334</v>
      </c>
      <c r="D1794" s="76" t="s">
        <v>10335</v>
      </c>
      <c r="E1794" s="76" t="s">
        <v>6136</v>
      </c>
      <c r="F1794" s="76" t="s">
        <v>6137</v>
      </c>
    </row>
    <row r="1795" spans="1:6" ht="63.95" customHeight="1">
      <c r="A1795" s="76" t="s">
        <v>5997</v>
      </c>
      <c r="B1795" s="76" t="s">
        <v>10336</v>
      </c>
      <c r="C1795" s="76" t="s">
        <v>10337</v>
      </c>
      <c r="D1795" s="76" t="s">
        <v>10338</v>
      </c>
      <c r="E1795" s="76" t="s">
        <v>6136</v>
      </c>
      <c r="F1795" s="76" t="s">
        <v>6137</v>
      </c>
    </row>
    <row r="1796" spans="1:6" ht="63.95" customHeight="1">
      <c r="A1796" s="76" t="s">
        <v>5997</v>
      </c>
      <c r="B1796" s="76" t="s">
        <v>10339</v>
      </c>
      <c r="C1796" s="76" t="s">
        <v>10340</v>
      </c>
      <c r="D1796" s="76" t="s">
        <v>10341</v>
      </c>
      <c r="E1796" s="76" t="s">
        <v>6136</v>
      </c>
      <c r="F1796" s="76" t="s">
        <v>6137</v>
      </c>
    </row>
    <row r="1797" spans="1:6" ht="63.95" customHeight="1">
      <c r="A1797" s="76" t="s">
        <v>5997</v>
      </c>
      <c r="B1797" s="76" t="s">
        <v>10342</v>
      </c>
      <c r="C1797" s="76" t="s">
        <v>10343</v>
      </c>
      <c r="D1797" s="76" t="s">
        <v>10344</v>
      </c>
      <c r="E1797" s="76" t="s">
        <v>6136</v>
      </c>
      <c r="F1797" s="76" t="s">
        <v>6137</v>
      </c>
    </row>
    <row r="1798" spans="1:6" ht="63.95" customHeight="1">
      <c r="A1798" s="76" t="s">
        <v>5997</v>
      </c>
      <c r="B1798" s="76" t="s">
        <v>9357</v>
      </c>
      <c r="C1798" s="76" t="s">
        <v>10345</v>
      </c>
      <c r="D1798" s="76" t="s">
        <v>10346</v>
      </c>
      <c r="E1798" s="76" t="s">
        <v>6136</v>
      </c>
      <c r="F1798" s="76" t="s">
        <v>6137</v>
      </c>
    </row>
    <row r="1799" spans="1:6" ht="63.95" customHeight="1">
      <c r="A1799" s="76" t="s">
        <v>5997</v>
      </c>
      <c r="B1799" s="76" t="s">
        <v>9358</v>
      </c>
      <c r="C1799" s="76" t="s">
        <v>10347</v>
      </c>
      <c r="D1799" s="76" t="s">
        <v>10348</v>
      </c>
      <c r="E1799" s="76" t="s">
        <v>6136</v>
      </c>
      <c r="F1799" s="76" t="s">
        <v>6137</v>
      </c>
    </row>
    <row r="1800" spans="1:6" ht="63.95" customHeight="1">
      <c r="A1800" s="76" t="s">
        <v>5997</v>
      </c>
      <c r="B1800" s="76" t="s">
        <v>9364</v>
      </c>
      <c r="C1800" s="76" t="s">
        <v>10349</v>
      </c>
      <c r="D1800" s="76" t="s">
        <v>10350</v>
      </c>
      <c r="E1800" s="76" t="s">
        <v>6136</v>
      </c>
      <c r="F1800" s="76" t="s">
        <v>6137</v>
      </c>
    </row>
    <row r="1801" spans="1:6" ht="63.95" customHeight="1">
      <c r="A1801" s="76" t="s">
        <v>5997</v>
      </c>
      <c r="B1801" s="76" t="s">
        <v>9365</v>
      </c>
      <c r="C1801" s="76" t="s">
        <v>10351</v>
      </c>
      <c r="D1801" s="76" t="s">
        <v>10352</v>
      </c>
      <c r="E1801" s="76" t="s">
        <v>6136</v>
      </c>
      <c r="F1801" s="76" t="s">
        <v>6137</v>
      </c>
    </row>
    <row r="1802" spans="1:6" ht="63.95" customHeight="1">
      <c r="A1802" s="76" t="s">
        <v>5997</v>
      </c>
      <c r="B1802" s="76" t="s">
        <v>9368</v>
      </c>
      <c r="C1802" s="76" t="s">
        <v>759</v>
      </c>
      <c r="D1802" s="76" t="s">
        <v>772</v>
      </c>
      <c r="E1802" s="76" t="s">
        <v>6136</v>
      </c>
      <c r="F1802" s="76" t="s">
        <v>6137</v>
      </c>
    </row>
    <row r="1803" spans="1:6" ht="63.95" customHeight="1">
      <c r="A1803" s="76" t="s">
        <v>5997</v>
      </c>
      <c r="B1803" s="76" t="s">
        <v>9369</v>
      </c>
      <c r="C1803" s="76" t="s">
        <v>577</v>
      </c>
      <c r="D1803" s="76" t="s">
        <v>732</v>
      </c>
      <c r="E1803" s="76" t="s">
        <v>6136</v>
      </c>
      <c r="F1803" s="76" t="s">
        <v>6137</v>
      </c>
    </row>
    <row r="1804" spans="1:6" ht="63.95" customHeight="1">
      <c r="A1804" s="76" t="s">
        <v>5997</v>
      </c>
      <c r="B1804" s="76" t="s">
        <v>9370</v>
      </c>
      <c r="C1804" s="76" t="s">
        <v>10353</v>
      </c>
      <c r="D1804" s="76" t="s">
        <v>10354</v>
      </c>
      <c r="E1804" s="76" t="s">
        <v>6136</v>
      </c>
      <c r="F1804" s="76" t="s">
        <v>6137</v>
      </c>
    </row>
    <row r="1805" spans="1:6" ht="63.95" customHeight="1">
      <c r="A1805" s="76" t="s">
        <v>5997</v>
      </c>
      <c r="B1805" s="76" t="s">
        <v>9371</v>
      </c>
      <c r="C1805" s="76" t="s">
        <v>10355</v>
      </c>
      <c r="D1805" s="76" t="s">
        <v>10356</v>
      </c>
      <c r="E1805" s="76" t="s">
        <v>6136</v>
      </c>
      <c r="F1805" s="76" t="s">
        <v>6137</v>
      </c>
    </row>
    <row r="1806" spans="1:6" ht="63.95" customHeight="1">
      <c r="A1806" s="76" t="s">
        <v>5997</v>
      </c>
      <c r="B1806" s="76" t="s">
        <v>9352</v>
      </c>
      <c r="C1806" s="76" t="s">
        <v>732</v>
      </c>
      <c r="D1806" s="76" t="s">
        <v>533</v>
      </c>
      <c r="E1806" s="76" t="s">
        <v>6136</v>
      </c>
      <c r="F1806" s="76" t="s">
        <v>6137</v>
      </c>
    </row>
    <row r="1807" spans="1:6" ht="63.95" customHeight="1">
      <c r="A1807" s="76" t="s">
        <v>5997</v>
      </c>
      <c r="B1807" s="76" t="s">
        <v>9374</v>
      </c>
      <c r="C1807" s="76" t="s">
        <v>10357</v>
      </c>
      <c r="D1807" s="76" t="s">
        <v>10358</v>
      </c>
      <c r="E1807" s="76" t="s">
        <v>6136</v>
      </c>
      <c r="F1807" s="76" t="s">
        <v>6137</v>
      </c>
    </row>
    <row r="1808" spans="1:6" ht="63.95" customHeight="1">
      <c r="A1808" s="76" t="s">
        <v>5997</v>
      </c>
      <c r="B1808" s="76" t="s">
        <v>9375</v>
      </c>
      <c r="C1808" s="76" t="s">
        <v>10359</v>
      </c>
      <c r="D1808" s="76" t="s">
        <v>10360</v>
      </c>
      <c r="E1808" s="76" t="s">
        <v>6136</v>
      </c>
      <c r="F1808" s="76" t="s">
        <v>6137</v>
      </c>
    </row>
    <row r="1809" spans="1:6" ht="63.95" customHeight="1">
      <c r="A1809" s="76" t="s">
        <v>5997</v>
      </c>
      <c r="B1809" s="76" t="s">
        <v>9378</v>
      </c>
      <c r="C1809" s="76" t="s">
        <v>772</v>
      </c>
      <c r="D1809" s="76" t="s">
        <v>787</v>
      </c>
      <c r="E1809" s="76" t="s">
        <v>6136</v>
      </c>
      <c r="F1809" s="76" t="s">
        <v>6137</v>
      </c>
    </row>
    <row r="1810" spans="1:6" ht="63.95" customHeight="1">
      <c r="A1810" s="76" t="s">
        <v>5997</v>
      </c>
      <c r="B1810" s="76" t="s">
        <v>9379</v>
      </c>
      <c r="C1810" s="76" t="s">
        <v>533</v>
      </c>
      <c r="D1810" s="76" t="s">
        <v>471</v>
      </c>
      <c r="E1810" s="76" t="s">
        <v>6136</v>
      </c>
      <c r="F1810" s="76" t="s">
        <v>6137</v>
      </c>
    </row>
    <row r="1811" spans="1:6" ht="63.95" customHeight="1">
      <c r="A1811" s="76" t="s">
        <v>5997</v>
      </c>
      <c r="B1811" s="76" t="s">
        <v>9380</v>
      </c>
      <c r="C1811" s="76" t="s">
        <v>10361</v>
      </c>
      <c r="D1811" s="76" t="s">
        <v>10362</v>
      </c>
      <c r="E1811" s="76" t="s">
        <v>6136</v>
      </c>
      <c r="F1811" s="76" t="s">
        <v>6137</v>
      </c>
    </row>
    <row r="1812" spans="1:6" ht="63.95" customHeight="1">
      <c r="A1812" s="76" t="s">
        <v>5997</v>
      </c>
      <c r="B1812" s="76" t="s">
        <v>9381</v>
      </c>
      <c r="C1812" s="76" t="s">
        <v>10363</v>
      </c>
      <c r="D1812" s="76" t="s">
        <v>10364</v>
      </c>
      <c r="E1812" s="76" t="s">
        <v>6136</v>
      </c>
      <c r="F1812" s="76" t="s">
        <v>6137</v>
      </c>
    </row>
    <row r="1813" spans="1:6" ht="63.95" customHeight="1">
      <c r="A1813" s="76" t="s">
        <v>5997</v>
      </c>
      <c r="B1813" s="76" t="s">
        <v>9385</v>
      </c>
      <c r="C1813" s="76" t="s">
        <v>471</v>
      </c>
      <c r="D1813" s="76" t="s">
        <v>683</v>
      </c>
      <c r="E1813" s="76" t="s">
        <v>6136</v>
      </c>
      <c r="F1813" s="76" t="s">
        <v>6137</v>
      </c>
    </row>
    <row r="1814" spans="1:6" ht="63.95" customHeight="1">
      <c r="A1814" s="76" t="s">
        <v>5997</v>
      </c>
      <c r="B1814" s="76" t="s">
        <v>9386</v>
      </c>
      <c r="C1814" s="76" t="s">
        <v>10365</v>
      </c>
      <c r="D1814" s="76" t="s">
        <v>10366</v>
      </c>
      <c r="E1814" s="76" t="s">
        <v>6136</v>
      </c>
      <c r="F1814" s="76" t="s">
        <v>6137</v>
      </c>
    </row>
    <row r="1815" spans="1:6" ht="63.95" customHeight="1">
      <c r="A1815" s="76" t="s">
        <v>5997</v>
      </c>
      <c r="B1815" s="76" t="s">
        <v>9387</v>
      </c>
      <c r="C1815" s="76" t="s">
        <v>10367</v>
      </c>
      <c r="D1815" s="76" t="s">
        <v>10368</v>
      </c>
      <c r="E1815" s="76" t="s">
        <v>6136</v>
      </c>
      <c r="F1815" s="76" t="s">
        <v>6137</v>
      </c>
    </row>
    <row r="1816" spans="1:6" ht="63.95" customHeight="1">
      <c r="A1816" s="76" t="s">
        <v>5997</v>
      </c>
      <c r="B1816" s="76" t="s">
        <v>10369</v>
      </c>
      <c r="C1816" s="76" t="s">
        <v>787</v>
      </c>
      <c r="D1816" s="76" t="s">
        <v>642</v>
      </c>
      <c r="E1816" s="76" t="s">
        <v>6136</v>
      </c>
      <c r="F1816" s="76" t="s">
        <v>6137</v>
      </c>
    </row>
    <row r="1817" spans="1:6" ht="63.95" customHeight="1">
      <c r="A1817" s="76" t="s">
        <v>5997</v>
      </c>
      <c r="B1817" s="76" t="s">
        <v>10370</v>
      </c>
      <c r="C1817" s="76" t="s">
        <v>683</v>
      </c>
      <c r="D1817" s="76" t="s">
        <v>591</v>
      </c>
      <c r="E1817" s="76" t="s">
        <v>6136</v>
      </c>
      <c r="F1817" s="76" t="s">
        <v>6137</v>
      </c>
    </row>
    <row r="1818" spans="1:6" ht="63.95" customHeight="1">
      <c r="A1818" s="76" t="s">
        <v>5997</v>
      </c>
      <c r="B1818" s="76" t="s">
        <v>10371</v>
      </c>
      <c r="C1818" s="76" t="s">
        <v>10372</v>
      </c>
      <c r="D1818" s="76" t="s">
        <v>10373</v>
      </c>
      <c r="E1818" s="76" t="s">
        <v>6136</v>
      </c>
      <c r="F1818" s="76" t="s">
        <v>6137</v>
      </c>
    </row>
    <row r="1819" spans="1:6" ht="63.95" customHeight="1">
      <c r="A1819" s="76" t="s">
        <v>5997</v>
      </c>
      <c r="B1819" s="76" t="s">
        <v>10374</v>
      </c>
      <c r="C1819" s="76" t="s">
        <v>10375</v>
      </c>
      <c r="D1819" s="76" t="s">
        <v>10376</v>
      </c>
      <c r="E1819" s="76" t="s">
        <v>6136</v>
      </c>
      <c r="F1819" s="76" t="s">
        <v>6137</v>
      </c>
    </row>
    <row r="1820" spans="1:6" ht="63.95" customHeight="1">
      <c r="A1820" s="76" t="s">
        <v>5997</v>
      </c>
      <c r="B1820" s="76" t="s">
        <v>10377</v>
      </c>
      <c r="C1820" s="76" t="s">
        <v>642</v>
      </c>
      <c r="D1820" s="76" t="s">
        <v>847</v>
      </c>
      <c r="E1820" s="76" t="s">
        <v>6136</v>
      </c>
      <c r="F1820" s="76" t="s">
        <v>6137</v>
      </c>
    </row>
    <row r="1821" spans="1:6" ht="63.95" customHeight="1">
      <c r="A1821" s="76" t="s">
        <v>5997</v>
      </c>
      <c r="B1821" s="76" t="s">
        <v>10378</v>
      </c>
      <c r="C1821" s="76" t="s">
        <v>10379</v>
      </c>
      <c r="D1821" s="76" t="s">
        <v>10380</v>
      </c>
      <c r="E1821" s="76" t="s">
        <v>6136</v>
      </c>
      <c r="F1821" s="76" t="s">
        <v>6137</v>
      </c>
    </row>
    <row r="1822" spans="1:6" ht="63.95" customHeight="1">
      <c r="A1822" s="76" t="s">
        <v>5997</v>
      </c>
      <c r="B1822" s="76" t="s">
        <v>10381</v>
      </c>
      <c r="C1822" s="76" t="s">
        <v>10382</v>
      </c>
      <c r="D1822" s="76" t="s">
        <v>10383</v>
      </c>
      <c r="E1822" s="76" t="s">
        <v>6136</v>
      </c>
      <c r="F1822" s="76" t="s">
        <v>6137</v>
      </c>
    </row>
    <row r="1823" spans="1:6" ht="63.95" customHeight="1">
      <c r="A1823" s="76" t="s">
        <v>5997</v>
      </c>
      <c r="B1823" s="76" t="s">
        <v>10384</v>
      </c>
      <c r="C1823" s="76" t="s">
        <v>847</v>
      </c>
      <c r="D1823" s="76" t="s">
        <v>874</v>
      </c>
      <c r="E1823" s="76" t="s">
        <v>6136</v>
      </c>
      <c r="F1823" s="76" t="s">
        <v>6137</v>
      </c>
    </row>
    <row r="1824" spans="1:6" ht="63.95" customHeight="1">
      <c r="A1824" s="76" t="s">
        <v>5997</v>
      </c>
      <c r="B1824" s="76" t="s">
        <v>10385</v>
      </c>
      <c r="C1824" s="76" t="s">
        <v>591</v>
      </c>
      <c r="D1824" s="76" t="s">
        <v>546</v>
      </c>
      <c r="E1824" s="76" t="s">
        <v>6136</v>
      </c>
      <c r="F1824" s="76" t="s">
        <v>6137</v>
      </c>
    </row>
    <row r="1825" spans="1:6" ht="63.95" customHeight="1">
      <c r="A1825" s="76" t="s">
        <v>5997</v>
      </c>
      <c r="B1825" s="76" t="s">
        <v>10386</v>
      </c>
      <c r="C1825" s="76" t="s">
        <v>10387</v>
      </c>
      <c r="D1825" s="76" t="s">
        <v>10388</v>
      </c>
      <c r="E1825" s="76" t="s">
        <v>6136</v>
      </c>
      <c r="F1825" s="76" t="s">
        <v>6137</v>
      </c>
    </row>
    <row r="1826" spans="1:6" ht="63.95" customHeight="1">
      <c r="A1826" s="76" t="s">
        <v>5997</v>
      </c>
      <c r="B1826" s="76" t="s">
        <v>10389</v>
      </c>
      <c r="C1826" s="76" t="s">
        <v>10390</v>
      </c>
      <c r="D1826" s="76" t="s">
        <v>10391</v>
      </c>
      <c r="E1826" s="76" t="s">
        <v>6136</v>
      </c>
      <c r="F1826" s="76" t="s">
        <v>6137</v>
      </c>
    </row>
    <row r="1827" spans="1:6" ht="63.95" customHeight="1">
      <c r="A1827" s="76" t="s">
        <v>5997</v>
      </c>
      <c r="B1827" s="76" t="s">
        <v>10392</v>
      </c>
      <c r="C1827" s="76" t="s">
        <v>874</v>
      </c>
      <c r="D1827" s="76" t="s">
        <v>969</v>
      </c>
      <c r="E1827" s="76" t="s">
        <v>6136</v>
      </c>
      <c r="F1827" s="76" t="s">
        <v>6137</v>
      </c>
    </row>
    <row r="1828" spans="1:6" ht="63.95" customHeight="1">
      <c r="A1828" s="76" t="s">
        <v>5997</v>
      </c>
      <c r="B1828" s="76" t="s">
        <v>10393</v>
      </c>
      <c r="C1828" s="76" t="s">
        <v>546</v>
      </c>
      <c r="D1828" s="76" t="s">
        <v>921</v>
      </c>
      <c r="E1828" s="76" t="s">
        <v>6136</v>
      </c>
      <c r="F1828" s="76" t="s">
        <v>6137</v>
      </c>
    </row>
    <row r="1829" spans="1:6" ht="63.95" customHeight="1">
      <c r="A1829" s="76" t="s">
        <v>5997</v>
      </c>
      <c r="B1829" s="76" t="s">
        <v>10394</v>
      </c>
      <c r="C1829" s="76" t="s">
        <v>10395</v>
      </c>
      <c r="D1829" s="76" t="s">
        <v>10396</v>
      </c>
      <c r="E1829" s="76" t="s">
        <v>6136</v>
      </c>
      <c r="F1829" s="76" t="s">
        <v>6137</v>
      </c>
    </row>
    <row r="1830" spans="1:6" ht="63.95" customHeight="1">
      <c r="A1830" s="76" t="s">
        <v>5997</v>
      </c>
      <c r="B1830" s="76" t="s">
        <v>10397</v>
      </c>
      <c r="C1830" s="76" t="s">
        <v>10398</v>
      </c>
      <c r="D1830" s="76" t="s">
        <v>10399</v>
      </c>
      <c r="E1830" s="76" t="s">
        <v>6136</v>
      </c>
      <c r="F1830" s="76" t="s">
        <v>6137</v>
      </c>
    </row>
    <row r="1831" spans="1:6" ht="63.95" customHeight="1">
      <c r="A1831" s="76" t="s">
        <v>5997</v>
      </c>
      <c r="B1831" s="76" t="s">
        <v>10400</v>
      </c>
      <c r="C1831" s="76" t="s">
        <v>969</v>
      </c>
      <c r="D1831" s="76" t="s">
        <v>975</v>
      </c>
      <c r="E1831" s="76" t="s">
        <v>6136</v>
      </c>
      <c r="F1831" s="76" t="s">
        <v>6137</v>
      </c>
    </row>
    <row r="1832" spans="1:6" ht="63.95" customHeight="1">
      <c r="A1832" s="76" t="s">
        <v>5997</v>
      </c>
      <c r="B1832" s="76" t="s">
        <v>10401</v>
      </c>
      <c r="C1832" s="76" t="s">
        <v>921</v>
      </c>
      <c r="D1832" s="76" t="s">
        <v>981</v>
      </c>
      <c r="E1832" s="76" t="s">
        <v>6136</v>
      </c>
      <c r="F1832" s="76" t="s">
        <v>6137</v>
      </c>
    </row>
    <row r="1833" spans="1:6" ht="63.95" customHeight="1">
      <c r="A1833" s="76" t="s">
        <v>5997</v>
      </c>
      <c r="B1833" s="76" t="s">
        <v>10402</v>
      </c>
      <c r="C1833" s="76" t="s">
        <v>10403</v>
      </c>
      <c r="D1833" s="76" t="s">
        <v>10404</v>
      </c>
      <c r="E1833" s="76" t="s">
        <v>6136</v>
      </c>
      <c r="F1833" s="76" t="s">
        <v>6137</v>
      </c>
    </row>
    <row r="1834" spans="1:6" ht="63.95" customHeight="1">
      <c r="A1834" s="76" t="s">
        <v>5997</v>
      </c>
      <c r="B1834" s="76" t="s">
        <v>10405</v>
      </c>
      <c r="C1834" s="76" t="s">
        <v>10406</v>
      </c>
      <c r="D1834" s="76" t="s">
        <v>10407</v>
      </c>
      <c r="E1834" s="76" t="s">
        <v>6136</v>
      </c>
      <c r="F1834" s="76" t="s">
        <v>6137</v>
      </c>
    </row>
    <row r="1835" spans="1:6" ht="63.95" customHeight="1">
      <c r="A1835" s="76" t="s">
        <v>5997</v>
      </c>
      <c r="B1835" s="76" t="s">
        <v>10408</v>
      </c>
      <c r="C1835" s="76" t="s">
        <v>975</v>
      </c>
      <c r="D1835" s="76" t="s">
        <v>982</v>
      </c>
      <c r="E1835" s="76" t="s">
        <v>6136</v>
      </c>
      <c r="F1835" s="76" t="s">
        <v>6137</v>
      </c>
    </row>
    <row r="1836" spans="1:6" ht="63.95" customHeight="1">
      <c r="A1836" s="76" t="s">
        <v>5997</v>
      </c>
      <c r="B1836" s="76" t="s">
        <v>10409</v>
      </c>
      <c r="C1836" s="76" t="s">
        <v>981</v>
      </c>
      <c r="D1836" s="76" t="s">
        <v>921</v>
      </c>
      <c r="E1836" s="76" t="s">
        <v>6136</v>
      </c>
      <c r="F1836" s="76" t="s">
        <v>6137</v>
      </c>
    </row>
    <row r="1837" spans="1:6" ht="63.95" customHeight="1">
      <c r="A1837" s="76" t="s">
        <v>5997</v>
      </c>
      <c r="B1837" s="76" t="s">
        <v>10410</v>
      </c>
      <c r="C1837" s="76" t="s">
        <v>10411</v>
      </c>
      <c r="D1837" s="76" t="s">
        <v>10412</v>
      </c>
      <c r="E1837" s="76" t="s">
        <v>6136</v>
      </c>
      <c r="F1837" s="76" t="s">
        <v>6137</v>
      </c>
    </row>
    <row r="1838" spans="1:6" ht="63.95" customHeight="1">
      <c r="A1838" s="76" t="s">
        <v>5997</v>
      </c>
      <c r="B1838" s="76" t="s">
        <v>10413</v>
      </c>
      <c r="C1838" s="76" t="s">
        <v>10414</v>
      </c>
      <c r="D1838" s="76" t="s">
        <v>10415</v>
      </c>
      <c r="E1838" s="76" t="s">
        <v>6136</v>
      </c>
      <c r="F1838" s="76" t="s">
        <v>6137</v>
      </c>
    </row>
    <row r="1839" spans="1:6" ht="63.95" customHeight="1">
      <c r="A1839" s="76" t="s">
        <v>5997</v>
      </c>
      <c r="B1839" s="76" t="s">
        <v>10416</v>
      </c>
      <c r="C1839" s="76" t="s">
        <v>921</v>
      </c>
      <c r="D1839" s="76" t="s">
        <v>872</v>
      </c>
      <c r="E1839" s="76" t="s">
        <v>6136</v>
      </c>
      <c r="F1839" s="76" t="s">
        <v>6137</v>
      </c>
    </row>
    <row r="1840" spans="1:6" ht="63.95" customHeight="1">
      <c r="A1840" s="76" t="s">
        <v>5997</v>
      </c>
      <c r="B1840" s="76" t="s">
        <v>10417</v>
      </c>
      <c r="C1840" s="76" t="s">
        <v>10418</v>
      </c>
      <c r="D1840" s="76" t="s">
        <v>10419</v>
      </c>
      <c r="E1840" s="76" t="s">
        <v>6136</v>
      </c>
      <c r="F1840" s="76" t="s">
        <v>6137</v>
      </c>
    </row>
    <row r="1841" spans="1:6" ht="63.95" customHeight="1">
      <c r="A1841" s="76" t="s">
        <v>5997</v>
      </c>
      <c r="B1841" s="76" t="s">
        <v>10420</v>
      </c>
      <c r="C1841" s="76" t="s">
        <v>10421</v>
      </c>
      <c r="D1841" s="76" t="s">
        <v>10422</v>
      </c>
      <c r="E1841" s="76" t="s">
        <v>6136</v>
      </c>
      <c r="F1841" s="76" t="s">
        <v>6137</v>
      </c>
    </row>
    <row r="1842" spans="1:6" ht="63.95" customHeight="1">
      <c r="A1842" s="76" t="s">
        <v>5997</v>
      </c>
      <c r="B1842" s="76" t="s">
        <v>10423</v>
      </c>
      <c r="C1842" s="76" t="s">
        <v>982</v>
      </c>
      <c r="D1842" s="76" t="s">
        <v>990</v>
      </c>
      <c r="E1842" s="76" t="s">
        <v>6136</v>
      </c>
      <c r="F1842" s="76" t="s">
        <v>6137</v>
      </c>
    </row>
    <row r="1843" spans="1:6" ht="63.95" customHeight="1">
      <c r="A1843" s="76" t="s">
        <v>5997</v>
      </c>
      <c r="B1843" s="76" t="s">
        <v>10424</v>
      </c>
      <c r="C1843" s="76" t="s">
        <v>872</v>
      </c>
      <c r="D1843" s="76" t="s">
        <v>227</v>
      </c>
      <c r="E1843" s="76" t="s">
        <v>6136</v>
      </c>
      <c r="F1843" s="76" t="s">
        <v>6137</v>
      </c>
    </row>
    <row r="1844" spans="1:6" ht="63.95" customHeight="1">
      <c r="A1844" s="76" t="s">
        <v>5997</v>
      </c>
      <c r="B1844" s="76" t="s">
        <v>10425</v>
      </c>
      <c r="C1844" s="76" t="s">
        <v>10426</v>
      </c>
      <c r="D1844" s="76" t="s">
        <v>10427</v>
      </c>
      <c r="E1844" s="76" t="s">
        <v>6136</v>
      </c>
      <c r="F1844" s="76" t="s">
        <v>6137</v>
      </c>
    </row>
    <row r="1845" spans="1:6" ht="63.95" customHeight="1">
      <c r="A1845" s="76" t="s">
        <v>5997</v>
      </c>
      <c r="B1845" s="76" t="s">
        <v>10428</v>
      </c>
      <c r="C1845" s="76" t="s">
        <v>10429</v>
      </c>
      <c r="D1845" s="76" t="s">
        <v>10430</v>
      </c>
      <c r="E1845" s="76" t="s">
        <v>6136</v>
      </c>
      <c r="F1845" s="76" t="s">
        <v>6137</v>
      </c>
    </row>
    <row r="1846" spans="1:6" ht="63.95" customHeight="1">
      <c r="A1846" s="76" t="s">
        <v>5997</v>
      </c>
      <c r="B1846" s="76" t="s">
        <v>10431</v>
      </c>
      <c r="C1846" s="76" t="s">
        <v>990</v>
      </c>
      <c r="D1846" s="76" t="s">
        <v>1046</v>
      </c>
      <c r="E1846" s="76" t="s">
        <v>6136</v>
      </c>
      <c r="F1846" s="76" t="s">
        <v>6137</v>
      </c>
    </row>
    <row r="1847" spans="1:6" ht="63.95" customHeight="1">
      <c r="A1847" s="76" t="s">
        <v>5997</v>
      </c>
      <c r="B1847" s="76" t="s">
        <v>10432</v>
      </c>
      <c r="C1847" s="76" t="s">
        <v>227</v>
      </c>
      <c r="D1847" s="76" t="s">
        <v>345</v>
      </c>
      <c r="E1847" s="76" t="s">
        <v>6136</v>
      </c>
      <c r="F1847" s="76" t="s">
        <v>6137</v>
      </c>
    </row>
    <row r="1848" spans="1:6" ht="63.95" customHeight="1">
      <c r="A1848" s="76" t="s">
        <v>5997</v>
      </c>
      <c r="B1848" s="76" t="s">
        <v>10433</v>
      </c>
      <c r="C1848" s="76" t="s">
        <v>10434</v>
      </c>
      <c r="D1848" s="76" t="s">
        <v>10435</v>
      </c>
      <c r="E1848" s="76" t="s">
        <v>6136</v>
      </c>
      <c r="F1848" s="76" t="s">
        <v>6137</v>
      </c>
    </row>
    <row r="1849" spans="1:6" ht="63.95" customHeight="1">
      <c r="A1849" s="76" t="s">
        <v>5997</v>
      </c>
      <c r="B1849" s="76" t="s">
        <v>10436</v>
      </c>
      <c r="C1849" s="76" t="s">
        <v>10437</v>
      </c>
      <c r="D1849" s="76" t="s">
        <v>10438</v>
      </c>
      <c r="E1849" s="76" t="s">
        <v>6136</v>
      </c>
      <c r="F1849" s="76" t="s">
        <v>6137</v>
      </c>
    </row>
    <row r="1850" spans="1:6" ht="63.95" customHeight="1">
      <c r="A1850" s="76" t="s">
        <v>5997</v>
      </c>
      <c r="B1850" s="76" t="s">
        <v>10439</v>
      </c>
      <c r="C1850" s="76" t="s">
        <v>1046</v>
      </c>
      <c r="D1850" s="76" t="s">
        <v>1056</v>
      </c>
      <c r="E1850" s="76" t="s">
        <v>6136</v>
      </c>
      <c r="F1850" s="76" t="s">
        <v>6137</v>
      </c>
    </row>
    <row r="1851" spans="1:6" ht="63.95" customHeight="1">
      <c r="A1851" s="76" t="s">
        <v>5997</v>
      </c>
      <c r="B1851" s="76" t="s">
        <v>10440</v>
      </c>
      <c r="C1851" s="76" t="s">
        <v>345</v>
      </c>
      <c r="D1851" s="76" t="s">
        <v>843</v>
      </c>
      <c r="E1851" s="76" t="s">
        <v>6136</v>
      </c>
      <c r="F1851" s="76" t="s">
        <v>6137</v>
      </c>
    </row>
    <row r="1852" spans="1:6" ht="63.95" customHeight="1">
      <c r="A1852" s="76" t="s">
        <v>5997</v>
      </c>
      <c r="B1852" s="76" t="s">
        <v>10441</v>
      </c>
      <c r="C1852" s="76" t="s">
        <v>10442</v>
      </c>
      <c r="D1852" s="76" t="s">
        <v>10443</v>
      </c>
      <c r="E1852" s="76" t="s">
        <v>6136</v>
      </c>
      <c r="F1852" s="76" t="s">
        <v>6137</v>
      </c>
    </row>
    <row r="1853" spans="1:6" ht="63.95" customHeight="1">
      <c r="A1853" s="76" t="s">
        <v>5997</v>
      </c>
      <c r="B1853" s="76" t="s">
        <v>10444</v>
      </c>
      <c r="C1853" s="76" t="s">
        <v>10445</v>
      </c>
      <c r="D1853" s="76" t="s">
        <v>10446</v>
      </c>
      <c r="E1853" s="76" t="s">
        <v>6136</v>
      </c>
      <c r="F1853" s="76" t="s">
        <v>6137</v>
      </c>
    </row>
    <row r="1854" spans="1:6" ht="63.95" customHeight="1">
      <c r="A1854" s="76" t="s">
        <v>5997</v>
      </c>
      <c r="B1854" s="76" t="s">
        <v>10447</v>
      </c>
      <c r="C1854" s="76" t="s">
        <v>843</v>
      </c>
      <c r="D1854" s="76" t="s">
        <v>646</v>
      </c>
      <c r="E1854" s="76" t="s">
        <v>6136</v>
      </c>
      <c r="F1854" s="76" t="s">
        <v>6137</v>
      </c>
    </row>
    <row r="1855" spans="1:6" ht="63.95" customHeight="1">
      <c r="A1855" s="76" t="s">
        <v>5997</v>
      </c>
      <c r="B1855" s="76" t="s">
        <v>10448</v>
      </c>
      <c r="C1855" s="76" t="s">
        <v>10449</v>
      </c>
      <c r="D1855" s="76" t="s">
        <v>10450</v>
      </c>
      <c r="E1855" s="76" t="s">
        <v>6136</v>
      </c>
      <c r="F1855" s="76" t="s">
        <v>6137</v>
      </c>
    </row>
    <row r="1856" spans="1:6" ht="63.95" customHeight="1">
      <c r="A1856" s="76" t="s">
        <v>5997</v>
      </c>
      <c r="B1856" s="76" t="s">
        <v>10451</v>
      </c>
      <c r="C1856" s="76" t="s">
        <v>10452</v>
      </c>
      <c r="D1856" s="76" t="s">
        <v>10453</v>
      </c>
      <c r="E1856" s="76" t="s">
        <v>6136</v>
      </c>
      <c r="F1856" s="76" t="s">
        <v>6137</v>
      </c>
    </row>
    <row r="1857" spans="1:6" ht="63.95" customHeight="1">
      <c r="A1857" s="76" t="s">
        <v>5997</v>
      </c>
      <c r="B1857" s="76" t="s">
        <v>10454</v>
      </c>
      <c r="C1857" s="76" t="s">
        <v>1056</v>
      </c>
      <c r="D1857" s="76" t="s">
        <v>1078</v>
      </c>
      <c r="E1857" s="76" t="s">
        <v>6136</v>
      </c>
      <c r="F1857" s="76" t="s">
        <v>6137</v>
      </c>
    </row>
    <row r="1858" spans="1:6" ht="63.95" customHeight="1">
      <c r="A1858" s="76" t="s">
        <v>5997</v>
      </c>
      <c r="B1858" s="76" t="s">
        <v>10455</v>
      </c>
      <c r="C1858" s="76" t="s">
        <v>646</v>
      </c>
      <c r="D1858" s="76" t="s">
        <v>333</v>
      </c>
      <c r="E1858" s="76" t="s">
        <v>6136</v>
      </c>
      <c r="F1858" s="76" t="s">
        <v>6137</v>
      </c>
    </row>
    <row r="1859" spans="1:6" ht="63.95" customHeight="1">
      <c r="A1859" s="76" t="s">
        <v>5997</v>
      </c>
      <c r="B1859" s="76" t="s">
        <v>10456</v>
      </c>
      <c r="C1859" s="76" t="s">
        <v>10457</v>
      </c>
      <c r="D1859" s="76" t="s">
        <v>10458</v>
      </c>
      <c r="E1859" s="76" t="s">
        <v>6136</v>
      </c>
      <c r="F1859" s="76" t="s">
        <v>6137</v>
      </c>
    </row>
    <row r="1860" spans="1:6" ht="63.95" customHeight="1">
      <c r="A1860" s="76" t="s">
        <v>5997</v>
      </c>
      <c r="B1860" s="76" t="s">
        <v>10459</v>
      </c>
      <c r="C1860" s="76" t="s">
        <v>10460</v>
      </c>
      <c r="D1860" s="76" t="s">
        <v>10461</v>
      </c>
      <c r="E1860" s="76" t="s">
        <v>6136</v>
      </c>
      <c r="F1860" s="76" t="s">
        <v>6137</v>
      </c>
    </row>
    <row r="1861" spans="1:6" ht="63.95" customHeight="1">
      <c r="A1861" s="76" t="s">
        <v>5997</v>
      </c>
      <c r="B1861" s="76" t="s">
        <v>10462</v>
      </c>
      <c r="C1861" s="76" t="s">
        <v>333</v>
      </c>
      <c r="D1861" s="76" t="s">
        <v>843</v>
      </c>
      <c r="E1861" s="76" t="s">
        <v>6136</v>
      </c>
      <c r="F1861" s="76" t="s">
        <v>6137</v>
      </c>
    </row>
    <row r="1862" spans="1:6" ht="63.95" customHeight="1">
      <c r="A1862" s="76" t="s">
        <v>5997</v>
      </c>
      <c r="B1862" s="76" t="s">
        <v>10463</v>
      </c>
      <c r="C1862" s="76" t="s">
        <v>10464</v>
      </c>
      <c r="D1862" s="76" t="s">
        <v>10465</v>
      </c>
      <c r="E1862" s="76" t="s">
        <v>6136</v>
      </c>
      <c r="F1862" s="76" t="s">
        <v>6137</v>
      </c>
    </row>
    <row r="1863" spans="1:6" ht="63.95" customHeight="1">
      <c r="A1863" s="76" t="s">
        <v>5997</v>
      </c>
      <c r="B1863" s="76" t="s">
        <v>10466</v>
      </c>
      <c r="C1863" s="76" t="s">
        <v>10467</v>
      </c>
      <c r="D1863" s="76" t="s">
        <v>10468</v>
      </c>
      <c r="E1863" s="76" t="s">
        <v>6136</v>
      </c>
      <c r="F1863" s="76" t="s">
        <v>6137</v>
      </c>
    </row>
    <row r="1864" spans="1:6" ht="63.95" customHeight="1">
      <c r="A1864" s="76" t="s">
        <v>5997</v>
      </c>
      <c r="B1864" s="76" t="s">
        <v>10469</v>
      </c>
      <c r="C1864" s="76" t="s">
        <v>1078</v>
      </c>
      <c r="D1864" s="76" t="s">
        <v>1131</v>
      </c>
      <c r="E1864" s="76" t="s">
        <v>6136</v>
      </c>
      <c r="F1864" s="76" t="s">
        <v>6137</v>
      </c>
    </row>
    <row r="1865" spans="1:6" ht="63.95" customHeight="1">
      <c r="A1865" s="76" t="s">
        <v>5997</v>
      </c>
      <c r="B1865" s="76" t="s">
        <v>10470</v>
      </c>
      <c r="C1865" s="76" t="s">
        <v>843</v>
      </c>
      <c r="D1865" s="76" t="s">
        <v>285</v>
      </c>
      <c r="E1865" s="76" t="s">
        <v>6136</v>
      </c>
      <c r="F1865" s="76" t="s">
        <v>6137</v>
      </c>
    </row>
    <row r="1866" spans="1:6" ht="63.95" customHeight="1">
      <c r="A1866" s="76" t="s">
        <v>5997</v>
      </c>
      <c r="B1866" s="76" t="s">
        <v>10471</v>
      </c>
      <c r="C1866" s="76" t="s">
        <v>10472</v>
      </c>
      <c r="D1866" s="76" t="s">
        <v>10473</v>
      </c>
      <c r="E1866" s="76" t="s">
        <v>6136</v>
      </c>
      <c r="F1866" s="76" t="s">
        <v>6137</v>
      </c>
    </row>
    <row r="1867" spans="1:6" ht="63.95" customHeight="1">
      <c r="A1867" s="76" t="s">
        <v>5997</v>
      </c>
      <c r="B1867" s="76" t="s">
        <v>10474</v>
      </c>
      <c r="C1867" s="76" t="s">
        <v>10475</v>
      </c>
      <c r="D1867" s="76" t="s">
        <v>10476</v>
      </c>
      <c r="E1867" s="76" t="s">
        <v>6136</v>
      </c>
      <c r="F1867" s="76" t="s">
        <v>6137</v>
      </c>
    </row>
    <row r="1868" spans="1:6" ht="63.95" customHeight="1">
      <c r="A1868" s="76" t="s">
        <v>5997</v>
      </c>
      <c r="B1868" s="76" t="s">
        <v>10477</v>
      </c>
      <c r="C1868" s="76" t="s">
        <v>1131</v>
      </c>
      <c r="D1868" s="76" t="s">
        <v>1149</v>
      </c>
      <c r="E1868" s="76" t="s">
        <v>6136</v>
      </c>
      <c r="F1868" s="76" t="s">
        <v>6137</v>
      </c>
    </row>
    <row r="1869" spans="1:6" ht="63.95" customHeight="1">
      <c r="A1869" s="76" t="s">
        <v>5997</v>
      </c>
      <c r="B1869" s="76" t="s">
        <v>10478</v>
      </c>
      <c r="C1869" s="76" t="s">
        <v>285</v>
      </c>
      <c r="D1869" s="76" t="s">
        <v>1158</v>
      </c>
      <c r="E1869" s="76" t="s">
        <v>6136</v>
      </c>
      <c r="F1869" s="76" t="s">
        <v>6137</v>
      </c>
    </row>
    <row r="1870" spans="1:6" ht="63.95" customHeight="1">
      <c r="A1870" s="76" t="s">
        <v>5997</v>
      </c>
      <c r="B1870" s="76" t="s">
        <v>10479</v>
      </c>
      <c r="C1870" s="76" t="s">
        <v>10480</v>
      </c>
      <c r="D1870" s="76" t="s">
        <v>10481</v>
      </c>
      <c r="E1870" s="76" t="s">
        <v>6136</v>
      </c>
      <c r="F1870" s="76" t="s">
        <v>6137</v>
      </c>
    </row>
    <row r="1871" spans="1:6" ht="63.95" customHeight="1">
      <c r="A1871" s="76" t="s">
        <v>5997</v>
      </c>
      <c r="B1871" s="76" t="s">
        <v>10482</v>
      </c>
      <c r="C1871" s="76" t="s">
        <v>10483</v>
      </c>
      <c r="D1871" s="76" t="s">
        <v>10484</v>
      </c>
      <c r="E1871" s="76" t="s">
        <v>6136</v>
      </c>
      <c r="F1871" s="76" t="s">
        <v>6137</v>
      </c>
    </row>
    <row r="1872" spans="1:6" ht="63.95" customHeight="1">
      <c r="A1872" s="76" t="s">
        <v>5997</v>
      </c>
      <c r="B1872" s="76" t="s">
        <v>10485</v>
      </c>
      <c r="C1872" s="76" t="s">
        <v>1149</v>
      </c>
      <c r="D1872" s="76" t="s">
        <v>1160</v>
      </c>
      <c r="E1872" s="76" t="s">
        <v>6136</v>
      </c>
      <c r="F1872" s="76" t="s">
        <v>6137</v>
      </c>
    </row>
    <row r="1873" spans="1:6" ht="63.95" customHeight="1">
      <c r="A1873" s="76" t="s">
        <v>5997</v>
      </c>
      <c r="B1873" s="76" t="s">
        <v>10486</v>
      </c>
      <c r="C1873" s="76" t="s">
        <v>1158</v>
      </c>
      <c r="D1873" s="76" t="s">
        <v>1168</v>
      </c>
      <c r="E1873" s="76" t="s">
        <v>6136</v>
      </c>
      <c r="F1873" s="76" t="s">
        <v>6137</v>
      </c>
    </row>
    <row r="1874" spans="1:6" ht="63.95" customHeight="1">
      <c r="A1874" s="76" t="s">
        <v>5997</v>
      </c>
      <c r="B1874" s="76" t="s">
        <v>10487</v>
      </c>
      <c r="C1874" s="76" t="s">
        <v>10488</v>
      </c>
      <c r="D1874" s="76" t="s">
        <v>10489</v>
      </c>
      <c r="E1874" s="76" t="s">
        <v>6136</v>
      </c>
      <c r="F1874" s="76" t="s">
        <v>6137</v>
      </c>
    </row>
    <row r="1875" spans="1:6" ht="63.95" customHeight="1">
      <c r="A1875" s="76" t="s">
        <v>5997</v>
      </c>
      <c r="B1875" s="76" t="s">
        <v>10490</v>
      </c>
      <c r="C1875" s="76" t="s">
        <v>10491</v>
      </c>
      <c r="D1875" s="76" t="s">
        <v>10492</v>
      </c>
      <c r="E1875" s="76" t="s">
        <v>6136</v>
      </c>
      <c r="F1875" s="76" t="s">
        <v>6137</v>
      </c>
    </row>
    <row r="1876" spans="1:6" ht="63.95" customHeight="1">
      <c r="A1876" s="76" t="s">
        <v>5997</v>
      </c>
      <c r="B1876" s="76" t="s">
        <v>10493</v>
      </c>
      <c r="C1876" s="76" t="s">
        <v>1160</v>
      </c>
      <c r="D1876" s="76" t="s">
        <v>1177</v>
      </c>
      <c r="E1876" s="76" t="s">
        <v>6136</v>
      </c>
      <c r="F1876" s="76" t="s">
        <v>6137</v>
      </c>
    </row>
    <row r="1877" spans="1:6" ht="63.95" customHeight="1">
      <c r="A1877" s="76" t="s">
        <v>5997</v>
      </c>
      <c r="B1877" s="76" t="s">
        <v>10494</v>
      </c>
      <c r="C1877" s="76" t="s">
        <v>1168</v>
      </c>
      <c r="D1877" s="76" t="s">
        <v>1185</v>
      </c>
      <c r="E1877" s="76" t="s">
        <v>6136</v>
      </c>
      <c r="F1877" s="76" t="s">
        <v>6137</v>
      </c>
    </row>
    <row r="1878" spans="1:6" ht="63.95" customHeight="1">
      <c r="A1878" s="76" t="s">
        <v>5997</v>
      </c>
      <c r="B1878" s="76" t="s">
        <v>10495</v>
      </c>
      <c r="C1878" s="76" t="s">
        <v>10496</v>
      </c>
      <c r="D1878" s="76" t="s">
        <v>10497</v>
      </c>
      <c r="E1878" s="76" t="s">
        <v>6136</v>
      </c>
      <c r="F1878" s="76" t="s">
        <v>6137</v>
      </c>
    </row>
    <row r="1879" spans="1:6" ht="63.95" customHeight="1">
      <c r="A1879" s="76" t="s">
        <v>5997</v>
      </c>
      <c r="B1879" s="76" t="s">
        <v>10498</v>
      </c>
      <c r="C1879" s="76" t="s">
        <v>10499</v>
      </c>
      <c r="D1879" s="76" t="s">
        <v>10500</v>
      </c>
      <c r="E1879" s="76" t="s">
        <v>6136</v>
      </c>
      <c r="F1879" s="76" t="s">
        <v>6137</v>
      </c>
    </row>
    <row r="1880" spans="1:6" ht="63.95" customHeight="1">
      <c r="A1880" s="76" t="s">
        <v>5997</v>
      </c>
      <c r="B1880" s="76" t="s">
        <v>10501</v>
      </c>
      <c r="C1880" s="76" t="s">
        <v>1177</v>
      </c>
      <c r="D1880" s="76" t="s">
        <v>1187</v>
      </c>
      <c r="E1880" s="76" t="s">
        <v>6136</v>
      </c>
      <c r="F1880" s="76" t="s">
        <v>6137</v>
      </c>
    </row>
    <row r="1881" spans="1:6" ht="63.95" customHeight="1">
      <c r="A1881" s="76" t="s">
        <v>5997</v>
      </c>
      <c r="B1881" s="76" t="s">
        <v>10502</v>
      </c>
      <c r="C1881" s="76" t="s">
        <v>1185</v>
      </c>
      <c r="D1881" s="76" t="s">
        <v>130</v>
      </c>
      <c r="E1881" s="76" t="s">
        <v>6136</v>
      </c>
      <c r="F1881" s="76" t="s">
        <v>6137</v>
      </c>
    </row>
    <row r="1882" spans="1:6" ht="63.95" customHeight="1">
      <c r="A1882" s="76" t="s">
        <v>5997</v>
      </c>
      <c r="B1882" s="76" t="s">
        <v>10503</v>
      </c>
      <c r="C1882" s="76" t="s">
        <v>10504</v>
      </c>
      <c r="D1882" s="76" t="s">
        <v>10505</v>
      </c>
      <c r="E1882" s="76" t="s">
        <v>6136</v>
      </c>
      <c r="F1882" s="76" t="s">
        <v>6137</v>
      </c>
    </row>
    <row r="1883" spans="1:6" ht="63.95" customHeight="1">
      <c r="A1883" s="76" t="s">
        <v>5997</v>
      </c>
      <c r="B1883" s="76" t="s">
        <v>10506</v>
      </c>
      <c r="C1883" s="76" t="s">
        <v>10507</v>
      </c>
      <c r="D1883" s="76" t="s">
        <v>10508</v>
      </c>
      <c r="E1883" s="76" t="s">
        <v>6136</v>
      </c>
      <c r="F1883" s="76" t="s">
        <v>6137</v>
      </c>
    </row>
    <row r="1884" spans="1:6" ht="63.95" customHeight="1">
      <c r="A1884" s="76" t="s">
        <v>5997</v>
      </c>
      <c r="B1884" s="76" t="s">
        <v>10509</v>
      </c>
      <c r="C1884" s="76" t="s">
        <v>1187</v>
      </c>
      <c r="D1884" s="76" t="s">
        <v>1231</v>
      </c>
      <c r="E1884" s="76" t="s">
        <v>6136</v>
      </c>
      <c r="F1884" s="76" t="s">
        <v>6137</v>
      </c>
    </row>
    <row r="1885" spans="1:6" ht="63.95" customHeight="1">
      <c r="A1885" s="76" t="s">
        <v>5997</v>
      </c>
      <c r="B1885" s="76" t="s">
        <v>10510</v>
      </c>
      <c r="C1885" s="76" t="s">
        <v>130</v>
      </c>
      <c r="D1885" s="76" t="s">
        <v>285</v>
      </c>
      <c r="E1885" s="76" t="s">
        <v>6136</v>
      </c>
      <c r="F1885" s="76" t="s">
        <v>6137</v>
      </c>
    </row>
    <row r="1886" spans="1:6" ht="63.95" customHeight="1">
      <c r="A1886" s="76" t="s">
        <v>5997</v>
      </c>
      <c r="B1886" s="76" t="s">
        <v>10511</v>
      </c>
      <c r="C1886" s="76" t="s">
        <v>10512</v>
      </c>
      <c r="D1886" s="76" t="s">
        <v>10513</v>
      </c>
      <c r="E1886" s="76" t="s">
        <v>6136</v>
      </c>
      <c r="F1886" s="76" t="s">
        <v>6137</v>
      </c>
    </row>
    <row r="1887" spans="1:6" ht="63.95" customHeight="1">
      <c r="A1887" s="76" t="s">
        <v>5997</v>
      </c>
      <c r="B1887" s="76" t="s">
        <v>10514</v>
      </c>
      <c r="C1887" s="76" t="s">
        <v>10515</v>
      </c>
      <c r="D1887" s="76" t="s">
        <v>10516</v>
      </c>
      <c r="E1887" s="76" t="s">
        <v>6136</v>
      </c>
      <c r="F1887" s="76" t="s">
        <v>6137</v>
      </c>
    </row>
    <row r="1888" spans="1:6" ht="63.95" customHeight="1">
      <c r="A1888" s="76" t="s">
        <v>5997</v>
      </c>
      <c r="B1888" s="76" t="s">
        <v>10517</v>
      </c>
      <c r="C1888" s="76" t="s">
        <v>1231</v>
      </c>
      <c r="D1888" s="76" t="s">
        <v>1242</v>
      </c>
      <c r="E1888" s="76" t="s">
        <v>6136</v>
      </c>
      <c r="F1888" s="76" t="s">
        <v>6137</v>
      </c>
    </row>
    <row r="1889" spans="1:6" ht="63.95" customHeight="1">
      <c r="A1889" s="76" t="s">
        <v>5997</v>
      </c>
      <c r="B1889" s="76" t="s">
        <v>10518</v>
      </c>
      <c r="C1889" s="76" t="s">
        <v>285</v>
      </c>
      <c r="D1889" s="76" t="s">
        <v>546</v>
      </c>
      <c r="E1889" s="76" t="s">
        <v>6136</v>
      </c>
      <c r="F1889" s="76" t="s">
        <v>6137</v>
      </c>
    </row>
    <row r="1890" spans="1:6" ht="63.95" customHeight="1">
      <c r="A1890" s="76" t="s">
        <v>5997</v>
      </c>
      <c r="B1890" s="76" t="s">
        <v>10519</v>
      </c>
      <c r="C1890" s="76" t="s">
        <v>10520</v>
      </c>
      <c r="D1890" s="76" t="s">
        <v>10521</v>
      </c>
      <c r="E1890" s="76" t="s">
        <v>6136</v>
      </c>
      <c r="F1890" s="76" t="s">
        <v>6137</v>
      </c>
    </row>
    <row r="1891" spans="1:6" ht="63.95" customHeight="1">
      <c r="A1891" s="76" t="s">
        <v>5997</v>
      </c>
      <c r="B1891" s="76" t="s">
        <v>10522</v>
      </c>
      <c r="C1891" s="76" t="s">
        <v>10523</v>
      </c>
      <c r="D1891" s="76" t="s">
        <v>10524</v>
      </c>
      <c r="E1891" s="76" t="s">
        <v>6136</v>
      </c>
      <c r="F1891" s="76" t="s">
        <v>6137</v>
      </c>
    </row>
    <row r="1892" spans="1:6" ht="63.95" customHeight="1">
      <c r="A1892" s="76" t="s">
        <v>5997</v>
      </c>
      <c r="B1892" s="76" t="s">
        <v>10525</v>
      </c>
      <c r="C1892" s="76" t="s">
        <v>1242</v>
      </c>
      <c r="D1892" s="76" t="s">
        <v>1272</v>
      </c>
      <c r="E1892" s="76" t="s">
        <v>6136</v>
      </c>
      <c r="F1892" s="76" t="s">
        <v>6137</v>
      </c>
    </row>
    <row r="1893" spans="1:6" ht="63.95" customHeight="1">
      <c r="A1893" s="76" t="s">
        <v>5997</v>
      </c>
      <c r="B1893" s="76" t="s">
        <v>10526</v>
      </c>
      <c r="C1893" s="76" t="s">
        <v>546</v>
      </c>
      <c r="D1893" s="76" t="s">
        <v>130</v>
      </c>
      <c r="E1893" s="76" t="s">
        <v>6136</v>
      </c>
      <c r="F1893" s="76" t="s">
        <v>6137</v>
      </c>
    </row>
    <row r="1894" spans="1:6" ht="63.95" customHeight="1">
      <c r="A1894" s="76" t="s">
        <v>5997</v>
      </c>
      <c r="B1894" s="76" t="s">
        <v>10527</v>
      </c>
      <c r="C1894" s="76" t="s">
        <v>10528</v>
      </c>
      <c r="D1894" s="76" t="s">
        <v>10529</v>
      </c>
      <c r="E1894" s="76" t="s">
        <v>6136</v>
      </c>
      <c r="F1894" s="76" t="s">
        <v>6137</v>
      </c>
    </row>
    <row r="1895" spans="1:6" ht="63.95" customHeight="1">
      <c r="A1895" s="76" t="s">
        <v>5997</v>
      </c>
      <c r="B1895" s="76" t="s">
        <v>10530</v>
      </c>
      <c r="C1895" s="76" t="s">
        <v>10531</v>
      </c>
      <c r="D1895" s="76" t="s">
        <v>10532</v>
      </c>
      <c r="E1895" s="76" t="s">
        <v>6136</v>
      </c>
      <c r="F1895" s="76" t="s">
        <v>6137</v>
      </c>
    </row>
    <row r="1896" spans="1:6" ht="63.95" customHeight="1">
      <c r="A1896" s="76" t="s">
        <v>5997</v>
      </c>
      <c r="B1896" s="76" t="s">
        <v>10533</v>
      </c>
      <c r="C1896" s="76" t="s">
        <v>1272</v>
      </c>
      <c r="D1896" s="76" t="s">
        <v>1276</v>
      </c>
      <c r="E1896" s="76" t="s">
        <v>6136</v>
      </c>
      <c r="F1896" s="76" t="s">
        <v>6137</v>
      </c>
    </row>
    <row r="1897" spans="1:6" ht="63.95" customHeight="1">
      <c r="A1897" s="76" t="s">
        <v>5997</v>
      </c>
      <c r="B1897" s="76" t="s">
        <v>10534</v>
      </c>
      <c r="C1897" s="76" t="s">
        <v>130</v>
      </c>
      <c r="D1897" s="76" t="s">
        <v>577</v>
      </c>
      <c r="E1897" s="76" t="s">
        <v>6136</v>
      </c>
      <c r="F1897" s="76" t="s">
        <v>6137</v>
      </c>
    </row>
    <row r="1898" spans="1:6" ht="63.95" customHeight="1">
      <c r="A1898" s="76" t="s">
        <v>5997</v>
      </c>
      <c r="B1898" s="76" t="s">
        <v>10535</v>
      </c>
      <c r="C1898" s="76" t="s">
        <v>10536</v>
      </c>
      <c r="D1898" s="76" t="s">
        <v>10537</v>
      </c>
      <c r="E1898" s="76" t="s">
        <v>6136</v>
      </c>
      <c r="F1898" s="76" t="s">
        <v>6137</v>
      </c>
    </row>
    <row r="1899" spans="1:6" ht="63.95" customHeight="1">
      <c r="A1899" s="76" t="s">
        <v>5997</v>
      </c>
      <c r="B1899" s="76" t="s">
        <v>10538</v>
      </c>
      <c r="C1899" s="76" t="s">
        <v>10539</v>
      </c>
      <c r="D1899" s="76" t="s">
        <v>10540</v>
      </c>
      <c r="E1899" s="76" t="s">
        <v>6136</v>
      </c>
      <c r="F1899" s="76" t="s">
        <v>6137</v>
      </c>
    </row>
    <row r="1900" spans="1:6" ht="63.95" customHeight="1">
      <c r="A1900" s="76" t="s">
        <v>5997</v>
      </c>
      <c r="B1900" s="76" t="s">
        <v>10541</v>
      </c>
      <c r="C1900" s="76" t="s">
        <v>1276</v>
      </c>
      <c r="D1900" s="76" t="s">
        <v>1289</v>
      </c>
      <c r="E1900" s="76" t="s">
        <v>6136</v>
      </c>
      <c r="F1900" s="76" t="s">
        <v>6137</v>
      </c>
    </row>
    <row r="1901" spans="1:6" ht="63.95" customHeight="1">
      <c r="A1901" s="76" t="s">
        <v>5997</v>
      </c>
      <c r="B1901" s="76" t="s">
        <v>10542</v>
      </c>
      <c r="C1901" s="76" t="s">
        <v>577</v>
      </c>
      <c r="D1901" s="76" t="s">
        <v>546</v>
      </c>
      <c r="E1901" s="76" t="s">
        <v>6136</v>
      </c>
      <c r="F1901" s="76" t="s">
        <v>6137</v>
      </c>
    </row>
    <row r="1902" spans="1:6" ht="63.95" customHeight="1">
      <c r="A1902" s="76" t="s">
        <v>5997</v>
      </c>
      <c r="B1902" s="76" t="s">
        <v>10543</v>
      </c>
      <c r="C1902" s="76" t="s">
        <v>10544</v>
      </c>
      <c r="D1902" s="76" t="s">
        <v>10545</v>
      </c>
      <c r="E1902" s="76" t="s">
        <v>6136</v>
      </c>
      <c r="F1902" s="76" t="s">
        <v>6137</v>
      </c>
    </row>
    <row r="1903" spans="1:6" ht="63.95" customHeight="1">
      <c r="A1903" s="76" t="s">
        <v>5997</v>
      </c>
      <c r="B1903" s="76" t="s">
        <v>10546</v>
      </c>
      <c r="C1903" s="76" t="s">
        <v>10547</v>
      </c>
      <c r="D1903" s="76" t="s">
        <v>10548</v>
      </c>
      <c r="E1903" s="76" t="s">
        <v>6136</v>
      </c>
      <c r="F1903" s="76" t="s">
        <v>6137</v>
      </c>
    </row>
    <row r="1904" spans="1:6" ht="63.95" customHeight="1">
      <c r="A1904" s="76" t="s">
        <v>5997</v>
      </c>
      <c r="B1904" s="76" t="s">
        <v>10549</v>
      </c>
      <c r="C1904" s="76" t="s">
        <v>1289</v>
      </c>
      <c r="D1904" s="76" t="s">
        <v>1296</v>
      </c>
      <c r="E1904" s="76" t="s">
        <v>6136</v>
      </c>
      <c r="F1904" s="76" t="s">
        <v>6137</v>
      </c>
    </row>
    <row r="1905" spans="1:6" ht="63.95" customHeight="1">
      <c r="A1905" s="76" t="s">
        <v>5997</v>
      </c>
      <c r="B1905" s="76" t="s">
        <v>10550</v>
      </c>
      <c r="C1905" s="76" t="s">
        <v>546</v>
      </c>
      <c r="D1905" s="76" t="s">
        <v>987</v>
      </c>
      <c r="E1905" s="76" t="s">
        <v>6136</v>
      </c>
      <c r="F1905" s="76" t="s">
        <v>6137</v>
      </c>
    </row>
    <row r="1906" spans="1:6" ht="63.95" customHeight="1">
      <c r="A1906" s="76" t="s">
        <v>5997</v>
      </c>
      <c r="B1906" s="76" t="s">
        <v>10551</v>
      </c>
      <c r="C1906" s="76" t="s">
        <v>10552</v>
      </c>
      <c r="D1906" s="76" t="s">
        <v>10553</v>
      </c>
      <c r="E1906" s="76" t="s">
        <v>6136</v>
      </c>
      <c r="F1906" s="76" t="s">
        <v>6137</v>
      </c>
    </row>
    <row r="1907" spans="1:6" ht="63.95" customHeight="1">
      <c r="A1907" s="76" t="s">
        <v>5997</v>
      </c>
      <c r="B1907" s="76" t="s">
        <v>10554</v>
      </c>
      <c r="C1907" s="76" t="s">
        <v>10555</v>
      </c>
      <c r="D1907" s="76" t="s">
        <v>10556</v>
      </c>
      <c r="E1907" s="76" t="s">
        <v>6136</v>
      </c>
      <c r="F1907" s="76" t="s">
        <v>6137</v>
      </c>
    </row>
    <row r="1908" spans="1:6" ht="63.95" customHeight="1">
      <c r="A1908" s="76" t="s">
        <v>5997</v>
      </c>
      <c r="B1908" s="76" t="s">
        <v>10557</v>
      </c>
      <c r="C1908" s="76" t="s">
        <v>1296</v>
      </c>
      <c r="D1908" s="76" t="s">
        <v>1339</v>
      </c>
      <c r="E1908" s="76" t="s">
        <v>6136</v>
      </c>
      <c r="F1908" s="76" t="s">
        <v>6137</v>
      </c>
    </row>
    <row r="1909" spans="1:6" ht="63.95" customHeight="1">
      <c r="A1909" s="76" t="s">
        <v>5997</v>
      </c>
      <c r="B1909" s="76" t="s">
        <v>10558</v>
      </c>
      <c r="C1909" s="76" t="s">
        <v>987</v>
      </c>
      <c r="D1909" s="76" t="s">
        <v>1123</v>
      </c>
      <c r="E1909" s="76" t="s">
        <v>6136</v>
      </c>
      <c r="F1909" s="76" t="s">
        <v>6137</v>
      </c>
    </row>
    <row r="1910" spans="1:6" ht="63.95" customHeight="1">
      <c r="A1910" s="76" t="s">
        <v>5997</v>
      </c>
      <c r="B1910" s="76" t="s">
        <v>10559</v>
      </c>
      <c r="C1910" s="76" t="s">
        <v>10560</v>
      </c>
      <c r="D1910" s="76" t="s">
        <v>10561</v>
      </c>
      <c r="E1910" s="76" t="s">
        <v>6136</v>
      </c>
      <c r="F1910" s="76" t="s">
        <v>6137</v>
      </c>
    </row>
    <row r="1911" spans="1:6" ht="63.95" customHeight="1">
      <c r="A1911" s="76" t="s">
        <v>5997</v>
      </c>
      <c r="B1911" s="76" t="s">
        <v>10562</v>
      </c>
      <c r="C1911" s="76" t="s">
        <v>10563</v>
      </c>
      <c r="D1911" s="76" t="s">
        <v>10564</v>
      </c>
      <c r="E1911" s="76" t="s">
        <v>6136</v>
      </c>
      <c r="F1911" s="76" t="s">
        <v>6137</v>
      </c>
    </row>
    <row r="1912" spans="1:6" ht="63.95" customHeight="1">
      <c r="A1912" s="76" t="s">
        <v>5997</v>
      </c>
      <c r="B1912" s="76" t="s">
        <v>10565</v>
      </c>
      <c r="C1912" s="76" t="s">
        <v>1339</v>
      </c>
      <c r="D1912" s="76" t="s">
        <v>1393</v>
      </c>
      <c r="E1912" s="76" t="s">
        <v>6136</v>
      </c>
      <c r="F1912" s="76" t="s">
        <v>6137</v>
      </c>
    </row>
    <row r="1913" spans="1:6" ht="63.95" customHeight="1">
      <c r="A1913" s="76" t="s">
        <v>5997</v>
      </c>
      <c r="B1913" s="76" t="s">
        <v>10566</v>
      </c>
      <c r="C1913" s="76" t="s">
        <v>1123</v>
      </c>
      <c r="D1913" s="76" t="s">
        <v>798</v>
      </c>
      <c r="E1913" s="76" t="s">
        <v>6136</v>
      </c>
      <c r="F1913" s="76" t="s">
        <v>6137</v>
      </c>
    </row>
    <row r="1914" spans="1:6" ht="63.95" customHeight="1">
      <c r="A1914" s="76" t="s">
        <v>5997</v>
      </c>
      <c r="B1914" s="76" t="s">
        <v>10567</v>
      </c>
      <c r="C1914" s="76" t="s">
        <v>10568</v>
      </c>
      <c r="D1914" s="76" t="s">
        <v>10569</v>
      </c>
      <c r="E1914" s="76" t="s">
        <v>6136</v>
      </c>
      <c r="F1914" s="76" t="s">
        <v>6137</v>
      </c>
    </row>
    <row r="1915" spans="1:6" ht="63.95" customHeight="1">
      <c r="A1915" s="76" t="s">
        <v>5997</v>
      </c>
      <c r="B1915" s="76" t="s">
        <v>10570</v>
      </c>
      <c r="C1915" s="76" t="s">
        <v>10571</v>
      </c>
      <c r="D1915" s="76" t="s">
        <v>10572</v>
      </c>
      <c r="E1915" s="76" t="s">
        <v>6136</v>
      </c>
      <c r="F1915" s="76" t="s">
        <v>6137</v>
      </c>
    </row>
    <row r="1916" spans="1:6" ht="63.95" customHeight="1">
      <c r="A1916" s="76" t="s">
        <v>5997</v>
      </c>
      <c r="B1916" s="76" t="s">
        <v>10573</v>
      </c>
      <c r="C1916" s="76" t="s">
        <v>1393</v>
      </c>
      <c r="D1916" s="76" t="s">
        <v>812</v>
      </c>
      <c r="E1916" s="76" t="s">
        <v>6136</v>
      </c>
      <c r="F1916" s="76" t="s">
        <v>6137</v>
      </c>
    </row>
    <row r="1917" spans="1:6" ht="63.95" customHeight="1">
      <c r="A1917" s="76" t="s">
        <v>5997</v>
      </c>
      <c r="B1917" s="76" t="s">
        <v>10574</v>
      </c>
      <c r="C1917" s="76" t="s">
        <v>798</v>
      </c>
      <c r="D1917" s="76" t="s">
        <v>819</v>
      </c>
      <c r="E1917" s="76" t="s">
        <v>6136</v>
      </c>
      <c r="F1917" s="76" t="s">
        <v>6137</v>
      </c>
    </row>
    <row r="1918" spans="1:6" ht="63.95" customHeight="1">
      <c r="A1918" s="76" t="s">
        <v>5997</v>
      </c>
      <c r="B1918" s="76" t="s">
        <v>10575</v>
      </c>
      <c r="C1918" s="76" t="s">
        <v>10576</v>
      </c>
      <c r="D1918" s="76" t="s">
        <v>10577</v>
      </c>
      <c r="E1918" s="76" t="s">
        <v>6136</v>
      </c>
      <c r="F1918" s="76" t="s">
        <v>6137</v>
      </c>
    </row>
    <row r="1919" spans="1:6" ht="63.95" customHeight="1">
      <c r="A1919" s="76" t="s">
        <v>5997</v>
      </c>
      <c r="B1919" s="76" t="s">
        <v>10578</v>
      </c>
      <c r="C1919" s="76" t="s">
        <v>10579</v>
      </c>
      <c r="D1919" s="76" t="s">
        <v>10580</v>
      </c>
      <c r="E1919" s="76" t="s">
        <v>6136</v>
      </c>
      <c r="F1919" s="76" t="s">
        <v>6137</v>
      </c>
    </row>
    <row r="1920" spans="1:6" ht="63.95" customHeight="1">
      <c r="A1920" s="76" t="s">
        <v>5997</v>
      </c>
      <c r="B1920" s="76" t="s">
        <v>10581</v>
      </c>
      <c r="C1920" s="76" t="s">
        <v>819</v>
      </c>
      <c r="D1920" s="76" t="s">
        <v>2852</v>
      </c>
      <c r="E1920" s="76" t="s">
        <v>6136</v>
      </c>
      <c r="F1920" s="76" t="s">
        <v>6137</v>
      </c>
    </row>
    <row r="1921" spans="1:6" ht="63.95" customHeight="1">
      <c r="A1921" s="76" t="s">
        <v>5997</v>
      </c>
      <c r="B1921" s="76" t="s">
        <v>10582</v>
      </c>
      <c r="C1921" s="76" t="s">
        <v>10583</v>
      </c>
      <c r="D1921" s="76" t="s">
        <v>10584</v>
      </c>
      <c r="E1921" s="76" t="s">
        <v>6136</v>
      </c>
      <c r="F1921" s="76" t="s">
        <v>6137</v>
      </c>
    </row>
    <row r="1922" spans="1:6" ht="63.95" customHeight="1">
      <c r="A1922" s="76" t="s">
        <v>5997</v>
      </c>
      <c r="B1922" s="76" t="s">
        <v>10585</v>
      </c>
      <c r="C1922" s="76" t="s">
        <v>10586</v>
      </c>
      <c r="D1922" s="76" t="s">
        <v>10587</v>
      </c>
      <c r="E1922" s="76" t="s">
        <v>6136</v>
      </c>
      <c r="F1922" s="76" t="s">
        <v>6137</v>
      </c>
    </row>
    <row r="1923" spans="1:6" ht="63.95" customHeight="1">
      <c r="A1923" s="76" t="s">
        <v>5997</v>
      </c>
      <c r="B1923" s="76" t="s">
        <v>10588</v>
      </c>
      <c r="C1923" s="76" t="s">
        <v>2852</v>
      </c>
      <c r="D1923" s="76" t="s">
        <v>591</v>
      </c>
      <c r="E1923" s="76" t="s">
        <v>6136</v>
      </c>
      <c r="F1923" s="76" t="s">
        <v>6137</v>
      </c>
    </row>
    <row r="1924" spans="1:6" ht="63.95" customHeight="1">
      <c r="A1924" s="76" t="s">
        <v>5997</v>
      </c>
      <c r="B1924" s="76" t="s">
        <v>10589</v>
      </c>
      <c r="C1924" s="76" t="s">
        <v>10590</v>
      </c>
      <c r="D1924" s="76" t="s">
        <v>10591</v>
      </c>
      <c r="E1924" s="76" t="s">
        <v>6136</v>
      </c>
      <c r="F1924" s="76" t="s">
        <v>6137</v>
      </c>
    </row>
    <row r="1925" spans="1:6" ht="63.95" customHeight="1">
      <c r="A1925" s="76" t="s">
        <v>5997</v>
      </c>
      <c r="B1925" s="76" t="s">
        <v>10592</v>
      </c>
      <c r="C1925" s="76" t="s">
        <v>10593</v>
      </c>
      <c r="D1925" s="76" t="s">
        <v>10594</v>
      </c>
      <c r="E1925" s="76" t="s">
        <v>6136</v>
      </c>
      <c r="F1925" s="76" t="s">
        <v>6137</v>
      </c>
    </row>
    <row r="1926" spans="1:6" ht="63.95" customHeight="1">
      <c r="A1926" s="76" t="s">
        <v>5997</v>
      </c>
      <c r="B1926" s="76" t="s">
        <v>10595</v>
      </c>
      <c r="C1926" s="76" t="s">
        <v>591</v>
      </c>
      <c r="D1926" s="76" t="s">
        <v>719</v>
      </c>
      <c r="E1926" s="76" t="s">
        <v>6136</v>
      </c>
      <c r="F1926" s="76" t="s">
        <v>6137</v>
      </c>
    </row>
    <row r="1927" spans="1:6" ht="63.95" customHeight="1">
      <c r="A1927" s="76" t="s">
        <v>5997</v>
      </c>
      <c r="B1927" s="76" t="s">
        <v>10596</v>
      </c>
      <c r="C1927" s="76" t="s">
        <v>10597</v>
      </c>
      <c r="D1927" s="76" t="s">
        <v>10598</v>
      </c>
      <c r="E1927" s="76" t="s">
        <v>6136</v>
      </c>
      <c r="F1927" s="76" t="s">
        <v>6137</v>
      </c>
    </row>
    <row r="1928" spans="1:6" ht="63.95" customHeight="1">
      <c r="A1928" s="76" t="s">
        <v>5997</v>
      </c>
      <c r="B1928" s="76" t="s">
        <v>10599</v>
      </c>
      <c r="C1928" s="76" t="s">
        <v>10600</v>
      </c>
      <c r="D1928" s="76" t="s">
        <v>10601</v>
      </c>
      <c r="E1928" s="76" t="s">
        <v>6136</v>
      </c>
      <c r="F1928" s="76" t="s">
        <v>6137</v>
      </c>
    </row>
    <row r="1929" spans="1:6" ht="63.95" customHeight="1">
      <c r="A1929" s="76" t="s">
        <v>5997</v>
      </c>
      <c r="B1929" s="76" t="s">
        <v>10602</v>
      </c>
      <c r="C1929" s="76" t="s">
        <v>719</v>
      </c>
      <c r="D1929" s="76" t="s">
        <v>683</v>
      </c>
      <c r="E1929" s="76" t="s">
        <v>6136</v>
      </c>
      <c r="F1929" s="76" t="s">
        <v>6137</v>
      </c>
    </row>
    <row r="1930" spans="1:6" ht="63.95" customHeight="1">
      <c r="A1930" s="76" t="s">
        <v>5997</v>
      </c>
      <c r="B1930" s="76" t="s">
        <v>10603</v>
      </c>
      <c r="C1930" s="76" t="s">
        <v>10604</v>
      </c>
      <c r="D1930" s="76" t="s">
        <v>10605</v>
      </c>
      <c r="E1930" s="76" t="s">
        <v>6136</v>
      </c>
      <c r="F1930" s="76" t="s">
        <v>6137</v>
      </c>
    </row>
    <row r="1931" spans="1:6" ht="63.95" customHeight="1">
      <c r="A1931" s="76" t="s">
        <v>5997</v>
      </c>
      <c r="B1931" s="76" t="s">
        <v>10606</v>
      </c>
      <c r="C1931" s="76" t="s">
        <v>10607</v>
      </c>
      <c r="D1931" s="76" t="s">
        <v>10608</v>
      </c>
      <c r="E1931" s="76" t="s">
        <v>6136</v>
      </c>
      <c r="F1931" s="76" t="s">
        <v>6137</v>
      </c>
    </row>
    <row r="1932" spans="1:6" ht="63.95" customHeight="1">
      <c r="A1932" s="76" t="s">
        <v>5997</v>
      </c>
      <c r="B1932" s="76" t="s">
        <v>10609</v>
      </c>
      <c r="C1932" s="76" t="s">
        <v>683</v>
      </c>
      <c r="D1932" s="76" t="s">
        <v>207</v>
      </c>
      <c r="E1932" s="76" t="s">
        <v>6136</v>
      </c>
      <c r="F1932" s="76" t="s">
        <v>6137</v>
      </c>
    </row>
    <row r="1933" spans="1:6" ht="63.95" customHeight="1">
      <c r="A1933" s="76" t="s">
        <v>5997</v>
      </c>
      <c r="B1933" s="76" t="s">
        <v>10610</v>
      </c>
      <c r="C1933" s="76" t="s">
        <v>10611</v>
      </c>
      <c r="D1933" s="76" t="s">
        <v>10612</v>
      </c>
      <c r="E1933" s="76" t="s">
        <v>6136</v>
      </c>
      <c r="F1933" s="76" t="s">
        <v>6137</v>
      </c>
    </row>
    <row r="1934" spans="1:6" ht="63.95" customHeight="1">
      <c r="A1934" s="76" t="s">
        <v>5997</v>
      </c>
      <c r="B1934" s="76" t="s">
        <v>10613</v>
      </c>
      <c r="C1934" s="76" t="s">
        <v>10614</v>
      </c>
      <c r="D1934" s="76" t="s">
        <v>10615</v>
      </c>
      <c r="E1934" s="76" t="s">
        <v>6136</v>
      </c>
      <c r="F1934" s="76" t="s">
        <v>6137</v>
      </c>
    </row>
    <row r="1935" spans="1:6" ht="63.95" customHeight="1">
      <c r="A1935" s="76" t="s">
        <v>5997</v>
      </c>
      <c r="B1935" s="76" t="s">
        <v>10616</v>
      </c>
      <c r="C1935" s="76" t="s">
        <v>207</v>
      </c>
      <c r="D1935" s="76" t="s">
        <v>261</v>
      </c>
      <c r="E1935" s="76" t="s">
        <v>6136</v>
      </c>
      <c r="F1935" s="76" t="s">
        <v>6137</v>
      </c>
    </row>
    <row r="1936" spans="1:6" ht="63.95" customHeight="1">
      <c r="A1936" s="76" t="s">
        <v>5997</v>
      </c>
      <c r="B1936" s="76" t="s">
        <v>10617</v>
      </c>
      <c r="C1936" s="76" t="s">
        <v>10618</v>
      </c>
      <c r="D1936" s="76" t="s">
        <v>10619</v>
      </c>
      <c r="E1936" s="76" t="s">
        <v>6136</v>
      </c>
      <c r="F1936" s="76" t="s">
        <v>6137</v>
      </c>
    </row>
    <row r="1937" spans="1:6" ht="63.95" customHeight="1">
      <c r="A1937" s="76" t="s">
        <v>5997</v>
      </c>
      <c r="B1937" s="76" t="s">
        <v>10620</v>
      </c>
      <c r="C1937" s="76" t="s">
        <v>10621</v>
      </c>
      <c r="D1937" s="76" t="s">
        <v>10622</v>
      </c>
      <c r="E1937" s="76" t="s">
        <v>6136</v>
      </c>
      <c r="F1937" s="76" t="s">
        <v>6137</v>
      </c>
    </row>
    <row r="1938" spans="1:6" ht="63.95" customHeight="1">
      <c r="A1938" s="76" t="s">
        <v>5997</v>
      </c>
      <c r="B1938" s="76" t="s">
        <v>10623</v>
      </c>
      <c r="C1938" s="76" t="s">
        <v>812</v>
      </c>
      <c r="D1938" s="76" t="s">
        <v>1455</v>
      </c>
      <c r="E1938" s="76" t="s">
        <v>6136</v>
      </c>
      <c r="F1938" s="76" t="s">
        <v>6137</v>
      </c>
    </row>
    <row r="1939" spans="1:6" ht="63.95" customHeight="1">
      <c r="A1939" s="76" t="s">
        <v>5997</v>
      </c>
      <c r="B1939" s="76" t="s">
        <v>10624</v>
      </c>
      <c r="C1939" s="76" t="s">
        <v>261</v>
      </c>
      <c r="D1939" s="76" t="s">
        <v>533</v>
      </c>
      <c r="E1939" s="76" t="s">
        <v>6136</v>
      </c>
      <c r="F1939" s="76" t="s">
        <v>6137</v>
      </c>
    </row>
    <row r="1940" spans="1:6" ht="63.95" customHeight="1">
      <c r="A1940" s="76" t="s">
        <v>5997</v>
      </c>
      <c r="B1940" s="76" t="s">
        <v>10625</v>
      </c>
      <c r="C1940" s="76" t="s">
        <v>10626</v>
      </c>
      <c r="D1940" s="76" t="s">
        <v>10627</v>
      </c>
      <c r="E1940" s="76" t="s">
        <v>6136</v>
      </c>
      <c r="F1940" s="76" t="s">
        <v>6137</v>
      </c>
    </row>
    <row r="1941" spans="1:6" ht="63.95" customHeight="1">
      <c r="A1941" s="76" t="s">
        <v>5997</v>
      </c>
      <c r="B1941" s="76" t="s">
        <v>10628</v>
      </c>
      <c r="C1941" s="76" t="s">
        <v>10629</v>
      </c>
      <c r="D1941" s="76" t="s">
        <v>10630</v>
      </c>
      <c r="E1941" s="76" t="s">
        <v>6136</v>
      </c>
      <c r="F1941" s="76" t="s">
        <v>6137</v>
      </c>
    </row>
    <row r="1942" spans="1:6" ht="63.95" customHeight="1">
      <c r="A1942" s="76" t="s">
        <v>5997</v>
      </c>
      <c r="B1942" s="76" t="s">
        <v>10631</v>
      </c>
      <c r="C1942" s="76" t="s">
        <v>533</v>
      </c>
      <c r="D1942" s="76" t="s">
        <v>1365</v>
      </c>
      <c r="E1942" s="76" t="s">
        <v>6136</v>
      </c>
      <c r="F1942" s="76" t="s">
        <v>6137</v>
      </c>
    </row>
    <row r="1943" spans="1:6" ht="63.95" customHeight="1">
      <c r="A1943" s="76" t="s">
        <v>5997</v>
      </c>
      <c r="B1943" s="76" t="s">
        <v>10632</v>
      </c>
      <c r="C1943" s="76" t="s">
        <v>10633</v>
      </c>
      <c r="D1943" s="76" t="s">
        <v>10634</v>
      </c>
      <c r="E1943" s="76" t="s">
        <v>6136</v>
      </c>
      <c r="F1943" s="76" t="s">
        <v>6137</v>
      </c>
    </row>
    <row r="1944" spans="1:6" ht="63.95" customHeight="1">
      <c r="A1944" s="76" t="s">
        <v>5997</v>
      </c>
      <c r="B1944" s="76" t="s">
        <v>10635</v>
      </c>
      <c r="C1944" s="76" t="s">
        <v>10636</v>
      </c>
      <c r="D1944" s="76" t="s">
        <v>10637</v>
      </c>
      <c r="E1944" s="76" t="s">
        <v>6136</v>
      </c>
      <c r="F1944" s="76" t="s">
        <v>6137</v>
      </c>
    </row>
    <row r="1945" spans="1:6" ht="63.95" customHeight="1">
      <c r="A1945" s="76" t="s">
        <v>5997</v>
      </c>
      <c r="B1945" s="76" t="s">
        <v>10638</v>
      </c>
      <c r="C1945" s="76" t="s">
        <v>1455</v>
      </c>
      <c r="D1945" s="76" t="s">
        <v>1465</v>
      </c>
      <c r="E1945" s="76" t="s">
        <v>6136</v>
      </c>
      <c r="F1945" s="76" t="s">
        <v>6137</v>
      </c>
    </row>
    <row r="1946" spans="1:6" ht="63.95" customHeight="1">
      <c r="A1946" s="76" t="s">
        <v>5997</v>
      </c>
      <c r="B1946" s="76" t="s">
        <v>10639</v>
      </c>
      <c r="C1946" s="76" t="s">
        <v>1365</v>
      </c>
      <c r="D1946" s="76" t="s">
        <v>1478</v>
      </c>
      <c r="E1946" s="76" t="s">
        <v>6136</v>
      </c>
      <c r="F1946" s="76" t="s">
        <v>6137</v>
      </c>
    </row>
    <row r="1947" spans="1:6" ht="63.95" customHeight="1">
      <c r="A1947" s="76" t="s">
        <v>5997</v>
      </c>
      <c r="B1947" s="76" t="s">
        <v>10640</v>
      </c>
      <c r="C1947" s="76" t="s">
        <v>10641</v>
      </c>
      <c r="D1947" s="76" t="s">
        <v>10642</v>
      </c>
      <c r="E1947" s="76" t="s">
        <v>6136</v>
      </c>
      <c r="F1947" s="76" t="s">
        <v>6137</v>
      </c>
    </row>
    <row r="1948" spans="1:6" ht="63.95" customHeight="1">
      <c r="A1948" s="76" t="s">
        <v>5997</v>
      </c>
      <c r="B1948" s="76" t="s">
        <v>10643</v>
      </c>
      <c r="C1948" s="76" t="s">
        <v>10644</v>
      </c>
      <c r="D1948" s="76" t="s">
        <v>10645</v>
      </c>
      <c r="E1948" s="76" t="s">
        <v>6136</v>
      </c>
      <c r="F1948" s="76" t="s">
        <v>6137</v>
      </c>
    </row>
    <row r="1949" spans="1:6" ht="63.95" customHeight="1">
      <c r="A1949" s="76" t="s">
        <v>5997</v>
      </c>
      <c r="B1949" s="76" t="s">
        <v>10646</v>
      </c>
      <c r="C1949" s="76" t="s">
        <v>1465</v>
      </c>
      <c r="D1949" s="76" t="s">
        <v>1479</v>
      </c>
      <c r="E1949" s="76" t="s">
        <v>6136</v>
      </c>
      <c r="F1949" s="76" t="s">
        <v>6137</v>
      </c>
    </row>
    <row r="1950" spans="1:6" ht="63.95" customHeight="1">
      <c r="A1950" s="76" t="s">
        <v>5997</v>
      </c>
      <c r="B1950" s="76" t="s">
        <v>10647</v>
      </c>
      <c r="C1950" s="76" t="s">
        <v>1478</v>
      </c>
      <c r="D1950" s="76" t="s">
        <v>333</v>
      </c>
      <c r="E1950" s="76" t="s">
        <v>6136</v>
      </c>
      <c r="F1950" s="76" t="s">
        <v>6137</v>
      </c>
    </row>
    <row r="1951" spans="1:6" ht="63.95" customHeight="1">
      <c r="A1951" s="76" t="s">
        <v>5997</v>
      </c>
      <c r="B1951" s="76" t="s">
        <v>10648</v>
      </c>
      <c r="C1951" s="76" t="s">
        <v>10649</v>
      </c>
      <c r="D1951" s="76" t="s">
        <v>10650</v>
      </c>
      <c r="E1951" s="76" t="s">
        <v>6136</v>
      </c>
      <c r="F1951" s="76" t="s">
        <v>6137</v>
      </c>
    </row>
    <row r="1952" spans="1:6" ht="63.95" customHeight="1">
      <c r="A1952" s="76" t="s">
        <v>5997</v>
      </c>
      <c r="B1952" s="76" t="s">
        <v>10651</v>
      </c>
      <c r="C1952" s="76" t="s">
        <v>10652</v>
      </c>
      <c r="D1952" s="76" t="s">
        <v>10653</v>
      </c>
      <c r="E1952" s="76" t="s">
        <v>6136</v>
      </c>
      <c r="F1952" s="76" t="s">
        <v>6137</v>
      </c>
    </row>
    <row r="1953" spans="1:6" ht="63.95" customHeight="1">
      <c r="A1953" s="76" t="s">
        <v>5997</v>
      </c>
      <c r="B1953" s="76" t="s">
        <v>10654</v>
      </c>
      <c r="C1953" s="76" t="s">
        <v>333</v>
      </c>
      <c r="D1953" s="76" t="s">
        <v>881</v>
      </c>
      <c r="E1953" s="76" t="s">
        <v>6136</v>
      </c>
      <c r="F1953" s="76" t="s">
        <v>6137</v>
      </c>
    </row>
    <row r="1954" spans="1:6" ht="63.95" customHeight="1">
      <c r="A1954" s="76" t="s">
        <v>5997</v>
      </c>
      <c r="B1954" s="76" t="s">
        <v>10655</v>
      </c>
      <c r="C1954" s="76" t="s">
        <v>10656</v>
      </c>
      <c r="D1954" s="76" t="s">
        <v>10657</v>
      </c>
      <c r="E1954" s="76" t="s">
        <v>6136</v>
      </c>
      <c r="F1954" s="76" t="s">
        <v>6137</v>
      </c>
    </row>
    <row r="1955" spans="1:6" ht="63.95" customHeight="1">
      <c r="A1955" s="76" t="s">
        <v>5997</v>
      </c>
      <c r="B1955" s="76" t="s">
        <v>10658</v>
      </c>
      <c r="C1955" s="76" t="s">
        <v>10659</v>
      </c>
      <c r="D1955" s="76" t="s">
        <v>10660</v>
      </c>
      <c r="E1955" s="76" t="s">
        <v>6136</v>
      </c>
      <c r="F1955" s="76" t="s">
        <v>6137</v>
      </c>
    </row>
    <row r="1956" spans="1:6" ht="63.95" customHeight="1">
      <c r="A1956" s="76" t="s">
        <v>5997</v>
      </c>
      <c r="B1956" s="76" t="s">
        <v>10661</v>
      </c>
      <c r="C1956" s="76" t="s">
        <v>1479</v>
      </c>
      <c r="D1956" s="76" t="s">
        <v>1515</v>
      </c>
      <c r="E1956" s="76" t="s">
        <v>6136</v>
      </c>
      <c r="F1956" s="76" t="s">
        <v>6137</v>
      </c>
    </row>
    <row r="1957" spans="1:6" ht="63.95" customHeight="1">
      <c r="A1957" s="76" t="s">
        <v>5997</v>
      </c>
      <c r="B1957" s="76" t="s">
        <v>10662</v>
      </c>
      <c r="C1957" s="76" t="s">
        <v>881</v>
      </c>
      <c r="D1957" s="76" t="s">
        <v>591</v>
      </c>
      <c r="E1957" s="76" t="s">
        <v>6136</v>
      </c>
      <c r="F1957" s="76" t="s">
        <v>6137</v>
      </c>
    </row>
    <row r="1958" spans="1:6" ht="63.95" customHeight="1">
      <c r="A1958" s="76" t="s">
        <v>5997</v>
      </c>
      <c r="B1958" s="76" t="s">
        <v>10663</v>
      </c>
      <c r="C1958" s="76" t="s">
        <v>10664</v>
      </c>
      <c r="D1958" s="76" t="s">
        <v>10665</v>
      </c>
      <c r="E1958" s="76" t="s">
        <v>6136</v>
      </c>
      <c r="F1958" s="76" t="s">
        <v>6137</v>
      </c>
    </row>
    <row r="1959" spans="1:6" ht="63.95" customHeight="1">
      <c r="A1959" s="76" t="s">
        <v>5997</v>
      </c>
      <c r="B1959" s="76" t="s">
        <v>10666</v>
      </c>
      <c r="C1959" s="76" t="s">
        <v>10667</v>
      </c>
      <c r="D1959" s="76" t="s">
        <v>10668</v>
      </c>
      <c r="E1959" s="76" t="s">
        <v>6136</v>
      </c>
      <c r="F1959" s="76" t="s">
        <v>6137</v>
      </c>
    </row>
    <row r="1960" spans="1:6" ht="63.95" customHeight="1">
      <c r="A1960" s="76" t="s">
        <v>5997</v>
      </c>
      <c r="B1960" s="76" t="s">
        <v>10669</v>
      </c>
      <c r="C1960" s="76" t="s">
        <v>1515</v>
      </c>
      <c r="D1960" s="76" t="s">
        <v>1557</v>
      </c>
      <c r="E1960" s="76" t="s">
        <v>6136</v>
      </c>
      <c r="F1960" s="76" t="s">
        <v>6137</v>
      </c>
    </row>
    <row r="1961" spans="1:6" ht="63.95" customHeight="1">
      <c r="A1961" s="76" t="s">
        <v>5997</v>
      </c>
      <c r="B1961" s="76" t="s">
        <v>10670</v>
      </c>
      <c r="C1961" s="76" t="s">
        <v>591</v>
      </c>
      <c r="D1961" s="76" t="s">
        <v>1183</v>
      </c>
      <c r="E1961" s="76" t="s">
        <v>6136</v>
      </c>
      <c r="F1961" s="76" t="s">
        <v>6137</v>
      </c>
    </row>
    <row r="1962" spans="1:6" ht="63.95" customHeight="1">
      <c r="A1962" s="76" t="s">
        <v>5997</v>
      </c>
      <c r="B1962" s="76" t="s">
        <v>10671</v>
      </c>
      <c r="C1962" s="76" t="s">
        <v>10672</v>
      </c>
      <c r="D1962" s="76" t="s">
        <v>10673</v>
      </c>
      <c r="E1962" s="76" t="s">
        <v>6136</v>
      </c>
      <c r="F1962" s="76" t="s">
        <v>6137</v>
      </c>
    </row>
    <row r="1963" spans="1:6" ht="63.95" customHeight="1">
      <c r="A1963" s="76" t="s">
        <v>5997</v>
      </c>
      <c r="B1963" s="76" t="s">
        <v>10674</v>
      </c>
      <c r="C1963" s="76" t="s">
        <v>10675</v>
      </c>
      <c r="D1963" s="76" t="s">
        <v>10676</v>
      </c>
      <c r="E1963" s="76" t="s">
        <v>6136</v>
      </c>
      <c r="F1963" s="76" t="s">
        <v>6137</v>
      </c>
    </row>
    <row r="1964" spans="1:6" ht="63.95" customHeight="1">
      <c r="A1964" s="76" t="s">
        <v>5997</v>
      </c>
      <c r="B1964" s="76" t="s">
        <v>10677</v>
      </c>
      <c r="C1964" s="76" t="s">
        <v>1557</v>
      </c>
      <c r="D1964" s="76" t="s">
        <v>1577</v>
      </c>
      <c r="E1964" s="76" t="s">
        <v>6136</v>
      </c>
      <c r="F1964" s="76" t="s">
        <v>6137</v>
      </c>
    </row>
    <row r="1965" spans="1:6" ht="63.95" customHeight="1">
      <c r="A1965" s="76" t="s">
        <v>5997</v>
      </c>
      <c r="B1965" s="76" t="s">
        <v>10678</v>
      </c>
      <c r="C1965" s="76" t="s">
        <v>1183</v>
      </c>
      <c r="D1965" s="76" t="s">
        <v>1585</v>
      </c>
      <c r="E1965" s="76" t="s">
        <v>6136</v>
      </c>
      <c r="F1965" s="76" t="s">
        <v>6137</v>
      </c>
    </row>
    <row r="1966" spans="1:6" ht="63.95" customHeight="1">
      <c r="A1966" s="76" t="s">
        <v>5997</v>
      </c>
      <c r="B1966" s="76" t="s">
        <v>10679</v>
      </c>
      <c r="C1966" s="76" t="s">
        <v>10680</v>
      </c>
      <c r="D1966" s="76" t="s">
        <v>10681</v>
      </c>
      <c r="E1966" s="76" t="s">
        <v>6136</v>
      </c>
      <c r="F1966" s="76" t="s">
        <v>6137</v>
      </c>
    </row>
    <row r="1967" spans="1:6" ht="63.95" customHeight="1">
      <c r="A1967" s="76" t="s">
        <v>5997</v>
      </c>
      <c r="B1967" s="76" t="s">
        <v>10682</v>
      </c>
      <c r="C1967" s="76" t="s">
        <v>10683</v>
      </c>
      <c r="D1967" s="76" t="s">
        <v>10684</v>
      </c>
      <c r="E1967" s="76" t="s">
        <v>6136</v>
      </c>
      <c r="F1967" s="76" t="s">
        <v>6137</v>
      </c>
    </row>
    <row r="1968" spans="1:6" ht="63.95" customHeight="1">
      <c r="A1968" s="76" t="s">
        <v>5997</v>
      </c>
      <c r="B1968" s="76" t="s">
        <v>10685</v>
      </c>
      <c r="C1968" s="76" t="s">
        <v>1577</v>
      </c>
      <c r="D1968" s="76" t="s">
        <v>1586</v>
      </c>
      <c r="E1968" s="76" t="s">
        <v>6136</v>
      </c>
      <c r="F1968" s="76" t="s">
        <v>6137</v>
      </c>
    </row>
    <row r="1969" spans="1:6" ht="63.95" customHeight="1">
      <c r="A1969" s="76" t="s">
        <v>5997</v>
      </c>
      <c r="B1969" s="76" t="s">
        <v>10686</v>
      </c>
      <c r="C1969" s="76" t="s">
        <v>1585</v>
      </c>
      <c r="D1969" s="76" t="s">
        <v>2868</v>
      </c>
      <c r="E1969" s="76" t="s">
        <v>6136</v>
      </c>
      <c r="F1969" s="76" t="s">
        <v>6137</v>
      </c>
    </row>
    <row r="1970" spans="1:6" ht="63.95" customHeight="1">
      <c r="A1970" s="76" t="s">
        <v>5997</v>
      </c>
      <c r="B1970" s="76" t="s">
        <v>10687</v>
      </c>
      <c r="C1970" s="76" t="s">
        <v>10688</v>
      </c>
      <c r="D1970" s="76" t="s">
        <v>10689</v>
      </c>
      <c r="E1970" s="76" t="s">
        <v>6136</v>
      </c>
      <c r="F1970" s="76" t="s">
        <v>6137</v>
      </c>
    </row>
    <row r="1971" spans="1:6" ht="63.95" customHeight="1">
      <c r="A1971" s="76" t="s">
        <v>5997</v>
      </c>
      <c r="B1971" s="76" t="s">
        <v>10690</v>
      </c>
      <c r="C1971" s="76" t="s">
        <v>10691</v>
      </c>
      <c r="D1971" s="76" t="s">
        <v>10692</v>
      </c>
      <c r="E1971" s="76" t="s">
        <v>6136</v>
      </c>
      <c r="F1971" s="76" t="s">
        <v>6137</v>
      </c>
    </row>
    <row r="1972" spans="1:6" ht="63.95" customHeight="1">
      <c r="A1972" s="76" t="s">
        <v>5997</v>
      </c>
      <c r="B1972" s="76" t="s">
        <v>10693</v>
      </c>
      <c r="C1972" s="76" t="s">
        <v>2868</v>
      </c>
      <c r="D1972" s="76" t="s">
        <v>1365</v>
      </c>
      <c r="E1972" s="76" t="s">
        <v>6136</v>
      </c>
      <c r="F1972" s="76" t="s">
        <v>6137</v>
      </c>
    </row>
    <row r="1973" spans="1:6" ht="63.95" customHeight="1">
      <c r="A1973" s="76" t="s">
        <v>5997</v>
      </c>
      <c r="B1973" s="76" t="s">
        <v>10694</v>
      </c>
      <c r="C1973" s="76" t="s">
        <v>10695</v>
      </c>
      <c r="D1973" s="76" t="s">
        <v>10696</v>
      </c>
      <c r="E1973" s="76" t="s">
        <v>6136</v>
      </c>
      <c r="F1973" s="76" t="s">
        <v>6137</v>
      </c>
    </row>
    <row r="1974" spans="1:6" ht="63.95" customHeight="1">
      <c r="A1974" s="76" t="s">
        <v>5997</v>
      </c>
      <c r="B1974" s="76" t="s">
        <v>10697</v>
      </c>
      <c r="C1974" s="76" t="s">
        <v>10698</v>
      </c>
      <c r="D1974" s="76" t="s">
        <v>10699</v>
      </c>
      <c r="E1974" s="76" t="s">
        <v>6136</v>
      </c>
      <c r="F1974" s="76" t="s">
        <v>6137</v>
      </c>
    </row>
    <row r="1975" spans="1:6" ht="63.95" customHeight="1">
      <c r="A1975" s="76" t="s">
        <v>5997</v>
      </c>
      <c r="B1975" s="76" t="s">
        <v>10700</v>
      </c>
      <c r="C1975" s="76" t="s">
        <v>1365</v>
      </c>
      <c r="D1975" s="76" t="s">
        <v>2870</v>
      </c>
      <c r="E1975" s="76" t="s">
        <v>6136</v>
      </c>
      <c r="F1975" s="76" t="s">
        <v>6137</v>
      </c>
    </row>
    <row r="1976" spans="1:6" ht="63.95" customHeight="1">
      <c r="A1976" s="76" t="s">
        <v>5997</v>
      </c>
      <c r="B1976" s="76" t="s">
        <v>10701</v>
      </c>
      <c r="C1976" s="76" t="s">
        <v>10702</v>
      </c>
      <c r="D1976" s="76" t="s">
        <v>10703</v>
      </c>
      <c r="E1976" s="76" t="s">
        <v>6136</v>
      </c>
      <c r="F1976" s="76" t="s">
        <v>6137</v>
      </c>
    </row>
    <row r="1977" spans="1:6" ht="63.95" customHeight="1">
      <c r="A1977" s="76" t="s">
        <v>5997</v>
      </c>
      <c r="B1977" s="76" t="s">
        <v>10704</v>
      </c>
      <c r="C1977" s="76" t="s">
        <v>10705</v>
      </c>
      <c r="D1977" s="76" t="s">
        <v>10706</v>
      </c>
      <c r="E1977" s="76" t="s">
        <v>6136</v>
      </c>
      <c r="F1977" s="76" t="s">
        <v>6137</v>
      </c>
    </row>
    <row r="1978" spans="1:6" ht="63.95" customHeight="1">
      <c r="A1978" s="76" t="s">
        <v>5997</v>
      </c>
      <c r="B1978" s="76" t="s">
        <v>10707</v>
      </c>
      <c r="C1978" s="76" t="s">
        <v>1586</v>
      </c>
      <c r="D1978" s="76" t="s">
        <v>1600</v>
      </c>
      <c r="E1978" s="76" t="s">
        <v>6136</v>
      </c>
      <c r="F1978" s="76" t="s">
        <v>6137</v>
      </c>
    </row>
    <row r="1979" spans="1:6" ht="63.95" customHeight="1">
      <c r="A1979" s="76" t="s">
        <v>5997</v>
      </c>
      <c r="B1979" s="76" t="s">
        <v>10708</v>
      </c>
      <c r="C1979" s="76" t="s">
        <v>2870</v>
      </c>
      <c r="D1979" s="76" t="s">
        <v>333</v>
      </c>
      <c r="E1979" s="76" t="s">
        <v>6136</v>
      </c>
      <c r="F1979" s="76" t="s">
        <v>6137</v>
      </c>
    </row>
    <row r="1980" spans="1:6" ht="63.95" customHeight="1">
      <c r="A1980" s="76" t="s">
        <v>5997</v>
      </c>
      <c r="B1980" s="76" t="s">
        <v>10709</v>
      </c>
      <c r="C1980" s="76" t="s">
        <v>10710</v>
      </c>
      <c r="D1980" s="76" t="s">
        <v>10711</v>
      </c>
      <c r="E1980" s="76" t="s">
        <v>6136</v>
      </c>
      <c r="F1980" s="76" t="s">
        <v>6137</v>
      </c>
    </row>
    <row r="1981" spans="1:6" ht="63.95" customHeight="1">
      <c r="A1981" s="76" t="s">
        <v>5997</v>
      </c>
      <c r="B1981" s="76" t="s">
        <v>10712</v>
      </c>
      <c r="C1981" s="76" t="s">
        <v>10713</v>
      </c>
      <c r="D1981" s="76" t="s">
        <v>10714</v>
      </c>
      <c r="E1981" s="76" t="s">
        <v>6136</v>
      </c>
      <c r="F1981" s="76" t="s">
        <v>6137</v>
      </c>
    </row>
    <row r="1982" spans="1:6" ht="63.95" customHeight="1">
      <c r="A1982" s="76" t="s">
        <v>5997</v>
      </c>
      <c r="B1982" s="76" t="s">
        <v>10715</v>
      </c>
      <c r="C1982" s="76" t="s">
        <v>1600</v>
      </c>
      <c r="D1982" s="76" t="s">
        <v>1607</v>
      </c>
      <c r="E1982" s="76" t="s">
        <v>6136</v>
      </c>
      <c r="F1982" s="76" t="s">
        <v>6137</v>
      </c>
    </row>
    <row r="1983" spans="1:6" ht="63.95" customHeight="1">
      <c r="A1983" s="76" t="s">
        <v>5997</v>
      </c>
      <c r="B1983" s="76" t="s">
        <v>10716</v>
      </c>
      <c r="C1983" s="76" t="s">
        <v>333</v>
      </c>
      <c r="D1983" s="76" t="s">
        <v>881</v>
      </c>
      <c r="E1983" s="76" t="s">
        <v>6136</v>
      </c>
      <c r="F1983" s="76" t="s">
        <v>6137</v>
      </c>
    </row>
    <row r="1984" spans="1:6" ht="63.95" customHeight="1">
      <c r="A1984" s="76" t="s">
        <v>5997</v>
      </c>
      <c r="B1984" s="76" t="s">
        <v>10717</v>
      </c>
      <c r="C1984" s="76" t="s">
        <v>10718</v>
      </c>
      <c r="D1984" s="76" t="s">
        <v>10719</v>
      </c>
      <c r="E1984" s="76" t="s">
        <v>6136</v>
      </c>
      <c r="F1984" s="76" t="s">
        <v>6137</v>
      </c>
    </row>
    <row r="1985" spans="1:6" ht="63.95" customHeight="1">
      <c r="A1985" s="76" t="s">
        <v>5997</v>
      </c>
      <c r="B1985" s="76" t="s">
        <v>10720</v>
      </c>
      <c r="C1985" s="76" t="s">
        <v>10721</v>
      </c>
      <c r="D1985" s="76" t="s">
        <v>10722</v>
      </c>
      <c r="E1985" s="76" t="s">
        <v>6136</v>
      </c>
      <c r="F1985" s="76" t="s">
        <v>6137</v>
      </c>
    </row>
    <row r="1986" spans="1:6" ht="63.95" customHeight="1">
      <c r="A1986" s="76" t="s">
        <v>5997</v>
      </c>
      <c r="B1986" s="76" t="s">
        <v>10723</v>
      </c>
      <c r="C1986" s="76" t="s">
        <v>881</v>
      </c>
      <c r="D1986" s="76" t="s">
        <v>958</v>
      </c>
      <c r="E1986" s="76" t="s">
        <v>6136</v>
      </c>
      <c r="F1986" s="76" t="s">
        <v>6137</v>
      </c>
    </row>
    <row r="1987" spans="1:6" ht="63.95" customHeight="1">
      <c r="A1987" s="76" t="s">
        <v>5997</v>
      </c>
      <c r="B1987" s="76" t="s">
        <v>10724</v>
      </c>
      <c r="C1987" s="76" t="s">
        <v>10725</v>
      </c>
      <c r="D1987" s="76" t="s">
        <v>10726</v>
      </c>
      <c r="E1987" s="76" t="s">
        <v>6136</v>
      </c>
      <c r="F1987" s="76" t="s">
        <v>6137</v>
      </c>
    </row>
    <row r="1988" spans="1:6" ht="63.95" customHeight="1">
      <c r="A1988" s="76" t="s">
        <v>5997</v>
      </c>
      <c r="B1988" s="76" t="s">
        <v>10727</v>
      </c>
      <c r="C1988" s="76" t="s">
        <v>10728</v>
      </c>
      <c r="D1988" s="76" t="s">
        <v>10729</v>
      </c>
      <c r="E1988" s="76" t="s">
        <v>6136</v>
      </c>
      <c r="F1988" s="76" t="s">
        <v>6137</v>
      </c>
    </row>
    <row r="1989" spans="1:6" ht="63.95" customHeight="1">
      <c r="A1989" s="76" t="s">
        <v>5997</v>
      </c>
      <c r="B1989" s="76" t="s">
        <v>10730</v>
      </c>
      <c r="C1989" s="76" t="s">
        <v>1607</v>
      </c>
      <c r="D1989" s="76" t="s">
        <v>1625</v>
      </c>
      <c r="E1989" s="76" t="s">
        <v>6136</v>
      </c>
      <c r="F1989" s="76" t="s">
        <v>6137</v>
      </c>
    </row>
    <row r="1990" spans="1:6" ht="63.95" customHeight="1">
      <c r="A1990" s="76" t="s">
        <v>5997</v>
      </c>
      <c r="B1990" s="76" t="s">
        <v>10731</v>
      </c>
      <c r="C1990" s="76" t="s">
        <v>958</v>
      </c>
      <c r="D1990" s="76" t="s">
        <v>1632</v>
      </c>
      <c r="E1990" s="76" t="s">
        <v>6136</v>
      </c>
      <c r="F1990" s="76" t="s">
        <v>6137</v>
      </c>
    </row>
    <row r="1991" spans="1:6" ht="63.95" customHeight="1">
      <c r="A1991" s="76" t="s">
        <v>5997</v>
      </c>
      <c r="B1991" s="76" t="s">
        <v>10732</v>
      </c>
      <c r="C1991" s="76" t="s">
        <v>10733</v>
      </c>
      <c r="D1991" s="76" t="s">
        <v>10734</v>
      </c>
      <c r="E1991" s="76" t="s">
        <v>6136</v>
      </c>
      <c r="F1991" s="76" t="s">
        <v>6137</v>
      </c>
    </row>
    <row r="1992" spans="1:6" ht="63.95" customHeight="1">
      <c r="A1992" s="76" t="s">
        <v>5997</v>
      </c>
      <c r="B1992" s="76" t="s">
        <v>10735</v>
      </c>
      <c r="C1992" s="76" t="s">
        <v>10736</v>
      </c>
      <c r="D1992" s="76" t="s">
        <v>10737</v>
      </c>
      <c r="E1992" s="76" t="s">
        <v>6136</v>
      </c>
      <c r="F1992" s="76" t="s">
        <v>6137</v>
      </c>
    </row>
    <row r="1993" spans="1:6" ht="63.95" customHeight="1">
      <c r="A1993" s="76" t="s">
        <v>5997</v>
      </c>
      <c r="B1993" s="76" t="s">
        <v>10738</v>
      </c>
      <c r="C1993" s="76" t="s">
        <v>1625</v>
      </c>
      <c r="D1993" s="76" t="s">
        <v>1633</v>
      </c>
      <c r="E1993" s="76" t="s">
        <v>6136</v>
      </c>
      <c r="F1993" s="76" t="s">
        <v>6137</v>
      </c>
    </row>
    <row r="1994" spans="1:6" ht="63.95" customHeight="1">
      <c r="A1994" s="76" t="s">
        <v>5997</v>
      </c>
      <c r="B1994" s="76" t="s">
        <v>10739</v>
      </c>
      <c r="C1994" s="76" t="s">
        <v>1632</v>
      </c>
      <c r="D1994" s="76" t="s">
        <v>345</v>
      </c>
      <c r="E1994" s="76" t="s">
        <v>6136</v>
      </c>
      <c r="F1994" s="76" t="s">
        <v>6137</v>
      </c>
    </row>
    <row r="1995" spans="1:6" ht="63.95" customHeight="1">
      <c r="A1995" s="76" t="s">
        <v>5997</v>
      </c>
      <c r="B1995" s="76" t="s">
        <v>10740</v>
      </c>
      <c r="C1995" s="76" t="s">
        <v>10741</v>
      </c>
      <c r="D1995" s="76" t="s">
        <v>10742</v>
      </c>
      <c r="E1995" s="76" t="s">
        <v>6136</v>
      </c>
      <c r="F1995" s="76" t="s">
        <v>6137</v>
      </c>
    </row>
    <row r="1996" spans="1:6" ht="63.95" customHeight="1">
      <c r="A1996" s="76" t="s">
        <v>5997</v>
      </c>
      <c r="B1996" s="76" t="s">
        <v>10743</v>
      </c>
      <c r="C1996" s="76" t="s">
        <v>10744</v>
      </c>
      <c r="D1996" s="76" t="s">
        <v>10745</v>
      </c>
      <c r="E1996" s="76" t="s">
        <v>6136</v>
      </c>
      <c r="F1996" s="76" t="s">
        <v>6137</v>
      </c>
    </row>
    <row r="1997" spans="1:6" ht="63.95" customHeight="1">
      <c r="A1997" s="76" t="s">
        <v>5997</v>
      </c>
      <c r="B1997" s="76" t="s">
        <v>10746</v>
      </c>
      <c r="C1997" s="76" t="s">
        <v>1633</v>
      </c>
      <c r="D1997" s="76" t="s">
        <v>1655</v>
      </c>
      <c r="E1997" s="76" t="s">
        <v>6136</v>
      </c>
      <c r="F1997" s="76" t="s">
        <v>6137</v>
      </c>
    </row>
    <row r="1998" spans="1:6" ht="63.95" customHeight="1">
      <c r="A1998" s="76" t="s">
        <v>5997</v>
      </c>
      <c r="B1998" s="76" t="s">
        <v>10747</v>
      </c>
      <c r="C1998" s="76" t="s">
        <v>345</v>
      </c>
      <c r="D1998" s="76" t="s">
        <v>872</v>
      </c>
      <c r="E1998" s="76" t="s">
        <v>6136</v>
      </c>
      <c r="F1998" s="76" t="s">
        <v>6137</v>
      </c>
    </row>
    <row r="1999" spans="1:6" ht="63.95" customHeight="1">
      <c r="A1999" s="76" t="s">
        <v>5997</v>
      </c>
      <c r="B1999" s="76" t="s">
        <v>10748</v>
      </c>
      <c r="C1999" s="76" t="s">
        <v>10749</v>
      </c>
      <c r="D1999" s="76" t="s">
        <v>10750</v>
      </c>
      <c r="E1999" s="76" t="s">
        <v>6136</v>
      </c>
      <c r="F1999" s="76" t="s">
        <v>6137</v>
      </c>
    </row>
    <row r="2000" spans="1:6" ht="63.95" customHeight="1">
      <c r="A2000" s="76" t="s">
        <v>5997</v>
      </c>
      <c r="B2000" s="76" t="s">
        <v>10751</v>
      </c>
      <c r="C2000" s="76" t="s">
        <v>10752</v>
      </c>
      <c r="D2000" s="76" t="s">
        <v>10753</v>
      </c>
      <c r="E2000" s="76" t="s">
        <v>6136</v>
      </c>
      <c r="F2000" s="76" t="s">
        <v>6137</v>
      </c>
    </row>
    <row r="2001" spans="1:6" ht="63.95" customHeight="1">
      <c r="A2001" s="76" t="s">
        <v>5997</v>
      </c>
      <c r="B2001" s="76" t="s">
        <v>10754</v>
      </c>
      <c r="C2001" s="76" t="s">
        <v>1655</v>
      </c>
      <c r="D2001" s="76" t="s">
        <v>912</v>
      </c>
      <c r="E2001" s="76" t="s">
        <v>6136</v>
      </c>
      <c r="F2001" s="76" t="s">
        <v>6137</v>
      </c>
    </row>
    <row r="2002" spans="1:6" ht="63.95" customHeight="1">
      <c r="A2002" s="76" t="s">
        <v>5997</v>
      </c>
      <c r="B2002" s="76" t="s">
        <v>10755</v>
      </c>
      <c r="C2002" s="76" t="s">
        <v>872</v>
      </c>
      <c r="D2002" s="76" t="s">
        <v>921</v>
      </c>
      <c r="E2002" s="76" t="s">
        <v>6136</v>
      </c>
      <c r="F2002" s="76" t="s">
        <v>6137</v>
      </c>
    </row>
    <row r="2003" spans="1:6" ht="63.95" customHeight="1">
      <c r="A2003" s="76" t="s">
        <v>5997</v>
      </c>
      <c r="B2003" s="76" t="s">
        <v>10756</v>
      </c>
      <c r="C2003" s="76" t="s">
        <v>10757</v>
      </c>
      <c r="D2003" s="76" t="s">
        <v>10758</v>
      </c>
      <c r="E2003" s="76" t="s">
        <v>6136</v>
      </c>
      <c r="F2003" s="76" t="s">
        <v>6137</v>
      </c>
    </row>
    <row r="2004" spans="1:6" ht="63.95" customHeight="1">
      <c r="A2004" s="76" t="s">
        <v>5997</v>
      </c>
      <c r="B2004" s="76" t="s">
        <v>10759</v>
      </c>
      <c r="C2004" s="76" t="s">
        <v>10760</v>
      </c>
      <c r="D2004" s="76" t="s">
        <v>10761</v>
      </c>
      <c r="E2004" s="76" t="s">
        <v>6136</v>
      </c>
      <c r="F2004" s="76" t="s">
        <v>6137</v>
      </c>
    </row>
    <row r="2005" spans="1:6" ht="63.95" customHeight="1">
      <c r="A2005" s="76" t="s">
        <v>5997</v>
      </c>
      <c r="B2005" s="76" t="s">
        <v>10762</v>
      </c>
      <c r="C2005" s="76" t="s">
        <v>921</v>
      </c>
      <c r="D2005" s="76" t="s">
        <v>872</v>
      </c>
      <c r="E2005" s="76" t="s">
        <v>6136</v>
      </c>
      <c r="F2005" s="76" t="s">
        <v>6137</v>
      </c>
    </row>
    <row r="2006" spans="1:6" ht="63.95" customHeight="1">
      <c r="A2006" s="76" t="s">
        <v>5997</v>
      </c>
      <c r="B2006" s="76" t="s">
        <v>10763</v>
      </c>
      <c r="C2006" s="76" t="s">
        <v>10764</v>
      </c>
      <c r="D2006" s="76" t="s">
        <v>10765</v>
      </c>
      <c r="E2006" s="76" t="s">
        <v>6136</v>
      </c>
      <c r="F2006" s="76" t="s">
        <v>6137</v>
      </c>
    </row>
    <row r="2007" spans="1:6" ht="63.95" customHeight="1">
      <c r="A2007" s="76" t="s">
        <v>5997</v>
      </c>
      <c r="B2007" s="76" t="s">
        <v>10766</v>
      </c>
      <c r="C2007" s="76" t="s">
        <v>10767</v>
      </c>
      <c r="D2007" s="76" t="s">
        <v>10768</v>
      </c>
      <c r="E2007" s="76" t="s">
        <v>6136</v>
      </c>
      <c r="F2007" s="76" t="s">
        <v>6137</v>
      </c>
    </row>
    <row r="2008" spans="1:6" ht="63.95" customHeight="1">
      <c r="A2008" s="76" t="s">
        <v>5997</v>
      </c>
      <c r="B2008" s="76" t="s">
        <v>10769</v>
      </c>
      <c r="C2008" s="76" t="s">
        <v>912</v>
      </c>
      <c r="D2008" s="76" t="s">
        <v>1669</v>
      </c>
      <c r="E2008" s="76" t="s">
        <v>6136</v>
      </c>
      <c r="F2008" s="76" t="s">
        <v>6137</v>
      </c>
    </row>
    <row r="2009" spans="1:6" ht="63.95" customHeight="1">
      <c r="A2009" s="76" t="s">
        <v>5997</v>
      </c>
      <c r="B2009" s="76" t="s">
        <v>10770</v>
      </c>
      <c r="C2009" s="76" t="s">
        <v>872</v>
      </c>
      <c r="D2009" s="76" t="s">
        <v>905</v>
      </c>
      <c r="E2009" s="76" t="s">
        <v>6136</v>
      </c>
      <c r="F2009" s="76" t="s">
        <v>6137</v>
      </c>
    </row>
    <row r="2010" spans="1:6" ht="63.95" customHeight="1">
      <c r="A2010" s="76" t="s">
        <v>5997</v>
      </c>
      <c r="B2010" s="76" t="s">
        <v>10771</v>
      </c>
      <c r="C2010" s="76" t="s">
        <v>10772</v>
      </c>
      <c r="D2010" s="76" t="s">
        <v>10773</v>
      </c>
      <c r="E2010" s="76" t="s">
        <v>6136</v>
      </c>
      <c r="F2010" s="76" t="s">
        <v>6137</v>
      </c>
    </row>
    <row r="2011" spans="1:6" ht="63.95" customHeight="1">
      <c r="A2011" s="76" t="s">
        <v>5997</v>
      </c>
      <c r="B2011" s="76" t="s">
        <v>10774</v>
      </c>
      <c r="C2011" s="76" t="s">
        <v>10775</v>
      </c>
      <c r="D2011" s="76" t="s">
        <v>10776</v>
      </c>
      <c r="E2011" s="76" t="s">
        <v>6136</v>
      </c>
      <c r="F2011" s="76" t="s">
        <v>6137</v>
      </c>
    </row>
    <row r="2012" spans="1:6" ht="63.95" customHeight="1">
      <c r="A2012" s="76" t="s">
        <v>5997</v>
      </c>
      <c r="B2012" s="76" t="s">
        <v>10777</v>
      </c>
      <c r="C2012" s="76" t="s">
        <v>905</v>
      </c>
      <c r="D2012" s="76" t="s">
        <v>333</v>
      </c>
      <c r="E2012" s="76" t="s">
        <v>6136</v>
      </c>
      <c r="F2012" s="76" t="s">
        <v>6137</v>
      </c>
    </row>
    <row r="2013" spans="1:6" ht="63.95" customHeight="1">
      <c r="A2013" s="76" t="s">
        <v>5997</v>
      </c>
      <c r="B2013" s="76" t="s">
        <v>10778</v>
      </c>
      <c r="C2013" s="76" t="s">
        <v>10779</v>
      </c>
      <c r="D2013" s="76" t="s">
        <v>10780</v>
      </c>
      <c r="E2013" s="76" t="s">
        <v>6136</v>
      </c>
      <c r="F2013" s="76" t="s">
        <v>6137</v>
      </c>
    </row>
    <row r="2014" spans="1:6" ht="63.95" customHeight="1">
      <c r="A2014" s="76" t="s">
        <v>5997</v>
      </c>
      <c r="B2014" s="76" t="s">
        <v>10781</v>
      </c>
      <c r="C2014" s="76" t="s">
        <v>10782</v>
      </c>
      <c r="D2014" s="76" t="s">
        <v>10783</v>
      </c>
      <c r="E2014" s="76" t="s">
        <v>6136</v>
      </c>
      <c r="F2014" s="76" t="s">
        <v>6137</v>
      </c>
    </row>
    <row r="2015" spans="1:6" ht="63.95" customHeight="1">
      <c r="A2015" s="76" t="s">
        <v>5997</v>
      </c>
      <c r="B2015" s="76" t="s">
        <v>10784</v>
      </c>
      <c r="C2015" s="76" t="s">
        <v>1669</v>
      </c>
      <c r="D2015" s="76" t="s">
        <v>1562</v>
      </c>
      <c r="E2015" s="76" t="s">
        <v>6136</v>
      </c>
      <c r="F2015" s="76" t="s">
        <v>6137</v>
      </c>
    </row>
    <row r="2016" spans="1:6" ht="63.95" customHeight="1">
      <c r="A2016" s="76" t="s">
        <v>5997</v>
      </c>
      <c r="B2016" s="76" t="s">
        <v>10785</v>
      </c>
      <c r="C2016" s="76" t="s">
        <v>333</v>
      </c>
      <c r="D2016" s="76" t="s">
        <v>591</v>
      </c>
      <c r="E2016" s="76" t="s">
        <v>6136</v>
      </c>
      <c r="F2016" s="76" t="s">
        <v>6137</v>
      </c>
    </row>
    <row r="2017" spans="1:6" ht="63.95" customHeight="1">
      <c r="A2017" s="76" t="s">
        <v>5997</v>
      </c>
      <c r="B2017" s="76" t="s">
        <v>10786</v>
      </c>
      <c r="C2017" s="76" t="s">
        <v>10787</v>
      </c>
      <c r="D2017" s="76" t="s">
        <v>10788</v>
      </c>
      <c r="E2017" s="76" t="s">
        <v>6136</v>
      </c>
      <c r="F2017" s="76" t="s">
        <v>6137</v>
      </c>
    </row>
    <row r="2018" spans="1:6" ht="63.95" customHeight="1">
      <c r="A2018" s="76" t="s">
        <v>5997</v>
      </c>
      <c r="B2018" s="76" t="s">
        <v>10789</v>
      </c>
      <c r="C2018" s="76" t="s">
        <v>10790</v>
      </c>
      <c r="D2018" s="76" t="s">
        <v>10791</v>
      </c>
      <c r="E2018" s="76" t="s">
        <v>6136</v>
      </c>
      <c r="F2018" s="76" t="s">
        <v>6137</v>
      </c>
    </row>
    <row r="2019" spans="1:6" ht="63.95" customHeight="1">
      <c r="A2019" s="76" t="s">
        <v>5997</v>
      </c>
      <c r="B2019" s="76" t="s">
        <v>10792</v>
      </c>
      <c r="C2019" s="76" t="s">
        <v>1562</v>
      </c>
      <c r="D2019" s="76" t="s">
        <v>1685</v>
      </c>
      <c r="E2019" s="76" t="s">
        <v>6136</v>
      </c>
      <c r="F2019" s="76" t="s">
        <v>6137</v>
      </c>
    </row>
    <row r="2020" spans="1:6" ht="63.95" customHeight="1">
      <c r="A2020" s="76" t="s">
        <v>5997</v>
      </c>
      <c r="B2020" s="76" t="s">
        <v>10793</v>
      </c>
      <c r="C2020" s="76" t="s">
        <v>591</v>
      </c>
      <c r="D2020" s="76" t="s">
        <v>1583</v>
      </c>
      <c r="E2020" s="76" t="s">
        <v>6136</v>
      </c>
      <c r="F2020" s="76" t="s">
        <v>6137</v>
      </c>
    </row>
    <row r="2021" spans="1:6" ht="63.95" customHeight="1">
      <c r="A2021" s="76" t="s">
        <v>5997</v>
      </c>
      <c r="B2021" s="76" t="s">
        <v>10794</v>
      </c>
      <c r="C2021" s="76" t="s">
        <v>10795</v>
      </c>
      <c r="D2021" s="76" t="s">
        <v>10796</v>
      </c>
      <c r="E2021" s="76" t="s">
        <v>6136</v>
      </c>
      <c r="F2021" s="76" t="s">
        <v>6137</v>
      </c>
    </row>
    <row r="2022" spans="1:6" ht="63.95" customHeight="1">
      <c r="A2022" s="76" t="s">
        <v>5997</v>
      </c>
      <c r="B2022" s="76" t="s">
        <v>10797</v>
      </c>
      <c r="C2022" s="76" t="s">
        <v>10798</v>
      </c>
      <c r="D2022" s="76" t="s">
        <v>10799</v>
      </c>
      <c r="E2022" s="76" t="s">
        <v>6136</v>
      </c>
      <c r="F2022" s="76" t="s">
        <v>6137</v>
      </c>
    </row>
    <row r="2023" spans="1:6" ht="63.95" customHeight="1">
      <c r="A2023" s="76" t="s">
        <v>5997</v>
      </c>
      <c r="B2023" s="76" t="s">
        <v>10800</v>
      </c>
      <c r="C2023" s="76" t="s">
        <v>1583</v>
      </c>
      <c r="D2023" s="76" t="s">
        <v>1585</v>
      </c>
      <c r="E2023" s="76" t="s">
        <v>6136</v>
      </c>
      <c r="F2023" s="76" t="s">
        <v>6137</v>
      </c>
    </row>
    <row r="2024" spans="1:6" ht="63.95" customHeight="1">
      <c r="A2024" s="76" t="s">
        <v>5997</v>
      </c>
      <c r="B2024" s="76" t="s">
        <v>10801</v>
      </c>
      <c r="C2024" s="76" t="s">
        <v>10802</v>
      </c>
      <c r="D2024" s="76" t="s">
        <v>10803</v>
      </c>
      <c r="E2024" s="76" t="s">
        <v>6136</v>
      </c>
      <c r="F2024" s="76" t="s">
        <v>6137</v>
      </c>
    </row>
    <row r="2025" spans="1:6" ht="63.95" customHeight="1">
      <c r="A2025" s="76" t="s">
        <v>5997</v>
      </c>
      <c r="B2025" s="76" t="s">
        <v>10804</v>
      </c>
      <c r="C2025" s="76" t="s">
        <v>10805</v>
      </c>
      <c r="D2025" s="76" t="s">
        <v>10806</v>
      </c>
      <c r="E2025" s="76" t="s">
        <v>6136</v>
      </c>
      <c r="F2025" s="76" t="s">
        <v>6137</v>
      </c>
    </row>
    <row r="2026" spans="1:6" ht="63.95" customHeight="1">
      <c r="A2026" s="76" t="s">
        <v>5997</v>
      </c>
      <c r="B2026" s="76" t="s">
        <v>10807</v>
      </c>
      <c r="C2026" s="76" t="s">
        <v>1685</v>
      </c>
      <c r="D2026" s="76" t="s">
        <v>1683</v>
      </c>
      <c r="E2026" s="76" t="s">
        <v>6136</v>
      </c>
      <c r="F2026" s="76" t="s">
        <v>6137</v>
      </c>
    </row>
    <row r="2027" spans="1:6" ht="63.95" customHeight="1">
      <c r="A2027" s="76" t="s">
        <v>5997</v>
      </c>
      <c r="B2027" s="76" t="s">
        <v>10808</v>
      </c>
      <c r="C2027" s="76" t="s">
        <v>1585</v>
      </c>
      <c r="D2027" s="76" t="s">
        <v>566</v>
      </c>
      <c r="E2027" s="76" t="s">
        <v>6136</v>
      </c>
      <c r="F2027" s="76" t="s">
        <v>6137</v>
      </c>
    </row>
    <row r="2028" spans="1:6" ht="63.95" customHeight="1">
      <c r="A2028" s="76" t="s">
        <v>5997</v>
      </c>
      <c r="B2028" s="76" t="s">
        <v>10809</v>
      </c>
      <c r="C2028" s="76" t="s">
        <v>10810</v>
      </c>
      <c r="D2028" s="76" t="s">
        <v>10811</v>
      </c>
      <c r="E2028" s="76" t="s">
        <v>6136</v>
      </c>
      <c r="F2028" s="76" t="s">
        <v>6137</v>
      </c>
    </row>
    <row r="2029" spans="1:6" ht="63.95" customHeight="1">
      <c r="A2029" s="76" t="s">
        <v>5997</v>
      </c>
      <c r="B2029" s="76" t="s">
        <v>10812</v>
      </c>
      <c r="C2029" s="76" t="s">
        <v>10813</v>
      </c>
      <c r="D2029" s="76" t="s">
        <v>10814</v>
      </c>
      <c r="E2029" s="76" t="s">
        <v>6136</v>
      </c>
      <c r="F2029" s="76" t="s">
        <v>6137</v>
      </c>
    </row>
    <row r="2030" spans="1:6" ht="63.95" customHeight="1">
      <c r="A2030" s="76" t="s">
        <v>5997</v>
      </c>
      <c r="B2030" s="76" t="s">
        <v>10815</v>
      </c>
      <c r="C2030" s="76" t="s">
        <v>566</v>
      </c>
      <c r="D2030" s="76" t="s">
        <v>872</v>
      </c>
      <c r="E2030" s="76" t="s">
        <v>6136</v>
      </c>
      <c r="F2030" s="76" t="s">
        <v>6137</v>
      </c>
    </row>
    <row r="2031" spans="1:6" ht="63.95" customHeight="1">
      <c r="A2031" s="76" t="s">
        <v>5997</v>
      </c>
      <c r="B2031" s="76" t="s">
        <v>10816</v>
      </c>
      <c r="C2031" s="76" t="s">
        <v>10817</v>
      </c>
      <c r="D2031" s="76" t="s">
        <v>10818</v>
      </c>
      <c r="E2031" s="76" t="s">
        <v>6136</v>
      </c>
      <c r="F2031" s="76" t="s">
        <v>6137</v>
      </c>
    </row>
    <row r="2032" spans="1:6" ht="63.95" customHeight="1">
      <c r="A2032" s="76" t="s">
        <v>5997</v>
      </c>
      <c r="B2032" s="76" t="s">
        <v>10819</v>
      </c>
      <c r="C2032" s="76" t="s">
        <v>10820</v>
      </c>
      <c r="D2032" s="76" t="s">
        <v>10821</v>
      </c>
      <c r="E2032" s="76" t="s">
        <v>6136</v>
      </c>
      <c r="F2032" s="76" t="s">
        <v>6137</v>
      </c>
    </row>
    <row r="2033" spans="1:6" ht="63.95" customHeight="1">
      <c r="A2033" s="76" t="s">
        <v>5997</v>
      </c>
      <c r="B2033" s="76" t="s">
        <v>10822</v>
      </c>
      <c r="C2033" s="76" t="s">
        <v>872</v>
      </c>
      <c r="D2033" s="76" t="s">
        <v>981</v>
      </c>
      <c r="E2033" s="76" t="s">
        <v>6136</v>
      </c>
      <c r="F2033" s="76" t="s">
        <v>6137</v>
      </c>
    </row>
    <row r="2034" spans="1:6" ht="63.95" customHeight="1">
      <c r="A2034" s="76" t="s">
        <v>5997</v>
      </c>
      <c r="B2034" s="76" t="s">
        <v>10823</v>
      </c>
      <c r="C2034" s="76" t="s">
        <v>10824</v>
      </c>
      <c r="D2034" s="76" t="s">
        <v>10825</v>
      </c>
      <c r="E2034" s="76" t="s">
        <v>6136</v>
      </c>
      <c r="F2034" s="76" t="s">
        <v>6137</v>
      </c>
    </row>
    <row r="2035" spans="1:6" ht="63.95" customHeight="1">
      <c r="A2035" s="76" t="s">
        <v>5997</v>
      </c>
      <c r="B2035" s="76" t="s">
        <v>10826</v>
      </c>
      <c r="C2035" s="76" t="s">
        <v>10827</v>
      </c>
      <c r="D2035" s="76" t="s">
        <v>10828</v>
      </c>
      <c r="E2035" s="76" t="s">
        <v>6136</v>
      </c>
      <c r="F2035" s="76" t="s">
        <v>6137</v>
      </c>
    </row>
    <row r="2036" spans="1:6" ht="63.95" customHeight="1">
      <c r="A2036" s="76" t="s">
        <v>5997</v>
      </c>
      <c r="B2036" s="76" t="s">
        <v>10829</v>
      </c>
      <c r="C2036" s="76" t="s">
        <v>1683</v>
      </c>
      <c r="D2036" s="76" t="s">
        <v>1710</v>
      </c>
      <c r="E2036" s="76" t="s">
        <v>6136</v>
      </c>
      <c r="F2036" s="76" t="s">
        <v>6137</v>
      </c>
    </row>
    <row r="2037" spans="1:6" ht="63.95" customHeight="1">
      <c r="A2037" s="76" t="s">
        <v>5997</v>
      </c>
      <c r="B2037" s="76" t="s">
        <v>10830</v>
      </c>
      <c r="C2037" s="76" t="s">
        <v>981</v>
      </c>
      <c r="D2037" s="76" t="s">
        <v>872</v>
      </c>
      <c r="E2037" s="76" t="s">
        <v>6136</v>
      </c>
      <c r="F2037" s="76" t="s">
        <v>6137</v>
      </c>
    </row>
    <row r="2038" spans="1:6" ht="63.95" customHeight="1">
      <c r="A2038" s="76" t="s">
        <v>5997</v>
      </c>
      <c r="B2038" s="76" t="s">
        <v>10831</v>
      </c>
      <c r="C2038" s="76" t="s">
        <v>10832</v>
      </c>
      <c r="D2038" s="76" t="s">
        <v>10833</v>
      </c>
      <c r="E2038" s="76" t="s">
        <v>6136</v>
      </c>
      <c r="F2038" s="76" t="s">
        <v>6137</v>
      </c>
    </row>
    <row r="2039" spans="1:6" ht="63.95" customHeight="1">
      <c r="A2039" s="76" t="s">
        <v>5997</v>
      </c>
      <c r="B2039" s="76" t="s">
        <v>10834</v>
      </c>
      <c r="C2039" s="76" t="s">
        <v>10835</v>
      </c>
      <c r="D2039" s="76" t="s">
        <v>10836</v>
      </c>
      <c r="E2039" s="76" t="s">
        <v>6136</v>
      </c>
      <c r="F2039" s="76" t="s">
        <v>6137</v>
      </c>
    </row>
    <row r="2040" spans="1:6" ht="63.95" customHeight="1">
      <c r="A2040" s="76" t="s">
        <v>5997</v>
      </c>
      <c r="B2040" s="76" t="s">
        <v>10837</v>
      </c>
      <c r="C2040" s="76" t="s">
        <v>1710</v>
      </c>
      <c r="D2040" s="76" t="s">
        <v>1726</v>
      </c>
      <c r="E2040" s="76" t="s">
        <v>6136</v>
      </c>
      <c r="F2040" s="76" t="s">
        <v>6137</v>
      </c>
    </row>
    <row r="2041" spans="1:6" ht="63.95" customHeight="1">
      <c r="A2041" s="76" t="s">
        <v>5997</v>
      </c>
      <c r="B2041" s="76" t="s">
        <v>10838</v>
      </c>
      <c r="C2041" s="76" t="s">
        <v>872</v>
      </c>
      <c r="D2041" s="76" t="s">
        <v>1736</v>
      </c>
      <c r="E2041" s="76" t="s">
        <v>6136</v>
      </c>
      <c r="F2041" s="76" t="s">
        <v>6137</v>
      </c>
    </row>
    <row r="2042" spans="1:6" ht="63.95" customHeight="1">
      <c r="A2042" s="76" t="s">
        <v>5997</v>
      </c>
      <c r="B2042" s="76" t="s">
        <v>10839</v>
      </c>
      <c r="C2042" s="76" t="s">
        <v>10840</v>
      </c>
      <c r="D2042" s="76" t="s">
        <v>10841</v>
      </c>
      <c r="E2042" s="76" t="s">
        <v>6136</v>
      </c>
      <c r="F2042" s="76" t="s">
        <v>6137</v>
      </c>
    </row>
    <row r="2043" spans="1:6" ht="63.95" customHeight="1">
      <c r="A2043" s="76" t="s">
        <v>5997</v>
      </c>
      <c r="B2043" s="76" t="s">
        <v>10842</v>
      </c>
      <c r="C2043" s="76" t="s">
        <v>10843</v>
      </c>
      <c r="D2043" s="76" t="s">
        <v>10844</v>
      </c>
      <c r="E2043" s="76" t="s">
        <v>6136</v>
      </c>
      <c r="F2043" s="76" t="s">
        <v>6137</v>
      </c>
    </row>
    <row r="2044" spans="1:6" ht="63.95" customHeight="1">
      <c r="A2044" s="76" t="s">
        <v>5997</v>
      </c>
      <c r="B2044" s="76" t="s">
        <v>10845</v>
      </c>
      <c r="C2044" s="76" t="s">
        <v>1726</v>
      </c>
      <c r="D2044" s="76" t="s">
        <v>1743</v>
      </c>
      <c r="E2044" s="76" t="s">
        <v>6136</v>
      </c>
      <c r="F2044" s="76" t="s">
        <v>6137</v>
      </c>
    </row>
    <row r="2045" spans="1:6" ht="63.95" customHeight="1">
      <c r="A2045" s="76" t="s">
        <v>5997</v>
      </c>
      <c r="B2045" s="76" t="s">
        <v>10846</v>
      </c>
      <c r="C2045" s="76" t="s">
        <v>1736</v>
      </c>
      <c r="D2045" s="76" t="s">
        <v>967</v>
      </c>
      <c r="E2045" s="76" t="s">
        <v>6136</v>
      </c>
      <c r="F2045" s="76" t="s">
        <v>6137</v>
      </c>
    </row>
    <row r="2046" spans="1:6" ht="63.95" customHeight="1">
      <c r="A2046" s="76" t="s">
        <v>5997</v>
      </c>
      <c r="B2046" s="76" t="s">
        <v>10847</v>
      </c>
      <c r="C2046" s="76" t="s">
        <v>10848</v>
      </c>
      <c r="D2046" s="76" t="s">
        <v>10849</v>
      </c>
      <c r="E2046" s="76" t="s">
        <v>6136</v>
      </c>
      <c r="F2046" s="76" t="s">
        <v>6137</v>
      </c>
    </row>
    <row r="2047" spans="1:6" ht="63.95" customHeight="1">
      <c r="A2047" s="76" t="s">
        <v>5997</v>
      </c>
      <c r="B2047" s="76" t="s">
        <v>10850</v>
      </c>
      <c r="C2047" s="76" t="s">
        <v>10851</v>
      </c>
      <c r="D2047" s="76" t="s">
        <v>10852</v>
      </c>
      <c r="E2047" s="76" t="s">
        <v>6136</v>
      </c>
      <c r="F2047" s="76" t="s">
        <v>6137</v>
      </c>
    </row>
    <row r="2048" spans="1:6" ht="63.95" customHeight="1">
      <c r="A2048" s="76" t="s">
        <v>5997</v>
      </c>
      <c r="B2048" s="76" t="s">
        <v>10853</v>
      </c>
      <c r="C2048" s="76" t="s">
        <v>1743</v>
      </c>
      <c r="D2048" s="76" t="s">
        <v>1757</v>
      </c>
      <c r="E2048" s="76" t="s">
        <v>6136</v>
      </c>
      <c r="F2048" s="76" t="s">
        <v>6137</v>
      </c>
    </row>
    <row r="2049" spans="1:6" ht="63.95" customHeight="1">
      <c r="A2049" s="76" t="s">
        <v>5997</v>
      </c>
      <c r="B2049" s="76" t="s">
        <v>10854</v>
      </c>
      <c r="C2049" s="76" t="s">
        <v>967</v>
      </c>
      <c r="D2049" s="76" t="s">
        <v>333</v>
      </c>
      <c r="E2049" s="76" t="s">
        <v>6136</v>
      </c>
      <c r="F2049" s="76" t="s">
        <v>6137</v>
      </c>
    </row>
    <row r="2050" spans="1:6" ht="63.95" customHeight="1">
      <c r="A2050" s="76" t="s">
        <v>5997</v>
      </c>
      <c r="B2050" s="76" t="s">
        <v>10855</v>
      </c>
      <c r="C2050" s="76" t="s">
        <v>10856</v>
      </c>
      <c r="D2050" s="76" t="s">
        <v>10857</v>
      </c>
      <c r="E2050" s="76" t="s">
        <v>6136</v>
      </c>
      <c r="F2050" s="76" t="s">
        <v>6137</v>
      </c>
    </row>
    <row r="2051" spans="1:6" ht="63.95" customHeight="1">
      <c r="A2051" s="76" t="s">
        <v>5997</v>
      </c>
      <c r="B2051" s="76" t="s">
        <v>10858</v>
      </c>
      <c r="C2051" s="76" t="s">
        <v>10859</v>
      </c>
      <c r="D2051" s="76" t="s">
        <v>10860</v>
      </c>
      <c r="E2051" s="76" t="s">
        <v>6136</v>
      </c>
      <c r="F2051" s="76" t="s">
        <v>6137</v>
      </c>
    </row>
    <row r="2052" spans="1:6" ht="63.95" customHeight="1">
      <c r="A2052" s="76" t="s">
        <v>5997</v>
      </c>
      <c r="B2052" s="76" t="s">
        <v>10861</v>
      </c>
      <c r="C2052" s="76" t="s">
        <v>333</v>
      </c>
      <c r="D2052" s="76" t="s">
        <v>958</v>
      </c>
      <c r="E2052" s="76" t="s">
        <v>6136</v>
      </c>
      <c r="F2052" s="76" t="s">
        <v>6137</v>
      </c>
    </row>
    <row r="2053" spans="1:6" ht="63.95" customHeight="1">
      <c r="A2053" s="76" t="s">
        <v>5997</v>
      </c>
      <c r="B2053" s="76" t="s">
        <v>10862</v>
      </c>
      <c r="C2053" s="76" t="s">
        <v>10863</v>
      </c>
      <c r="D2053" s="76" t="s">
        <v>10864</v>
      </c>
      <c r="E2053" s="76" t="s">
        <v>6136</v>
      </c>
      <c r="F2053" s="76" t="s">
        <v>6137</v>
      </c>
    </row>
    <row r="2054" spans="1:6" ht="63.95" customHeight="1">
      <c r="A2054" s="76" t="s">
        <v>5997</v>
      </c>
      <c r="B2054" s="76" t="s">
        <v>10865</v>
      </c>
      <c r="C2054" s="76" t="s">
        <v>10866</v>
      </c>
      <c r="D2054" s="76" t="s">
        <v>10867</v>
      </c>
      <c r="E2054" s="76" t="s">
        <v>6136</v>
      </c>
      <c r="F2054" s="76" t="s">
        <v>6137</v>
      </c>
    </row>
    <row r="2055" spans="1:6" ht="63.95" customHeight="1">
      <c r="A2055" s="76" t="s">
        <v>5997</v>
      </c>
      <c r="B2055" s="76" t="s">
        <v>10868</v>
      </c>
      <c r="C2055" s="76" t="s">
        <v>1757</v>
      </c>
      <c r="D2055" s="76" t="s">
        <v>1766</v>
      </c>
      <c r="E2055" s="76" t="s">
        <v>6136</v>
      </c>
      <c r="F2055" s="76" t="s">
        <v>6137</v>
      </c>
    </row>
    <row r="2056" spans="1:6" ht="63.95" customHeight="1">
      <c r="A2056" s="76" t="s">
        <v>5997</v>
      </c>
      <c r="B2056" s="76" t="s">
        <v>10869</v>
      </c>
      <c r="C2056" s="76" t="s">
        <v>958</v>
      </c>
      <c r="D2056" s="76" t="s">
        <v>646</v>
      </c>
      <c r="E2056" s="76" t="s">
        <v>6136</v>
      </c>
      <c r="F2056" s="76" t="s">
        <v>6137</v>
      </c>
    </row>
    <row r="2057" spans="1:6" ht="63.95" customHeight="1">
      <c r="A2057" s="76" t="s">
        <v>5997</v>
      </c>
      <c r="B2057" s="76" t="s">
        <v>10870</v>
      </c>
      <c r="C2057" s="76" t="s">
        <v>10871</v>
      </c>
      <c r="D2057" s="76" t="s">
        <v>10872</v>
      </c>
      <c r="E2057" s="76" t="s">
        <v>6136</v>
      </c>
      <c r="F2057" s="76" t="s">
        <v>6137</v>
      </c>
    </row>
    <row r="2058" spans="1:6" ht="63.95" customHeight="1">
      <c r="A2058" s="76" t="s">
        <v>5997</v>
      </c>
      <c r="B2058" s="76" t="s">
        <v>10873</v>
      </c>
      <c r="C2058" s="76" t="s">
        <v>10874</v>
      </c>
      <c r="D2058" s="76" t="s">
        <v>10875</v>
      </c>
      <c r="E2058" s="76" t="s">
        <v>6136</v>
      </c>
      <c r="F2058" s="76" t="s">
        <v>6137</v>
      </c>
    </row>
    <row r="2059" spans="1:6" ht="63.95" customHeight="1">
      <c r="A2059" s="76" t="s">
        <v>5997</v>
      </c>
      <c r="B2059" s="76" t="s">
        <v>10876</v>
      </c>
      <c r="C2059" s="76" t="s">
        <v>646</v>
      </c>
      <c r="D2059" s="76" t="s">
        <v>1501</v>
      </c>
      <c r="E2059" s="76" t="s">
        <v>6136</v>
      </c>
      <c r="F2059" s="76" t="s">
        <v>6137</v>
      </c>
    </row>
    <row r="2060" spans="1:6" ht="63.95" customHeight="1">
      <c r="A2060" s="76" t="s">
        <v>5997</v>
      </c>
      <c r="B2060" s="76" t="s">
        <v>10877</v>
      </c>
      <c r="C2060" s="76" t="s">
        <v>10878</v>
      </c>
      <c r="D2060" s="76" t="s">
        <v>10879</v>
      </c>
      <c r="E2060" s="76" t="s">
        <v>6136</v>
      </c>
      <c r="F2060" s="76" t="s">
        <v>6137</v>
      </c>
    </row>
    <row r="2061" spans="1:6" ht="63.95" customHeight="1">
      <c r="A2061" s="76" t="s">
        <v>5997</v>
      </c>
      <c r="B2061" s="76" t="s">
        <v>10880</v>
      </c>
      <c r="C2061" s="76" t="s">
        <v>10881</v>
      </c>
      <c r="D2061" s="76" t="s">
        <v>10882</v>
      </c>
      <c r="E2061" s="76" t="s">
        <v>6136</v>
      </c>
      <c r="F2061" s="76" t="s">
        <v>6137</v>
      </c>
    </row>
    <row r="2062" spans="1:6" ht="63.95" customHeight="1">
      <c r="A2062" s="76" t="s">
        <v>5997</v>
      </c>
      <c r="B2062" s="76" t="s">
        <v>10883</v>
      </c>
      <c r="C2062" s="76" t="s">
        <v>1766</v>
      </c>
      <c r="D2062" s="76" t="s">
        <v>1775</v>
      </c>
      <c r="E2062" s="76" t="s">
        <v>6136</v>
      </c>
      <c r="F2062" s="76" t="s">
        <v>6137</v>
      </c>
    </row>
    <row r="2063" spans="1:6" ht="63.95" customHeight="1">
      <c r="A2063" s="76" t="s">
        <v>5997</v>
      </c>
      <c r="B2063" s="76" t="s">
        <v>10884</v>
      </c>
      <c r="C2063" s="76" t="s">
        <v>1501</v>
      </c>
      <c r="D2063" s="76" t="s">
        <v>130</v>
      </c>
      <c r="E2063" s="76" t="s">
        <v>6136</v>
      </c>
      <c r="F2063" s="76" t="s">
        <v>6137</v>
      </c>
    </row>
    <row r="2064" spans="1:6" ht="63.95" customHeight="1">
      <c r="A2064" s="76" t="s">
        <v>5997</v>
      </c>
      <c r="B2064" s="76" t="s">
        <v>10885</v>
      </c>
      <c r="C2064" s="76" t="s">
        <v>10886</v>
      </c>
      <c r="D2064" s="76" t="s">
        <v>10887</v>
      </c>
      <c r="E2064" s="76" t="s">
        <v>6136</v>
      </c>
      <c r="F2064" s="76" t="s">
        <v>6137</v>
      </c>
    </row>
    <row r="2065" spans="1:6" ht="63.95" customHeight="1">
      <c r="A2065" s="76" t="s">
        <v>5997</v>
      </c>
      <c r="B2065" s="76" t="s">
        <v>10888</v>
      </c>
      <c r="C2065" s="76" t="s">
        <v>10889</v>
      </c>
      <c r="D2065" s="76" t="s">
        <v>10890</v>
      </c>
      <c r="E2065" s="76" t="s">
        <v>6136</v>
      </c>
      <c r="F2065" s="76" t="s">
        <v>6137</v>
      </c>
    </row>
    <row r="2066" spans="1:6" ht="63.95" customHeight="1">
      <c r="A2066" s="76" t="s">
        <v>5997</v>
      </c>
      <c r="B2066" s="76" t="s">
        <v>10891</v>
      </c>
      <c r="C2066" s="76" t="s">
        <v>1775</v>
      </c>
      <c r="D2066" s="76" t="s">
        <v>1791</v>
      </c>
      <c r="E2066" s="76" t="s">
        <v>6136</v>
      </c>
      <c r="F2066" s="76" t="s">
        <v>6137</v>
      </c>
    </row>
    <row r="2067" spans="1:6" ht="63.95" customHeight="1">
      <c r="A2067" s="76" t="s">
        <v>5997</v>
      </c>
      <c r="B2067" s="76" t="s">
        <v>10892</v>
      </c>
      <c r="C2067" s="76" t="s">
        <v>130</v>
      </c>
      <c r="D2067" s="76" t="s">
        <v>1282</v>
      </c>
      <c r="E2067" s="76" t="s">
        <v>6136</v>
      </c>
      <c r="F2067" s="76" t="s">
        <v>6137</v>
      </c>
    </row>
    <row r="2068" spans="1:6" ht="63.95" customHeight="1">
      <c r="A2068" s="76" t="s">
        <v>5997</v>
      </c>
      <c r="B2068" s="76" t="s">
        <v>10893</v>
      </c>
      <c r="C2068" s="76" t="s">
        <v>10894</v>
      </c>
      <c r="D2068" s="76" t="s">
        <v>10895</v>
      </c>
      <c r="E2068" s="76" t="s">
        <v>6136</v>
      </c>
      <c r="F2068" s="76" t="s">
        <v>6137</v>
      </c>
    </row>
    <row r="2069" spans="1:6" ht="63.95" customHeight="1">
      <c r="A2069" s="76" t="s">
        <v>5997</v>
      </c>
      <c r="B2069" s="76" t="s">
        <v>10896</v>
      </c>
      <c r="C2069" s="76" t="s">
        <v>10897</v>
      </c>
      <c r="D2069" s="76" t="s">
        <v>10898</v>
      </c>
      <c r="E2069" s="76" t="s">
        <v>6136</v>
      </c>
      <c r="F2069" s="76" t="s">
        <v>6137</v>
      </c>
    </row>
    <row r="2070" spans="1:6" ht="63.95" customHeight="1">
      <c r="A2070" s="76" t="s">
        <v>5997</v>
      </c>
      <c r="B2070" s="76" t="s">
        <v>10899</v>
      </c>
      <c r="C2070" s="76" t="s">
        <v>1282</v>
      </c>
      <c r="D2070" s="76" t="s">
        <v>607</v>
      </c>
      <c r="E2070" s="76" t="s">
        <v>6136</v>
      </c>
      <c r="F2070" s="76" t="s">
        <v>6137</v>
      </c>
    </row>
    <row r="2071" spans="1:6" ht="63.95" customHeight="1">
      <c r="A2071" s="76" t="s">
        <v>5997</v>
      </c>
      <c r="B2071" s="76" t="s">
        <v>10900</v>
      </c>
      <c r="C2071" s="76" t="s">
        <v>10901</v>
      </c>
      <c r="D2071" s="76" t="s">
        <v>10902</v>
      </c>
      <c r="E2071" s="76" t="s">
        <v>6136</v>
      </c>
      <c r="F2071" s="76" t="s">
        <v>6137</v>
      </c>
    </row>
    <row r="2072" spans="1:6" ht="63.95" customHeight="1">
      <c r="A2072" s="76" t="s">
        <v>5997</v>
      </c>
      <c r="B2072" s="76" t="s">
        <v>10903</v>
      </c>
      <c r="C2072" s="76" t="s">
        <v>10904</v>
      </c>
      <c r="D2072" s="76" t="s">
        <v>10905</v>
      </c>
      <c r="E2072" s="76" t="s">
        <v>6136</v>
      </c>
      <c r="F2072" s="76" t="s">
        <v>6137</v>
      </c>
    </row>
    <row r="2073" spans="1:6" ht="63.95" customHeight="1">
      <c r="A2073" s="76" t="s">
        <v>5997</v>
      </c>
      <c r="B2073" s="76" t="s">
        <v>10906</v>
      </c>
      <c r="C2073" s="76" t="s">
        <v>607</v>
      </c>
      <c r="D2073" s="76" t="s">
        <v>2843</v>
      </c>
      <c r="E2073" s="76" t="s">
        <v>6136</v>
      </c>
      <c r="F2073" s="76" t="s">
        <v>6137</v>
      </c>
    </row>
    <row r="2074" spans="1:6" ht="63.95" customHeight="1">
      <c r="A2074" s="76" t="s">
        <v>5997</v>
      </c>
      <c r="B2074" s="76" t="s">
        <v>10907</v>
      </c>
      <c r="C2074" s="76" t="s">
        <v>10908</v>
      </c>
      <c r="D2074" s="76" t="s">
        <v>10909</v>
      </c>
      <c r="E2074" s="76" t="s">
        <v>6136</v>
      </c>
      <c r="F2074" s="76" t="s">
        <v>6137</v>
      </c>
    </row>
    <row r="2075" spans="1:6" ht="63.95" customHeight="1">
      <c r="A2075" s="76" t="s">
        <v>5997</v>
      </c>
      <c r="B2075" s="76" t="s">
        <v>10910</v>
      </c>
      <c r="C2075" s="76" t="s">
        <v>10911</v>
      </c>
      <c r="D2075" s="76" t="s">
        <v>10912</v>
      </c>
      <c r="E2075" s="76" t="s">
        <v>6136</v>
      </c>
      <c r="F2075" s="76" t="s">
        <v>6137</v>
      </c>
    </row>
    <row r="2076" spans="1:6" ht="63.95" customHeight="1">
      <c r="A2076" s="76" t="s">
        <v>5997</v>
      </c>
      <c r="B2076" s="76" t="s">
        <v>10913</v>
      </c>
      <c r="C2076" s="76" t="s">
        <v>2843</v>
      </c>
      <c r="D2076" s="76" t="s">
        <v>1185</v>
      </c>
      <c r="E2076" s="76" t="s">
        <v>6136</v>
      </c>
      <c r="F2076" s="76" t="s">
        <v>6137</v>
      </c>
    </row>
    <row r="2077" spans="1:6" ht="63.95" customHeight="1">
      <c r="A2077" s="76" t="s">
        <v>5997</v>
      </c>
      <c r="B2077" s="76" t="s">
        <v>10914</v>
      </c>
      <c r="C2077" s="76" t="s">
        <v>10915</v>
      </c>
      <c r="D2077" s="76" t="s">
        <v>10916</v>
      </c>
      <c r="E2077" s="76" t="s">
        <v>6136</v>
      </c>
      <c r="F2077" s="76" t="s">
        <v>6137</v>
      </c>
    </row>
    <row r="2078" spans="1:6" ht="63.95" customHeight="1">
      <c r="A2078" s="76" t="s">
        <v>5997</v>
      </c>
      <c r="B2078" s="76" t="s">
        <v>10917</v>
      </c>
      <c r="C2078" s="76" t="s">
        <v>10918</v>
      </c>
      <c r="D2078" s="76" t="s">
        <v>10919</v>
      </c>
      <c r="E2078" s="76" t="s">
        <v>6136</v>
      </c>
      <c r="F2078" s="76" t="s">
        <v>6137</v>
      </c>
    </row>
    <row r="2079" spans="1:6" ht="63.95" customHeight="1">
      <c r="A2079" s="76" t="s">
        <v>5997</v>
      </c>
      <c r="B2079" s="76" t="s">
        <v>10920</v>
      </c>
      <c r="C2079" s="76" t="s">
        <v>1185</v>
      </c>
      <c r="D2079" s="76" t="s">
        <v>798</v>
      </c>
      <c r="E2079" s="76" t="s">
        <v>6136</v>
      </c>
      <c r="F2079" s="76" t="s">
        <v>6137</v>
      </c>
    </row>
    <row r="2080" spans="1:6" ht="63.95" customHeight="1">
      <c r="A2080" s="76" t="s">
        <v>5997</v>
      </c>
      <c r="B2080" s="76" t="s">
        <v>10921</v>
      </c>
      <c r="C2080" s="76" t="s">
        <v>10922</v>
      </c>
      <c r="D2080" s="76" t="s">
        <v>10923</v>
      </c>
      <c r="E2080" s="76" t="s">
        <v>6136</v>
      </c>
      <c r="F2080" s="76" t="s">
        <v>6137</v>
      </c>
    </row>
    <row r="2081" spans="1:6" ht="63.95" customHeight="1">
      <c r="A2081" s="76" t="s">
        <v>5997</v>
      </c>
      <c r="B2081" s="76" t="s">
        <v>10924</v>
      </c>
      <c r="C2081" s="76" t="s">
        <v>10925</v>
      </c>
      <c r="D2081" s="76" t="s">
        <v>10926</v>
      </c>
      <c r="E2081" s="76" t="s">
        <v>6136</v>
      </c>
      <c r="F2081" s="76" t="s">
        <v>6137</v>
      </c>
    </row>
    <row r="2082" spans="1:6" ht="63.95" customHeight="1">
      <c r="A2082" s="76" t="s">
        <v>5997</v>
      </c>
      <c r="B2082" s="76" t="s">
        <v>10927</v>
      </c>
      <c r="C2082" s="76" t="s">
        <v>798</v>
      </c>
      <c r="D2082" s="76" t="s">
        <v>471</v>
      </c>
      <c r="E2082" s="76" t="s">
        <v>6136</v>
      </c>
      <c r="F2082" s="76" t="s">
        <v>6137</v>
      </c>
    </row>
    <row r="2083" spans="1:6" ht="63.95" customHeight="1">
      <c r="A2083" s="76" t="s">
        <v>5997</v>
      </c>
      <c r="B2083" s="76" t="s">
        <v>10928</v>
      </c>
      <c r="C2083" s="76" t="s">
        <v>10929</v>
      </c>
      <c r="D2083" s="76" t="s">
        <v>10930</v>
      </c>
      <c r="E2083" s="76" t="s">
        <v>6136</v>
      </c>
      <c r="F2083" s="76" t="s">
        <v>6137</v>
      </c>
    </row>
    <row r="2084" spans="1:6" ht="63.95" customHeight="1">
      <c r="A2084" s="76" t="s">
        <v>5997</v>
      </c>
      <c r="B2084" s="76" t="s">
        <v>10931</v>
      </c>
      <c r="C2084" s="76" t="s">
        <v>10932</v>
      </c>
      <c r="D2084" s="76" t="s">
        <v>10933</v>
      </c>
      <c r="E2084" s="76" t="s">
        <v>6136</v>
      </c>
      <c r="F2084" s="76" t="s">
        <v>6137</v>
      </c>
    </row>
    <row r="2085" spans="1:6" ht="63.95" customHeight="1">
      <c r="A2085" s="76" t="s">
        <v>5997</v>
      </c>
      <c r="B2085" s="76" t="s">
        <v>10934</v>
      </c>
      <c r="C2085" s="76" t="s">
        <v>471</v>
      </c>
      <c r="D2085" s="76" t="s">
        <v>533</v>
      </c>
      <c r="E2085" s="76" t="s">
        <v>6136</v>
      </c>
      <c r="F2085" s="76" t="s">
        <v>6137</v>
      </c>
    </row>
    <row r="2086" spans="1:6" ht="63.95" customHeight="1">
      <c r="A2086" s="76" t="s">
        <v>5997</v>
      </c>
      <c r="B2086" s="76" t="s">
        <v>10935</v>
      </c>
      <c r="C2086" s="76" t="s">
        <v>10936</v>
      </c>
      <c r="D2086" s="76" t="s">
        <v>10937</v>
      </c>
      <c r="E2086" s="76" t="s">
        <v>6136</v>
      </c>
      <c r="F2086" s="76" t="s">
        <v>6137</v>
      </c>
    </row>
    <row r="2087" spans="1:6" ht="63.95" customHeight="1">
      <c r="A2087" s="76" t="s">
        <v>5997</v>
      </c>
      <c r="B2087" s="76" t="s">
        <v>10938</v>
      </c>
      <c r="C2087" s="76" t="s">
        <v>10939</v>
      </c>
      <c r="D2087" s="76" t="s">
        <v>10940</v>
      </c>
      <c r="E2087" s="76" t="s">
        <v>6136</v>
      </c>
      <c r="F2087" s="76" t="s">
        <v>6137</v>
      </c>
    </row>
    <row r="2088" spans="1:6" ht="63.95" customHeight="1">
      <c r="A2088" s="76" t="s">
        <v>5997</v>
      </c>
      <c r="B2088" s="76" t="s">
        <v>10941</v>
      </c>
      <c r="C2088" s="76" t="s">
        <v>533</v>
      </c>
      <c r="D2088" s="76" t="s">
        <v>2849</v>
      </c>
      <c r="E2088" s="76" t="s">
        <v>6136</v>
      </c>
      <c r="F2088" s="76" t="s">
        <v>6137</v>
      </c>
    </row>
    <row r="2089" spans="1:6" ht="63.95" customHeight="1">
      <c r="A2089" s="76" t="s">
        <v>5997</v>
      </c>
      <c r="B2089" s="76" t="s">
        <v>10942</v>
      </c>
      <c r="C2089" s="76" t="s">
        <v>10943</v>
      </c>
      <c r="D2089" s="76" t="s">
        <v>10944</v>
      </c>
      <c r="E2089" s="76" t="s">
        <v>6136</v>
      </c>
      <c r="F2089" s="76" t="s">
        <v>6137</v>
      </c>
    </row>
    <row r="2090" spans="1:6" ht="63.95" customHeight="1">
      <c r="A2090" s="76" t="s">
        <v>5997</v>
      </c>
      <c r="B2090" s="76" t="s">
        <v>10945</v>
      </c>
      <c r="C2090" s="76" t="s">
        <v>10946</v>
      </c>
      <c r="D2090" s="76" t="s">
        <v>10947</v>
      </c>
      <c r="E2090" s="76" t="s">
        <v>6136</v>
      </c>
      <c r="F2090" s="76" t="s">
        <v>6137</v>
      </c>
    </row>
    <row r="2091" spans="1:6" ht="63.95" customHeight="1">
      <c r="A2091" s="76" t="s">
        <v>5997</v>
      </c>
      <c r="B2091" s="76" t="s">
        <v>10948</v>
      </c>
      <c r="C2091" s="76" t="s">
        <v>2849</v>
      </c>
      <c r="D2091" s="76" t="s">
        <v>272</v>
      </c>
      <c r="E2091" s="76" t="s">
        <v>6136</v>
      </c>
      <c r="F2091" s="76" t="s">
        <v>6137</v>
      </c>
    </row>
    <row r="2092" spans="1:6" ht="63.95" customHeight="1">
      <c r="A2092" s="76" t="s">
        <v>5997</v>
      </c>
      <c r="B2092" s="76" t="s">
        <v>10949</v>
      </c>
      <c r="C2092" s="76" t="s">
        <v>10950</v>
      </c>
      <c r="D2092" s="76" t="s">
        <v>10951</v>
      </c>
      <c r="E2092" s="76" t="s">
        <v>6136</v>
      </c>
      <c r="F2092" s="76" t="s">
        <v>6137</v>
      </c>
    </row>
    <row r="2093" spans="1:6" ht="63.95" customHeight="1">
      <c r="A2093" s="76" t="s">
        <v>5997</v>
      </c>
      <c r="B2093" s="76" t="s">
        <v>10952</v>
      </c>
      <c r="C2093" s="76" t="s">
        <v>10953</v>
      </c>
      <c r="D2093" s="76" t="s">
        <v>10954</v>
      </c>
      <c r="E2093" s="76" t="s">
        <v>6136</v>
      </c>
      <c r="F2093" s="76" t="s">
        <v>6137</v>
      </c>
    </row>
    <row r="2094" spans="1:6" ht="63.95" customHeight="1">
      <c r="A2094" s="76" t="s">
        <v>5997</v>
      </c>
      <c r="B2094" s="76" t="s">
        <v>10955</v>
      </c>
      <c r="C2094" s="76" t="s">
        <v>272</v>
      </c>
      <c r="D2094" s="76" t="s">
        <v>2852</v>
      </c>
      <c r="E2094" s="76" t="s">
        <v>6136</v>
      </c>
      <c r="F2094" s="76" t="s">
        <v>6137</v>
      </c>
    </row>
    <row r="2095" spans="1:6" ht="63.95" customHeight="1">
      <c r="A2095" s="76" t="s">
        <v>5997</v>
      </c>
      <c r="B2095" s="76" t="s">
        <v>10956</v>
      </c>
      <c r="C2095" s="76" t="s">
        <v>10957</v>
      </c>
      <c r="D2095" s="76" t="s">
        <v>10958</v>
      </c>
      <c r="E2095" s="76" t="s">
        <v>6136</v>
      </c>
      <c r="F2095" s="76" t="s">
        <v>6137</v>
      </c>
    </row>
    <row r="2096" spans="1:6" ht="63.95" customHeight="1">
      <c r="A2096" s="76" t="s">
        <v>5997</v>
      </c>
      <c r="B2096" s="76" t="s">
        <v>10959</v>
      </c>
      <c r="C2096" s="76" t="s">
        <v>10960</v>
      </c>
      <c r="D2096" s="76" t="s">
        <v>10961</v>
      </c>
      <c r="E2096" s="76" t="s">
        <v>6136</v>
      </c>
      <c r="F2096" s="76" t="s">
        <v>6137</v>
      </c>
    </row>
    <row r="2097" spans="1:6" ht="63.95" customHeight="1">
      <c r="A2097" s="76" t="s">
        <v>5997</v>
      </c>
      <c r="B2097" s="76" t="s">
        <v>10962</v>
      </c>
      <c r="C2097" s="76" t="s">
        <v>2852</v>
      </c>
      <c r="D2097" s="76" t="s">
        <v>719</v>
      </c>
      <c r="E2097" s="76" t="s">
        <v>6136</v>
      </c>
      <c r="F2097" s="76" t="s">
        <v>6137</v>
      </c>
    </row>
    <row r="2098" spans="1:6" ht="63.95" customHeight="1">
      <c r="A2098" s="76" t="s">
        <v>5997</v>
      </c>
      <c r="B2098" s="76" t="s">
        <v>10963</v>
      </c>
      <c r="C2098" s="76" t="s">
        <v>10964</v>
      </c>
      <c r="D2098" s="76" t="s">
        <v>10965</v>
      </c>
      <c r="E2098" s="76" t="s">
        <v>6136</v>
      </c>
      <c r="F2098" s="76" t="s">
        <v>6137</v>
      </c>
    </row>
    <row r="2099" spans="1:6" ht="63.95" customHeight="1">
      <c r="A2099" s="76" t="s">
        <v>5997</v>
      </c>
      <c r="B2099" s="76" t="s">
        <v>10966</v>
      </c>
      <c r="C2099" s="76" t="s">
        <v>10967</v>
      </c>
      <c r="D2099" s="76" t="s">
        <v>10968</v>
      </c>
      <c r="E2099" s="76" t="s">
        <v>6136</v>
      </c>
      <c r="F2099" s="76" t="s">
        <v>6137</v>
      </c>
    </row>
    <row r="2100" spans="1:6" ht="63.95" customHeight="1">
      <c r="A2100" s="76" t="s">
        <v>5997</v>
      </c>
      <c r="B2100" s="76" t="s">
        <v>10969</v>
      </c>
      <c r="C2100" s="76" t="s">
        <v>719</v>
      </c>
      <c r="D2100" s="76" t="s">
        <v>683</v>
      </c>
      <c r="E2100" s="76" t="s">
        <v>6136</v>
      </c>
      <c r="F2100" s="76" t="s">
        <v>6137</v>
      </c>
    </row>
    <row r="2101" spans="1:6" ht="63.95" customHeight="1">
      <c r="A2101" s="76" t="s">
        <v>5997</v>
      </c>
      <c r="B2101" s="76" t="s">
        <v>10970</v>
      </c>
      <c r="C2101" s="76" t="s">
        <v>10971</v>
      </c>
      <c r="D2101" s="76" t="s">
        <v>10972</v>
      </c>
      <c r="E2101" s="76" t="s">
        <v>6136</v>
      </c>
      <c r="F2101" s="76" t="s">
        <v>6137</v>
      </c>
    </row>
    <row r="2102" spans="1:6" ht="63.95" customHeight="1">
      <c r="A2102" s="76" t="s">
        <v>5997</v>
      </c>
      <c r="B2102" s="76" t="s">
        <v>10973</v>
      </c>
      <c r="C2102" s="76" t="s">
        <v>10974</v>
      </c>
      <c r="D2102" s="76" t="s">
        <v>10975</v>
      </c>
      <c r="E2102" s="76" t="s">
        <v>6136</v>
      </c>
      <c r="F2102" s="76" t="s">
        <v>6137</v>
      </c>
    </row>
    <row r="2103" spans="1:6" ht="63.95" customHeight="1">
      <c r="A2103" s="76" t="s">
        <v>5997</v>
      </c>
      <c r="B2103" s="76" t="s">
        <v>10976</v>
      </c>
      <c r="C2103" s="76" t="s">
        <v>683</v>
      </c>
      <c r="D2103" s="76" t="s">
        <v>721</v>
      </c>
      <c r="E2103" s="76" t="s">
        <v>6136</v>
      </c>
      <c r="F2103" s="76" t="s">
        <v>6137</v>
      </c>
    </row>
    <row r="2104" spans="1:6" ht="63.95" customHeight="1">
      <c r="A2104" s="76" t="s">
        <v>5997</v>
      </c>
      <c r="B2104" s="76" t="s">
        <v>10977</v>
      </c>
      <c r="C2104" s="76" t="s">
        <v>10978</v>
      </c>
      <c r="D2104" s="76" t="s">
        <v>10979</v>
      </c>
      <c r="E2104" s="76" t="s">
        <v>6136</v>
      </c>
      <c r="F2104" s="76" t="s">
        <v>6137</v>
      </c>
    </row>
    <row r="2105" spans="1:6" ht="63.95" customHeight="1">
      <c r="A2105" s="76" t="s">
        <v>5997</v>
      </c>
      <c r="B2105" s="76" t="s">
        <v>10980</v>
      </c>
      <c r="C2105" s="76" t="s">
        <v>10981</v>
      </c>
      <c r="D2105" s="76" t="s">
        <v>10982</v>
      </c>
      <c r="E2105" s="76" t="s">
        <v>6136</v>
      </c>
      <c r="F2105" s="76" t="s">
        <v>6137</v>
      </c>
    </row>
    <row r="2106" spans="1:6" ht="63.95" customHeight="1">
      <c r="A2106" s="76" t="s">
        <v>5997</v>
      </c>
      <c r="B2106" s="76" t="s">
        <v>10983</v>
      </c>
      <c r="C2106" s="76" t="s">
        <v>721</v>
      </c>
      <c r="D2106" s="76" t="s">
        <v>437</v>
      </c>
      <c r="E2106" s="76" t="s">
        <v>6136</v>
      </c>
      <c r="F2106" s="76" t="s">
        <v>6137</v>
      </c>
    </row>
    <row r="2107" spans="1:6" ht="63.95" customHeight="1">
      <c r="A2107" s="76" t="s">
        <v>5997</v>
      </c>
      <c r="B2107" s="76" t="s">
        <v>10984</v>
      </c>
      <c r="C2107" s="76" t="s">
        <v>10985</v>
      </c>
      <c r="D2107" s="76" t="s">
        <v>10986</v>
      </c>
      <c r="E2107" s="76" t="s">
        <v>6136</v>
      </c>
      <c r="F2107" s="76" t="s">
        <v>6137</v>
      </c>
    </row>
    <row r="2108" spans="1:6" ht="63.95" customHeight="1">
      <c r="A2108" s="76" t="s">
        <v>5997</v>
      </c>
      <c r="B2108" s="76" t="s">
        <v>10987</v>
      </c>
      <c r="C2108" s="76" t="s">
        <v>10988</v>
      </c>
      <c r="D2108" s="76" t="s">
        <v>10989</v>
      </c>
      <c r="E2108" s="76" t="s">
        <v>6136</v>
      </c>
      <c r="F2108" s="76" t="s">
        <v>6137</v>
      </c>
    </row>
    <row r="2109" spans="1:6" ht="63.95" customHeight="1">
      <c r="A2109" s="76" t="s">
        <v>5997</v>
      </c>
      <c r="B2109" s="76" t="s">
        <v>10990</v>
      </c>
      <c r="C2109" s="76" t="s">
        <v>437</v>
      </c>
      <c r="D2109" s="76" t="s">
        <v>2857</v>
      </c>
      <c r="E2109" s="76" t="s">
        <v>6136</v>
      </c>
      <c r="F2109" s="76" t="s">
        <v>6137</v>
      </c>
    </row>
    <row r="2110" spans="1:6" ht="63.95" customHeight="1">
      <c r="A2110" s="76" t="s">
        <v>5997</v>
      </c>
      <c r="B2110" s="76" t="s">
        <v>10991</v>
      </c>
      <c r="C2110" s="76" t="s">
        <v>10992</v>
      </c>
      <c r="D2110" s="76" t="s">
        <v>10993</v>
      </c>
      <c r="E2110" s="76" t="s">
        <v>6136</v>
      </c>
      <c r="F2110" s="76" t="s">
        <v>6137</v>
      </c>
    </row>
    <row r="2111" spans="1:6" ht="63.95" customHeight="1">
      <c r="A2111" s="76" t="s">
        <v>5997</v>
      </c>
      <c r="B2111" s="76" t="s">
        <v>10994</v>
      </c>
      <c r="C2111" s="76" t="s">
        <v>10995</v>
      </c>
      <c r="D2111" s="76" t="s">
        <v>10996</v>
      </c>
      <c r="E2111" s="76" t="s">
        <v>6136</v>
      </c>
      <c r="F2111" s="76" t="s">
        <v>6137</v>
      </c>
    </row>
    <row r="2112" spans="1:6" ht="63.95" customHeight="1">
      <c r="A2112" s="76" t="s">
        <v>5997</v>
      </c>
      <c r="B2112" s="76" t="s">
        <v>10997</v>
      </c>
      <c r="C2112" s="76" t="s">
        <v>2857</v>
      </c>
      <c r="D2112" s="76" t="s">
        <v>261</v>
      </c>
      <c r="E2112" s="76" t="s">
        <v>6136</v>
      </c>
      <c r="F2112" s="76" t="s">
        <v>6137</v>
      </c>
    </row>
    <row r="2113" spans="1:6" ht="63.95" customHeight="1">
      <c r="A2113" s="76" t="s">
        <v>5997</v>
      </c>
      <c r="B2113" s="76" t="s">
        <v>10998</v>
      </c>
      <c r="C2113" s="76" t="s">
        <v>10999</v>
      </c>
      <c r="D2113" s="76" t="s">
        <v>11000</v>
      </c>
      <c r="E2113" s="76" t="s">
        <v>6136</v>
      </c>
      <c r="F2113" s="76" t="s">
        <v>6137</v>
      </c>
    </row>
    <row r="2114" spans="1:6" ht="63.95" customHeight="1">
      <c r="A2114" s="76" t="s">
        <v>5997</v>
      </c>
      <c r="B2114" s="76" t="s">
        <v>11001</v>
      </c>
      <c r="C2114" s="76" t="s">
        <v>11002</v>
      </c>
      <c r="D2114" s="76" t="s">
        <v>11003</v>
      </c>
      <c r="E2114" s="76" t="s">
        <v>6136</v>
      </c>
      <c r="F2114" s="76" t="s">
        <v>6137</v>
      </c>
    </row>
    <row r="2115" spans="1:6" ht="63.95" customHeight="1">
      <c r="A2115" s="76" t="s">
        <v>5997</v>
      </c>
      <c r="B2115" s="76" t="s">
        <v>11004</v>
      </c>
      <c r="C2115" s="76" t="s">
        <v>1791</v>
      </c>
      <c r="D2115" s="76" t="s">
        <v>1817</v>
      </c>
      <c r="E2115" s="76" t="s">
        <v>6136</v>
      </c>
      <c r="F2115" s="76" t="s">
        <v>6137</v>
      </c>
    </row>
    <row r="2116" spans="1:6" ht="63.95" customHeight="1">
      <c r="A2116" s="76" t="s">
        <v>5997</v>
      </c>
      <c r="B2116" s="76" t="s">
        <v>11005</v>
      </c>
      <c r="C2116" s="76" t="s">
        <v>261</v>
      </c>
      <c r="D2116" s="76" t="s">
        <v>577</v>
      </c>
      <c r="E2116" s="76" t="s">
        <v>6136</v>
      </c>
      <c r="F2116" s="76" t="s">
        <v>6137</v>
      </c>
    </row>
    <row r="2117" spans="1:6" ht="63.95" customHeight="1">
      <c r="A2117" s="76" t="s">
        <v>5997</v>
      </c>
      <c r="B2117" s="76" t="s">
        <v>11006</v>
      </c>
      <c r="C2117" s="76" t="s">
        <v>11007</v>
      </c>
      <c r="D2117" s="76" t="s">
        <v>11008</v>
      </c>
      <c r="E2117" s="76" t="s">
        <v>6136</v>
      </c>
      <c r="F2117" s="76" t="s">
        <v>6137</v>
      </c>
    </row>
    <row r="2118" spans="1:6" ht="63.95" customHeight="1">
      <c r="A2118" s="76" t="s">
        <v>5997</v>
      </c>
      <c r="B2118" s="76" t="s">
        <v>11009</v>
      </c>
      <c r="C2118" s="76" t="s">
        <v>11010</v>
      </c>
      <c r="D2118" s="76" t="s">
        <v>11011</v>
      </c>
      <c r="E2118" s="76" t="s">
        <v>6136</v>
      </c>
      <c r="F2118" s="76" t="s">
        <v>6137</v>
      </c>
    </row>
    <row r="2119" spans="1:6" ht="63.95" customHeight="1">
      <c r="A2119" s="76" t="s">
        <v>5997</v>
      </c>
      <c r="B2119" s="76" t="s">
        <v>11012</v>
      </c>
      <c r="C2119" s="76" t="s">
        <v>577</v>
      </c>
      <c r="D2119" s="76" t="s">
        <v>1282</v>
      </c>
      <c r="E2119" s="76" t="s">
        <v>6136</v>
      </c>
      <c r="F2119" s="76" t="s">
        <v>6137</v>
      </c>
    </row>
    <row r="2120" spans="1:6" ht="63.95" customHeight="1">
      <c r="A2120" s="76" t="s">
        <v>5997</v>
      </c>
      <c r="B2120" s="76" t="s">
        <v>11013</v>
      </c>
      <c r="C2120" s="76" t="s">
        <v>11014</v>
      </c>
      <c r="D2120" s="76" t="s">
        <v>11015</v>
      </c>
      <c r="E2120" s="76" t="s">
        <v>6136</v>
      </c>
      <c r="F2120" s="76" t="s">
        <v>6137</v>
      </c>
    </row>
    <row r="2121" spans="1:6" ht="63.95" customHeight="1">
      <c r="A2121" s="76" t="s">
        <v>5997</v>
      </c>
      <c r="B2121" s="76" t="s">
        <v>11016</v>
      </c>
      <c r="C2121" s="76" t="s">
        <v>11017</v>
      </c>
      <c r="D2121" s="76" t="s">
        <v>11018</v>
      </c>
      <c r="E2121" s="76" t="s">
        <v>6136</v>
      </c>
      <c r="F2121" s="76" t="s">
        <v>6137</v>
      </c>
    </row>
    <row r="2122" spans="1:6" ht="63.95" customHeight="1">
      <c r="A2122" s="76" t="s">
        <v>5997</v>
      </c>
      <c r="B2122" s="76" t="s">
        <v>11019</v>
      </c>
      <c r="C2122" s="76" t="s">
        <v>1282</v>
      </c>
      <c r="D2122" s="76" t="s">
        <v>343</v>
      </c>
      <c r="E2122" s="76" t="s">
        <v>6136</v>
      </c>
      <c r="F2122" s="76" t="s">
        <v>6137</v>
      </c>
    </row>
    <row r="2123" spans="1:6" ht="63.95" customHeight="1">
      <c r="A2123" s="76" t="s">
        <v>5997</v>
      </c>
      <c r="B2123" s="76" t="s">
        <v>11020</v>
      </c>
      <c r="C2123" s="76" t="s">
        <v>11021</v>
      </c>
      <c r="D2123" s="76" t="s">
        <v>11022</v>
      </c>
      <c r="E2123" s="76" t="s">
        <v>6136</v>
      </c>
      <c r="F2123" s="76" t="s">
        <v>6137</v>
      </c>
    </row>
    <row r="2124" spans="1:6" ht="63.95" customHeight="1">
      <c r="A2124" s="76" t="s">
        <v>5997</v>
      </c>
      <c r="B2124" s="76" t="s">
        <v>11023</v>
      </c>
      <c r="C2124" s="76" t="s">
        <v>11024</v>
      </c>
      <c r="D2124" s="76" t="s">
        <v>11025</v>
      </c>
      <c r="E2124" s="76" t="s">
        <v>6136</v>
      </c>
      <c r="F2124" s="76" t="s">
        <v>6137</v>
      </c>
    </row>
    <row r="2125" spans="1:6" ht="63.95" customHeight="1">
      <c r="A2125" s="76" t="s">
        <v>5997</v>
      </c>
      <c r="B2125" s="76" t="s">
        <v>11026</v>
      </c>
      <c r="C2125" s="76" t="s">
        <v>343</v>
      </c>
      <c r="D2125" s="76" t="s">
        <v>1391</v>
      </c>
      <c r="E2125" s="76" t="s">
        <v>6136</v>
      </c>
      <c r="F2125" s="76" t="s">
        <v>6137</v>
      </c>
    </row>
    <row r="2126" spans="1:6" ht="63.95" customHeight="1">
      <c r="A2126" s="76" t="s">
        <v>5997</v>
      </c>
      <c r="B2126" s="76" t="s">
        <v>11027</v>
      </c>
      <c r="C2126" s="76" t="s">
        <v>11028</v>
      </c>
      <c r="D2126" s="76" t="s">
        <v>11029</v>
      </c>
      <c r="E2126" s="76" t="s">
        <v>6136</v>
      </c>
      <c r="F2126" s="76" t="s">
        <v>6137</v>
      </c>
    </row>
    <row r="2127" spans="1:6" ht="63.95" customHeight="1">
      <c r="A2127" s="76" t="s">
        <v>5997</v>
      </c>
      <c r="B2127" s="76" t="s">
        <v>11030</v>
      </c>
      <c r="C2127" s="76" t="s">
        <v>11031</v>
      </c>
      <c r="D2127" s="76" t="s">
        <v>11032</v>
      </c>
      <c r="E2127" s="76" t="s">
        <v>6136</v>
      </c>
      <c r="F2127" s="76" t="s">
        <v>6137</v>
      </c>
    </row>
    <row r="2128" spans="1:6" ht="63.95" customHeight="1">
      <c r="A2128" s="76" t="s">
        <v>5997</v>
      </c>
      <c r="B2128" s="76" t="s">
        <v>11033</v>
      </c>
      <c r="C2128" s="76" t="s">
        <v>1817</v>
      </c>
      <c r="D2128" s="76" t="s">
        <v>1821</v>
      </c>
      <c r="E2128" s="76" t="s">
        <v>6136</v>
      </c>
      <c r="F2128" s="76" t="s">
        <v>6137</v>
      </c>
    </row>
    <row r="2129" spans="1:6" ht="63.95" customHeight="1">
      <c r="A2129" s="76" t="s">
        <v>5997</v>
      </c>
      <c r="B2129" s="76" t="s">
        <v>11034</v>
      </c>
      <c r="C2129" s="76" t="s">
        <v>1391</v>
      </c>
      <c r="D2129" s="76" t="s">
        <v>819</v>
      </c>
      <c r="E2129" s="76" t="s">
        <v>6136</v>
      </c>
      <c r="F2129" s="76" t="s">
        <v>6137</v>
      </c>
    </row>
    <row r="2130" spans="1:6" ht="63.95" customHeight="1">
      <c r="A2130" s="76" t="s">
        <v>5997</v>
      </c>
      <c r="B2130" s="76" t="s">
        <v>11035</v>
      </c>
      <c r="C2130" s="76" t="s">
        <v>11036</v>
      </c>
      <c r="D2130" s="76" t="s">
        <v>11037</v>
      </c>
      <c r="E2130" s="76" t="s">
        <v>6136</v>
      </c>
      <c r="F2130" s="76" t="s">
        <v>6137</v>
      </c>
    </row>
    <row r="2131" spans="1:6" ht="63.95" customHeight="1">
      <c r="A2131" s="76" t="s">
        <v>5997</v>
      </c>
      <c r="B2131" s="76" t="s">
        <v>11038</v>
      </c>
      <c r="C2131" s="76" t="s">
        <v>11039</v>
      </c>
      <c r="D2131" s="76" t="s">
        <v>11040</v>
      </c>
      <c r="E2131" s="76" t="s">
        <v>6136</v>
      </c>
      <c r="F2131" s="76" t="s">
        <v>6137</v>
      </c>
    </row>
    <row r="2132" spans="1:6" ht="63.95" customHeight="1">
      <c r="A2132" s="76" t="s">
        <v>5997</v>
      </c>
      <c r="B2132" s="76" t="s">
        <v>11041</v>
      </c>
      <c r="C2132" s="76" t="s">
        <v>819</v>
      </c>
      <c r="D2132" s="76" t="s">
        <v>272</v>
      </c>
      <c r="E2132" s="76" t="s">
        <v>6136</v>
      </c>
      <c r="F2132" s="76" t="s">
        <v>6137</v>
      </c>
    </row>
    <row r="2133" spans="1:6" ht="63.95" customHeight="1">
      <c r="A2133" s="76" t="s">
        <v>5997</v>
      </c>
      <c r="B2133" s="76" t="s">
        <v>11042</v>
      </c>
      <c r="C2133" s="76" t="s">
        <v>11043</v>
      </c>
      <c r="D2133" s="76" t="s">
        <v>11044</v>
      </c>
      <c r="E2133" s="76" t="s">
        <v>6136</v>
      </c>
      <c r="F2133" s="76" t="s">
        <v>6137</v>
      </c>
    </row>
    <row r="2134" spans="1:6" ht="63.95" customHeight="1">
      <c r="A2134" s="76" t="s">
        <v>5997</v>
      </c>
      <c r="B2134" s="76" t="s">
        <v>11045</v>
      </c>
      <c r="C2134" s="76" t="s">
        <v>11046</v>
      </c>
      <c r="D2134" s="76" t="s">
        <v>11047</v>
      </c>
      <c r="E2134" s="76" t="s">
        <v>6136</v>
      </c>
      <c r="F2134" s="76" t="s">
        <v>6137</v>
      </c>
    </row>
    <row r="2135" spans="1:6" ht="63.95" customHeight="1">
      <c r="A2135" s="76" t="s">
        <v>5997</v>
      </c>
      <c r="B2135" s="76" t="s">
        <v>11048</v>
      </c>
      <c r="C2135" s="76" t="s">
        <v>272</v>
      </c>
      <c r="D2135" s="76" t="s">
        <v>2852</v>
      </c>
      <c r="E2135" s="76" t="s">
        <v>6136</v>
      </c>
      <c r="F2135" s="76" t="s">
        <v>6137</v>
      </c>
    </row>
    <row r="2136" spans="1:6" ht="63.95" customHeight="1">
      <c r="A2136" s="76" t="s">
        <v>5997</v>
      </c>
      <c r="B2136" s="76" t="s">
        <v>11049</v>
      </c>
      <c r="C2136" s="76" t="s">
        <v>11050</v>
      </c>
      <c r="D2136" s="76" t="s">
        <v>11051</v>
      </c>
      <c r="E2136" s="76" t="s">
        <v>6136</v>
      </c>
      <c r="F2136" s="76" t="s">
        <v>6137</v>
      </c>
    </row>
    <row r="2137" spans="1:6" ht="63.95" customHeight="1">
      <c r="A2137" s="76" t="s">
        <v>5997</v>
      </c>
      <c r="B2137" s="76" t="s">
        <v>11052</v>
      </c>
      <c r="C2137" s="76" t="s">
        <v>11053</v>
      </c>
      <c r="D2137" s="76" t="s">
        <v>11054</v>
      </c>
      <c r="E2137" s="76" t="s">
        <v>6136</v>
      </c>
      <c r="F2137" s="76" t="s">
        <v>6137</v>
      </c>
    </row>
    <row r="2138" spans="1:6" ht="63.95" customHeight="1">
      <c r="A2138" s="76" t="s">
        <v>5997</v>
      </c>
      <c r="B2138" s="76" t="s">
        <v>11055</v>
      </c>
      <c r="C2138" s="76" t="s">
        <v>2852</v>
      </c>
      <c r="D2138" s="76" t="s">
        <v>207</v>
      </c>
      <c r="E2138" s="76" t="s">
        <v>6136</v>
      </c>
      <c r="F2138" s="76" t="s">
        <v>6137</v>
      </c>
    </row>
    <row r="2139" spans="1:6" ht="63.95" customHeight="1">
      <c r="A2139" s="76" t="s">
        <v>5997</v>
      </c>
      <c r="B2139" s="76" t="s">
        <v>11056</v>
      </c>
      <c r="C2139" s="76" t="s">
        <v>11057</v>
      </c>
      <c r="D2139" s="76" t="s">
        <v>11058</v>
      </c>
      <c r="E2139" s="76" t="s">
        <v>6136</v>
      </c>
      <c r="F2139" s="76" t="s">
        <v>6137</v>
      </c>
    </row>
    <row r="2140" spans="1:6" ht="63.95" customHeight="1">
      <c r="A2140" s="76" t="s">
        <v>5997</v>
      </c>
      <c r="B2140" s="76" t="s">
        <v>11059</v>
      </c>
      <c r="C2140" s="76" t="s">
        <v>11060</v>
      </c>
      <c r="D2140" s="76" t="s">
        <v>11061</v>
      </c>
      <c r="E2140" s="76" t="s">
        <v>6136</v>
      </c>
      <c r="F2140" s="76" t="s">
        <v>6137</v>
      </c>
    </row>
    <row r="2141" spans="1:6" ht="63.95" customHeight="1">
      <c r="A2141" s="76" t="s">
        <v>5997</v>
      </c>
      <c r="B2141" s="76" t="s">
        <v>11062</v>
      </c>
      <c r="C2141" s="76" t="s">
        <v>207</v>
      </c>
      <c r="D2141" s="76" t="s">
        <v>1461</v>
      </c>
      <c r="E2141" s="76" t="s">
        <v>6136</v>
      </c>
      <c r="F2141" s="76" t="s">
        <v>6137</v>
      </c>
    </row>
    <row r="2142" spans="1:6" ht="63.95" customHeight="1">
      <c r="A2142" s="76" t="s">
        <v>5997</v>
      </c>
      <c r="B2142" s="76" t="s">
        <v>11063</v>
      </c>
      <c r="C2142" s="76" t="s">
        <v>11064</v>
      </c>
      <c r="D2142" s="76" t="s">
        <v>11065</v>
      </c>
      <c r="E2142" s="76" t="s">
        <v>6136</v>
      </c>
      <c r="F2142" s="76" t="s">
        <v>6137</v>
      </c>
    </row>
    <row r="2143" spans="1:6" ht="63.95" customHeight="1">
      <c r="A2143" s="76" t="s">
        <v>5997</v>
      </c>
      <c r="B2143" s="76" t="s">
        <v>11066</v>
      </c>
      <c r="C2143" s="76" t="s">
        <v>11067</v>
      </c>
      <c r="D2143" s="76" t="s">
        <v>11068</v>
      </c>
      <c r="E2143" s="76" t="s">
        <v>6136</v>
      </c>
      <c r="F2143" s="76" t="s">
        <v>6137</v>
      </c>
    </row>
    <row r="2144" spans="1:6" ht="63.95" customHeight="1">
      <c r="A2144" s="76" t="s">
        <v>5997</v>
      </c>
      <c r="B2144" s="76" t="s">
        <v>11069</v>
      </c>
      <c r="C2144" s="76" t="s">
        <v>1461</v>
      </c>
      <c r="D2144" s="76" t="s">
        <v>261</v>
      </c>
      <c r="E2144" s="76" t="s">
        <v>6136</v>
      </c>
      <c r="F2144" s="76" t="s">
        <v>6137</v>
      </c>
    </row>
    <row r="2145" spans="1:6" ht="63.95" customHeight="1">
      <c r="A2145" s="76" t="s">
        <v>5997</v>
      </c>
      <c r="B2145" s="76" t="s">
        <v>11070</v>
      </c>
      <c r="C2145" s="76" t="s">
        <v>11071</v>
      </c>
      <c r="D2145" s="76" t="s">
        <v>11072</v>
      </c>
      <c r="E2145" s="76" t="s">
        <v>6136</v>
      </c>
      <c r="F2145" s="76" t="s">
        <v>6137</v>
      </c>
    </row>
    <row r="2146" spans="1:6" ht="63.95" customHeight="1">
      <c r="A2146" s="76" t="s">
        <v>5997</v>
      </c>
      <c r="B2146" s="76" t="s">
        <v>11073</v>
      </c>
      <c r="C2146" s="76" t="s">
        <v>11074</v>
      </c>
      <c r="D2146" s="76" t="s">
        <v>11075</v>
      </c>
      <c r="E2146" s="76" t="s">
        <v>6136</v>
      </c>
      <c r="F2146" s="76" t="s">
        <v>6137</v>
      </c>
    </row>
    <row r="2147" spans="1:6" ht="63.95" customHeight="1">
      <c r="A2147" s="76" t="s">
        <v>5997</v>
      </c>
      <c r="B2147" s="76" t="s">
        <v>11076</v>
      </c>
      <c r="C2147" s="76" t="s">
        <v>261</v>
      </c>
      <c r="D2147" s="76" t="s">
        <v>1158</v>
      </c>
      <c r="E2147" s="76" t="s">
        <v>6136</v>
      </c>
      <c r="F2147" s="76" t="s">
        <v>6137</v>
      </c>
    </row>
    <row r="2148" spans="1:6" ht="63.95" customHeight="1">
      <c r="A2148" s="76" t="s">
        <v>5997</v>
      </c>
      <c r="B2148" s="76" t="s">
        <v>11077</v>
      </c>
      <c r="C2148" s="76" t="s">
        <v>11078</v>
      </c>
      <c r="D2148" s="76" t="s">
        <v>11079</v>
      </c>
      <c r="E2148" s="76" t="s">
        <v>6136</v>
      </c>
      <c r="F2148" s="76" t="s">
        <v>6137</v>
      </c>
    </row>
    <row r="2149" spans="1:6" ht="63.95" customHeight="1">
      <c r="A2149" s="76" t="s">
        <v>5997</v>
      </c>
      <c r="B2149" s="76" t="s">
        <v>11080</v>
      </c>
      <c r="C2149" s="76" t="s">
        <v>11081</v>
      </c>
      <c r="D2149" s="76" t="s">
        <v>11082</v>
      </c>
      <c r="E2149" s="76" t="s">
        <v>6136</v>
      </c>
      <c r="F2149" s="76" t="s">
        <v>6137</v>
      </c>
    </row>
    <row r="2150" spans="1:6" ht="63.95" customHeight="1">
      <c r="A2150" s="76" t="s">
        <v>5997</v>
      </c>
      <c r="B2150" s="76" t="s">
        <v>11083</v>
      </c>
      <c r="C2150" s="76" t="s">
        <v>1158</v>
      </c>
      <c r="D2150" s="76" t="s">
        <v>1583</v>
      </c>
      <c r="E2150" s="76" t="s">
        <v>6136</v>
      </c>
      <c r="F2150" s="76" t="s">
        <v>6137</v>
      </c>
    </row>
    <row r="2151" spans="1:6" ht="63.95" customHeight="1">
      <c r="A2151" s="76" t="s">
        <v>5997</v>
      </c>
      <c r="B2151" s="76" t="s">
        <v>11084</v>
      </c>
      <c r="C2151" s="76" t="s">
        <v>11085</v>
      </c>
      <c r="D2151" s="76" t="s">
        <v>11086</v>
      </c>
      <c r="E2151" s="76" t="s">
        <v>6136</v>
      </c>
      <c r="F2151" s="76" t="s">
        <v>6137</v>
      </c>
    </row>
    <row r="2152" spans="1:6" ht="63.95" customHeight="1">
      <c r="A2152" s="76" t="s">
        <v>5997</v>
      </c>
      <c r="B2152" s="76" t="s">
        <v>11087</v>
      </c>
      <c r="C2152" s="76" t="s">
        <v>11088</v>
      </c>
      <c r="D2152" s="76" t="s">
        <v>11089</v>
      </c>
      <c r="E2152" s="76" t="s">
        <v>6136</v>
      </c>
      <c r="F2152" s="76" t="s">
        <v>6137</v>
      </c>
    </row>
    <row r="2153" spans="1:6" ht="63.95" customHeight="1">
      <c r="A2153" s="76" t="s">
        <v>5997</v>
      </c>
      <c r="B2153" s="76" t="s">
        <v>11090</v>
      </c>
      <c r="C2153" s="76" t="s">
        <v>1583</v>
      </c>
      <c r="D2153" s="76" t="s">
        <v>1478</v>
      </c>
      <c r="E2153" s="76" t="s">
        <v>6136</v>
      </c>
      <c r="F2153" s="76" t="s">
        <v>6137</v>
      </c>
    </row>
    <row r="2154" spans="1:6" ht="63.95" customHeight="1">
      <c r="A2154" s="76" t="s">
        <v>5997</v>
      </c>
      <c r="B2154" s="76" t="s">
        <v>11091</v>
      </c>
      <c r="C2154" s="76" t="s">
        <v>11092</v>
      </c>
      <c r="D2154" s="76" t="s">
        <v>11093</v>
      </c>
      <c r="E2154" s="76" t="s">
        <v>6136</v>
      </c>
      <c r="F2154" s="76" t="s">
        <v>6137</v>
      </c>
    </row>
    <row r="2155" spans="1:6" ht="63.95" customHeight="1">
      <c r="A2155" s="76" t="s">
        <v>5997</v>
      </c>
      <c r="B2155" s="76" t="s">
        <v>11094</v>
      </c>
      <c r="C2155" s="76" t="s">
        <v>11095</v>
      </c>
      <c r="D2155" s="76" t="s">
        <v>11096</v>
      </c>
      <c r="E2155" s="76" t="s">
        <v>6136</v>
      </c>
      <c r="F2155" s="76" t="s">
        <v>6137</v>
      </c>
    </row>
    <row r="2156" spans="1:6" ht="63.95" customHeight="1">
      <c r="A2156" s="76" t="s">
        <v>5997</v>
      </c>
      <c r="B2156" s="76" t="s">
        <v>11097</v>
      </c>
      <c r="C2156" s="76" t="s">
        <v>1478</v>
      </c>
      <c r="D2156" s="76" t="s">
        <v>1736</v>
      </c>
      <c r="E2156" s="76" t="s">
        <v>6136</v>
      </c>
      <c r="F2156" s="76" t="s">
        <v>6137</v>
      </c>
    </row>
    <row r="2157" spans="1:6" ht="63.95" customHeight="1">
      <c r="A2157" s="76" t="s">
        <v>5997</v>
      </c>
      <c r="B2157" s="76" t="s">
        <v>11098</v>
      </c>
      <c r="C2157" s="76" t="s">
        <v>11099</v>
      </c>
      <c r="D2157" s="76" t="s">
        <v>11100</v>
      </c>
      <c r="E2157" s="76" t="s">
        <v>6136</v>
      </c>
      <c r="F2157" s="76" t="s">
        <v>6137</v>
      </c>
    </row>
    <row r="2158" spans="1:6" ht="63.95" customHeight="1">
      <c r="A2158" s="76" t="s">
        <v>5997</v>
      </c>
      <c r="B2158" s="76" t="s">
        <v>11101</v>
      </c>
      <c r="C2158" s="76" t="s">
        <v>11102</v>
      </c>
      <c r="D2158" s="76" t="s">
        <v>11103</v>
      </c>
      <c r="E2158" s="76" t="s">
        <v>6136</v>
      </c>
      <c r="F2158" s="76" t="s">
        <v>6137</v>
      </c>
    </row>
    <row r="2159" spans="1:6" ht="63.95" customHeight="1">
      <c r="A2159" s="76" t="s">
        <v>5997</v>
      </c>
      <c r="B2159" s="76" t="s">
        <v>11104</v>
      </c>
      <c r="C2159" s="76" t="s">
        <v>1736</v>
      </c>
      <c r="D2159" s="76" t="s">
        <v>1702</v>
      </c>
      <c r="E2159" s="76" t="s">
        <v>6136</v>
      </c>
      <c r="F2159" s="76" t="s">
        <v>6137</v>
      </c>
    </row>
    <row r="2160" spans="1:6" ht="63.95" customHeight="1">
      <c r="A2160" s="76" t="s">
        <v>5997</v>
      </c>
      <c r="B2160" s="76" t="s">
        <v>11105</v>
      </c>
      <c r="C2160" s="76" t="s">
        <v>11106</v>
      </c>
      <c r="D2160" s="76" t="s">
        <v>11107</v>
      </c>
      <c r="E2160" s="76" t="s">
        <v>6136</v>
      </c>
      <c r="F2160" s="76" t="s">
        <v>6137</v>
      </c>
    </row>
    <row r="2161" spans="1:6" ht="63.95" customHeight="1">
      <c r="A2161" s="76" t="s">
        <v>5997</v>
      </c>
      <c r="B2161" s="76" t="s">
        <v>11108</v>
      </c>
      <c r="C2161" s="76" t="s">
        <v>11109</v>
      </c>
      <c r="D2161" s="76" t="s">
        <v>11110</v>
      </c>
      <c r="E2161" s="76" t="s">
        <v>6136</v>
      </c>
      <c r="F2161" s="76" t="s">
        <v>6137</v>
      </c>
    </row>
    <row r="2162" spans="1:6" ht="63.95" customHeight="1">
      <c r="A2162" s="76" t="s">
        <v>5997</v>
      </c>
      <c r="B2162" s="76" t="s">
        <v>11111</v>
      </c>
      <c r="C2162" s="76" t="s">
        <v>1821</v>
      </c>
      <c r="D2162" s="76"/>
      <c r="E2162" s="76" t="s">
        <v>6136</v>
      </c>
      <c r="F2162" s="76" t="s">
        <v>6137</v>
      </c>
    </row>
    <row r="2163" spans="1:6" ht="63.95" customHeight="1">
      <c r="A2163" s="76" t="s">
        <v>5997</v>
      </c>
      <c r="B2163" s="76" t="s">
        <v>11112</v>
      </c>
      <c r="C2163" s="76" t="s">
        <v>1702</v>
      </c>
      <c r="D2163" s="76"/>
      <c r="E2163" s="76" t="s">
        <v>6136</v>
      </c>
      <c r="F2163" s="76" t="s">
        <v>6137</v>
      </c>
    </row>
    <row r="2164" spans="1:6" ht="63.95" customHeight="1">
      <c r="A2164" s="76" t="s">
        <v>5997</v>
      </c>
      <c r="B2164" s="76" t="s">
        <v>11113</v>
      </c>
      <c r="C2164" s="76" t="s">
        <v>11114</v>
      </c>
      <c r="D2164" s="76"/>
      <c r="E2164" s="76" t="s">
        <v>6136</v>
      </c>
      <c r="F2164" s="76" t="s">
        <v>6137</v>
      </c>
    </row>
    <row r="2165" spans="1:6" ht="63.95" customHeight="1">
      <c r="A2165" s="76" t="s">
        <v>5997</v>
      </c>
      <c r="B2165" s="76" t="s">
        <v>11115</v>
      </c>
      <c r="C2165" s="76" t="s">
        <v>11116</v>
      </c>
      <c r="D2165" s="76"/>
      <c r="E2165" s="76" t="s">
        <v>6136</v>
      </c>
      <c r="F2165" s="76" t="s">
        <v>6137</v>
      </c>
    </row>
    <row r="2166" spans="1:6" ht="63.95" customHeight="1">
      <c r="A2166" s="76" t="s">
        <v>6003</v>
      </c>
      <c r="B2166" s="76" t="s">
        <v>3503</v>
      </c>
      <c r="C2166" s="76" t="s">
        <v>6028</v>
      </c>
      <c r="D2166" s="76" t="s">
        <v>5470</v>
      </c>
      <c r="E2166" s="76" t="s">
        <v>11117</v>
      </c>
      <c r="F2166" s="76"/>
    </row>
    <row r="2167" spans="1:6" ht="63.95" customHeight="1">
      <c r="A2167" s="76" t="s">
        <v>6003</v>
      </c>
      <c r="B2167" s="76" t="s">
        <v>3685</v>
      </c>
      <c r="C2167" s="76" t="s">
        <v>11118</v>
      </c>
      <c r="D2167" s="76" t="s">
        <v>5474</v>
      </c>
      <c r="E2167" s="76" t="s">
        <v>11119</v>
      </c>
      <c r="F2167" s="76"/>
    </row>
    <row r="2168" spans="1:6" ht="63.95" customHeight="1">
      <c r="A2168" s="76" t="s">
        <v>5976</v>
      </c>
      <c r="B2168" s="76" t="s">
        <v>11120</v>
      </c>
      <c r="C2168" s="76" t="s">
        <v>11121</v>
      </c>
      <c r="D2168" s="76" t="s">
        <v>11122</v>
      </c>
      <c r="E2168" s="76" t="s">
        <v>11123</v>
      </c>
      <c r="F2168" s="76" t="s">
        <v>11124</v>
      </c>
    </row>
    <row r="2169" spans="1:6" ht="63.95" customHeight="1">
      <c r="A2169" s="76" t="s">
        <v>5976</v>
      </c>
      <c r="B2169" s="76" t="s">
        <v>11125</v>
      </c>
      <c r="C2169" s="76" t="s">
        <v>11126</v>
      </c>
      <c r="D2169" s="76" t="s">
        <v>11127</v>
      </c>
      <c r="E2169" s="76" t="s">
        <v>11128</v>
      </c>
      <c r="F2169" s="76" t="s">
        <v>11124</v>
      </c>
    </row>
    <row r="2170" spans="1:6" ht="63.95" customHeight="1">
      <c r="A2170" s="76" t="s">
        <v>5976</v>
      </c>
      <c r="B2170" s="76" t="s">
        <v>11129</v>
      </c>
      <c r="C2170" s="76" t="s">
        <v>11130</v>
      </c>
      <c r="D2170" s="76" t="s">
        <v>11131</v>
      </c>
      <c r="E2170" s="76" t="s">
        <v>11132</v>
      </c>
      <c r="F2170" s="76" t="s">
        <v>11124</v>
      </c>
    </row>
    <row r="2171" spans="1:6" ht="63.95" customHeight="1">
      <c r="A2171" s="76" t="s">
        <v>5976</v>
      </c>
      <c r="B2171" s="76" t="s">
        <v>11133</v>
      </c>
      <c r="C2171" s="76" t="s">
        <v>11121</v>
      </c>
      <c r="D2171" s="76" t="s">
        <v>11122</v>
      </c>
      <c r="E2171" s="76" t="s">
        <v>11123</v>
      </c>
      <c r="F2171" s="76" t="s">
        <v>11124</v>
      </c>
    </row>
    <row r="2172" spans="1:6" ht="63.95" customHeight="1">
      <c r="A2172" s="76" t="s">
        <v>5976</v>
      </c>
      <c r="B2172" s="76" t="s">
        <v>11134</v>
      </c>
      <c r="C2172" s="76" t="s">
        <v>11126</v>
      </c>
      <c r="D2172" s="76" t="s">
        <v>11127</v>
      </c>
      <c r="E2172" s="76" t="s">
        <v>11128</v>
      </c>
      <c r="F2172" s="76" t="s">
        <v>11124</v>
      </c>
    </row>
    <row r="2173" spans="1:6" ht="63.95" customHeight="1">
      <c r="A2173" s="76" t="s">
        <v>5976</v>
      </c>
      <c r="B2173" s="76" t="s">
        <v>11135</v>
      </c>
      <c r="C2173" s="76" t="s">
        <v>11130</v>
      </c>
      <c r="D2173" s="76" t="s">
        <v>11131</v>
      </c>
      <c r="E2173" s="76" t="s">
        <v>11132</v>
      </c>
      <c r="F2173" s="76" t="s">
        <v>11124</v>
      </c>
    </row>
    <row r="2174" spans="1:6" ht="63.95" customHeight="1">
      <c r="A2174" s="76" t="s">
        <v>5976</v>
      </c>
      <c r="B2174" s="76" t="s">
        <v>11136</v>
      </c>
      <c r="C2174" s="76" t="s">
        <v>11121</v>
      </c>
      <c r="D2174" s="76" t="s">
        <v>11122</v>
      </c>
      <c r="E2174" s="76" t="s">
        <v>11123</v>
      </c>
      <c r="F2174" s="76" t="s">
        <v>11124</v>
      </c>
    </row>
    <row r="2175" spans="1:6" ht="63.95" customHeight="1">
      <c r="A2175" s="76" t="s">
        <v>5976</v>
      </c>
      <c r="B2175" s="76" t="s">
        <v>11137</v>
      </c>
      <c r="C2175" s="76" t="s">
        <v>11126</v>
      </c>
      <c r="D2175" s="76" t="s">
        <v>11127</v>
      </c>
      <c r="E2175" s="76" t="s">
        <v>11128</v>
      </c>
      <c r="F2175" s="76" t="s">
        <v>11124</v>
      </c>
    </row>
    <row r="2176" spans="1:6" ht="63.95" customHeight="1">
      <c r="A2176" s="76" t="s">
        <v>5976</v>
      </c>
      <c r="B2176" s="76" t="s">
        <v>11138</v>
      </c>
      <c r="C2176" s="76" t="s">
        <v>11130</v>
      </c>
      <c r="D2176" s="76" t="s">
        <v>11131</v>
      </c>
      <c r="E2176" s="76" t="s">
        <v>11132</v>
      </c>
      <c r="F2176" s="76" t="s">
        <v>11124</v>
      </c>
    </row>
    <row r="2177" spans="1:6" ht="63.95" customHeight="1">
      <c r="A2177" s="76" t="s">
        <v>5976</v>
      </c>
      <c r="B2177" s="76" t="s">
        <v>11139</v>
      </c>
      <c r="C2177" s="76" t="s">
        <v>11121</v>
      </c>
      <c r="D2177" s="76" t="s">
        <v>11122</v>
      </c>
      <c r="E2177" s="76" t="s">
        <v>11123</v>
      </c>
      <c r="F2177" s="76" t="s">
        <v>11124</v>
      </c>
    </row>
    <row r="2178" spans="1:6" ht="63.95" customHeight="1">
      <c r="A2178" s="76" t="s">
        <v>5976</v>
      </c>
      <c r="B2178" s="76" t="s">
        <v>11140</v>
      </c>
      <c r="C2178" s="76" t="s">
        <v>11126</v>
      </c>
      <c r="D2178" s="76" t="s">
        <v>11127</v>
      </c>
      <c r="E2178" s="76" t="s">
        <v>11128</v>
      </c>
      <c r="F2178" s="76" t="s">
        <v>11124</v>
      </c>
    </row>
    <row r="2179" spans="1:6" ht="63.95" customHeight="1">
      <c r="A2179" s="76" t="s">
        <v>5976</v>
      </c>
      <c r="B2179" s="76" t="s">
        <v>11141</v>
      </c>
      <c r="C2179" s="76" t="s">
        <v>11130</v>
      </c>
      <c r="D2179" s="76" t="s">
        <v>11131</v>
      </c>
      <c r="E2179" s="76" t="s">
        <v>11132</v>
      </c>
      <c r="F2179" s="76" t="s">
        <v>11124</v>
      </c>
    </row>
    <row r="2180" spans="1:6" ht="63.95" customHeight="1">
      <c r="A2180" s="76" t="s">
        <v>5976</v>
      </c>
      <c r="B2180" s="76" t="s">
        <v>11142</v>
      </c>
      <c r="C2180" s="76" t="s">
        <v>11143</v>
      </c>
      <c r="D2180" s="76" t="s">
        <v>11122</v>
      </c>
      <c r="E2180" s="76" t="s">
        <v>11123</v>
      </c>
      <c r="F2180" s="76" t="s">
        <v>11124</v>
      </c>
    </row>
    <row r="2181" spans="1:6" ht="63.95" customHeight="1">
      <c r="A2181" s="76" t="s">
        <v>5976</v>
      </c>
      <c r="B2181" s="76" t="s">
        <v>11144</v>
      </c>
      <c r="C2181" s="76" t="s">
        <v>11126</v>
      </c>
      <c r="D2181" s="76" t="s">
        <v>11127</v>
      </c>
      <c r="E2181" s="76" t="s">
        <v>11128</v>
      </c>
      <c r="F2181" s="76" t="s">
        <v>11124</v>
      </c>
    </row>
    <row r="2182" spans="1:6" ht="63.95" customHeight="1">
      <c r="A2182" s="76" t="s">
        <v>5976</v>
      </c>
      <c r="B2182" s="76" t="s">
        <v>11145</v>
      </c>
      <c r="C2182" s="76" t="s">
        <v>11130</v>
      </c>
      <c r="D2182" s="76" t="s">
        <v>11131</v>
      </c>
      <c r="E2182" s="76" t="s">
        <v>11132</v>
      </c>
      <c r="F2182" s="76" t="s">
        <v>11124</v>
      </c>
    </row>
    <row r="2183" spans="1:6" ht="63.95" customHeight="1">
      <c r="A2183" s="76" t="s">
        <v>5976</v>
      </c>
      <c r="B2183" s="76" t="s">
        <v>11146</v>
      </c>
      <c r="C2183" s="76" t="s">
        <v>11143</v>
      </c>
      <c r="D2183" s="76" t="s">
        <v>11122</v>
      </c>
      <c r="E2183" s="76" t="s">
        <v>11123</v>
      </c>
      <c r="F2183" s="76" t="s">
        <v>11124</v>
      </c>
    </row>
    <row r="2184" spans="1:6" ht="63.95" customHeight="1">
      <c r="A2184" s="76" t="s">
        <v>5976</v>
      </c>
      <c r="B2184" s="76" t="s">
        <v>11147</v>
      </c>
      <c r="C2184" s="76" t="s">
        <v>11126</v>
      </c>
      <c r="D2184" s="76" t="s">
        <v>11127</v>
      </c>
      <c r="E2184" s="76" t="s">
        <v>11128</v>
      </c>
      <c r="F2184" s="76" t="s">
        <v>11124</v>
      </c>
    </row>
    <row r="2185" spans="1:6" ht="63.95" customHeight="1">
      <c r="A2185" s="76" t="s">
        <v>5976</v>
      </c>
      <c r="B2185" s="76" t="s">
        <v>11148</v>
      </c>
      <c r="C2185" s="76" t="s">
        <v>11130</v>
      </c>
      <c r="D2185" s="76" t="s">
        <v>11131</v>
      </c>
      <c r="E2185" s="76" t="s">
        <v>11132</v>
      </c>
      <c r="F2185" s="76" t="s">
        <v>11124</v>
      </c>
    </row>
    <row r="2186" spans="1:6" ht="63.95" customHeight="1">
      <c r="A2186" s="76" t="s">
        <v>5976</v>
      </c>
      <c r="B2186" s="76" t="s">
        <v>11149</v>
      </c>
      <c r="C2186" s="76" t="s">
        <v>11143</v>
      </c>
      <c r="D2186" s="76" t="s">
        <v>11122</v>
      </c>
      <c r="E2186" s="76" t="s">
        <v>11123</v>
      </c>
      <c r="F2186" s="76" t="s">
        <v>11124</v>
      </c>
    </row>
    <row r="2187" spans="1:6" ht="63.95" customHeight="1">
      <c r="A2187" s="76" t="s">
        <v>5976</v>
      </c>
      <c r="B2187" s="76" t="s">
        <v>11150</v>
      </c>
      <c r="C2187" s="76" t="s">
        <v>11126</v>
      </c>
      <c r="D2187" s="76" t="s">
        <v>11127</v>
      </c>
      <c r="E2187" s="76" t="s">
        <v>11128</v>
      </c>
      <c r="F2187" s="76" t="s">
        <v>11124</v>
      </c>
    </row>
    <row r="2188" spans="1:6" ht="63.95" customHeight="1">
      <c r="A2188" s="76" t="s">
        <v>5976</v>
      </c>
      <c r="B2188" s="76" t="s">
        <v>11151</v>
      </c>
      <c r="C2188" s="76" t="s">
        <v>11130</v>
      </c>
      <c r="D2188" s="76" t="s">
        <v>11131</v>
      </c>
      <c r="E2188" s="76" t="s">
        <v>11132</v>
      </c>
      <c r="F2188" s="76" t="s">
        <v>11124</v>
      </c>
    </row>
    <row r="2189" spans="1:6" ht="63.95" customHeight="1">
      <c r="A2189" s="76" t="s">
        <v>5976</v>
      </c>
      <c r="B2189" s="76" t="s">
        <v>11152</v>
      </c>
      <c r="C2189" s="76" t="s">
        <v>11143</v>
      </c>
      <c r="D2189" s="76" t="s">
        <v>11122</v>
      </c>
      <c r="E2189" s="76" t="s">
        <v>11123</v>
      </c>
      <c r="F2189" s="76" t="s">
        <v>11124</v>
      </c>
    </row>
    <row r="2190" spans="1:6" ht="63.95" customHeight="1">
      <c r="A2190" s="76" t="s">
        <v>5976</v>
      </c>
      <c r="B2190" s="76" t="s">
        <v>11153</v>
      </c>
      <c r="C2190" s="76" t="s">
        <v>11126</v>
      </c>
      <c r="D2190" s="76" t="s">
        <v>11127</v>
      </c>
      <c r="E2190" s="76" t="s">
        <v>11128</v>
      </c>
      <c r="F2190" s="76" t="s">
        <v>11124</v>
      </c>
    </row>
    <row r="2191" spans="1:6" ht="63.95" customHeight="1">
      <c r="A2191" s="76" t="s">
        <v>5976</v>
      </c>
      <c r="B2191" s="76" t="s">
        <v>11154</v>
      </c>
      <c r="C2191" s="76" t="s">
        <v>11130</v>
      </c>
      <c r="D2191" s="76" t="s">
        <v>11131</v>
      </c>
      <c r="E2191" s="76" t="s">
        <v>11132</v>
      </c>
      <c r="F2191" s="76" t="s">
        <v>11124</v>
      </c>
    </row>
    <row r="2192" spans="1:6" ht="63.95" customHeight="1">
      <c r="A2192" s="76" t="s">
        <v>5976</v>
      </c>
      <c r="B2192" s="76" t="s">
        <v>11155</v>
      </c>
      <c r="C2192" s="76" t="s">
        <v>11143</v>
      </c>
      <c r="D2192" s="76" t="s">
        <v>11122</v>
      </c>
      <c r="E2192" s="76" t="s">
        <v>11123</v>
      </c>
      <c r="F2192" s="76" t="s">
        <v>11124</v>
      </c>
    </row>
    <row r="2193" spans="1:6" ht="63.95" customHeight="1">
      <c r="A2193" s="76" t="s">
        <v>5976</v>
      </c>
      <c r="B2193" s="76" t="s">
        <v>11156</v>
      </c>
      <c r="C2193" s="76" t="s">
        <v>11126</v>
      </c>
      <c r="D2193" s="76" t="s">
        <v>11127</v>
      </c>
      <c r="E2193" s="76" t="s">
        <v>11128</v>
      </c>
      <c r="F2193" s="76" t="s">
        <v>11124</v>
      </c>
    </row>
    <row r="2194" spans="1:6" ht="63.95" customHeight="1">
      <c r="A2194" s="76" t="s">
        <v>5976</v>
      </c>
      <c r="B2194" s="76" t="s">
        <v>11157</v>
      </c>
      <c r="C2194" s="76" t="s">
        <v>11130</v>
      </c>
      <c r="D2194" s="76" t="s">
        <v>11131</v>
      </c>
      <c r="E2194" s="76" t="s">
        <v>11132</v>
      </c>
      <c r="F2194" s="76" t="s">
        <v>11124</v>
      </c>
    </row>
    <row r="2195" spans="1:6" ht="63.95" customHeight="1">
      <c r="A2195" s="76" t="s">
        <v>5976</v>
      </c>
      <c r="B2195" s="76" t="s">
        <v>11158</v>
      </c>
      <c r="C2195" s="76" t="s">
        <v>11121</v>
      </c>
      <c r="D2195" s="76" t="s">
        <v>11122</v>
      </c>
      <c r="E2195" s="76" t="s">
        <v>11123</v>
      </c>
      <c r="F2195" s="76" t="s">
        <v>11124</v>
      </c>
    </row>
    <row r="2196" spans="1:6" ht="63.95" customHeight="1">
      <c r="A2196" s="76" t="s">
        <v>5976</v>
      </c>
      <c r="B2196" s="76" t="s">
        <v>11159</v>
      </c>
      <c r="C2196" s="76" t="s">
        <v>11126</v>
      </c>
      <c r="D2196" s="76" t="s">
        <v>11127</v>
      </c>
      <c r="E2196" s="76" t="s">
        <v>11128</v>
      </c>
      <c r="F2196" s="76" t="s">
        <v>11124</v>
      </c>
    </row>
    <row r="2197" spans="1:6" ht="63.95" customHeight="1">
      <c r="A2197" s="76" t="s">
        <v>5976</v>
      </c>
      <c r="B2197" s="76" t="s">
        <v>11160</v>
      </c>
      <c r="C2197" s="76" t="s">
        <v>11130</v>
      </c>
      <c r="D2197" s="76" t="s">
        <v>11131</v>
      </c>
      <c r="E2197" s="76" t="s">
        <v>11132</v>
      </c>
      <c r="F2197" s="76" t="s">
        <v>11124</v>
      </c>
    </row>
    <row r="2198" spans="1:6" ht="63.95" customHeight="1">
      <c r="A2198" s="76" t="s">
        <v>5976</v>
      </c>
      <c r="B2198" s="76" t="s">
        <v>11161</v>
      </c>
      <c r="C2198" s="76" t="s">
        <v>11121</v>
      </c>
      <c r="D2198" s="76" t="s">
        <v>11122</v>
      </c>
      <c r="E2198" s="76" t="s">
        <v>11123</v>
      </c>
      <c r="F2198" s="76" t="s">
        <v>11124</v>
      </c>
    </row>
    <row r="2199" spans="1:6" ht="63.95" customHeight="1">
      <c r="A2199" s="76" t="s">
        <v>5976</v>
      </c>
      <c r="B2199" s="76" t="s">
        <v>11162</v>
      </c>
      <c r="C2199" s="76" t="s">
        <v>11126</v>
      </c>
      <c r="D2199" s="76" t="s">
        <v>11127</v>
      </c>
      <c r="E2199" s="76" t="s">
        <v>11128</v>
      </c>
      <c r="F2199" s="76" t="s">
        <v>11124</v>
      </c>
    </row>
    <row r="2200" spans="1:6" ht="63.95" customHeight="1">
      <c r="A2200" s="76" t="s">
        <v>5976</v>
      </c>
      <c r="B2200" s="76" t="s">
        <v>11163</v>
      </c>
      <c r="C2200" s="76" t="s">
        <v>11130</v>
      </c>
      <c r="D2200" s="76" t="s">
        <v>11131</v>
      </c>
      <c r="E2200" s="76" t="s">
        <v>11132</v>
      </c>
      <c r="F2200" s="76" t="s">
        <v>11124</v>
      </c>
    </row>
    <row r="2201" spans="1:6" ht="63.95" customHeight="1">
      <c r="A2201" s="76" t="s">
        <v>5976</v>
      </c>
      <c r="B2201" s="76" t="s">
        <v>11164</v>
      </c>
      <c r="C2201" s="76" t="s">
        <v>11121</v>
      </c>
      <c r="D2201" s="76" t="s">
        <v>11122</v>
      </c>
      <c r="E2201" s="76" t="s">
        <v>11123</v>
      </c>
      <c r="F2201" s="76" t="s">
        <v>11124</v>
      </c>
    </row>
    <row r="2202" spans="1:6" ht="63.95" customHeight="1">
      <c r="A2202" s="76" t="s">
        <v>5976</v>
      </c>
      <c r="B2202" s="76" t="s">
        <v>11165</v>
      </c>
      <c r="C2202" s="76" t="s">
        <v>11126</v>
      </c>
      <c r="D2202" s="76" t="s">
        <v>11127</v>
      </c>
      <c r="E2202" s="76" t="s">
        <v>11128</v>
      </c>
      <c r="F2202" s="76" t="s">
        <v>11124</v>
      </c>
    </row>
    <row r="2203" spans="1:6" ht="63.95" customHeight="1">
      <c r="A2203" s="76" t="s">
        <v>5976</v>
      </c>
      <c r="B2203" s="76" t="s">
        <v>11166</v>
      </c>
      <c r="C2203" s="76" t="s">
        <v>11130</v>
      </c>
      <c r="D2203" s="76" t="s">
        <v>11131</v>
      </c>
      <c r="E2203" s="76" t="s">
        <v>11132</v>
      </c>
      <c r="F2203" s="76" t="s">
        <v>11124</v>
      </c>
    </row>
    <row r="2204" spans="1:6" ht="63.95" customHeight="1">
      <c r="A2204" s="76" t="s">
        <v>5976</v>
      </c>
      <c r="B2204" s="76" t="s">
        <v>11167</v>
      </c>
      <c r="C2204" s="76" t="s">
        <v>11143</v>
      </c>
      <c r="D2204" s="76" t="s">
        <v>11122</v>
      </c>
      <c r="E2204" s="76" t="s">
        <v>11123</v>
      </c>
      <c r="F2204" s="76" t="s">
        <v>11124</v>
      </c>
    </row>
    <row r="2205" spans="1:6" ht="63.95" customHeight="1">
      <c r="A2205" s="76" t="s">
        <v>5976</v>
      </c>
      <c r="B2205" s="76" t="s">
        <v>11168</v>
      </c>
      <c r="C2205" s="76" t="s">
        <v>11126</v>
      </c>
      <c r="D2205" s="76" t="s">
        <v>11127</v>
      </c>
      <c r="E2205" s="76" t="s">
        <v>11128</v>
      </c>
      <c r="F2205" s="76" t="s">
        <v>11124</v>
      </c>
    </row>
    <row r="2206" spans="1:6" ht="63.95" customHeight="1">
      <c r="A2206" s="76" t="s">
        <v>5976</v>
      </c>
      <c r="B2206" s="76" t="s">
        <v>11169</v>
      </c>
      <c r="C2206" s="76" t="s">
        <v>11130</v>
      </c>
      <c r="D2206" s="76" t="s">
        <v>11131</v>
      </c>
      <c r="E2206" s="76" t="s">
        <v>11132</v>
      </c>
      <c r="F2206" s="76" t="s">
        <v>11124</v>
      </c>
    </row>
    <row r="2207" spans="1:6" ht="63.95" customHeight="1">
      <c r="A2207" s="76" t="s">
        <v>5976</v>
      </c>
      <c r="B2207" s="76" t="s">
        <v>11170</v>
      </c>
      <c r="C2207" s="76" t="s">
        <v>11143</v>
      </c>
      <c r="D2207" s="76" t="s">
        <v>11122</v>
      </c>
      <c r="E2207" s="76" t="s">
        <v>11123</v>
      </c>
      <c r="F2207" s="76" t="s">
        <v>11124</v>
      </c>
    </row>
    <row r="2208" spans="1:6" ht="63.95" customHeight="1">
      <c r="A2208" s="76" t="s">
        <v>5976</v>
      </c>
      <c r="B2208" s="76" t="s">
        <v>11171</v>
      </c>
      <c r="C2208" s="76" t="s">
        <v>11126</v>
      </c>
      <c r="D2208" s="76" t="s">
        <v>11127</v>
      </c>
      <c r="E2208" s="76" t="s">
        <v>11128</v>
      </c>
      <c r="F2208" s="76" t="s">
        <v>11124</v>
      </c>
    </row>
    <row r="2209" spans="1:6" ht="63.95" customHeight="1">
      <c r="A2209" s="76" t="s">
        <v>5976</v>
      </c>
      <c r="B2209" s="76" t="s">
        <v>11172</v>
      </c>
      <c r="C2209" s="76" t="s">
        <v>11130</v>
      </c>
      <c r="D2209" s="76" t="s">
        <v>11131</v>
      </c>
      <c r="E2209" s="76" t="s">
        <v>11132</v>
      </c>
      <c r="F2209" s="76" t="s">
        <v>11124</v>
      </c>
    </row>
    <row r="2210" spans="1:6" ht="63.95" customHeight="1">
      <c r="A2210" s="76" t="s">
        <v>5976</v>
      </c>
      <c r="B2210" s="76" t="s">
        <v>11173</v>
      </c>
      <c r="C2210" s="76" t="s">
        <v>11143</v>
      </c>
      <c r="D2210" s="76" t="s">
        <v>11122</v>
      </c>
      <c r="E2210" s="76" t="s">
        <v>11123</v>
      </c>
      <c r="F2210" s="76" t="s">
        <v>11124</v>
      </c>
    </row>
    <row r="2211" spans="1:6" ht="63.95" customHeight="1">
      <c r="A2211" s="76" t="s">
        <v>5976</v>
      </c>
      <c r="B2211" s="76" t="s">
        <v>11174</v>
      </c>
      <c r="C2211" s="76" t="s">
        <v>11126</v>
      </c>
      <c r="D2211" s="76" t="s">
        <v>11127</v>
      </c>
      <c r="E2211" s="76" t="s">
        <v>11128</v>
      </c>
      <c r="F2211" s="76" t="s">
        <v>11124</v>
      </c>
    </row>
    <row r="2212" spans="1:6" ht="63.95" customHeight="1">
      <c r="A2212" s="76" t="s">
        <v>5976</v>
      </c>
      <c r="B2212" s="76" t="s">
        <v>11175</v>
      </c>
      <c r="C2212" s="76" t="s">
        <v>11130</v>
      </c>
      <c r="D2212" s="76" t="s">
        <v>11131</v>
      </c>
      <c r="E2212" s="76" t="s">
        <v>11132</v>
      </c>
      <c r="F2212" s="76" t="s">
        <v>11124</v>
      </c>
    </row>
    <row r="2213" spans="1:6" ht="63.95" customHeight="1">
      <c r="A2213" s="76" t="s">
        <v>5976</v>
      </c>
      <c r="B2213" s="76" t="s">
        <v>11176</v>
      </c>
      <c r="C2213" s="76" t="s">
        <v>11143</v>
      </c>
      <c r="D2213" s="76" t="s">
        <v>11122</v>
      </c>
      <c r="E2213" s="76" t="s">
        <v>11123</v>
      </c>
      <c r="F2213" s="76" t="s">
        <v>11124</v>
      </c>
    </row>
    <row r="2214" spans="1:6" ht="63.95" customHeight="1">
      <c r="A2214" s="76" t="s">
        <v>5976</v>
      </c>
      <c r="B2214" s="76" t="s">
        <v>11177</v>
      </c>
      <c r="C2214" s="76" t="s">
        <v>11126</v>
      </c>
      <c r="D2214" s="76" t="s">
        <v>11127</v>
      </c>
      <c r="E2214" s="76" t="s">
        <v>11128</v>
      </c>
      <c r="F2214" s="76" t="s">
        <v>11124</v>
      </c>
    </row>
    <row r="2215" spans="1:6" ht="63.95" customHeight="1">
      <c r="A2215" s="76" t="s">
        <v>5976</v>
      </c>
      <c r="B2215" s="76" t="s">
        <v>11178</v>
      </c>
      <c r="C2215" s="76" t="s">
        <v>11130</v>
      </c>
      <c r="D2215" s="76" t="s">
        <v>11131</v>
      </c>
      <c r="E2215" s="76" t="s">
        <v>11132</v>
      </c>
      <c r="F2215" s="76" t="s">
        <v>11124</v>
      </c>
    </row>
    <row r="2216" spans="1:6" ht="63.95" customHeight="1">
      <c r="A2216" s="76" t="s">
        <v>5976</v>
      </c>
      <c r="B2216" s="76" t="s">
        <v>11179</v>
      </c>
      <c r="C2216" s="76" t="s">
        <v>11143</v>
      </c>
      <c r="D2216" s="76" t="s">
        <v>11122</v>
      </c>
      <c r="E2216" s="76" t="s">
        <v>11123</v>
      </c>
      <c r="F2216" s="76" t="s">
        <v>11124</v>
      </c>
    </row>
    <row r="2217" spans="1:6" ht="63.95" customHeight="1">
      <c r="A2217" s="76" t="s">
        <v>5976</v>
      </c>
      <c r="B2217" s="76" t="s">
        <v>11180</v>
      </c>
      <c r="C2217" s="76" t="s">
        <v>11126</v>
      </c>
      <c r="D2217" s="76" t="s">
        <v>11127</v>
      </c>
      <c r="E2217" s="76" t="s">
        <v>11128</v>
      </c>
      <c r="F2217" s="76" t="s">
        <v>11124</v>
      </c>
    </row>
    <row r="2218" spans="1:6" ht="63.95" customHeight="1">
      <c r="A2218" s="76" t="s">
        <v>5976</v>
      </c>
      <c r="B2218" s="76" t="s">
        <v>11181</v>
      </c>
      <c r="C2218" s="76" t="s">
        <v>11130</v>
      </c>
      <c r="D2218" s="76" t="s">
        <v>11131</v>
      </c>
      <c r="E2218" s="76" t="s">
        <v>11132</v>
      </c>
      <c r="F2218" s="76" t="s">
        <v>11124</v>
      </c>
    </row>
    <row r="2219" spans="1:6" ht="63.95" customHeight="1">
      <c r="A2219" s="76" t="s">
        <v>5976</v>
      </c>
      <c r="B2219" s="76" t="s">
        <v>11182</v>
      </c>
      <c r="C2219" s="76" t="s">
        <v>11143</v>
      </c>
      <c r="D2219" s="76" t="s">
        <v>11122</v>
      </c>
      <c r="E2219" s="76" t="s">
        <v>11123</v>
      </c>
      <c r="F2219" s="76" t="s">
        <v>11124</v>
      </c>
    </row>
    <row r="2220" spans="1:6" ht="63.95" customHeight="1">
      <c r="A2220" s="76" t="s">
        <v>5976</v>
      </c>
      <c r="B2220" s="76" t="s">
        <v>11183</v>
      </c>
      <c r="C2220" s="76" t="s">
        <v>11126</v>
      </c>
      <c r="D2220" s="76" t="s">
        <v>11127</v>
      </c>
      <c r="E2220" s="76" t="s">
        <v>11128</v>
      </c>
      <c r="F2220" s="76" t="s">
        <v>11124</v>
      </c>
    </row>
    <row r="2221" spans="1:6" ht="63.95" customHeight="1">
      <c r="A2221" s="76" t="s">
        <v>5976</v>
      </c>
      <c r="B2221" s="76" t="s">
        <v>11184</v>
      </c>
      <c r="C2221" s="76" t="s">
        <v>11130</v>
      </c>
      <c r="D2221" s="76" t="s">
        <v>11131</v>
      </c>
      <c r="E2221" s="76" t="s">
        <v>11132</v>
      </c>
      <c r="F2221" s="76" t="s">
        <v>11124</v>
      </c>
    </row>
    <row r="2222" spans="1:6" ht="63.95" customHeight="1">
      <c r="A2222" s="76" t="s">
        <v>5976</v>
      </c>
      <c r="B2222" s="76" t="s">
        <v>11185</v>
      </c>
      <c r="C2222" s="76" t="s">
        <v>11143</v>
      </c>
      <c r="D2222" s="76" t="s">
        <v>11122</v>
      </c>
      <c r="E2222" s="76" t="s">
        <v>11123</v>
      </c>
      <c r="F2222" s="76" t="s">
        <v>11124</v>
      </c>
    </row>
    <row r="2223" spans="1:6" ht="63.95" customHeight="1">
      <c r="A2223" s="76" t="s">
        <v>5976</v>
      </c>
      <c r="B2223" s="76" t="s">
        <v>11186</v>
      </c>
      <c r="C2223" s="76" t="s">
        <v>11126</v>
      </c>
      <c r="D2223" s="76" t="s">
        <v>11127</v>
      </c>
      <c r="E2223" s="76" t="s">
        <v>11128</v>
      </c>
      <c r="F2223" s="76" t="s">
        <v>11124</v>
      </c>
    </row>
    <row r="2224" spans="1:6" ht="63.95" customHeight="1">
      <c r="A2224" s="76" t="s">
        <v>5976</v>
      </c>
      <c r="B2224" s="76" t="s">
        <v>11187</v>
      </c>
      <c r="C2224" s="76" t="s">
        <v>11130</v>
      </c>
      <c r="D2224" s="76" t="s">
        <v>11131</v>
      </c>
      <c r="E2224" s="76" t="s">
        <v>11132</v>
      </c>
      <c r="F2224" s="76" t="s">
        <v>11124</v>
      </c>
    </row>
    <row r="2225" spans="1:6" ht="63.95" customHeight="1">
      <c r="A2225" s="76" t="s">
        <v>5976</v>
      </c>
      <c r="B2225" s="76" t="s">
        <v>11188</v>
      </c>
      <c r="C2225" s="76" t="s">
        <v>11143</v>
      </c>
      <c r="D2225" s="76" t="s">
        <v>11122</v>
      </c>
      <c r="E2225" s="76" t="s">
        <v>11123</v>
      </c>
      <c r="F2225" s="76" t="s">
        <v>11124</v>
      </c>
    </row>
    <row r="2226" spans="1:6" ht="63.95" customHeight="1">
      <c r="A2226" s="76" t="s">
        <v>5976</v>
      </c>
      <c r="B2226" s="76" t="s">
        <v>11189</v>
      </c>
      <c r="C2226" s="76" t="s">
        <v>11126</v>
      </c>
      <c r="D2226" s="76" t="s">
        <v>11127</v>
      </c>
      <c r="E2226" s="76" t="s">
        <v>11128</v>
      </c>
      <c r="F2226" s="76" t="s">
        <v>11124</v>
      </c>
    </row>
    <row r="2227" spans="1:6" ht="63.95" customHeight="1">
      <c r="A2227" s="76" t="s">
        <v>5976</v>
      </c>
      <c r="B2227" s="76" t="s">
        <v>11190</v>
      </c>
      <c r="C2227" s="76" t="s">
        <v>11130</v>
      </c>
      <c r="D2227" s="76" t="s">
        <v>11131</v>
      </c>
      <c r="E2227" s="76" t="s">
        <v>11132</v>
      </c>
      <c r="F2227" s="76" t="s">
        <v>11124</v>
      </c>
    </row>
    <row r="2228" spans="1:6" ht="63.95" customHeight="1">
      <c r="A2228" s="76" t="s">
        <v>5976</v>
      </c>
      <c r="B2228" s="76" t="s">
        <v>11191</v>
      </c>
      <c r="C2228" s="76" t="s">
        <v>11143</v>
      </c>
      <c r="D2228" s="76" t="s">
        <v>11122</v>
      </c>
      <c r="E2228" s="76" t="s">
        <v>11123</v>
      </c>
      <c r="F2228" s="76" t="s">
        <v>11124</v>
      </c>
    </row>
    <row r="2229" spans="1:6" ht="63.95" customHeight="1">
      <c r="A2229" s="76" t="s">
        <v>5976</v>
      </c>
      <c r="B2229" s="76" t="s">
        <v>11192</v>
      </c>
      <c r="C2229" s="76" t="s">
        <v>11126</v>
      </c>
      <c r="D2229" s="76" t="s">
        <v>11127</v>
      </c>
      <c r="E2229" s="76" t="s">
        <v>11128</v>
      </c>
      <c r="F2229" s="76" t="s">
        <v>11124</v>
      </c>
    </row>
    <row r="2230" spans="1:6" ht="63.95" customHeight="1">
      <c r="A2230" s="76" t="s">
        <v>5976</v>
      </c>
      <c r="B2230" s="76" t="s">
        <v>11193</v>
      </c>
      <c r="C2230" s="76" t="s">
        <v>11130</v>
      </c>
      <c r="D2230" s="76" t="s">
        <v>11131</v>
      </c>
      <c r="E2230" s="76" t="s">
        <v>11132</v>
      </c>
      <c r="F2230" s="76" t="s">
        <v>11124</v>
      </c>
    </row>
    <row r="2231" spans="1:6" ht="63.95" customHeight="1">
      <c r="A2231" s="76" t="s">
        <v>5976</v>
      </c>
      <c r="B2231" s="76" t="s">
        <v>11194</v>
      </c>
      <c r="C2231" s="76" t="s">
        <v>11143</v>
      </c>
      <c r="D2231" s="76" t="s">
        <v>11122</v>
      </c>
      <c r="E2231" s="76" t="s">
        <v>11123</v>
      </c>
      <c r="F2231" s="76" t="s">
        <v>11124</v>
      </c>
    </row>
    <row r="2232" spans="1:6" ht="63.95" customHeight="1">
      <c r="A2232" s="76" t="s">
        <v>5976</v>
      </c>
      <c r="B2232" s="76" t="s">
        <v>11195</v>
      </c>
      <c r="C2232" s="76" t="s">
        <v>11126</v>
      </c>
      <c r="D2232" s="76" t="s">
        <v>11127</v>
      </c>
      <c r="E2232" s="76" t="s">
        <v>11128</v>
      </c>
      <c r="F2232" s="76" t="s">
        <v>11124</v>
      </c>
    </row>
    <row r="2233" spans="1:6" ht="63.95" customHeight="1">
      <c r="A2233" s="76" t="s">
        <v>5976</v>
      </c>
      <c r="B2233" s="76" t="s">
        <v>11196</v>
      </c>
      <c r="C2233" s="76" t="s">
        <v>11130</v>
      </c>
      <c r="D2233" s="76" t="s">
        <v>11131</v>
      </c>
      <c r="E2233" s="76" t="s">
        <v>11132</v>
      </c>
      <c r="F2233" s="76" t="s">
        <v>11124</v>
      </c>
    </row>
    <row r="2234" spans="1:6" ht="63.95" customHeight="1">
      <c r="A2234" s="76" t="s">
        <v>5976</v>
      </c>
      <c r="B2234" s="76" t="s">
        <v>11197</v>
      </c>
      <c r="C2234" s="76" t="s">
        <v>11143</v>
      </c>
      <c r="D2234" s="76" t="s">
        <v>11122</v>
      </c>
      <c r="E2234" s="76" t="s">
        <v>11123</v>
      </c>
      <c r="F2234" s="76" t="s">
        <v>11124</v>
      </c>
    </row>
    <row r="2235" spans="1:6" ht="63.95" customHeight="1">
      <c r="A2235" s="76" t="s">
        <v>5976</v>
      </c>
      <c r="B2235" s="76" t="s">
        <v>11198</v>
      </c>
      <c r="C2235" s="76" t="s">
        <v>11126</v>
      </c>
      <c r="D2235" s="76" t="s">
        <v>11127</v>
      </c>
      <c r="E2235" s="76" t="s">
        <v>11128</v>
      </c>
      <c r="F2235" s="76" t="s">
        <v>11124</v>
      </c>
    </row>
    <row r="2236" spans="1:6" ht="63.95" customHeight="1">
      <c r="A2236" s="76" t="s">
        <v>5976</v>
      </c>
      <c r="B2236" s="76" t="s">
        <v>11199</v>
      </c>
      <c r="C2236" s="76" t="s">
        <v>11130</v>
      </c>
      <c r="D2236" s="76" t="s">
        <v>11131</v>
      </c>
      <c r="E2236" s="76" t="s">
        <v>11132</v>
      </c>
      <c r="F2236" s="76" t="s">
        <v>11124</v>
      </c>
    </row>
    <row r="2237" spans="1:6" ht="63.95" customHeight="1">
      <c r="A2237" s="76" t="s">
        <v>5976</v>
      </c>
      <c r="B2237" s="76" t="s">
        <v>11200</v>
      </c>
      <c r="C2237" s="76" t="s">
        <v>11201</v>
      </c>
      <c r="D2237" s="76" t="s">
        <v>11122</v>
      </c>
      <c r="E2237" s="76" t="s">
        <v>11123</v>
      </c>
      <c r="F2237" s="76" t="s">
        <v>11124</v>
      </c>
    </row>
    <row r="2238" spans="1:6" ht="63.95" customHeight="1">
      <c r="A2238" s="76" t="s">
        <v>5976</v>
      </c>
      <c r="B2238" s="76" t="s">
        <v>11202</v>
      </c>
      <c r="C2238" s="76" t="s">
        <v>11203</v>
      </c>
      <c r="D2238" s="76" t="s">
        <v>11131</v>
      </c>
      <c r="E2238" s="76" t="s">
        <v>11128</v>
      </c>
      <c r="F2238" s="76" t="s">
        <v>11124</v>
      </c>
    </row>
    <row r="2239" spans="1:6" ht="63.95" customHeight="1">
      <c r="A2239" s="76" t="s">
        <v>5976</v>
      </c>
      <c r="B2239" s="76" t="s">
        <v>11204</v>
      </c>
      <c r="C2239" s="76" t="s">
        <v>11130</v>
      </c>
      <c r="D2239" s="76" t="s">
        <v>11131</v>
      </c>
      <c r="E2239" s="76" t="s">
        <v>11132</v>
      </c>
      <c r="F2239" s="76" t="s">
        <v>11124</v>
      </c>
    </row>
    <row r="2240" spans="1:6" ht="63.95" customHeight="1">
      <c r="A2240" s="76" t="s">
        <v>5976</v>
      </c>
      <c r="B2240" s="76" t="s">
        <v>11205</v>
      </c>
      <c r="C2240" s="76" t="s">
        <v>11206</v>
      </c>
      <c r="D2240" s="76" t="s">
        <v>11122</v>
      </c>
      <c r="E2240" s="76" t="s">
        <v>11123</v>
      </c>
      <c r="F2240" s="76" t="s">
        <v>11124</v>
      </c>
    </row>
    <row r="2241" spans="1:6" ht="63.95" customHeight="1">
      <c r="A2241" s="76" t="s">
        <v>5976</v>
      </c>
      <c r="B2241" s="76" t="s">
        <v>11207</v>
      </c>
      <c r="C2241" s="76" t="s">
        <v>11208</v>
      </c>
      <c r="D2241" s="76" t="s">
        <v>11209</v>
      </c>
      <c r="E2241" s="76" t="s">
        <v>11128</v>
      </c>
      <c r="F2241" s="76" t="s">
        <v>11124</v>
      </c>
    </row>
    <row r="2242" spans="1:6" ht="63.95" customHeight="1">
      <c r="A2242" s="76" t="s">
        <v>5976</v>
      </c>
      <c r="B2242" s="76" t="s">
        <v>11210</v>
      </c>
      <c r="C2242" s="76" t="s">
        <v>11130</v>
      </c>
      <c r="D2242" s="76" t="s">
        <v>11131</v>
      </c>
      <c r="E2242" s="76" t="s">
        <v>11132</v>
      </c>
      <c r="F2242" s="76" t="s">
        <v>11124</v>
      </c>
    </row>
    <row r="2243" spans="1:6" ht="63.95" customHeight="1">
      <c r="A2243" s="76" t="s">
        <v>5976</v>
      </c>
      <c r="B2243" s="76" t="s">
        <v>11211</v>
      </c>
      <c r="C2243" s="76" t="s">
        <v>11201</v>
      </c>
      <c r="D2243" s="76" t="s">
        <v>11122</v>
      </c>
      <c r="E2243" s="76" t="s">
        <v>11123</v>
      </c>
      <c r="F2243" s="76" t="s">
        <v>11124</v>
      </c>
    </row>
    <row r="2244" spans="1:6" ht="63.95" customHeight="1">
      <c r="A2244" s="76" t="s">
        <v>5976</v>
      </c>
      <c r="B2244" s="76" t="s">
        <v>11212</v>
      </c>
      <c r="C2244" s="76" t="s">
        <v>11203</v>
      </c>
      <c r="D2244" s="76" t="s">
        <v>11131</v>
      </c>
      <c r="E2244" s="76" t="s">
        <v>11128</v>
      </c>
      <c r="F2244" s="76" t="s">
        <v>11124</v>
      </c>
    </row>
    <row r="2245" spans="1:6" ht="63.95" customHeight="1">
      <c r="A2245" s="76" t="s">
        <v>5976</v>
      </c>
      <c r="B2245" s="76" t="s">
        <v>11213</v>
      </c>
      <c r="C2245" s="76" t="s">
        <v>11130</v>
      </c>
      <c r="D2245" s="76" t="s">
        <v>11131</v>
      </c>
      <c r="E2245" s="76" t="s">
        <v>11132</v>
      </c>
      <c r="F2245" s="76" t="s">
        <v>11124</v>
      </c>
    </row>
    <row r="2246" spans="1:6" ht="63.95" customHeight="1">
      <c r="A2246" s="76" t="s">
        <v>5976</v>
      </c>
      <c r="B2246" s="76" t="s">
        <v>11214</v>
      </c>
      <c r="C2246" s="76" t="s">
        <v>11201</v>
      </c>
      <c r="D2246" s="76" t="s">
        <v>11122</v>
      </c>
      <c r="E2246" s="76" t="s">
        <v>11123</v>
      </c>
      <c r="F2246" s="76" t="s">
        <v>11124</v>
      </c>
    </row>
    <row r="2247" spans="1:6" ht="63.95" customHeight="1">
      <c r="A2247" s="76" t="s">
        <v>5976</v>
      </c>
      <c r="B2247" s="76" t="s">
        <v>11215</v>
      </c>
      <c r="C2247" s="76" t="s">
        <v>11203</v>
      </c>
      <c r="D2247" s="76" t="s">
        <v>11131</v>
      </c>
      <c r="E2247" s="76" t="s">
        <v>11128</v>
      </c>
      <c r="F2247" s="76" t="s">
        <v>11124</v>
      </c>
    </row>
    <row r="2248" spans="1:6" ht="63.95" customHeight="1">
      <c r="A2248" s="76" t="s">
        <v>5976</v>
      </c>
      <c r="B2248" s="76" t="s">
        <v>11216</v>
      </c>
      <c r="C2248" s="76" t="s">
        <v>11130</v>
      </c>
      <c r="D2248" s="76" t="s">
        <v>11131</v>
      </c>
      <c r="E2248" s="76" t="s">
        <v>11132</v>
      </c>
      <c r="F2248" s="76" t="s">
        <v>11124</v>
      </c>
    </row>
    <row r="2249" spans="1:6" ht="63.95" customHeight="1">
      <c r="A2249" s="76" t="s">
        <v>5976</v>
      </c>
      <c r="B2249" s="76" t="s">
        <v>11217</v>
      </c>
      <c r="C2249" s="76" t="s">
        <v>11201</v>
      </c>
      <c r="D2249" s="76" t="s">
        <v>11122</v>
      </c>
      <c r="E2249" s="76" t="s">
        <v>11123</v>
      </c>
      <c r="F2249" s="76" t="s">
        <v>11124</v>
      </c>
    </row>
    <row r="2250" spans="1:6" ht="63.95" customHeight="1">
      <c r="A2250" s="76" t="s">
        <v>5976</v>
      </c>
      <c r="B2250" s="76" t="s">
        <v>11218</v>
      </c>
      <c r="C2250" s="76" t="s">
        <v>11203</v>
      </c>
      <c r="D2250" s="76" t="s">
        <v>11131</v>
      </c>
      <c r="E2250" s="76" t="s">
        <v>11128</v>
      </c>
      <c r="F2250" s="76" t="s">
        <v>11124</v>
      </c>
    </row>
    <row r="2251" spans="1:6" ht="63.95" customHeight="1">
      <c r="A2251" s="76" t="s">
        <v>5976</v>
      </c>
      <c r="B2251" s="76" t="s">
        <v>11219</v>
      </c>
      <c r="C2251" s="76" t="s">
        <v>11130</v>
      </c>
      <c r="D2251" s="76" t="s">
        <v>11131</v>
      </c>
      <c r="E2251" s="76" t="s">
        <v>11132</v>
      </c>
      <c r="F2251" s="76" t="s">
        <v>11124</v>
      </c>
    </row>
    <row r="2252" spans="1:6" ht="63.95" customHeight="1">
      <c r="A2252" s="76" t="s">
        <v>5976</v>
      </c>
      <c r="B2252" s="76" t="s">
        <v>11220</v>
      </c>
      <c r="C2252" s="76" t="s">
        <v>11201</v>
      </c>
      <c r="D2252" s="76" t="s">
        <v>11122</v>
      </c>
      <c r="E2252" s="76" t="s">
        <v>11123</v>
      </c>
      <c r="F2252" s="76" t="s">
        <v>11124</v>
      </c>
    </row>
    <row r="2253" spans="1:6" ht="63.95" customHeight="1">
      <c r="A2253" s="76" t="s">
        <v>5976</v>
      </c>
      <c r="B2253" s="76" t="s">
        <v>11221</v>
      </c>
      <c r="C2253" s="76" t="s">
        <v>11203</v>
      </c>
      <c r="D2253" s="76" t="s">
        <v>11131</v>
      </c>
      <c r="E2253" s="76" t="s">
        <v>11128</v>
      </c>
      <c r="F2253" s="76" t="s">
        <v>11124</v>
      </c>
    </row>
    <row r="2254" spans="1:6" ht="63.95" customHeight="1">
      <c r="A2254" s="76" t="s">
        <v>5976</v>
      </c>
      <c r="B2254" s="76" t="s">
        <v>11222</v>
      </c>
      <c r="C2254" s="76" t="s">
        <v>11130</v>
      </c>
      <c r="D2254" s="76" t="s">
        <v>11131</v>
      </c>
      <c r="E2254" s="76" t="s">
        <v>11132</v>
      </c>
      <c r="F2254" s="76" t="s">
        <v>11124</v>
      </c>
    </row>
    <row r="2255" spans="1:6" ht="63.95" customHeight="1">
      <c r="A2255" s="76" t="s">
        <v>5976</v>
      </c>
      <c r="B2255" s="76" t="s">
        <v>11223</v>
      </c>
      <c r="C2255" s="76" t="s">
        <v>11201</v>
      </c>
      <c r="D2255" s="76" t="s">
        <v>11122</v>
      </c>
      <c r="E2255" s="76" t="s">
        <v>11123</v>
      </c>
      <c r="F2255" s="76" t="s">
        <v>11124</v>
      </c>
    </row>
    <row r="2256" spans="1:6" ht="63.95" customHeight="1">
      <c r="A2256" s="76" t="s">
        <v>5976</v>
      </c>
      <c r="B2256" s="76" t="s">
        <v>11224</v>
      </c>
      <c r="C2256" s="76" t="s">
        <v>11203</v>
      </c>
      <c r="D2256" s="76" t="s">
        <v>11131</v>
      </c>
      <c r="E2256" s="76" t="s">
        <v>11128</v>
      </c>
      <c r="F2256" s="76" t="s">
        <v>11124</v>
      </c>
    </row>
    <row r="2257" spans="1:6" ht="63.95" customHeight="1">
      <c r="A2257" s="76" t="s">
        <v>5976</v>
      </c>
      <c r="B2257" s="76" t="s">
        <v>11225</v>
      </c>
      <c r="C2257" s="76" t="s">
        <v>11130</v>
      </c>
      <c r="D2257" s="76" t="s">
        <v>11131</v>
      </c>
      <c r="E2257" s="76" t="s">
        <v>11132</v>
      </c>
      <c r="F2257" s="76" t="s">
        <v>11124</v>
      </c>
    </row>
    <row r="2258" spans="1:6" ht="63.95" customHeight="1">
      <c r="A2258" s="76" t="s">
        <v>5976</v>
      </c>
      <c r="B2258" s="76" t="s">
        <v>11226</v>
      </c>
      <c r="C2258" s="76" t="s">
        <v>11227</v>
      </c>
      <c r="D2258" s="76" t="s">
        <v>11122</v>
      </c>
      <c r="E2258" s="76" t="s">
        <v>11123</v>
      </c>
      <c r="F2258" s="76" t="s">
        <v>11124</v>
      </c>
    </row>
    <row r="2259" spans="1:6" ht="63.95" customHeight="1">
      <c r="A2259" s="76" t="s">
        <v>5976</v>
      </c>
      <c r="B2259" s="76" t="s">
        <v>11228</v>
      </c>
      <c r="C2259" s="76" t="s">
        <v>11203</v>
      </c>
      <c r="D2259" s="76" t="s">
        <v>11131</v>
      </c>
      <c r="E2259" s="76" t="s">
        <v>11128</v>
      </c>
      <c r="F2259" s="76" t="s">
        <v>11124</v>
      </c>
    </row>
    <row r="2260" spans="1:6" ht="63.95" customHeight="1">
      <c r="A2260" s="76" t="s">
        <v>5976</v>
      </c>
      <c r="B2260" s="76" t="s">
        <v>11229</v>
      </c>
      <c r="C2260" s="76" t="s">
        <v>11130</v>
      </c>
      <c r="D2260" s="76" t="s">
        <v>11131</v>
      </c>
      <c r="E2260" s="76" t="s">
        <v>11132</v>
      </c>
      <c r="F2260" s="76" t="s">
        <v>11124</v>
      </c>
    </row>
    <row r="2261" spans="1:6" ht="63.95" customHeight="1">
      <c r="A2261" s="76" t="s">
        <v>5976</v>
      </c>
      <c r="B2261" s="76" t="s">
        <v>11230</v>
      </c>
      <c r="C2261" s="76" t="s">
        <v>11201</v>
      </c>
      <c r="D2261" s="76" t="s">
        <v>11122</v>
      </c>
      <c r="E2261" s="76" t="s">
        <v>11123</v>
      </c>
      <c r="F2261" s="76" t="s">
        <v>11124</v>
      </c>
    </row>
    <row r="2262" spans="1:6" ht="63.95" customHeight="1">
      <c r="A2262" s="76" t="s">
        <v>5976</v>
      </c>
      <c r="B2262" s="76" t="s">
        <v>11231</v>
      </c>
      <c r="C2262" s="76" t="s">
        <v>11203</v>
      </c>
      <c r="D2262" s="76" t="s">
        <v>11131</v>
      </c>
      <c r="E2262" s="76" t="s">
        <v>11128</v>
      </c>
      <c r="F2262" s="76" t="s">
        <v>11124</v>
      </c>
    </row>
    <row r="2263" spans="1:6" ht="63.95" customHeight="1">
      <c r="A2263" s="76" t="s">
        <v>5976</v>
      </c>
      <c r="B2263" s="76" t="s">
        <v>11232</v>
      </c>
      <c r="C2263" s="76" t="s">
        <v>11130</v>
      </c>
      <c r="D2263" s="76" t="s">
        <v>11131</v>
      </c>
      <c r="E2263" s="76" t="s">
        <v>11132</v>
      </c>
      <c r="F2263" s="76" t="s">
        <v>11124</v>
      </c>
    </row>
    <row r="2264" spans="1:6" ht="63.95" customHeight="1">
      <c r="A2264" s="76" t="s">
        <v>5976</v>
      </c>
      <c r="B2264" s="76" t="s">
        <v>11233</v>
      </c>
      <c r="C2264" s="76" t="s">
        <v>11201</v>
      </c>
      <c r="D2264" s="76" t="s">
        <v>11122</v>
      </c>
      <c r="E2264" s="76" t="s">
        <v>11123</v>
      </c>
      <c r="F2264" s="76" t="s">
        <v>11124</v>
      </c>
    </row>
    <row r="2265" spans="1:6" ht="63.95" customHeight="1">
      <c r="A2265" s="76" t="s">
        <v>5976</v>
      </c>
      <c r="B2265" s="76" t="s">
        <v>11234</v>
      </c>
      <c r="C2265" s="76" t="s">
        <v>11203</v>
      </c>
      <c r="D2265" s="76" t="s">
        <v>11131</v>
      </c>
      <c r="E2265" s="76" t="s">
        <v>11128</v>
      </c>
      <c r="F2265" s="76" t="s">
        <v>11124</v>
      </c>
    </row>
    <row r="2266" spans="1:6" ht="63.95" customHeight="1">
      <c r="A2266" s="76" t="s">
        <v>5976</v>
      </c>
      <c r="B2266" s="76" t="s">
        <v>11235</v>
      </c>
      <c r="C2266" s="76" t="s">
        <v>11130</v>
      </c>
      <c r="D2266" s="76" t="s">
        <v>11131</v>
      </c>
      <c r="E2266" s="76" t="s">
        <v>11132</v>
      </c>
      <c r="F2266" s="76" t="s">
        <v>11124</v>
      </c>
    </row>
    <row r="2267" spans="1:6" ht="63.95" customHeight="1">
      <c r="A2267" s="76" t="s">
        <v>5976</v>
      </c>
      <c r="B2267" s="76" t="s">
        <v>11236</v>
      </c>
      <c r="C2267" s="76" t="s">
        <v>11201</v>
      </c>
      <c r="D2267" s="76" t="s">
        <v>11122</v>
      </c>
      <c r="E2267" s="76" t="s">
        <v>11123</v>
      </c>
      <c r="F2267" s="76" t="s">
        <v>11124</v>
      </c>
    </row>
    <row r="2268" spans="1:6" ht="63.95" customHeight="1">
      <c r="A2268" s="76" t="s">
        <v>5976</v>
      </c>
      <c r="B2268" s="76" t="s">
        <v>11237</v>
      </c>
      <c r="C2268" s="76" t="s">
        <v>11203</v>
      </c>
      <c r="D2268" s="76" t="s">
        <v>11131</v>
      </c>
      <c r="E2268" s="76" t="s">
        <v>11128</v>
      </c>
      <c r="F2268" s="76" t="s">
        <v>11124</v>
      </c>
    </row>
    <row r="2269" spans="1:6" ht="63.95" customHeight="1">
      <c r="A2269" s="76" t="s">
        <v>5976</v>
      </c>
      <c r="B2269" s="76" t="s">
        <v>11238</v>
      </c>
      <c r="C2269" s="76" t="s">
        <v>11130</v>
      </c>
      <c r="D2269" s="76" t="s">
        <v>11131</v>
      </c>
      <c r="E2269" s="76" t="s">
        <v>11132</v>
      </c>
      <c r="F2269" s="76" t="s">
        <v>11124</v>
      </c>
    </row>
    <row r="2270" spans="1:6" ht="63.95" customHeight="1">
      <c r="A2270" s="76" t="s">
        <v>5976</v>
      </c>
      <c r="B2270" s="76" t="s">
        <v>11239</v>
      </c>
      <c r="C2270" s="76" t="s">
        <v>11201</v>
      </c>
      <c r="D2270" s="76" t="s">
        <v>11122</v>
      </c>
      <c r="E2270" s="76" t="s">
        <v>11123</v>
      </c>
      <c r="F2270" s="76" t="s">
        <v>11124</v>
      </c>
    </row>
    <row r="2271" spans="1:6" ht="63.95" customHeight="1">
      <c r="A2271" s="76" t="s">
        <v>5976</v>
      </c>
      <c r="B2271" s="76" t="s">
        <v>11240</v>
      </c>
      <c r="C2271" s="76" t="s">
        <v>11203</v>
      </c>
      <c r="D2271" s="76" t="s">
        <v>11131</v>
      </c>
      <c r="E2271" s="76" t="s">
        <v>11128</v>
      </c>
      <c r="F2271" s="76" t="s">
        <v>11124</v>
      </c>
    </row>
    <row r="2272" spans="1:6" ht="63.95" customHeight="1">
      <c r="A2272" s="76" t="s">
        <v>5976</v>
      </c>
      <c r="B2272" s="76" t="s">
        <v>11241</v>
      </c>
      <c r="C2272" s="76" t="s">
        <v>11130</v>
      </c>
      <c r="D2272" s="76" t="s">
        <v>11131</v>
      </c>
      <c r="E2272" s="76" t="s">
        <v>11132</v>
      </c>
      <c r="F2272" s="76" t="s">
        <v>11124</v>
      </c>
    </row>
    <row r="2273" spans="1:6" ht="63.95" customHeight="1">
      <c r="A2273" s="76" t="s">
        <v>5976</v>
      </c>
      <c r="B2273" s="76" t="s">
        <v>11242</v>
      </c>
      <c r="C2273" s="76" t="s">
        <v>11201</v>
      </c>
      <c r="D2273" s="76" t="s">
        <v>11122</v>
      </c>
      <c r="E2273" s="76" t="s">
        <v>11123</v>
      </c>
      <c r="F2273" s="76" t="s">
        <v>11124</v>
      </c>
    </row>
    <row r="2274" spans="1:6" ht="63.95" customHeight="1">
      <c r="A2274" s="76" t="s">
        <v>5976</v>
      </c>
      <c r="B2274" s="76" t="s">
        <v>11243</v>
      </c>
      <c r="C2274" s="76" t="s">
        <v>11203</v>
      </c>
      <c r="D2274" s="76" t="s">
        <v>11131</v>
      </c>
      <c r="E2274" s="76" t="s">
        <v>11128</v>
      </c>
      <c r="F2274" s="76" t="s">
        <v>11124</v>
      </c>
    </row>
    <row r="2275" spans="1:6" ht="63.95" customHeight="1">
      <c r="A2275" s="76" t="s">
        <v>5976</v>
      </c>
      <c r="B2275" s="76" t="s">
        <v>11244</v>
      </c>
      <c r="C2275" s="76" t="s">
        <v>11130</v>
      </c>
      <c r="D2275" s="76" t="s">
        <v>11131</v>
      </c>
      <c r="E2275" s="76" t="s">
        <v>11132</v>
      </c>
      <c r="F2275" s="76" t="s">
        <v>11124</v>
      </c>
    </row>
    <row r="2276" spans="1:6" ht="63.95" customHeight="1">
      <c r="A2276" s="76" t="s">
        <v>5976</v>
      </c>
      <c r="B2276" s="76" t="s">
        <v>11245</v>
      </c>
      <c r="C2276" s="76" t="s">
        <v>11201</v>
      </c>
      <c r="D2276" s="76" t="s">
        <v>11122</v>
      </c>
      <c r="E2276" s="76" t="s">
        <v>11123</v>
      </c>
      <c r="F2276" s="76" t="s">
        <v>11124</v>
      </c>
    </row>
    <row r="2277" spans="1:6" ht="63.95" customHeight="1">
      <c r="A2277" s="76" t="s">
        <v>5976</v>
      </c>
      <c r="B2277" s="76" t="s">
        <v>11246</v>
      </c>
      <c r="C2277" s="76" t="s">
        <v>11247</v>
      </c>
      <c r="D2277" s="76" t="s">
        <v>11248</v>
      </c>
      <c r="E2277" s="76" t="s">
        <v>11128</v>
      </c>
      <c r="F2277" s="76" t="s">
        <v>11124</v>
      </c>
    </row>
    <row r="2278" spans="1:6" ht="63.95" customHeight="1">
      <c r="A2278" s="76" t="s">
        <v>5976</v>
      </c>
      <c r="B2278" s="76" t="s">
        <v>11249</v>
      </c>
      <c r="C2278" s="76" t="s">
        <v>11130</v>
      </c>
      <c r="D2278" s="76" t="s">
        <v>11131</v>
      </c>
      <c r="E2278" s="76" t="s">
        <v>11132</v>
      </c>
      <c r="F2278" s="76" t="s">
        <v>11124</v>
      </c>
    </row>
    <row r="2279" spans="1:6" ht="63.95" customHeight="1">
      <c r="A2279" s="76" t="s">
        <v>5976</v>
      </c>
      <c r="B2279" s="76" t="s">
        <v>11250</v>
      </c>
      <c r="C2279" s="76" t="s">
        <v>11143</v>
      </c>
      <c r="D2279" s="76" t="s">
        <v>11122</v>
      </c>
      <c r="E2279" s="76" t="s">
        <v>11123</v>
      </c>
      <c r="F2279" s="76" t="s">
        <v>11124</v>
      </c>
    </row>
    <row r="2280" spans="1:6" ht="63.95" customHeight="1">
      <c r="A2280" s="76" t="s">
        <v>5976</v>
      </c>
      <c r="B2280" s="76" t="s">
        <v>11251</v>
      </c>
      <c r="C2280" s="76" t="s">
        <v>11126</v>
      </c>
      <c r="D2280" s="76" t="s">
        <v>11127</v>
      </c>
      <c r="E2280" s="76" t="s">
        <v>11128</v>
      </c>
      <c r="F2280" s="76" t="s">
        <v>11124</v>
      </c>
    </row>
    <row r="2281" spans="1:6" ht="63.95" customHeight="1">
      <c r="A2281" s="76" t="s">
        <v>5976</v>
      </c>
      <c r="B2281" s="76" t="s">
        <v>11252</v>
      </c>
      <c r="C2281" s="76" t="s">
        <v>11130</v>
      </c>
      <c r="D2281" s="76" t="s">
        <v>11131</v>
      </c>
      <c r="E2281" s="76" t="s">
        <v>11132</v>
      </c>
      <c r="F2281" s="76" t="s">
        <v>11124</v>
      </c>
    </row>
    <row r="2282" spans="1:6" ht="63.95" customHeight="1">
      <c r="A2282" s="76" t="s">
        <v>5976</v>
      </c>
      <c r="B2282" s="76" t="s">
        <v>11253</v>
      </c>
      <c r="C2282" s="76" t="s">
        <v>11201</v>
      </c>
      <c r="D2282" s="76" t="s">
        <v>11122</v>
      </c>
      <c r="E2282" s="76" t="s">
        <v>11123</v>
      </c>
      <c r="F2282" s="76" t="s">
        <v>11124</v>
      </c>
    </row>
    <row r="2283" spans="1:6" ht="63.95" customHeight="1">
      <c r="A2283" s="76" t="s">
        <v>5976</v>
      </c>
      <c r="B2283" s="76" t="s">
        <v>11254</v>
      </c>
      <c r="C2283" s="76" t="s">
        <v>11247</v>
      </c>
      <c r="D2283" s="76" t="s">
        <v>11248</v>
      </c>
      <c r="E2283" s="76" t="s">
        <v>11128</v>
      </c>
      <c r="F2283" s="76" t="s">
        <v>11124</v>
      </c>
    </row>
    <row r="2284" spans="1:6" ht="63.95" customHeight="1">
      <c r="A2284" s="76" t="s">
        <v>5976</v>
      </c>
      <c r="B2284" s="76" t="s">
        <v>11255</v>
      </c>
      <c r="C2284" s="76" t="s">
        <v>11130</v>
      </c>
      <c r="D2284" s="76" t="s">
        <v>11131</v>
      </c>
      <c r="E2284" s="76" t="s">
        <v>11132</v>
      </c>
      <c r="F2284" s="76" t="s">
        <v>11124</v>
      </c>
    </row>
    <row r="2285" spans="1:6" ht="63.95" customHeight="1">
      <c r="A2285" s="76" t="s">
        <v>5976</v>
      </c>
      <c r="B2285" s="76" t="s">
        <v>11256</v>
      </c>
      <c r="C2285" s="76" t="s">
        <v>11143</v>
      </c>
      <c r="D2285" s="76" t="s">
        <v>11122</v>
      </c>
      <c r="E2285" s="76" t="s">
        <v>11123</v>
      </c>
      <c r="F2285" s="76" t="s">
        <v>11124</v>
      </c>
    </row>
    <row r="2286" spans="1:6" ht="63.95" customHeight="1">
      <c r="A2286" s="76" t="s">
        <v>5976</v>
      </c>
      <c r="B2286" s="76" t="s">
        <v>11257</v>
      </c>
      <c r="C2286" s="76" t="s">
        <v>11126</v>
      </c>
      <c r="D2286" s="76" t="s">
        <v>11127</v>
      </c>
      <c r="E2286" s="76" t="s">
        <v>11128</v>
      </c>
      <c r="F2286" s="76" t="s">
        <v>11124</v>
      </c>
    </row>
    <row r="2287" spans="1:6" ht="63.95" customHeight="1">
      <c r="A2287" s="76" t="s">
        <v>5976</v>
      </c>
      <c r="B2287" s="76" t="s">
        <v>11258</v>
      </c>
      <c r="C2287" s="76" t="s">
        <v>11130</v>
      </c>
      <c r="D2287" s="76" t="s">
        <v>11131</v>
      </c>
      <c r="E2287" s="76" t="s">
        <v>11132</v>
      </c>
      <c r="F2287" s="76" t="s">
        <v>11124</v>
      </c>
    </row>
    <row r="2288" spans="1:6" ht="63.95" customHeight="1">
      <c r="A2288" s="76" t="s">
        <v>5976</v>
      </c>
      <c r="B2288" s="76" t="s">
        <v>11259</v>
      </c>
      <c r="C2288" s="76" t="s">
        <v>11201</v>
      </c>
      <c r="D2288" s="76" t="s">
        <v>11122</v>
      </c>
      <c r="E2288" s="76" t="s">
        <v>11123</v>
      </c>
      <c r="F2288" s="76" t="s">
        <v>11124</v>
      </c>
    </row>
    <row r="2289" spans="1:6" ht="63.95" customHeight="1">
      <c r="A2289" s="76" t="s">
        <v>5976</v>
      </c>
      <c r="B2289" s="76" t="s">
        <v>11260</v>
      </c>
      <c r="C2289" s="76" t="s">
        <v>11203</v>
      </c>
      <c r="D2289" s="76" t="s">
        <v>11131</v>
      </c>
      <c r="E2289" s="76" t="s">
        <v>11128</v>
      </c>
      <c r="F2289" s="76" t="s">
        <v>11124</v>
      </c>
    </row>
    <row r="2290" spans="1:6" ht="63.95" customHeight="1">
      <c r="A2290" s="76" t="s">
        <v>5976</v>
      </c>
      <c r="B2290" s="76" t="s">
        <v>11261</v>
      </c>
      <c r="C2290" s="76" t="s">
        <v>11130</v>
      </c>
      <c r="D2290" s="76" t="s">
        <v>11131</v>
      </c>
      <c r="E2290" s="76" t="s">
        <v>11132</v>
      </c>
      <c r="F2290" s="76" t="s">
        <v>11124</v>
      </c>
    </row>
    <row r="2291" spans="1:6" ht="63.95" customHeight="1">
      <c r="A2291" s="76" t="s">
        <v>5976</v>
      </c>
      <c r="B2291" s="76" t="s">
        <v>11262</v>
      </c>
      <c r="C2291" s="76" t="s">
        <v>11201</v>
      </c>
      <c r="D2291" s="76" t="s">
        <v>11122</v>
      </c>
      <c r="E2291" s="76" t="s">
        <v>11123</v>
      </c>
      <c r="F2291" s="76" t="s">
        <v>11124</v>
      </c>
    </row>
    <row r="2292" spans="1:6" ht="63.95" customHeight="1">
      <c r="A2292" s="76" t="s">
        <v>5976</v>
      </c>
      <c r="B2292" s="76" t="s">
        <v>11263</v>
      </c>
      <c r="C2292" s="76" t="s">
        <v>11203</v>
      </c>
      <c r="D2292" s="76" t="s">
        <v>11131</v>
      </c>
      <c r="E2292" s="76" t="s">
        <v>11128</v>
      </c>
      <c r="F2292" s="76" t="s">
        <v>11124</v>
      </c>
    </row>
    <row r="2293" spans="1:6" ht="63.95" customHeight="1">
      <c r="A2293" s="76" t="s">
        <v>5976</v>
      </c>
      <c r="B2293" s="76" t="s">
        <v>11264</v>
      </c>
      <c r="C2293" s="76" t="s">
        <v>11130</v>
      </c>
      <c r="D2293" s="76" t="s">
        <v>11131</v>
      </c>
      <c r="E2293" s="76" t="s">
        <v>11132</v>
      </c>
      <c r="F2293" s="76" t="s">
        <v>11124</v>
      </c>
    </row>
    <row r="2294" spans="1:6" ht="63.95" customHeight="1">
      <c r="A2294" s="76" t="s">
        <v>5976</v>
      </c>
      <c r="B2294" s="76" t="s">
        <v>11265</v>
      </c>
      <c r="C2294" s="76" t="s">
        <v>11201</v>
      </c>
      <c r="D2294" s="76" t="s">
        <v>11122</v>
      </c>
      <c r="E2294" s="76" t="s">
        <v>11123</v>
      </c>
      <c r="F2294" s="76" t="s">
        <v>11124</v>
      </c>
    </row>
    <row r="2295" spans="1:6" ht="63.95" customHeight="1">
      <c r="A2295" s="76" t="s">
        <v>5976</v>
      </c>
      <c r="B2295" s="76" t="s">
        <v>11266</v>
      </c>
      <c r="C2295" s="76" t="s">
        <v>11203</v>
      </c>
      <c r="D2295" s="76" t="s">
        <v>11131</v>
      </c>
      <c r="E2295" s="76" t="s">
        <v>11128</v>
      </c>
      <c r="F2295" s="76" t="s">
        <v>11124</v>
      </c>
    </row>
    <row r="2296" spans="1:6" ht="63.95" customHeight="1">
      <c r="A2296" s="76" t="s">
        <v>5976</v>
      </c>
      <c r="B2296" s="76" t="s">
        <v>11267</v>
      </c>
      <c r="C2296" s="76" t="s">
        <v>11130</v>
      </c>
      <c r="D2296" s="76" t="s">
        <v>11131</v>
      </c>
      <c r="E2296" s="76" t="s">
        <v>11132</v>
      </c>
      <c r="F2296" s="76" t="s">
        <v>11124</v>
      </c>
    </row>
    <row r="2297" spans="1:6" ht="63.95" customHeight="1">
      <c r="A2297" s="76" t="s">
        <v>5976</v>
      </c>
      <c r="B2297" s="76" t="s">
        <v>11268</v>
      </c>
      <c r="C2297" s="76" t="s">
        <v>11201</v>
      </c>
      <c r="D2297" s="76" t="s">
        <v>11122</v>
      </c>
      <c r="E2297" s="76" t="s">
        <v>11123</v>
      </c>
      <c r="F2297" s="76" t="s">
        <v>11124</v>
      </c>
    </row>
    <row r="2298" spans="1:6" ht="63.95" customHeight="1">
      <c r="A2298" s="76" t="s">
        <v>5976</v>
      </c>
      <c r="B2298" s="76" t="s">
        <v>11269</v>
      </c>
      <c r="C2298" s="76" t="s">
        <v>11203</v>
      </c>
      <c r="D2298" s="76" t="s">
        <v>11131</v>
      </c>
      <c r="E2298" s="76" t="s">
        <v>11128</v>
      </c>
      <c r="F2298" s="76" t="s">
        <v>11124</v>
      </c>
    </row>
    <row r="2299" spans="1:6" ht="63.95" customHeight="1">
      <c r="A2299" s="76" t="s">
        <v>5976</v>
      </c>
      <c r="B2299" s="76" t="s">
        <v>11270</v>
      </c>
      <c r="C2299" s="76" t="s">
        <v>11130</v>
      </c>
      <c r="D2299" s="76" t="s">
        <v>11131</v>
      </c>
      <c r="E2299" s="76" t="s">
        <v>11132</v>
      </c>
      <c r="F2299" s="76" t="s">
        <v>11124</v>
      </c>
    </row>
    <row r="2300" spans="1:6" ht="63.95" customHeight="1">
      <c r="A2300" s="76" t="s">
        <v>5976</v>
      </c>
      <c r="B2300" s="76" t="s">
        <v>11271</v>
      </c>
      <c r="C2300" s="76" t="s">
        <v>11201</v>
      </c>
      <c r="D2300" s="76" t="s">
        <v>11122</v>
      </c>
      <c r="E2300" s="76" t="s">
        <v>11123</v>
      </c>
      <c r="F2300" s="76" t="s">
        <v>11124</v>
      </c>
    </row>
    <row r="2301" spans="1:6" ht="63.95" customHeight="1">
      <c r="A2301" s="76" t="s">
        <v>5976</v>
      </c>
      <c r="B2301" s="76" t="s">
        <v>11272</v>
      </c>
      <c r="C2301" s="76" t="s">
        <v>11203</v>
      </c>
      <c r="D2301" s="76" t="s">
        <v>11131</v>
      </c>
      <c r="E2301" s="76" t="s">
        <v>11128</v>
      </c>
      <c r="F2301" s="76" t="s">
        <v>11124</v>
      </c>
    </row>
    <row r="2302" spans="1:6" ht="63.95" customHeight="1">
      <c r="A2302" s="76" t="s">
        <v>5976</v>
      </c>
      <c r="B2302" s="76" t="s">
        <v>11273</v>
      </c>
      <c r="C2302" s="76" t="s">
        <v>11130</v>
      </c>
      <c r="D2302" s="76" t="s">
        <v>11131</v>
      </c>
      <c r="E2302" s="76" t="s">
        <v>11132</v>
      </c>
      <c r="F2302" s="76" t="s">
        <v>11124</v>
      </c>
    </row>
    <row r="2303" spans="1:6" ht="63.95" customHeight="1">
      <c r="A2303" s="76" t="s">
        <v>5976</v>
      </c>
      <c r="B2303" s="76" t="s">
        <v>11274</v>
      </c>
      <c r="C2303" s="76" t="s">
        <v>11201</v>
      </c>
      <c r="D2303" s="76" t="s">
        <v>11122</v>
      </c>
      <c r="E2303" s="76" t="s">
        <v>11123</v>
      </c>
      <c r="F2303" s="76" t="s">
        <v>11124</v>
      </c>
    </row>
    <row r="2304" spans="1:6" ht="63.95" customHeight="1">
      <c r="A2304" s="76" t="s">
        <v>5976</v>
      </c>
      <c r="B2304" s="76" t="s">
        <v>11275</v>
      </c>
      <c r="C2304" s="76" t="s">
        <v>11203</v>
      </c>
      <c r="D2304" s="76" t="s">
        <v>11131</v>
      </c>
      <c r="E2304" s="76" t="s">
        <v>11128</v>
      </c>
      <c r="F2304" s="76" t="s">
        <v>11124</v>
      </c>
    </row>
    <row r="2305" spans="1:6" ht="63.95" customHeight="1">
      <c r="A2305" s="76" t="s">
        <v>5976</v>
      </c>
      <c r="B2305" s="76" t="s">
        <v>11276</v>
      </c>
      <c r="C2305" s="76" t="s">
        <v>11130</v>
      </c>
      <c r="D2305" s="76" t="s">
        <v>11131</v>
      </c>
      <c r="E2305" s="76" t="s">
        <v>11132</v>
      </c>
      <c r="F2305" s="76" t="s">
        <v>11124</v>
      </c>
    </row>
    <row r="2306" spans="1:6" ht="63.95" customHeight="1">
      <c r="A2306" s="76" t="s">
        <v>5976</v>
      </c>
      <c r="B2306" s="76" t="s">
        <v>11277</v>
      </c>
      <c r="C2306" s="76" t="s">
        <v>11143</v>
      </c>
      <c r="D2306" s="76" t="s">
        <v>11122</v>
      </c>
      <c r="E2306" s="76" t="s">
        <v>11123</v>
      </c>
      <c r="F2306" s="76" t="s">
        <v>11124</v>
      </c>
    </row>
    <row r="2307" spans="1:6" ht="63.95" customHeight="1">
      <c r="A2307" s="76" t="s">
        <v>5976</v>
      </c>
      <c r="B2307" s="76" t="s">
        <v>11278</v>
      </c>
      <c r="C2307" s="76" t="s">
        <v>11126</v>
      </c>
      <c r="D2307" s="76" t="s">
        <v>11127</v>
      </c>
      <c r="E2307" s="76" t="s">
        <v>11128</v>
      </c>
      <c r="F2307" s="76" t="s">
        <v>11124</v>
      </c>
    </row>
    <row r="2308" spans="1:6" ht="63.95" customHeight="1">
      <c r="A2308" s="76" t="s">
        <v>5976</v>
      </c>
      <c r="B2308" s="76" t="s">
        <v>11279</v>
      </c>
      <c r="C2308" s="76" t="s">
        <v>11130</v>
      </c>
      <c r="D2308" s="76" t="s">
        <v>11131</v>
      </c>
      <c r="E2308" s="76" t="s">
        <v>11132</v>
      </c>
      <c r="F2308" s="76" t="s">
        <v>11124</v>
      </c>
    </row>
    <row r="2309" spans="1:6" ht="63.95" customHeight="1">
      <c r="A2309" s="76" t="s">
        <v>5976</v>
      </c>
      <c r="B2309" s="76" t="s">
        <v>11280</v>
      </c>
      <c r="C2309" s="76" t="s">
        <v>11143</v>
      </c>
      <c r="D2309" s="76" t="s">
        <v>11122</v>
      </c>
      <c r="E2309" s="76" t="s">
        <v>11123</v>
      </c>
      <c r="F2309" s="76" t="s">
        <v>11124</v>
      </c>
    </row>
    <row r="2310" spans="1:6" ht="63.95" customHeight="1">
      <c r="A2310" s="76" t="s">
        <v>5976</v>
      </c>
      <c r="B2310" s="76" t="s">
        <v>11281</v>
      </c>
      <c r="C2310" s="76" t="s">
        <v>11126</v>
      </c>
      <c r="D2310" s="76" t="s">
        <v>11127</v>
      </c>
      <c r="E2310" s="76" t="s">
        <v>11128</v>
      </c>
      <c r="F2310" s="76" t="s">
        <v>11124</v>
      </c>
    </row>
    <row r="2311" spans="1:6" ht="63.95" customHeight="1">
      <c r="A2311" s="76" t="s">
        <v>5976</v>
      </c>
      <c r="B2311" s="76" t="s">
        <v>11282</v>
      </c>
      <c r="C2311" s="76" t="s">
        <v>11130</v>
      </c>
      <c r="D2311" s="76" t="s">
        <v>11131</v>
      </c>
      <c r="E2311" s="76" t="s">
        <v>11132</v>
      </c>
      <c r="F2311" s="76" t="s">
        <v>11124</v>
      </c>
    </row>
    <row r="2312" spans="1:6" ht="63.95" customHeight="1">
      <c r="A2312" s="76" t="s">
        <v>5976</v>
      </c>
      <c r="B2312" s="76" t="s">
        <v>11283</v>
      </c>
      <c r="C2312" s="76" t="s">
        <v>11201</v>
      </c>
      <c r="D2312" s="76" t="s">
        <v>11122</v>
      </c>
      <c r="E2312" s="76" t="s">
        <v>11123</v>
      </c>
      <c r="F2312" s="76" t="s">
        <v>11124</v>
      </c>
    </row>
    <row r="2313" spans="1:6" ht="63.95" customHeight="1">
      <c r="A2313" s="76" t="s">
        <v>5976</v>
      </c>
      <c r="B2313" s="76" t="s">
        <v>11284</v>
      </c>
      <c r="C2313" s="76" t="s">
        <v>11203</v>
      </c>
      <c r="D2313" s="76" t="s">
        <v>11131</v>
      </c>
      <c r="E2313" s="76" t="s">
        <v>11128</v>
      </c>
      <c r="F2313" s="76" t="s">
        <v>11124</v>
      </c>
    </row>
    <row r="2314" spans="1:6" ht="63.95" customHeight="1">
      <c r="A2314" s="76" t="s">
        <v>5976</v>
      </c>
      <c r="B2314" s="76" t="s">
        <v>11285</v>
      </c>
      <c r="C2314" s="76" t="s">
        <v>11130</v>
      </c>
      <c r="D2314" s="76" t="s">
        <v>11131</v>
      </c>
      <c r="E2314" s="76" t="s">
        <v>11132</v>
      </c>
      <c r="F2314" s="76" t="s">
        <v>11124</v>
      </c>
    </row>
    <row r="2315" spans="1:6" ht="63.95" customHeight="1">
      <c r="A2315" s="76" t="s">
        <v>5976</v>
      </c>
      <c r="B2315" s="76" t="s">
        <v>11286</v>
      </c>
      <c r="C2315" s="76" t="s">
        <v>11143</v>
      </c>
      <c r="D2315" s="76" t="s">
        <v>11122</v>
      </c>
      <c r="E2315" s="76" t="s">
        <v>11123</v>
      </c>
      <c r="F2315" s="76" t="s">
        <v>11124</v>
      </c>
    </row>
    <row r="2316" spans="1:6" ht="63.95" customHeight="1">
      <c r="A2316" s="76" t="s">
        <v>5976</v>
      </c>
      <c r="B2316" s="76" t="s">
        <v>11287</v>
      </c>
      <c r="C2316" s="76" t="s">
        <v>11126</v>
      </c>
      <c r="D2316" s="76" t="s">
        <v>11127</v>
      </c>
      <c r="E2316" s="76" t="s">
        <v>11128</v>
      </c>
      <c r="F2316" s="76" t="s">
        <v>11124</v>
      </c>
    </row>
    <row r="2317" spans="1:6" ht="63.95" customHeight="1">
      <c r="A2317" s="76" t="s">
        <v>5976</v>
      </c>
      <c r="B2317" s="76" t="s">
        <v>11288</v>
      </c>
      <c r="C2317" s="76" t="s">
        <v>11130</v>
      </c>
      <c r="D2317" s="76" t="s">
        <v>11131</v>
      </c>
      <c r="E2317" s="76" t="s">
        <v>11132</v>
      </c>
      <c r="F2317" s="76" t="s">
        <v>11124</v>
      </c>
    </row>
    <row r="2318" spans="1:6" ht="63.95" customHeight="1">
      <c r="A2318" s="76" t="s">
        <v>5976</v>
      </c>
      <c r="B2318" s="76" t="s">
        <v>11289</v>
      </c>
      <c r="C2318" s="76" t="s">
        <v>11206</v>
      </c>
      <c r="D2318" s="76" t="s">
        <v>11122</v>
      </c>
      <c r="E2318" s="76" t="s">
        <v>11123</v>
      </c>
      <c r="F2318" s="76" t="s">
        <v>11124</v>
      </c>
    </row>
    <row r="2319" spans="1:6" ht="63.95" customHeight="1">
      <c r="A2319" s="76" t="s">
        <v>5976</v>
      </c>
      <c r="B2319" s="76" t="s">
        <v>11290</v>
      </c>
      <c r="C2319" s="76" t="s">
        <v>11208</v>
      </c>
      <c r="D2319" s="76" t="s">
        <v>11209</v>
      </c>
      <c r="E2319" s="76" t="s">
        <v>11128</v>
      </c>
      <c r="F2319" s="76" t="s">
        <v>11124</v>
      </c>
    </row>
    <row r="2320" spans="1:6" ht="63.95" customHeight="1">
      <c r="A2320" s="76" t="s">
        <v>5976</v>
      </c>
      <c r="B2320" s="76" t="s">
        <v>11291</v>
      </c>
      <c r="C2320" s="76" t="s">
        <v>11130</v>
      </c>
      <c r="D2320" s="76" t="s">
        <v>11131</v>
      </c>
      <c r="E2320" s="76" t="s">
        <v>11132</v>
      </c>
      <c r="F2320" s="76" t="s">
        <v>11124</v>
      </c>
    </row>
    <row r="2321" spans="1:6" ht="63.95" customHeight="1">
      <c r="A2321" s="76" t="s">
        <v>5976</v>
      </c>
      <c r="B2321" s="76" t="s">
        <v>11292</v>
      </c>
      <c r="C2321" s="76" t="s">
        <v>11201</v>
      </c>
      <c r="D2321" s="76" t="s">
        <v>11122</v>
      </c>
      <c r="E2321" s="76" t="s">
        <v>11123</v>
      </c>
      <c r="F2321" s="76" t="s">
        <v>11124</v>
      </c>
    </row>
    <row r="2322" spans="1:6" ht="63.95" customHeight="1">
      <c r="A2322" s="76" t="s">
        <v>5976</v>
      </c>
      <c r="B2322" s="76" t="s">
        <v>11293</v>
      </c>
      <c r="C2322" s="76" t="s">
        <v>11203</v>
      </c>
      <c r="D2322" s="76" t="s">
        <v>11131</v>
      </c>
      <c r="E2322" s="76" t="s">
        <v>11128</v>
      </c>
      <c r="F2322" s="76" t="s">
        <v>11124</v>
      </c>
    </row>
    <row r="2323" spans="1:6" ht="63.95" customHeight="1">
      <c r="A2323" s="76" t="s">
        <v>5976</v>
      </c>
      <c r="B2323" s="76" t="s">
        <v>11294</v>
      </c>
      <c r="C2323" s="76" t="s">
        <v>11130</v>
      </c>
      <c r="D2323" s="76" t="s">
        <v>11131</v>
      </c>
      <c r="E2323" s="76" t="s">
        <v>11132</v>
      </c>
      <c r="F2323" s="76" t="s">
        <v>11124</v>
      </c>
    </row>
    <row r="2324" spans="1:6" ht="63.95" customHeight="1">
      <c r="A2324" s="76" t="s">
        <v>5976</v>
      </c>
      <c r="B2324" s="76" t="s">
        <v>11295</v>
      </c>
      <c r="C2324" s="76" t="s">
        <v>11201</v>
      </c>
      <c r="D2324" s="76" t="s">
        <v>11122</v>
      </c>
      <c r="E2324" s="76" t="s">
        <v>11123</v>
      </c>
      <c r="F2324" s="76" t="s">
        <v>11124</v>
      </c>
    </row>
    <row r="2325" spans="1:6" ht="63.95" customHeight="1">
      <c r="A2325" s="76" t="s">
        <v>5976</v>
      </c>
      <c r="B2325" s="76" t="s">
        <v>11296</v>
      </c>
      <c r="C2325" s="76" t="s">
        <v>11203</v>
      </c>
      <c r="D2325" s="76" t="s">
        <v>11131</v>
      </c>
      <c r="E2325" s="76" t="s">
        <v>11128</v>
      </c>
      <c r="F2325" s="76" t="s">
        <v>11124</v>
      </c>
    </row>
    <row r="2326" spans="1:6" ht="63.95" customHeight="1">
      <c r="A2326" s="76" t="s">
        <v>5976</v>
      </c>
      <c r="B2326" s="76" t="s">
        <v>11297</v>
      </c>
      <c r="C2326" s="76" t="s">
        <v>11130</v>
      </c>
      <c r="D2326" s="76" t="s">
        <v>11131</v>
      </c>
      <c r="E2326" s="76" t="s">
        <v>11132</v>
      </c>
      <c r="F2326" s="76" t="s">
        <v>11124</v>
      </c>
    </row>
    <row r="2327" spans="1:6" ht="63.95" customHeight="1">
      <c r="A2327" s="76" t="s">
        <v>5976</v>
      </c>
      <c r="B2327" s="76" t="s">
        <v>11298</v>
      </c>
      <c r="C2327" s="76" t="s">
        <v>11143</v>
      </c>
      <c r="D2327" s="76" t="s">
        <v>11122</v>
      </c>
      <c r="E2327" s="76" t="s">
        <v>11123</v>
      </c>
      <c r="F2327" s="76" t="s">
        <v>11124</v>
      </c>
    </row>
    <row r="2328" spans="1:6" ht="63.95" customHeight="1">
      <c r="A2328" s="76" t="s">
        <v>5976</v>
      </c>
      <c r="B2328" s="76" t="s">
        <v>11299</v>
      </c>
      <c r="C2328" s="76" t="s">
        <v>11126</v>
      </c>
      <c r="D2328" s="76" t="s">
        <v>11127</v>
      </c>
      <c r="E2328" s="76" t="s">
        <v>11128</v>
      </c>
      <c r="F2328" s="76" t="s">
        <v>11124</v>
      </c>
    </row>
    <row r="2329" spans="1:6" ht="63.95" customHeight="1">
      <c r="A2329" s="76" t="s">
        <v>5976</v>
      </c>
      <c r="B2329" s="76" t="s">
        <v>11300</v>
      </c>
      <c r="C2329" s="76" t="s">
        <v>11130</v>
      </c>
      <c r="D2329" s="76" t="s">
        <v>11131</v>
      </c>
      <c r="E2329" s="76" t="s">
        <v>11132</v>
      </c>
      <c r="F2329" s="76" t="s">
        <v>11124</v>
      </c>
    </row>
    <row r="2330" spans="1:6" ht="63.95" customHeight="1">
      <c r="A2330" s="76" t="s">
        <v>5976</v>
      </c>
      <c r="B2330" s="76" t="s">
        <v>11301</v>
      </c>
      <c r="C2330" s="76" t="s">
        <v>11201</v>
      </c>
      <c r="D2330" s="76" t="s">
        <v>11122</v>
      </c>
      <c r="E2330" s="76" t="s">
        <v>11123</v>
      </c>
      <c r="F2330" s="76" t="s">
        <v>11124</v>
      </c>
    </row>
    <row r="2331" spans="1:6" ht="63.95" customHeight="1">
      <c r="A2331" s="76" t="s">
        <v>5976</v>
      </c>
      <c r="B2331" s="76" t="s">
        <v>11302</v>
      </c>
      <c r="C2331" s="76" t="s">
        <v>11203</v>
      </c>
      <c r="D2331" s="76" t="s">
        <v>11131</v>
      </c>
      <c r="E2331" s="76" t="s">
        <v>11128</v>
      </c>
      <c r="F2331" s="76" t="s">
        <v>11124</v>
      </c>
    </row>
    <row r="2332" spans="1:6" ht="63.95" customHeight="1">
      <c r="A2332" s="76" t="s">
        <v>5976</v>
      </c>
      <c r="B2332" s="76" t="s">
        <v>11303</v>
      </c>
      <c r="C2332" s="76" t="s">
        <v>11130</v>
      </c>
      <c r="D2332" s="76" t="s">
        <v>11131</v>
      </c>
      <c r="E2332" s="76" t="s">
        <v>11132</v>
      </c>
      <c r="F2332" s="76" t="s">
        <v>11124</v>
      </c>
    </row>
    <row r="2333" spans="1:6" ht="63.95" customHeight="1">
      <c r="A2333" s="76" t="s">
        <v>5976</v>
      </c>
      <c r="B2333" s="76" t="s">
        <v>11304</v>
      </c>
      <c r="C2333" s="76" t="s">
        <v>11201</v>
      </c>
      <c r="D2333" s="76" t="s">
        <v>11122</v>
      </c>
      <c r="E2333" s="76" t="s">
        <v>11123</v>
      </c>
      <c r="F2333" s="76" t="s">
        <v>11124</v>
      </c>
    </row>
    <row r="2334" spans="1:6" ht="63.95" customHeight="1">
      <c r="A2334" s="76" t="s">
        <v>5976</v>
      </c>
      <c r="B2334" s="76" t="s">
        <v>11305</v>
      </c>
      <c r="C2334" s="76" t="s">
        <v>11203</v>
      </c>
      <c r="D2334" s="76" t="s">
        <v>11131</v>
      </c>
      <c r="E2334" s="76" t="s">
        <v>11128</v>
      </c>
      <c r="F2334" s="76" t="s">
        <v>11124</v>
      </c>
    </row>
    <row r="2335" spans="1:6" ht="63.95" customHeight="1">
      <c r="A2335" s="76" t="s">
        <v>5976</v>
      </c>
      <c r="B2335" s="76" t="s">
        <v>11306</v>
      </c>
      <c r="C2335" s="76" t="s">
        <v>11130</v>
      </c>
      <c r="D2335" s="76" t="s">
        <v>11131</v>
      </c>
      <c r="E2335" s="76" t="s">
        <v>11132</v>
      </c>
      <c r="F2335" s="76" t="s">
        <v>11124</v>
      </c>
    </row>
    <row r="2336" spans="1:6" ht="63.95" customHeight="1">
      <c r="A2336" s="76" t="s">
        <v>5976</v>
      </c>
      <c r="B2336" s="76" t="s">
        <v>11307</v>
      </c>
      <c r="C2336" s="76" t="s">
        <v>11201</v>
      </c>
      <c r="D2336" s="76" t="s">
        <v>11122</v>
      </c>
      <c r="E2336" s="76" t="s">
        <v>11123</v>
      </c>
      <c r="F2336" s="76" t="s">
        <v>11124</v>
      </c>
    </row>
    <row r="2337" spans="1:6" ht="63.95" customHeight="1">
      <c r="A2337" s="76" t="s">
        <v>5976</v>
      </c>
      <c r="B2337" s="76" t="s">
        <v>11308</v>
      </c>
      <c r="C2337" s="76" t="s">
        <v>11203</v>
      </c>
      <c r="D2337" s="76" t="s">
        <v>11131</v>
      </c>
      <c r="E2337" s="76" t="s">
        <v>11128</v>
      </c>
      <c r="F2337" s="76" t="s">
        <v>11124</v>
      </c>
    </row>
    <row r="2338" spans="1:6" ht="63.95" customHeight="1">
      <c r="A2338" s="76" t="s">
        <v>5976</v>
      </c>
      <c r="B2338" s="76" t="s">
        <v>11309</v>
      </c>
      <c r="C2338" s="76" t="s">
        <v>11130</v>
      </c>
      <c r="D2338" s="76" t="s">
        <v>11131</v>
      </c>
      <c r="E2338" s="76" t="s">
        <v>11132</v>
      </c>
      <c r="F2338" s="76" t="s">
        <v>11124</v>
      </c>
    </row>
    <row r="2339" spans="1:6" ht="63.95" customHeight="1">
      <c r="A2339" s="76" t="s">
        <v>5976</v>
      </c>
      <c r="B2339" s="76" t="s">
        <v>11310</v>
      </c>
      <c r="C2339" s="76" t="s">
        <v>11201</v>
      </c>
      <c r="D2339" s="76" t="s">
        <v>11122</v>
      </c>
      <c r="E2339" s="76" t="s">
        <v>11123</v>
      </c>
      <c r="F2339" s="76" t="s">
        <v>11124</v>
      </c>
    </row>
    <row r="2340" spans="1:6" ht="63.95" customHeight="1">
      <c r="A2340" s="76" t="s">
        <v>5976</v>
      </c>
      <c r="B2340" s="76" t="s">
        <v>11311</v>
      </c>
      <c r="C2340" s="76" t="s">
        <v>11203</v>
      </c>
      <c r="D2340" s="76" t="s">
        <v>11131</v>
      </c>
      <c r="E2340" s="76" t="s">
        <v>11128</v>
      </c>
      <c r="F2340" s="76" t="s">
        <v>11124</v>
      </c>
    </row>
    <row r="2341" spans="1:6" ht="63.95" customHeight="1">
      <c r="A2341" s="76" t="s">
        <v>5976</v>
      </c>
      <c r="B2341" s="76" t="s">
        <v>11312</v>
      </c>
      <c r="C2341" s="76" t="s">
        <v>11130</v>
      </c>
      <c r="D2341" s="76" t="s">
        <v>11131</v>
      </c>
      <c r="E2341" s="76" t="s">
        <v>11132</v>
      </c>
      <c r="F2341" s="76" t="s">
        <v>11124</v>
      </c>
    </row>
    <row r="2342" spans="1:6" ht="63.95" customHeight="1">
      <c r="A2342" s="76" t="s">
        <v>5976</v>
      </c>
      <c r="B2342" s="76" t="s">
        <v>11313</v>
      </c>
      <c r="C2342" s="76" t="s">
        <v>11201</v>
      </c>
      <c r="D2342" s="76" t="s">
        <v>11122</v>
      </c>
      <c r="E2342" s="76" t="s">
        <v>11123</v>
      </c>
      <c r="F2342" s="76" t="s">
        <v>11124</v>
      </c>
    </row>
    <row r="2343" spans="1:6" ht="63.95" customHeight="1">
      <c r="A2343" s="76" t="s">
        <v>5976</v>
      </c>
      <c r="B2343" s="76" t="s">
        <v>11314</v>
      </c>
      <c r="C2343" s="76" t="s">
        <v>11247</v>
      </c>
      <c r="D2343" s="76" t="s">
        <v>11248</v>
      </c>
      <c r="E2343" s="76" t="s">
        <v>11128</v>
      </c>
      <c r="F2343" s="76" t="s">
        <v>11124</v>
      </c>
    </row>
    <row r="2344" spans="1:6" ht="63.95" customHeight="1">
      <c r="A2344" s="76" t="s">
        <v>5976</v>
      </c>
      <c r="B2344" s="76" t="s">
        <v>11315</v>
      </c>
      <c r="C2344" s="76" t="s">
        <v>11130</v>
      </c>
      <c r="D2344" s="76" t="s">
        <v>11131</v>
      </c>
      <c r="E2344" s="76" t="s">
        <v>11132</v>
      </c>
      <c r="F2344" s="76" t="s">
        <v>11124</v>
      </c>
    </row>
    <row r="2345" spans="1:6" ht="63.95" customHeight="1">
      <c r="A2345" s="76" t="s">
        <v>5976</v>
      </c>
      <c r="B2345" s="76" t="s">
        <v>11316</v>
      </c>
      <c r="C2345" s="76" t="s">
        <v>11201</v>
      </c>
      <c r="D2345" s="76" t="s">
        <v>11122</v>
      </c>
      <c r="E2345" s="76" t="s">
        <v>11123</v>
      </c>
      <c r="F2345" s="76" t="s">
        <v>11124</v>
      </c>
    </row>
    <row r="2346" spans="1:6" ht="63.95" customHeight="1">
      <c r="A2346" s="76" t="s">
        <v>5976</v>
      </c>
      <c r="B2346" s="76" t="s">
        <v>11317</v>
      </c>
      <c r="C2346" s="76" t="s">
        <v>11203</v>
      </c>
      <c r="D2346" s="76" t="s">
        <v>11131</v>
      </c>
      <c r="E2346" s="76" t="s">
        <v>11128</v>
      </c>
      <c r="F2346" s="76" t="s">
        <v>11124</v>
      </c>
    </row>
    <row r="2347" spans="1:6" ht="63.95" customHeight="1">
      <c r="A2347" s="76" t="s">
        <v>5976</v>
      </c>
      <c r="B2347" s="76" t="s">
        <v>11318</v>
      </c>
      <c r="C2347" s="76" t="s">
        <v>11130</v>
      </c>
      <c r="D2347" s="76" t="s">
        <v>11131</v>
      </c>
      <c r="E2347" s="76" t="s">
        <v>11132</v>
      </c>
      <c r="F2347" s="76" t="s">
        <v>11124</v>
      </c>
    </row>
    <row r="2348" spans="1:6" ht="63.95" customHeight="1">
      <c r="A2348" s="76" t="s">
        <v>5976</v>
      </c>
      <c r="B2348" s="76" t="s">
        <v>11319</v>
      </c>
      <c r="C2348" s="76" t="s">
        <v>11201</v>
      </c>
      <c r="D2348" s="76" t="s">
        <v>11122</v>
      </c>
      <c r="E2348" s="76" t="s">
        <v>11123</v>
      </c>
      <c r="F2348" s="76" t="s">
        <v>11124</v>
      </c>
    </row>
    <row r="2349" spans="1:6" ht="63.95" customHeight="1">
      <c r="A2349" s="76" t="s">
        <v>5976</v>
      </c>
      <c r="B2349" s="76" t="s">
        <v>11320</v>
      </c>
      <c r="C2349" s="76" t="s">
        <v>11203</v>
      </c>
      <c r="D2349" s="76" t="s">
        <v>11131</v>
      </c>
      <c r="E2349" s="76" t="s">
        <v>11128</v>
      </c>
      <c r="F2349" s="76" t="s">
        <v>11124</v>
      </c>
    </row>
    <row r="2350" spans="1:6" ht="63.95" customHeight="1">
      <c r="A2350" s="76" t="s">
        <v>5976</v>
      </c>
      <c r="B2350" s="76" t="s">
        <v>11321</v>
      </c>
      <c r="C2350" s="76" t="s">
        <v>11130</v>
      </c>
      <c r="D2350" s="76" t="s">
        <v>11131</v>
      </c>
      <c r="E2350" s="76" t="s">
        <v>11132</v>
      </c>
      <c r="F2350" s="76" t="s">
        <v>11124</v>
      </c>
    </row>
    <row r="2351" spans="1:6" ht="63.95" customHeight="1">
      <c r="A2351" s="76" t="s">
        <v>5976</v>
      </c>
      <c r="B2351" s="76" t="s">
        <v>11322</v>
      </c>
      <c r="C2351" s="76" t="s">
        <v>11201</v>
      </c>
      <c r="D2351" s="76" t="s">
        <v>11122</v>
      </c>
      <c r="E2351" s="76" t="s">
        <v>11123</v>
      </c>
      <c r="F2351" s="76" t="s">
        <v>11124</v>
      </c>
    </row>
    <row r="2352" spans="1:6" ht="63.95" customHeight="1">
      <c r="A2352" s="76" t="s">
        <v>5976</v>
      </c>
      <c r="B2352" s="76" t="s">
        <v>11323</v>
      </c>
      <c r="C2352" s="76" t="s">
        <v>11203</v>
      </c>
      <c r="D2352" s="76" t="s">
        <v>11131</v>
      </c>
      <c r="E2352" s="76" t="s">
        <v>11128</v>
      </c>
      <c r="F2352" s="76" t="s">
        <v>11124</v>
      </c>
    </row>
    <row r="2353" spans="1:6" ht="63.95" customHeight="1">
      <c r="A2353" s="76" t="s">
        <v>5976</v>
      </c>
      <c r="B2353" s="76" t="s">
        <v>11324</v>
      </c>
      <c r="C2353" s="76" t="s">
        <v>11130</v>
      </c>
      <c r="D2353" s="76" t="s">
        <v>11131</v>
      </c>
      <c r="E2353" s="76" t="s">
        <v>11132</v>
      </c>
      <c r="F2353" s="76" t="s">
        <v>11124</v>
      </c>
    </row>
    <row r="2354" spans="1:6" ht="63.95" customHeight="1">
      <c r="A2354" s="76" t="s">
        <v>5976</v>
      </c>
      <c r="B2354" s="76" t="s">
        <v>11325</v>
      </c>
      <c r="C2354" s="76" t="s">
        <v>11201</v>
      </c>
      <c r="D2354" s="76" t="s">
        <v>11122</v>
      </c>
      <c r="E2354" s="76" t="s">
        <v>11123</v>
      </c>
      <c r="F2354" s="76" t="s">
        <v>11124</v>
      </c>
    </row>
    <row r="2355" spans="1:6" ht="63.95" customHeight="1">
      <c r="A2355" s="76" t="s">
        <v>5976</v>
      </c>
      <c r="B2355" s="76" t="s">
        <v>11326</v>
      </c>
      <c r="C2355" s="76" t="s">
        <v>11203</v>
      </c>
      <c r="D2355" s="76" t="s">
        <v>11131</v>
      </c>
      <c r="E2355" s="76" t="s">
        <v>11128</v>
      </c>
      <c r="F2355" s="76" t="s">
        <v>11124</v>
      </c>
    </row>
    <row r="2356" spans="1:6" ht="63.95" customHeight="1">
      <c r="A2356" s="76" t="s">
        <v>5976</v>
      </c>
      <c r="B2356" s="76" t="s">
        <v>11327</v>
      </c>
      <c r="C2356" s="76" t="s">
        <v>11130</v>
      </c>
      <c r="D2356" s="76" t="s">
        <v>11131</v>
      </c>
      <c r="E2356" s="76" t="s">
        <v>11132</v>
      </c>
      <c r="F2356" s="76" t="s">
        <v>11124</v>
      </c>
    </row>
    <row r="2357" spans="1:6" ht="63.95" customHeight="1">
      <c r="A2357" s="76" t="s">
        <v>5976</v>
      </c>
      <c r="B2357" s="76" t="s">
        <v>11328</v>
      </c>
      <c r="C2357" s="76" t="s">
        <v>11201</v>
      </c>
      <c r="D2357" s="76" t="s">
        <v>11122</v>
      </c>
      <c r="E2357" s="76" t="s">
        <v>11123</v>
      </c>
      <c r="F2357" s="76" t="s">
        <v>11124</v>
      </c>
    </row>
    <row r="2358" spans="1:6" ht="63.95" customHeight="1">
      <c r="A2358" s="76" t="s">
        <v>5976</v>
      </c>
      <c r="B2358" s="76" t="s">
        <v>11329</v>
      </c>
      <c r="C2358" s="76" t="s">
        <v>11203</v>
      </c>
      <c r="D2358" s="76" t="s">
        <v>11131</v>
      </c>
      <c r="E2358" s="76" t="s">
        <v>11128</v>
      </c>
      <c r="F2358" s="76" t="s">
        <v>11124</v>
      </c>
    </row>
    <row r="2359" spans="1:6" ht="63.95" customHeight="1">
      <c r="A2359" s="76" t="s">
        <v>5976</v>
      </c>
      <c r="B2359" s="76" t="s">
        <v>11330</v>
      </c>
      <c r="C2359" s="76" t="s">
        <v>11130</v>
      </c>
      <c r="D2359" s="76" t="s">
        <v>11131</v>
      </c>
      <c r="E2359" s="76" t="s">
        <v>11132</v>
      </c>
      <c r="F2359" s="76" t="s">
        <v>11124</v>
      </c>
    </row>
    <row r="2360" spans="1:6" ht="63.95" customHeight="1">
      <c r="A2360" s="76" t="s">
        <v>5976</v>
      </c>
      <c r="B2360" s="76" t="s">
        <v>11331</v>
      </c>
      <c r="C2360" s="76" t="s">
        <v>11201</v>
      </c>
      <c r="D2360" s="76" t="s">
        <v>11122</v>
      </c>
      <c r="E2360" s="76" t="s">
        <v>11123</v>
      </c>
      <c r="F2360" s="76" t="s">
        <v>11124</v>
      </c>
    </row>
    <row r="2361" spans="1:6" ht="63.95" customHeight="1">
      <c r="A2361" s="76" t="s">
        <v>5976</v>
      </c>
      <c r="B2361" s="76" t="s">
        <v>11332</v>
      </c>
      <c r="C2361" s="76" t="s">
        <v>11203</v>
      </c>
      <c r="D2361" s="76" t="s">
        <v>11131</v>
      </c>
      <c r="E2361" s="76" t="s">
        <v>11128</v>
      </c>
      <c r="F2361" s="76" t="s">
        <v>11124</v>
      </c>
    </row>
    <row r="2362" spans="1:6" ht="63.95" customHeight="1">
      <c r="A2362" s="76" t="s">
        <v>5976</v>
      </c>
      <c r="B2362" s="76" t="s">
        <v>11333</v>
      </c>
      <c r="C2362" s="76" t="s">
        <v>11130</v>
      </c>
      <c r="D2362" s="76" t="s">
        <v>11131</v>
      </c>
      <c r="E2362" s="76" t="s">
        <v>11132</v>
      </c>
      <c r="F2362" s="76" t="s">
        <v>11124</v>
      </c>
    </row>
    <row r="2363" spans="1:6" ht="63.95" customHeight="1">
      <c r="A2363" s="76" t="s">
        <v>5976</v>
      </c>
      <c r="B2363" s="76" t="s">
        <v>11334</v>
      </c>
      <c r="C2363" s="76" t="s">
        <v>11201</v>
      </c>
      <c r="D2363" s="76" t="s">
        <v>11122</v>
      </c>
      <c r="E2363" s="76" t="s">
        <v>11123</v>
      </c>
      <c r="F2363" s="76" t="s">
        <v>11124</v>
      </c>
    </row>
    <row r="2364" spans="1:6" ht="63.95" customHeight="1">
      <c r="A2364" s="76" t="s">
        <v>5976</v>
      </c>
      <c r="B2364" s="76" t="s">
        <v>11335</v>
      </c>
      <c r="C2364" s="76" t="s">
        <v>11203</v>
      </c>
      <c r="D2364" s="76" t="s">
        <v>11131</v>
      </c>
      <c r="E2364" s="76" t="s">
        <v>11128</v>
      </c>
      <c r="F2364" s="76" t="s">
        <v>11124</v>
      </c>
    </row>
    <row r="2365" spans="1:6" ht="63.95" customHeight="1">
      <c r="A2365" s="76" t="s">
        <v>5976</v>
      </c>
      <c r="B2365" s="76" t="s">
        <v>11336</v>
      </c>
      <c r="C2365" s="76" t="s">
        <v>11130</v>
      </c>
      <c r="D2365" s="76" t="s">
        <v>11131</v>
      </c>
      <c r="E2365" s="76" t="s">
        <v>11132</v>
      </c>
      <c r="F2365" s="76" t="s">
        <v>11124</v>
      </c>
    </row>
    <row r="2366" spans="1:6" ht="63.95" customHeight="1">
      <c r="A2366" s="76" t="s">
        <v>5976</v>
      </c>
      <c r="B2366" s="76" t="s">
        <v>11337</v>
      </c>
      <c r="C2366" s="76" t="s">
        <v>11201</v>
      </c>
      <c r="D2366" s="76" t="s">
        <v>11122</v>
      </c>
      <c r="E2366" s="76" t="s">
        <v>11123</v>
      </c>
      <c r="F2366" s="76" t="s">
        <v>11124</v>
      </c>
    </row>
    <row r="2367" spans="1:6" ht="63.95" customHeight="1">
      <c r="A2367" s="76" t="s">
        <v>5976</v>
      </c>
      <c r="B2367" s="76" t="s">
        <v>11338</v>
      </c>
      <c r="C2367" s="76" t="s">
        <v>11203</v>
      </c>
      <c r="D2367" s="76" t="s">
        <v>11131</v>
      </c>
      <c r="E2367" s="76" t="s">
        <v>11128</v>
      </c>
      <c r="F2367" s="76" t="s">
        <v>11124</v>
      </c>
    </row>
    <row r="2368" spans="1:6" ht="63.95" customHeight="1">
      <c r="A2368" s="76" t="s">
        <v>5976</v>
      </c>
      <c r="B2368" s="76" t="s">
        <v>11339</v>
      </c>
      <c r="C2368" s="76" t="s">
        <v>11130</v>
      </c>
      <c r="D2368" s="76" t="s">
        <v>11131</v>
      </c>
      <c r="E2368" s="76" t="s">
        <v>11132</v>
      </c>
      <c r="F2368" s="76" t="s">
        <v>11124</v>
      </c>
    </row>
    <row r="2369" spans="1:6" ht="63.95" customHeight="1">
      <c r="A2369" s="76" t="s">
        <v>5976</v>
      </c>
      <c r="B2369" s="76" t="s">
        <v>11340</v>
      </c>
      <c r="C2369" s="76" t="s">
        <v>11201</v>
      </c>
      <c r="D2369" s="76" t="s">
        <v>11122</v>
      </c>
      <c r="E2369" s="76" t="s">
        <v>11123</v>
      </c>
      <c r="F2369" s="76" t="s">
        <v>11124</v>
      </c>
    </row>
    <row r="2370" spans="1:6" ht="63.95" customHeight="1">
      <c r="A2370" s="76" t="s">
        <v>5976</v>
      </c>
      <c r="B2370" s="76" t="s">
        <v>11341</v>
      </c>
      <c r="C2370" s="76" t="s">
        <v>11203</v>
      </c>
      <c r="D2370" s="76" t="s">
        <v>11131</v>
      </c>
      <c r="E2370" s="76" t="s">
        <v>11128</v>
      </c>
      <c r="F2370" s="76" t="s">
        <v>11124</v>
      </c>
    </row>
    <row r="2371" spans="1:6" ht="63.95" customHeight="1">
      <c r="A2371" s="76" t="s">
        <v>5976</v>
      </c>
      <c r="B2371" s="76" t="s">
        <v>11342</v>
      </c>
      <c r="C2371" s="76" t="s">
        <v>11130</v>
      </c>
      <c r="D2371" s="76" t="s">
        <v>11131</v>
      </c>
      <c r="E2371" s="76" t="s">
        <v>11132</v>
      </c>
      <c r="F2371" s="76" t="s">
        <v>11124</v>
      </c>
    </row>
    <row r="2372" spans="1:6" ht="63.95" customHeight="1">
      <c r="A2372" s="76" t="s">
        <v>5976</v>
      </c>
      <c r="B2372" s="76" t="s">
        <v>11343</v>
      </c>
      <c r="C2372" s="76" t="s">
        <v>11201</v>
      </c>
      <c r="D2372" s="76" t="s">
        <v>11122</v>
      </c>
      <c r="E2372" s="76" t="s">
        <v>11123</v>
      </c>
      <c r="F2372" s="76" t="s">
        <v>11124</v>
      </c>
    </row>
    <row r="2373" spans="1:6" ht="63.95" customHeight="1">
      <c r="A2373" s="76" t="s">
        <v>5976</v>
      </c>
      <c r="B2373" s="76" t="s">
        <v>11344</v>
      </c>
      <c r="C2373" s="76" t="s">
        <v>11203</v>
      </c>
      <c r="D2373" s="76" t="s">
        <v>11131</v>
      </c>
      <c r="E2373" s="76" t="s">
        <v>11128</v>
      </c>
      <c r="F2373" s="76" t="s">
        <v>11124</v>
      </c>
    </row>
    <row r="2374" spans="1:6" ht="63.95" customHeight="1">
      <c r="A2374" s="76" t="s">
        <v>5976</v>
      </c>
      <c r="B2374" s="76" t="s">
        <v>11345</v>
      </c>
      <c r="C2374" s="76" t="s">
        <v>11130</v>
      </c>
      <c r="D2374" s="76" t="s">
        <v>11131</v>
      </c>
      <c r="E2374" s="76" t="s">
        <v>11132</v>
      </c>
      <c r="F2374" s="76" t="s">
        <v>11124</v>
      </c>
    </row>
    <row r="2375" spans="1:6" ht="63.95" customHeight="1">
      <c r="A2375" s="76" t="s">
        <v>5976</v>
      </c>
      <c r="B2375" s="76" t="s">
        <v>11346</v>
      </c>
      <c r="C2375" s="76" t="s">
        <v>11201</v>
      </c>
      <c r="D2375" s="76" t="s">
        <v>11122</v>
      </c>
      <c r="E2375" s="76" t="s">
        <v>11123</v>
      </c>
      <c r="F2375" s="76" t="s">
        <v>11124</v>
      </c>
    </row>
    <row r="2376" spans="1:6" ht="63.95" customHeight="1">
      <c r="A2376" s="76" t="s">
        <v>5976</v>
      </c>
      <c r="B2376" s="76" t="s">
        <v>11347</v>
      </c>
      <c r="C2376" s="76" t="s">
        <v>11203</v>
      </c>
      <c r="D2376" s="76" t="s">
        <v>11131</v>
      </c>
      <c r="E2376" s="76" t="s">
        <v>11128</v>
      </c>
      <c r="F2376" s="76" t="s">
        <v>11124</v>
      </c>
    </row>
    <row r="2377" spans="1:6" ht="63.95" customHeight="1">
      <c r="A2377" s="76" t="s">
        <v>5976</v>
      </c>
      <c r="B2377" s="76" t="s">
        <v>11348</v>
      </c>
      <c r="C2377" s="76" t="s">
        <v>11130</v>
      </c>
      <c r="D2377" s="76" t="s">
        <v>11131</v>
      </c>
      <c r="E2377" s="76" t="s">
        <v>11132</v>
      </c>
      <c r="F2377" s="76" t="s">
        <v>11124</v>
      </c>
    </row>
    <row r="2378" spans="1:6" ht="63.95" customHeight="1">
      <c r="A2378" s="76" t="s">
        <v>5976</v>
      </c>
      <c r="B2378" s="76" t="s">
        <v>11349</v>
      </c>
      <c r="C2378" s="76" t="s">
        <v>11201</v>
      </c>
      <c r="D2378" s="76" t="s">
        <v>11122</v>
      </c>
      <c r="E2378" s="76" t="s">
        <v>11123</v>
      </c>
      <c r="F2378" s="76" t="s">
        <v>11124</v>
      </c>
    </row>
    <row r="2379" spans="1:6" ht="63.95" customHeight="1">
      <c r="A2379" s="76" t="s">
        <v>5976</v>
      </c>
      <c r="B2379" s="76" t="s">
        <v>11350</v>
      </c>
      <c r="C2379" s="76" t="s">
        <v>11203</v>
      </c>
      <c r="D2379" s="76" t="s">
        <v>11131</v>
      </c>
      <c r="E2379" s="76" t="s">
        <v>11128</v>
      </c>
      <c r="F2379" s="76" t="s">
        <v>11124</v>
      </c>
    </row>
    <row r="2380" spans="1:6" ht="63.95" customHeight="1">
      <c r="A2380" s="76" t="s">
        <v>5976</v>
      </c>
      <c r="B2380" s="76" t="s">
        <v>11351</v>
      </c>
      <c r="C2380" s="76" t="s">
        <v>11130</v>
      </c>
      <c r="D2380" s="76" t="s">
        <v>11131</v>
      </c>
      <c r="E2380" s="76" t="s">
        <v>11132</v>
      </c>
      <c r="F2380" s="76" t="s">
        <v>11124</v>
      </c>
    </row>
    <row r="2381" spans="1:6" ht="63.95" customHeight="1">
      <c r="A2381" s="76" t="s">
        <v>5976</v>
      </c>
      <c r="B2381" s="76" t="s">
        <v>11352</v>
      </c>
      <c r="C2381" s="76" t="s">
        <v>11201</v>
      </c>
      <c r="D2381" s="76" t="s">
        <v>11122</v>
      </c>
      <c r="E2381" s="76" t="s">
        <v>11123</v>
      </c>
      <c r="F2381" s="76" t="s">
        <v>11124</v>
      </c>
    </row>
    <row r="2382" spans="1:6" ht="63.95" customHeight="1">
      <c r="A2382" s="76" t="s">
        <v>5976</v>
      </c>
      <c r="B2382" s="76" t="s">
        <v>11353</v>
      </c>
      <c r="C2382" s="76" t="s">
        <v>11203</v>
      </c>
      <c r="D2382" s="76" t="s">
        <v>11131</v>
      </c>
      <c r="E2382" s="76" t="s">
        <v>11128</v>
      </c>
      <c r="F2382" s="76" t="s">
        <v>11124</v>
      </c>
    </row>
    <row r="2383" spans="1:6" ht="63.95" customHeight="1">
      <c r="A2383" s="76" t="s">
        <v>5976</v>
      </c>
      <c r="B2383" s="76" t="s">
        <v>11354</v>
      </c>
      <c r="C2383" s="76" t="s">
        <v>11130</v>
      </c>
      <c r="D2383" s="76" t="s">
        <v>11131</v>
      </c>
      <c r="E2383" s="76" t="s">
        <v>11132</v>
      </c>
      <c r="F2383" s="76" t="s">
        <v>11124</v>
      </c>
    </row>
    <row r="2384" spans="1:6" ht="63.95" customHeight="1">
      <c r="A2384" s="76" t="s">
        <v>5976</v>
      </c>
      <c r="B2384" s="76" t="s">
        <v>11355</v>
      </c>
      <c r="C2384" s="76" t="s">
        <v>11201</v>
      </c>
      <c r="D2384" s="76" t="s">
        <v>11122</v>
      </c>
      <c r="E2384" s="76" t="s">
        <v>11123</v>
      </c>
      <c r="F2384" s="76" t="s">
        <v>11124</v>
      </c>
    </row>
    <row r="2385" spans="1:6" ht="63.95" customHeight="1">
      <c r="A2385" s="76" t="s">
        <v>5976</v>
      </c>
      <c r="B2385" s="76" t="s">
        <v>11356</v>
      </c>
      <c r="C2385" s="76" t="s">
        <v>11203</v>
      </c>
      <c r="D2385" s="76" t="s">
        <v>11131</v>
      </c>
      <c r="E2385" s="76" t="s">
        <v>11128</v>
      </c>
      <c r="F2385" s="76" t="s">
        <v>11124</v>
      </c>
    </row>
    <row r="2386" spans="1:6" ht="63.95" customHeight="1">
      <c r="A2386" s="76" t="s">
        <v>5976</v>
      </c>
      <c r="B2386" s="76" t="s">
        <v>11357</v>
      </c>
      <c r="C2386" s="76" t="s">
        <v>11130</v>
      </c>
      <c r="D2386" s="76" t="s">
        <v>11131</v>
      </c>
      <c r="E2386" s="76" t="s">
        <v>11132</v>
      </c>
      <c r="F2386" s="76" t="s">
        <v>11124</v>
      </c>
    </row>
    <row r="2387" spans="1:6" ht="63.95" customHeight="1">
      <c r="A2387" s="76" t="s">
        <v>5976</v>
      </c>
      <c r="B2387" s="76" t="s">
        <v>11358</v>
      </c>
      <c r="C2387" s="76" t="s">
        <v>11201</v>
      </c>
      <c r="D2387" s="76" t="s">
        <v>11122</v>
      </c>
      <c r="E2387" s="76" t="s">
        <v>11123</v>
      </c>
      <c r="F2387" s="76" t="s">
        <v>11124</v>
      </c>
    </row>
    <row r="2388" spans="1:6" ht="63.95" customHeight="1">
      <c r="A2388" s="76" t="s">
        <v>5976</v>
      </c>
      <c r="B2388" s="76" t="s">
        <v>11359</v>
      </c>
      <c r="C2388" s="76" t="s">
        <v>11203</v>
      </c>
      <c r="D2388" s="76" t="s">
        <v>11131</v>
      </c>
      <c r="E2388" s="76" t="s">
        <v>11128</v>
      </c>
      <c r="F2388" s="76" t="s">
        <v>11124</v>
      </c>
    </row>
    <row r="2389" spans="1:6" ht="63.95" customHeight="1">
      <c r="A2389" s="76" t="s">
        <v>5976</v>
      </c>
      <c r="B2389" s="76" t="s">
        <v>11360</v>
      </c>
      <c r="C2389" s="76" t="s">
        <v>11130</v>
      </c>
      <c r="D2389" s="76" t="s">
        <v>11131</v>
      </c>
      <c r="E2389" s="76" t="s">
        <v>11132</v>
      </c>
      <c r="F2389" s="76" t="s">
        <v>11124</v>
      </c>
    </row>
    <row r="2390" spans="1:6" ht="63.95" customHeight="1">
      <c r="A2390" s="76" t="s">
        <v>5976</v>
      </c>
      <c r="B2390" s="76" t="s">
        <v>11361</v>
      </c>
      <c r="C2390" s="76" t="s">
        <v>11143</v>
      </c>
      <c r="D2390" s="76" t="s">
        <v>11122</v>
      </c>
      <c r="E2390" s="76" t="s">
        <v>11123</v>
      </c>
      <c r="F2390" s="76" t="s">
        <v>11124</v>
      </c>
    </row>
    <row r="2391" spans="1:6" ht="63.95" customHeight="1">
      <c r="A2391" s="76" t="s">
        <v>5976</v>
      </c>
      <c r="B2391" s="76" t="s">
        <v>11362</v>
      </c>
      <c r="C2391" s="76" t="s">
        <v>11126</v>
      </c>
      <c r="D2391" s="76" t="s">
        <v>11127</v>
      </c>
      <c r="E2391" s="76" t="s">
        <v>11128</v>
      </c>
      <c r="F2391" s="76" t="s">
        <v>11124</v>
      </c>
    </row>
    <row r="2392" spans="1:6" ht="63.95" customHeight="1">
      <c r="A2392" s="76" t="s">
        <v>5976</v>
      </c>
      <c r="B2392" s="76" t="s">
        <v>11363</v>
      </c>
      <c r="C2392" s="76" t="s">
        <v>11130</v>
      </c>
      <c r="D2392" s="76" t="s">
        <v>11131</v>
      </c>
      <c r="E2392" s="76" t="s">
        <v>11132</v>
      </c>
      <c r="F2392" s="76" t="s">
        <v>11124</v>
      </c>
    </row>
    <row r="2393" spans="1:6" ht="63.95" customHeight="1">
      <c r="A2393" s="76" t="s">
        <v>5976</v>
      </c>
      <c r="B2393" s="76" t="s">
        <v>11364</v>
      </c>
      <c r="C2393" s="76" t="s">
        <v>11143</v>
      </c>
      <c r="D2393" s="76" t="s">
        <v>11122</v>
      </c>
      <c r="E2393" s="76" t="s">
        <v>11123</v>
      </c>
      <c r="F2393" s="76" t="s">
        <v>11124</v>
      </c>
    </row>
    <row r="2394" spans="1:6" ht="63.95" customHeight="1">
      <c r="A2394" s="76" t="s">
        <v>5976</v>
      </c>
      <c r="B2394" s="76" t="s">
        <v>11365</v>
      </c>
      <c r="C2394" s="76" t="s">
        <v>11126</v>
      </c>
      <c r="D2394" s="76" t="s">
        <v>11127</v>
      </c>
      <c r="E2394" s="76" t="s">
        <v>11128</v>
      </c>
      <c r="F2394" s="76" t="s">
        <v>11124</v>
      </c>
    </row>
    <row r="2395" spans="1:6" ht="63.95" customHeight="1">
      <c r="A2395" s="76" t="s">
        <v>5976</v>
      </c>
      <c r="B2395" s="76" t="s">
        <v>11366</v>
      </c>
      <c r="C2395" s="76" t="s">
        <v>11130</v>
      </c>
      <c r="D2395" s="76" t="s">
        <v>11131</v>
      </c>
      <c r="E2395" s="76" t="s">
        <v>11132</v>
      </c>
      <c r="F2395" s="76" t="s">
        <v>11124</v>
      </c>
    </row>
    <row r="2396" spans="1:6" ht="63.95" customHeight="1">
      <c r="A2396" s="76" t="s">
        <v>5976</v>
      </c>
      <c r="B2396" s="76" t="s">
        <v>11367</v>
      </c>
      <c r="C2396" s="76" t="s">
        <v>11143</v>
      </c>
      <c r="D2396" s="76" t="s">
        <v>11122</v>
      </c>
      <c r="E2396" s="76" t="s">
        <v>11123</v>
      </c>
      <c r="F2396" s="76" t="s">
        <v>11124</v>
      </c>
    </row>
    <row r="2397" spans="1:6" ht="63.95" customHeight="1">
      <c r="A2397" s="76" t="s">
        <v>5976</v>
      </c>
      <c r="B2397" s="76" t="s">
        <v>11368</v>
      </c>
      <c r="C2397" s="76" t="s">
        <v>11126</v>
      </c>
      <c r="D2397" s="76" t="s">
        <v>11127</v>
      </c>
      <c r="E2397" s="76" t="s">
        <v>11128</v>
      </c>
      <c r="F2397" s="76" t="s">
        <v>11124</v>
      </c>
    </row>
    <row r="2398" spans="1:6" ht="63.95" customHeight="1">
      <c r="A2398" s="76" t="s">
        <v>5976</v>
      </c>
      <c r="B2398" s="76" t="s">
        <v>11369</v>
      </c>
      <c r="C2398" s="76" t="s">
        <v>11130</v>
      </c>
      <c r="D2398" s="76" t="s">
        <v>11131</v>
      </c>
      <c r="E2398" s="76" t="s">
        <v>11132</v>
      </c>
      <c r="F2398" s="76" t="s">
        <v>11124</v>
      </c>
    </row>
    <row r="2399" spans="1:6" ht="63.95" customHeight="1">
      <c r="A2399" s="76" t="s">
        <v>5976</v>
      </c>
      <c r="B2399" s="76" t="s">
        <v>11370</v>
      </c>
      <c r="C2399" s="76" t="s">
        <v>11143</v>
      </c>
      <c r="D2399" s="76" t="s">
        <v>11122</v>
      </c>
      <c r="E2399" s="76" t="s">
        <v>11123</v>
      </c>
      <c r="F2399" s="76" t="s">
        <v>11124</v>
      </c>
    </row>
    <row r="2400" spans="1:6" ht="63.95" customHeight="1">
      <c r="A2400" s="76" t="s">
        <v>5976</v>
      </c>
      <c r="B2400" s="76" t="s">
        <v>11371</v>
      </c>
      <c r="C2400" s="76" t="s">
        <v>11126</v>
      </c>
      <c r="D2400" s="76" t="s">
        <v>11127</v>
      </c>
      <c r="E2400" s="76" t="s">
        <v>11128</v>
      </c>
      <c r="F2400" s="76" t="s">
        <v>11124</v>
      </c>
    </row>
    <row r="2401" spans="1:6" ht="63.95" customHeight="1">
      <c r="A2401" s="76" t="s">
        <v>5976</v>
      </c>
      <c r="B2401" s="76" t="s">
        <v>11372</v>
      </c>
      <c r="C2401" s="76" t="s">
        <v>11130</v>
      </c>
      <c r="D2401" s="76" t="s">
        <v>11131</v>
      </c>
      <c r="E2401" s="76" t="s">
        <v>11132</v>
      </c>
      <c r="F2401" s="76" t="s">
        <v>11124</v>
      </c>
    </row>
    <row r="2402" spans="1:6" ht="63.95" customHeight="1">
      <c r="A2402" s="76" t="s">
        <v>5976</v>
      </c>
      <c r="B2402" s="76" t="s">
        <v>11373</v>
      </c>
      <c r="C2402" s="76" t="s">
        <v>11201</v>
      </c>
      <c r="D2402" s="76" t="s">
        <v>11122</v>
      </c>
      <c r="E2402" s="76" t="s">
        <v>11123</v>
      </c>
      <c r="F2402" s="76" t="s">
        <v>11124</v>
      </c>
    </row>
    <row r="2403" spans="1:6" ht="63.95" customHeight="1">
      <c r="A2403" s="76" t="s">
        <v>5976</v>
      </c>
      <c r="B2403" s="76" t="s">
        <v>11374</v>
      </c>
      <c r="C2403" s="76" t="s">
        <v>11203</v>
      </c>
      <c r="D2403" s="76" t="s">
        <v>11131</v>
      </c>
      <c r="E2403" s="76" t="s">
        <v>11128</v>
      </c>
      <c r="F2403" s="76" t="s">
        <v>11124</v>
      </c>
    </row>
    <row r="2404" spans="1:6" ht="63.95" customHeight="1">
      <c r="A2404" s="76" t="s">
        <v>5976</v>
      </c>
      <c r="B2404" s="76" t="s">
        <v>11375</v>
      </c>
      <c r="C2404" s="76" t="s">
        <v>11130</v>
      </c>
      <c r="D2404" s="76" t="s">
        <v>11131</v>
      </c>
      <c r="E2404" s="76" t="s">
        <v>11132</v>
      </c>
      <c r="F2404" s="76" t="s">
        <v>11124</v>
      </c>
    </row>
    <row r="2405" spans="1:6" ht="63.95" customHeight="1">
      <c r="A2405" s="76" t="s">
        <v>5976</v>
      </c>
      <c r="B2405" s="76" t="s">
        <v>11376</v>
      </c>
      <c r="C2405" s="76" t="s">
        <v>11201</v>
      </c>
      <c r="D2405" s="76" t="s">
        <v>11122</v>
      </c>
      <c r="E2405" s="76" t="s">
        <v>11123</v>
      </c>
      <c r="F2405" s="76" t="s">
        <v>11124</v>
      </c>
    </row>
    <row r="2406" spans="1:6" ht="63.95" customHeight="1">
      <c r="A2406" s="76" t="s">
        <v>5976</v>
      </c>
      <c r="B2406" s="76" t="s">
        <v>11377</v>
      </c>
      <c r="C2406" s="76" t="s">
        <v>11203</v>
      </c>
      <c r="D2406" s="76" t="s">
        <v>11131</v>
      </c>
      <c r="E2406" s="76" t="s">
        <v>11128</v>
      </c>
      <c r="F2406" s="76" t="s">
        <v>11124</v>
      </c>
    </row>
    <row r="2407" spans="1:6" ht="63.95" customHeight="1">
      <c r="A2407" s="76" t="s">
        <v>5976</v>
      </c>
      <c r="B2407" s="76" t="s">
        <v>11378</v>
      </c>
      <c r="C2407" s="76" t="s">
        <v>11130</v>
      </c>
      <c r="D2407" s="76" t="s">
        <v>11131</v>
      </c>
      <c r="E2407" s="76" t="s">
        <v>11132</v>
      </c>
      <c r="F2407" s="76" t="s">
        <v>11124</v>
      </c>
    </row>
    <row r="2408" spans="1:6" ht="63.95" customHeight="1">
      <c r="A2408" s="76" t="s">
        <v>5976</v>
      </c>
      <c r="B2408" s="76" t="s">
        <v>11379</v>
      </c>
      <c r="C2408" s="76" t="s">
        <v>11143</v>
      </c>
      <c r="D2408" s="76" t="s">
        <v>11122</v>
      </c>
      <c r="E2408" s="76" t="s">
        <v>11123</v>
      </c>
      <c r="F2408" s="76" t="s">
        <v>11124</v>
      </c>
    </row>
    <row r="2409" spans="1:6" ht="63.95" customHeight="1">
      <c r="A2409" s="76" t="s">
        <v>5976</v>
      </c>
      <c r="B2409" s="76" t="s">
        <v>11380</v>
      </c>
      <c r="C2409" s="76" t="s">
        <v>11126</v>
      </c>
      <c r="D2409" s="76" t="s">
        <v>11127</v>
      </c>
      <c r="E2409" s="76" t="s">
        <v>11128</v>
      </c>
      <c r="F2409" s="76" t="s">
        <v>11124</v>
      </c>
    </row>
    <row r="2410" spans="1:6" ht="63.95" customHeight="1">
      <c r="A2410" s="76" t="s">
        <v>5976</v>
      </c>
      <c r="B2410" s="76" t="s">
        <v>11381</v>
      </c>
      <c r="C2410" s="76" t="s">
        <v>11130</v>
      </c>
      <c r="D2410" s="76" t="s">
        <v>11131</v>
      </c>
      <c r="E2410" s="76" t="s">
        <v>11132</v>
      </c>
      <c r="F2410" s="76" t="s">
        <v>11124</v>
      </c>
    </row>
    <row r="2411" spans="1:6" ht="63.95" customHeight="1">
      <c r="A2411" s="76" t="s">
        <v>5976</v>
      </c>
      <c r="B2411" s="76" t="s">
        <v>11382</v>
      </c>
      <c r="C2411" s="76" t="s">
        <v>11143</v>
      </c>
      <c r="D2411" s="76" t="s">
        <v>11122</v>
      </c>
      <c r="E2411" s="76" t="s">
        <v>11123</v>
      </c>
      <c r="F2411" s="76" t="s">
        <v>11124</v>
      </c>
    </row>
    <row r="2412" spans="1:6" ht="63.95" customHeight="1">
      <c r="A2412" s="76" t="s">
        <v>5976</v>
      </c>
      <c r="B2412" s="76" t="s">
        <v>11383</v>
      </c>
      <c r="C2412" s="76" t="s">
        <v>11126</v>
      </c>
      <c r="D2412" s="76" t="s">
        <v>11127</v>
      </c>
      <c r="E2412" s="76" t="s">
        <v>11128</v>
      </c>
      <c r="F2412" s="76" t="s">
        <v>11124</v>
      </c>
    </row>
    <row r="2413" spans="1:6" ht="63.95" customHeight="1">
      <c r="A2413" s="76" t="s">
        <v>5976</v>
      </c>
      <c r="B2413" s="76" t="s">
        <v>11384</v>
      </c>
      <c r="C2413" s="76" t="s">
        <v>11130</v>
      </c>
      <c r="D2413" s="76" t="s">
        <v>11131</v>
      </c>
      <c r="E2413" s="76" t="s">
        <v>11132</v>
      </c>
      <c r="F2413" s="76" t="s">
        <v>11124</v>
      </c>
    </row>
    <row r="2414" spans="1:6" ht="63.95" customHeight="1">
      <c r="A2414" s="76" t="s">
        <v>5976</v>
      </c>
      <c r="B2414" s="76" t="s">
        <v>11385</v>
      </c>
      <c r="C2414" s="76" t="s">
        <v>11201</v>
      </c>
      <c r="D2414" s="76" t="s">
        <v>11122</v>
      </c>
      <c r="E2414" s="76" t="s">
        <v>11123</v>
      </c>
      <c r="F2414" s="76" t="s">
        <v>11124</v>
      </c>
    </row>
    <row r="2415" spans="1:6" ht="63.95" customHeight="1">
      <c r="A2415" s="76" t="s">
        <v>5976</v>
      </c>
      <c r="B2415" s="76" t="s">
        <v>11386</v>
      </c>
      <c r="C2415" s="76" t="s">
        <v>11203</v>
      </c>
      <c r="D2415" s="76" t="s">
        <v>11131</v>
      </c>
      <c r="E2415" s="76" t="s">
        <v>11128</v>
      </c>
      <c r="F2415" s="76" t="s">
        <v>11124</v>
      </c>
    </row>
    <row r="2416" spans="1:6" ht="63.95" customHeight="1">
      <c r="A2416" s="76" t="s">
        <v>5976</v>
      </c>
      <c r="B2416" s="76" t="s">
        <v>11387</v>
      </c>
      <c r="C2416" s="76" t="s">
        <v>11130</v>
      </c>
      <c r="D2416" s="76" t="s">
        <v>11131</v>
      </c>
      <c r="E2416" s="76" t="s">
        <v>11132</v>
      </c>
      <c r="F2416" s="76" t="s">
        <v>11124</v>
      </c>
    </row>
    <row r="2417" spans="1:6" ht="63.95" customHeight="1">
      <c r="A2417" s="76" t="s">
        <v>5976</v>
      </c>
      <c r="B2417" s="76" t="s">
        <v>11388</v>
      </c>
      <c r="C2417" s="76" t="s">
        <v>11201</v>
      </c>
      <c r="D2417" s="76" t="s">
        <v>11122</v>
      </c>
      <c r="E2417" s="76" t="s">
        <v>11123</v>
      </c>
      <c r="F2417" s="76" t="s">
        <v>11124</v>
      </c>
    </row>
    <row r="2418" spans="1:6" ht="63.95" customHeight="1">
      <c r="A2418" s="76" t="s">
        <v>5976</v>
      </c>
      <c r="B2418" s="76" t="s">
        <v>11389</v>
      </c>
      <c r="C2418" s="76" t="s">
        <v>11203</v>
      </c>
      <c r="D2418" s="76" t="s">
        <v>11131</v>
      </c>
      <c r="E2418" s="76" t="s">
        <v>11128</v>
      </c>
      <c r="F2418" s="76" t="s">
        <v>11124</v>
      </c>
    </row>
    <row r="2419" spans="1:6" ht="63.95" customHeight="1">
      <c r="A2419" s="76" t="s">
        <v>5976</v>
      </c>
      <c r="B2419" s="76" t="s">
        <v>11390</v>
      </c>
      <c r="C2419" s="76" t="s">
        <v>11130</v>
      </c>
      <c r="D2419" s="76" t="s">
        <v>11131</v>
      </c>
      <c r="E2419" s="76" t="s">
        <v>11132</v>
      </c>
      <c r="F2419" s="76" t="s">
        <v>11124</v>
      </c>
    </row>
    <row r="2420" spans="1:6" ht="63.95" customHeight="1">
      <c r="A2420" s="76" t="s">
        <v>5976</v>
      </c>
      <c r="B2420" s="76" t="s">
        <v>11391</v>
      </c>
      <c r="C2420" s="76" t="s">
        <v>11201</v>
      </c>
      <c r="D2420" s="76" t="s">
        <v>11122</v>
      </c>
      <c r="E2420" s="76" t="s">
        <v>11123</v>
      </c>
      <c r="F2420" s="76" t="s">
        <v>11124</v>
      </c>
    </row>
    <row r="2421" spans="1:6" ht="63.95" customHeight="1">
      <c r="A2421" s="76" t="s">
        <v>5976</v>
      </c>
      <c r="B2421" s="76" t="s">
        <v>11392</v>
      </c>
      <c r="C2421" s="76" t="s">
        <v>11203</v>
      </c>
      <c r="D2421" s="76" t="s">
        <v>11131</v>
      </c>
      <c r="E2421" s="76" t="s">
        <v>11128</v>
      </c>
      <c r="F2421" s="76" t="s">
        <v>11124</v>
      </c>
    </row>
    <row r="2422" spans="1:6" ht="63.95" customHeight="1">
      <c r="A2422" s="76" t="s">
        <v>5976</v>
      </c>
      <c r="B2422" s="76" t="s">
        <v>11393</v>
      </c>
      <c r="C2422" s="76" t="s">
        <v>11130</v>
      </c>
      <c r="D2422" s="76" t="s">
        <v>11131</v>
      </c>
      <c r="E2422" s="76" t="s">
        <v>11132</v>
      </c>
      <c r="F2422" s="76" t="s">
        <v>11124</v>
      </c>
    </row>
    <row r="2423" spans="1:6" ht="63.95" customHeight="1">
      <c r="A2423" s="76" t="s">
        <v>5976</v>
      </c>
      <c r="B2423" s="76" t="s">
        <v>11394</v>
      </c>
      <c r="C2423" s="76" t="s">
        <v>11201</v>
      </c>
      <c r="D2423" s="76" t="s">
        <v>11122</v>
      </c>
      <c r="E2423" s="76" t="s">
        <v>11123</v>
      </c>
      <c r="F2423" s="76" t="s">
        <v>11124</v>
      </c>
    </row>
    <row r="2424" spans="1:6" ht="63.95" customHeight="1">
      <c r="A2424" s="76" t="s">
        <v>5976</v>
      </c>
      <c r="B2424" s="76" t="s">
        <v>11395</v>
      </c>
      <c r="C2424" s="76" t="s">
        <v>11203</v>
      </c>
      <c r="D2424" s="76" t="s">
        <v>11131</v>
      </c>
      <c r="E2424" s="76" t="s">
        <v>11128</v>
      </c>
      <c r="F2424" s="76" t="s">
        <v>11124</v>
      </c>
    </row>
    <row r="2425" spans="1:6" ht="63.95" customHeight="1">
      <c r="A2425" s="76" t="s">
        <v>5976</v>
      </c>
      <c r="B2425" s="76" t="s">
        <v>11396</v>
      </c>
      <c r="C2425" s="76" t="s">
        <v>11130</v>
      </c>
      <c r="D2425" s="76" t="s">
        <v>11131</v>
      </c>
      <c r="E2425" s="76" t="s">
        <v>11132</v>
      </c>
      <c r="F2425" s="76" t="s">
        <v>11124</v>
      </c>
    </row>
    <row r="2426" spans="1:6" ht="63.95" customHeight="1">
      <c r="A2426" s="76" t="s">
        <v>5976</v>
      </c>
      <c r="B2426" s="76" t="s">
        <v>11397</v>
      </c>
      <c r="C2426" s="76" t="s">
        <v>11201</v>
      </c>
      <c r="D2426" s="76" t="s">
        <v>11122</v>
      </c>
      <c r="E2426" s="76" t="s">
        <v>11123</v>
      </c>
      <c r="F2426" s="76" t="s">
        <v>11124</v>
      </c>
    </row>
    <row r="2427" spans="1:6" ht="63.95" customHeight="1">
      <c r="A2427" s="76" t="s">
        <v>5976</v>
      </c>
      <c r="B2427" s="76" t="s">
        <v>11398</v>
      </c>
      <c r="C2427" s="76" t="s">
        <v>11203</v>
      </c>
      <c r="D2427" s="76" t="s">
        <v>11131</v>
      </c>
      <c r="E2427" s="76" t="s">
        <v>11128</v>
      </c>
      <c r="F2427" s="76" t="s">
        <v>11124</v>
      </c>
    </row>
    <row r="2428" spans="1:6" ht="63.95" customHeight="1">
      <c r="A2428" s="76" t="s">
        <v>5976</v>
      </c>
      <c r="B2428" s="76" t="s">
        <v>11399</v>
      </c>
      <c r="C2428" s="76" t="s">
        <v>11130</v>
      </c>
      <c r="D2428" s="76" t="s">
        <v>11131</v>
      </c>
      <c r="E2428" s="76" t="s">
        <v>11132</v>
      </c>
      <c r="F2428" s="76" t="s">
        <v>11124</v>
      </c>
    </row>
    <row r="2429" spans="1:6" ht="63.95" customHeight="1">
      <c r="A2429" s="76" t="s">
        <v>5976</v>
      </c>
      <c r="B2429" s="76" t="s">
        <v>11400</v>
      </c>
      <c r="C2429" s="76" t="s">
        <v>11201</v>
      </c>
      <c r="D2429" s="76" t="s">
        <v>11122</v>
      </c>
      <c r="E2429" s="76" t="s">
        <v>11123</v>
      </c>
      <c r="F2429" s="76" t="s">
        <v>11124</v>
      </c>
    </row>
    <row r="2430" spans="1:6" ht="63.95" customHeight="1">
      <c r="A2430" s="76" t="s">
        <v>5976</v>
      </c>
      <c r="B2430" s="76" t="s">
        <v>11401</v>
      </c>
      <c r="C2430" s="76" t="s">
        <v>11203</v>
      </c>
      <c r="D2430" s="76" t="s">
        <v>11131</v>
      </c>
      <c r="E2430" s="76" t="s">
        <v>11128</v>
      </c>
      <c r="F2430" s="76" t="s">
        <v>11124</v>
      </c>
    </row>
    <row r="2431" spans="1:6" ht="63.95" customHeight="1">
      <c r="A2431" s="76" t="s">
        <v>5976</v>
      </c>
      <c r="B2431" s="76" t="s">
        <v>11402</v>
      </c>
      <c r="C2431" s="76" t="s">
        <v>11130</v>
      </c>
      <c r="D2431" s="76" t="s">
        <v>11131</v>
      </c>
      <c r="E2431" s="76" t="s">
        <v>11132</v>
      </c>
      <c r="F2431" s="76" t="s">
        <v>11124</v>
      </c>
    </row>
    <row r="2432" spans="1:6" ht="63.95" customHeight="1">
      <c r="A2432" s="76" t="s">
        <v>5976</v>
      </c>
      <c r="B2432" s="76" t="s">
        <v>11403</v>
      </c>
      <c r="C2432" s="76" t="s">
        <v>11201</v>
      </c>
      <c r="D2432" s="76" t="s">
        <v>11122</v>
      </c>
      <c r="E2432" s="76" t="s">
        <v>11123</v>
      </c>
      <c r="F2432" s="76" t="s">
        <v>11124</v>
      </c>
    </row>
    <row r="2433" spans="1:6" ht="63.95" customHeight="1">
      <c r="A2433" s="76" t="s">
        <v>5976</v>
      </c>
      <c r="B2433" s="76" t="s">
        <v>11404</v>
      </c>
      <c r="C2433" s="76" t="s">
        <v>11203</v>
      </c>
      <c r="D2433" s="76" t="s">
        <v>11131</v>
      </c>
      <c r="E2433" s="76" t="s">
        <v>11128</v>
      </c>
      <c r="F2433" s="76" t="s">
        <v>11124</v>
      </c>
    </row>
    <row r="2434" spans="1:6" ht="63.95" customHeight="1">
      <c r="A2434" s="76" t="s">
        <v>5976</v>
      </c>
      <c r="B2434" s="76" t="s">
        <v>11405</v>
      </c>
      <c r="C2434" s="76" t="s">
        <v>11130</v>
      </c>
      <c r="D2434" s="76" t="s">
        <v>11131</v>
      </c>
      <c r="E2434" s="76" t="s">
        <v>11132</v>
      </c>
      <c r="F2434" s="76" t="s">
        <v>11124</v>
      </c>
    </row>
    <row r="2435" spans="1:6" ht="63.95" customHeight="1">
      <c r="A2435" s="76" t="s">
        <v>5976</v>
      </c>
      <c r="B2435" s="76" t="s">
        <v>11406</v>
      </c>
      <c r="C2435" s="76" t="s">
        <v>11201</v>
      </c>
      <c r="D2435" s="76" t="s">
        <v>11122</v>
      </c>
      <c r="E2435" s="76" t="s">
        <v>11123</v>
      </c>
      <c r="F2435" s="76" t="s">
        <v>11124</v>
      </c>
    </row>
    <row r="2436" spans="1:6" ht="63.95" customHeight="1">
      <c r="A2436" s="76" t="s">
        <v>5976</v>
      </c>
      <c r="B2436" s="76" t="s">
        <v>11407</v>
      </c>
      <c r="C2436" s="76" t="s">
        <v>11203</v>
      </c>
      <c r="D2436" s="76" t="s">
        <v>11131</v>
      </c>
      <c r="E2436" s="76" t="s">
        <v>11128</v>
      </c>
      <c r="F2436" s="76" t="s">
        <v>11124</v>
      </c>
    </row>
    <row r="2437" spans="1:6" ht="63.95" customHeight="1">
      <c r="A2437" s="76" t="s">
        <v>5976</v>
      </c>
      <c r="B2437" s="76" t="s">
        <v>11408</v>
      </c>
      <c r="C2437" s="76" t="s">
        <v>11130</v>
      </c>
      <c r="D2437" s="76" t="s">
        <v>11131</v>
      </c>
      <c r="E2437" s="76" t="s">
        <v>11132</v>
      </c>
      <c r="F2437" s="76" t="s">
        <v>11124</v>
      </c>
    </row>
    <row r="2438" spans="1:6" ht="63.95" customHeight="1">
      <c r="A2438" s="76" t="s">
        <v>5976</v>
      </c>
      <c r="B2438" s="76" t="s">
        <v>11409</v>
      </c>
      <c r="C2438" s="76" t="s">
        <v>11201</v>
      </c>
      <c r="D2438" s="76" t="s">
        <v>11122</v>
      </c>
      <c r="E2438" s="76" t="s">
        <v>11123</v>
      </c>
      <c r="F2438" s="76" t="s">
        <v>11124</v>
      </c>
    </row>
    <row r="2439" spans="1:6" ht="63.95" customHeight="1">
      <c r="A2439" s="76" t="s">
        <v>5976</v>
      </c>
      <c r="B2439" s="76" t="s">
        <v>11410</v>
      </c>
      <c r="C2439" s="76" t="s">
        <v>11203</v>
      </c>
      <c r="D2439" s="76" t="s">
        <v>11131</v>
      </c>
      <c r="E2439" s="76" t="s">
        <v>11128</v>
      </c>
      <c r="F2439" s="76" t="s">
        <v>11124</v>
      </c>
    </row>
    <row r="2440" spans="1:6" ht="63.95" customHeight="1">
      <c r="A2440" s="76" t="s">
        <v>5976</v>
      </c>
      <c r="B2440" s="76" t="s">
        <v>11411</v>
      </c>
      <c r="C2440" s="76" t="s">
        <v>11130</v>
      </c>
      <c r="D2440" s="76" t="s">
        <v>11131</v>
      </c>
      <c r="E2440" s="76" t="s">
        <v>11132</v>
      </c>
      <c r="F2440" s="76" t="s">
        <v>11124</v>
      </c>
    </row>
    <row r="2441" spans="1:6" ht="63.95" customHeight="1">
      <c r="A2441" s="76" t="s">
        <v>5976</v>
      </c>
      <c r="B2441" s="76" t="s">
        <v>11412</v>
      </c>
      <c r="C2441" s="76" t="s">
        <v>11201</v>
      </c>
      <c r="D2441" s="76" t="s">
        <v>11122</v>
      </c>
      <c r="E2441" s="76" t="s">
        <v>11123</v>
      </c>
      <c r="F2441" s="76" t="s">
        <v>11124</v>
      </c>
    </row>
    <row r="2442" spans="1:6" ht="63.95" customHeight="1">
      <c r="A2442" s="76" t="s">
        <v>5976</v>
      </c>
      <c r="B2442" s="76" t="s">
        <v>11413</v>
      </c>
      <c r="C2442" s="76" t="s">
        <v>11203</v>
      </c>
      <c r="D2442" s="76" t="s">
        <v>11131</v>
      </c>
      <c r="E2442" s="76" t="s">
        <v>11128</v>
      </c>
      <c r="F2442" s="76" t="s">
        <v>11124</v>
      </c>
    </row>
    <row r="2443" spans="1:6" ht="63.95" customHeight="1">
      <c r="A2443" s="76" t="s">
        <v>5976</v>
      </c>
      <c r="B2443" s="76" t="s">
        <v>11414</v>
      </c>
      <c r="C2443" s="76" t="s">
        <v>11130</v>
      </c>
      <c r="D2443" s="76" t="s">
        <v>11131</v>
      </c>
      <c r="E2443" s="76" t="s">
        <v>11132</v>
      </c>
      <c r="F2443" s="76" t="s">
        <v>11124</v>
      </c>
    </row>
    <row r="2444" spans="1:6" ht="63.95" customHeight="1">
      <c r="A2444" s="76" t="s">
        <v>5976</v>
      </c>
      <c r="B2444" s="76" t="s">
        <v>11415</v>
      </c>
      <c r="C2444" s="76" t="s">
        <v>11201</v>
      </c>
      <c r="D2444" s="76" t="s">
        <v>11122</v>
      </c>
      <c r="E2444" s="76" t="s">
        <v>11123</v>
      </c>
      <c r="F2444" s="76" t="s">
        <v>11124</v>
      </c>
    </row>
    <row r="2445" spans="1:6" ht="63.95" customHeight="1">
      <c r="A2445" s="76" t="s">
        <v>5976</v>
      </c>
      <c r="B2445" s="76" t="s">
        <v>11416</v>
      </c>
      <c r="C2445" s="76" t="s">
        <v>11203</v>
      </c>
      <c r="D2445" s="76" t="s">
        <v>11131</v>
      </c>
      <c r="E2445" s="76" t="s">
        <v>11128</v>
      </c>
      <c r="F2445" s="76" t="s">
        <v>11124</v>
      </c>
    </row>
    <row r="2446" spans="1:6" ht="63.95" customHeight="1">
      <c r="A2446" s="76" t="s">
        <v>5976</v>
      </c>
      <c r="B2446" s="76" t="s">
        <v>11417</v>
      </c>
      <c r="C2446" s="76" t="s">
        <v>11130</v>
      </c>
      <c r="D2446" s="76" t="s">
        <v>11131</v>
      </c>
      <c r="E2446" s="76" t="s">
        <v>11132</v>
      </c>
      <c r="F2446" s="76" t="s">
        <v>11124</v>
      </c>
    </row>
    <row r="2447" spans="1:6" ht="63.95" customHeight="1">
      <c r="A2447" s="76" t="s">
        <v>5976</v>
      </c>
      <c r="B2447" s="76" t="s">
        <v>11418</v>
      </c>
      <c r="C2447" s="76" t="s">
        <v>11201</v>
      </c>
      <c r="D2447" s="76" t="s">
        <v>11122</v>
      </c>
      <c r="E2447" s="76" t="s">
        <v>11123</v>
      </c>
      <c r="F2447" s="76" t="s">
        <v>11124</v>
      </c>
    </row>
    <row r="2448" spans="1:6" ht="63.95" customHeight="1">
      <c r="A2448" s="76" t="s">
        <v>5976</v>
      </c>
      <c r="B2448" s="76" t="s">
        <v>11419</v>
      </c>
      <c r="C2448" s="76" t="s">
        <v>11203</v>
      </c>
      <c r="D2448" s="76" t="s">
        <v>11131</v>
      </c>
      <c r="E2448" s="76" t="s">
        <v>11128</v>
      </c>
      <c r="F2448" s="76" t="s">
        <v>11124</v>
      </c>
    </row>
    <row r="2449" spans="1:6" ht="63.95" customHeight="1">
      <c r="A2449" s="76" t="s">
        <v>5976</v>
      </c>
      <c r="B2449" s="76" t="s">
        <v>11420</v>
      </c>
      <c r="C2449" s="76" t="s">
        <v>11130</v>
      </c>
      <c r="D2449" s="76" t="s">
        <v>11131</v>
      </c>
      <c r="E2449" s="76" t="s">
        <v>11132</v>
      </c>
      <c r="F2449" s="76" t="s">
        <v>11124</v>
      </c>
    </row>
    <row r="2450" spans="1:6" ht="63.95" customHeight="1">
      <c r="A2450" s="76" t="s">
        <v>5976</v>
      </c>
      <c r="B2450" s="76" t="s">
        <v>11421</v>
      </c>
      <c r="C2450" s="76" t="s">
        <v>11201</v>
      </c>
      <c r="D2450" s="76" t="s">
        <v>11122</v>
      </c>
      <c r="E2450" s="76" t="s">
        <v>11123</v>
      </c>
      <c r="F2450" s="76" t="s">
        <v>11124</v>
      </c>
    </row>
    <row r="2451" spans="1:6" ht="63.95" customHeight="1">
      <c r="A2451" s="76" t="s">
        <v>5976</v>
      </c>
      <c r="B2451" s="76" t="s">
        <v>11422</v>
      </c>
      <c r="C2451" s="76" t="s">
        <v>11203</v>
      </c>
      <c r="D2451" s="76" t="s">
        <v>11131</v>
      </c>
      <c r="E2451" s="76" t="s">
        <v>11128</v>
      </c>
      <c r="F2451" s="76" t="s">
        <v>11124</v>
      </c>
    </row>
    <row r="2452" spans="1:6" ht="63.95" customHeight="1">
      <c r="A2452" s="76" t="s">
        <v>5976</v>
      </c>
      <c r="B2452" s="76" t="s">
        <v>11423</v>
      </c>
      <c r="C2452" s="76" t="s">
        <v>11130</v>
      </c>
      <c r="D2452" s="76" t="s">
        <v>11131</v>
      </c>
      <c r="E2452" s="76" t="s">
        <v>11132</v>
      </c>
      <c r="F2452" s="76" t="s">
        <v>11124</v>
      </c>
    </row>
    <row r="2453" spans="1:6" ht="63.95" customHeight="1">
      <c r="A2453" s="76" t="s">
        <v>5976</v>
      </c>
      <c r="B2453" s="76" t="s">
        <v>11424</v>
      </c>
      <c r="C2453" s="76" t="s">
        <v>11201</v>
      </c>
      <c r="D2453" s="76" t="s">
        <v>11122</v>
      </c>
      <c r="E2453" s="76" t="s">
        <v>11123</v>
      </c>
      <c r="F2453" s="76" t="s">
        <v>11124</v>
      </c>
    </row>
    <row r="2454" spans="1:6" ht="63.95" customHeight="1">
      <c r="A2454" s="76" t="s">
        <v>5976</v>
      </c>
      <c r="B2454" s="76" t="s">
        <v>11425</v>
      </c>
      <c r="C2454" s="76" t="s">
        <v>11203</v>
      </c>
      <c r="D2454" s="76" t="s">
        <v>11131</v>
      </c>
      <c r="E2454" s="76" t="s">
        <v>11128</v>
      </c>
      <c r="F2454" s="76" t="s">
        <v>11124</v>
      </c>
    </row>
    <row r="2455" spans="1:6" ht="63.95" customHeight="1">
      <c r="A2455" s="76" t="s">
        <v>5976</v>
      </c>
      <c r="B2455" s="76" t="s">
        <v>11426</v>
      </c>
      <c r="C2455" s="76" t="s">
        <v>11130</v>
      </c>
      <c r="D2455" s="76" t="s">
        <v>11131</v>
      </c>
      <c r="E2455" s="76" t="s">
        <v>11132</v>
      </c>
      <c r="F2455" s="76" t="s">
        <v>11124</v>
      </c>
    </row>
    <row r="2456" spans="1:6" ht="63.95" customHeight="1">
      <c r="A2456" s="76" t="s">
        <v>5976</v>
      </c>
      <c r="B2456" s="76" t="s">
        <v>11427</v>
      </c>
      <c r="C2456" s="76" t="s">
        <v>11201</v>
      </c>
      <c r="D2456" s="76" t="s">
        <v>11122</v>
      </c>
      <c r="E2456" s="76" t="s">
        <v>11123</v>
      </c>
      <c r="F2456" s="76" t="s">
        <v>11124</v>
      </c>
    </row>
    <row r="2457" spans="1:6" ht="63.95" customHeight="1">
      <c r="A2457" s="76" t="s">
        <v>5976</v>
      </c>
      <c r="B2457" s="76" t="s">
        <v>11428</v>
      </c>
      <c r="C2457" s="76" t="s">
        <v>11203</v>
      </c>
      <c r="D2457" s="76" t="s">
        <v>11131</v>
      </c>
      <c r="E2457" s="76" t="s">
        <v>11128</v>
      </c>
      <c r="F2457" s="76" t="s">
        <v>11124</v>
      </c>
    </row>
    <row r="2458" spans="1:6" ht="63.95" customHeight="1">
      <c r="A2458" s="76" t="s">
        <v>5976</v>
      </c>
      <c r="B2458" s="76" t="s">
        <v>11429</v>
      </c>
      <c r="C2458" s="76" t="s">
        <v>11130</v>
      </c>
      <c r="D2458" s="76" t="s">
        <v>11131</v>
      </c>
      <c r="E2458" s="76" t="s">
        <v>11132</v>
      </c>
      <c r="F2458" s="76" t="s">
        <v>11124</v>
      </c>
    </row>
    <row r="2459" spans="1:6" ht="63.95" customHeight="1">
      <c r="A2459" s="76" t="s">
        <v>5976</v>
      </c>
      <c r="B2459" s="76" t="s">
        <v>11430</v>
      </c>
      <c r="C2459" s="76" t="s">
        <v>11201</v>
      </c>
      <c r="D2459" s="76" t="s">
        <v>11122</v>
      </c>
      <c r="E2459" s="76" t="s">
        <v>11123</v>
      </c>
      <c r="F2459" s="76" t="s">
        <v>11124</v>
      </c>
    </row>
    <row r="2460" spans="1:6" ht="63.95" customHeight="1">
      <c r="A2460" s="76" t="s">
        <v>5976</v>
      </c>
      <c r="B2460" s="76" t="s">
        <v>11431</v>
      </c>
      <c r="C2460" s="76" t="s">
        <v>11203</v>
      </c>
      <c r="D2460" s="76" t="s">
        <v>11131</v>
      </c>
      <c r="E2460" s="76" t="s">
        <v>11128</v>
      </c>
      <c r="F2460" s="76" t="s">
        <v>11124</v>
      </c>
    </row>
    <row r="2461" spans="1:6" ht="63.95" customHeight="1">
      <c r="A2461" s="76" t="s">
        <v>5976</v>
      </c>
      <c r="B2461" s="76" t="s">
        <v>11432</v>
      </c>
      <c r="C2461" s="76" t="s">
        <v>11130</v>
      </c>
      <c r="D2461" s="76" t="s">
        <v>11131</v>
      </c>
      <c r="E2461" s="76" t="s">
        <v>11132</v>
      </c>
      <c r="F2461" s="76" t="s">
        <v>11124</v>
      </c>
    </row>
    <row r="2462" spans="1:6" ht="63.95" customHeight="1">
      <c r="A2462" s="76" t="s">
        <v>5976</v>
      </c>
      <c r="B2462" s="76" t="s">
        <v>11433</v>
      </c>
      <c r="C2462" s="76" t="s">
        <v>11201</v>
      </c>
      <c r="D2462" s="76" t="s">
        <v>11122</v>
      </c>
      <c r="E2462" s="76" t="s">
        <v>11123</v>
      </c>
      <c r="F2462" s="76" t="s">
        <v>11124</v>
      </c>
    </row>
    <row r="2463" spans="1:6" ht="63.95" customHeight="1">
      <c r="A2463" s="76" t="s">
        <v>5976</v>
      </c>
      <c r="B2463" s="76" t="s">
        <v>11434</v>
      </c>
      <c r="C2463" s="76" t="s">
        <v>11203</v>
      </c>
      <c r="D2463" s="76" t="s">
        <v>11131</v>
      </c>
      <c r="E2463" s="76" t="s">
        <v>11128</v>
      </c>
      <c r="F2463" s="76" t="s">
        <v>11124</v>
      </c>
    </row>
    <row r="2464" spans="1:6" ht="63.95" customHeight="1">
      <c r="A2464" s="76" t="s">
        <v>5976</v>
      </c>
      <c r="B2464" s="76" t="s">
        <v>11435</v>
      </c>
      <c r="C2464" s="76" t="s">
        <v>11130</v>
      </c>
      <c r="D2464" s="76" t="s">
        <v>11131</v>
      </c>
      <c r="E2464" s="76" t="s">
        <v>11132</v>
      </c>
      <c r="F2464" s="76" t="s">
        <v>11124</v>
      </c>
    </row>
    <row r="2465" spans="1:6" ht="63.95" customHeight="1">
      <c r="A2465" s="76" t="s">
        <v>5976</v>
      </c>
      <c r="B2465" s="76" t="s">
        <v>11436</v>
      </c>
      <c r="C2465" s="76" t="s">
        <v>11201</v>
      </c>
      <c r="D2465" s="76" t="s">
        <v>11122</v>
      </c>
      <c r="E2465" s="76" t="s">
        <v>11123</v>
      </c>
      <c r="F2465" s="76" t="s">
        <v>11124</v>
      </c>
    </row>
    <row r="2466" spans="1:6" ht="63.95" customHeight="1">
      <c r="A2466" s="76" t="s">
        <v>5976</v>
      </c>
      <c r="B2466" s="76" t="s">
        <v>11437</v>
      </c>
      <c r="C2466" s="76" t="s">
        <v>11203</v>
      </c>
      <c r="D2466" s="76" t="s">
        <v>11131</v>
      </c>
      <c r="E2466" s="76" t="s">
        <v>11128</v>
      </c>
      <c r="F2466" s="76" t="s">
        <v>11124</v>
      </c>
    </row>
    <row r="2467" spans="1:6" ht="63.95" customHeight="1">
      <c r="A2467" s="76" t="s">
        <v>5976</v>
      </c>
      <c r="B2467" s="76" t="s">
        <v>11438</v>
      </c>
      <c r="C2467" s="76" t="s">
        <v>11130</v>
      </c>
      <c r="D2467" s="76" t="s">
        <v>11131</v>
      </c>
      <c r="E2467" s="76" t="s">
        <v>11132</v>
      </c>
      <c r="F2467" s="76" t="s">
        <v>11124</v>
      </c>
    </row>
    <row r="2468" spans="1:6" ht="63.95" customHeight="1">
      <c r="A2468" s="76" t="s">
        <v>5976</v>
      </c>
      <c r="B2468" s="76" t="s">
        <v>11439</v>
      </c>
      <c r="C2468" s="76" t="s">
        <v>11201</v>
      </c>
      <c r="D2468" s="76" t="s">
        <v>11122</v>
      </c>
      <c r="E2468" s="76" t="s">
        <v>11123</v>
      </c>
      <c r="F2468" s="76" t="s">
        <v>11124</v>
      </c>
    </row>
    <row r="2469" spans="1:6" ht="63.95" customHeight="1">
      <c r="A2469" s="76" t="s">
        <v>5976</v>
      </c>
      <c r="B2469" s="76" t="s">
        <v>11440</v>
      </c>
      <c r="C2469" s="76" t="s">
        <v>11203</v>
      </c>
      <c r="D2469" s="76" t="s">
        <v>11131</v>
      </c>
      <c r="E2469" s="76" t="s">
        <v>11128</v>
      </c>
      <c r="F2469" s="76" t="s">
        <v>11124</v>
      </c>
    </row>
    <row r="2470" spans="1:6" ht="63.95" customHeight="1">
      <c r="A2470" s="76" t="s">
        <v>5976</v>
      </c>
      <c r="B2470" s="76" t="s">
        <v>11441</v>
      </c>
      <c r="C2470" s="76" t="s">
        <v>11130</v>
      </c>
      <c r="D2470" s="76" t="s">
        <v>11131</v>
      </c>
      <c r="E2470" s="76" t="s">
        <v>11132</v>
      </c>
      <c r="F2470" s="76" t="s">
        <v>11124</v>
      </c>
    </row>
    <row r="2471" spans="1:6" ht="63.95" customHeight="1">
      <c r="A2471" s="76" t="s">
        <v>5976</v>
      </c>
      <c r="B2471" s="76" t="s">
        <v>11442</v>
      </c>
      <c r="C2471" s="76" t="s">
        <v>11201</v>
      </c>
      <c r="D2471" s="76" t="s">
        <v>11122</v>
      </c>
      <c r="E2471" s="76" t="s">
        <v>11123</v>
      </c>
      <c r="F2471" s="76" t="s">
        <v>11124</v>
      </c>
    </row>
    <row r="2472" spans="1:6" ht="63.95" customHeight="1">
      <c r="A2472" s="76" t="s">
        <v>5976</v>
      </c>
      <c r="B2472" s="76" t="s">
        <v>11443</v>
      </c>
      <c r="C2472" s="76" t="s">
        <v>11203</v>
      </c>
      <c r="D2472" s="76" t="s">
        <v>11131</v>
      </c>
      <c r="E2472" s="76" t="s">
        <v>11128</v>
      </c>
      <c r="F2472" s="76" t="s">
        <v>11124</v>
      </c>
    </row>
    <row r="2473" spans="1:6" ht="63.95" customHeight="1">
      <c r="A2473" s="76" t="s">
        <v>5976</v>
      </c>
      <c r="B2473" s="76" t="s">
        <v>11444</v>
      </c>
      <c r="C2473" s="76" t="s">
        <v>11130</v>
      </c>
      <c r="D2473" s="76" t="s">
        <v>11131</v>
      </c>
      <c r="E2473" s="76" t="s">
        <v>11132</v>
      </c>
      <c r="F2473" s="76" t="s">
        <v>11124</v>
      </c>
    </row>
    <row r="2474" spans="1:6" ht="63.95" customHeight="1">
      <c r="A2474" s="76" t="s">
        <v>5976</v>
      </c>
      <c r="B2474" s="76" t="s">
        <v>11445</v>
      </c>
      <c r="C2474" s="76" t="s">
        <v>11201</v>
      </c>
      <c r="D2474" s="76" t="s">
        <v>11122</v>
      </c>
      <c r="E2474" s="76" t="s">
        <v>11123</v>
      </c>
      <c r="F2474" s="76" t="s">
        <v>11124</v>
      </c>
    </row>
    <row r="2475" spans="1:6" ht="63.95" customHeight="1">
      <c r="A2475" s="76" t="s">
        <v>5976</v>
      </c>
      <c r="B2475" s="76" t="s">
        <v>11446</v>
      </c>
      <c r="C2475" s="76" t="s">
        <v>11203</v>
      </c>
      <c r="D2475" s="76" t="s">
        <v>11131</v>
      </c>
      <c r="E2475" s="76" t="s">
        <v>11128</v>
      </c>
      <c r="F2475" s="76" t="s">
        <v>11124</v>
      </c>
    </row>
    <row r="2476" spans="1:6" ht="63.95" customHeight="1">
      <c r="A2476" s="76" t="s">
        <v>5976</v>
      </c>
      <c r="B2476" s="76" t="s">
        <v>11447</v>
      </c>
      <c r="C2476" s="76" t="s">
        <v>11130</v>
      </c>
      <c r="D2476" s="76" t="s">
        <v>11131</v>
      </c>
      <c r="E2476" s="76" t="s">
        <v>11132</v>
      </c>
      <c r="F2476" s="76" t="s">
        <v>11124</v>
      </c>
    </row>
    <row r="2477" spans="1:6" ht="63.95" customHeight="1">
      <c r="A2477" s="76" t="s">
        <v>5976</v>
      </c>
      <c r="B2477" s="76" t="s">
        <v>11448</v>
      </c>
      <c r="C2477" s="76" t="s">
        <v>11201</v>
      </c>
      <c r="D2477" s="76" t="s">
        <v>11122</v>
      </c>
      <c r="E2477" s="76" t="s">
        <v>11123</v>
      </c>
      <c r="F2477" s="76" t="s">
        <v>11124</v>
      </c>
    </row>
    <row r="2478" spans="1:6" ht="63.95" customHeight="1">
      <c r="A2478" s="76" t="s">
        <v>5976</v>
      </c>
      <c r="B2478" s="76" t="s">
        <v>11449</v>
      </c>
      <c r="C2478" s="76" t="s">
        <v>11203</v>
      </c>
      <c r="D2478" s="76" t="s">
        <v>11131</v>
      </c>
      <c r="E2478" s="76" t="s">
        <v>11128</v>
      </c>
      <c r="F2478" s="76" t="s">
        <v>11124</v>
      </c>
    </row>
    <row r="2479" spans="1:6" ht="63.95" customHeight="1">
      <c r="A2479" s="76" t="s">
        <v>5976</v>
      </c>
      <c r="B2479" s="76" t="s">
        <v>11450</v>
      </c>
      <c r="C2479" s="76" t="s">
        <v>11130</v>
      </c>
      <c r="D2479" s="76" t="s">
        <v>11131</v>
      </c>
      <c r="E2479" s="76" t="s">
        <v>11132</v>
      </c>
      <c r="F2479" s="76" t="s">
        <v>11124</v>
      </c>
    </row>
    <row r="2480" spans="1:6" ht="63.95" customHeight="1">
      <c r="A2480" s="76" t="s">
        <v>5976</v>
      </c>
      <c r="B2480" s="76" t="s">
        <v>11451</v>
      </c>
      <c r="C2480" s="76" t="s">
        <v>11201</v>
      </c>
      <c r="D2480" s="76" t="s">
        <v>11122</v>
      </c>
      <c r="E2480" s="76" t="s">
        <v>11123</v>
      </c>
      <c r="F2480" s="76" t="s">
        <v>11124</v>
      </c>
    </row>
    <row r="2481" spans="1:6" ht="63.95" customHeight="1">
      <c r="A2481" s="76" t="s">
        <v>5976</v>
      </c>
      <c r="B2481" s="76" t="s">
        <v>11452</v>
      </c>
      <c r="C2481" s="76" t="s">
        <v>11203</v>
      </c>
      <c r="D2481" s="76" t="s">
        <v>11131</v>
      </c>
      <c r="E2481" s="76" t="s">
        <v>11128</v>
      </c>
      <c r="F2481" s="76" t="s">
        <v>11124</v>
      </c>
    </row>
    <row r="2482" spans="1:6" ht="63.95" customHeight="1">
      <c r="A2482" s="76" t="s">
        <v>5976</v>
      </c>
      <c r="B2482" s="76" t="s">
        <v>11453</v>
      </c>
      <c r="C2482" s="76" t="s">
        <v>11130</v>
      </c>
      <c r="D2482" s="76" t="s">
        <v>11131</v>
      </c>
      <c r="E2482" s="76" t="s">
        <v>11132</v>
      </c>
      <c r="F2482" s="76" t="s">
        <v>11124</v>
      </c>
    </row>
    <row r="2483" spans="1:6" ht="63.95" customHeight="1">
      <c r="A2483" s="76" t="s">
        <v>5976</v>
      </c>
      <c r="B2483" s="76" t="s">
        <v>11454</v>
      </c>
      <c r="C2483" s="76" t="s">
        <v>11201</v>
      </c>
      <c r="D2483" s="76" t="s">
        <v>11122</v>
      </c>
      <c r="E2483" s="76" t="s">
        <v>11123</v>
      </c>
      <c r="F2483" s="76" t="s">
        <v>11124</v>
      </c>
    </row>
    <row r="2484" spans="1:6" ht="63.95" customHeight="1">
      <c r="A2484" s="76" t="s">
        <v>5976</v>
      </c>
      <c r="B2484" s="76" t="s">
        <v>11455</v>
      </c>
      <c r="C2484" s="76" t="s">
        <v>11203</v>
      </c>
      <c r="D2484" s="76" t="s">
        <v>11131</v>
      </c>
      <c r="E2484" s="76" t="s">
        <v>11128</v>
      </c>
      <c r="F2484" s="76" t="s">
        <v>11124</v>
      </c>
    </row>
    <row r="2485" spans="1:6" ht="63.95" customHeight="1">
      <c r="A2485" s="76" t="s">
        <v>5976</v>
      </c>
      <c r="B2485" s="76" t="s">
        <v>11456</v>
      </c>
      <c r="C2485" s="76" t="s">
        <v>11130</v>
      </c>
      <c r="D2485" s="76" t="s">
        <v>11131</v>
      </c>
      <c r="E2485" s="76" t="s">
        <v>11132</v>
      </c>
      <c r="F2485" s="76" t="s">
        <v>11124</v>
      </c>
    </row>
    <row r="2486" spans="1:6" ht="63.95" customHeight="1">
      <c r="A2486" s="76" t="s">
        <v>5976</v>
      </c>
      <c r="B2486" s="76" t="s">
        <v>11457</v>
      </c>
      <c r="C2486" s="76" t="s">
        <v>11201</v>
      </c>
      <c r="D2486" s="76" t="s">
        <v>11122</v>
      </c>
      <c r="E2486" s="76" t="s">
        <v>11123</v>
      </c>
      <c r="F2486" s="76" t="s">
        <v>11124</v>
      </c>
    </row>
    <row r="2487" spans="1:6" ht="63.95" customHeight="1">
      <c r="A2487" s="76" t="s">
        <v>5976</v>
      </c>
      <c r="B2487" s="76" t="s">
        <v>11458</v>
      </c>
      <c r="C2487" s="76" t="s">
        <v>11203</v>
      </c>
      <c r="D2487" s="76" t="s">
        <v>11131</v>
      </c>
      <c r="E2487" s="76" t="s">
        <v>11128</v>
      </c>
      <c r="F2487" s="76" t="s">
        <v>11124</v>
      </c>
    </row>
    <row r="2488" spans="1:6" ht="63.95" customHeight="1">
      <c r="A2488" s="76" t="s">
        <v>5976</v>
      </c>
      <c r="B2488" s="76" t="s">
        <v>11459</v>
      </c>
      <c r="C2488" s="76" t="s">
        <v>11130</v>
      </c>
      <c r="D2488" s="76" t="s">
        <v>11131</v>
      </c>
      <c r="E2488" s="76" t="s">
        <v>11132</v>
      </c>
      <c r="F2488" s="76" t="s">
        <v>11124</v>
      </c>
    </row>
    <row r="2489" spans="1:6" ht="63.95" customHeight="1">
      <c r="A2489" s="76" t="s">
        <v>5976</v>
      </c>
      <c r="B2489" s="76" t="s">
        <v>11460</v>
      </c>
      <c r="C2489" s="76" t="s">
        <v>11201</v>
      </c>
      <c r="D2489" s="76" t="s">
        <v>11122</v>
      </c>
      <c r="E2489" s="76" t="s">
        <v>11123</v>
      </c>
      <c r="F2489" s="76" t="s">
        <v>11124</v>
      </c>
    </row>
    <row r="2490" spans="1:6" ht="63.95" customHeight="1">
      <c r="A2490" s="76" t="s">
        <v>5976</v>
      </c>
      <c r="B2490" s="76" t="s">
        <v>11461</v>
      </c>
      <c r="C2490" s="76" t="s">
        <v>11203</v>
      </c>
      <c r="D2490" s="76" t="s">
        <v>11131</v>
      </c>
      <c r="E2490" s="76" t="s">
        <v>11128</v>
      </c>
      <c r="F2490" s="76" t="s">
        <v>11124</v>
      </c>
    </row>
    <row r="2491" spans="1:6" ht="63.95" customHeight="1">
      <c r="A2491" s="76" t="s">
        <v>5976</v>
      </c>
      <c r="B2491" s="76" t="s">
        <v>11462</v>
      </c>
      <c r="C2491" s="76" t="s">
        <v>11130</v>
      </c>
      <c r="D2491" s="76" t="s">
        <v>11131</v>
      </c>
      <c r="E2491" s="76" t="s">
        <v>11132</v>
      </c>
      <c r="F2491" s="76" t="s">
        <v>11124</v>
      </c>
    </row>
    <row r="2492" spans="1:6" ht="63.95" customHeight="1">
      <c r="A2492" s="76" t="s">
        <v>5976</v>
      </c>
      <c r="B2492" s="76" t="s">
        <v>11463</v>
      </c>
      <c r="C2492" s="76" t="s">
        <v>11201</v>
      </c>
      <c r="D2492" s="76" t="s">
        <v>11122</v>
      </c>
      <c r="E2492" s="76" t="s">
        <v>11123</v>
      </c>
      <c r="F2492" s="76" t="s">
        <v>11124</v>
      </c>
    </row>
    <row r="2493" spans="1:6" ht="63.95" customHeight="1">
      <c r="A2493" s="76" t="s">
        <v>5976</v>
      </c>
      <c r="B2493" s="76" t="s">
        <v>11464</v>
      </c>
      <c r="C2493" s="76" t="s">
        <v>11203</v>
      </c>
      <c r="D2493" s="76" t="s">
        <v>11131</v>
      </c>
      <c r="E2493" s="76" t="s">
        <v>11128</v>
      </c>
      <c r="F2493" s="76" t="s">
        <v>11124</v>
      </c>
    </row>
    <row r="2494" spans="1:6" ht="63.95" customHeight="1">
      <c r="A2494" s="76" t="s">
        <v>5976</v>
      </c>
      <c r="B2494" s="76" t="s">
        <v>11465</v>
      </c>
      <c r="C2494" s="76" t="s">
        <v>11130</v>
      </c>
      <c r="D2494" s="76" t="s">
        <v>11131</v>
      </c>
      <c r="E2494" s="76" t="s">
        <v>11132</v>
      </c>
      <c r="F2494" s="76" t="s">
        <v>11124</v>
      </c>
    </row>
    <row r="2495" spans="1:6" ht="63.95" customHeight="1">
      <c r="A2495" s="76" t="s">
        <v>5976</v>
      </c>
      <c r="B2495" s="76" t="s">
        <v>11466</v>
      </c>
      <c r="C2495" s="76" t="s">
        <v>11201</v>
      </c>
      <c r="D2495" s="76" t="s">
        <v>11122</v>
      </c>
      <c r="E2495" s="76" t="s">
        <v>11123</v>
      </c>
      <c r="F2495" s="76" t="s">
        <v>11124</v>
      </c>
    </row>
    <row r="2496" spans="1:6" ht="63.95" customHeight="1">
      <c r="A2496" s="76" t="s">
        <v>5976</v>
      </c>
      <c r="B2496" s="76" t="s">
        <v>11467</v>
      </c>
      <c r="C2496" s="76" t="s">
        <v>11203</v>
      </c>
      <c r="D2496" s="76" t="s">
        <v>11131</v>
      </c>
      <c r="E2496" s="76" t="s">
        <v>11128</v>
      </c>
      <c r="F2496" s="76" t="s">
        <v>11124</v>
      </c>
    </row>
    <row r="2497" spans="1:6" ht="63.95" customHeight="1">
      <c r="A2497" s="76" t="s">
        <v>5976</v>
      </c>
      <c r="B2497" s="76" t="s">
        <v>11468</v>
      </c>
      <c r="C2497" s="76" t="s">
        <v>11130</v>
      </c>
      <c r="D2497" s="76" t="s">
        <v>11131</v>
      </c>
      <c r="E2497" s="76" t="s">
        <v>11132</v>
      </c>
      <c r="F2497" s="76" t="s">
        <v>11124</v>
      </c>
    </row>
    <row r="2498" spans="1:6" ht="63.95" customHeight="1">
      <c r="A2498" s="76" t="s">
        <v>5976</v>
      </c>
      <c r="B2498" s="76" t="s">
        <v>11469</v>
      </c>
      <c r="C2498" s="76" t="s">
        <v>11201</v>
      </c>
      <c r="D2498" s="76" t="s">
        <v>11122</v>
      </c>
      <c r="E2498" s="76" t="s">
        <v>11123</v>
      </c>
      <c r="F2498" s="76" t="s">
        <v>11124</v>
      </c>
    </row>
    <row r="2499" spans="1:6" ht="63.95" customHeight="1">
      <c r="A2499" s="76" t="s">
        <v>5976</v>
      </c>
      <c r="B2499" s="76" t="s">
        <v>11470</v>
      </c>
      <c r="C2499" s="76" t="s">
        <v>11203</v>
      </c>
      <c r="D2499" s="76" t="s">
        <v>11131</v>
      </c>
      <c r="E2499" s="76" t="s">
        <v>11128</v>
      </c>
      <c r="F2499" s="76" t="s">
        <v>11124</v>
      </c>
    </row>
    <row r="2500" spans="1:6" ht="63.95" customHeight="1">
      <c r="A2500" s="76" t="s">
        <v>5976</v>
      </c>
      <c r="B2500" s="76" t="s">
        <v>11471</v>
      </c>
      <c r="C2500" s="76" t="s">
        <v>11130</v>
      </c>
      <c r="D2500" s="76" t="s">
        <v>11131</v>
      </c>
      <c r="E2500" s="76" t="s">
        <v>11132</v>
      </c>
      <c r="F2500" s="76" t="s">
        <v>11124</v>
      </c>
    </row>
    <row r="2501" spans="1:6" ht="63.95" customHeight="1">
      <c r="A2501" s="76" t="s">
        <v>5976</v>
      </c>
      <c r="B2501" s="76" t="s">
        <v>11472</v>
      </c>
      <c r="C2501" s="76" t="s">
        <v>11201</v>
      </c>
      <c r="D2501" s="76" t="s">
        <v>11122</v>
      </c>
      <c r="E2501" s="76" t="s">
        <v>11123</v>
      </c>
      <c r="F2501" s="76" t="s">
        <v>11124</v>
      </c>
    </row>
    <row r="2502" spans="1:6" ht="63.95" customHeight="1">
      <c r="A2502" s="76" t="s">
        <v>5976</v>
      </c>
      <c r="B2502" s="76" t="s">
        <v>11473</v>
      </c>
      <c r="C2502" s="76" t="s">
        <v>11203</v>
      </c>
      <c r="D2502" s="76" t="s">
        <v>11131</v>
      </c>
      <c r="E2502" s="76" t="s">
        <v>11128</v>
      </c>
      <c r="F2502" s="76" t="s">
        <v>11124</v>
      </c>
    </row>
    <row r="2503" spans="1:6" ht="63.95" customHeight="1">
      <c r="A2503" s="76" t="s">
        <v>5976</v>
      </c>
      <c r="B2503" s="76" t="s">
        <v>11474</v>
      </c>
      <c r="C2503" s="76" t="s">
        <v>11130</v>
      </c>
      <c r="D2503" s="76" t="s">
        <v>11131</v>
      </c>
      <c r="E2503" s="76" t="s">
        <v>11132</v>
      </c>
      <c r="F2503" s="76" t="s">
        <v>11124</v>
      </c>
    </row>
    <row r="2504" spans="1:6" ht="63.95" customHeight="1">
      <c r="A2504" s="76" t="s">
        <v>5976</v>
      </c>
      <c r="B2504" s="76" t="s">
        <v>11475</v>
      </c>
      <c r="C2504" s="76" t="s">
        <v>11201</v>
      </c>
      <c r="D2504" s="76" t="s">
        <v>11122</v>
      </c>
      <c r="E2504" s="76" t="s">
        <v>11123</v>
      </c>
      <c r="F2504" s="76" t="s">
        <v>11124</v>
      </c>
    </row>
    <row r="2505" spans="1:6" ht="63.95" customHeight="1">
      <c r="A2505" s="76" t="s">
        <v>5976</v>
      </c>
      <c r="B2505" s="76" t="s">
        <v>11476</v>
      </c>
      <c r="C2505" s="76" t="s">
        <v>11203</v>
      </c>
      <c r="D2505" s="76" t="s">
        <v>11131</v>
      </c>
      <c r="E2505" s="76" t="s">
        <v>11128</v>
      </c>
      <c r="F2505" s="76" t="s">
        <v>11124</v>
      </c>
    </row>
    <row r="2506" spans="1:6" ht="63.95" customHeight="1">
      <c r="A2506" s="76" t="s">
        <v>5976</v>
      </c>
      <c r="B2506" s="76" t="s">
        <v>11477</v>
      </c>
      <c r="C2506" s="76" t="s">
        <v>11130</v>
      </c>
      <c r="D2506" s="76" t="s">
        <v>11131</v>
      </c>
      <c r="E2506" s="76" t="s">
        <v>11132</v>
      </c>
      <c r="F2506" s="76" t="s">
        <v>11124</v>
      </c>
    </row>
    <row r="2507" spans="1:6" ht="63.95" customHeight="1">
      <c r="A2507" s="76" t="s">
        <v>5976</v>
      </c>
      <c r="B2507" s="76" t="s">
        <v>11478</v>
      </c>
      <c r="C2507" s="76" t="s">
        <v>11201</v>
      </c>
      <c r="D2507" s="76" t="s">
        <v>11122</v>
      </c>
      <c r="E2507" s="76" t="s">
        <v>11123</v>
      </c>
      <c r="F2507" s="76" t="s">
        <v>11124</v>
      </c>
    </row>
    <row r="2508" spans="1:6" ht="63.95" customHeight="1">
      <c r="A2508" s="76" t="s">
        <v>5976</v>
      </c>
      <c r="B2508" s="76" t="s">
        <v>11479</v>
      </c>
      <c r="C2508" s="76" t="s">
        <v>11203</v>
      </c>
      <c r="D2508" s="76" t="s">
        <v>11131</v>
      </c>
      <c r="E2508" s="76" t="s">
        <v>11128</v>
      </c>
      <c r="F2508" s="76" t="s">
        <v>11124</v>
      </c>
    </row>
    <row r="2509" spans="1:6" ht="63.95" customHeight="1">
      <c r="A2509" s="76" t="s">
        <v>5976</v>
      </c>
      <c r="B2509" s="76" t="s">
        <v>11480</v>
      </c>
      <c r="C2509" s="76" t="s">
        <v>11130</v>
      </c>
      <c r="D2509" s="76" t="s">
        <v>11131</v>
      </c>
      <c r="E2509" s="76" t="s">
        <v>11132</v>
      </c>
      <c r="F2509" s="76" t="s">
        <v>11124</v>
      </c>
    </row>
    <row r="2510" spans="1:6" ht="63.95" customHeight="1">
      <c r="A2510" s="76" t="s">
        <v>5976</v>
      </c>
      <c r="B2510" s="76" t="s">
        <v>11481</v>
      </c>
      <c r="C2510" s="76" t="s">
        <v>11201</v>
      </c>
      <c r="D2510" s="76" t="s">
        <v>11122</v>
      </c>
      <c r="E2510" s="76" t="s">
        <v>11123</v>
      </c>
      <c r="F2510" s="76" t="s">
        <v>11124</v>
      </c>
    </row>
    <row r="2511" spans="1:6" ht="63.95" customHeight="1">
      <c r="A2511" s="76" t="s">
        <v>5976</v>
      </c>
      <c r="B2511" s="76" t="s">
        <v>11482</v>
      </c>
      <c r="C2511" s="76" t="s">
        <v>11203</v>
      </c>
      <c r="D2511" s="76" t="s">
        <v>11131</v>
      </c>
      <c r="E2511" s="76" t="s">
        <v>11128</v>
      </c>
      <c r="F2511" s="76" t="s">
        <v>11124</v>
      </c>
    </row>
    <row r="2512" spans="1:6" ht="63.95" customHeight="1">
      <c r="A2512" s="76" t="s">
        <v>5976</v>
      </c>
      <c r="B2512" s="76" t="s">
        <v>11483</v>
      </c>
      <c r="C2512" s="76" t="s">
        <v>11130</v>
      </c>
      <c r="D2512" s="76" t="s">
        <v>11131</v>
      </c>
      <c r="E2512" s="76" t="s">
        <v>11132</v>
      </c>
      <c r="F2512" s="76" t="s">
        <v>11124</v>
      </c>
    </row>
    <row r="2513" spans="1:6" ht="63.95" customHeight="1">
      <c r="A2513" s="76" t="s">
        <v>5976</v>
      </c>
      <c r="B2513" s="76" t="s">
        <v>11484</v>
      </c>
      <c r="C2513" s="76" t="s">
        <v>11201</v>
      </c>
      <c r="D2513" s="76" t="s">
        <v>11122</v>
      </c>
      <c r="E2513" s="76" t="s">
        <v>11123</v>
      </c>
      <c r="F2513" s="76" t="s">
        <v>11124</v>
      </c>
    </row>
    <row r="2514" spans="1:6" ht="63.95" customHeight="1">
      <c r="A2514" s="76" t="s">
        <v>5976</v>
      </c>
      <c r="B2514" s="76" t="s">
        <v>11485</v>
      </c>
      <c r="C2514" s="76" t="s">
        <v>11203</v>
      </c>
      <c r="D2514" s="76" t="s">
        <v>11131</v>
      </c>
      <c r="E2514" s="76" t="s">
        <v>11128</v>
      </c>
      <c r="F2514" s="76" t="s">
        <v>11124</v>
      </c>
    </row>
    <row r="2515" spans="1:6" ht="63.95" customHeight="1">
      <c r="A2515" s="76" t="s">
        <v>5976</v>
      </c>
      <c r="B2515" s="76" t="s">
        <v>11486</v>
      </c>
      <c r="C2515" s="76" t="s">
        <v>11130</v>
      </c>
      <c r="D2515" s="76" t="s">
        <v>11131</v>
      </c>
      <c r="E2515" s="76" t="s">
        <v>11132</v>
      </c>
      <c r="F2515" s="76" t="s">
        <v>11124</v>
      </c>
    </row>
    <row r="2516" spans="1:6" ht="63.95" customHeight="1">
      <c r="A2516" s="76" t="s">
        <v>5976</v>
      </c>
      <c r="B2516" s="76" t="s">
        <v>11487</v>
      </c>
      <c r="C2516" s="76" t="s">
        <v>11201</v>
      </c>
      <c r="D2516" s="76" t="s">
        <v>11122</v>
      </c>
      <c r="E2516" s="76" t="s">
        <v>11123</v>
      </c>
      <c r="F2516" s="76" t="s">
        <v>11124</v>
      </c>
    </row>
    <row r="2517" spans="1:6" ht="63.95" customHeight="1">
      <c r="A2517" s="76" t="s">
        <v>5976</v>
      </c>
      <c r="B2517" s="76" t="s">
        <v>11488</v>
      </c>
      <c r="C2517" s="76" t="s">
        <v>11203</v>
      </c>
      <c r="D2517" s="76" t="s">
        <v>11131</v>
      </c>
      <c r="E2517" s="76" t="s">
        <v>11128</v>
      </c>
      <c r="F2517" s="76" t="s">
        <v>11124</v>
      </c>
    </row>
    <row r="2518" spans="1:6" ht="63.95" customHeight="1">
      <c r="A2518" s="76" t="s">
        <v>5976</v>
      </c>
      <c r="B2518" s="76" t="s">
        <v>11489</v>
      </c>
      <c r="C2518" s="76" t="s">
        <v>11130</v>
      </c>
      <c r="D2518" s="76" t="s">
        <v>11131</v>
      </c>
      <c r="E2518" s="76" t="s">
        <v>11132</v>
      </c>
      <c r="F2518" s="76" t="s">
        <v>11124</v>
      </c>
    </row>
    <row r="2519" spans="1:6" ht="63.95" customHeight="1">
      <c r="A2519" s="76" t="s">
        <v>5976</v>
      </c>
      <c r="B2519" s="76" t="s">
        <v>11490</v>
      </c>
      <c r="C2519" s="76" t="s">
        <v>11201</v>
      </c>
      <c r="D2519" s="76" t="s">
        <v>11122</v>
      </c>
      <c r="E2519" s="76" t="s">
        <v>11123</v>
      </c>
      <c r="F2519" s="76" t="s">
        <v>11124</v>
      </c>
    </row>
    <row r="2520" spans="1:6" ht="63.95" customHeight="1">
      <c r="A2520" s="76" t="s">
        <v>5976</v>
      </c>
      <c r="B2520" s="76" t="s">
        <v>11491</v>
      </c>
      <c r="C2520" s="76" t="s">
        <v>11203</v>
      </c>
      <c r="D2520" s="76" t="s">
        <v>11131</v>
      </c>
      <c r="E2520" s="76" t="s">
        <v>11128</v>
      </c>
      <c r="F2520" s="76" t="s">
        <v>11124</v>
      </c>
    </row>
    <row r="2521" spans="1:6" ht="63.95" customHeight="1">
      <c r="A2521" s="76" t="s">
        <v>5976</v>
      </c>
      <c r="B2521" s="76" t="s">
        <v>11492</v>
      </c>
      <c r="C2521" s="76" t="s">
        <v>11130</v>
      </c>
      <c r="D2521" s="76" t="s">
        <v>11131</v>
      </c>
      <c r="E2521" s="76" t="s">
        <v>11132</v>
      </c>
      <c r="F2521" s="76" t="s">
        <v>11124</v>
      </c>
    </row>
    <row r="2522" spans="1:6" ht="63.95" customHeight="1">
      <c r="A2522" s="76" t="s">
        <v>5976</v>
      </c>
      <c r="B2522" s="76" t="s">
        <v>11493</v>
      </c>
      <c r="C2522" s="76" t="s">
        <v>11201</v>
      </c>
      <c r="D2522" s="76" t="s">
        <v>11122</v>
      </c>
      <c r="E2522" s="76" t="s">
        <v>11123</v>
      </c>
      <c r="F2522" s="76" t="s">
        <v>11124</v>
      </c>
    </row>
    <row r="2523" spans="1:6" ht="63.95" customHeight="1">
      <c r="A2523" s="76" t="s">
        <v>5976</v>
      </c>
      <c r="B2523" s="76" t="s">
        <v>11494</v>
      </c>
      <c r="C2523" s="76" t="s">
        <v>11203</v>
      </c>
      <c r="D2523" s="76" t="s">
        <v>11131</v>
      </c>
      <c r="E2523" s="76" t="s">
        <v>11128</v>
      </c>
      <c r="F2523" s="76" t="s">
        <v>11124</v>
      </c>
    </row>
    <row r="2524" spans="1:6" ht="63.95" customHeight="1">
      <c r="A2524" s="76" t="s">
        <v>5976</v>
      </c>
      <c r="B2524" s="76" t="s">
        <v>11495</v>
      </c>
      <c r="C2524" s="76" t="s">
        <v>11130</v>
      </c>
      <c r="D2524" s="76" t="s">
        <v>11131</v>
      </c>
      <c r="E2524" s="76" t="s">
        <v>11132</v>
      </c>
      <c r="F2524" s="76" t="s">
        <v>11124</v>
      </c>
    </row>
    <row r="2525" spans="1:6" ht="63.95" customHeight="1">
      <c r="A2525" s="76" t="s">
        <v>5976</v>
      </c>
      <c r="B2525" s="76" t="s">
        <v>11496</v>
      </c>
      <c r="C2525" s="76" t="s">
        <v>11201</v>
      </c>
      <c r="D2525" s="76" t="s">
        <v>11122</v>
      </c>
      <c r="E2525" s="76" t="s">
        <v>11123</v>
      </c>
      <c r="F2525" s="76" t="s">
        <v>11124</v>
      </c>
    </row>
    <row r="2526" spans="1:6" ht="63.95" customHeight="1">
      <c r="A2526" s="76" t="s">
        <v>5976</v>
      </c>
      <c r="B2526" s="76" t="s">
        <v>11497</v>
      </c>
      <c r="C2526" s="76" t="s">
        <v>11203</v>
      </c>
      <c r="D2526" s="76" t="s">
        <v>11131</v>
      </c>
      <c r="E2526" s="76" t="s">
        <v>11128</v>
      </c>
      <c r="F2526" s="76" t="s">
        <v>11124</v>
      </c>
    </row>
    <row r="2527" spans="1:6" ht="63.95" customHeight="1">
      <c r="A2527" s="76" t="s">
        <v>5976</v>
      </c>
      <c r="B2527" s="76" t="s">
        <v>11498</v>
      </c>
      <c r="C2527" s="76" t="s">
        <v>11130</v>
      </c>
      <c r="D2527" s="76" t="s">
        <v>11131</v>
      </c>
      <c r="E2527" s="76" t="s">
        <v>11132</v>
      </c>
      <c r="F2527" s="76" t="s">
        <v>11124</v>
      </c>
    </row>
    <row r="2528" spans="1:6" ht="63.95" customHeight="1">
      <c r="A2528" s="76" t="s">
        <v>5976</v>
      </c>
      <c r="B2528" s="76" t="s">
        <v>11499</v>
      </c>
      <c r="C2528" s="76" t="s">
        <v>11201</v>
      </c>
      <c r="D2528" s="76" t="s">
        <v>11122</v>
      </c>
      <c r="E2528" s="76" t="s">
        <v>11123</v>
      </c>
      <c r="F2528" s="76" t="s">
        <v>11124</v>
      </c>
    </row>
    <row r="2529" spans="1:6" ht="63.95" customHeight="1">
      <c r="A2529" s="76" t="s">
        <v>5976</v>
      </c>
      <c r="B2529" s="76" t="s">
        <v>11500</v>
      </c>
      <c r="C2529" s="76" t="s">
        <v>11203</v>
      </c>
      <c r="D2529" s="76" t="s">
        <v>11131</v>
      </c>
      <c r="E2529" s="76" t="s">
        <v>11128</v>
      </c>
      <c r="F2529" s="76" t="s">
        <v>11124</v>
      </c>
    </row>
    <row r="2530" spans="1:6" ht="63.95" customHeight="1">
      <c r="A2530" s="76" t="s">
        <v>5976</v>
      </c>
      <c r="B2530" s="76" t="s">
        <v>11501</v>
      </c>
      <c r="C2530" s="76" t="s">
        <v>11130</v>
      </c>
      <c r="D2530" s="76" t="s">
        <v>11131</v>
      </c>
      <c r="E2530" s="76" t="s">
        <v>11132</v>
      </c>
      <c r="F2530" s="76" t="s">
        <v>11124</v>
      </c>
    </row>
    <row r="2531" spans="1:6" ht="63.95" customHeight="1">
      <c r="A2531" s="76" t="s">
        <v>5976</v>
      </c>
      <c r="B2531" s="76" t="s">
        <v>11502</v>
      </c>
      <c r="C2531" s="76" t="s">
        <v>11201</v>
      </c>
      <c r="D2531" s="76" t="s">
        <v>11122</v>
      </c>
      <c r="E2531" s="76" t="s">
        <v>11123</v>
      </c>
      <c r="F2531" s="76" t="s">
        <v>11124</v>
      </c>
    </row>
    <row r="2532" spans="1:6" ht="63.95" customHeight="1">
      <c r="A2532" s="76" t="s">
        <v>5976</v>
      </c>
      <c r="B2532" s="76" t="s">
        <v>11503</v>
      </c>
      <c r="C2532" s="76" t="s">
        <v>11203</v>
      </c>
      <c r="D2532" s="76" t="s">
        <v>11131</v>
      </c>
      <c r="E2532" s="76" t="s">
        <v>11128</v>
      </c>
      <c r="F2532" s="76" t="s">
        <v>11124</v>
      </c>
    </row>
    <row r="2533" spans="1:6" ht="63.95" customHeight="1">
      <c r="A2533" s="76" t="s">
        <v>5976</v>
      </c>
      <c r="B2533" s="76" t="s">
        <v>11504</v>
      </c>
      <c r="C2533" s="76" t="s">
        <v>11130</v>
      </c>
      <c r="D2533" s="76" t="s">
        <v>11131</v>
      </c>
      <c r="E2533" s="76" t="s">
        <v>11132</v>
      </c>
      <c r="F2533" s="76" t="s">
        <v>11124</v>
      </c>
    </row>
    <row r="2534" spans="1:6" ht="63.95" customHeight="1">
      <c r="A2534" s="76" t="s">
        <v>5976</v>
      </c>
      <c r="B2534" s="76" t="s">
        <v>11505</v>
      </c>
      <c r="C2534" s="76" t="s">
        <v>11201</v>
      </c>
      <c r="D2534" s="76" t="s">
        <v>11122</v>
      </c>
      <c r="E2534" s="76" t="s">
        <v>11123</v>
      </c>
      <c r="F2534" s="76" t="s">
        <v>11124</v>
      </c>
    </row>
    <row r="2535" spans="1:6" ht="63.95" customHeight="1">
      <c r="A2535" s="76" t="s">
        <v>5976</v>
      </c>
      <c r="B2535" s="76" t="s">
        <v>11506</v>
      </c>
      <c r="C2535" s="76" t="s">
        <v>11203</v>
      </c>
      <c r="D2535" s="76" t="s">
        <v>11131</v>
      </c>
      <c r="E2535" s="76" t="s">
        <v>11128</v>
      </c>
      <c r="F2535" s="76" t="s">
        <v>11124</v>
      </c>
    </row>
    <row r="2536" spans="1:6" ht="63.95" customHeight="1">
      <c r="A2536" s="76" t="s">
        <v>5976</v>
      </c>
      <c r="B2536" s="76" t="s">
        <v>11507</v>
      </c>
      <c r="C2536" s="76" t="s">
        <v>11130</v>
      </c>
      <c r="D2536" s="76" t="s">
        <v>11131</v>
      </c>
      <c r="E2536" s="76" t="s">
        <v>11132</v>
      </c>
      <c r="F2536" s="76" t="s">
        <v>11124</v>
      </c>
    </row>
    <row r="2537" spans="1:6" ht="63.95" customHeight="1">
      <c r="A2537" s="76" t="s">
        <v>5976</v>
      </c>
      <c r="B2537" s="76" t="s">
        <v>11508</v>
      </c>
      <c r="C2537" s="76" t="s">
        <v>11201</v>
      </c>
      <c r="D2537" s="76" t="s">
        <v>11122</v>
      </c>
      <c r="E2537" s="76" t="s">
        <v>11123</v>
      </c>
      <c r="F2537" s="76" t="s">
        <v>11124</v>
      </c>
    </row>
    <row r="2538" spans="1:6" ht="63.95" customHeight="1">
      <c r="A2538" s="76" t="s">
        <v>5976</v>
      </c>
      <c r="B2538" s="76" t="s">
        <v>11509</v>
      </c>
      <c r="C2538" s="76" t="s">
        <v>11203</v>
      </c>
      <c r="D2538" s="76" t="s">
        <v>11131</v>
      </c>
      <c r="E2538" s="76" t="s">
        <v>11128</v>
      </c>
      <c r="F2538" s="76" t="s">
        <v>11124</v>
      </c>
    </row>
    <row r="2539" spans="1:6" ht="63.95" customHeight="1">
      <c r="A2539" s="76" t="s">
        <v>5976</v>
      </c>
      <c r="B2539" s="76" t="s">
        <v>11510</v>
      </c>
      <c r="C2539" s="76" t="s">
        <v>11130</v>
      </c>
      <c r="D2539" s="76" t="s">
        <v>11131</v>
      </c>
      <c r="E2539" s="76" t="s">
        <v>11132</v>
      </c>
      <c r="F2539" s="76" t="s">
        <v>11124</v>
      </c>
    </row>
    <row r="2540" spans="1:6" ht="63.95" customHeight="1">
      <c r="A2540" s="76" t="s">
        <v>5976</v>
      </c>
      <c r="B2540" s="76" t="s">
        <v>11511</v>
      </c>
      <c r="C2540" s="76" t="s">
        <v>11201</v>
      </c>
      <c r="D2540" s="76" t="s">
        <v>11122</v>
      </c>
      <c r="E2540" s="76" t="s">
        <v>11123</v>
      </c>
      <c r="F2540" s="76" t="s">
        <v>11124</v>
      </c>
    </row>
    <row r="2541" spans="1:6" ht="63.95" customHeight="1">
      <c r="A2541" s="76" t="s">
        <v>5976</v>
      </c>
      <c r="B2541" s="76" t="s">
        <v>11512</v>
      </c>
      <c r="C2541" s="76" t="s">
        <v>11203</v>
      </c>
      <c r="D2541" s="76" t="s">
        <v>11131</v>
      </c>
      <c r="E2541" s="76" t="s">
        <v>11128</v>
      </c>
      <c r="F2541" s="76" t="s">
        <v>11124</v>
      </c>
    </row>
    <row r="2542" spans="1:6" ht="63.95" customHeight="1">
      <c r="A2542" s="76" t="s">
        <v>5976</v>
      </c>
      <c r="B2542" s="76" t="s">
        <v>11513</v>
      </c>
      <c r="C2542" s="76" t="s">
        <v>11130</v>
      </c>
      <c r="D2542" s="76" t="s">
        <v>11131</v>
      </c>
      <c r="E2542" s="76" t="s">
        <v>11132</v>
      </c>
      <c r="F2542" s="76" t="s">
        <v>11124</v>
      </c>
    </row>
    <row r="2543" spans="1:6" ht="63.95" customHeight="1">
      <c r="A2543" s="76" t="s">
        <v>5976</v>
      </c>
      <c r="B2543" s="76" t="s">
        <v>11514</v>
      </c>
      <c r="C2543" s="76" t="s">
        <v>11201</v>
      </c>
      <c r="D2543" s="76" t="s">
        <v>11122</v>
      </c>
      <c r="E2543" s="76" t="s">
        <v>11123</v>
      </c>
      <c r="F2543" s="76" t="s">
        <v>11124</v>
      </c>
    </row>
    <row r="2544" spans="1:6" ht="63.95" customHeight="1">
      <c r="A2544" s="76" t="s">
        <v>5976</v>
      </c>
      <c r="B2544" s="76" t="s">
        <v>11515</v>
      </c>
      <c r="C2544" s="76" t="s">
        <v>11203</v>
      </c>
      <c r="D2544" s="76" t="s">
        <v>11131</v>
      </c>
      <c r="E2544" s="76" t="s">
        <v>11128</v>
      </c>
      <c r="F2544" s="76" t="s">
        <v>11124</v>
      </c>
    </row>
    <row r="2545" spans="1:6" ht="63.95" customHeight="1">
      <c r="A2545" s="76" t="s">
        <v>5976</v>
      </c>
      <c r="B2545" s="76" t="s">
        <v>11516</v>
      </c>
      <c r="C2545" s="76" t="s">
        <v>11130</v>
      </c>
      <c r="D2545" s="76" t="s">
        <v>11131</v>
      </c>
      <c r="E2545" s="76" t="s">
        <v>11132</v>
      </c>
      <c r="F2545" s="76" t="s">
        <v>11124</v>
      </c>
    </row>
    <row r="2546" spans="1:6" ht="63.95" customHeight="1">
      <c r="A2546" s="76" t="s">
        <v>5976</v>
      </c>
      <c r="B2546" s="76" t="s">
        <v>11517</v>
      </c>
      <c r="C2546" s="76" t="s">
        <v>11201</v>
      </c>
      <c r="D2546" s="76" t="s">
        <v>11122</v>
      </c>
      <c r="E2546" s="76" t="s">
        <v>11123</v>
      </c>
      <c r="F2546" s="76" t="s">
        <v>11124</v>
      </c>
    </row>
    <row r="2547" spans="1:6" ht="63.95" customHeight="1">
      <c r="A2547" s="76" t="s">
        <v>5976</v>
      </c>
      <c r="B2547" s="76" t="s">
        <v>11518</v>
      </c>
      <c r="C2547" s="76" t="s">
        <v>11203</v>
      </c>
      <c r="D2547" s="76" t="s">
        <v>11131</v>
      </c>
      <c r="E2547" s="76" t="s">
        <v>11128</v>
      </c>
      <c r="F2547" s="76" t="s">
        <v>11124</v>
      </c>
    </row>
    <row r="2548" spans="1:6" ht="63.95" customHeight="1">
      <c r="A2548" s="76" t="s">
        <v>5976</v>
      </c>
      <c r="B2548" s="76" t="s">
        <v>11519</v>
      </c>
      <c r="C2548" s="76" t="s">
        <v>11130</v>
      </c>
      <c r="D2548" s="76" t="s">
        <v>11131</v>
      </c>
      <c r="E2548" s="76" t="s">
        <v>11132</v>
      </c>
      <c r="F2548" s="76" t="s">
        <v>11124</v>
      </c>
    </row>
    <row r="2549" spans="1:6" ht="63.95" customHeight="1">
      <c r="A2549" s="76" t="s">
        <v>5976</v>
      </c>
      <c r="B2549" s="76" t="s">
        <v>11520</v>
      </c>
      <c r="C2549" s="76" t="s">
        <v>11201</v>
      </c>
      <c r="D2549" s="76" t="s">
        <v>11122</v>
      </c>
      <c r="E2549" s="76" t="s">
        <v>11123</v>
      </c>
      <c r="F2549" s="76" t="s">
        <v>11124</v>
      </c>
    </row>
    <row r="2550" spans="1:6" ht="63.95" customHeight="1">
      <c r="A2550" s="76" t="s">
        <v>5976</v>
      </c>
      <c r="B2550" s="76" t="s">
        <v>11521</v>
      </c>
      <c r="C2550" s="76" t="s">
        <v>11203</v>
      </c>
      <c r="D2550" s="76" t="s">
        <v>11131</v>
      </c>
      <c r="E2550" s="76" t="s">
        <v>11128</v>
      </c>
      <c r="F2550" s="76" t="s">
        <v>11124</v>
      </c>
    </row>
    <row r="2551" spans="1:6" ht="63.95" customHeight="1">
      <c r="A2551" s="76" t="s">
        <v>5976</v>
      </c>
      <c r="B2551" s="76" t="s">
        <v>11522</v>
      </c>
      <c r="C2551" s="76" t="s">
        <v>11130</v>
      </c>
      <c r="D2551" s="76" t="s">
        <v>11131</v>
      </c>
      <c r="E2551" s="76" t="s">
        <v>11132</v>
      </c>
      <c r="F2551" s="76" t="s">
        <v>11124</v>
      </c>
    </row>
    <row r="2552" spans="1:6" ht="63.95" customHeight="1">
      <c r="A2552" s="76" t="s">
        <v>5976</v>
      </c>
      <c r="B2552" s="76" t="s">
        <v>11523</v>
      </c>
      <c r="C2552" s="76" t="s">
        <v>11201</v>
      </c>
      <c r="D2552" s="76" t="s">
        <v>11122</v>
      </c>
      <c r="E2552" s="76" t="s">
        <v>11123</v>
      </c>
      <c r="F2552" s="76" t="s">
        <v>11124</v>
      </c>
    </row>
    <row r="2553" spans="1:6" ht="63.95" customHeight="1">
      <c r="A2553" s="76" t="s">
        <v>5976</v>
      </c>
      <c r="B2553" s="76" t="s">
        <v>11524</v>
      </c>
      <c r="C2553" s="76" t="s">
        <v>11203</v>
      </c>
      <c r="D2553" s="76" t="s">
        <v>11131</v>
      </c>
      <c r="E2553" s="76" t="s">
        <v>11128</v>
      </c>
      <c r="F2553" s="76" t="s">
        <v>11124</v>
      </c>
    </row>
    <row r="2554" spans="1:6" ht="63.95" customHeight="1">
      <c r="A2554" s="76" t="s">
        <v>5976</v>
      </c>
      <c r="B2554" s="76" t="s">
        <v>11525</v>
      </c>
      <c r="C2554" s="76" t="s">
        <v>11130</v>
      </c>
      <c r="D2554" s="76" t="s">
        <v>11131</v>
      </c>
      <c r="E2554" s="76" t="s">
        <v>11132</v>
      </c>
      <c r="F2554" s="76" t="s">
        <v>11124</v>
      </c>
    </row>
    <row r="2555" spans="1:6" ht="63.95" customHeight="1">
      <c r="A2555" s="76" t="s">
        <v>5976</v>
      </c>
      <c r="B2555" s="76" t="s">
        <v>11526</v>
      </c>
      <c r="C2555" s="76" t="s">
        <v>11201</v>
      </c>
      <c r="D2555" s="76" t="s">
        <v>11122</v>
      </c>
      <c r="E2555" s="76" t="s">
        <v>11123</v>
      </c>
      <c r="F2555" s="76" t="s">
        <v>11124</v>
      </c>
    </row>
    <row r="2556" spans="1:6" ht="63.95" customHeight="1">
      <c r="A2556" s="76" t="s">
        <v>5976</v>
      </c>
      <c r="B2556" s="76" t="s">
        <v>11527</v>
      </c>
      <c r="C2556" s="76" t="s">
        <v>11203</v>
      </c>
      <c r="D2556" s="76" t="s">
        <v>11131</v>
      </c>
      <c r="E2556" s="76" t="s">
        <v>11128</v>
      </c>
      <c r="F2556" s="76" t="s">
        <v>11124</v>
      </c>
    </row>
    <row r="2557" spans="1:6" ht="63.95" customHeight="1">
      <c r="A2557" s="76" t="s">
        <v>5976</v>
      </c>
      <c r="B2557" s="76" t="s">
        <v>11528</v>
      </c>
      <c r="C2557" s="76" t="s">
        <v>11130</v>
      </c>
      <c r="D2557" s="76" t="s">
        <v>11131</v>
      </c>
      <c r="E2557" s="76" t="s">
        <v>11132</v>
      </c>
      <c r="F2557" s="76" t="s">
        <v>11124</v>
      </c>
    </row>
    <row r="2558" spans="1:6" ht="63.95" customHeight="1">
      <c r="A2558" s="76" t="s">
        <v>5976</v>
      </c>
      <c r="B2558" s="76" t="s">
        <v>11529</v>
      </c>
      <c r="C2558" s="76" t="s">
        <v>11201</v>
      </c>
      <c r="D2558" s="76" t="s">
        <v>11122</v>
      </c>
      <c r="E2558" s="76" t="s">
        <v>11123</v>
      </c>
      <c r="F2558" s="76" t="s">
        <v>11124</v>
      </c>
    </row>
    <row r="2559" spans="1:6" ht="63.95" customHeight="1">
      <c r="A2559" s="76" t="s">
        <v>5976</v>
      </c>
      <c r="B2559" s="76" t="s">
        <v>11530</v>
      </c>
      <c r="C2559" s="76" t="s">
        <v>11203</v>
      </c>
      <c r="D2559" s="76" t="s">
        <v>11131</v>
      </c>
      <c r="E2559" s="76" t="s">
        <v>11128</v>
      </c>
      <c r="F2559" s="76" t="s">
        <v>11124</v>
      </c>
    </row>
    <row r="2560" spans="1:6" ht="63.95" customHeight="1">
      <c r="A2560" s="76" t="s">
        <v>5976</v>
      </c>
      <c r="B2560" s="76" t="s">
        <v>11531</v>
      </c>
      <c r="C2560" s="76" t="s">
        <v>11130</v>
      </c>
      <c r="D2560" s="76" t="s">
        <v>11131</v>
      </c>
      <c r="E2560" s="76" t="s">
        <v>11132</v>
      </c>
      <c r="F2560" s="76" t="s">
        <v>11124</v>
      </c>
    </row>
    <row r="2561" spans="1:6" ht="63.95" customHeight="1">
      <c r="A2561" s="76" t="s">
        <v>5976</v>
      </c>
      <c r="B2561" s="76" t="s">
        <v>11532</v>
      </c>
      <c r="C2561" s="76" t="s">
        <v>11201</v>
      </c>
      <c r="D2561" s="76" t="s">
        <v>11122</v>
      </c>
      <c r="E2561" s="76" t="s">
        <v>11123</v>
      </c>
      <c r="F2561" s="76" t="s">
        <v>11124</v>
      </c>
    </row>
    <row r="2562" spans="1:6" ht="63.95" customHeight="1">
      <c r="A2562" s="76" t="s">
        <v>5976</v>
      </c>
      <c r="B2562" s="76" t="s">
        <v>11533</v>
      </c>
      <c r="C2562" s="76" t="s">
        <v>11203</v>
      </c>
      <c r="D2562" s="76" t="s">
        <v>11131</v>
      </c>
      <c r="E2562" s="76" t="s">
        <v>11128</v>
      </c>
      <c r="F2562" s="76" t="s">
        <v>11124</v>
      </c>
    </row>
    <row r="2563" spans="1:6" ht="63.95" customHeight="1">
      <c r="A2563" s="76" t="s">
        <v>5976</v>
      </c>
      <c r="B2563" s="76" t="s">
        <v>11534</v>
      </c>
      <c r="C2563" s="76" t="s">
        <v>11130</v>
      </c>
      <c r="D2563" s="76" t="s">
        <v>11131</v>
      </c>
      <c r="E2563" s="76" t="s">
        <v>11132</v>
      </c>
      <c r="F2563" s="76" t="s">
        <v>11124</v>
      </c>
    </row>
    <row r="2564" spans="1:6" ht="63.95" customHeight="1">
      <c r="A2564" s="76" t="s">
        <v>5976</v>
      </c>
      <c r="B2564" s="76" t="s">
        <v>11535</v>
      </c>
      <c r="C2564" s="76" t="s">
        <v>11201</v>
      </c>
      <c r="D2564" s="76" t="s">
        <v>11122</v>
      </c>
      <c r="E2564" s="76" t="s">
        <v>11123</v>
      </c>
      <c r="F2564" s="76" t="s">
        <v>11124</v>
      </c>
    </row>
    <row r="2565" spans="1:6" ht="63.95" customHeight="1">
      <c r="A2565" s="76" t="s">
        <v>5976</v>
      </c>
      <c r="B2565" s="76" t="s">
        <v>11536</v>
      </c>
      <c r="C2565" s="76" t="s">
        <v>11203</v>
      </c>
      <c r="D2565" s="76" t="s">
        <v>11131</v>
      </c>
      <c r="E2565" s="76" t="s">
        <v>11128</v>
      </c>
      <c r="F2565" s="76" t="s">
        <v>11124</v>
      </c>
    </row>
    <row r="2566" spans="1:6" ht="63.95" customHeight="1">
      <c r="A2566" s="76" t="s">
        <v>5976</v>
      </c>
      <c r="B2566" s="76" t="s">
        <v>11537</v>
      </c>
      <c r="C2566" s="76" t="s">
        <v>11130</v>
      </c>
      <c r="D2566" s="76" t="s">
        <v>11131</v>
      </c>
      <c r="E2566" s="76" t="s">
        <v>11132</v>
      </c>
      <c r="F2566" s="76" t="s">
        <v>11124</v>
      </c>
    </row>
    <row r="2567" spans="1:6" ht="63.95" customHeight="1">
      <c r="A2567" s="76" t="s">
        <v>5976</v>
      </c>
      <c r="B2567" s="76" t="s">
        <v>11538</v>
      </c>
      <c r="C2567" s="76" t="s">
        <v>11201</v>
      </c>
      <c r="D2567" s="76" t="s">
        <v>11122</v>
      </c>
      <c r="E2567" s="76" t="s">
        <v>11123</v>
      </c>
      <c r="F2567" s="76" t="s">
        <v>11124</v>
      </c>
    </row>
    <row r="2568" spans="1:6" ht="63.95" customHeight="1">
      <c r="A2568" s="76" t="s">
        <v>5976</v>
      </c>
      <c r="B2568" s="76" t="s">
        <v>11539</v>
      </c>
      <c r="C2568" s="76" t="s">
        <v>11247</v>
      </c>
      <c r="D2568" s="76" t="s">
        <v>11248</v>
      </c>
      <c r="E2568" s="76" t="s">
        <v>11128</v>
      </c>
      <c r="F2568" s="76" t="s">
        <v>11124</v>
      </c>
    </row>
    <row r="2569" spans="1:6" ht="63.95" customHeight="1">
      <c r="A2569" s="76" t="s">
        <v>5976</v>
      </c>
      <c r="B2569" s="76" t="s">
        <v>11540</v>
      </c>
      <c r="C2569" s="76" t="s">
        <v>11130</v>
      </c>
      <c r="D2569" s="76" t="s">
        <v>11131</v>
      </c>
      <c r="E2569" s="76" t="s">
        <v>11132</v>
      </c>
      <c r="F2569" s="76" t="s">
        <v>11124</v>
      </c>
    </row>
    <row r="2570" spans="1:6" ht="63.95" customHeight="1">
      <c r="A2570" s="76" t="s">
        <v>5976</v>
      </c>
      <c r="B2570" s="76" t="s">
        <v>11541</v>
      </c>
      <c r="C2570" s="76" t="s">
        <v>11201</v>
      </c>
      <c r="D2570" s="76" t="s">
        <v>11122</v>
      </c>
      <c r="E2570" s="76" t="s">
        <v>11123</v>
      </c>
      <c r="F2570" s="76" t="s">
        <v>11124</v>
      </c>
    </row>
    <row r="2571" spans="1:6" ht="63.95" customHeight="1">
      <c r="A2571" s="76" t="s">
        <v>5976</v>
      </c>
      <c r="B2571" s="76" t="s">
        <v>11542</v>
      </c>
      <c r="C2571" s="76" t="s">
        <v>11203</v>
      </c>
      <c r="D2571" s="76" t="s">
        <v>11131</v>
      </c>
      <c r="E2571" s="76" t="s">
        <v>11128</v>
      </c>
      <c r="F2571" s="76" t="s">
        <v>11124</v>
      </c>
    </row>
    <row r="2572" spans="1:6" ht="63.95" customHeight="1">
      <c r="A2572" s="76" t="s">
        <v>5976</v>
      </c>
      <c r="B2572" s="76" t="s">
        <v>11543</v>
      </c>
      <c r="C2572" s="76" t="s">
        <v>11130</v>
      </c>
      <c r="D2572" s="76" t="s">
        <v>11131</v>
      </c>
      <c r="E2572" s="76" t="s">
        <v>11132</v>
      </c>
      <c r="F2572" s="76" t="s">
        <v>11124</v>
      </c>
    </row>
    <row r="2573" spans="1:6" ht="63.95" customHeight="1">
      <c r="A2573" s="76" t="s">
        <v>5976</v>
      </c>
      <c r="B2573" s="76" t="s">
        <v>11544</v>
      </c>
      <c r="C2573" s="76" t="s">
        <v>11201</v>
      </c>
      <c r="D2573" s="76" t="s">
        <v>11122</v>
      </c>
      <c r="E2573" s="76" t="s">
        <v>11123</v>
      </c>
      <c r="F2573" s="76" t="s">
        <v>11124</v>
      </c>
    </row>
    <row r="2574" spans="1:6" ht="63.95" customHeight="1">
      <c r="A2574" s="76" t="s">
        <v>5976</v>
      </c>
      <c r="B2574" s="76" t="s">
        <v>11545</v>
      </c>
      <c r="C2574" s="76" t="s">
        <v>11203</v>
      </c>
      <c r="D2574" s="76" t="s">
        <v>11131</v>
      </c>
      <c r="E2574" s="76" t="s">
        <v>11128</v>
      </c>
      <c r="F2574" s="76" t="s">
        <v>11124</v>
      </c>
    </row>
    <row r="2575" spans="1:6" ht="63.95" customHeight="1">
      <c r="A2575" s="76" t="s">
        <v>5976</v>
      </c>
      <c r="B2575" s="76" t="s">
        <v>11546</v>
      </c>
      <c r="C2575" s="76" t="s">
        <v>11130</v>
      </c>
      <c r="D2575" s="76" t="s">
        <v>11131</v>
      </c>
      <c r="E2575" s="76" t="s">
        <v>11132</v>
      </c>
      <c r="F2575" s="76" t="s">
        <v>11124</v>
      </c>
    </row>
    <row r="2576" spans="1:6" ht="63.95" customHeight="1">
      <c r="A2576" s="76" t="s">
        <v>5976</v>
      </c>
      <c r="B2576" s="76" t="s">
        <v>11547</v>
      </c>
      <c r="C2576" s="76" t="s">
        <v>11201</v>
      </c>
      <c r="D2576" s="76" t="s">
        <v>11122</v>
      </c>
      <c r="E2576" s="76" t="s">
        <v>11123</v>
      </c>
      <c r="F2576" s="76" t="s">
        <v>11124</v>
      </c>
    </row>
    <row r="2577" spans="1:6" ht="63.95" customHeight="1">
      <c r="A2577" s="76" t="s">
        <v>5976</v>
      </c>
      <c r="B2577" s="76" t="s">
        <v>11548</v>
      </c>
      <c r="C2577" s="76" t="s">
        <v>11203</v>
      </c>
      <c r="D2577" s="76" t="s">
        <v>11131</v>
      </c>
      <c r="E2577" s="76" t="s">
        <v>11128</v>
      </c>
      <c r="F2577" s="76" t="s">
        <v>11124</v>
      </c>
    </row>
    <row r="2578" spans="1:6" ht="63.95" customHeight="1">
      <c r="A2578" s="76" t="s">
        <v>5976</v>
      </c>
      <c r="B2578" s="76" t="s">
        <v>11549</v>
      </c>
      <c r="C2578" s="76" t="s">
        <v>11130</v>
      </c>
      <c r="D2578" s="76" t="s">
        <v>11131</v>
      </c>
      <c r="E2578" s="76" t="s">
        <v>11132</v>
      </c>
      <c r="F2578" s="76" t="s">
        <v>11124</v>
      </c>
    </row>
    <row r="2579" spans="1:6" ht="63.95" customHeight="1">
      <c r="A2579" s="76" t="s">
        <v>5976</v>
      </c>
      <c r="B2579" s="76" t="s">
        <v>11550</v>
      </c>
      <c r="C2579" s="76" t="s">
        <v>11201</v>
      </c>
      <c r="D2579" s="76" t="s">
        <v>11122</v>
      </c>
      <c r="E2579" s="76" t="s">
        <v>11123</v>
      </c>
      <c r="F2579" s="76" t="s">
        <v>11124</v>
      </c>
    </row>
    <row r="2580" spans="1:6" ht="63.95" customHeight="1">
      <c r="A2580" s="76" t="s">
        <v>5976</v>
      </c>
      <c r="B2580" s="76" t="s">
        <v>11551</v>
      </c>
      <c r="C2580" s="76" t="s">
        <v>11203</v>
      </c>
      <c r="D2580" s="76" t="s">
        <v>11131</v>
      </c>
      <c r="E2580" s="76" t="s">
        <v>11128</v>
      </c>
      <c r="F2580" s="76" t="s">
        <v>11124</v>
      </c>
    </row>
    <row r="2581" spans="1:6" ht="63.95" customHeight="1">
      <c r="A2581" s="76" t="s">
        <v>5976</v>
      </c>
      <c r="B2581" s="76" t="s">
        <v>11552</v>
      </c>
      <c r="C2581" s="76" t="s">
        <v>11130</v>
      </c>
      <c r="D2581" s="76" t="s">
        <v>11131</v>
      </c>
      <c r="E2581" s="76" t="s">
        <v>11132</v>
      </c>
      <c r="F2581" s="76" t="s">
        <v>11124</v>
      </c>
    </row>
    <row r="2582" spans="1:6" ht="63.95" customHeight="1">
      <c r="A2582" s="76" t="s">
        <v>5976</v>
      </c>
      <c r="B2582" s="76" t="s">
        <v>11553</v>
      </c>
      <c r="C2582" s="76" t="s">
        <v>11201</v>
      </c>
      <c r="D2582" s="76" t="s">
        <v>11122</v>
      </c>
      <c r="E2582" s="76" t="s">
        <v>11123</v>
      </c>
      <c r="F2582" s="76" t="s">
        <v>11124</v>
      </c>
    </row>
    <row r="2583" spans="1:6" ht="63.95" customHeight="1">
      <c r="A2583" s="76" t="s">
        <v>5976</v>
      </c>
      <c r="B2583" s="76" t="s">
        <v>11554</v>
      </c>
      <c r="C2583" s="76" t="s">
        <v>11203</v>
      </c>
      <c r="D2583" s="76" t="s">
        <v>11131</v>
      </c>
      <c r="E2583" s="76" t="s">
        <v>11128</v>
      </c>
      <c r="F2583" s="76" t="s">
        <v>11124</v>
      </c>
    </row>
    <row r="2584" spans="1:6" ht="63.95" customHeight="1">
      <c r="A2584" s="76" t="s">
        <v>5976</v>
      </c>
      <c r="B2584" s="76" t="s">
        <v>11555</v>
      </c>
      <c r="C2584" s="76" t="s">
        <v>11130</v>
      </c>
      <c r="D2584" s="76" t="s">
        <v>11131</v>
      </c>
      <c r="E2584" s="76" t="s">
        <v>11132</v>
      </c>
      <c r="F2584" s="76" t="s">
        <v>11124</v>
      </c>
    </row>
    <row r="2585" spans="1:6" ht="63.95" customHeight="1">
      <c r="A2585" s="76" t="s">
        <v>5976</v>
      </c>
      <c r="B2585" s="76" t="s">
        <v>11556</v>
      </c>
      <c r="C2585" s="76" t="s">
        <v>11201</v>
      </c>
      <c r="D2585" s="76" t="s">
        <v>11122</v>
      </c>
      <c r="E2585" s="76" t="s">
        <v>11123</v>
      </c>
      <c r="F2585" s="76" t="s">
        <v>11124</v>
      </c>
    </row>
    <row r="2586" spans="1:6" ht="63.95" customHeight="1">
      <c r="A2586" s="76" t="s">
        <v>5976</v>
      </c>
      <c r="B2586" s="76" t="s">
        <v>11557</v>
      </c>
      <c r="C2586" s="76" t="s">
        <v>11203</v>
      </c>
      <c r="D2586" s="76" t="s">
        <v>11131</v>
      </c>
      <c r="E2586" s="76" t="s">
        <v>11128</v>
      </c>
      <c r="F2586" s="76" t="s">
        <v>11124</v>
      </c>
    </row>
    <row r="2587" spans="1:6" ht="63.95" customHeight="1">
      <c r="A2587" s="76" t="s">
        <v>5976</v>
      </c>
      <c r="B2587" s="76" t="s">
        <v>11558</v>
      </c>
      <c r="C2587" s="76" t="s">
        <v>11130</v>
      </c>
      <c r="D2587" s="76" t="s">
        <v>11131</v>
      </c>
      <c r="E2587" s="76" t="s">
        <v>11132</v>
      </c>
      <c r="F2587" s="76" t="s">
        <v>11124</v>
      </c>
    </row>
    <row r="2588" spans="1:6" ht="63.95" customHeight="1">
      <c r="A2588" s="76" t="s">
        <v>5976</v>
      </c>
      <c r="B2588" s="76" t="s">
        <v>11559</v>
      </c>
      <c r="C2588" s="76" t="s">
        <v>11201</v>
      </c>
      <c r="D2588" s="76" t="s">
        <v>11122</v>
      </c>
      <c r="E2588" s="76" t="s">
        <v>11123</v>
      </c>
      <c r="F2588" s="76" t="s">
        <v>11124</v>
      </c>
    </row>
    <row r="2589" spans="1:6" ht="63.95" customHeight="1">
      <c r="A2589" s="76" t="s">
        <v>5976</v>
      </c>
      <c r="B2589" s="76" t="s">
        <v>11560</v>
      </c>
      <c r="C2589" s="76" t="s">
        <v>11203</v>
      </c>
      <c r="D2589" s="76" t="s">
        <v>11131</v>
      </c>
      <c r="E2589" s="76" t="s">
        <v>11128</v>
      </c>
      <c r="F2589" s="76" t="s">
        <v>11124</v>
      </c>
    </row>
    <row r="2590" spans="1:6" ht="63.95" customHeight="1">
      <c r="A2590" s="76" t="s">
        <v>5976</v>
      </c>
      <c r="B2590" s="76" t="s">
        <v>11561</v>
      </c>
      <c r="C2590" s="76" t="s">
        <v>11130</v>
      </c>
      <c r="D2590" s="76" t="s">
        <v>11131</v>
      </c>
      <c r="E2590" s="76" t="s">
        <v>11132</v>
      </c>
      <c r="F2590" s="76" t="s">
        <v>11124</v>
      </c>
    </row>
    <row r="2591" spans="1:6" ht="63.95" customHeight="1">
      <c r="A2591" s="76" t="s">
        <v>5976</v>
      </c>
      <c r="B2591" s="76" t="s">
        <v>11562</v>
      </c>
      <c r="C2591" s="76" t="s">
        <v>11201</v>
      </c>
      <c r="D2591" s="76" t="s">
        <v>11122</v>
      </c>
      <c r="E2591" s="76" t="s">
        <v>11123</v>
      </c>
      <c r="F2591" s="76" t="s">
        <v>11124</v>
      </c>
    </row>
    <row r="2592" spans="1:6" ht="63.95" customHeight="1">
      <c r="A2592" s="76" t="s">
        <v>5976</v>
      </c>
      <c r="B2592" s="76" t="s">
        <v>11563</v>
      </c>
      <c r="C2592" s="76" t="s">
        <v>11203</v>
      </c>
      <c r="D2592" s="76" t="s">
        <v>11131</v>
      </c>
      <c r="E2592" s="76" t="s">
        <v>11128</v>
      </c>
      <c r="F2592" s="76" t="s">
        <v>11124</v>
      </c>
    </row>
    <row r="2593" spans="1:6" ht="63.95" customHeight="1">
      <c r="A2593" s="76" t="s">
        <v>5976</v>
      </c>
      <c r="B2593" s="76" t="s">
        <v>11564</v>
      </c>
      <c r="C2593" s="76" t="s">
        <v>11130</v>
      </c>
      <c r="D2593" s="76" t="s">
        <v>11131</v>
      </c>
      <c r="E2593" s="76" t="s">
        <v>11132</v>
      </c>
      <c r="F2593" s="76" t="s">
        <v>11124</v>
      </c>
    </row>
    <row r="2594" spans="1:6" ht="63.95" customHeight="1">
      <c r="A2594" s="76" t="s">
        <v>5976</v>
      </c>
      <c r="B2594" s="76" t="s">
        <v>11565</v>
      </c>
      <c r="C2594" s="76" t="s">
        <v>11201</v>
      </c>
      <c r="D2594" s="76" t="s">
        <v>11122</v>
      </c>
      <c r="E2594" s="76" t="s">
        <v>11123</v>
      </c>
      <c r="F2594" s="76" t="s">
        <v>11124</v>
      </c>
    </row>
    <row r="2595" spans="1:6" ht="63.95" customHeight="1">
      <c r="A2595" s="76" t="s">
        <v>5976</v>
      </c>
      <c r="B2595" s="76" t="s">
        <v>11566</v>
      </c>
      <c r="C2595" s="76" t="s">
        <v>11203</v>
      </c>
      <c r="D2595" s="76" t="s">
        <v>11131</v>
      </c>
      <c r="E2595" s="76" t="s">
        <v>11128</v>
      </c>
      <c r="F2595" s="76" t="s">
        <v>11124</v>
      </c>
    </row>
    <row r="2596" spans="1:6" ht="63.95" customHeight="1">
      <c r="A2596" s="76" t="s">
        <v>5976</v>
      </c>
      <c r="B2596" s="76" t="s">
        <v>11567</v>
      </c>
      <c r="C2596" s="76" t="s">
        <v>11130</v>
      </c>
      <c r="D2596" s="76" t="s">
        <v>11131</v>
      </c>
      <c r="E2596" s="76" t="s">
        <v>11132</v>
      </c>
      <c r="F2596" s="76" t="s">
        <v>11124</v>
      </c>
    </row>
    <row r="2597" spans="1:6" ht="63.95" customHeight="1">
      <c r="A2597" s="76" t="s">
        <v>5976</v>
      </c>
      <c r="B2597" s="76" t="s">
        <v>11568</v>
      </c>
      <c r="C2597" s="76" t="s">
        <v>11201</v>
      </c>
      <c r="D2597" s="76" t="s">
        <v>11122</v>
      </c>
      <c r="E2597" s="76" t="s">
        <v>11123</v>
      </c>
      <c r="F2597" s="76" t="s">
        <v>11124</v>
      </c>
    </row>
    <row r="2598" spans="1:6" ht="63.95" customHeight="1">
      <c r="A2598" s="76" t="s">
        <v>5976</v>
      </c>
      <c r="B2598" s="76" t="s">
        <v>11569</v>
      </c>
      <c r="C2598" s="76" t="s">
        <v>11203</v>
      </c>
      <c r="D2598" s="76" t="s">
        <v>11131</v>
      </c>
      <c r="E2598" s="76" t="s">
        <v>11128</v>
      </c>
      <c r="F2598" s="76" t="s">
        <v>11124</v>
      </c>
    </row>
    <row r="2599" spans="1:6" ht="63.95" customHeight="1">
      <c r="A2599" s="76" t="s">
        <v>5976</v>
      </c>
      <c r="B2599" s="76" t="s">
        <v>11570</v>
      </c>
      <c r="C2599" s="76" t="s">
        <v>11130</v>
      </c>
      <c r="D2599" s="76" t="s">
        <v>11131</v>
      </c>
      <c r="E2599" s="76" t="s">
        <v>11132</v>
      </c>
      <c r="F2599" s="76" t="s">
        <v>11124</v>
      </c>
    </row>
    <row r="2600" spans="1:6" ht="63.95" customHeight="1">
      <c r="A2600" s="76" t="s">
        <v>5976</v>
      </c>
      <c r="B2600" s="76" t="s">
        <v>11571</v>
      </c>
      <c r="C2600" s="76" t="s">
        <v>11201</v>
      </c>
      <c r="D2600" s="76" t="s">
        <v>11122</v>
      </c>
      <c r="E2600" s="76" t="s">
        <v>11123</v>
      </c>
      <c r="F2600" s="76" t="s">
        <v>11124</v>
      </c>
    </row>
    <row r="2601" spans="1:6" ht="63.95" customHeight="1">
      <c r="A2601" s="76" t="s">
        <v>5976</v>
      </c>
      <c r="B2601" s="76" t="s">
        <v>11572</v>
      </c>
      <c r="C2601" s="76" t="s">
        <v>11203</v>
      </c>
      <c r="D2601" s="76" t="s">
        <v>11131</v>
      </c>
      <c r="E2601" s="76" t="s">
        <v>11128</v>
      </c>
      <c r="F2601" s="76" t="s">
        <v>11124</v>
      </c>
    </row>
    <row r="2602" spans="1:6" ht="63.95" customHeight="1">
      <c r="A2602" s="76" t="s">
        <v>5976</v>
      </c>
      <c r="B2602" s="76" t="s">
        <v>11573</v>
      </c>
      <c r="C2602" s="76" t="s">
        <v>11130</v>
      </c>
      <c r="D2602" s="76" t="s">
        <v>11131</v>
      </c>
      <c r="E2602" s="76" t="s">
        <v>11132</v>
      </c>
      <c r="F2602" s="76" t="s">
        <v>11124</v>
      </c>
    </row>
    <row r="2603" spans="1:6" ht="63.95" customHeight="1">
      <c r="A2603" s="76" t="s">
        <v>5976</v>
      </c>
      <c r="B2603" s="76" t="s">
        <v>11574</v>
      </c>
      <c r="C2603" s="76" t="s">
        <v>11201</v>
      </c>
      <c r="D2603" s="76" t="s">
        <v>11122</v>
      </c>
      <c r="E2603" s="76" t="s">
        <v>11123</v>
      </c>
      <c r="F2603" s="76" t="s">
        <v>11124</v>
      </c>
    </row>
    <row r="2604" spans="1:6" ht="63.95" customHeight="1">
      <c r="A2604" s="76" t="s">
        <v>5976</v>
      </c>
      <c r="B2604" s="76" t="s">
        <v>11575</v>
      </c>
      <c r="C2604" s="76" t="s">
        <v>11203</v>
      </c>
      <c r="D2604" s="76" t="s">
        <v>11131</v>
      </c>
      <c r="E2604" s="76" t="s">
        <v>11128</v>
      </c>
      <c r="F2604" s="76" t="s">
        <v>11124</v>
      </c>
    </row>
    <row r="2605" spans="1:6" ht="63.95" customHeight="1">
      <c r="A2605" s="76" t="s">
        <v>5976</v>
      </c>
      <c r="B2605" s="76" t="s">
        <v>11576</v>
      </c>
      <c r="C2605" s="76" t="s">
        <v>11130</v>
      </c>
      <c r="D2605" s="76" t="s">
        <v>11131</v>
      </c>
      <c r="E2605" s="76" t="s">
        <v>11132</v>
      </c>
      <c r="F2605" s="76" t="s">
        <v>11124</v>
      </c>
    </row>
    <row r="2606" spans="1:6" ht="63.95" customHeight="1">
      <c r="A2606" s="76" t="s">
        <v>5976</v>
      </c>
      <c r="B2606" s="76" t="s">
        <v>11577</v>
      </c>
      <c r="C2606" s="76" t="s">
        <v>11201</v>
      </c>
      <c r="D2606" s="76" t="s">
        <v>11122</v>
      </c>
      <c r="E2606" s="76" t="s">
        <v>11123</v>
      </c>
      <c r="F2606" s="76" t="s">
        <v>11124</v>
      </c>
    </row>
    <row r="2607" spans="1:6" ht="63.95" customHeight="1">
      <c r="A2607" s="76" t="s">
        <v>5976</v>
      </c>
      <c r="B2607" s="76" t="s">
        <v>11578</v>
      </c>
      <c r="C2607" s="76" t="s">
        <v>11203</v>
      </c>
      <c r="D2607" s="76" t="s">
        <v>11131</v>
      </c>
      <c r="E2607" s="76" t="s">
        <v>11128</v>
      </c>
      <c r="F2607" s="76" t="s">
        <v>11124</v>
      </c>
    </row>
    <row r="2608" spans="1:6" ht="63.95" customHeight="1">
      <c r="A2608" s="76" t="s">
        <v>5976</v>
      </c>
      <c r="B2608" s="76" t="s">
        <v>11579</v>
      </c>
      <c r="C2608" s="76" t="s">
        <v>11130</v>
      </c>
      <c r="D2608" s="76" t="s">
        <v>11131</v>
      </c>
      <c r="E2608" s="76" t="s">
        <v>11132</v>
      </c>
      <c r="F2608" s="76" t="s">
        <v>11124</v>
      </c>
    </row>
    <row r="2609" spans="1:6" ht="63.95" customHeight="1">
      <c r="A2609" s="76" t="s">
        <v>5976</v>
      </c>
      <c r="B2609" s="76" t="s">
        <v>11580</v>
      </c>
      <c r="C2609" s="76" t="s">
        <v>11201</v>
      </c>
      <c r="D2609" s="76" t="s">
        <v>11122</v>
      </c>
      <c r="E2609" s="76" t="s">
        <v>11123</v>
      </c>
      <c r="F2609" s="76" t="s">
        <v>11124</v>
      </c>
    </row>
    <row r="2610" spans="1:6" ht="63.95" customHeight="1">
      <c r="A2610" s="76" t="s">
        <v>5976</v>
      </c>
      <c r="B2610" s="76" t="s">
        <v>11581</v>
      </c>
      <c r="C2610" s="76" t="s">
        <v>11203</v>
      </c>
      <c r="D2610" s="76" t="s">
        <v>11131</v>
      </c>
      <c r="E2610" s="76" t="s">
        <v>11128</v>
      </c>
      <c r="F2610" s="76" t="s">
        <v>11124</v>
      </c>
    </row>
    <row r="2611" spans="1:6" ht="63.95" customHeight="1">
      <c r="A2611" s="76" t="s">
        <v>5976</v>
      </c>
      <c r="B2611" s="76" t="s">
        <v>11582</v>
      </c>
      <c r="C2611" s="76" t="s">
        <v>11130</v>
      </c>
      <c r="D2611" s="76" t="s">
        <v>11131</v>
      </c>
      <c r="E2611" s="76" t="s">
        <v>11132</v>
      </c>
      <c r="F2611" s="76" t="s">
        <v>11124</v>
      </c>
    </row>
    <row r="2612" spans="1:6" ht="63.95" customHeight="1">
      <c r="A2612" s="76" t="s">
        <v>5976</v>
      </c>
      <c r="B2612" s="76" t="s">
        <v>11583</v>
      </c>
      <c r="C2612" s="76" t="s">
        <v>11201</v>
      </c>
      <c r="D2612" s="76" t="s">
        <v>11122</v>
      </c>
      <c r="E2612" s="76" t="s">
        <v>11123</v>
      </c>
      <c r="F2612" s="76" t="s">
        <v>11124</v>
      </c>
    </row>
    <row r="2613" spans="1:6" ht="63.95" customHeight="1">
      <c r="A2613" s="76" t="s">
        <v>5976</v>
      </c>
      <c r="B2613" s="76" t="s">
        <v>11584</v>
      </c>
      <c r="C2613" s="76" t="s">
        <v>11203</v>
      </c>
      <c r="D2613" s="76" t="s">
        <v>11131</v>
      </c>
      <c r="E2613" s="76" t="s">
        <v>11128</v>
      </c>
      <c r="F2613" s="76" t="s">
        <v>11124</v>
      </c>
    </row>
    <row r="2614" spans="1:6" ht="63.95" customHeight="1">
      <c r="A2614" s="76" t="s">
        <v>5976</v>
      </c>
      <c r="B2614" s="76" t="s">
        <v>11585</v>
      </c>
      <c r="C2614" s="76" t="s">
        <v>11130</v>
      </c>
      <c r="D2614" s="76" t="s">
        <v>11131</v>
      </c>
      <c r="E2614" s="76" t="s">
        <v>11132</v>
      </c>
      <c r="F2614" s="76" t="s">
        <v>11124</v>
      </c>
    </row>
    <row r="2615" spans="1:6" ht="63.95" customHeight="1">
      <c r="A2615" s="76" t="s">
        <v>5976</v>
      </c>
      <c r="B2615" s="76" t="s">
        <v>11586</v>
      </c>
      <c r="C2615" s="76" t="s">
        <v>11201</v>
      </c>
      <c r="D2615" s="76" t="s">
        <v>11122</v>
      </c>
      <c r="E2615" s="76" t="s">
        <v>11123</v>
      </c>
      <c r="F2615" s="76" t="s">
        <v>11124</v>
      </c>
    </row>
    <row r="2616" spans="1:6" ht="63.95" customHeight="1">
      <c r="A2616" s="76" t="s">
        <v>5976</v>
      </c>
      <c r="B2616" s="76" t="s">
        <v>11587</v>
      </c>
      <c r="C2616" s="76" t="s">
        <v>11203</v>
      </c>
      <c r="D2616" s="76" t="s">
        <v>11131</v>
      </c>
      <c r="E2616" s="76" t="s">
        <v>11128</v>
      </c>
      <c r="F2616" s="76" t="s">
        <v>11124</v>
      </c>
    </row>
    <row r="2617" spans="1:6" ht="63.95" customHeight="1">
      <c r="A2617" s="76" t="s">
        <v>5976</v>
      </c>
      <c r="B2617" s="76" t="s">
        <v>11588</v>
      </c>
      <c r="C2617" s="76" t="s">
        <v>11130</v>
      </c>
      <c r="D2617" s="76" t="s">
        <v>11131</v>
      </c>
      <c r="E2617" s="76" t="s">
        <v>11132</v>
      </c>
      <c r="F2617" s="76" t="s">
        <v>11124</v>
      </c>
    </row>
    <row r="2618" spans="1:6" ht="63.95" customHeight="1">
      <c r="A2618" s="76" t="s">
        <v>5976</v>
      </c>
      <c r="B2618" s="76" t="s">
        <v>11589</v>
      </c>
      <c r="C2618" s="76" t="s">
        <v>11201</v>
      </c>
      <c r="D2618" s="76" t="s">
        <v>11122</v>
      </c>
      <c r="E2618" s="76" t="s">
        <v>11123</v>
      </c>
      <c r="F2618" s="76" t="s">
        <v>11124</v>
      </c>
    </row>
    <row r="2619" spans="1:6" ht="63.95" customHeight="1">
      <c r="A2619" s="76" t="s">
        <v>5976</v>
      </c>
      <c r="B2619" s="76" t="s">
        <v>11590</v>
      </c>
      <c r="C2619" s="76" t="s">
        <v>11203</v>
      </c>
      <c r="D2619" s="76" t="s">
        <v>11131</v>
      </c>
      <c r="E2619" s="76" t="s">
        <v>11128</v>
      </c>
      <c r="F2619" s="76" t="s">
        <v>11124</v>
      </c>
    </row>
    <row r="2620" spans="1:6" ht="63.95" customHeight="1">
      <c r="A2620" s="76" t="s">
        <v>5976</v>
      </c>
      <c r="B2620" s="76" t="s">
        <v>11591</v>
      </c>
      <c r="C2620" s="76" t="s">
        <v>11130</v>
      </c>
      <c r="D2620" s="76" t="s">
        <v>11131</v>
      </c>
      <c r="E2620" s="76" t="s">
        <v>11132</v>
      </c>
      <c r="F2620" s="76" t="s">
        <v>11124</v>
      </c>
    </row>
    <row r="2621" spans="1:6" ht="63.95" customHeight="1">
      <c r="A2621" s="76" t="s">
        <v>5976</v>
      </c>
      <c r="B2621" s="76" t="s">
        <v>11592</v>
      </c>
      <c r="C2621" s="76" t="s">
        <v>11201</v>
      </c>
      <c r="D2621" s="76" t="s">
        <v>11122</v>
      </c>
      <c r="E2621" s="76" t="s">
        <v>11123</v>
      </c>
      <c r="F2621" s="76" t="s">
        <v>11124</v>
      </c>
    </row>
    <row r="2622" spans="1:6" ht="63.95" customHeight="1">
      <c r="A2622" s="76" t="s">
        <v>5976</v>
      </c>
      <c r="B2622" s="76" t="s">
        <v>11593</v>
      </c>
      <c r="C2622" s="76" t="s">
        <v>11203</v>
      </c>
      <c r="D2622" s="76" t="s">
        <v>11131</v>
      </c>
      <c r="E2622" s="76" t="s">
        <v>11128</v>
      </c>
      <c r="F2622" s="76" t="s">
        <v>11124</v>
      </c>
    </row>
    <row r="2623" spans="1:6" ht="63.95" customHeight="1">
      <c r="A2623" s="76" t="s">
        <v>5976</v>
      </c>
      <c r="B2623" s="76" t="s">
        <v>11594</v>
      </c>
      <c r="C2623" s="76" t="s">
        <v>11130</v>
      </c>
      <c r="D2623" s="76" t="s">
        <v>11131</v>
      </c>
      <c r="E2623" s="76" t="s">
        <v>11132</v>
      </c>
      <c r="F2623" s="76" t="s">
        <v>11124</v>
      </c>
    </row>
    <row r="2624" spans="1:6" ht="63.95" customHeight="1">
      <c r="A2624" s="76" t="s">
        <v>5976</v>
      </c>
      <c r="B2624" s="76" t="s">
        <v>11595</v>
      </c>
      <c r="C2624" s="76" t="s">
        <v>11201</v>
      </c>
      <c r="D2624" s="76" t="s">
        <v>11122</v>
      </c>
      <c r="E2624" s="76" t="s">
        <v>11123</v>
      </c>
      <c r="F2624" s="76" t="s">
        <v>11124</v>
      </c>
    </row>
    <row r="2625" spans="1:6" ht="63.95" customHeight="1">
      <c r="A2625" s="76" t="s">
        <v>5976</v>
      </c>
      <c r="B2625" s="76" t="s">
        <v>11596</v>
      </c>
      <c r="C2625" s="76" t="s">
        <v>11203</v>
      </c>
      <c r="D2625" s="76" t="s">
        <v>11131</v>
      </c>
      <c r="E2625" s="76" t="s">
        <v>11128</v>
      </c>
      <c r="F2625" s="76" t="s">
        <v>11124</v>
      </c>
    </row>
    <row r="2626" spans="1:6" ht="63.95" customHeight="1">
      <c r="A2626" s="76" t="s">
        <v>5976</v>
      </c>
      <c r="B2626" s="76" t="s">
        <v>11597</v>
      </c>
      <c r="C2626" s="76" t="s">
        <v>11130</v>
      </c>
      <c r="D2626" s="76" t="s">
        <v>11131</v>
      </c>
      <c r="E2626" s="76" t="s">
        <v>11132</v>
      </c>
      <c r="F2626" s="76" t="s">
        <v>11124</v>
      </c>
    </row>
    <row r="2627" spans="1:6" ht="63.95" customHeight="1">
      <c r="A2627" s="76" t="s">
        <v>5976</v>
      </c>
      <c r="B2627" s="76" t="s">
        <v>11598</v>
      </c>
      <c r="C2627" s="76" t="s">
        <v>11201</v>
      </c>
      <c r="D2627" s="76" t="s">
        <v>11122</v>
      </c>
      <c r="E2627" s="76" t="s">
        <v>11123</v>
      </c>
      <c r="F2627" s="76" t="s">
        <v>11124</v>
      </c>
    </row>
    <row r="2628" spans="1:6" ht="63.95" customHeight="1">
      <c r="A2628" s="76" t="s">
        <v>5976</v>
      </c>
      <c r="B2628" s="76" t="s">
        <v>11599</v>
      </c>
      <c r="C2628" s="76" t="s">
        <v>11203</v>
      </c>
      <c r="D2628" s="76" t="s">
        <v>11131</v>
      </c>
      <c r="E2628" s="76" t="s">
        <v>11128</v>
      </c>
      <c r="F2628" s="76" t="s">
        <v>11124</v>
      </c>
    </row>
    <row r="2629" spans="1:6" ht="63.95" customHeight="1">
      <c r="A2629" s="76" t="s">
        <v>5976</v>
      </c>
      <c r="B2629" s="76" t="s">
        <v>11600</v>
      </c>
      <c r="C2629" s="76" t="s">
        <v>11130</v>
      </c>
      <c r="D2629" s="76" t="s">
        <v>11131</v>
      </c>
      <c r="E2629" s="76" t="s">
        <v>11132</v>
      </c>
      <c r="F2629" s="76" t="s">
        <v>11124</v>
      </c>
    </row>
    <row r="2630" spans="1:6" ht="63.95" customHeight="1">
      <c r="A2630" s="76" t="s">
        <v>5976</v>
      </c>
      <c r="B2630" s="76" t="s">
        <v>11601</v>
      </c>
      <c r="C2630" s="76" t="s">
        <v>11201</v>
      </c>
      <c r="D2630" s="76" t="s">
        <v>11122</v>
      </c>
      <c r="E2630" s="76" t="s">
        <v>11123</v>
      </c>
      <c r="F2630" s="76" t="s">
        <v>11124</v>
      </c>
    </row>
    <row r="2631" spans="1:6" ht="63.95" customHeight="1">
      <c r="A2631" s="76" t="s">
        <v>5976</v>
      </c>
      <c r="B2631" s="76" t="s">
        <v>11602</v>
      </c>
      <c r="C2631" s="76" t="s">
        <v>11203</v>
      </c>
      <c r="D2631" s="76" t="s">
        <v>11131</v>
      </c>
      <c r="E2631" s="76" t="s">
        <v>11128</v>
      </c>
      <c r="F2631" s="76" t="s">
        <v>11124</v>
      </c>
    </row>
    <row r="2632" spans="1:6" ht="63.95" customHeight="1">
      <c r="A2632" s="76" t="s">
        <v>5976</v>
      </c>
      <c r="B2632" s="76" t="s">
        <v>11603</v>
      </c>
      <c r="C2632" s="76" t="s">
        <v>11130</v>
      </c>
      <c r="D2632" s="76" t="s">
        <v>11131</v>
      </c>
      <c r="E2632" s="76" t="s">
        <v>11132</v>
      </c>
      <c r="F2632" s="76" t="s">
        <v>11124</v>
      </c>
    </row>
    <row r="2633" spans="1:6" ht="63.95" customHeight="1">
      <c r="A2633" s="76" t="s">
        <v>5976</v>
      </c>
      <c r="B2633" s="76" t="s">
        <v>11604</v>
      </c>
      <c r="C2633" s="76" t="s">
        <v>11201</v>
      </c>
      <c r="D2633" s="76" t="s">
        <v>11122</v>
      </c>
      <c r="E2633" s="76" t="s">
        <v>11123</v>
      </c>
      <c r="F2633" s="76" t="s">
        <v>11124</v>
      </c>
    </row>
    <row r="2634" spans="1:6" ht="63.95" customHeight="1">
      <c r="A2634" s="76" t="s">
        <v>5976</v>
      </c>
      <c r="B2634" s="76" t="s">
        <v>11605</v>
      </c>
      <c r="C2634" s="76" t="s">
        <v>11203</v>
      </c>
      <c r="D2634" s="76" t="s">
        <v>11131</v>
      </c>
      <c r="E2634" s="76" t="s">
        <v>11128</v>
      </c>
      <c r="F2634" s="76" t="s">
        <v>11124</v>
      </c>
    </row>
    <row r="2635" spans="1:6" ht="63.95" customHeight="1">
      <c r="A2635" s="76" t="s">
        <v>5976</v>
      </c>
      <c r="B2635" s="76" t="s">
        <v>11606</v>
      </c>
      <c r="C2635" s="76" t="s">
        <v>11130</v>
      </c>
      <c r="D2635" s="76" t="s">
        <v>11131</v>
      </c>
      <c r="E2635" s="76" t="s">
        <v>11132</v>
      </c>
      <c r="F2635" s="76" t="s">
        <v>11124</v>
      </c>
    </row>
    <row r="2636" spans="1:6" ht="63.95" customHeight="1">
      <c r="A2636" s="76" t="s">
        <v>5976</v>
      </c>
      <c r="B2636" s="76" t="s">
        <v>11607</v>
      </c>
      <c r="C2636" s="76" t="s">
        <v>11201</v>
      </c>
      <c r="D2636" s="76" t="s">
        <v>11122</v>
      </c>
      <c r="E2636" s="76" t="s">
        <v>11123</v>
      </c>
      <c r="F2636" s="76" t="s">
        <v>11124</v>
      </c>
    </row>
    <row r="2637" spans="1:6" ht="63.95" customHeight="1">
      <c r="A2637" s="76" t="s">
        <v>5976</v>
      </c>
      <c r="B2637" s="76" t="s">
        <v>11608</v>
      </c>
      <c r="C2637" s="76" t="s">
        <v>11203</v>
      </c>
      <c r="D2637" s="76" t="s">
        <v>11131</v>
      </c>
      <c r="E2637" s="76" t="s">
        <v>11128</v>
      </c>
      <c r="F2637" s="76" t="s">
        <v>11124</v>
      </c>
    </row>
    <row r="2638" spans="1:6" ht="63.95" customHeight="1">
      <c r="A2638" s="76" t="s">
        <v>5976</v>
      </c>
      <c r="B2638" s="76" t="s">
        <v>11609</v>
      </c>
      <c r="C2638" s="76" t="s">
        <v>11130</v>
      </c>
      <c r="D2638" s="76" t="s">
        <v>11131</v>
      </c>
      <c r="E2638" s="76" t="s">
        <v>11132</v>
      </c>
      <c r="F2638" s="76" t="s">
        <v>11124</v>
      </c>
    </row>
    <row r="2639" spans="1:6" ht="63.95" customHeight="1">
      <c r="A2639" s="76" t="s">
        <v>5976</v>
      </c>
      <c r="B2639" s="76" t="s">
        <v>11610</v>
      </c>
      <c r="C2639" s="76" t="s">
        <v>11201</v>
      </c>
      <c r="D2639" s="76" t="s">
        <v>11122</v>
      </c>
      <c r="E2639" s="76" t="s">
        <v>11123</v>
      </c>
      <c r="F2639" s="76" t="s">
        <v>11124</v>
      </c>
    </row>
    <row r="2640" spans="1:6" ht="63.95" customHeight="1">
      <c r="A2640" s="76" t="s">
        <v>5976</v>
      </c>
      <c r="B2640" s="76" t="s">
        <v>11611</v>
      </c>
      <c r="C2640" s="76" t="s">
        <v>11203</v>
      </c>
      <c r="D2640" s="76" t="s">
        <v>11131</v>
      </c>
      <c r="E2640" s="76" t="s">
        <v>11128</v>
      </c>
      <c r="F2640" s="76" t="s">
        <v>11124</v>
      </c>
    </row>
    <row r="2641" spans="1:6" ht="63.95" customHeight="1">
      <c r="A2641" s="76" t="s">
        <v>5976</v>
      </c>
      <c r="B2641" s="76" t="s">
        <v>11612</v>
      </c>
      <c r="C2641" s="76" t="s">
        <v>11130</v>
      </c>
      <c r="D2641" s="76" t="s">
        <v>11131</v>
      </c>
      <c r="E2641" s="76" t="s">
        <v>11132</v>
      </c>
      <c r="F2641" s="76" t="s">
        <v>11124</v>
      </c>
    </row>
    <row r="2642" spans="1:6" ht="63.95" customHeight="1">
      <c r="A2642" s="76" t="s">
        <v>5976</v>
      </c>
      <c r="B2642" s="76" t="s">
        <v>11613</v>
      </c>
      <c r="C2642" s="76" t="s">
        <v>11201</v>
      </c>
      <c r="D2642" s="76" t="s">
        <v>11122</v>
      </c>
      <c r="E2642" s="76" t="s">
        <v>11123</v>
      </c>
      <c r="F2642" s="76" t="s">
        <v>11124</v>
      </c>
    </row>
    <row r="2643" spans="1:6" ht="63.95" customHeight="1">
      <c r="A2643" s="76" t="s">
        <v>5976</v>
      </c>
      <c r="B2643" s="76" t="s">
        <v>11614</v>
      </c>
      <c r="C2643" s="76" t="s">
        <v>11203</v>
      </c>
      <c r="D2643" s="76" t="s">
        <v>11131</v>
      </c>
      <c r="E2643" s="76" t="s">
        <v>11128</v>
      </c>
      <c r="F2643" s="76" t="s">
        <v>11124</v>
      </c>
    </row>
    <row r="2644" spans="1:6" ht="63.95" customHeight="1">
      <c r="A2644" s="76" t="s">
        <v>5976</v>
      </c>
      <c r="B2644" s="76" t="s">
        <v>11615</v>
      </c>
      <c r="C2644" s="76" t="s">
        <v>11130</v>
      </c>
      <c r="D2644" s="76" t="s">
        <v>11131</v>
      </c>
      <c r="E2644" s="76" t="s">
        <v>11132</v>
      </c>
      <c r="F2644" s="76" t="s">
        <v>11124</v>
      </c>
    </row>
    <row r="2645" spans="1:6" ht="63.95" customHeight="1">
      <c r="A2645" s="76" t="s">
        <v>5976</v>
      </c>
      <c r="B2645" s="76" t="s">
        <v>11616</v>
      </c>
      <c r="C2645" s="76" t="s">
        <v>11201</v>
      </c>
      <c r="D2645" s="76" t="s">
        <v>11122</v>
      </c>
      <c r="E2645" s="76" t="s">
        <v>11123</v>
      </c>
      <c r="F2645" s="76" t="s">
        <v>11124</v>
      </c>
    </row>
    <row r="2646" spans="1:6" ht="63.95" customHeight="1">
      <c r="A2646" s="76" t="s">
        <v>5976</v>
      </c>
      <c r="B2646" s="76" t="s">
        <v>11617</v>
      </c>
      <c r="C2646" s="76" t="s">
        <v>11203</v>
      </c>
      <c r="D2646" s="76" t="s">
        <v>11131</v>
      </c>
      <c r="E2646" s="76" t="s">
        <v>11128</v>
      </c>
      <c r="F2646" s="76" t="s">
        <v>11124</v>
      </c>
    </row>
    <row r="2647" spans="1:6" ht="63.95" customHeight="1">
      <c r="A2647" s="76" t="s">
        <v>5976</v>
      </c>
      <c r="B2647" s="76" t="s">
        <v>11618</v>
      </c>
      <c r="C2647" s="76" t="s">
        <v>11130</v>
      </c>
      <c r="D2647" s="76" t="s">
        <v>11131</v>
      </c>
      <c r="E2647" s="76" t="s">
        <v>11132</v>
      </c>
      <c r="F2647" s="76" t="s">
        <v>11124</v>
      </c>
    </row>
    <row r="2648" spans="1:6" ht="63.95" customHeight="1">
      <c r="A2648" s="76" t="s">
        <v>5976</v>
      </c>
      <c r="B2648" s="76" t="s">
        <v>11619</v>
      </c>
      <c r="C2648" s="76" t="s">
        <v>11201</v>
      </c>
      <c r="D2648" s="76" t="s">
        <v>11122</v>
      </c>
      <c r="E2648" s="76" t="s">
        <v>11123</v>
      </c>
      <c r="F2648" s="76" t="s">
        <v>11124</v>
      </c>
    </row>
    <row r="2649" spans="1:6" ht="63.95" customHeight="1">
      <c r="A2649" s="76" t="s">
        <v>5976</v>
      </c>
      <c r="B2649" s="76" t="s">
        <v>11620</v>
      </c>
      <c r="C2649" s="76" t="s">
        <v>11203</v>
      </c>
      <c r="D2649" s="76" t="s">
        <v>11131</v>
      </c>
      <c r="E2649" s="76" t="s">
        <v>11128</v>
      </c>
      <c r="F2649" s="76" t="s">
        <v>11124</v>
      </c>
    </row>
    <row r="2650" spans="1:6" ht="63.95" customHeight="1">
      <c r="A2650" s="76" t="s">
        <v>5976</v>
      </c>
      <c r="B2650" s="76" t="s">
        <v>11621</v>
      </c>
      <c r="C2650" s="76" t="s">
        <v>11130</v>
      </c>
      <c r="D2650" s="76" t="s">
        <v>11131</v>
      </c>
      <c r="E2650" s="76" t="s">
        <v>11132</v>
      </c>
      <c r="F2650" s="76" t="s">
        <v>11124</v>
      </c>
    </row>
    <row r="2651" spans="1:6" ht="63.95" customHeight="1">
      <c r="A2651" s="76" t="s">
        <v>5976</v>
      </c>
      <c r="B2651" s="76" t="s">
        <v>11622</v>
      </c>
      <c r="C2651" s="76" t="s">
        <v>11201</v>
      </c>
      <c r="D2651" s="76" t="s">
        <v>11122</v>
      </c>
      <c r="E2651" s="76" t="s">
        <v>11123</v>
      </c>
      <c r="F2651" s="76" t="s">
        <v>11124</v>
      </c>
    </row>
    <row r="2652" spans="1:6" ht="63.95" customHeight="1">
      <c r="A2652" s="76" t="s">
        <v>5976</v>
      </c>
      <c r="B2652" s="76" t="s">
        <v>11623</v>
      </c>
      <c r="C2652" s="76" t="s">
        <v>11203</v>
      </c>
      <c r="D2652" s="76" t="s">
        <v>11131</v>
      </c>
      <c r="E2652" s="76" t="s">
        <v>11128</v>
      </c>
      <c r="F2652" s="76" t="s">
        <v>11124</v>
      </c>
    </row>
    <row r="2653" spans="1:6" ht="63.95" customHeight="1">
      <c r="A2653" s="76" t="s">
        <v>5976</v>
      </c>
      <c r="B2653" s="76" t="s">
        <v>11624</v>
      </c>
      <c r="C2653" s="76" t="s">
        <v>11130</v>
      </c>
      <c r="D2653" s="76" t="s">
        <v>11131</v>
      </c>
      <c r="E2653" s="76" t="s">
        <v>11132</v>
      </c>
      <c r="F2653" s="76" t="s">
        <v>11124</v>
      </c>
    </row>
    <row r="2654" spans="1:6" ht="63.95" customHeight="1">
      <c r="A2654" s="76" t="s">
        <v>5976</v>
      </c>
      <c r="B2654" s="76" t="s">
        <v>11625</v>
      </c>
      <c r="C2654" s="76" t="s">
        <v>11201</v>
      </c>
      <c r="D2654" s="76" t="s">
        <v>11122</v>
      </c>
      <c r="E2654" s="76" t="s">
        <v>11123</v>
      </c>
      <c r="F2654" s="76" t="s">
        <v>11124</v>
      </c>
    </row>
    <row r="2655" spans="1:6" ht="63.95" customHeight="1">
      <c r="A2655" s="76" t="s">
        <v>5976</v>
      </c>
      <c r="B2655" s="76" t="s">
        <v>11626</v>
      </c>
      <c r="C2655" s="76" t="s">
        <v>11203</v>
      </c>
      <c r="D2655" s="76" t="s">
        <v>11131</v>
      </c>
      <c r="E2655" s="76" t="s">
        <v>11128</v>
      </c>
      <c r="F2655" s="76" t="s">
        <v>11124</v>
      </c>
    </row>
    <row r="2656" spans="1:6" ht="63.95" customHeight="1">
      <c r="A2656" s="76" t="s">
        <v>5976</v>
      </c>
      <c r="B2656" s="76" t="s">
        <v>11627</v>
      </c>
      <c r="C2656" s="76" t="s">
        <v>11130</v>
      </c>
      <c r="D2656" s="76" t="s">
        <v>11131</v>
      </c>
      <c r="E2656" s="76" t="s">
        <v>11132</v>
      </c>
      <c r="F2656" s="76" t="s">
        <v>11124</v>
      </c>
    </row>
    <row r="2657" spans="1:6" ht="63.95" customHeight="1">
      <c r="A2657" s="76" t="s">
        <v>5976</v>
      </c>
      <c r="B2657" s="76" t="s">
        <v>11628</v>
      </c>
      <c r="C2657" s="76" t="s">
        <v>11201</v>
      </c>
      <c r="D2657" s="76" t="s">
        <v>11122</v>
      </c>
      <c r="E2657" s="76" t="s">
        <v>11123</v>
      </c>
      <c r="F2657" s="76" t="s">
        <v>11124</v>
      </c>
    </row>
    <row r="2658" spans="1:6" ht="63.95" customHeight="1">
      <c r="A2658" s="76" t="s">
        <v>5976</v>
      </c>
      <c r="B2658" s="76" t="s">
        <v>11629</v>
      </c>
      <c r="C2658" s="76" t="s">
        <v>11203</v>
      </c>
      <c r="D2658" s="76" t="s">
        <v>11131</v>
      </c>
      <c r="E2658" s="76" t="s">
        <v>11128</v>
      </c>
      <c r="F2658" s="76" t="s">
        <v>11124</v>
      </c>
    </row>
    <row r="2659" spans="1:6" ht="63.95" customHeight="1">
      <c r="A2659" s="76" t="s">
        <v>5976</v>
      </c>
      <c r="B2659" s="76" t="s">
        <v>11630</v>
      </c>
      <c r="C2659" s="76" t="s">
        <v>11130</v>
      </c>
      <c r="D2659" s="76" t="s">
        <v>11131</v>
      </c>
      <c r="E2659" s="76" t="s">
        <v>11132</v>
      </c>
      <c r="F2659" s="76" t="s">
        <v>11124</v>
      </c>
    </row>
    <row r="2660" spans="1:6" ht="63.95" customHeight="1">
      <c r="A2660" s="76" t="s">
        <v>5976</v>
      </c>
      <c r="B2660" s="76" t="s">
        <v>11631</v>
      </c>
      <c r="C2660" s="76" t="s">
        <v>11143</v>
      </c>
      <c r="D2660" s="76" t="s">
        <v>11122</v>
      </c>
      <c r="E2660" s="76" t="s">
        <v>11123</v>
      </c>
      <c r="F2660" s="76" t="s">
        <v>11124</v>
      </c>
    </row>
    <row r="2661" spans="1:6" ht="63.95" customHeight="1">
      <c r="A2661" s="76" t="s">
        <v>5976</v>
      </c>
      <c r="B2661" s="76" t="s">
        <v>11632</v>
      </c>
      <c r="C2661" s="76" t="s">
        <v>11126</v>
      </c>
      <c r="D2661" s="76" t="s">
        <v>11127</v>
      </c>
      <c r="E2661" s="76" t="s">
        <v>11128</v>
      </c>
      <c r="F2661" s="76" t="s">
        <v>11124</v>
      </c>
    </row>
    <row r="2662" spans="1:6" ht="63.95" customHeight="1">
      <c r="A2662" s="76" t="s">
        <v>5976</v>
      </c>
      <c r="B2662" s="76" t="s">
        <v>11633</v>
      </c>
      <c r="C2662" s="76" t="s">
        <v>11130</v>
      </c>
      <c r="D2662" s="76" t="s">
        <v>11131</v>
      </c>
      <c r="E2662" s="76" t="s">
        <v>11132</v>
      </c>
      <c r="F2662" s="76" t="s">
        <v>11124</v>
      </c>
    </row>
    <row r="2663" spans="1:6" ht="63.95" customHeight="1">
      <c r="A2663" s="76" t="s">
        <v>5976</v>
      </c>
      <c r="B2663" s="76" t="s">
        <v>11634</v>
      </c>
      <c r="C2663" s="76" t="s">
        <v>11201</v>
      </c>
      <c r="D2663" s="76" t="s">
        <v>11122</v>
      </c>
      <c r="E2663" s="76" t="s">
        <v>11123</v>
      </c>
      <c r="F2663" s="76" t="s">
        <v>11124</v>
      </c>
    </row>
    <row r="2664" spans="1:6" ht="63.95" customHeight="1">
      <c r="A2664" s="76" t="s">
        <v>5976</v>
      </c>
      <c r="B2664" s="76" t="s">
        <v>11635</v>
      </c>
      <c r="C2664" s="76" t="s">
        <v>11203</v>
      </c>
      <c r="D2664" s="76" t="s">
        <v>11131</v>
      </c>
      <c r="E2664" s="76" t="s">
        <v>11128</v>
      </c>
      <c r="F2664" s="76" t="s">
        <v>11124</v>
      </c>
    </row>
    <row r="2665" spans="1:6" ht="63.95" customHeight="1">
      <c r="A2665" s="76" t="s">
        <v>5976</v>
      </c>
      <c r="B2665" s="76" t="s">
        <v>11636</v>
      </c>
      <c r="C2665" s="76" t="s">
        <v>11130</v>
      </c>
      <c r="D2665" s="76" t="s">
        <v>11131</v>
      </c>
      <c r="E2665" s="76" t="s">
        <v>11132</v>
      </c>
      <c r="F2665" s="76" t="s">
        <v>11124</v>
      </c>
    </row>
    <row r="2666" spans="1:6" ht="63.95" customHeight="1">
      <c r="A2666" s="76" t="s">
        <v>5976</v>
      </c>
      <c r="B2666" s="76" t="s">
        <v>11637</v>
      </c>
      <c r="C2666" s="76" t="s">
        <v>11143</v>
      </c>
      <c r="D2666" s="76" t="s">
        <v>11122</v>
      </c>
      <c r="E2666" s="76" t="s">
        <v>11123</v>
      </c>
      <c r="F2666" s="76" t="s">
        <v>11124</v>
      </c>
    </row>
    <row r="2667" spans="1:6" ht="63.95" customHeight="1">
      <c r="A2667" s="76" t="s">
        <v>5976</v>
      </c>
      <c r="B2667" s="76" t="s">
        <v>11638</v>
      </c>
      <c r="C2667" s="76" t="s">
        <v>11126</v>
      </c>
      <c r="D2667" s="76" t="s">
        <v>11127</v>
      </c>
      <c r="E2667" s="76" t="s">
        <v>11128</v>
      </c>
      <c r="F2667" s="76" t="s">
        <v>11124</v>
      </c>
    </row>
    <row r="2668" spans="1:6" ht="63.95" customHeight="1">
      <c r="A2668" s="76" t="s">
        <v>5976</v>
      </c>
      <c r="B2668" s="76" t="s">
        <v>11639</v>
      </c>
      <c r="C2668" s="76" t="s">
        <v>11130</v>
      </c>
      <c r="D2668" s="76" t="s">
        <v>11131</v>
      </c>
      <c r="E2668" s="76" t="s">
        <v>11132</v>
      </c>
      <c r="F2668" s="76" t="s">
        <v>11124</v>
      </c>
    </row>
    <row r="2669" spans="1:6" ht="63.95" customHeight="1">
      <c r="A2669" s="76" t="s">
        <v>5976</v>
      </c>
      <c r="B2669" s="76" t="s">
        <v>11640</v>
      </c>
      <c r="C2669" s="76" t="s">
        <v>11201</v>
      </c>
      <c r="D2669" s="76" t="s">
        <v>11122</v>
      </c>
      <c r="E2669" s="76" t="s">
        <v>11123</v>
      </c>
      <c r="F2669" s="76" t="s">
        <v>11124</v>
      </c>
    </row>
    <row r="2670" spans="1:6" ht="63.95" customHeight="1">
      <c r="A2670" s="76" t="s">
        <v>5976</v>
      </c>
      <c r="B2670" s="76" t="s">
        <v>11641</v>
      </c>
      <c r="C2670" s="76" t="s">
        <v>11126</v>
      </c>
      <c r="D2670" s="76" t="s">
        <v>11127</v>
      </c>
      <c r="E2670" s="76" t="s">
        <v>11128</v>
      </c>
      <c r="F2670" s="76" t="s">
        <v>11124</v>
      </c>
    </row>
    <row r="2671" spans="1:6" ht="63.95" customHeight="1">
      <c r="A2671" s="76" t="s">
        <v>5976</v>
      </c>
      <c r="B2671" s="76" t="s">
        <v>11642</v>
      </c>
      <c r="C2671" s="76" t="s">
        <v>11130</v>
      </c>
      <c r="D2671" s="76" t="s">
        <v>11131</v>
      </c>
      <c r="E2671" s="76" t="s">
        <v>11132</v>
      </c>
      <c r="F2671" s="76" t="s">
        <v>11124</v>
      </c>
    </row>
    <row r="2672" spans="1:6" ht="63.95" customHeight="1">
      <c r="A2672" s="76" t="s">
        <v>5976</v>
      </c>
      <c r="B2672" s="76" t="s">
        <v>11643</v>
      </c>
      <c r="C2672" s="76" t="s">
        <v>11201</v>
      </c>
      <c r="D2672" s="76" t="s">
        <v>11122</v>
      </c>
      <c r="E2672" s="76" t="s">
        <v>11123</v>
      </c>
      <c r="F2672" s="76" t="s">
        <v>11124</v>
      </c>
    </row>
    <row r="2673" spans="1:6" ht="63.95" customHeight="1">
      <c r="A2673" s="76" t="s">
        <v>5976</v>
      </c>
      <c r="B2673" s="76" t="s">
        <v>11644</v>
      </c>
      <c r="C2673" s="76" t="s">
        <v>11126</v>
      </c>
      <c r="D2673" s="76" t="s">
        <v>11127</v>
      </c>
      <c r="E2673" s="76" t="s">
        <v>11128</v>
      </c>
      <c r="F2673" s="76" t="s">
        <v>11124</v>
      </c>
    </row>
    <row r="2674" spans="1:6" ht="63.95" customHeight="1">
      <c r="A2674" s="76" t="s">
        <v>5976</v>
      </c>
      <c r="B2674" s="76" t="s">
        <v>11645</v>
      </c>
      <c r="C2674" s="76" t="s">
        <v>11130</v>
      </c>
      <c r="D2674" s="76" t="s">
        <v>11131</v>
      </c>
      <c r="E2674" s="76" t="s">
        <v>11132</v>
      </c>
      <c r="F2674" s="76" t="s">
        <v>11124</v>
      </c>
    </row>
    <row r="2675" spans="1:6" ht="63.95" customHeight="1">
      <c r="A2675" s="76" t="s">
        <v>5976</v>
      </c>
      <c r="B2675" s="76" t="s">
        <v>11646</v>
      </c>
      <c r="C2675" s="76" t="s">
        <v>11201</v>
      </c>
      <c r="D2675" s="76" t="s">
        <v>11122</v>
      </c>
      <c r="E2675" s="76" t="s">
        <v>11123</v>
      </c>
      <c r="F2675" s="76" t="s">
        <v>11124</v>
      </c>
    </row>
    <row r="2676" spans="1:6" ht="63.95" customHeight="1">
      <c r="A2676" s="76" t="s">
        <v>5976</v>
      </c>
      <c r="B2676" s="76" t="s">
        <v>11647</v>
      </c>
      <c r="C2676" s="76" t="s">
        <v>11126</v>
      </c>
      <c r="D2676" s="76" t="s">
        <v>11127</v>
      </c>
      <c r="E2676" s="76" t="s">
        <v>11128</v>
      </c>
      <c r="F2676" s="76" t="s">
        <v>11124</v>
      </c>
    </row>
    <row r="2677" spans="1:6" ht="63.95" customHeight="1">
      <c r="A2677" s="76" t="s">
        <v>5976</v>
      </c>
      <c r="B2677" s="76" t="s">
        <v>11648</v>
      </c>
      <c r="C2677" s="76" t="s">
        <v>11130</v>
      </c>
      <c r="D2677" s="76" t="s">
        <v>11131</v>
      </c>
      <c r="E2677" s="76" t="s">
        <v>11132</v>
      </c>
      <c r="F2677" s="76" t="s">
        <v>11124</v>
      </c>
    </row>
    <row r="2678" spans="1:6" ht="63.95" customHeight="1">
      <c r="A2678" s="76" t="s">
        <v>5976</v>
      </c>
      <c r="B2678" s="76" t="s">
        <v>11649</v>
      </c>
      <c r="C2678" s="76" t="s">
        <v>11201</v>
      </c>
      <c r="D2678" s="76" t="s">
        <v>11122</v>
      </c>
      <c r="E2678" s="76" t="s">
        <v>11123</v>
      </c>
      <c r="F2678" s="76" t="s">
        <v>11124</v>
      </c>
    </row>
    <row r="2679" spans="1:6" ht="63.95" customHeight="1">
      <c r="A2679" s="76" t="s">
        <v>5976</v>
      </c>
      <c r="B2679" s="76" t="s">
        <v>11650</v>
      </c>
      <c r="C2679" s="76" t="s">
        <v>11126</v>
      </c>
      <c r="D2679" s="76" t="s">
        <v>11127</v>
      </c>
      <c r="E2679" s="76" t="s">
        <v>11128</v>
      </c>
      <c r="F2679" s="76" t="s">
        <v>11124</v>
      </c>
    </row>
    <row r="2680" spans="1:6" ht="63.95" customHeight="1">
      <c r="A2680" s="76" t="s">
        <v>5976</v>
      </c>
      <c r="B2680" s="76" t="s">
        <v>11651</v>
      </c>
      <c r="C2680" s="76" t="s">
        <v>11130</v>
      </c>
      <c r="D2680" s="76" t="s">
        <v>11131</v>
      </c>
      <c r="E2680" s="76" t="s">
        <v>11132</v>
      </c>
      <c r="F2680" s="76" t="s">
        <v>11124</v>
      </c>
    </row>
    <row r="2681" spans="1:6" ht="63.95" customHeight="1">
      <c r="A2681" s="76" t="s">
        <v>5976</v>
      </c>
      <c r="B2681" s="76" t="s">
        <v>11652</v>
      </c>
      <c r="C2681" s="76" t="s">
        <v>11201</v>
      </c>
      <c r="D2681" s="76" t="s">
        <v>11122</v>
      </c>
      <c r="E2681" s="76" t="s">
        <v>11123</v>
      </c>
      <c r="F2681" s="76" t="s">
        <v>11124</v>
      </c>
    </row>
    <row r="2682" spans="1:6" ht="63.95" customHeight="1">
      <c r="A2682" s="76" t="s">
        <v>5976</v>
      </c>
      <c r="B2682" s="76" t="s">
        <v>11653</v>
      </c>
      <c r="C2682" s="76" t="s">
        <v>11126</v>
      </c>
      <c r="D2682" s="76" t="s">
        <v>11127</v>
      </c>
      <c r="E2682" s="76" t="s">
        <v>11128</v>
      </c>
      <c r="F2682" s="76" t="s">
        <v>11124</v>
      </c>
    </row>
    <row r="2683" spans="1:6" ht="63.95" customHeight="1">
      <c r="A2683" s="76" t="s">
        <v>5976</v>
      </c>
      <c r="B2683" s="76" t="s">
        <v>11654</v>
      </c>
      <c r="C2683" s="76" t="s">
        <v>11130</v>
      </c>
      <c r="D2683" s="76" t="s">
        <v>11131</v>
      </c>
      <c r="E2683" s="76" t="s">
        <v>11132</v>
      </c>
      <c r="F2683" s="76" t="s">
        <v>11124</v>
      </c>
    </row>
    <row r="2684" spans="1:6" ht="63.95" customHeight="1">
      <c r="A2684" s="76" t="s">
        <v>5976</v>
      </c>
      <c r="B2684" s="76" t="s">
        <v>11655</v>
      </c>
      <c r="C2684" s="76" t="s">
        <v>11201</v>
      </c>
      <c r="D2684" s="76" t="s">
        <v>11122</v>
      </c>
      <c r="E2684" s="76" t="s">
        <v>11123</v>
      </c>
      <c r="F2684" s="76" t="s">
        <v>11124</v>
      </c>
    </row>
    <row r="2685" spans="1:6" ht="63.95" customHeight="1">
      <c r="A2685" s="76" t="s">
        <v>5976</v>
      </c>
      <c r="B2685" s="76" t="s">
        <v>11656</v>
      </c>
      <c r="C2685" s="76" t="s">
        <v>11203</v>
      </c>
      <c r="D2685" s="76" t="s">
        <v>11131</v>
      </c>
      <c r="E2685" s="76" t="s">
        <v>11128</v>
      </c>
      <c r="F2685" s="76" t="s">
        <v>11124</v>
      </c>
    </row>
    <row r="2686" spans="1:6" ht="63.95" customHeight="1">
      <c r="A2686" s="76" t="s">
        <v>5976</v>
      </c>
      <c r="B2686" s="76" t="s">
        <v>11657</v>
      </c>
      <c r="C2686" s="76" t="s">
        <v>11130</v>
      </c>
      <c r="D2686" s="76" t="s">
        <v>11131</v>
      </c>
      <c r="E2686" s="76" t="s">
        <v>11132</v>
      </c>
      <c r="F2686" s="76" t="s">
        <v>11124</v>
      </c>
    </row>
    <row r="2687" spans="1:6" ht="63.95" customHeight="1">
      <c r="A2687" s="76" t="s">
        <v>5976</v>
      </c>
      <c r="B2687" s="76" t="s">
        <v>11658</v>
      </c>
      <c r="C2687" s="76" t="s">
        <v>11201</v>
      </c>
      <c r="D2687" s="76" t="s">
        <v>11122</v>
      </c>
      <c r="E2687" s="76" t="s">
        <v>11123</v>
      </c>
      <c r="F2687" s="76" t="s">
        <v>11124</v>
      </c>
    </row>
    <row r="2688" spans="1:6" ht="63.95" customHeight="1">
      <c r="A2688" s="76" t="s">
        <v>5976</v>
      </c>
      <c r="B2688" s="76" t="s">
        <v>11659</v>
      </c>
      <c r="C2688" s="76" t="s">
        <v>11247</v>
      </c>
      <c r="D2688" s="76" t="s">
        <v>11248</v>
      </c>
      <c r="E2688" s="76" t="s">
        <v>11128</v>
      </c>
      <c r="F2688" s="76" t="s">
        <v>11124</v>
      </c>
    </row>
    <row r="2689" spans="1:6" ht="63.95" customHeight="1">
      <c r="A2689" s="76" t="s">
        <v>5976</v>
      </c>
      <c r="B2689" s="76" t="s">
        <v>11660</v>
      </c>
      <c r="C2689" s="76" t="s">
        <v>11130</v>
      </c>
      <c r="D2689" s="76" t="s">
        <v>11131</v>
      </c>
      <c r="E2689" s="76" t="s">
        <v>11132</v>
      </c>
      <c r="F2689" s="76" t="s">
        <v>11124</v>
      </c>
    </row>
    <row r="2690" spans="1:6" ht="63.95" customHeight="1">
      <c r="A2690" s="76" t="s">
        <v>5976</v>
      </c>
      <c r="B2690" s="76" t="s">
        <v>11661</v>
      </c>
      <c r="C2690" s="76" t="s">
        <v>11206</v>
      </c>
      <c r="D2690" s="76" t="s">
        <v>11122</v>
      </c>
      <c r="E2690" s="76" t="s">
        <v>11123</v>
      </c>
      <c r="F2690" s="76" t="s">
        <v>11124</v>
      </c>
    </row>
    <row r="2691" spans="1:6" ht="63.95" customHeight="1">
      <c r="A2691" s="76" t="s">
        <v>5976</v>
      </c>
      <c r="B2691" s="76" t="s">
        <v>11662</v>
      </c>
      <c r="C2691" s="76" t="s">
        <v>11208</v>
      </c>
      <c r="D2691" s="76" t="s">
        <v>11209</v>
      </c>
      <c r="E2691" s="76" t="s">
        <v>11128</v>
      </c>
      <c r="F2691" s="76" t="s">
        <v>11124</v>
      </c>
    </row>
    <row r="2692" spans="1:6" ht="63.95" customHeight="1">
      <c r="A2692" s="76" t="s">
        <v>5976</v>
      </c>
      <c r="B2692" s="76" t="s">
        <v>11663</v>
      </c>
      <c r="C2692" s="76" t="s">
        <v>11130</v>
      </c>
      <c r="D2692" s="76" t="s">
        <v>11131</v>
      </c>
      <c r="E2692" s="76" t="s">
        <v>11132</v>
      </c>
      <c r="F2692" s="76" t="s">
        <v>11124</v>
      </c>
    </row>
    <row r="2693" spans="1:6" ht="63.95" customHeight="1">
      <c r="A2693" s="76" t="s">
        <v>5976</v>
      </c>
      <c r="B2693" s="76" t="s">
        <v>11664</v>
      </c>
      <c r="C2693" s="76" t="s">
        <v>11201</v>
      </c>
      <c r="D2693" s="76" t="s">
        <v>11122</v>
      </c>
      <c r="E2693" s="76" t="s">
        <v>11123</v>
      </c>
      <c r="F2693" s="76" t="s">
        <v>11124</v>
      </c>
    </row>
    <row r="2694" spans="1:6" ht="63.95" customHeight="1">
      <c r="A2694" s="76" t="s">
        <v>5976</v>
      </c>
      <c r="B2694" s="76" t="s">
        <v>11665</v>
      </c>
      <c r="C2694" s="76" t="s">
        <v>11203</v>
      </c>
      <c r="D2694" s="76" t="s">
        <v>11131</v>
      </c>
      <c r="E2694" s="76" t="s">
        <v>11128</v>
      </c>
      <c r="F2694" s="76" t="s">
        <v>11124</v>
      </c>
    </row>
    <row r="2695" spans="1:6" ht="63.95" customHeight="1">
      <c r="A2695" s="76" t="s">
        <v>5976</v>
      </c>
      <c r="B2695" s="76" t="s">
        <v>11666</v>
      </c>
      <c r="C2695" s="76" t="s">
        <v>11130</v>
      </c>
      <c r="D2695" s="76" t="s">
        <v>11131</v>
      </c>
      <c r="E2695" s="76" t="s">
        <v>11132</v>
      </c>
      <c r="F2695" s="76" t="s">
        <v>11124</v>
      </c>
    </row>
    <row r="2696" spans="1:6" ht="63.95" customHeight="1">
      <c r="A2696" s="76" t="s">
        <v>5976</v>
      </c>
      <c r="B2696" s="76" t="s">
        <v>11667</v>
      </c>
      <c r="C2696" s="76" t="s">
        <v>11201</v>
      </c>
      <c r="D2696" s="76" t="s">
        <v>11122</v>
      </c>
      <c r="E2696" s="76" t="s">
        <v>11123</v>
      </c>
      <c r="F2696" s="76" t="s">
        <v>11124</v>
      </c>
    </row>
    <row r="2697" spans="1:6" ht="63.95" customHeight="1">
      <c r="A2697" s="76" t="s">
        <v>5976</v>
      </c>
      <c r="B2697" s="76" t="s">
        <v>11668</v>
      </c>
      <c r="C2697" s="76" t="s">
        <v>11201</v>
      </c>
      <c r="D2697" s="76" t="s">
        <v>11131</v>
      </c>
      <c r="E2697" s="76" t="s">
        <v>11128</v>
      </c>
      <c r="F2697" s="76" t="s">
        <v>11124</v>
      </c>
    </row>
    <row r="2698" spans="1:6" ht="63.95" customHeight="1">
      <c r="A2698" s="76" t="s">
        <v>5976</v>
      </c>
      <c r="B2698" s="76" t="s">
        <v>11669</v>
      </c>
      <c r="C2698" s="76" t="s">
        <v>11201</v>
      </c>
      <c r="D2698" s="76" t="s">
        <v>11131</v>
      </c>
      <c r="E2698" s="76" t="s">
        <v>11132</v>
      </c>
      <c r="F2698" s="76" t="s">
        <v>11124</v>
      </c>
    </row>
    <row r="2699" spans="1:6" ht="63.95" customHeight="1">
      <c r="A2699" s="76" t="s">
        <v>5976</v>
      </c>
      <c r="B2699" s="76" t="s">
        <v>11670</v>
      </c>
      <c r="C2699" s="76" t="s">
        <v>11201</v>
      </c>
      <c r="D2699" s="76" t="s">
        <v>11122</v>
      </c>
      <c r="E2699" s="76" t="s">
        <v>11123</v>
      </c>
      <c r="F2699" s="76" t="s">
        <v>11124</v>
      </c>
    </row>
    <row r="2700" spans="1:6" ht="63.95" customHeight="1">
      <c r="A2700" s="76" t="s">
        <v>5976</v>
      </c>
      <c r="B2700" s="76" t="s">
        <v>11671</v>
      </c>
      <c r="C2700" s="76" t="s">
        <v>11201</v>
      </c>
      <c r="D2700" s="76" t="s">
        <v>11131</v>
      </c>
      <c r="E2700" s="76" t="s">
        <v>11128</v>
      </c>
      <c r="F2700" s="76" t="s">
        <v>11124</v>
      </c>
    </row>
    <row r="2701" spans="1:6" ht="63.95" customHeight="1">
      <c r="A2701" s="76" t="s">
        <v>5976</v>
      </c>
      <c r="B2701" s="76" t="s">
        <v>11672</v>
      </c>
      <c r="C2701" s="76" t="s">
        <v>11201</v>
      </c>
      <c r="D2701" s="76" t="s">
        <v>11131</v>
      </c>
      <c r="E2701" s="76" t="s">
        <v>11132</v>
      </c>
      <c r="F2701" s="76" t="s">
        <v>11124</v>
      </c>
    </row>
    <row r="2702" spans="1:6" ht="63.95" customHeight="1">
      <c r="A2702" s="76" t="s">
        <v>5976</v>
      </c>
      <c r="B2702" s="76" t="s">
        <v>11673</v>
      </c>
      <c r="C2702" s="76" t="s">
        <v>11201</v>
      </c>
      <c r="D2702" s="76" t="s">
        <v>11122</v>
      </c>
      <c r="E2702" s="76" t="s">
        <v>11123</v>
      </c>
      <c r="F2702" s="76" t="s">
        <v>11124</v>
      </c>
    </row>
    <row r="2703" spans="1:6" ht="63.95" customHeight="1">
      <c r="A2703" s="76" t="s">
        <v>5976</v>
      </c>
      <c r="B2703" s="76" t="s">
        <v>11674</v>
      </c>
      <c r="C2703" s="76" t="s">
        <v>11201</v>
      </c>
      <c r="D2703" s="76" t="s">
        <v>11131</v>
      </c>
      <c r="E2703" s="76" t="s">
        <v>11128</v>
      </c>
      <c r="F2703" s="76" t="s">
        <v>11124</v>
      </c>
    </row>
    <row r="2704" spans="1:6" ht="63.95" customHeight="1">
      <c r="A2704" s="76" t="s">
        <v>5976</v>
      </c>
      <c r="B2704" s="76" t="s">
        <v>11675</v>
      </c>
      <c r="C2704" s="76" t="s">
        <v>11201</v>
      </c>
      <c r="D2704" s="76" t="s">
        <v>11131</v>
      </c>
      <c r="E2704" s="76" t="s">
        <v>11132</v>
      </c>
      <c r="F2704" s="76" t="s">
        <v>11124</v>
      </c>
    </row>
    <row r="2705" spans="1:6" ht="63.95" customHeight="1">
      <c r="A2705" s="76" t="s">
        <v>5976</v>
      </c>
      <c r="B2705" s="76" t="s">
        <v>11676</v>
      </c>
      <c r="C2705" s="76" t="s">
        <v>11677</v>
      </c>
      <c r="D2705" s="76" t="s">
        <v>11678</v>
      </c>
      <c r="E2705" s="76" t="s">
        <v>11679</v>
      </c>
      <c r="F2705" s="76" t="s">
        <v>11680</v>
      </c>
    </row>
    <row r="2706" spans="1:6" ht="63.95" customHeight="1">
      <c r="A2706" s="76" t="s">
        <v>5976</v>
      </c>
      <c r="B2706" s="76" t="s">
        <v>11681</v>
      </c>
      <c r="C2706" s="76" t="s">
        <v>11682</v>
      </c>
      <c r="D2706" s="76" t="s">
        <v>11683</v>
      </c>
      <c r="E2706" s="76" t="s">
        <v>11684</v>
      </c>
      <c r="F2706" s="76" t="s">
        <v>11680</v>
      </c>
    </row>
    <row r="2707" spans="1:6" ht="120" customHeight="1">
      <c r="A2707" s="24" t="s">
        <v>5976</v>
      </c>
      <c r="B2707" s="24" t="s">
        <v>11685</v>
      </c>
      <c r="C2707" s="24" t="s">
        <v>11686</v>
      </c>
      <c r="D2707" s="24" t="s">
        <v>11687</v>
      </c>
      <c r="E2707" s="24" t="s">
        <v>11688</v>
      </c>
      <c r="F2707" s="24" t="s">
        <v>11689</v>
      </c>
    </row>
    <row r="2708" spans="1:6" ht="120" customHeight="1">
      <c r="A2708" s="24" t="s">
        <v>5976</v>
      </c>
      <c r="B2708" s="24" t="s">
        <v>8638</v>
      </c>
      <c r="C2708" s="24" t="s">
        <v>2946</v>
      </c>
      <c r="D2708" s="24" t="s">
        <v>1596</v>
      </c>
      <c r="E2708" s="24" t="s">
        <v>11690</v>
      </c>
      <c r="F2708" s="24" t="s">
        <v>11691</v>
      </c>
    </row>
    <row r="2709" spans="1:6" ht="120" customHeight="1">
      <c r="A2709" s="24" t="s">
        <v>11692</v>
      </c>
      <c r="B2709" s="24" t="s">
        <v>11693</v>
      </c>
      <c r="C2709" s="24" t="s">
        <v>11694</v>
      </c>
      <c r="D2709" s="24" t="s">
        <v>11695</v>
      </c>
      <c r="E2709" s="24" t="s">
        <v>11696</v>
      </c>
      <c r="F2709" s="24" t="s">
        <v>11697</v>
      </c>
    </row>
    <row r="2710" spans="1:6" ht="120" customHeight="1">
      <c r="A2710" s="24" t="s">
        <v>11698</v>
      </c>
      <c r="B2710" s="24" t="s">
        <v>11699</v>
      </c>
      <c r="C2710" s="24" t="s">
        <v>11700</v>
      </c>
      <c r="D2710" s="24" t="s">
        <v>11701</v>
      </c>
      <c r="E2710" s="24" t="s">
        <v>11702</v>
      </c>
      <c r="F2710" s="24" t="s">
        <v>11703</v>
      </c>
    </row>
    <row r="2711" spans="1:6" ht="120" customHeight="1">
      <c r="A2711" s="24" t="s">
        <v>5994</v>
      </c>
      <c r="B2711" s="24" t="s">
        <v>11704</v>
      </c>
      <c r="C2711" s="24" t="s">
        <v>11705</v>
      </c>
      <c r="D2711" s="24" t="s">
        <v>11706</v>
      </c>
      <c r="E2711" s="24" t="s">
        <v>11707</v>
      </c>
      <c r="F2711" s="24" t="s">
        <v>11708</v>
      </c>
    </row>
    <row r="2712" spans="1:6" ht="120" customHeight="1">
      <c r="A2712" s="24" t="s">
        <v>3059</v>
      </c>
      <c r="B2712" s="24" t="s">
        <v>11709</v>
      </c>
      <c r="C2712" s="24" t="s">
        <v>11710</v>
      </c>
      <c r="D2712" s="24" t="s">
        <v>11711</v>
      </c>
      <c r="E2712" s="24" t="s">
        <v>11712</v>
      </c>
      <c r="F2712" s="24" t="s">
        <v>11713</v>
      </c>
    </row>
    <row r="2713" spans="1:6" ht="120" customHeight="1">
      <c r="A2713" s="24" t="s">
        <v>5976</v>
      </c>
      <c r="B2713" s="24" t="s">
        <v>11714</v>
      </c>
      <c r="C2713" s="24" t="s">
        <v>11715</v>
      </c>
      <c r="D2713" s="24" t="s">
        <v>11716</v>
      </c>
      <c r="E2713" s="24" t="s">
        <v>11717</v>
      </c>
      <c r="F2713" s="24" t="s">
        <v>11718</v>
      </c>
    </row>
    <row r="2714" spans="1:6" ht="120" customHeight="1">
      <c r="A2714" s="24" t="s">
        <v>11719</v>
      </c>
      <c r="B2714" s="24" t="s">
        <v>11720</v>
      </c>
      <c r="C2714" s="24" t="s">
        <v>11721</v>
      </c>
      <c r="D2714" s="24" t="s">
        <v>11722</v>
      </c>
      <c r="E2714" s="24" t="s">
        <v>11723</v>
      </c>
      <c r="F2714" s="24" t="s">
        <v>11724</v>
      </c>
    </row>
    <row r="2715" spans="1:6">
      <c r="A2715" t="s">
        <v>5976</v>
      </c>
      <c r="B2715" t="s">
        <v>9562</v>
      </c>
      <c r="C2715" t="s">
        <v>11725</v>
      </c>
      <c r="D2715" t="s">
        <v>653</v>
      </c>
      <c r="E2715" t="s">
        <v>11726</v>
      </c>
      <c r="F2715" t="s">
        <v>11727</v>
      </c>
    </row>
    <row r="2716" spans="1:6">
      <c r="A2716" t="s">
        <v>5976</v>
      </c>
      <c r="B2716" t="s">
        <v>11728</v>
      </c>
      <c r="C2716" t="s">
        <v>11729</v>
      </c>
      <c r="D2716" t="s">
        <v>31</v>
      </c>
      <c r="E2716" t="s">
        <v>11726</v>
      </c>
      <c r="F2716" t="s">
        <v>11727</v>
      </c>
    </row>
    <row r="2717" spans="1:6">
      <c r="A2717" t="s">
        <v>5976</v>
      </c>
      <c r="B2717" t="s">
        <v>11730</v>
      </c>
      <c r="C2717" t="s">
        <v>11731</v>
      </c>
      <c r="D2717" t="s">
        <v>485</v>
      </c>
      <c r="E2717" t="s">
        <v>11726</v>
      </c>
      <c r="F2717" t="s">
        <v>11727</v>
      </c>
    </row>
    <row r="2718" spans="1:6">
      <c r="A2718" t="s">
        <v>5976</v>
      </c>
      <c r="B2718" t="s">
        <v>6427</v>
      </c>
      <c r="C2718" t="s">
        <v>11732</v>
      </c>
      <c r="D2718" t="s">
        <v>481</v>
      </c>
      <c r="E2718" t="s">
        <v>11726</v>
      </c>
      <c r="F2718" t="s">
        <v>11727</v>
      </c>
    </row>
    <row r="2719" spans="1:6">
      <c r="A2719" t="s">
        <v>5976</v>
      </c>
      <c r="B2719" t="s">
        <v>11733</v>
      </c>
      <c r="C2719" t="s">
        <v>11734</v>
      </c>
      <c r="D2719" t="s">
        <v>482</v>
      </c>
      <c r="E2719" t="s">
        <v>11726</v>
      </c>
      <c r="F2719" t="s">
        <v>11727</v>
      </c>
    </row>
    <row r="2720" spans="1:6">
      <c r="A2720" t="s">
        <v>5976</v>
      </c>
      <c r="B2720" t="s">
        <v>11735</v>
      </c>
      <c r="C2720" t="s">
        <v>11736</v>
      </c>
      <c r="D2720" t="s">
        <v>483</v>
      </c>
      <c r="E2720" t="s">
        <v>11726</v>
      </c>
      <c r="F2720" t="s">
        <v>11727</v>
      </c>
    </row>
    <row r="2721" spans="1:6">
      <c r="A2721" t="s">
        <v>5976</v>
      </c>
      <c r="B2721" t="s">
        <v>11737</v>
      </c>
      <c r="C2721" t="s">
        <v>11738</v>
      </c>
      <c r="D2721" t="s">
        <v>479</v>
      </c>
      <c r="E2721" t="s">
        <v>11726</v>
      </c>
      <c r="F2721" t="s">
        <v>11727</v>
      </c>
    </row>
    <row r="2722" spans="1:6">
      <c r="A2722" t="s">
        <v>5976</v>
      </c>
      <c r="B2722" t="s">
        <v>11739</v>
      </c>
      <c r="C2722" t="s">
        <v>11740</v>
      </c>
      <c r="D2722" t="s">
        <v>486</v>
      </c>
      <c r="E2722" t="s">
        <v>11726</v>
      </c>
      <c r="F2722" t="s">
        <v>11727</v>
      </c>
    </row>
    <row r="2723" spans="1:6">
      <c r="A2723" t="s">
        <v>5976</v>
      </c>
      <c r="B2723" t="s">
        <v>11741</v>
      </c>
      <c r="C2723" t="s">
        <v>11742</v>
      </c>
      <c r="D2723" t="s">
        <v>484</v>
      </c>
      <c r="E2723" t="s">
        <v>11726</v>
      </c>
      <c r="F2723" t="s">
        <v>11727</v>
      </c>
    </row>
    <row r="2724" spans="1:6">
      <c r="A2724" t="s">
        <v>5976</v>
      </c>
      <c r="B2724" t="s">
        <v>11743</v>
      </c>
      <c r="C2724" t="s">
        <v>11744</v>
      </c>
      <c r="D2724" t="s">
        <v>487</v>
      </c>
      <c r="E2724" t="s">
        <v>11726</v>
      </c>
      <c r="F2724" t="s">
        <v>11727</v>
      </c>
    </row>
    <row r="2725" spans="1:6">
      <c r="A2725" t="s">
        <v>5976</v>
      </c>
      <c r="B2725" t="s">
        <v>11745</v>
      </c>
      <c r="C2725" t="s">
        <v>11746</v>
      </c>
      <c r="D2725" t="s">
        <v>488</v>
      </c>
      <c r="E2725" t="s">
        <v>11726</v>
      </c>
      <c r="F2725" t="s">
        <v>11727</v>
      </c>
    </row>
    <row r="2726" spans="1:6">
      <c r="A2726" t="s">
        <v>5976</v>
      </c>
      <c r="B2726" t="s">
        <v>11747</v>
      </c>
      <c r="C2726" t="s">
        <v>11748</v>
      </c>
      <c r="D2726" t="s">
        <v>778</v>
      </c>
      <c r="E2726" t="s">
        <v>11749</v>
      </c>
      <c r="F2726" t="s">
        <v>11727</v>
      </c>
    </row>
    <row r="2727" spans="1:6">
      <c r="A2727" t="s">
        <v>5976</v>
      </c>
      <c r="B2727" t="s">
        <v>11750</v>
      </c>
      <c r="C2727" t="s">
        <v>11751</v>
      </c>
      <c r="D2727" t="s">
        <v>480</v>
      </c>
      <c r="E2727" t="s">
        <v>11752</v>
      </c>
      <c r="F2727" t="s">
        <v>11727</v>
      </c>
    </row>
    <row r="2728" spans="1:6">
      <c r="A2728" t="s">
        <v>5976</v>
      </c>
      <c r="B2728" t="s">
        <v>11753</v>
      </c>
      <c r="C2728" t="s">
        <v>11754</v>
      </c>
      <c r="D2728" t="s">
        <v>781</v>
      </c>
      <c r="E2728" t="s">
        <v>11726</v>
      </c>
      <c r="F2728" t="s">
        <v>11727</v>
      </c>
    </row>
    <row r="2729" spans="1:6">
      <c r="A2729" t="s">
        <v>5976</v>
      </c>
      <c r="B2729" t="s">
        <v>11755</v>
      </c>
      <c r="C2729" t="s">
        <v>11756</v>
      </c>
      <c r="D2729" t="s">
        <v>785</v>
      </c>
      <c r="E2729" t="s">
        <v>11726</v>
      </c>
      <c r="F2729" t="s">
        <v>11727</v>
      </c>
    </row>
    <row r="2730" spans="1:6">
      <c r="A2730" t="s">
        <v>5976</v>
      </c>
      <c r="B2730" t="s">
        <v>11757</v>
      </c>
      <c r="C2730" t="s">
        <v>11731</v>
      </c>
      <c r="D2730" t="s">
        <v>786</v>
      </c>
      <c r="E2730" t="s">
        <v>11726</v>
      </c>
      <c r="F2730" t="s">
        <v>11727</v>
      </c>
    </row>
    <row r="2731" spans="1:6">
      <c r="A2731" t="s">
        <v>5976</v>
      </c>
      <c r="B2731" t="s">
        <v>11758</v>
      </c>
      <c r="C2731" t="s">
        <v>11759</v>
      </c>
      <c r="D2731" t="s">
        <v>782</v>
      </c>
      <c r="E2731" t="s">
        <v>11726</v>
      </c>
      <c r="F2731" t="s">
        <v>11727</v>
      </c>
    </row>
    <row r="2732" spans="1:6">
      <c r="A2732" t="s">
        <v>5976</v>
      </c>
      <c r="B2732" t="s">
        <v>11760</v>
      </c>
      <c r="C2732" t="s">
        <v>11761</v>
      </c>
      <c r="D2732" t="s">
        <v>783</v>
      </c>
      <c r="E2732" t="s">
        <v>11726</v>
      </c>
      <c r="F2732" t="s">
        <v>11727</v>
      </c>
    </row>
    <row r="2733" spans="1:6">
      <c r="A2733" t="s">
        <v>5976</v>
      </c>
      <c r="B2733" t="s">
        <v>11762</v>
      </c>
      <c r="C2733" t="s">
        <v>11763</v>
      </c>
      <c r="D2733" t="s">
        <v>729</v>
      </c>
      <c r="E2733" t="s">
        <v>11726</v>
      </c>
      <c r="F2733" t="s">
        <v>11727</v>
      </c>
    </row>
    <row r="2734" spans="1:6">
      <c r="A2734" t="s">
        <v>5976</v>
      </c>
      <c r="B2734" t="s">
        <v>6645</v>
      </c>
      <c r="C2734" t="s">
        <v>11764</v>
      </c>
      <c r="D2734" t="s">
        <v>736</v>
      </c>
      <c r="E2734" t="s">
        <v>11726</v>
      </c>
      <c r="F2734" t="s">
        <v>11727</v>
      </c>
    </row>
    <row r="2735" spans="1:6">
      <c r="A2735" t="s">
        <v>11724</v>
      </c>
      <c r="B2735" t="s">
        <v>11765</v>
      </c>
      <c r="C2735" t="s">
        <v>11766</v>
      </c>
      <c r="D2735" t="s">
        <v>31</v>
      </c>
      <c r="E2735" t="s">
        <v>11726</v>
      </c>
      <c r="F2735" t="s">
        <v>11727</v>
      </c>
    </row>
    <row r="2736" spans="1:6">
      <c r="A2736" t="s">
        <v>11724</v>
      </c>
      <c r="B2736" t="s">
        <v>10159</v>
      </c>
      <c r="C2736" t="s">
        <v>11767</v>
      </c>
      <c r="D2736" t="s">
        <v>5591</v>
      </c>
      <c r="E2736" t="s">
        <v>11726</v>
      </c>
      <c r="F2736" t="s">
        <v>11727</v>
      </c>
    </row>
    <row r="2737" spans="1:6">
      <c r="A2737" t="s">
        <v>11724</v>
      </c>
      <c r="B2737" t="s">
        <v>3624</v>
      </c>
      <c r="C2737" t="s">
        <v>11768</v>
      </c>
      <c r="D2737" t="s">
        <v>3229</v>
      </c>
      <c r="E2737" t="s">
        <v>11726</v>
      </c>
      <c r="F2737" t="s">
        <v>11727</v>
      </c>
    </row>
    <row r="2738" spans="1:6">
      <c r="A2738" t="s">
        <v>11724</v>
      </c>
      <c r="B2738" t="s">
        <v>9981</v>
      </c>
      <c r="C2738" t="s">
        <v>11769</v>
      </c>
      <c r="D2738" t="s">
        <v>11770</v>
      </c>
      <c r="E2738" t="s">
        <v>11771</v>
      </c>
      <c r="F2738" t="s">
        <v>11727</v>
      </c>
    </row>
    <row r="2739" spans="1:6">
      <c r="A2739" t="s">
        <v>11724</v>
      </c>
      <c r="B2739" t="s">
        <v>3718</v>
      </c>
      <c r="C2739" t="s">
        <v>11772</v>
      </c>
      <c r="D2739" t="s">
        <v>5871</v>
      </c>
      <c r="E2739" t="s">
        <v>11726</v>
      </c>
      <c r="F2739" t="s">
        <v>11727</v>
      </c>
    </row>
    <row r="2740" spans="1:6">
      <c r="A2740" t="s">
        <v>11724</v>
      </c>
      <c r="B2740" t="s">
        <v>7759</v>
      </c>
      <c r="C2740" t="s">
        <v>11773</v>
      </c>
      <c r="D2740" t="s">
        <v>5871</v>
      </c>
      <c r="E2740" t="s">
        <v>11726</v>
      </c>
      <c r="F2740" t="s">
        <v>11727</v>
      </c>
    </row>
    <row r="2741" spans="1:6">
      <c r="A2741" t="s">
        <v>11724</v>
      </c>
      <c r="B2741" t="s">
        <v>7762</v>
      </c>
      <c r="C2741" t="s">
        <v>11774</v>
      </c>
      <c r="D2741" t="s">
        <v>5871</v>
      </c>
      <c r="E2741" t="s">
        <v>11726</v>
      </c>
      <c r="F2741" t="s">
        <v>11727</v>
      </c>
    </row>
    <row r="2742" spans="1:6">
      <c r="A2742" t="s">
        <v>11724</v>
      </c>
      <c r="B2742" t="s">
        <v>7694</v>
      </c>
      <c r="C2742" t="s">
        <v>11775</v>
      </c>
      <c r="D2742" t="s">
        <v>484</v>
      </c>
      <c r="E2742" t="s">
        <v>11726</v>
      </c>
      <c r="F2742" t="s">
        <v>11727</v>
      </c>
    </row>
    <row r="2743" spans="1:6">
      <c r="A2743" t="s">
        <v>11724</v>
      </c>
      <c r="B2743" t="s">
        <v>7697</v>
      </c>
      <c r="C2743" t="s">
        <v>11776</v>
      </c>
      <c r="D2743" t="s">
        <v>11777</v>
      </c>
      <c r="E2743" t="s">
        <v>11726</v>
      </c>
      <c r="F2743" t="s">
        <v>11727</v>
      </c>
    </row>
    <row r="2744" spans="1:6">
      <c r="A2744" t="s">
        <v>11724</v>
      </c>
      <c r="B2744" t="s">
        <v>9406</v>
      </c>
      <c r="C2744" t="s">
        <v>11776</v>
      </c>
      <c r="D2744" t="s">
        <v>11778</v>
      </c>
      <c r="E2744" t="s">
        <v>11726</v>
      </c>
      <c r="F2744" t="s">
        <v>11727</v>
      </c>
    </row>
    <row r="2745" spans="1:6">
      <c r="A2745" t="s">
        <v>11724</v>
      </c>
      <c r="B2745" t="s">
        <v>2861</v>
      </c>
      <c r="C2745" t="s">
        <v>11779</v>
      </c>
      <c r="D2745" t="s">
        <v>11780</v>
      </c>
      <c r="E2745" t="s">
        <v>11726</v>
      </c>
      <c r="F2745" t="s">
        <v>11727</v>
      </c>
    </row>
    <row r="2746" spans="1:6">
      <c r="A2746" t="s">
        <v>11724</v>
      </c>
      <c r="B2746" t="s">
        <v>11781</v>
      </c>
      <c r="C2746" t="s">
        <v>11782</v>
      </c>
      <c r="D2746" t="s">
        <v>11783</v>
      </c>
      <c r="E2746" t="s">
        <v>11771</v>
      </c>
      <c r="F2746" t="s">
        <v>11727</v>
      </c>
    </row>
    <row r="2747" spans="1:6">
      <c r="A2747" t="s">
        <v>11724</v>
      </c>
      <c r="B2747" t="s">
        <v>10273</v>
      </c>
      <c r="C2747" t="s">
        <v>11784</v>
      </c>
      <c r="D2747" t="s">
        <v>11785</v>
      </c>
      <c r="E2747" t="s">
        <v>11771</v>
      </c>
      <c r="F2747" t="s">
        <v>11727</v>
      </c>
    </row>
    <row r="2748" spans="1:6">
      <c r="A2748" t="s">
        <v>11724</v>
      </c>
      <c r="B2748" t="s">
        <v>9565</v>
      </c>
      <c r="C2748" t="s">
        <v>11786</v>
      </c>
      <c r="D2748" t="s">
        <v>781</v>
      </c>
      <c r="E2748" t="s">
        <v>11726</v>
      </c>
      <c r="F2748" t="s">
        <v>11727</v>
      </c>
    </row>
    <row r="2749" spans="1:6">
      <c r="A2749" t="s">
        <v>11724</v>
      </c>
      <c r="B2749" t="s">
        <v>11787</v>
      </c>
      <c r="C2749" t="s">
        <v>11776</v>
      </c>
      <c r="D2749" t="s">
        <v>11788</v>
      </c>
      <c r="E2749" t="s">
        <v>11771</v>
      </c>
      <c r="F2749" t="s">
        <v>11727</v>
      </c>
    </row>
    <row r="2750" spans="1:6">
      <c r="A2750" t="s">
        <v>11692</v>
      </c>
      <c r="B2750" t="s">
        <v>10159</v>
      </c>
      <c r="C2750" t="s">
        <v>11725</v>
      </c>
      <c r="D2750" t="s">
        <v>653</v>
      </c>
      <c r="E2750" t="s">
        <v>11726</v>
      </c>
      <c r="F2750" t="s">
        <v>11727</v>
      </c>
    </row>
    <row r="2751" spans="1:6">
      <c r="A2751" t="s">
        <v>11692</v>
      </c>
      <c r="B2751" t="s">
        <v>3624</v>
      </c>
      <c r="C2751" t="s">
        <v>11767</v>
      </c>
      <c r="D2751" t="s">
        <v>5591</v>
      </c>
      <c r="E2751" t="s">
        <v>11726</v>
      </c>
      <c r="F2751" t="s">
        <v>11727</v>
      </c>
    </row>
    <row r="2752" spans="1:6">
      <c r="A2752" t="s">
        <v>11692</v>
      </c>
      <c r="B2752" t="s">
        <v>9981</v>
      </c>
      <c r="C2752" t="s">
        <v>11768</v>
      </c>
      <c r="D2752" t="s">
        <v>3229</v>
      </c>
      <c r="E2752" t="s">
        <v>11726</v>
      </c>
      <c r="F2752" t="s">
        <v>11727</v>
      </c>
    </row>
    <row r="2753" spans="1:6">
      <c r="A2753" t="s">
        <v>11692</v>
      </c>
      <c r="B2753" t="s">
        <v>7697</v>
      </c>
      <c r="C2753" t="s">
        <v>11789</v>
      </c>
      <c r="D2753" t="s">
        <v>5857</v>
      </c>
      <c r="E2753" t="s">
        <v>11726</v>
      </c>
      <c r="F2753" t="s">
        <v>11727</v>
      </c>
    </row>
    <row r="2754" spans="1:6">
      <c r="A2754" t="s">
        <v>11692</v>
      </c>
      <c r="B2754" t="s">
        <v>9406</v>
      </c>
      <c r="C2754" t="s">
        <v>11731</v>
      </c>
      <c r="D2754" t="s">
        <v>5858</v>
      </c>
      <c r="E2754" t="s">
        <v>11726</v>
      </c>
      <c r="F2754" t="s">
        <v>11727</v>
      </c>
    </row>
    <row r="2755" spans="1:6">
      <c r="A2755" t="s">
        <v>11692</v>
      </c>
      <c r="B2755" t="s">
        <v>2861</v>
      </c>
      <c r="C2755" t="s">
        <v>11769</v>
      </c>
      <c r="D2755" t="s">
        <v>5859</v>
      </c>
      <c r="E2755" t="s">
        <v>11726</v>
      </c>
      <c r="F2755" t="s">
        <v>11727</v>
      </c>
    </row>
    <row r="2756" spans="1:6">
      <c r="A2756" t="s">
        <v>11692</v>
      </c>
      <c r="B2756" t="s">
        <v>9411</v>
      </c>
      <c r="C2756" t="s">
        <v>11779</v>
      </c>
      <c r="D2756" t="s">
        <v>5860</v>
      </c>
      <c r="E2756" t="s">
        <v>11726</v>
      </c>
      <c r="F2756" t="s">
        <v>11727</v>
      </c>
    </row>
    <row r="2757" spans="1:6">
      <c r="A2757" t="s">
        <v>11692</v>
      </c>
      <c r="B2757" t="s">
        <v>11790</v>
      </c>
      <c r="C2757" t="s">
        <v>11791</v>
      </c>
      <c r="D2757" t="s">
        <v>5861</v>
      </c>
      <c r="E2757" t="s">
        <v>11726</v>
      </c>
      <c r="F2757" t="s">
        <v>11727</v>
      </c>
    </row>
    <row r="2758" spans="1:6">
      <c r="A2758" t="s">
        <v>11692</v>
      </c>
      <c r="B2758" t="s">
        <v>11792</v>
      </c>
      <c r="C2758" t="s">
        <v>11786</v>
      </c>
      <c r="D2758" t="s">
        <v>781</v>
      </c>
      <c r="E2758" t="s">
        <v>11726</v>
      </c>
      <c r="F2758" t="s">
        <v>11727</v>
      </c>
    </row>
    <row r="2759" spans="1:6">
      <c r="A2759" t="s">
        <v>11692</v>
      </c>
      <c r="B2759" t="s">
        <v>11793</v>
      </c>
      <c r="C2759" t="s">
        <v>11794</v>
      </c>
      <c r="D2759" t="s">
        <v>5903</v>
      </c>
      <c r="E2759" t="s">
        <v>11726</v>
      </c>
      <c r="F2759" t="s">
        <v>11727</v>
      </c>
    </row>
    <row r="2760" spans="1:6">
      <c r="A2760" t="s">
        <v>11698</v>
      </c>
      <c r="B2760" t="s">
        <v>10276</v>
      </c>
      <c r="C2760" t="s">
        <v>11766</v>
      </c>
      <c r="D2760" t="s">
        <v>31</v>
      </c>
      <c r="E2760" t="s">
        <v>11726</v>
      </c>
      <c r="F2760" t="s">
        <v>11727</v>
      </c>
    </row>
    <row r="2761" spans="1:6">
      <c r="A2761" t="s">
        <v>11698</v>
      </c>
      <c r="B2761" t="s">
        <v>11795</v>
      </c>
      <c r="C2761" t="s">
        <v>11796</v>
      </c>
      <c r="D2761" t="s">
        <v>5591</v>
      </c>
      <c r="E2761" t="s">
        <v>11726</v>
      </c>
      <c r="F2761" t="s">
        <v>11727</v>
      </c>
    </row>
    <row r="2762" spans="1:6">
      <c r="A2762" t="s">
        <v>11698</v>
      </c>
      <c r="B2762" t="s">
        <v>8895</v>
      </c>
      <c r="C2762" t="s">
        <v>11797</v>
      </c>
      <c r="D2762" t="s">
        <v>3229</v>
      </c>
      <c r="E2762" t="s">
        <v>11726</v>
      </c>
      <c r="F2762" t="s">
        <v>11727</v>
      </c>
    </row>
    <row r="2763" spans="1:6">
      <c r="A2763" t="s">
        <v>11698</v>
      </c>
      <c r="B2763" t="s">
        <v>7918</v>
      </c>
      <c r="C2763" t="s">
        <v>11798</v>
      </c>
      <c r="D2763" t="s">
        <v>5592</v>
      </c>
      <c r="E2763" t="s">
        <v>11726</v>
      </c>
      <c r="F2763" t="s">
        <v>11727</v>
      </c>
    </row>
    <row r="2764" spans="1:6">
      <c r="A2764" t="s">
        <v>11698</v>
      </c>
      <c r="B2764" t="s">
        <v>11787</v>
      </c>
      <c r="C2764" t="s">
        <v>11769</v>
      </c>
      <c r="D2764" t="s">
        <v>3230</v>
      </c>
      <c r="E2764" t="s">
        <v>11726</v>
      </c>
      <c r="F2764" t="s">
        <v>11727</v>
      </c>
    </row>
    <row r="2765" spans="1:6">
      <c r="A2765" t="s">
        <v>11698</v>
      </c>
      <c r="B2765" t="s">
        <v>9562</v>
      </c>
      <c r="C2765" t="s">
        <v>11799</v>
      </c>
      <c r="D2765" t="s">
        <v>5593</v>
      </c>
      <c r="E2765" t="s">
        <v>11726</v>
      </c>
      <c r="F2765" t="s">
        <v>11727</v>
      </c>
    </row>
    <row r="2766" spans="1:6">
      <c r="A2766" t="s">
        <v>11698</v>
      </c>
      <c r="B2766" t="s">
        <v>9565</v>
      </c>
      <c r="C2766" t="s">
        <v>11800</v>
      </c>
      <c r="D2766" t="s">
        <v>3229</v>
      </c>
      <c r="E2766" t="s">
        <v>11726</v>
      </c>
      <c r="F2766" t="s">
        <v>11727</v>
      </c>
    </row>
    <row r="2767" spans="1:6">
      <c r="A2767" t="s">
        <v>11698</v>
      </c>
      <c r="B2767" t="s">
        <v>10436</v>
      </c>
      <c r="C2767" t="s">
        <v>11782</v>
      </c>
      <c r="D2767" t="s">
        <v>5666</v>
      </c>
      <c r="E2767" t="s">
        <v>11726</v>
      </c>
      <c r="F2767" t="s">
        <v>11727</v>
      </c>
    </row>
    <row r="2768" spans="1:6">
      <c r="A2768" t="s">
        <v>11698</v>
      </c>
      <c r="B2768" t="s">
        <v>8973</v>
      </c>
      <c r="C2768" t="s">
        <v>11801</v>
      </c>
      <c r="D2768" t="s">
        <v>5667</v>
      </c>
      <c r="E2768" t="s">
        <v>11771</v>
      </c>
      <c r="F2768" t="s">
        <v>11727</v>
      </c>
    </row>
    <row r="2769" spans="1:6">
      <c r="A2769" t="s">
        <v>11698</v>
      </c>
      <c r="B2769" t="s">
        <v>9720</v>
      </c>
      <c r="C2769" t="s">
        <v>11802</v>
      </c>
      <c r="D2769" t="s">
        <v>5669</v>
      </c>
      <c r="E2769" t="s">
        <v>11771</v>
      </c>
      <c r="F2769" t="s">
        <v>11727</v>
      </c>
    </row>
    <row r="2770" spans="1:6">
      <c r="A2770" t="s">
        <v>11698</v>
      </c>
      <c r="B2770" t="s">
        <v>11803</v>
      </c>
      <c r="C2770" t="s">
        <v>11804</v>
      </c>
      <c r="D2770" t="s">
        <v>787</v>
      </c>
      <c r="E2770" t="s">
        <v>11805</v>
      </c>
      <c r="F2770" t="s">
        <v>11727</v>
      </c>
    </row>
    <row r="2771" spans="1:6">
      <c r="A2771" t="s">
        <v>5994</v>
      </c>
      <c r="B2771" t="s">
        <v>11806</v>
      </c>
      <c r="C2771" t="s">
        <v>11766</v>
      </c>
      <c r="D2771" t="s">
        <v>31</v>
      </c>
      <c r="E2771" t="s">
        <v>11726</v>
      </c>
      <c r="F2771" t="s">
        <v>11727</v>
      </c>
    </row>
    <row r="2772" spans="1:6">
      <c r="A2772" t="s">
        <v>5994</v>
      </c>
      <c r="B2772" t="s">
        <v>8913</v>
      </c>
      <c r="C2772" t="s">
        <v>11807</v>
      </c>
      <c r="D2772" t="s">
        <v>484</v>
      </c>
      <c r="E2772" t="s">
        <v>11726</v>
      </c>
      <c r="F2772" t="s">
        <v>11727</v>
      </c>
    </row>
    <row r="2773" spans="1:6">
      <c r="A2773" t="s">
        <v>5994</v>
      </c>
      <c r="B2773" t="s">
        <v>7951</v>
      </c>
      <c r="C2773" t="s">
        <v>11768</v>
      </c>
      <c r="D2773" t="s">
        <v>3229</v>
      </c>
      <c r="E2773" t="s">
        <v>11726</v>
      </c>
      <c r="F2773" t="s">
        <v>11727</v>
      </c>
    </row>
    <row r="2774" spans="1:6">
      <c r="A2774" t="s">
        <v>5994</v>
      </c>
      <c r="B2774" t="s">
        <v>7954</v>
      </c>
      <c r="C2774" t="s">
        <v>11769</v>
      </c>
      <c r="D2774" t="s">
        <v>3230</v>
      </c>
      <c r="E2774" t="s">
        <v>11726</v>
      </c>
      <c r="F2774" t="s">
        <v>11727</v>
      </c>
    </row>
    <row r="2775" spans="1:6">
      <c r="A2775" t="s">
        <v>5431</v>
      </c>
      <c r="B2775" t="s">
        <v>10123</v>
      </c>
      <c r="C2775" t="s">
        <v>11776</v>
      </c>
      <c r="D2775" t="s">
        <v>772</v>
      </c>
      <c r="E2775" t="s">
        <v>11726</v>
      </c>
      <c r="F2775" t="s">
        <v>11727</v>
      </c>
    </row>
    <row r="2776" spans="1:6">
      <c r="A2776" t="s">
        <v>5431</v>
      </c>
      <c r="B2776" t="s">
        <v>10124</v>
      </c>
      <c r="C2776" t="s">
        <v>11776</v>
      </c>
      <c r="D2776" t="s">
        <v>476</v>
      </c>
      <c r="E2776" t="s">
        <v>11726</v>
      </c>
      <c r="F2776" t="s">
        <v>11727</v>
      </c>
    </row>
    <row r="2777" spans="1:6">
      <c r="A2777" t="s">
        <v>5431</v>
      </c>
      <c r="B2777" t="s">
        <v>10125</v>
      </c>
      <c r="C2777" t="s">
        <v>11776</v>
      </c>
      <c r="D2777" t="s">
        <v>108</v>
      </c>
      <c r="E2777" t="s">
        <v>11726</v>
      </c>
      <c r="F2777" t="s">
        <v>11727</v>
      </c>
    </row>
    <row r="2778" spans="1:6">
      <c r="A2778" t="s">
        <v>5431</v>
      </c>
      <c r="B2778" t="s">
        <v>10126</v>
      </c>
      <c r="C2778" t="s">
        <v>11776</v>
      </c>
      <c r="D2778" t="s">
        <v>108</v>
      </c>
      <c r="E2778" t="s">
        <v>11726</v>
      </c>
      <c r="F2778" t="s">
        <v>11727</v>
      </c>
    </row>
    <row r="2779" spans="1:6">
      <c r="A2779" t="s">
        <v>5431</v>
      </c>
      <c r="B2779" t="s">
        <v>10127</v>
      </c>
      <c r="C2779" t="s">
        <v>11776</v>
      </c>
      <c r="D2779" t="s">
        <v>3192</v>
      </c>
      <c r="E2779" t="s">
        <v>11726</v>
      </c>
      <c r="F2779" t="s">
        <v>11727</v>
      </c>
    </row>
    <row r="2780" spans="1:6">
      <c r="A2780" t="s">
        <v>5431</v>
      </c>
      <c r="B2780" t="s">
        <v>8877</v>
      </c>
      <c r="C2780" t="s">
        <v>11776</v>
      </c>
      <c r="D2780" t="s">
        <v>3193</v>
      </c>
      <c r="E2780" t="s">
        <v>11726</v>
      </c>
      <c r="F2780" t="s">
        <v>11727</v>
      </c>
    </row>
    <row r="2781" spans="1:6">
      <c r="A2781" t="s">
        <v>5431</v>
      </c>
      <c r="B2781" t="s">
        <v>7879</v>
      </c>
      <c r="C2781" t="s">
        <v>11776</v>
      </c>
      <c r="D2781" t="s">
        <v>3194</v>
      </c>
      <c r="E2781" t="s">
        <v>11726</v>
      </c>
      <c r="F2781" t="s">
        <v>11727</v>
      </c>
    </row>
    <row r="2782" spans="1:6">
      <c r="A2782" t="s">
        <v>3059</v>
      </c>
      <c r="B2782" t="s">
        <v>3607</v>
      </c>
      <c r="C2782" t="s">
        <v>11808</v>
      </c>
      <c r="D2782" t="s">
        <v>11809</v>
      </c>
      <c r="E2782" t="s">
        <v>11726</v>
      </c>
      <c r="F2782" t="s">
        <v>11727</v>
      </c>
    </row>
    <row r="2783" spans="1:6">
      <c r="A2783" t="s">
        <v>3059</v>
      </c>
      <c r="B2783" t="s">
        <v>6098</v>
      </c>
      <c r="C2783" t="s">
        <v>11810</v>
      </c>
      <c r="D2783" t="s">
        <v>11811</v>
      </c>
      <c r="E2783" t="s">
        <v>11726</v>
      </c>
      <c r="F2783" t="s">
        <v>11727</v>
      </c>
    </row>
    <row r="2784" spans="1:6">
      <c r="A2784" t="s">
        <v>3059</v>
      </c>
      <c r="B2784" t="s">
        <v>3648</v>
      </c>
      <c r="C2784" t="s">
        <v>11812</v>
      </c>
      <c r="D2784" t="s">
        <v>11813</v>
      </c>
      <c r="E2784" t="s">
        <v>11726</v>
      </c>
      <c r="F2784" t="s">
        <v>11727</v>
      </c>
    </row>
    <row r="2785" spans="1:6">
      <c r="A2785" t="s">
        <v>3059</v>
      </c>
      <c r="B2785" t="s">
        <v>10003</v>
      </c>
      <c r="C2785" t="s">
        <v>11776</v>
      </c>
      <c r="D2785" t="s">
        <v>26</v>
      </c>
      <c r="E2785" t="s">
        <v>11726</v>
      </c>
      <c r="F2785" t="s">
        <v>11727</v>
      </c>
    </row>
    <row r="2786" spans="1:6">
      <c r="A2786" t="s">
        <v>3059</v>
      </c>
      <c r="B2786" t="s">
        <v>9340</v>
      </c>
      <c r="C2786" t="s">
        <v>11776</v>
      </c>
      <c r="D2786" t="s">
        <v>27</v>
      </c>
      <c r="E2786" t="s">
        <v>11726</v>
      </c>
      <c r="F2786" t="s">
        <v>11727</v>
      </c>
    </row>
    <row r="2787" spans="1:6">
      <c r="A2787" t="s">
        <v>3059</v>
      </c>
      <c r="B2787" t="s">
        <v>10061</v>
      </c>
      <c r="C2787" t="s">
        <v>11776</v>
      </c>
      <c r="D2787" t="s">
        <v>28</v>
      </c>
      <c r="E2787" t="s">
        <v>11726</v>
      </c>
      <c r="F2787" t="s">
        <v>11727</v>
      </c>
    </row>
    <row r="2788" spans="1:6">
      <c r="A2788" t="s">
        <v>3059</v>
      </c>
      <c r="B2788" t="s">
        <v>10062</v>
      </c>
      <c r="C2788" t="s">
        <v>11776</v>
      </c>
      <c r="D2788" t="s">
        <v>29</v>
      </c>
      <c r="E2788" t="s">
        <v>11726</v>
      </c>
      <c r="F2788" t="s">
        <v>11727</v>
      </c>
    </row>
    <row r="2789" spans="1:6">
      <c r="A2789" t="s">
        <v>3059</v>
      </c>
      <c r="B2789" t="s">
        <v>10067</v>
      </c>
      <c r="C2789" t="s">
        <v>11776</v>
      </c>
      <c r="D2789" t="s">
        <v>30</v>
      </c>
      <c r="E2789" t="s">
        <v>11726</v>
      </c>
      <c r="F2789" t="s">
        <v>11727</v>
      </c>
    </row>
    <row r="2790" spans="1:6">
      <c r="A2790" t="s">
        <v>3059</v>
      </c>
      <c r="B2790" t="s">
        <v>10068</v>
      </c>
      <c r="C2790" t="s">
        <v>11776</v>
      </c>
      <c r="D2790" t="s">
        <v>31</v>
      </c>
      <c r="E2790" t="s">
        <v>11726</v>
      </c>
      <c r="F2790" t="s">
        <v>11727</v>
      </c>
    </row>
    <row r="2791" spans="1:6">
      <c r="A2791" t="s">
        <v>3059</v>
      </c>
      <c r="B2791" t="s">
        <v>10069</v>
      </c>
      <c r="C2791" t="s">
        <v>11776</v>
      </c>
      <c r="D2791" t="s">
        <v>32</v>
      </c>
      <c r="E2791" t="s">
        <v>11726</v>
      </c>
      <c r="F2791" t="s">
        <v>11727</v>
      </c>
    </row>
    <row r="2792" spans="1:6">
      <c r="A2792" t="s">
        <v>3059</v>
      </c>
      <c r="B2792" t="s">
        <v>10070</v>
      </c>
      <c r="C2792" t="s">
        <v>11776</v>
      </c>
      <c r="D2792" t="s">
        <v>33</v>
      </c>
      <c r="E2792" t="s">
        <v>11726</v>
      </c>
      <c r="F2792" t="s">
        <v>11727</v>
      </c>
    </row>
    <row r="2793" spans="1:6">
      <c r="A2793" t="s">
        <v>3059</v>
      </c>
      <c r="B2793" t="s">
        <v>10075</v>
      </c>
      <c r="C2793" t="s">
        <v>11776</v>
      </c>
      <c r="D2793" t="s">
        <v>34</v>
      </c>
      <c r="E2793" t="s">
        <v>11726</v>
      </c>
      <c r="F2793" t="s">
        <v>11727</v>
      </c>
    </row>
    <row r="2794" spans="1:6">
      <c r="A2794" t="s">
        <v>3059</v>
      </c>
      <c r="B2794" t="s">
        <v>10076</v>
      </c>
      <c r="C2794" t="s">
        <v>11776</v>
      </c>
      <c r="D2794" t="s">
        <v>35</v>
      </c>
      <c r="E2794" t="s">
        <v>11726</v>
      </c>
      <c r="F2794" t="s">
        <v>11727</v>
      </c>
    </row>
    <row r="2795" spans="1:6">
      <c r="A2795" t="s">
        <v>3059</v>
      </c>
      <c r="B2795" t="s">
        <v>10077</v>
      </c>
      <c r="C2795" t="s">
        <v>11776</v>
      </c>
      <c r="D2795" t="s">
        <v>36</v>
      </c>
      <c r="E2795" t="s">
        <v>11726</v>
      </c>
      <c r="F2795" t="s">
        <v>11727</v>
      </c>
    </row>
    <row r="2796" spans="1:6">
      <c r="A2796" t="s">
        <v>3059</v>
      </c>
      <c r="B2796" t="s">
        <v>10078</v>
      </c>
      <c r="C2796" t="s">
        <v>11776</v>
      </c>
      <c r="D2796" t="s">
        <v>37</v>
      </c>
      <c r="E2796" t="s">
        <v>11726</v>
      </c>
      <c r="F2796" t="s">
        <v>11727</v>
      </c>
    </row>
    <row r="2797" spans="1:6">
      <c r="A2797" t="s">
        <v>3059</v>
      </c>
      <c r="B2797" t="s">
        <v>10083</v>
      </c>
      <c r="C2797" t="s">
        <v>11776</v>
      </c>
      <c r="D2797" t="s">
        <v>38</v>
      </c>
      <c r="E2797" t="s">
        <v>11726</v>
      </c>
      <c r="F2797" t="s">
        <v>11727</v>
      </c>
    </row>
    <row r="2798" spans="1:6">
      <c r="A2798" t="s">
        <v>3059</v>
      </c>
      <c r="B2798" t="s">
        <v>10084</v>
      </c>
      <c r="C2798" t="s">
        <v>11776</v>
      </c>
      <c r="D2798" t="s">
        <v>39</v>
      </c>
      <c r="E2798" t="s">
        <v>11726</v>
      </c>
      <c r="F2798" t="s">
        <v>11727</v>
      </c>
    </row>
    <row r="2799" spans="1:6">
      <c r="A2799" t="s">
        <v>3059</v>
      </c>
      <c r="B2799" t="s">
        <v>10085</v>
      </c>
      <c r="C2799" t="s">
        <v>11776</v>
      </c>
      <c r="D2799" t="s">
        <v>40</v>
      </c>
      <c r="E2799" t="s">
        <v>11726</v>
      </c>
      <c r="F2799" t="s">
        <v>11727</v>
      </c>
    </row>
    <row r="2800" spans="1:6">
      <c r="A2800" t="s">
        <v>3059</v>
      </c>
      <c r="B2800" t="s">
        <v>10086</v>
      </c>
      <c r="C2800" t="s">
        <v>11776</v>
      </c>
      <c r="D2800" t="s">
        <v>41</v>
      </c>
      <c r="E2800" t="s">
        <v>11726</v>
      </c>
      <c r="F2800" t="s">
        <v>11727</v>
      </c>
    </row>
    <row r="2801" spans="1:6">
      <c r="A2801" t="s">
        <v>3059</v>
      </c>
      <c r="B2801" t="s">
        <v>10091</v>
      </c>
      <c r="C2801" t="s">
        <v>11776</v>
      </c>
      <c r="D2801" t="s">
        <v>42</v>
      </c>
      <c r="E2801" t="s">
        <v>11726</v>
      </c>
      <c r="F2801" t="s">
        <v>11727</v>
      </c>
    </row>
    <row r="2802" spans="1:6">
      <c r="A2802" t="s">
        <v>3059</v>
      </c>
      <c r="B2802" t="s">
        <v>10092</v>
      </c>
      <c r="C2802" t="s">
        <v>11776</v>
      </c>
      <c r="D2802" t="s">
        <v>43</v>
      </c>
      <c r="E2802" t="s">
        <v>11726</v>
      </c>
      <c r="F2802" t="s">
        <v>11727</v>
      </c>
    </row>
    <row r="2803" spans="1:6">
      <c r="A2803" t="s">
        <v>3059</v>
      </c>
      <c r="B2803" t="s">
        <v>10093</v>
      </c>
      <c r="C2803" t="s">
        <v>11776</v>
      </c>
      <c r="D2803" t="s">
        <v>44</v>
      </c>
      <c r="E2803" t="s">
        <v>11726</v>
      </c>
      <c r="F2803" t="s">
        <v>11727</v>
      </c>
    </row>
    <row r="2804" spans="1:6">
      <c r="A2804" t="s">
        <v>3059</v>
      </c>
      <c r="B2804" t="s">
        <v>10094</v>
      </c>
      <c r="C2804" t="s">
        <v>11776</v>
      </c>
      <c r="D2804" t="s">
        <v>45</v>
      </c>
      <c r="E2804" t="s">
        <v>11726</v>
      </c>
      <c r="F2804" t="s">
        <v>11727</v>
      </c>
    </row>
    <row r="2805" spans="1:6">
      <c r="A2805" t="s">
        <v>3059</v>
      </c>
      <c r="B2805" t="s">
        <v>10099</v>
      </c>
      <c r="C2805" t="s">
        <v>11776</v>
      </c>
      <c r="D2805" t="s">
        <v>46</v>
      </c>
      <c r="E2805" t="s">
        <v>11726</v>
      </c>
      <c r="F2805" t="s">
        <v>11727</v>
      </c>
    </row>
    <row r="2806" spans="1:6">
      <c r="A2806" t="s">
        <v>3059</v>
      </c>
      <c r="B2806" t="s">
        <v>10100</v>
      </c>
      <c r="C2806" t="s">
        <v>11776</v>
      </c>
      <c r="D2806" t="s">
        <v>47</v>
      </c>
      <c r="E2806" t="s">
        <v>11726</v>
      </c>
      <c r="F2806" t="s">
        <v>11727</v>
      </c>
    </row>
    <row r="2807" spans="1:6">
      <c r="A2807" t="s">
        <v>3059</v>
      </c>
      <c r="B2807" t="s">
        <v>10101</v>
      </c>
      <c r="C2807" t="s">
        <v>11776</v>
      </c>
      <c r="D2807" t="s">
        <v>32</v>
      </c>
      <c r="E2807" t="s">
        <v>11726</v>
      </c>
      <c r="F2807" t="s">
        <v>11727</v>
      </c>
    </row>
    <row r="2808" spans="1:6">
      <c r="A2808" t="s">
        <v>3059</v>
      </c>
      <c r="B2808" t="s">
        <v>10102</v>
      </c>
      <c r="C2808" t="s">
        <v>11776</v>
      </c>
      <c r="D2808" t="s">
        <v>48</v>
      </c>
      <c r="E2808" t="s">
        <v>11726</v>
      </c>
      <c r="F2808" t="s">
        <v>11727</v>
      </c>
    </row>
    <row r="2809" spans="1:6">
      <c r="A2809" t="s">
        <v>11713</v>
      </c>
      <c r="B2809" t="s">
        <v>3512</v>
      </c>
      <c r="C2809" t="s">
        <v>11814</v>
      </c>
      <c r="D2809" t="s">
        <v>11815</v>
      </c>
      <c r="E2809" t="s">
        <v>11726</v>
      </c>
      <c r="F2809" t="s">
        <v>11727</v>
      </c>
    </row>
    <row r="2810" spans="1:6">
      <c r="A2810" t="s">
        <v>11713</v>
      </c>
      <c r="B2810" t="s">
        <v>11816</v>
      </c>
      <c r="C2810" t="s">
        <v>11817</v>
      </c>
      <c r="D2810" t="s">
        <v>11818</v>
      </c>
      <c r="E2810" t="s">
        <v>11726</v>
      </c>
      <c r="F2810" t="s">
        <v>11727</v>
      </c>
    </row>
    <row r="2811" spans="1:6">
      <c r="A2811" t="s">
        <v>11713</v>
      </c>
      <c r="B2811" t="s">
        <v>11765</v>
      </c>
      <c r="C2811" t="s">
        <v>11819</v>
      </c>
      <c r="D2811">
        <f>COUNTIF(Backlog!$AU$2:$AU$180,"&lt;&gt;NOT SOURCE-REVIEWED IN THIS PASS")</f>
        <v>51</v>
      </c>
      <c r="E2811" t="s">
        <v>11805</v>
      </c>
      <c r="F2811" t="s">
        <v>11727</v>
      </c>
    </row>
    <row r="2812" spans="1:6">
      <c r="A2812" t="s">
        <v>11713</v>
      </c>
      <c r="B2812" t="s">
        <v>3680</v>
      </c>
      <c r="C2812" t="s">
        <v>11820</v>
      </c>
      <c r="D2812" t="s">
        <v>11821</v>
      </c>
      <c r="E2812" t="s">
        <v>11726</v>
      </c>
      <c r="F2812" t="s">
        <v>11727</v>
      </c>
    </row>
    <row r="2813" spans="1:6">
      <c r="A2813" t="s">
        <v>11713</v>
      </c>
      <c r="B2813" t="s">
        <v>9990</v>
      </c>
      <c r="C2813" t="s">
        <v>11822</v>
      </c>
      <c r="D2813" t="s">
        <v>11823</v>
      </c>
      <c r="E2813" t="s">
        <v>11726</v>
      </c>
      <c r="F2813" t="s">
        <v>11727</v>
      </c>
    </row>
    <row r="2814" spans="1:6">
      <c r="A2814" t="s">
        <v>11713</v>
      </c>
      <c r="B2814" t="s">
        <v>9998</v>
      </c>
      <c r="C2814" t="s">
        <v>11824</v>
      </c>
      <c r="D2814" t="s">
        <v>11825</v>
      </c>
      <c r="E2814" t="s">
        <v>11726</v>
      </c>
      <c r="F2814" t="s">
        <v>11727</v>
      </c>
    </row>
    <row r="2815" spans="1:6">
      <c r="A2815" t="s">
        <v>11713</v>
      </c>
      <c r="B2815" t="s">
        <v>10001</v>
      </c>
      <c r="C2815" t="s">
        <v>11826</v>
      </c>
      <c r="D2815" t="s">
        <v>11827</v>
      </c>
      <c r="E2815" t="s">
        <v>11726</v>
      </c>
      <c r="F2815" t="s">
        <v>11727</v>
      </c>
    </row>
    <row r="2816" spans="1:6">
      <c r="A2816" t="s">
        <v>11713</v>
      </c>
      <c r="B2816" t="s">
        <v>10014</v>
      </c>
      <c r="C2816" t="s">
        <v>11828</v>
      </c>
      <c r="D2816" t="s">
        <v>11829</v>
      </c>
      <c r="E2816" t="s">
        <v>11726</v>
      </c>
      <c r="F2816" t="s">
        <v>11727</v>
      </c>
    </row>
    <row r="2817" spans="1:6">
      <c r="A2817" t="s">
        <v>11713</v>
      </c>
      <c r="B2817" t="s">
        <v>10033</v>
      </c>
      <c r="C2817" t="s">
        <v>11830</v>
      </c>
      <c r="D2817" t="s">
        <v>11831</v>
      </c>
      <c r="E2817" t="s">
        <v>11726</v>
      </c>
      <c r="F2817" t="s">
        <v>11727</v>
      </c>
    </row>
    <row r="2818" spans="1:6">
      <c r="A2818" t="s">
        <v>11713</v>
      </c>
      <c r="B2818" t="s">
        <v>10003</v>
      </c>
      <c r="C2818" t="s">
        <v>11832</v>
      </c>
      <c r="D2818" t="s">
        <v>11833</v>
      </c>
      <c r="E2818" t="s">
        <v>11726</v>
      </c>
      <c r="F2818" t="s">
        <v>11727</v>
      </c>
    </row>
    <row r="2819" spans="1:6">
      <c r="A2819" t="s">
        <v>11713</v>
      </c>
      <c r="B2819" t="s">
        <v>11834</v>
      </c>
      <c r="C2819" t="s">
        <v>11835</v>
      </c>
      <c r="D2819" t="s">
        <v>11836</v>
      </c>
      <c r="E2819" t="s">
        <v>11726</v>
      </c>
      <c r="F2819" t="s">
        <v>11727</v>
      </c>
    </row>
    <row r="2820" spans="1:6">
      <c r="A2820" t="s">
        <v>11713</v>
      </c>
      <c r="B2820" t="s">
        <v>10384</v>
      </c>
      <c r="C2820" t="s">
        <v>11837</v>
      </c>
      <c r="D2820" t="s">
        <v>11838</v>
      </c>
      <c r="E2820" t="s">
        <v>11726</v>
      </c>
      <c r="F2820" t="s">
        <v>11727</v>
      </c>
    </row>
    <row r="2821" spans="1:6">
      <c r="A2821" t="s">
        <v>11713</v>
      </c>
      <c r="B2821" t="s">
        <v>10386</v>
      </c>
      <c r="C2821" t="s">
        <v>11839</v>
      </c>
      <c r="D2821" t="s">
        <v>11840</v>
      </c>
      <c r="E2821" t="s">
        <v>11726</v>
      </c>
      <c r="F2821" t="s">
        <v>11727</v>
      </c>
    </row>
    <row r="2822" spans="1:6">
      <c r="A2822" t="s">
        <v>11713</v>
      </c>
      <c r="B2822" t="s">
        <v>10392</v>
      </c>
      <c r="C2822" t="s">
        <v>11841</v>
      </c>
      <c r="D2822" t="s">
        <v>11842</v>
      </c>
      <c r="E2822" t="s">
        <v>11726</v>
      </c>
      <c r="F2822" t="s">
        <v>11727</v>
      </c>
    </row>
    <row r="2823" spans="1:6">
      <c r="A2823" t="s">
        <v>11713</v>
      </c>
      <c r="B2823" t="s">
        <v>10394</v>
      </c>
      <c r="C2823" t="s">
        <v>11839</v>
      </c>
      <c r="D2823" t="s">
        <v>11840</v>
      </c>
      <c r="E2823" t="s">
        <v>11726</v>
      </c>
      <c r="F2823" t="s">
        <v>11727</v>
      </c>
    </row>
    <row r="2824" spans="1:6">
      <c r="A2824" t="s">
        <v>11713</v>
      </c>
      <c r="B2824" t="s">
        <v>10400</v>
      </c>
      <c r="C2824" t="s">
        <v>11843</v>
      </c>
      <c r="D2824" t="s">
        <v>11844</v>
      </c>
      <c r="E2824" t="s">
        <v>11726</v>
      </c>
      <c r="F2824" t="s">
        <v>11727</v>
      </c>
    </row>
    <row r="2825" spans="1:6">
      <c r="A2825" t="s">
        <v>11713</v>
      </c>
      <c r="B2825" t="s">
        <v>10402</v>
      </c>
      <c r="C2825" t="s">
        <v>11839</v>
      </c>
      <c r="D2825" t="s">
        <v>11845</v>
      </c>
      <c r="E2825" t="s">
        <v>11726</v>
      </c>
      <c r="F2825" t="s">
        <v>11727</v>
      </c>
    </row>
    <row r="2826" spans="1:6">
      <c r="A2826" t="s">
        <v>11713</v>
      </c>
      <c r="B2826" t="s">
        <v>10490</v>
      </c>
      <c r="C2826" t="s">
        <v>11846</v>
      </c>
      <c r="D2826" t="s">
        <v>11847</v>
      </c>
      <c r="E2826" t="s">
        <v>11726</v>
      </c>
      <c r="F2826" t="s">
        <v>11727</v>
      </c>
    </row>
    <row r="2827" spans="1:6">
      <c r="A2827" t="s">
        <v>11713</v>
      </c>
      <c r="B2827" t="s">
        <v>10517</v>
      </c>
      <c r="C2827" t="s">
        <v>11776</v>
      </c>
      <c r="D2827" t="s">
        <v>11848</v>
      </c>
      <c r="E2827" t="s">
        <v>11726</v>
      </c>
      <c r="F2827" t="s">
        <v>11727</v>
      </c>
    </row>
    <row r="2828" spans="1:6">
      <c r="A2828" t="s">
        <v>11713</v>
      </c>
      <c r="B2828" t="s">
        <v>10518</v>
      </c>
      <c r="C2828" t="s">
        <v>11776</v>
      </c>
      <c r="D2828" t="s">
        <v>5472</v>
      </c>
      <c r="E2828" t="s">
        <v>11726</v>
      </c>
      <c r="F2828" t="s">
        <v>11727</v>
      </c>
    </row>
    <row r="2829" spans="1:6">
      <c r="A2829" t="s">
        <v>11713</v>
      </c>
      <c r="B2829" t="s">
        <v>10519</v>
      </c>
      <c r="C2829" t="s">
        <v>11776</v>
      </c>
      <c r="D2829" t="s">
        <v>11849</v>
      </c>
      <c r="E2829" t="s">
        <v>11726</v>
      </c>
      <c r="F2829" t="s">
        <v>11727</v>
      </c>
    </row>
    <row r="2830" spans="1:6">
      <c r="A2830" t="s">
        <v>11713</v>
      </c>
      <c r="B2830" t="s">
        <v>10522</v>
      </c>
      <c r="C2830" t="s">
        <v>11776</v>
      </c>
      <c r="D2830" t="s">
        <v>11850</v>
      </c>
      <c r="E2830" t="s">
        <v>11726</v>
      </c>
      <c r="F2830" t="s">
        <v>11727</v>
      </c>
    </row>
    <row r="2831" spans="1:6">
      <c r="A2831" t="s">
        <v>11713</v>
      </c>
      <c r="B2831" t="s">
        <v>10525</v>
      </c>
      <c r="C2831" t="s">
        <v>11776</v>
      </c>
      <c r="D2831" t="s">
        <v>11851</v>
      </c>
      <c r="E2831" t="s">
        <v>11726</v>
      </c>
      <c r="F2831" t="s">
        <v>11727</v>
      </c>
    </row>
    <row r="2832" spans="1:6">
      <c r="A2832" t="s">
        <v>11713</v>
      </c>
      <c r="B2832" t="s">
        <v>10526</v>
      </c>
      <c r="C2832" t="s">
        <v>11776</v>
      </c>
      <c r="D2832" t="s">
        <v>11852</v>
      </c>
      <c r="E2832" t="s">
        <v>11726</v>
      </c>
      <c r="F2832" t="s">
        <v>11727</v>
      </c>
    </row>
    <row r="2833" spans="1:6">
      <c r="A2833" t="s">
        <v>11713</v>
      </c>
      <c r="B2833" t="s">
        <v>10527</v>
      </c>
      <c r="C2833" t="s">
        <v>11776</v>
      </c>
      <c r="D2833" t="s">
        <v>11853</v>
      </c>
      <c r="E2833" t="s">
        <v>11726</v>
      </c>
      <c r="F2833" t="s">
        <v>11727</v>
      </c>
    </row>
    <row r="2834" spans="1:6">
      <c r="A2834" t="s">
        <v>11713</v>
      </c>
      <c r="B2834" t="s">
        <v>10530</v>
      </c>
      <c r="C2834" t="s">
        <v>11776</v>
      </c>
      <c r="D2834" t="s">
        <v>11854</v>
      </c>
      <c r="E2834" t="s">
        <v>11726</v>
      </c>
      <c r="F2834" t="s">
        <v>11727</v>
      </c>
    </row>
    <row r="2835" spans="1:6">
      <c r="A2835" t="s">
        <v>11713</v>
      </c>
      <c r="B2835" t="s">
        <v>10533</v>
      </c>
      <c r="C2835" t="s">
        <v>11776</v>
      </c>
      <c r="D2835" t="s">
        <v>11855</v>
      </c>
      <c r="E2835" t="s">
        <v>11726</v>
      </c>
      <c r="F2835" t="s">
        <v>11727</v>
      </c>
    </row>
    <row r="2836" spans="1:6">
      <c r="A2836" t="s">
        <v>11713</v>
      </c>
      <c r="B2836" t="s">
        <v>10534</v>
      </c>
      <c r="C2836" t="s">
        <v>11776</v>
      </c>
      <c r="D2836" t="s">
        <v>11852</v>
      </c>
      <c r="E2836" t="s">
        <v>11726</v>
      </c>
      <c r="F2836" t="s">
        <v>11727</v>
      </c>
    </row>
    <row r="2837" spans="1:6">
      <c r="A2837" t="s">
        <v>11713</v>
      </c>
      <c r="B2837" t="s">
        <v>10535</v>
      </c>
      <c r="C2837" t="s">
        <v>11776</v>
      </c>
      <c r="D2837" t="s">
        <v>11856</v>
      </c>
      <c r="E2837" t="s">
        <v>11726</v>
      </c>
      <c r="F2837" t="s">
        <v>11727</v>
      </c>
    </row>
    <row r="2838" spans="1:6">
      <c r="A2838" t="s">
        <v>11713</v>
      </c>
      <c r="B2838" t="s">
        <v>10538</v>
      </c>
      <c r="C2838" t="s">
        <v>11776</v>
      </c>
      <c r="D2838" t="s">
        <v>11857</v>
      </c>
      <c r="E2838" t="s">
        <v>11726</v>
      </c>
      <c r="F2838" t="s">
        <v>11727</v>
      </c>
    </row>
    <row r="2839" spans="1:6">
      <c r="A2839" t="s">
        <v>11713</v>
      </c>
      <c r="B2839" t="s">
        <v>10541</v>
      </c>
      <c r="C2839" t="s">
        <v>11776</v>
      </c>
      <c r="D2839" t="s">
        <v>11858</v>
      </c>
      <c r="E2839" t="s">
        <v>11726</v>
      </c>
      <c r="F2839" t="s">
        <v>11727</v>
      </c>
    </row>
    <row r="2840" spans="1:6">
      <c r="A2840" t="s">
        <v>11713</v>
      </c>
      <c r="B2840" t="s">
        <v>10542</v>
      </c>
      <c r="C2840" t="s">
        <v>11776</v>
      </c>
      <c r="D2840" t="s">
        <v>11852</v>
      </c>
      <c r="E2840" t="s">
        <v>11726</v>
      </c>
      <c r="F2840" t="s">
        <v>11727</v>
      </c>
    </row>
    <row r="2841" spans="1:6">
      <c r="A2841" t="s">
        <v>11713</v>
      </c>
      <c r="B2841" t="s">
        <v>10543</v>
      </c>
      <c r="C2841" t="s">
        <v>11776</v>
      </c>
      <c r="D2841" t="s">
        <v>11859</v>
      </c>
      <c r="E2841" t="s">
        <v>11726</v>
      </c>
      <c r="F2841" t="s">
        <v>11727</v>
      </c>
    </row>
    <row r="2842" spans="1:6">
      <c r="A2842" t="s">
        <v>11713</v>
      </c>
      <c r="B2842" t="s">
        <v>10546</v>
      </c>
      <c r="C2842" t="s">
        <v>11776</v>
      </c>
      <c r="D2842" t="s">
        <v>11860</v>
      </c>
      <c r="E2842" t="s">
        <v>11726</v>
      </c>
      <c r="F2842" t="s">
        <v>11727</v>
      </c>
    </row>
    <row r="2843" spans="1:6">
      <c r="A2843" t="s">
        <v>11713</v>
      </c>
      <c r="B2843" t="s">
        <v>10549</v>
      </c>
      <c r="C2843" t="s">
        <v>11776</v>
      </c>
      <c r="D2843" t="s">
        <v>11861</v>
      </c>
      <c r="E2843" t="s">
        <v>11726</v>
      </c>
      <c r="F2843" t="s">
        <v>11727</v>
      </c>
    </row>
    <row r="2844" spans="1:6">
      <c r="A2844" t="s">
        <v>11713</v>
      </c>
      <c r="B2844" t="s">
        <v>10550</v>
      </c>
      <c r="C2844" t="s">
        <v>11776</v>
      </c>
      <c r="D2844" t="s">
        <v>11852</v>
      </c>
      <c r="E2844" t="s">
        <v>11726</v>
      </c>
      <c r="F2844" t="s">
        <v>11727</v>
      </c>
    </row>
    <row r="2845" spans="1:6">
      <c r="A2845" t="s">
        <v>11713</v>
      </c>
      <c r="B2845" t="s">
        <v>10551</v>
      </c>
      <c r="C2845" t="s">
        <v>11776</v>
      </c>
      <c r="D2845" t="s">
        <v>11862</v>
      </c>
      <c r="E2845" t="s">
        <v>11726</v>
      </c>
      <c r="F2845" t="s">
        <v>11727</v>
      </c>
    </row>
    <row r="2846" spans="1:6">
      <c r="A2846" t="s">
        <v>11713</v>
      </c>
      <c r="B2846" t="s">
        <v>10554</v>
      </c>
      <c r="C2846" t="s">
        <v>11776</v>
      </c>
      <c r="D2846" t="s">
        <v>11863</v>
      </c>
      <c r="E2846" t="s">
        <v>11726</v>
      </c>
      <c r="F2846" t="s">
        <v>11727</v>
      </c>
    </row>
    <row r="2847" spans="1:6">
      <c r="A2847" t="s">
        <v>11713</v>
      </c>
      <c r="B2847" t="s">
        <v>10557</v>
      </c>
      <c r="C2847" t="s">
        <v>11776</v>
      </c>
      <c r="D2847" t="s">
        <v>11864</v>
      </c>
      <c r="E2847" t="s">
        <v>11726</v>
      </c>
      <c r="F2847" t="s">
        <v>11727</v>
      </c>
    </row>
    <row r="2848" spans="1:6">
      <c r="A2848" t="s">
        <v>11713</v>
      </c>
      <c r="B2848" t="s">
        <v>10558</v>
      </c>
      <c r="C2848" t="s">
        <v>11776</v>
      </c>
      <c r="D2848" t="s">
        <v>11852</v>
      </c>
      <c r="E2848" t="s">
        <v>11726</v>
      </c>
      <c r="F2848" t="s">
        <v>11727</v>
      </c>
    </row>
    <row r="2849" spans="1:6">
      <c r="A2849" t="s">
        <v>11713</v>
      </c>
      <c r="B2849" t="s">
        <v>10559</v>
      </c>
      <c r="C2849" t="s">
        <v>11776</v>
      </c>
      <c r="D2849" t="s">
        <v>11865</v>
      </c>
      <c r="E2849" t="s">
        <v>11726</v>
      </c>
      <c r="F2849" t="s">
        <v>11727</v>
      </c>
    </row>
    <row r="2850" spans="1:6">
      <c r="A2850" t="s">
        <v>11713</v>
      </c>
      <c r="B2850" t="s">
        <v>10562</v>
      </c>
      <c r="C2850" t="s">
        <v>11776</v>
      </c>
      <c r="D2850" t="s">
        <v>11866</v>
      </c>
      <c r="E2850" t="s">
        <v>11726</v>
      </c>
      <c r="F2850" t="s">
        <v>11727</v>
      </c>
    </row>
    <row r="2851" spans="1:6">
      <c r="A2851" t="s">
        <v>11713</v>
      </c>
      <c r="B2851" t="s">
        <v>10565</v>
      </c>
      <c r="C2851" t="s">
        <v>11776</v>
      </c>
      <c r="D2851" t="s">
        <v>11867</v>
      </c>
      <c r="E2851" t="s">
        <v>11726</v>
      </c>
      <c r="F2851" t="s">
        <v>11727</v>
      </c>
    </row>
    <row r="2852" spans="1:6">
      <c r="A2852" t="s">
        <v>11713</v>
      </c>
      <c r="B2852" t="s">
        <v>10566</v>
      </c>
      <c r="C2852" t="s">
        <v>11776</v>
      </c>
      <c r="D2852" t="s">
        <v>11852</v>
      </c>
      <c r="E2852" t="s">
        <v>11726</v>
      </c>
      <c r="F2852" t="s">
        <v>11727</v>
      </c>
    </row>
    <row r="2853" spans="1:6">
      <c r="A2853" t="s">
        <v>11713</v>
      </c>
      <c r="B2853" t="s">
        <v>10567</v>
      </c>
      <c r="C2853" t="s">
        <v>11776</v>
      </c>
      <c r="D2853" t="s">
        <v>11868</v>
      </c>
      <c r="E2853" t="s">
        <v>11726</v>
      </c>
      <c r="F2853" t="s">
        <v>11727</v>
      </c>
    </row>
    <row r="2854" spans="1:6">
      <c r="A2854" t="s">
        <v>11713</v>
      </c>
      <c r="B2854" t="s">
        <v>10570</v>
      </c>
      <c r="C2854" t="s">
        <v>11776</v>
      </c>
      <c r="D2854" t="s">
        <v>11869</v>
      </c>
      <c r="E2854" t="s">
        <v>11726</v>
      </c>
      <c r="F2854" t="s">
        <v>11727</v>
      </c>
    </row>
    <row r="2855" spans="1:6">
      <c r="A2855" t="s">
        <v>11713</v>
      </c>
      <c r="B2855" t="s">
        <v>10573</v>
      </c>
      <c r="C2855" t="s">
        <v>11776</v>
      </c>
      <c r="D2855" t="s">
        <v>11870</v>
      </c>
      <c r="E2855" t="s">
        <v>11726</v>
      </c>
      <c r="F2855" t="s">
        <v>11727</v>
      </c>
    </row>
    <row r="2856" spans="1:6">
      <c r="A2856" t="s">
        <v>11713</v>
      </c>
      <c r="B2856" t="s">
        <v>10574</v>
      </c>
      <c r="C2856" t="s">
        <v>11776</v>
      </c>
      <c r="D2856" t="s">
        <v>11852</v>
      </c>
      <c r="E2856" t="s">
        <v>11726</v>
      </c>
      <c r="F2856" t="s">
        <v>11727</v>
      </c>
    </row>
    <row r="2857" spans="1:6">
      <c r="A2857" t="s">
        <v>11713</v>
      </c>
      <c r="B2857" t="s">
        <v>10575</v>
      </c>
      <c r="C2857" t="s">
        <v>11776</v>
      </c>
      <c r="D2857" t="s">
        <v>11871</v>
      </c>
      <c r="E2857" t="s">
        <v>11726</v>
      </c>
      <c r="F2857" t="s">
        <v>11727</v>
      </c>
    </row>
    <row r="2858" spans="1:6">
      <c r="A2858" t="s">
        <v>11713</v>
      </c>
      <c r="B2858" t="s">
        <v>10578</v>
      </c>
      <c r="C2858" t="s">
        <v>11776</v>
      </c>
      <c r="D2858" t="s">
        <v>11872</v>
      </c>
      <c r="E2858" t="s">
        <v>11726</v>
      </c>
      <c r="F2858" t="s">
        <v>11727</v>
      </c>
    </row>
    <row r="2859" spans="1:6">
      <c r="A2859" t="s">
        <v>11713</v>
      </c>
      <c r="B2859" t="s">
        <v>11873</v>
      </c>
      <c r="C2859" t="s">
        <v>11776</v>
      </c>
      <c r="D2859" t="s">
        <v>11874</v>
      </c>
      <c r="E2859" t="s">
        <v>11726</v>
      </c>
      <c r="F2859" t="s">
        <v>11727</v>
      </c>
    </row>
    <row r="2860" spans="1:6">
      <c r="A2860" t="s">
        <v>11713</v>
      </c>
      <c r="B2860" t="s">
        <v>10581</v>
      </c>
      <c r="C2860" t="s">
        <v>11776</v>
      </c>
      <c r="D2860" t="s">
        <v>11852</v>
      </c>
      <c r="E2860" t="s">
        <v>11726</v>
      </c>
      <c r="F2860" t="s">
        <v>11727</v>
      </c>
    </row>
    <row r="2861" spans="1:6">
      <c r="A2861" t="s">
        <v>11713</v>
      </c>
      <c r="B2861" t="s">
        <v>10582</v>
      </c>
      <c r="C2861" t="s">
        <v>11776</v>
      </c>
      <c r="D2861" t="s">
        <v>11875</v>
      </c>
      <c r="E2861" t="s">
        <v>11726</v>
      </c>
      <c r="F2861" t="s">
        <v>11727</v>
      </c>
    </row>
    <row r="2862" spans="1:6">
      <c r="A2862" t="s">
        <v>11713</v>
      </c>
      <c r="B2862" t="s">
        <v>10585</v>
      </c>
      <c r="C2862" t="s">
        <v>11776</v>
      </c>
      <c r="D2862" t="s">
        <v>11876</v>
      </c>
      <c r="E2862" t="s">
        <v>11726</v>
      </c>
      <c r="F2862" t="s">
        <v>11727</v>
      </c>
    </row>
    <row r="2863" spans="1:6">
      <c r="A2863" t="s">
        <v>11713</v>
      </c>
      <c r="B2863" t="s">
        <v>11877</v>
      </c>
      <c r="C2863" t="s">
        <v>11776</v>
      </c>
      <c r="D2863" t="s">
        <v>11878</v>
      </c>
      <c r="E2863" t="s">
        <v>11726</v>
      </c>
      <c r="F2863" t="s">
        <v>11727</v>
      </c>
    </row>
    <row r="2864" spans="1:6">
      <c r="A2864" t="s">
        <v>11713</v>
      </c>
      <c r="B2864" t="s">
        <v>10588</v>
      </c>
      <c r="C2864" t="s">
        <v>11776</v>
      </c>
      <c r="D2864" t="s">
        <v>11852</v>
      </c>
      <c r="E2864" t="s">
        <v>11726</v>
      </c>
      <c r="F2864" t="s">
        <v>11727</v>
      </c>
    </row>
    <row r="2865" spans="1:6">
      <c r="A2865" t="s">
        <v>11713</v>
      </c>
      <c r="B2865" t="s">
        <v>10589</v>
      </c>
      <c r="C2865" t="s">
        <v>11776</v>
      </c>
      <c r="D2865" t="s">
        <v>11875</v>
      </c>
      <c r="E2865" t="s">
        <v>11726</v>
      </c>
      <c r="F2865" t="s">
        <v>11727</v>
      </c>
    </row>
    <row r="2866" spans="1:6">
      <c r="A2866" t="s">
        <v>11713</v>
      </c>
      <c r="B2866" t="s">
        <v>10592</v>
      </c>
      <c r="C2866" t="s">
        <v>11776</v>
      </c>
      <c r="D2866" t="s">
        <v>11879</v>
      </c>
      <c r="E2866" t="s">
        <v>11726</v>
      </c>
      <c r="F2866" t="s">
        <v>11727</v>
      </c>
    </row>
    <row r="2867" spans="1:6">
      <c r="A2867" t="s">
        <v>11713</v>
      </c>
      <c r="B2867" t="s">
        <v>11880</v>
      </c>
      <c r="C2867" t="s">
        <v>11776</v>
      </c>
      <c r="D2867" t="s">
        <v>11881</v>
      </c>
      <c r="E2867" t="s">
        <v>11726</v>
      </c>
      <c r="F2867" t="s">
        <v>11727</v>
      </c>
    </row>
    <row r="2868" spans="1:6">
      <c r="A2868" t="s">
        <v>11713</v>
      </c>
      <c r="B2868" t="s">
        <v>10595</v>
      </c>
      <c r="C2868" t="s">
        <v>11776</v>
      </c>
      <c r="D2868" t="s">
        <v>11852</v>
      </c>
      <c r="E2868" t="s">
        <v>11726</v>
      </c>
      <c r="F2868" t="s">
        <v>11727</v>
      </c>
    </row>
    <row r="2869" spans="1:6">
      <c r="A2869" t="s">
        <v>11713</v>
      </c>
      <c r="B2869" t="s">
        <v>10596</v>
      </c>
      <c r="C2869" t="s">
        <v>11776</v>
      </c>
      <c r="D2869" t="s">
        <v>11882</v>
      </c>
      <c r="E2869" t="s">
        <v>11726</v>
      </c>
      <c r="F2869" t="s">
        <v>11727</v>
      </c>
    </row>
    <row r="2870" spans="1:6">
      <c r="A2870" t="s">
        <v>11713</v>
      </c>
      <c r="B2870" t="s">
        <v>10599</v>
      </c>
      <c r="C2870" t="s">
        <v>11776</v>
      </c>
      <c r="D2870" t="s">
        <v>11883</v>
      </c>
      <c r="E2870" t="s">
        <v>11726</v>
      </c>
      <c r="F2870" t="s">
        <v>11727</v>
      </c>
    </row>
    <row r="2871" spans="1:6">
      <c r="A2871" t="s">
        <v>11713</v>
      </c>
      <c r="B2871" t="s">
        <v>11884</v>
      </c>
      <c r="C2871" t="s">
        <v>11776</v>
      </c>
      <c r="D2871" t="s">
        <v>11885</v>
      </c>
      <c r="E2871" t="s">
        <v>11726</v>
      </c>
      <c r="F2871" t="s">
        <v>11727</v>
      </c>
    </row>
    <row r="2872" spans="1:6">
      <c r="A2872" t="s">
        <v>11713</v>
      </c>
      <c r="B2872" t="s">
        <v>10602</v>
      </c>
      <c r="C2872" t="s">
        <v>11776</v>
      </c>
      <c r="D2872" t="s">
        <v>11886</v>
      </c>
      <c r="E2872" t="s">
        <v>11726</v>
      </c>
      <c r="F2872" t="s">
        <v>11727</v>
      </c>
    </row>
    <row r="2873" spans="1:6">
      <c r="A2873" t="s">
        <v>11713</v>
      </c>
      <c r="B2873" t="s">
        <v>10603</v>
      </c>
      <c r="C2873" t="s">
        <v>11776</v>
      </c>
      <c r="D2873" t="s">
        <v>11887</v>
      </c>
      <c r="E2873" t="s">
        <v>11726</v>
      </c>
      <c r="F2873" t="s">
        <v>11727</v>
      </c>
    </row>
    <row r="2874" spans="1:6">
      <c r="A2874" t="s">
        <v>11713</v>
      </c>
      <c r="B2874" t="s">
        <v>10606</v>
      </c>
      <c r="C2874" t="s">
        <v>11776</v>
      </c>
      <c r="D2874" t="s">
        <v>11888</v>
      </c>
      <c r="E2874" t="s">
        <v>11726</v>
      </c>
      <c r="F2874" t="s">
        <v>11727</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52"/>
  <sheetViews>
    <sheetView workbookViewId="0"/>
  </sheetViews>
  <sheetFormatPr defaultRowHeight="14.25"/>
  <cols>
    <col min="1" max="1" width="12" customWidth="1"/>
    <col min="2" max="2" width="32" customWidth="1"/>
    <col min="3" max="4" width="48" customWidth="1"/>
    <col min="5" max="5" width="52" customWidth="1"/>
    <col min="6" max="8" width="12" customWidth="1"/>
    <col min="9" max="12" width="38" customWidth="1"/>
  </cols>
  <sheetData>
    <row r="1" spans="1:12" ht="32.1" customHeight="1">
      <c r="A1" s="85" t="s">
        <v>2392</v>
      </c>
      <c r="B1" s="85" t="s">
        <v>11889</v>
      </c>
      <c r="C1" s="85" t="s">
        <v>5837</v>
      </c>
      <c r="D1" s="85" t="s">
        <v>11890</v>
      </c>
      <c r="E1" s="85" t="s">
        <v>11891</v>
      </c>
      <c r="F1" s="85" t="s">
        <v>11892</v>
      </c>
      <c r="G1" s="85" t="s">
        <v>11893</v>
      </c>
      <c r="H1" s="85" t="s">
        <v>11894</v>
      </c>
      <c r="I1" s="85" t="s">
        <v>11895</v>
      </c>
      <c r="J1" s="85" t="s">
        <v>11896</v>
      </c>
      <c r="K1" s="85" t="s">
        <v>11897</v>
      </c>
      <c r="L1" s="85" t="s">
        <v>11898</v>
      </c>
    </row>
    <row r="2" spans="1:12" ht="210" customHeight="1">
      <c r="A2" s="38" t="s">
        <v>425</v>
      </c>
      <c r="B2" s="38" t="s">
        <v>3210</v>
      </c>
      <c r="C2" s="38" t="s">
        <v>5847</v>
      </c>
      <c r="D2" s="38" t="s">
        <v>3212</v>
      </c>
      <c r="E2" s="38" t="s">
        <v>3213</v>
      </c>
      <c r="F2" s="86">
        <v>0</v>
      </c>
      <c r="G2" s="86">
        <v>0</v>
      </c>
      <c r="H2" s="86">
        <v>0</v>
      </c>
      <c r="I2" s="38" t="s">
        <v>11899</v>
      </c>
      <c r="J2" s="38"/>
      <c r="K2" s="38" t="s">
        <v>436</v>
      </c>
      <c r="L2" s="38" t="s">
        <v>5849</v>
      </c>
    </row>
    <row r="3" spans="1:12" ht="210" customHeight="1">
      <c r="A3" s="38" t="s">
        <v>439</v>
      </c>
      <c r="B3" s="38" t="s">
        <v>3210</v>
      </c>
      <c r="C3" s="38" t="s">
        <v>5851</v>
      </c>
      <c r="D3" s="38" t="s">
        <v>3215</v>
      </c>
      <c r="E3" s="38" t="s">
        <v>3216</v>
      </c>
      <c r="F3" s="86">
        <v>0</v>
      </c>
      <c r="G3" s="86">
        <v>0</v>
      </c>
      <c r="H3" s="86">
        <v>0</v>
      </c>
      <c r="I3" s="38" t="s">
        <v>3214</v>
      </c>
      <c r="J3" s="38"/>
      <c r="K3" s="38" t="s">
        <v>444</v>
      </c>
      <c r="L3" s="38"/>
    </row>
    <row r="4" spans="1:12" ht="210" customHeight="1">
      <c r="A4" s="38" t="s">
        <v>445</v>
      </c>
      <c r="B4" s="38" t="s">
        <v>3217</v>
      </c>
      <c r="C4" s="38" t="s">
        <v>5852</v>
      </c>
      <c r="D4" s="38" t="s">
        <v>3219</v>
      </c>
      <c r="E4" s="38" t="s">
        <v>3220</v>
      </c>
      <c r="F4" s="86">
        <v>0</v>
      </c>
      <c r="G4" s="86">
        <v>0</v>
      </c>
      <c r="H4" s="86">
        <v>0</v>
      </c>
      <c r="I4" s="38" t="s">
        <v>3218</v>
      </c>
      <c r="J4" s="38"/>
      <c r="K4" s="38" t="s">
        <v>450</v>
      </c>
      <c r="L4" s="38"/>
    </row>
    <row r="5" spans="1:12" ht="210" customHeight="1">
      <c r="A5" s="38" t="s">
        <v>451</v>
      </c>
      <c r="B5" s="38" t="s">
        <v>3221</v>
      </c>
      <c r="C5" s="38" t="s">
        <v>5853</v>
      </c>
      <c r="D5" s="38" t="s">
        <v>3223</v>
      </c>
      <c r="E5" s="38" t="s">
        <v>3224</v>
      </c>
      <c r="F5" s="86">
        <v>6</v>
      </c>
      <c r="G5" s="86">
        <v>9</v>
      </c>
      <c r="H5" s="86">
        <v>14</v>
      </c>
      <c r="I5" s="38" t="s">
        <v>11900</v>
      </c>
      <c r="J5" s="38"/>
      <c r="K5" s="38"/>
      <c r="L5" s="38" t="s">
        <v>5854</v>
      </c>
    </row>
    <row r="6" spans="1:12" ht="210" customHeight="1">
      <c r="A6" s="38" t="s">
        <v>463</v>
      </c>
      <c r="B6" s="38" t="s">
        <v>3225</v>
      </c>
      <c r="C6" s="38" t="s">
        <v>5855</v>
      </c>
      <c r="D6" s="38" t="s">
        <v>3227</v>
      </c>
      <c r="E6" s="38" t="s">
        <v>3228</v>
      </c>
      <c r="F6" s="86">
        <v>0</v>
      </c>
      <c r="G6" s="86">
        <v>0</v>
      </c>
      <c r="H6" s="86">
        <v>0</v>
      </c>
      <c r="I6" s="38" t="s">
        <v>3226</v>
      </c>
      <c r="J6" s="38"/>
      <c r="K6" s="38" t="s">
        <v>5856</v>
      </c>
      <c r="L6" s="38"/>
    </row>
    <row r="7" spans="1:12" ht="210" customHeight="1">
      <c r="A7" s="38" t="s">
        <v>476</v>
      </c>
      <c r="B7" s="38" t="s">
        <v>31</v>
      </c>
      <c r="C7" s="38" t="s">
        <v>5591</v>
      </c>
      <c r="D7" s="38" t="s">
        <v>3229</v>
      </c>
      <c r="E7" s="38" t="s">
        <v>11770</v>
      </c>
      <c r="F7" s="86" t="s">
        <v>5871</v>
      </c>
      <c r="G7" s="86" t="s">
        <v>5871</v>
      </c>
      <c r="H7" s="86" t="s">
        <v>5871</v>
      </c>
      <c r="I7" s="38" t="s">
        <v>484</v>
      </c>
      <c r="J7" s="38" t="s">
        <v>11777</v>
      </c>
      <c r="K7" s="38" t="s">
        <v>11778</v>
      </c>
      <c r="L7" s="38" t="s">
        <v>11780</v>
      </c>
    </row>
    <row r="8" spans="1:12" ht="210" customHeight="1">
      <c r="A8" s="38" t="s">
        <v>489</v>
      </c>
      <c r="B8" s="38" t="s">
        <v>3231</v>
      </c>
      <c r="C8" s="38" t="s">
        <v>5862</v>
      </c>
      <c r="D8" s="38" t="s">
        <v>3233</v>
      </c>
      <c r="E8" s="38" t="s">
        <v>3234</v>
      </c>
      <c r="F8" s="86">
        <v>12</v>
      </c>
      <c r="G8" s="86">
        <v>18</v>
      </c>
      <c r="H8" s="86">
        <v>28</v>
      </c>
      <c r="I8" s="38" t="s">
        <v>11901</v>
      </c>
      <c r="J8" s="38"/>
      <c r="K8" s="38"/>
      <c r="L8" s="38" t="s">
        <v>5863</v>
      </c>
    </row>
    <row r="9" spans="1:12" ht="210" customHeight="1">
      <c r="A9" s="38" t="s">
        <v>498</v>
      </c>
      <c r="B9" s="38" t="s">
        <v>3235</v>
      </c>
      <c r="C9" s="38" t="s">
        <v>5864</v>
      </c>
      <c r="D9" s="38" t="s">
        <v>3237</v>
      </c>
      <c r="E9" s="38" t="s">
        <v>3238</v>
      </c>
      <c r="F9" s="86">
        <v>4</v>
      </c>
      <c r="G9" s="86">
        <v>7</v>
      </c>
      <c r="H9" s="86">
        <v>12</v>
      </c>
      <c r="I9" s="38" t="s">
        <v>11902</v>
      </c>
      <c r="J9" s="38" t="s">
        <v>11903</v>
      </c>
      <c r="K9" s="38"/>
      <c r="L9" s="38" t="s">
        <v>5865</v>
      </c>
    </row>
    <row r="10" spans="1:12" ht="210" customHeight="1">
      <c r="A10" s="38" t="s">
        <v>508</v>
      </c>
      <c r="B10" s="38" t="s">
        <v>3239</v>
      </c>
      <c r="C10" s="38" t="s">
        <v>5866</v>
      </c>
      <c r="D10" s="38" t="s">
        <v>3241</v>
      </c>
      <c r="E10" s="38" t="s">
        <v>3242</v>
      </c>
      <c r="F10" s="86">
        <v>4</v>
      </c>
      <c r="G10" s="86">
        <v>6</v>
      </c>
      <c r="H10" s="86">
        <v>10</v>
      </c>
      <c r="I10" s="38" t="s">
        <v>11904</v>
      </c>
      <c r="J10" s="38" t="s">
        <v>11905</v>
      </c>
      <c r="K10" s="38"/>
      <c r="L10" s="38" t="s">
        <v>5867</v>
      </c>
    </row>
    <row r="11" spans="1:12" ht="210" customHeight="1">
      <c r="A11" s="38" t="s">
        <v>514</v>
      </c>
      <c r="B11" s="38" t="s">
        <v>3243</v>
      </c>
      <c r="C11" s="38" t="s">
        <v>5868</v>
      </c>
      <c r="D11" s="38" t="s">
        <v>3245</v>
      </c>
      <c r="E11" s="38" t="s">
        <v>3246</v>
      </c>
      <c r="F11" s="86">
        <v>8</v>
      </c>
      <c r="G11" s="86">
        <v>14</v>
      </c>
      <c r="H11" s="86">
        <v>22</v>
      </c>
      <c r="I11" s="38" t="s">
        <v>11906</v>
      </c>
      <c r="J11" s="38"/>
      <c r="K11" s="38"/>
      <c r="L11" s="38" t="s">
        <v>5869</v>
      </c>
    </row>
    <row r="12" spans="1:12" ht="210" customHeight="1">
      <c r="A12" s="38" t="s">
        <v>522</v>
      </c>
      <c r="B12" s="38" t="s">
        <v>3247</v>
      </c>
      <c r="C12" s="38" t="s">
        <v>5870</v>
      </c>
      <c r="D12" s="38" t="s">
        <v>3249</v>
      </c>
      <c r="E12" s="38" t="s">
        <v>3250</v>
      </c>
      <c r="F12" s="86">
        <v>18</v>
      </c>
      <c r="G12" s="86">
        <v>28</v>
      </c>
      <c r="H12" s="86">
        <v>44</v>
      </c>
      <c r="I12" s="38" t="s">
        <v>11907</v>
      </c>
      <c r="J12" s="38" t="s">
        <v>11908</v>
      </c>
      <c r="K12" s="38" t="s">
        <v>5872</v>
      </c>
      <c r="L12" s="38" t="s">
        <v>5873</v>
      </c>
    </row>
    <row r="13" spans="1:12" ht="210" customHeight="1">
      <c r="A13" s="38" t="s">
        <v>539</v>
      </c>
      <c r="B13" s="38" t="s">
        <v>3251</v>
      </c>
      <c r="C13" s="38" t="s">
        <v>5874</v>
      </c>
      <c r="D13" s="38" t="s">
        <v>3253</v>
      </c>
      <c r="E13" s="38" t="s">
        <v>3254</v>
      </c>
      <c r="F13" s="86">
        <v>12</v>
      </c>
      <c r="G13" s="86">
        <v>20</v>
      </c>
      <c r="H13" s="86">
        <v>32</v>
      </c>
      <c r="I13" s="38" t="s">
        <v>11909</v>
      </c>
      <c r="J13" s="38"/>
      <c r="K13" s="38"/>
      <c r="L13" s="38" t="s">
        <v>5875</v>
      </c>
    </row>
    <row r="14" spans="1:12" ht="210" customHeight="1">
      <c r="A14" s="38" t="s">
        <v>548</v>
      </c>
      <c r="B14" s="38" t="s">
        <v>3255</v>
      </c>
      <c r="C14" s="38" t="s">
        <v>5876</v>
      </c>
      <c r="D14" s="38" t="s">
        <v>3257</v>
      </c>
      <c r="E14" s="38" t="s">
        <v>3258</v>
      </c>
      <c r="F14" s="86">
        <v>22</v>
      </c>
      <c r="G14" s="86">
        <v>34</v>
      </c>
      <c r="H14" s="86">
        <v>52</v>
      </c>
      <c r="I14" s="38" t="s">
        <v>11910</v>
      </c>
      <c r="J14" s="38" t="s">
        <v>11911</v>
      </c>
      <c r="K14" s="38"/>
      <c r="L14" s="38" t="s">
        <v>5877</v>
      </c>
    </row>
    <row r="15" spans="1:12" ht="210" customHeight="1">
      <c r="A15" s="38" t="s">
        <v>559</v>
      </c>
      <c r="B15" s="38" t="s">
        <v>3259</v>
      </c>
      <c r="C15" s="38" t="s">
        <v>5878</v>
      </c>
      <c r="D15" s="38" t="s">
        <v>3261</v>
      </c>
      <c r="E15" s="38" t="s">
        <v>3262</v>
      </c>
      <c r="F15" s="86">
        <v>6</v>
      </c>
      <c r="G15" s="86">
        <v>10</v>
      </c>
      <c r="H15" s="86">
        <v>18</v>
      </c>
      <c r="I15" s="38" t="s">
        <v>11912</v>
      </c>
      <c r="J15" s="38"/>
      <c r="K15" s="38"/>
      <c r="L15" s="38" t="s">
        <v>5879</v>
      </c>
    </row>
    <row r="16" spans="1:12" ht="210" customHeight="1">
      <c r="A16" s="38" t="s">
        <v>567</v>
      </c>
      <c r="B16" s="38" t="s">
        <v>3263</v>
      </c>
      <c r="C16" s="38" t="s">
        <v>5880</v>
      </c>
      <c r="D16" s="38" t="s">
        <v>3265</v>
      </c>
      <c r="E16" s="38" t="s">
        <v>3266</v>
      </c>
      <c r="F16" s="86">
        <v>0</v>
      </c>
      <c r="G16" s="86">
        <v>0</v>
      </c>
      <c r="H16" s="86">
        <v>0</v>
      </c>
      <c r="I16" s="38" t="s">
        <v>3264</v>
      </c>
      <c r="J16" s="38"/>
      <c r="K16" s="38" t="s">
        <v>298</v>
      </c>
      <c r="L16" s="38"/>
    </row>
    <row r="17" spans="1:12" ht="210" customHeight="1">
      <c r="A17" s="38" t="s">
        <v>579</v>
      </c>
      <c r="B17" s="38" t="s">
        <v>3267</v>
      </c>
      <c r="C17" s="38" t="s">
        <v>5881</v>
      </c>
      <c r="D17" s="38" t="s">
        <v>3269</v>
      </c>
      <c r="E17" s="38" t="s">
        <v>3270</v>
      </c>
      <c r="F17" s="86">
        <v>6</v>
      </c>
      <c r="G17" s="86">
        <v>9</v>
      </c>
      <c r="H17" s="86">
        <v>14</v>
      </c>
      <c r="I17" s="38" t="s">
        <v>11913</v>
      </c>
      <c r="J17" s="38"/>
      <c r="K17" s="38"/>
      <c r="L17" s="38" t="s">
        <v>5882</v>
      </c>
    </row>
    <row r="18" spans="1:12" ht="210" customHeight="1">
      <c r="A18" s="38" t="s">
        <v>595</v>
      </c>
      <c r="B18" s="38" t="s">
        <v>3271</v>
      </c>
      <c r="C18" s="38" t="s">
        <v>5883</v>
      </c>
      <c r="D18" s="38" t="s">
        <v>3273</v>
      </c>
      <c r="E18" s="38" t="s">
        <v>3274</v>
      </c>
      <c r="F18" s="86">
        <v>0</v>
      </c>
      <c r="G18" s="86">
        <v>0</v>
      </c>
      <c r="H18" s="86">
        <v>0</v>
      </c>
      <c r="I18" s="38" t="s">
        <v>3272</v>
      </c>
      <c r="J18" s="38"/>
      <c r="K18" s="38" t="s">
        <v>606</v>
      </c>
      <c r="L18" s="38"/>
    </row>
    <row r="19" spans="1:12" ht="210" customHeight="1">
      <c r="A19" s="38" t="s">
        <v>610</v>
      </c>
      <c r="B19" s="38" t="s">
        <v>3275</v>
      </c>
      <c r="C19" s="38" t="s">
        <v>5884</v>
      </c>
      <c r="D19" s="38" t="s">
        <v>3277</v>
      </c>
      <c r="E19" s="38" t="s">
        <v>3278</v>
      </c>
      <c r="F19" s="86">
        <v>10</v>
      </c>
      <c r="G19" s="86">
        <v>16</v>
      </c>
      <c r="H19" s="86">
        <v>26</v>
      </c>
      <c r="I19" s="38" t="s">
        <v>11914</v>
      </c>
      <c r="J19" s="38"/>
      <c r="K19" s="38"/>
      <c r="L19" s="38" t="s">
        <v>5885</v>
      </c>
    </row>
    <row r="20" spans="1:12" ht="210" customHeight="1">
      <c r="A20" s="38" t="s">
        <v>622</v>
      </c>
      <c r="B20" s="38" t="s">
        <v>3279</v>
      </c>
      <c r="C20" s="38" t="s">
        <v>5886</v>
      </c>
      <c r="D20" s="38" t="s">
        <v>3281</v>
      </c>
      <c r="E20" s="38" t="s">
        <v>3282</v>
      </c>
      <c r="F20" s="86">
        <v>10</v>
      </c>
      <c r="G20" s="86">
        <v>16</v>
      </c>
      <c r="H20" s="86">
        <v>26</v>
      </c>
      <c r="I20" s="38" t="s">
        <v>11915</v>
      </c>
      <c r="J20" s="38"/>
      <c r="K20" s="38"/>
      <c r="L20" s="38" t="s">
        <v>5887</v>
      </c>
    </row>
    <row r="21" spans="1:12" ht="210" customHeight="1">
      <c r="A21" s="38" t="s">
        <v>629</v>
      </c>
      <c r="B21" s="38" t="s">
        <v>3283</v>
      </c>
      <c r="C21" s="38" t="s">
        <v>5888</v>
      </c>
      <c r="D21" s="38" t="s">
        <v>3285</v>
      </c>
      <c r="E21" s="38" t="s">
        <v>3286</v>
      </c>
      <c r="F21" s="86">
        <v>10</v>
      </c>
      <c r="G21" s="86">
        <v>16</v>
      </c>
      <c r="H21" s="86">
        <v>28</v>
      </c>
      <c r="I21" s="38" t="s">
        <v>11916</v>
      </c>
      <c r="J21" s="38"/>
      <c r="K21" s="38"/>
      <c r="L21" s="38" t="s">
        <v>5889</v>
      </c>
    </row>
    <row r="22" spans="1:12" ht="210" customHeight="1">
      <c r="A22" s="38" t="s">
        <v>636</v>
      </c>
      <c r="B22" s="38" t="s">
        <v>3287</v>
      </c>
      <c r="C22" s="38" t="s">
        <v>5890</v>
      </c>
      <c r="D22" s="38" t="s">
        <v>3289</v>
      </c>
      <c r="E22" s="38" t="s">
        <v>3290</v>
      </c>
      <c r="F22" s="86">
        <v>5</v>
      </c>
      <c r="G22" s="86">
        <v>8</v>
      </c>
      <c r="H22" s="86">
        <v>13</v>
      </c>
      <c r="I22" s="38" t="s">
        <v>11917</v>
      </c>
      <c r="J22" s="38"/>
      <c r="K22" s="38"/>
      <c r="L22" s="38" t="s">
        <v>5891</v>
      </c>
    </row>
    <row r="23" spans="1:12" ht="210" customHeight="1">
      <c r="A23" s="38" t="s">
        <v>648</v>
      </c>
      <c r="B23" s="38" t="s">
        <v>3291</v>
      </c>
      <c r="C23" s="38" t="s">
        <v>5892</v>
      </c>
      <c r="D23" s="38" t="s">
        <v>3293</v>
      </c>
      <c r="E23" s="38" t="s">
        <v>3294</v>
      </c>
      <c r="F23" s="86">
        <v>5</v>
      </c>
      <c r="G23" s="86">
        <v>8</v>
      </c>
      <c r="H23" s="86">
        <v>14</v>
      </c>
      <c r="I23" s="38" t="s">
        <v>11918</v>
      </c>
      <c r="J23" s="38"/>
      <c r="K23" s="38"/>
      <c r="L23" s="38" t="s">
        <v>5893</v>
      </c>
    </row>
    <row r="24" spans="1:12" ht="210" customHeight="1">
      <c r="A24" s="38" t="s">
        <v>659</v>
      </c>
      <c r="B24" s="38" t="s">
        <v>3295</v>
      </c>
      <c r="C24" s="38" t="s">
        <v>5894</v>
      </c>
      <c r="D24" s="38" t="s">
        <v>3297</v>
      </c>
      <c r="E24" s="38" t="s">
        <v>3298</v>
      </c>
      <c r="F24" s="86">
        <v>6</v>
      </c>
      <c r="G24" s="86">
        <v>11</v>
      </c>
      <c r="H24" s="86">
        <v>18</v>
      </c>
      <c r="I24" s="38" t="s">
        <v>11919</v>
      </c>
      <c r="J24" s="38"/>
      <c r="K24" s="38"/>
      <c r="L24" s="38" t="s">
        <v>5895</v>
      </c>
    </row>
    <row r="25" spans="1:12" ht="210" customHeight="1">
      <c r="A25" s="38" t="s">
        <v>671</v>
      </c>
      <c r="B25" s="38" t="s">
        <v>3299</v>
      </c>
      <c r="C25" s="38" t="s">
        <v>5896</v>
      </c>
      <c r="D25" s="38" t="s">
        <v>3301</v>
      </c>
      <c r="E25" s="38" t="s">
        <v>3302</v>
      </c>
      <c r="F25" s="86">
        <v>0</v>
      </c>
      <c r="G25" s="86">
        <v>0</v>
      </c>
      <c r="H25" s="86">
        <v>0</v>
      </c>
      <c r="I25" s="38" t="s">
        <v>3300</v>
      </c>
      <c r="J25" s="38"/>
      <c r="K25" s="38" t="s">
        <v>682</v>
      </c>
      <c r="L25" s="38"/>
    </row>
    <row r="26" spans="1:12" ht="210" customHeight="1">
      <c r="A26" s="38" t="s">
        <v>686</v>
      </c>
      <c r="B26" s="38" t="s">
        <v>3303</v>
      </c>
      <c r="C26" s="38" t="s">
        <v>5897</v>
      </c>
      <c r="D26" s="38" t="s">
        <v>3305</v>
      </c>
      <c r="E26" s="38" t="s">
        <v>3306</v>
      </c>
      <c r="F26" s="86">
        <v>0</v>
      </c>
      <c r="G26" s="86">
        <v>0</v>
      </c>
      <c r="H26" s="86">
        <v>0</v>
      </c>
      <c r="I26" s="38" t="s">
        <v>3304</v>
      </c>
      <c r="J26" s="38"/>
      <c r="K26" s="38" t="s">
        <v>695</v>
      </c>
      <c r="L26" s="38"/>
    </row>
    <row r="27" spans="1:12" ht="210" customHeight="1">
      <c r="A27" s="38" t="s">
        <v>696</v>
      </c>
      <c r="B27" s="38" t="s">
        <v>3307</v>
      </c>
      <c r="C27" s="38" t="s">
        <v>5898</v>
      </c>
      <c r="D27" s="38" t="s">
        <v>3309</v>
      </c>
      <c r="E27" s="38" t="s">
        <v>3310</v>
      </c>
      <c r="F27" s="86">
        <v>5</v>
      </c>
      <c r="G27" s="86">
        <v>9</v>
      </c>
      <c r="H27" s="86">
        <v>15</v>
      </c>
      <c r="I27" s="38" t="s">
        <v>11920</v>
      </c>
      <c r="J27" s="38"/>
      <c r="K27" s="38" t="s">
        <v>5899</v>
      </c>
      <c r="L27" s="38" t="s">
        <v>5900</v>
      </c>
    </row>
    <row r="28" spans="1:12" ht="210" customHeight="1">
      <c r="A28" s="38" t="s">
        <v>710</v>
      </c>
      <c r="B28" s="38" t="s">
        <v>3311</v>
      </c>
      <c r="C28" s="38" t="s">
        <v>5901</v>
      </c>
      <c r="D28" s="38" t="s">
        <v>3313</v>
      </c>
      <c r="E28" s="38" t="s">
        <v>3314</v>
      </c>
      <c r="F28" s="86">
        <v>0</v>
      </c>
      <c r="G28" s="86">
        <v>0</v>
      </c>
      <c r="H28" s="86">
        <v>0</v>
      </c>
      <c r="I28" s="38" t="s">
        <v>3312</v>
      </c>
      <c r="J28" s="38"/>
      <c r="K28" s="38" t="s">
        <v>718</v>
      </c>
      <c r="L28" s="38"/>
    </row>
    <row r="29" spans="1:12" ht="210" customHeight="1">
      <c r="A29" s="38" t="s">
        <v>723</v>
      </c>
      <c r="B29" s="38" t="s">
        <v>3315</v>
      </c>
      <c r="C29" s="38" t="s">
        <v>5902</v>
      </c>
      <c r="D29" s="38" t="s">
        <v>3317</v>
      </c>
      <c r="E29" s="38" t="s">
        <v>3318</v>
      </c>
      <c r="F29" s="86">
        <v>6</v>
      </c>
      <c r="G29" s="86">
        <v>10</v>
      </c>
      <c r="H29" s="86">
        <v>16</v>
      </c>
      <c r="I29" s="38" t="s">
        <v>11921</v>
      </c>
      <c r="J29" s="38"/>
      <c r="K29" s="38"/>
      <c r="L29" s="38" t="s">
        <v>11922</v>
      </c>
    </row>
    <row r="30" spans="1:12" ht="210" customHeight="1">
      <c r="A30" s="38" t="s">
        <v>737</v>
      </c>
      <c r="B30" s="38" t="s">
        <v>3319</v>
      </c>
      <c r="C30" s="38" t="s">
        <v>5904</v>
      </c>
      <c r="D30" s="38" t="s">
        <v>3321</v>
      </c>
      <c r="E30" s="38" t="s">
        <v>3322</v>
      </c>
      <c r="F30" s="86">
        <v>8</v>
      </c>
      <c r="G30" s="86">
        <v>14</v>
      </c>
      <c r="H30" s="86">
        <v>22</v>
      </c>
      <c r="I30" s="38" t="s">
        <v>11923</v>
      </c>
      <c r="J30" s="38"/>
      <c r="K30" s="38"/>
      <c r="L30" s="38" t="s">
        <v>5905</v>
      </c>
    </row>
    <row r="31" spans="1:12" ht="210" customHeight="1">
      <c r="A31" s="38" t="s">
        <v>749</v>
      </c>
      <c r="B31" s="38" t="s">
        <v>3323</v>
      </c>
      <c r="C31" s="38" t="s">
        <v>5906</v>
      </c>
      <c r="D31" s="38" t="s">
        <v>3325</v>
      </c>
      <c r="E31" s="38" t="s">
        <v>3326</v>
      </c>
      <c r="F31" s="86">
        <v>0</v>
      </c>
      <c r="G31" s="86">
        <v>0</v>
      </c>
      <c r="H31" s="86">
        <v>0</v>
      </c>
      <c r="I31" s="38" t="s">
        <v>3324</v>
      </c>
      <c r="J31" s="38"/>
      <c r="K31" s="38" t="s">
        <v>5907</v>
      </c>
      <c r="L31" s="38"/>
    </row>
    <row r="32" spans="1:12" ht="210" customHeight="1">
      <c r="A32" s="38" t="s">
        <v>759</v>
      </c>
      <c r="B32" s="38" t="s">
        <v>3327</v>
      </c>
      <c r="C32" s="38" t="s">
        <v>5908</v>
      </c>
      <c r="D32" s="38" t="s">
        <v>3329</v>
      </c>
      <c r="E32" s="38" t="s">
        <v>3330</v>
      </c>
      <c r="F32" s="86">
        <v>2</v>
      </c>
      <c r="G32" s="86">
        <v>4</v>
      </c>
      <c r="H32" s="86">
        <v>7</v>
      </c>
      <c r="I32" s="38" t="s">
        <v>11924</v>
      </c>
      <c r="J32" s="38"/>
      <c r="K32" s="38" t="s">
        <v>5909</v>
      </c>
      <c r="L32" s="38" t="s">
        <v>5910</v>
      </c>
    </row>
    <row r="33" spans="1:12" ht="210" customHeight="1">
      <c r="A33" s="38" t="s">
        <v>772</v>
      </c>
      <c r="B33" s="38" t="s">
        <v>11783</v>
      </c>
      <c r="C33" s="38" t="s">
        <v>11785</v>
      </c>
      <c r="D33" s="38" t="s">
        <v>3333</v>
      </c>
      <c r="E33" s="38" t="s">
        <v>3334</v>
      </c>
      <c r="F33" s="86">
        <v>16</v>
      </c>
      <c r="G33" s="86">
        <v>26</v>
      </c>
      <c r="H33" s="86">
        <v>42</v>
      </c>
      <c r="I33" s="38" t="s">
        <v>11925</v>
      </c>
      <c r="J33" s="38" t="s">
        <v>11788</v>
      </c>
      <c r="K33" s="38" t="s">
        <v>5912</v>
      </c>
      <c r="L33" s="38" t="s">
        <v>781</v>
      </c>
    </row>
    <row r="34" spans="1:12" ht="210" customHeight="1">
      <c r="A34" s="38" t="s">
        <v>787</v>
      </c>
      <c r="B34" s="38" t="s">
        <v>3335</v>
      </c>
      <c r="C34" s="38" t="s">
        <v>5913</v>
      </c>
      <c r="D34" s="38" t="s">
        <v>3337</v>
      </c>
      <c r="E34" s="38" t="s">
        <v>3338</v>
      </c>
      <c r="F34" s="86">
        <v>1</v>
      </c>
      <c r="G34" s="86">
        <v>3</v>
      </c>
      <c r="H34" s="86">
        <v>6</v>
      </c>
      <c r="I34" s="38" t="s">
        <v>11926</v>
      </c>
      <c r="J34" s="38" t="s">
        <v>11927</v>
      </c>
      <c r="K34" s="38" t="s">
        <v>5914</v>
      </c>
      <c r="L34" s="38" t="s">
        <v>5915</v>
      </c>
    </row>
    <row r="35" spans="1:12" ht="210" customHeight="1">
      <c r="A35" s="38" t="s">
        <v>1117</v>
      </c>
      <c r="B35" s="38" t="s">
        <v>3339</v>
      </c>
      <c r="C35" s="38" t="s">
        <v>11928</v>
      </c>
      <c r="D35" s="38" t="s">
        <v>3341</v>
      </c>
      <c r="E35" s="38" t="s">
        <v>3342</v>
      </c>
      <c r="F35" s="86">
        <v>12</v>
      </c>
      <c r="G35" s="86">
        <v>20</v>
      </c>
      <c r="H35" s="86">
        <v>32</v>
      </c>
      <c r="I35" s="38" t="s">
        <v>11929</v>
      </c>
      <c r="J35" s="38" t="s">
        <v>11930</v>
      </c>
      <c r="K35" s="38"/>
      <c r="L35" s="38" t="s">
        <v>11931</v>
      </c>
    </row>
    <row r="36" spans="1:12" ht="210" customHeight="1">
      <c r="A36" s="38" t="s">
        <v>1149</v>
      </c>
      <c r="B36" s="38" t="s">
        <v>3343</v>
      </c>
      <c r="C36" s="38" t="s">
        <v>11932</v>
      </c>
      <c r="D36" s="38" t="s">
        <v>3345</v>
      </c>
      <c r="E36" s="38" t="s">
        <v>3346</v>
      </c>
      <c r="F36" s="86">
        <v>10</v>
      </c>
      <c r="G36" s="86">
        <v>18</v>
      </c>
      <c r="H36" s="86">
        <v>30</v>
      </c>
      <c r="I36" s="38" t="s">
        <v>11933</v>
      </c>
      <c r="J36" s="38" t="s">
        <v>11934</v>
      </c>
      <c r="K36" s="38"/>
      <c r="L36" s="38" t="s">
        <v>11935</v>
      </c>
    </row>
    <row r="37" spans="1:12" ht="210" customHeight="1">
      <c r="A37" s="38" t="s">
        <v>1160</v>
      </c>
      <c r="B37" s="38" t="s">
        <v>3347</v>
      </c>
      <c r="C37" s="38" t="s">
        <v>11936</v>
      </c>
      <c r="D37" s="38" t="s">
        <v>3349</v>
      </c>
      <c r="E37" s="38" t="s">
        <v>3350</v>
      </c>
      <c r="F37" s="86">
        <v>12</v>
      </c>
      <c r="G37" s="86">
        <v>20</v>
      </c>
      <c r="H37" s="86">
        <v>36</v>
      </c>
      <c r="I37" s="38" t="s">
        <v>11937</v>
      </c>
      <c r="J37" s="38" t="s">
        <v>11938</v>
      </c>
      <c r="K37" s="38"/>
      <c r="L37" s="38" t="s">
        <v>11939</v>
      </c>
    </row>
    <row r="38" spans="1:12" ht="210" customHeight="1">
      <c r="A38" s="38" t="s">
        <v>1242</v>
      </c>
      <c r="B38" s="38" t="s">
        <v>3351</v>
      </c>
      <c r="C38" s="38" t="s">
        <v>11940</v>
      </c>
      <c r="D38" s="38" t="s">
        <v>3353</v>
      </c>
      <c r="E38" s="38" t="s">
        <v>3354</v>
      </c>
      <c r="F38" s="86">
        <v>16</v>
      </c>
      <c r="G38" s="86">
        <v>28</v>
      </c>
      <c r="H38" s="86">
        <v>44</v>
      </c>
      <c r="I38" s="38" t="s">
        <v>11941</v>
      </c>
      <c r="J38" s="38" t="s">
        <v>11942</v>
      </c>
      <c r="K38" s="38"/>
      <c r="L38" s="38" t="s">
        <v>11943</v>
      </c>
    </row>
    <row r="39" spans="1:12" ht="210" customHeight="1">
      <c r="A39" s="38" t="s">
        <v>1289</v>
      </c>
      <c r="B39" s="38" t="s">
        <v>3355</v>
      </c>
      <c r="C39" s="38" t="s">
        <v>11944</v>
      </c>
      <c r="D39" s="38" t="s">
        <v>3357</v>
      </c>
      <c r="E39" s="38" t="s">
        <v>3358</v>
      </c>
      <c r="F39" s="86">
        <v>8</v>
      </c>
      <c r="G39" s="86">
        <v>14</v>
      </c>
      <c r="H39" s="86">
        <v>24</v>
      </c>
      <c r="I39" s="38" t="s">
        <v>11945</v>
      </c>
      <c r="J39" s="38" t="s">
        <v>11946</v>
      </c>
      <c r="K39" s="38"/>
      <c r="L39" s="38" t="s">
        <v>11947</v>
      </c>
    </row>
    <row r="40" spans="1:12" ht="210" customHeight="1">
      <c r="A40" s="38" t="s">
        <v>1296</v>
      </c>
      <c r="B40" s="38" t="s">
        <v>3359</v>
      </c>
      <c r="C40" s="38" t="s">
        <v>11948</v>
      </c>
      <c r="D40" s="38" t="s">
        <v>3361</v>
      </c>
      <c r="E40" s="38" t="s">
        <v>3362</v>
      </c>
      <c r="F40" s="86">
        <v>8</v>
      </c>
      <c r="G40" s="86">
        <v>16</v>
      </c>
      <c r="H40" s="86">
        <v>28</v>
      </c>
      <c r="I40" s="38" t="s">
        <v>11949</v>
      </c>
      <c r="J40" s="38" t="s">
        <v>11950</v>
      </c>
      <c r="K40" s="38"/>
      <c r="L40" s="38" t="s">
        <v>11951</v>
      </c>
    </row>
    <row r="41" spans="1:12" ht="210" customHeight="1">
      <c r="A41" s="38" t="s">
        <v>1310</v>
      </c>
      <c r="B41" s="38" t="s">
        <v>3363</v>
      </c>
      <c r="C41" s="38" t="s">
        <v>11952</v>
      </c>
      <c r="D41" s="38" t="s">
        <v>3365</v>
      </c>
      <c r="E41" s="38" t="s">
        <v>3366</v>
      </c>
      <c r="F41" s="86">
        <v>8</v>
      </c>
      <c r="G41" s="86">
        <v>14</v>
      </c>
      <c r="H41" s="86">
        <v>24</v>
      </c>
      <c r="I41" s="38" t="s">
        <v>11953</v>
      </c>
      <c r="J41" s="38" t="s">
        <v>11954</v>
      </c>
      <c r="K41" s="38"/>
      <c r="L41" s="38" t="s">
        <v>11955</v>
      </c>
    </row>
    <row r="42" spans="1:12" ht="210" customHeight="1">
      <c r="A42" s="38" t="s">
        <v>812</v>
      </c>
      <c r="B42" s="38" t="s">
        <v>3367</v>
      </c>
      <c r="C42" s="38" t="s">
        <v>11956</v>
      </c>
      <c r="D42" s="38" t="s">
        <v>3369</v>
      </c>
      <c r="E42" s="38" t="s">
        <v>3370</v>
      </c>
      <c r="F42" s="86">
        <v>24</v>
      </c>
      <c r="G42" s="86">
        <v>40</v>
      </c>
      <c r="H42" s="86">
        <v>64</v>
      </c>
      <c r="I42" s="38" t="s">
        <v>11957</v>
      </c>
      <c r="J42" s="38" t="s">
        <v>11958</v>
      </c>
      <c r="K42" s="38"/>
      <c r="L42" s="38" t="s">
        <v>11959</v>
      </c>
    </row>
    <row r="43" spans="1:12" ht="210" customHeight="1">
      <c r="A43" s="38" t="s">
        <v>1455</v>
      </c>
      <c r="B43" s="38" t="s">
        <v>3371</v>
      </c>
      <c r="C43" s="38" t="s">
        <v>11960</v>
      </c>
      <c r="D43" s="38" t="s">
        <v>3373</v>
      </c>
      <c r="E43" s="38" t="s">
        <v>3374</v>
      </c>
      <c r="F43" s="86">
        <v>16</v>
      </c>
      <c r="G43" s="86">
        <v>26</v>
      </c>
      <c r="H43" s="86">
        <v>42</v>
      </c>
      <c r="I43" s="38" t="s">
        <v>11961</v>
      </c>
      <c r="J43" s="38"/>
      <c r="K43" s="38"/>
      <c r="L43" s="38" t="s">
        <v>11962</v>
      </c>
    </row>
    <row r="44" spans="1:12" ht="210" customHeight="1">
      <c r="A44" s="38" t="s">
        <v>1586</v>
      </c>
      <c r="B44" s="38" t="s">
        <v>3375</v>
      </c>
      <c r="C44" s="38" t="s">
        <v>11963</v>
      </c>
      <c r="D44" s="38" t="s">
        <v>3377</v>
      </c>
      <c r="E44" s="38" t="s">
        <v>3378</v>
      </c>
      <c r="F44" s="86">
        <v>14</v>
      </c>
      <c r="G44" s="86">
        <v>24</v>
      </c>
      <c r="H44" s="86">
        <v>40</v>
      </c>
      <c r="I44" s="38" t="s">
        <v>11964</v>
      </c>
      <c r="J44" s="38" t="s">
        <v>11965</v>
      </c>
      <c r="K44" s="38"/>
      <c r="L44" s="38" t="s">
        <v>11966</v>
      </c>
    </row>
    <row r="45" spans="1:12" ht="210" customHeight="1">
      <c r="A45" s="38" t="s">
        <v>1593</v>
      </c>
      <c r="B45" s="38" t="s">
        <v>3379</v>
      </c>
      <c r="C45" s="38" t="s">
        <v>11967</v>
      </c>
      <c r="D45" s="38" t="s">
        <v>3381</v>
      </c>
      <c r="E45" s="38" t="s">
        <v>3382</v>
      </c>
      <c r="F45" s="86">
        <v>8</v>
      </c>
      <c r="G45" s="86">
        <v>14</v>
      </c>
      <c r="H45" s="86">
        <v>24</v>
      </c>
      <c r="I45" s="38" t="s">
        <v>11968</v>
      </c>
      <c r="J45" s="38" t="s">
        <v>11969</v>
      </c>
      <c r="K45" s="38"/>
      <c r="L45" s="38" t="s">
        <v>11970</v>
      </c>
    </row>
    <row r="46" spans="1:12" ht="210" customHeight="1">
      <c r="A46" s="38" t="s">
        <v>1625</v>
      </c>
      <c r="B46" s="38" t="s">
        <v>3383</v>
      </c>
      <c r="C46" s="38" t="s">
        <v>11971</v>
      </c>
      <c r="D46" s="38" t="s">
        <v>3385</v>
      </c>
      <c r="E46" s="38" t="s">
        <v>3386</v>
      </c>
      <c r="F46" s="86">
        <v>8</v>
      </c>
      <c r="G46" s="86">
        <v>14</v>
      </c>
      <c r="H46" s="86">
        <v>24</v>
      </c>
      <c r="I46" s="38" t="s">
        <v>11972</v>
      </c>
      <c r="J46" s="38" t="s">
        <v>11973</v>
      </c>
      <c r="K46" s="38"/>
      <c r="L46" s="38" t="s">
        <v>11974</v>
      </c>
    </row>
    <row r="47" spans="1:12" ht="210" customHeight="1">
      <c r="A47" s="38" t="s">
        <v>1655</v>
      </c>
      <c r="B47" s="38" t="s">
        <v>3387</v>
      </c>
      <c r="C47" s="38" t="s">
        <v>11975</v>
      </c>
      <c r="D47" s="38" t="s">
        <v>3389</v>
      </c>
      <c r="E47" s="38" t="s">
        <v>3390</v>
      </c>
      <c r="F47" s="86">
        <v>8</v>
      </c>
      <c r="G47" s="86">
        <v>14</v>
      </c>
      <c r="H47" s="86">
        <v>24</v>
      </c>
      <c r="I47" s="38" t="s">
        <v>11976</v>
      </c>
      <c r="J47" s="38"/>
      <c r="K47" s="38"/>
      <c r="L47" s="38" t="s">
        <v>11977</v>
      </c>
    </row>
    <row r="48" spans="1:12" ht="210" customHeight="1">
      <c r="A48" s="38" t="s">
        <v>1685</v>
      </c>
      <c r="B48" s="38" t="s">
        <v>3391</v>
      </c>
      <c r="C48" s="38" t="s">
        <v>11978</v>
      </c>
      <c r="D48" s="38" t="s">
        <v>3393</v>
      </c>
      <c r="E48" s="38" t="s">
        <v>3394</v>
      </c>
      <c r="F48" s="86">
        <v>8</v>
      </c>
      <c r="G48" s="86">
        <v>14</v>
      </c>
      <c r="H48" s="86">
        <v>24</v>
      </c>
      <c r="I48" s="38" t="s">
        <v>11979</v>
      </c>
      <c r="J48" s="38"/>
      <c r="K48" s="38"/>
      <c r="L48" s="38" t="s">
        <v>11980</v>
      </c>
    </row>
    <row r="49" spans="1:12" ht="210" customHeight="1">
      <c r="A49" s="38" t="s">
        <v>1766</v>
      </c>
      <c r="B49" s="38" t="s">
        <v>3395</v>
      </c>
      <c r="C49" s="38" t="s">
        <v>11981</v>
      </c>
      <c r="D49" s="38" t="s">
        <v>3397</v>
      </c>
      <c r="E49" s="38" t="s">
        <v>3398</v>
      </c>
      <c r="F49" s="86">
        <v>10</v>
      </c>
      <c r="G49" s="86">
        <v>18</v>
      </c>
      <c r="H49" s="86">
        <v>30</v>
      </c>
      <c r="I49" s="38" t="s">
        <v>11982</v>
      </c>
      <c r="J49" s="38" t="s">
        <v>11983</v>
      </c>
      <c r="K49" s="38"/>
      <c r="L49" s="38" t="s">
        <v>11984</v>
      </c>
    </row>
    <row r="50" spans="1:12" ht="210" customHeight="1">
      <c r="A50" s="38" t="s">
        <v>1791</v>
      </c>
      <c r="B50" s="38" t="s">
        <v>3399</v>
      </c>
      <c r="C50" s="38" t="s">
        <v>11985</v>
      </c>
      <c r="D50" s="38" t="s">
        <v>3401</v>
      </c>
      <c r="E50" s="38" t="s">
        <v>3402</v>
      </c>
      <c r="F50" s="86">
        <v>28</v>
      </c>
      <c r="G50" s="86">
        <v>44</v>
      </c>
      <c r="H50" s="86">
        <v>68</v>
      </c>
      <c r="I50" s="38" t="s">
        <v>11986</v>
      </c>
      <c r="J50" s="38" t="s">
        <v>11987</v>
      </c>
      <c r="K50" s="38"/>
      <c r="L50" s="38" t="s">
        <v>11988</v>
      </c>
    </row>
    <row r="51" spans="1:12" ht="210" customHeight="1">
      <c r="A51" s="38" t="s">
        <v>1817</v>
      </c>
      <c r="B51" s="38" t="s">
        <v>3403</v>
      </c>
      <c r="C51" s="38" t="s">
        <v>5916</v>
      </c>
      <c r="D51" s="38" t="s">
        <v>3405</v>
      </c>
      <c r="E51" s="38" t="s">
        <v>3406</v>
      </c>
      <c r="F51" s="86">
        <v>6</v>
      </c>
      <c r="G51" s="86">
        <v>10</v>
      </c>
      <c r="H51" s="86">
        <v>16</v>
      </c>
      <c r="I51" s="38" t="s">
        <v>11989</v>
      </c>
      <c r="J51" s="38"/>
      <c r="K51" s="38"/>
      <c r="L51" s="38" t="s">
        <v>5917</v>
      </c>
    </row>
    <row r="52" spans="1:12" ht="210" customHeight="1">
      <c r="A52" s="38" t="s">
        <v>1821</v>
      </c>
      <c r="B52" s="38" t="s">
        <v>3407</v>
      </c>
      <c r="C52" s="38" t="s">
        <v>11990</v>
      </c>
      <c r="D52" s="38" t="s">
        <v>3409</v>
      </c>
      <c r="E52" s="38" t="s">
        <v>3410</v>
      </c>
      <c r="F52" s="86">
        <v>24</v>
      </c>
      <c r="G52" s="86">
        <v>40</v>
      </c>
      <c r="H52" s="86">
        <v>64</v>
      </c>
      <c r="I52" s="38" t="s">
        <v>11991</v>
      </c>
      <c r="J52" s="38" t="s">
        <v>11992</v>
      </c>
      <c r="K52" s="38"/>
      <c r="L52" s="38" t="s">
        <v>11993</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130"/>
  <sheetViews>
    <sheetView workbookViewId="0"/>
  </sheetViews>
  <sheetFormatPr defaultRowHeight="14.25"/>
  <cols>
    <col min="1" max="1" width="12" customWidth="1"/>
    <col min="2" max="2" width="56" customWidth="1"/>
    <col min="3" max="3" width="32" customWidth="1"/>
    <col min="4" max="5" width="12" customWidth="1"/>
    <col min="6" max="6" width="90" customWidth="1"/>
    <col min="7" max="7" width="55" customWidth="1"/>
    <col min="8" max="8" width="38" customWidth="1"/>
  </cols>
  <sheetData>
    <row r="1" spans="1:8" ht="30" customHeight="1">
      <c r="A1" s="84" t="s">
        <v>2392</v>
      </c>
      <c r="B1" s="84" t="s">
        <v>11994</v>
      </c>
      <c r="C1" s="84" t="s">
        <v>11995</v>
      </c>
      <c r="D1" s="84" t="s">
        <v>11996</v>
      </c>
      <c r="E1" s="84" t="s">
        <v>11997</v>
      </c>
      <c r="F1" s="84" t="s">
        <v>11998</v>
      </c>
      <c r="G1" s="84" t="s">
        <v>11999</v>
      </c>
      <c r="H1" s="84" t="s">
        <v>12000</v>
      </c>
    </row>
    <row r="2" spans="1:8" ht="140.1" customHeight="1">
      <c r="A2" s="38" t="s">
        <v>425</v>
      </c>
      <c r="B2" s="38" t="s">
        <v>12001</v>
      </c>
      <c r="C2" s="38" t="s">
        <v>12002</v>
      </c>
      <c r="D2" s="38">
        <v>145</v>
      </c>
      <c r="E2" s="38">
        <v>217</v>
      </c>
      <c r="F2" s="38" t="s">
        <v>12003</v>
      </c>
      <c r="G2" s="38" t="s">
        <v>12004</v>
      </c>
      <c r="H2" s="38" t="s">
        <v>12005</v>
      </c>
    </row>
    <row r="3" spans="1:8" ht="140.1" customHeight="1">
      <c r="A3" s="38" t="s">
        <v>425</v>
      </c>
      <c r="B3" s="38" t="s">
        <v>12001</v>
      </c>
      <c r="C3" s="38" t="s">
        <v>12006</v>
      </c>
      <c r="D3" s="38">
        <v>218</v>
      </c>
      <c r="E3" s="38">
        <v>260</v>
      </c>
      <c r="F3" s="38" t="s">
        <v>12007</v>
      </c>
      <c r="G3" s="38" t="s">
        <v>12004</v>
      </c>
      <c r="H3" s="38" t="s">
        <v>12005</v>
      </c>
    </row>
    <row r="4" spans="1:8" ht="140.1" customHeight="1">
      <c r="A4" s="38" t="s">
        <v>439</v>
      </c>
      <c r="B4" s="38" t="s">
        <v>12008</v>
      </c>
      <c r="C4" s="38" t="s">
        <v>12009</v>
      </c>
      <c r="D4" s="38">
        <v>34</v>
      </c>
      <c r="E4" s="38">
        <v>113</v>
      </c>
      <c r="F4" s="38" t="s">
        <v>12010</v>
      </c>
      <c r="G4" s="38" t="s">
        <v>12011</v>
      </c>
      <c r="H4" s="38" t="s">
        <v>12005</v>
      </c>
    </row>
    <row r="5" spans="1:8" ht="140.1" customHeight="1">
      <c r="A5" s="38" t="s">
        <v>439</v>
      </c>
      <c r="B5" s="38" t="s">
        <v>12012</v>
      </c>
      <c r="C5" s="38" t="s">
        <v>12013</v>
      </c>
      <c r="D5" s="38">
        <v>55</v>
      </c>
      <c r="E5" s="38">
        <v>96</v>
      </c>
      <c r="F5" s="38" t="s">
        <v>12014</v>
      </c>
      <c r="G5" s="38" t="s">
        <v>12015</v>
      </c>
      <c r="H5" s="38" t="s">
        <v>12005</v>
      </c>
    </row>
    <row r="6" spans="1:8" ht="140.1" customHeight="1">
      <c r="A6" s="38" t="s">
        <v>445</v>
      </c>
      <c r="B6" s="38" t="s">
        <v>12012</v>
      </c>
      <c r="C6" s="38" t="s">
        <v>12016</v>
      </c>
      <c r="D6" s="38">
        <v>12</v>
      </c>
      <c r="E6" s="38">
        <v>44</v>
      </c>
      <c r="F6" s="38" t="s">
        <v>12017</v>
      </c>
      <c r="G6" s="38" t="s">
        <v>12015</v>
      </c>
      <c r="H6" s="38" t="s">
        <v>12005</v>
      </c>
    </row>
    <row r="7" spans="1:8" ht="140.1" customHeight="1">
      <c r="A7" s="38" t="s">
        <v>445</v>
      </c>
      <c r="B7" s="38" t="s">
        <v>12012</v>
      </c>
      <c r="C7" s="38" t="s">
        <v>12018</v>
      </c>
      <c r="D7" s="38">
        <v>55</v>
      </c>
      <c r="E7" s="38">
        <v>114</v>
      </c>
      <c r="F7" s="38" t="s">
        <v>12019</v>
      </c>
      <c r="G7" s="38" t="s">
        <v>12015</v>
      </c>
      <c r="H7" s="38" t="s">
        <v>12005</v>
      </c>
    </row>
    <row r="8" spans="1:8" ht="140.1" customHeight="1">
      <c r="A8" s="38" t="s">
        <v>451</v>
      </c>
      <c r="B8" s="38" t="s">
        <v>12020</v>
      </c>
      <c r="C8" s="38" t="s">
        <v>12021</v>
      </c>
      <c r="D8" s="38">
        <v>21</v>
      </c>
      <c r="E8" s="38">
        <v>92</v>
      </c>
      <c r="F8" s="38" t="s">
        <v>12022</v>
      </c>
      <c r="G8" s="38" t="s">
        <v>12023</v>
      </c>
      <c r="H8" s="38" t="s">
        <v>12005</v>
      </c>
    </row>
    <row r="9" spans="1:8" ht="140.1" customHeight="1">
      <c r="A9" s="38" t="s">
        <v>451</v>
      </c>
      <c r="B9" s="38" t="s">
        <v>12008</v>
      </c>
      <c r="C9" s="38" t="s">
        <v>12024</v>
      </c>
      <c r="D9" s="38">
        <v>62</v>
      </c>
      <c r="E9" s="38">
        <v>113</v>
      </c>
      <c r="F9" s="38" t="s">
        <v>12025</v>
      </c>
      <c r="G9" s="38" t="s">
        <v>12011</v>
      </c>
      <c r="H9" s="38" t="s">
        <v>12005</v>
      </c>
    </row>
    <row r="10" spans="1:8" ht="140.1" customHeight="1">
      <c r="A10" s="38" t="s">
        <v>463</v>
      </c>
      <c r="B10" s="38" t="s">
        <v>12026</v>
      </c>
      <c r="C10" s="38" t="s">
        <v>12027</v>
      </c>
      <c r="D10" s="38">
        <v>141</v>
      </c>
      <c r="E10" s="38">
        <v>181</v>
      </c>
      <c r="F10" s="38" t="s">
        <v>12028</v>
      </c>
      <c r="G10" s="38" t="s">
        <v>12029</v>
      </c>
      <c r="H10" s="38" t="s">
        <v>12005</v>
      </c>
    </row>
    <row r="11" spans="1:8" ht="140.1" customHeight="1">
      <c r="A11" s="38" t="s">
        <v>463</v>
      </c>
      <c r="B11" s="38" t="s">
        <v>12030</v>
      </c>
      <c r="C11" s="38" t="s">
        <v>12031</v>
      </c>
      <c r="D11" s="38">
        <v>8</v>
      </c>
      <c r="E11" s="38">
        <v>33</v>
      </c>
      <c r="F11" s="38" t="s">
        <v>12032</v>
      </c>
      <c r="G11" s="38" t="s">
        <v>12033</v>
      </c>
      <c r="H11" s="38" t="s">
        <v>12005</v>
      </c>
    </row>
    <row r="12" spans="1:8" ht="140.1" customHeight="1">
      <c r="A12" s="38" t="s">
        <v>463</v>
      </c>
      <c r="B12" s="38" t="s">
        <v>12034</v>
      </c>
      <c r="C12" s="38" t="s">
        <v>12035</v>
      </c>
      <c r="D12" s="38">
        <v>3</v>
      </c>
      <c r="E12" s="38">
        <v>20</v>
      </c>
      <c r="F12" s="38" t="s">
        <v>12036</v>
      </c>
      <c r="G12" s="38" t="s">
        <v>12037</v>
      </c>
      <c r="H12" s="38" t="s">
        <v>12005</v>
      </c>
    </row>
    <row r="13" spans="1:8" ht="140.1" customHeight="1">
      <c r="A13" s="38" t="s">
        <v>476</v>
      </c>
      <c r="B13" s="38" t="s">
        <v>12030</v>
      </c>
      <c r="C13" s="38" t="s">
        <v>12038</v>
      </c>
      <c r="D13" s="38">
        <v>8</v>
      </c>
      <c r="E13" s="38">
        <v>13</v>
      </c>
      <c r="F13" s="38" t="s">
        <v>12039</v>
      </c>
      <c r="G13" s="38" t="s">
        <v>12033</v>
      </c>
      <c r="H13" s="38" t="s">
        <v>12005</v>
      </c>
    </row>
    <row r="14" spans="1:8" ht="140.1" customHeight="1">
      <c r="A14" s="38" t="s">
        <v>476</v>
      </c>
      <c r="B14" s="38" t="s">
        <v>12026</v>
      </c>
      <c r="C14" s="38" t="s">
        <v>12040</v>
      </c>
      <c r="D14" s="38">
        <v>630</v>
      </c>
      <c r="E14" s="38">
        <v>690</v>
      </c>
      <c r="F14" s="38" t="s">
        <v>12041</v>
      </c>
      <c r="G14" s="38" t="s">
        <v>12029</v>
      </c>
      <c r="H14" s="38" t="s">
        <v>12005</v>
      </c>
    </row>
    <row r="15" spans="1:8" ht="140.1" customHeight="1">
      <c r="A15" s="38" t="s">
        <v>489</v>
      </c>
      <c r="B15" s="38" t="s">
        <v>12030</v>
      </c>
      <c r="C15" s="38" t="s">
        <v>12042</v>
      </c>
      <c r="D15" s="38">
        <v>8</v>
      </c>
      <c r="E15" s="38">
        <v>33</v>
      </c>
      <c r="F15" s="38" t="s">
        <v>12032</v>
      </c>
      <c r="G15" s="38" t="s">
        <v>12033</v>
      </c>
      <c r="H15" s="38" t="s">
        <v>12005</v>
      </c>
    </row>
    <row r="16" spans="1:8" ht="140.1" customHeight="1">
      <c r="A16" s="38" t="s">
        <v>489</v>
      </c>
      <c r="B16" s="38" t="s">
        <v>12043</v>
      </c>
      <c r="C16" s="38" t="s">
        <v>12044</v>
      </c>
      <c r="D16" s="38">
        <v>85</v>
      </c>
      <c r="E16" s="38">
        <v>110</v>
      </c>
      <c r="F16" s="38" t="s">
        <v>12045</v>
      </c>
      <c r="G16" s="38" t="s">
        <v>12046</v>
      </c>
      <c r="H16" s="38" t="s">
        <v>12005</v>
      </c>
    </row>
    <row r="17" spans="1:8" ht="140.1" customHeight="1">
      <c r="A17" s="38" t="s">
        <v>498</v>
      </c>
      <c r="B17" s="38" t="s">
        <v>12026</v>
      </c>
      <c r="C17" s="38" t="s">
        <v>12047</v>
      </c>
      <c r="D17" s="38">
        <v>244</v>
      </c>
      <c r="E17" s="38">
        <v>264</v>
      </c>
      <c r="F17" s="38" t="s">
        <v>12048</v>
      </c>
      <c r="G17" s="38" t="s">
        <v>12029</v>
      </c>
      <c r="H17" s="38" t="s">
        <v>12005</v>
      </c>
    </row>
    <row r="18" spans="1:8" ht="140.1" customHeight="1">
      <c r="A18" s="38" t="s">
        <v>498</v>
      </c>
      <c r="B18" s="38" t="s">
        <v>12026</v>
      </c>
      <c r="C18" s="38" t="s">
        <v>12049</v>
      </c>
      <c r="D18" s="38">
        <v>721</v>
      </c>
      <c r="E18" s="38">
        <v>744</v>
      </c>
      <c r="F18" s="38" t="s">
        <v>12050</v>
      </c>
      <c r="G18" s="38" t="s">
        <v>12029</v>
      </c>
      <c r="H18" s="38" t="s">
        <v>12005</v>
      </c>
    </row>
    <row r="19" spans="1:8" ht="140.1" customHeight="1">
      <c r="A19" s="38" t="s">
        <v>498</v>
      </c>
      <c r="B19" s="38" t="s">
        <v>12051</v>
      </c>
      <c r="C19" s="38" t="s">
        <v>12052</v>
      </c>
      <c r="D19" s="38">
        <v>27</v>
      </c>
      <c r="E19" s="38">
        <v>36</v>
      </c>
      <c r="F19" s="38" t="s">
        <v>12053</v>
      </c>
      <c r="G19" s="38" t="s">
        <v>12054</v>
      </c>
      <c r="H19" s="38" t="s">
        <v>12005</v>
      </c>
    </row>
    <row r="20" spans="1:8" ht="140.1" customHeight="1">
      <c r="A20" s="38" t="s">
        <v>498</v>
      </c>
      <c r="B20" s="38" t="s">
        <v>12055</v>
      </c>
      <c r="C20" s="38" t="s">
        <v>12056</v>
      </c>
      <c r="D20" s="38">
        <v>43</v>
      </c>
      <c r="E20" s="38">
        <v>47</v>
      </c>
      <c r="F20" s="38" t="s">
        <v>12057</v>
      </c>
      <c r="G20" s="38" t="s">
        <v>12058</v>
      </c>
      <c r="H20" s="38" t="s">
        <v>12005</v>
      </c>
    </row>
    <row r="21" spans="1:8" ht="140.1" customHeight="1">
      <c r="A21" s="38" t="s">
        <v>508</v>
      </c>
      <c r="B21" s="38" t="s">
        <v>12059</v>
      </c>
      <c r="C21" s="38" t="s">
        <v>12060</v>
      </c>
      <c r="D21" s="38">
        <v>27</v>
      </c>
      <c r="E21" s="38">
        <v>69</v>
      </c>
      <c r="F21" s="38" t="s">
        <v>12061</v>
      </c>
      <c r="G21" s="38" t="s">
        <v>12062</v>
      </c>
      <c r="H21" s="38" t="s">
        <v>12005</v>
      </c>
    </row>
    <row r="22" spans="1:8" ht="140.1" customHeight="1">
      <c r="A22" s="38" t="s">
        <v>508</v>
      </c>
      <c r="B22" s="38" t="s">
        <v>12059</v>
      </c>
      <c r="C22" s="38" t="s">
        <v>12063</v>
      </c>
      <c r="D22" s="38">
        <v>95</v>
      </c>
      <c r="E22" s="38">
        <v>124</v>
      </c>
      <c r="F22" s="38" t="s">
        <v>12064</v>
      </c>
      <c r="G22" s="38" t="s">
        <v>12062</v>
      </c>
      <c r="H22" s="38" t="s">
        <v>12005</v>
      </c>
    </row>
    <row r="23" spans="1:8" ht="140.1" customHeight="1">
      <c r="A23" s="38" t="s">
        <v>508</v>
      </c>
      <c r="B23" s="38" t="s">
        <v>12034</v>
      </c>
      <c r="C23" s="38" t="s">
        <v>12065</v>
      </c>
      <c r="D23" s="38">
        <v>55</v>
      </c>
      <c r="E23" s="38">
        <v>68</v>
      </c>
      <c r="F23" s="38" t="s">
        <v>12066</v>
      </c>
      <c r="G23" s="38" t="s">
        <v>12037</v>
      </c>
      <c r="H23" s="38" t="s">
        <v>12005</v>
      </c>
    </row>
    <row r="24" spans="1:8" ht="140.1" customHeight="1">
      <c r="A24" s="38" t="s">
        <v>514</v>
      </c>
      <c r="B24" s="38" t="s">
        <v>12026</v>
      </c>
      <c r="C24" s="38" t="s">
        <v>12067</v>
      </c>
      <c r="D24" s="38">
        <v>168</v>
      </c>
      <c r="E24" s="38">
        <v>181</v>
      </c>
      <c r="F24" s="38" t="s">
        <v>12068</v>
      </c>
      <c r="G24" s="38" t="s">
        <v>12029</v>
      </c>
      <c r="H24" s="38" t="s">
        <v>12005</v>
      </c>
    </row>
    <row r="25" spans="1:8" ht="140.1" customHeight="1">
      <c r="A25" s="38" t="s">
        <v>514</v>
      </c>
      <c r="B25" s="38" t="s">
        <v>12069</v>
      </c>
      <c r="C25" s="38" t="s">
        <v>12070</v>
      </c>
      <c r="D25" s="38">
        <v>210</v>
      </c>
      <c r="E25" s="38">
        <v>249</v>
      </c>
      <c r="F25" s="38" t="s">
        <v>12071</v>
      </c>
      <c r="G25" s="38" t="s">
        <v>12072</v>
      </c>
      <c r="H25" s="38" t="s">
        <v>12005</v>
      </c>
    </row>
    <row r="26" spans="1:8" ht="140.1" customHeight="1">
      <c r="A26" s="38" t="s">
        <v>522</v>
      </c>
      <c r="B26" s="38" t="s">
        <v>12073</v>
      </c>
      <c r="C26" s="38" t="s">
        <v>12074</v>
      </c>
      <c r="D26" s="38">
        <v>275</v>
      </c>
      <c r="E26" s="38">
        <v>297</v>
      </c>
      <c r="F26" s="38" t="s">
        <v>12075</v>
      </c>
      <c r="G26" s="38" t="s">
        <v>12076</v>
      </c>
      <c r="H26" s="38" t="s">
        <v>12005</v>
      </c>
    </row>
    <row r="27" spans="1:8" ht="140.1" customHeight="1">
      <c r="A27" s="38" t="s">
        <v>522</v>
      </c>
      <c r="B27" s="38" t="s">
        <v>12077</v>
      </c>
      <c r="C27" s="38" t="s">
        <v>12078</v>
      </c>
      <c r="D27" s="38">
        <v>72</v>
      </c>
      <c r="E27" s="38">
        <v>108</v>
      </c>
      <c r="F27" s="38" t="s">
        <v>12079</v>
      </c>
      <c r="G27" s="38" t="s">
        <v>12080</v>
      </c>
      <c r="H27" s="38" t="s">
        <v>12005</v>
      </c>
    </row>
    <row r="28" spans="1:8" ht="140.1" customHeight="1">
      <c r="A28" s="38" t="s">
        <v>522</v>
      </c>
      <c r="B28" s="38" t="s">
        <v>12081</v>
      </c>
      <c r="C28" s="38" t="s">
        <v>12082</v>
      </c>
      <c r="D28" s="38">
        <v>33</v>
      </c>
      <c r="E28" s="38">
        <v>39</v>
      </c>
      <c r="F28" s="38" t="s">
        <v>12083</v>
      </c>
      <c r="G28" s="38" t="s">
        <v>12084</v>
      </c>
      <c r="H28" s="38" t="s">
        <v>12005</v>
      </c>
    </row>
    <row r="29" spans="1:8" ht="140.1" customHeight="1">
      <c r="A29" s="38" t="s">
        <v>522</v>
      </c>
      <c r="B29" s="38" t="s">
        <v>12081</v>
      </c>
      <c r="C29" s="38" t="s">
        <v>12085</v>
      </c>
      <c r="D29" s="38">
        <v>85</v>
      </c>
      <c r="E29" s="38">
        <v>91</v>
      </c>
      <c r="F29" s="38" t="s">
        <v>12086</v>
      </c>
      <c r="G29" s="38" t="s">
        <v>12084</v>
      </c>
      <c r="H29" s="38" t="s">
        <v>12005</v>
      </c>
    </row>
    <row r="30" spans="1:8" ht="140.1" customHeight="1">
      <c r="A30" s="38" t="s">
        <v>522</v>
      </c>
      <c r="B30" s="38" t="s">
        <v>12087</v>
      </c>
      <c r="C30" s="38" t="s">
        <v>12088</v>
      </c>
      <c r="D30" s="38">
        <v>127</v>
      </c>
      <c r="E30" s="38">
        <v>146</v>
      </c>
      <c r="F30" s="38" t="s">
        <v>12089</v>
      </c>
      <c r="G30" s="38" t="s">
        <v>12090</v>
      </c>
      <c r="H30" s="38" t="s">
        <v>12005</v>
      </c>
    </row>
    <row r="31" spans="1:8" ht="140.1" customHeight="1">
      <c r="A31" s="38" t="s">
        <v>522</v>
      </c>
      <c r="B31" s="38" t="s">
        <v>12069</v>
      </c>
      <c r="C31" s="38" t="s">
        <v>12091</v>
      </c>
      <c r="D31" s="38">
        <v>262</v>
      </c>
      <c r="E31" s="38">
        <v>276</v>
      </c>
      <c r="F31" s="38" t="s">
        <v>12092</v>
      </c>
      <c r="G31" s="38" t="s">
        <v>12072</v>
      </c>
      <c r="H31" s="38" t="s">
        <v>12005</v>
      </c>
    </row>
    <row r="32" spans="1:8" ht="140.1" customHeight="1">
      <c r="A32" s="38" t="s">
        <v>539</v>
      </c>
      <c r="B32" s="38" t="s">
        <v>12077</v>
      </c>
      <c r="C32" s="38" t="s">
        <v>12093</v>
      </c>
      <c r="D32" s="38">
        <v>72</v>
      </c>
      <c r="E32" s="38">
        <v>108</v>
      </c>
      <c r="F32" s="38" t="s">
        <v>12079</v>
      </c>
      <c r="G32" s="38" t="s">
        <v>12080</v>
      </c>
      <c r="H32" s="38" t="s">
        <v>12005</v>
      </c>
    </row>
    <row r="33" spans="1:8" ht="140.1" customHeight="1">
      <c r="A33" s="38" t="s">
        <v>539</v>
      </c>
      <c r="B33" s="38" t="s">
        <v>12094</v>
      </c>
      <c r="C33" s="38" t="s">
        <v>12095</v>
      </c>
      <c r="D33" s="38">
        <v>76</v>
      </c>
      <c r="E33" s="38">
        <v>107</v>
      </c>
      <c r="F33" s="38" t="s">
        <v>12096</v>
      </c>
      <c r="G33" s="38" t="s">
        <v>12097</v>
      </c>
      <c r="H33" s="38" t="s">
        <v>12005</v>
      </c>
    </row>
    <row r="34" spans="1:8" ht="140.1" customHeight="1">
      <c r="A34" s="38" t="s">
        <v>548</v>
      </c>
      <c r="B34" s="38" t="s">
        <v>12098</v>
      </c>
      <c r="C34" s="38" t="s">
        <v>12099</v>
      </c>
      <c r="D34" s="38">
        <v>120</v>
      </c>
      <c r="E34" s="38">
        <v>151</v>
      </c>
      <c r="F34" s="38" t="s">
        <v>12100</v>
      </c>
      <c r="G34" s="38" t="s">
        <v>12101</v>
      </c>
      <c r="H34" s="38" t="s">
        <v>12005</v>
      </c>
    </row>
    <row r="35" spans="1:8" ht="140.1" customHeight="1">
      <c r="A35" s="38" t="s">
        <v>548</v>
      </c>
      <c r="B35" s="38" t="s">
        <v>12098</v>
      </c>
      <c r="C35" s="38" t="s">
        <v>12102</v>
      </c>
      <c r="D35" s="38">
        <v>173</v>
      </c>
      <c r="E35" s="38">
        <v>205</v>
      </c>
      <c r="F35" s="38" t="s">
        <v>12103</v>
      </c>
      <c r="G35" s="38" t="s">
        <v>12101</v>
      </c>
      <c r="H35" s="38" t="s">
        <v>12005</v>
      </c>
    </row>
    <row r="36" spans="1:8" ht="140.1" customHeight="1">
      <c r="A36" s="38" t="s">
        <v>548</v>
      </c>
      <c r="B36" s="38" t="s">
        <v>12098</v>
      </c>
      <c r="C36" s="38" t="s">
        <v>12104</v>
      </c>
      <c r="D36" s="38">
        <v>236</v>
      </c>
      <c r="E36" s="38">
        <v>280</v>
      </c>
      <c r="F36" s="38" t="s">
        <v>12105</v>
      </c>
      <c r="G36" s="38" t="s">
        <v>12101</v>
      </c>
      <c r="H36" s="38" t="s">
        <v>12005</v>
      </c>
    </row>
    <row r="37" spans="1:8" ht="140.1" customHeight="1">
      <c r="A37" s="38" t="s">
        <v>548</v>
      </c>
      <c r="B37" s="38" t="s">
        <v>12106</v>
      </c>
      <c r="C37" s="38" t="s">
        <v>12107</v>
      </c>
      <c r="D37" s="38">
        <v>181</v>
      </c>
      <c r="E37" s="38">
        <v>206</v>
      </c>
      <c r="F37" s="38" t="s">
        <v>12108</v>
      </c>
      <c r="G37" s="38" t="s">
        <v>12109</v>
      </c>
      <c r="H37" s="38" t="s">
        <v>12005</v>
      </c>
    </row>
    <row r="38" spans="1:8" ht="140.1" customHeight="1">
      <c r="A38" s="38" t="s">
        <v>548</v>
      </c>
      <c r="B38" s="38" t="s">
        <v>12110</v>
      </c>
      <c r="C38" s="38" t="s">
        <v>12111</v>
      </c>
      <c r="D38" s="38">
        <v>36</v>
      </c>
      <c r="E38" s="38">
        <v>70</v>
      </c>
      <c r="F38" s="38" t="s">
        <v>12112</v>
      </c>
      <c r="G38" s="38" t="s">
        <v>12113</v>
      </c>
      <c r="H38" s="38" t="s">
        <v>12005</v>
      </c>
    </row>
    <row r="39" spans="1:8" ht="140.1" customHeight="1">
      <c r="A39" s="38" t="s">
        <v>548</v>
      </c>
      <c r="B39" s="38" t="s">
        <v>12114</v>
      </c>
      <c r="C39" s="38" t="s">
        <v>12115</v>
      </c>
      <c r="D39" s="38">
        <v>21</v>
      </c>
      <c r="E39" s="38">
        <v>24</v>
      </c>
      <c r="F39" s="38" t="s">
        <v>12116</v>
      </c>
      <c r="G39" s="38" t="s">
        <v>12117</v>
      </c>
      <c r="H39" s="38" t="s">
        <v>12005</v>
      </c>
    </row>
    <row r="40" spans="1:8" ht="140.1" customHeight="1">
      <c r="A40" s="38" t="s">
        <v>548</v>
      </c>
      <c r="B40" s="38" t="s">
        <v>12118</v>
      </c>
      <c r="C40" s="38" t="s">
        <v>12119</v>
      </c>
      <c r="D40" s="38">
        <v>31</v>
      </c>
      <c r="E40" s="38">
        <v>42</v>
      </c>
      <c r="F40" s="38" t="s">
        <v>12120</v>
      </c>
      <c r="G40" s="38" t="s">
        <v>12121</v>
      </c>
      <c r="H40" s="38" t="s">
        <v>12005</v>
      </c>
    </row>
    <row r="41" spans="1:8" ht="140.1" customHeight="1">
      <c r="A41" s="38" t="s">
        <v>548</v>
      </c>
      <c r="B41" s="38" t="s">
        <v>12122</v>
      </c>
      <c r="C41" s="38" t="s">
        <v>12123</v>
      </c>
      <c r="D41" s="38">
        <v>58</v>
      </c>
      <c r="E41" s="38">
        <v>73</v>
      </c>
      <c r="F41" s="38" t="s">
        <v>12124</v>
      </c>
      <c r="G41" s="38" t="s">
        <v>12125</v>
      </c>
      <c r="H41" s="38" t="s">
        <v>12005</v>
      </c>
    </row>
    <row r="42" spans="1:8" ht="140.1" customHeight="1">
      <c r="A42" s="38" t="s">
        <v>559</v>
      </c>
      <c r="B42" s="38" t="s">
        <v>12098</v>
      </c>
      <c r="C42" s="38" t="s">
        <v>12126</v>
      </c>
      <c r="D42" s="38">
        <v>173</v>
      </c>
      <c r="E42" s="38">
        <v>217</v>
      </c>
      <c r="F42" s="38" t="s">
        <v>12127</v>
      </c>
      <c r="G42" s="38" t="s">
        <v>12101</v>
      </c>
      <c r="H42" s="38" t="s">
        <v>12005</v>
      </c>
    </row>
    <row r="43" spans="1:8" ht="140.1" customHeight="1">
      <c r="A43" s="38" t="s">
        <v>559</v>
      </c>
      <c r="B43" s="38" t="s">
        <v>12008</v>
      </c>
      <c r="C43" s="38" t="s">
        <v>12128</v>
      </c>
      <c r="D43" s="38">
        <v>85</v>
      </c>
      <c r="E43" s="38">
        <v>113</v>
      </c>
      <c r="F43" s="38" t="s">
        <v>12129</v>
      </c>
      <c r="G43" s="38" t="s">
        <v>12011</v>
      </c>
      <c r="H43" s="38" t="s">
        <v>12005</v>
      </c>
    </row>
    <row r="44" spans="1:8" ht="140.1" customHeight="1">
      <c r="A44" s="38" t="s">
        <v>567</v>
      </c>
      <c r="B44" s="38" t="s">
        <v>12130</v>
      </c>
      <c r="C44" s="38" t="s">
        <v>12131</v>
      </c>
      <c r="D44" s="38">
        <v>61</v>
      </c>
      <c r="E44" s="38">
        <v>108</v>
      </c>
      <c r="F44" s="38" t="s">
        <v>12132</v>
      </c>
      <c r="G44" s="38" t="s">
        <v>12133</v>
      </c>
      <c r="H44" s="38" t="s">
        <v>12005</v>
      </c>
    </row>
    <row r="45" spans="1:8" ht="140.1" customHeight="1">
      <c r="A45" s="38" t="s">
        <v>579</v>
      </c>
      <c r="B45" s="38" t="s">
        <v>12134</v>
      </c>
      <c r="C45" s="38" t="s">
        <v>12009</v>
      </c>
      <c r="D45" s="38">
        <v>30</v>
      </c>
      <c r="E45" s="38">
        <v>74</v>
      </c>
      <c r="F45" s="38" t="s">
        <v>12135</v>
      </c>
      <c r="G45" s="38" t="s">
        <v>12136</v>
      </c>
      <c r="H45" s="38" t="s">
        <v>12005</v>
      </c>
    </row>
    <row r="46" spans="1:8" ht="140.1" customHeight="1">
      <c r="A46" s="38" t="s">
        <v>579</v>
      </c>
      <c r="B46" s="38" t="s">
        <v>12137</v>
      </c>
      <c r="C46" s="38" t="s">
        <v>12138</v>
      </c>
      <c r="D46" s="38">
        <v>1</v>
      </c>
      <c r="E46" s="38">
        <v>9</v>
      </c>
      <c r="F46" s="38" t="s">
        <v>12139</v>
      </c>
      <c r="G46" s="38" t="s">
        <v>12140</v>
      </c>
      <c r="H46" s="38" t="s">
        <v>12005</v>
      </c>
    </row>
    <row r="47" spans="1:8" ht="140.1" customHeight="1">
      <c r="A47" s="38" t="s">
        <v>595</v>
      </c>
      <c r="B47" s="38" t="s">
        <v>12141</v>
      </c>
      <c r="C47" s="38" t="s">
        <v>12142</v>
      </c>
      <c r="D47" s="38">
        <v>86</v>
      </c>
      <c r="E47" s="38">
        <v>125</v>
      </c>
      <c r="F47" s="38" t="s">
        <v>12143</v>
      </c>
      <c r="G47" s="38" t="s">
        <v>12144</v>
      </c>
      <c r="H47" s="38" t="s">
        <v>12005</v>
      </c>
    </row>
    <row r="48" spans="1:8" ht="140.1" customHeight="1">
      <c r="A48" s="38" t="s">
        <v>610</v>
      </c>
      <c r="B48" s="38" t="s">
        <v>12145</v>
      </c>
      <c r="C48" s="38" t="s">
        <v>12146</v>
      </c>
      <c r="D48" s="38">
        <v>24</v>
      </c>
      <c r="E48" s="38">
        <v>72</v>
      </c>
      <c r="F48" s="38" t="s">
        <v>12147</v>
      </c>
      <c r="G48" s="38" t="s">
        <v>12148</v>
      </c>
      <c r="H48" s="38" t="s">
        <v>12005</v>
      </c>
    </row>
    <row r="49" spans="1:8" ht="140.1" customHeight="1">
      <c r="A49" s="38" t="s">
        <v>610</v>
      </c>
      <c r="B49" s="38" t="s">
        <v>12130</v>
      </c>
      <c r="C49" s="38" t="s">
        <v>12149</v>
      </c>
      <c r="D49" s="38">
        <v>84</v>
      </c>
      <c r="E49" s="38">
        <v>95</v>
      </c>
      <c r="F49" s="38" t="s">
        <v>12150</v>
      </c>
      <c r="G49" s="38" t="s">
        <v>12133</v>
      </c>
      <c r="H49" s="38" t="s">
        <v>12005</v>
      </c>
    </row>
    <row r="50" spans="1:8" ht="140.1" customHeight="1">
      <c r="A50" s="38" t="s">
        <v>622</v>
      </c>
      <c r="B50" s="38" t="s">
        <v>12130</v>
      </c>
      <c r="C50" s="38" t="s">
        <v>12151</v>
      </c>
      <c r="D50" s="38">
        <v>76</v>
      </c>
      <c r="E50" s="38">
        <v>95</v>
      </c>
      <c r="F50" s="38" t="s">
        <v>12152</v>
      </c>
      <c r="G50" s="38" t="s">
        <v>12133</v>
      </c>
      <c r="H50" s="38" t="s">
        <v>12005</v>
      </c>
    </row>
    <row r="51" spans="1:8" ht="140.1" customHeight="1">
      <c r="A51" s="38" t="s">
        <v>622</v>
      </c>
      <c r="B51" s="38" t="s">
        <v>12145</v>
      </c>
      <c r="C51" s="38" t="s">
        <v>12153</v>
      </c>
      <c r="D51" s="38">
        <v>53</v>
      </c>
      <c r="E51" s="38">
        <v>70</v>
      </c>
      <c r="F51" s="38" t="s">
        <v>12154</v>
      </c>
      <c r="G51" s="38" t="s">
        <v>12148</v>
      </c>
      <c r="H51" s="38" t="s">
        <v>12005</v>
      </c>
    </row>
    <row r="52" spans="1:8" ht="140.1" customHeight="1">
      <c r="A52" s="38" t="s">
        <v>629</v>
      </c>
      <c r="B52" s="38" t="s">
        <v>12130</v>
      </c>
      <c r="C52" s="38" t="s">
        <v>12155</v>
      </c>
      <c r="D52" s="38">
        <v>84</v>
      </c>
      <c r="E52" s="38">
        <v>95</v>
      </c>
      <c r="F52" s="38" t="s">
        <v>12150</v>
      </c>
      <c r="G52" s="38" t="s">
        <v>12133</v>
      </c>
      <c r="H52" s="38" t="s">
        <v>12005</v>
      </c>
    </row>
    <row r="53" spans="1:8" ht="140.1" customHeight="1">
      <c r="A53" s="38" t="s">
        <v>629</v>
      </c>
      <c r="B53" s="38" t="s">
        <v>12156</v>
      </c>
      <c r="C53" s="38" t="s">
        <v>12157</v>
      </c>
      <c r="D53" s="38">
        <v>26</v>
      </c>
      <c r="E53" s="38">
        <v>66</v>
      </c>
      <c r="F53" s="38" t="s">
        <v>12158</v>
      </c>
      <c r="G53" s="38" t="s">
        <v>12159</v>
      </c>
      <c r="H53" s="38" t="s">
        <v>12005</v>
      </c>
    </row>
    <row r="54" spans="1:8" ht="140.1" customHeight="1">
      <c r="A54" s="38" t="s">
        <v>636</v>
      </c>
      <c r="B54" s="38" t="s">
        <v>12134</v>
      </c>
      <c r="C54" s="38" t="s">
        <v>12160</v>
      </c>
      <c r="D54" s="38">
        <v>30</v>
      </c>
      <c r="E54" s="38">
        <v>74</v>
      </c>
      <c r="F54" s="38" t="s">
        <v>12135</v>
      </c>
      <c r="G54" s="38" t="s">
        <v>12136</v>
      </c>
      <c r="H54" s="38" t="s">
        <v>12005</v>
      </c>
    </row>
    <row r="55" spans="1:8" ht="140.1" customHeight="1">
      <c r="A55" s="38" t="s">
        <v>648</v>
      </c>
      <c r="B55" s="38" t="s">
        <v>12156</v>
      </c>
      <c r="C55" s="38" t="s">
        <v>12161</v>
      </c>
      <c r="D55" s="38">
        <v>26</v>
      </c>
      <c r="E55" s="38">
        <v>97</v>
      </c>
      <c r="F55" s="38" t="s">
        <v>12162</v>
      </c>
      <c r="G55" s="38" t="s">
        <v>12159</v>
      </c>
      <c r="H55" s="38" t="s">
        <v>12005</v>
      </c>
    </row>
    <row r="56" spans="1:8" ht="140.1" customHeight="1">
      <c r="A56" s="38" t="s">
        <v>648</v>
      </c>
      <c r="B56" s="38" t="s">
        <v>12026</v>
      </c>
      <c r="C56" s="38" t="s">
        <v>12163</v>
      </c>
      <c r="D56" s="38">
        <v>184</v>
      </c>
      <c r="E56" s="38">
        <v>210</v>
      </c>
      <c r="F56" s="38" t="s">
        <v>12164</v>
      </c>
      <c r="G56" s="38" t="s">
        <v>12029</v>
      </c>
      <c r="H56" s="38" t="s">
        <v>12005</v>
      </c>
    </row>
    <row r="57" spans="1:8" ht="140.1" customHeight="1">
      <c r="A57" s="38" t="s">
        <v>659</v>
      </c>
      <c r="B57" s="38" t="s">
        <v>12165</v>
      </c>
      <c r="C57" s="38" t="s">
        <v>12166</v>
      </c>
      <c r="D57" s="38">
        <v>24</v>
      </c>
      <c r="E57" s="38">
        <v>79</v>
      </c>
      <c r="F57" s="38" t="s">
        <v>12167</v>
      </c>
      <c r="G57" s="38" t="s">
        <v>12168</v>
      </c>
      <c r="H57" s="38" t="s">
        <v>12005</v>
      </c>
    </row>
    <row r="58" spans="1:8" ht="140.1" customHeight="1">
      <c r="A58" s="38" t="s">
        <v>659</v>
      </c>
      <c r="B58" s="38" t="s">
        <v>12156</v>
      </c>
      <c r="C58" s="38" t="s">
        <v>12169</v>
      </c>
      <c r="D58" s="38">
        <v>26</v>
      </c>
      <c r="E58" s="38">
        <v>66</v>
      </c>
      <c r="F58" s="38" t="s">
        <v>12158</v>
      </c>
      <c r="G58" s="38" t="s">
        <v>12159</v>
      </c>
      <c r="H58" s="38" t="s">
        <v>12005</v>
      </c>
    </row>
    <row r="59" spans="1:8" ht="140.1" customHeight="1">
      <c r="A59" s="38" t="s">
        <v>671</v>
      </c>
      <c r="B59" s="38" t="s">
        <v>12170</v>
      </c>
      <c r="C59" s="38" t="s">
        <v>12171</v>
      </c>
      <c r="D59" s="38">
        <v>22</v>
      </c>
      <c r="E59" s="38">
        <v>40</v>
      </c>
      <c r="F59" s="38" t="s">
        <v>12172</v>
      </c>
      <c r="G59" s="38" t="s">
        <v>12173</v>
      </c>
      <c r="H59" s="38" t="s">
        <v>12005</v>
      </c>
    </row>
    <row r="60" spans="1:8" ht="140.1" customHeight="1">
      <c r="A60" s="38" t="s">
        <v>671</v>
      </c>
      <c r="B60" s="38" t="s">
        <v>12174</v>
      </c>
      <c r="C60" s="38" t="s">
        <v>12175</v>
      </c>
      <c r="D60" s="38">
        <v>13</v>
      </c>
      <c r="E60" s="38">
        <v>45</v>
      </c>
      <c r="F60" s="38" t="s">
        <v>12176</v>
      </c>
      <c r="G60" s="38" t="s">
        <v>12177</v>
      </c>
      <c r="H60" s="38" t="s">
        <v>12005</v>
      </c>
    </row>
    <row r="61" spans="1:8" ht="140.1" customHeight="1">
      <c r="A61" s="38" t="s">
        <v>686</v>
      </c>
      <c r="B61" s="38" t="s">
        <v>12174</v>
      </c>
      <c r="C61" s="38" t="s">
        <v>12178</v>
      </c>
      <c r="D61" s="38">
        <v>13</v>
      </c>
      <c r="E61" s="38">
        <v>45</v>
      </c>
      <c r="F61" s="38" t="s">
        <v>12176</v>
      </c>
      <c r="G61" s="38" t="s">
        <v>12177</v>
      </c>
      <c r="H61" s="38" t="s">
        <v>12005</v>
      </c>
    </row>
    <row r="62" spans="1:8" ht="140.1" customHeight="1">
      <c r="A62" s="38" t="s">
        <v>686</v>
      </c>
      <c r="B62" s="38" t="s">
        <v>12137</v>
      </c>
      <c r="C62" s="38" t="s">
        <v>12179</v>
      </c>
      <c r="D62" s="38">
        <v>1</v>
      </c>
      <c r="E62" s="38">
        <v>9</v>
      </c>
      <c r="F62" s="38" t="s">
        <v>12139</v>
      </c>
      <c r="G62" s="38" t="s">
        <v>12140</v>
      </c>
      <c r="H62" s="38" t="s">
        <v>12005</v>
      </c>
    </row>
    <row r="63" spans="1:8" ht="140.1" customHeight="1">
      <c r="A63" s="38" t="s">
        <v>686</v>
      </c>
      <c r="B63" s="38" t="s">
        <v>12137</v>
      </c>
      <c r="C63" s="38" t="s">
        <v>12180</v>
      </c>
      <c r="D63" s="38">
        <v>49</v>
      </c>
      <c r="E63" s="38">
        <v>77</v>
      </c>
      <c r="F63" s="38" t="s">
        <v>12181</v>
      </c>
      <c r="G63" s="38" t="s">
        <v>12140</v>
      </c>
      <c r="H63" s="38" t="s">
        <v>12005</v>
      </c>
    </row>
    <row r="64" spans="1:8" ht="140.1" customHeight="1">
      <c r="A64" s="38" t="s">
        <v>696</v>
      </c>
      <c r="B64" s="38" t="s">
        <v>12182</v>
      </c>
      <c r="C64" s="38" t="s">
        <v>12183</v>
      </c>
      <c r="D64" s="38">
        <v>106</v>
      </c>
      <c r="E64" s="38">
        <v>163</v>
      </c>
      <c r="F64" s="38" t="s">
        <v>12184</v>
      </c>
      <c r="G64" s="38" t="s">
        <v>12185</v>
      </c>
      <c r="H64" s="38" t="s">
        <v>12005</v>
      </c>
    </row>
    <row r="65" spans="1:8" ht="140.1" customHeight="1">
      <c r="A65" s="38" t="s">
        <v>696</v>
      </c>
      <c r="B65" s="38" t="s">
        <v>12186</v>
      </c>
      <c r="C65" s="38" t="s">
        <v>12187</v>
      </c>
      <c r="D65" s="38">
        <v>265</v>
      </c>
      <c r="E65" s="38">
        <v>333</v>
      </c>
      <c r="F65" s="38" t="s">
        <v>12188</v>
      </c>
      <c r="G65" s="38" t="s">
        <v>12189</v>
      </c>
      <c r="H65" s="38" t="s">
        <v>12005</v>
      </c>
    </row>
    <row r="66" spans="1:8" ht="140.1" customHeight="1">
      <c r="A66" s="38" t="s">
        <v>696</v>
      </c>
      <c r="B66" s="38" t="s">
        <v>12001</v>
      </c>
      <c r="C66" s="38" t="s">
        <v>12190</v>
      </c>
      <c r="D66" s="38">
        <v>145</v>
      </c>
      <c r="E66" s="38">
        <v>217</v>
      </c>
      <c r="F66" s="38" t="s">
        <v>12003</v>
      </c>
      <c r="G66" s="38" t="s">
        <v>12004</v>
      </c>
      <c r="H66" s="38" t="s">
        <v>12005</v>
      </c>
    </row>
    <row r="67" spans="1:8" ht="140.1" customHeight="1">
      <c r="A67" s="38" t="s">
        <v>710</v>
      </c>
      <c r="B67" s="38" t="s">
        <v>12182</v>
      </c>
      <c r="C67" s="38" t="s">
        <v>12191</v>
      </c>
      <c r="D67" s="38">
        <v>173</v>
      </c>
      <c r="E67" s="38">
        <v>205</v>
      </c>
      <c r="F67" s="38" t="s">
        <v>12192</v>
      </c>
      <c r="G67" s="38" t="s">
        <v>12185</v>
      </c>
      <c r="H67" s="38" t="s">
        <v>12005</v>
      </c>
    </row>
    <row r="68" spans="1:8" ht="140.1" customHeight="1">
      <c r="A68" s="38" t="s">
        <v>710</v>
      </c>
      <c r="B68" s="38" t="s">
        <v>12186</v>
      </c>
      <c r="C68" s="38" t="s">
        <v>12193</v>
      </c>
      <c r="D68" s="38">
        <v>297</v>
      </c>
      <c r="E68" s="38">
        <v>333</v>
      </c>
      <c r="F68" s="38" t="s">
        <v>12194</v>
      </c>
      <c r="G68" s="38" t="s">
        <v>12189</v>
      </c>
      <c r="H68" s="38" t="s">
        <v>12005</v>
      </c>
    </row>
    <row r="69" spans="1:8" ht="140.1" customHeight="1">
      <c r="A69" s="38" t="s">
        <v>710</v>
      </c>
      <c r="B69" s="38" t="s">
        <v>12195</v>
      </c>
      <c r="C69" s="38" t="s">
        <v>12196</v>
      </c>
      <c r="D69" s="38">
        <v>118</v>
      </c>
      <c r="E69" s="38">
        <v>155</v>
      </c>
      <c r="F69" s="38" t="s">
        <v>12197</v>
      </c>
      <c r="G69" s="38" t="s">
        <v>12198</v>
      </c>
      <c r="H69" s="38" t="s">
        <v>12005</v>
      </c>
    </row>
    <row r="70" spans="1:8" ht="140.1" customHeight="1">
      <c r="A70" s="38" t="s">
        <v>723</v>
      </c>
      <c r="B70" s="38" t="s">
        <v>12195</v>
      </c>
      <c r="C70" s="38" t="s">
        <v>12199</v>
      </c>
      <c r="D70" s="38">
        <v>111</v>
      </c>
      <c r="E70" s="38">
        <v>155</v>
      </c>
      <c r="F70" s="38" t="s">
        <v>12200</v>
      </c>
      <c r="G70" s="38" t="s">
        <v>12198</v>
      </c>
      <c r="H70" s="38" t="s">
        <v>12005</v>
      </c>
    </row>
    <row r="71" spans="1:8" ht="140.1" customHeight="1">
      <c r="A71" s="38" t="s">
        <v>723</v>
      </c>
      <c r="B71" s="38" t="s">
        <v>12094</v>
      </c>
      <c r="C71" s="38" t="s">
        <v>12201</v>
      </c>
      <c r="D71" s="38">
        <v>109</v>
      </c>
      <c r="E71" s="38">
        <v>124</v>
      </c>
      <c r="F71" s="38" t="s">
        <v>12202</v>
      </c>
      <c r="G71" s="38" t="s">
        <v>12097</v>
      </c>
      <c r="H71" s="38" t="s">
        <v>12005</v>
      </c>
    </row>
    <row r="72" spans="1:8" ht="140.1" customHeight="1">
      <c r="A72" s="38" t="s">
        <v>737</v>
      </c>
      <c r="B72" s="38" t="s">
        <v>12094</v>
      </c>
      <c r="C72" s="38" t="s">
        <v>12203</v>
      </c>
      <c r="D72" s="38">
        <v>109</v>
      </c>
      <c r="E72" s="38">
        <v>115</v>
      </c>
      <c r="F72" s="38" t="s">
        <v>12204</v>
      </c>
      <c r="G72" s="38" t="s">
        <v>12097</v>
      </c>
      <c r="H72" s="38" t="s">
        <v>12005</v>
      </c>
    </row>
    <row r="73" spans="1:8" ht="140.1" customHeight="1">
      <c r="A73" s="38" t="s">
        <v>737</v>
      </c>
      <c r="B73" s="38" t="s">
        <v>12122</v>
      </c>
      <c r="C73" s="38" t="s">
        <v>12205</v>
      </c>
      <c r="D73" s="38">
        <v>32</v>
      </c>
      <c r="E73" s="38">
        <v>73</v>
      </c>
      <c r="F73" s="38" t="s">
        <v>12206</v>
      </c>
      <c r="G73" s="38" t="s">
        <v>12125</v>
      </c>
      <c r="H73" s="38" t="s">
        <v>12005</v>
      </c>
    </row>
    <row r="74" spans="1:8" ht="140.1" customHeight="1">
      <c r="A74" s="38" t="s">
        <v>749</v>
      </c>
      <c r="B74" s="38" t="s">
        <v>12182</v>
      </c>
      <c r="C74" s="38" t="s">
        <v>12207</v>
      </c>
      <c r="D74" s="38">
        <v>106</v>
      </c>
      <c r="E74" s="38">
        <v>163</v>
      </c>
      <c r="F74" s="38" t="s">
        <v>12184</v>
      </c>
      <c r="G74" s="38" t="s">
        <v>12185</v>
      </c>
      <c r="H74" s="38" t="s">
        <v>12005</v>
      </c>
    </row>
    <row r="75" spans="1:8" ht="140.1" customHeight="1">
      <c r="A75" s="38" t="s">
        <v>749</v>
      </c>
      <c r="B75" s="38" t="s">
        <v>12208</v>
      </c>
      <c r="C75" s="38" t="s">
        <v>12209</v>
      </c>
      <c r="D75" s="38">
        <v>128</v>
      </c>
      <c r="E75" s="38">
        <v>145</v>
      </c>
      <c r="F75" s="38" t="s">
        <v>12210</v>
      </c>
      <c r="G75" s="38" t="s">
        <v>12211</v>
      </c>
      <c r="H75" s="38" t="s">
        <v>12005</v>
      </c>
    </row>
    <row r="76" spans="1:8" ht="140.1" customHeight="1">
      <c r="A76" s="38" t="s">
        <v>759</v>
      </c>
      <c r="B76" s="38" t="s">
        <v>12212</v>
      </c>
      <c r="C76" s="38" t="s">
        <v>12213</v>
      </c>
      <c r="D76" s="38">
        <v>17</v>
      </c>
      <c r="E76" s="38">
        <v>39</v>
      </c>
      <c r="F76" s="38" t="s">
        <v>12214</v>
      </c>
      <c r="G76" s="38" t="s">
        <v>12215</v>
      </c>
      <c r="H76" s="38" t="s">
        <v>12005</v>
      </c>
    </row>
    <row r="77" spans="1:8" ht="140.1" customHeight="1">
      <c r="A77" s="38" t="s">
        <v>759</v>
      </c>
      <c r="B77" s="38" t="s">
        <v>12212</v>
      </c>
      <c r="C77" s="38" t="s">
        <v>12216</v>
      </c>
      <c r="D77" s="38">
        <v>81</v>
      </c>
      <c r="E77" s="38">
        <v>102</v>
      </c>
      <c r="F77" s="38" t="s">
        <v>12217</v>
      </c>
      <c r="G77" s="38" t="s">
        <v>12215</v>
      </c>
      <c r="H77" s="38" t="s">
        <v>12005</v>
      </c>
    </row>
    <row r="78" spans="1:8" ht="140.1" customHeight="1">
      <c r="A78" s="38" t="s">
        <v>759</v>
      </c>
      <c r="B78" s="38" t="s">
        <v>12218</v>
      </c>
      <c r="C78" s="38" t="s">
        <v>12219</v>
      </c>
      <c r="D78" s="38">
        <v>72</v>
      </c>
      <c r="E78" s="38">
        <v>104</v>
      </c>
      <c r="F78" s="38" t="s">
        <v>12220</v>
      </c>
      <c r="G78" s="38" t="s">
        <v>12221</v>
      </c>
      <c r="H78" s="38" t="s">
        <v>12005</v>
      </c>
    </row>
    <row r="79" spans="1:8" ht="140.1" customHeight="1">
      <c r="A79" s="38" t="s">
        <v>772</v>
      </c>
      <c r="B79" s="38" t="s">
        <v>12069</v>
      </c>
      <c r="C79" s="38" t="s">
        <v>12222</v>
      </c>
      <c r="D79" s="38">
        <v>61</v>
      </c>
      <c r="E79" s="38">
        <v>85</v>
      </c>
      <c r="F79" s="38" t="s">
        <v>12223</v>
      </c>
      <c r="G79" s="38" t="s">
        <v>12072</v>
      </c>
      <c r="H79" s="38" t="s">
        <v>12005</v>
      </c>
    </row>
    <row r="80" spans="1:8" ht="140.1" customHeight="1">
      <c r="A80" s="38" t="s">
        <v>772</v>
      </c>
      <c r="B80" s="38" t="s">
        <v>12069</v>
      </c>
      <c r="C80" s="38" t="s">
        <v>12224</v>
      </c>
      <c r="D80" s="38">
        <v>210</v>
      </c>
      <c r="E80" s="38">
        <v>276</v>
      </c>
      <c r="F80" s="38" t="s">
        <v>12225</v>
      </c>
      <c r="G80" s="38" t="s">
        <v>12072</v>
      </c>
      <c r="H80" s="38" t="s">
        <v>12005</v>
      </c>
    </row>
    <row r="81" spans="1:8" ht="140.1" customHeight="1">
      <c r="A81" s="38" t="s">
        <v>772</v>
      </c>
      <c r="B81" s="38" t="s">
        <v>12094</v>
      </c>
      <c r="C81" s="38" t="s">
        <v>12226</v>
      </c>
      <c r="D81" s="38">
        <v>109</v>
      </c>
      <c r="E81" s="38">
        <v>115</v>
      </c>
      <c r="F81" s="38" t="s">
        <v>12204</v>
      </c>
      <c r="G81" s="38" t="s">
        <v>12097</v>
      </c>
      <c r="H81" s="38" t="s">
        <v>12005</v>
      </c>
    </row>
    <row r="82" spans="1:8" ht="140.1" customHeight="1">
      <c r="A82" s="38" t="s">
        <v>772</v>
      </c>
      <c r="B82" s="38" t="s">
        <v>12087</v>
      </c>
      <c r="C82" s="38" t="s">
        <v>12227</v>
      </c>
      <c r="D82" s="38">
        <v>127</v>
      </c>
      <c r="E82" s="38">
        <v>149</v>
      </c>
      <c r="F82" s="38" t="s">
        <v>12228</v>
      </c>
      <c r="G82" s="38" t="s">
        <v>12090</v>
      </c>
      <c r="H82" s="38" t="s">
        <v>12005</v>
      </c>
    </row>
    <row r="83" spans="1:8" ht="140.1" customHeight="1">
      <c r="A83" s="38" t="s">
        <v>787</v>
      </c>
      <c r="B83" s="38" t="s">
        <v>12182</v>
      </c>
      <c r="C83" s="38" t="s">
        <v>12229</v>
      </c>
      <c r="D83" s="38">
        <v>118</v>
      </c>
      <c r="E83" s="38">
        <v>163</v>
      </c>
      <c r="F83" s="38" t="s">
        <v>12230</v>
      </c>
      <c r="G83" s="38" t="s">
        <v>12185</v>
      </c>
      <c r="H83" s="38" t="s">
        <v>12005</v>
      </c>
    </row>
    <row r="84" spans="1:8" ht="140.1" customHeight="1">
      <c r="A84" s="38" t="s">
        <v>787</v>
      </c>
      <c r="B84" s="38" t="s">
        <v>12208</v>
      </c>
      <c r="C84" s="38" t="s">
        <v>12231</v>
      </c>
      <c r="D84" s="38">
        <v>128</v>
      </c>
      <c r="E84" s="38">
        <v>145</v>
      </c>
      <c r="F84" s="38" t="s">
        <v>12210</v>
      </c>
      <c r="G84" s="38" t="s">
        <v>12211</v>
      </c>
      <c r="H84" s="38" t="s">
        <v>12005</v>
      </c>
    </row>
    <row r="85" spans="1:8" ht="140.1" customHeight="1">
      <c r="A85" s="38" t="s">
        <v>787</v>
      </c>
      <c r="B85" s="38" t="s">
        <v>12232</v>
      </c>
      <c r="C85" s="38" t="s">
        <v>12233</v>
      </c>
      <c r="D85" s="38">
        <v>898</v>
      </c>
      <c r="E85" s="38">
        <v>925</v>
      </c>
      <c r="F85" s="38" t="s">
        <v>12234</v>
      </c>
      <c r="G85" s="38" t="s">
        <v>12235</v>
      </c>
      <c r="H85" s="38" t="s">
        <v>12005</v>
      </c>
    </row>
    <row r="86" spans="1:8" ht="140.1" customHeight="1">
      <c r="A86" s="38" t="s">
        <v>1117</v>
      </c>
      <c r="B86" s="38" t="s">
        <v>12236</v>
      </c>
      <c r="C86" s="38" t="s">
        <v>12237</v>
      </c>
      <c r="D86" s="38">
        <v>16</v>
      </c>
      <c r="E86" s="38">
        <v>51</v>
      </c>
      <c r="F86" s="38" t="s">
        <v>12238</v>
      </c>
      <c r="G86" s="38" t="s">
        <v>12239</v>
      </c>
      <c r="H86" s="38" t="s">
        <v>12005</v>
      </c>
    </row>
    <row r="87" spans="1:8" ht="140.1" customHeight="1">
      <c r="A87" s="38" t="s">
        <v>1117</v>
      </c>
      <c r="B87" s="38" t="s">
        <v>12240</v>
      </c>
      <c r="C87" s="38" t="s">
        <v>12241</v>
      </c>
      <c r="D87" s="38">
        <v>19</v>
      </c>
      <c r="E87" s="38">
        <v>46</v>
      </c>
      <c r="F87" s="38" t="s">
        <v>12242</v>
      </c>
      <c r="G87" s="38" t="s">
        <v>12243</v>
      </c>
      <c r="H87" s="38" t="s">
        <v>12005</v>
      </c>
    </row>
    <row r="88" spans="1:8" ht="140.1" customHeight="1">
      <c r="A88" s="38" t="s">
        <v>1117</v>
      </c>
      <c r="B88" s="38" t="s">
        <v>12244</v>
      </c>
      <c r="C88" s="38" t="s">
        <v>12245</v>
      </c>
      <c r="D88" s="38">
        <v>51</v>
      </c>
      <c r="E88" s="38">
        <v>62</v>
      </c>
      <c r="F88" s="38" t="s">
        <v>12246</v>
      </c>
      <c r="G88" s="38" t="s">
        <v>12247</v>
      </c>
      <c r="H88" s="38" t="s">
        <v>12005</v>
      </c>
    </row>
    <row r="89" spans="1:8" ht="140.1" customHeight="1">
      <c r="A89" s="38" t="s">
        <v>1149</v>
      </c>
      <c r="B89" s="38" t="s">
        <v>12248</v>
      </c>
      <c r="C89" s="38" t="s">
        <v>12249</v>
      </c>
      <c r="D89" s="38">
        <v>10</v>
      </c>
      <c r="E89" s="38">
        <v>60</v>
      </c>
      <c r="F89" s="38" t="s">
        <v>12250</v>
      </c>
      <c r="G89" s="38" t="s">
        <v>12251</v>
      </c>
      <c r="H89" s="38" t="s">
        <v>12005</v>
      </c>
    </row>
    <row r="90" spans="1:8" ht="140.1" customHeight="1">
      <c r="A90" s="38" t="s">
        <v>1149</v>
      </c>
      <c r="B90" s="38" t="s">
        <v>12252</v>
      </c>
      <c r="C90" s="38" t="s">
        <v>12253</v>
      </c>
      <c r="D90" s="38">
        <v>725</v>
      </c>
      <c r="E90" s="38">
        <v>744</v>
      </c>
      <c r="F90" s="38" t="s">
        <v>12254</v>
      </c>
      <c r="G90" s="38" t="s">
        <v>12255</v>
      </c>
      <c r="H90" s="38" t="s">
        <v>12005</v>
      </c>
    </row>
    <row r="91" spans="1:8" ht="140.1" customHeight="1">
      <c r="A91" s="38" t="s">
        <v>1149</v>
      </c>
      <c r="B91" s="38" t="s">
        <v>12256</v>
      </c>
      <c r="C91" s="38" t="s">
        <v>12257</v>
      </c>
      <c r="D91" s="38">
        <v>58</v>
      </c>
      <c r="E91" s="38">
        <v>63</v>
      </c>
      <c r="F91" s="38" t="s">
        <v>12258</v>
      </c>
      <c r="G91" s="38" t="s">
        <v>12259</v>
      </c>
      <c r="H91" s="38" t="s">
        <v>12005</v>
      </c>
    </row>
    <row r="92" spans="1:8" ht="140.1" customHeight="1">
      <c r="A92" s="38" t="s">
        <v>1149</v>
      </c>
      <c r="B92" s="38" t="s">
        <v>12244</v>
      </c>
      <c r="C92" s="38" t="s">
        <v>12260</v>
      </c>
      <c r="D92" s="38">
        <v>51</v>
      </c>
      <c r="E92" s="38">
        <v>62</v>
      </c>
      <c r="F92" s="38" t="s">
        <v>12246</v>
      </c>
      <c r="G92" s="38" t="s">
        <v>12247</v>
      </c>
      <c r="H92" s="38" t="s">
        <v>12005</v>
      </c>
    </row>
    <row r="93" spans="1:8" ht="140.1" customHeight="1">
      <c r="A93" s="38" t="s">
        <v>1160</v>
      </c>
      <c r="B93" s="38" t="s">
        <v>12261</v>
      </c>
      <c r="C93" s="38" t="s">
        <v>12262</v>
      </c>
      <c r="D93" s="38">
        <v>3</v>
      </c>
      <c r="E93" s="38">
        <v>20</v>
      </c>
      <c r="F93" s="38" t="s">
        <v>12263</v>
      </c>
      <c r="G93" s="38" t="s">
        <v>12264</v>
      </c>
      <c r="H93" s="38" t="s">
        <v>12005</v>
      </c>
    </row>
    <row r="94" spans="1:8" ht="140.1" customHeight="1">
      <c r="A94" s="38" t="s">
        <v>1160</v>
      </c>
      <c r="B94" s="38" t="s">
        <v>12261</v>
      </c>
      <c r="C94" s="38" t="s">
        <v>12265</v>
      </c>
      <c r="D94" s="38">
        <v>44</v>
      </c>
      <c r="E94" s="38">
        <v>63</v>
      </c>
      <c r="F94" s="38" t="s">
        <v>12266</v>
      </c>
      <c r="G94" s="38" t="s">
        <v>12264</v>
      </c>
      <c r="H94" s="38" t="s">
        <v>12005</v>
      </c>
    </row>
    <row r="95" spans="1:8" ht="140.1" customHeight="1">
      <c r="A95" s="38" t="s">
        <v>1160</v>
      </c>
      <c r="B95" s="38" t="s">
        <v>12267</v>
      </c>
      <c r="C95" s="38" t="s">
        <v>12268</v>
      </c>
      <c r="D95" s="38">
        <v>1</v>
      </c>
      <c r="E95" s="38">
        <v>20</v>
      </c>
      <c r="F95" s="38" t="s">
        <v>12269</v>
      </c>
      <c r="G95" s="38" t="s">
        <v>12270</v>
      </c>
      <c r="H95" s="38" t="s">
        <v>12005</v>
      </c>
    </row>
    <row r="96" spans="1:8" ht="140.1" customHeight="1">
      <c r="A96" s="38" t="s">
        <v>1242</v>
      </c>
      <c r="B96" s="38" t="s">
        <v>12098</v>
      </c>
      <c r="C96" s="38" t="s">
        <v>12271</v>
      </c>
      <c r="D96" s="38">
        <v>120</v>
      </c>
      <c r="E96" s="38">
        <v>151</v>
      </c>
      <c r="F96" s="38" t="s">
        <v>12100</v>
      </c>
      <c r="G96" s="38" t="s">
        <v>12101</v>
      </c>
      <c r="H96" s="38" t="s">
        <v>12005</v>
      </c>
    </row>
    <row r="97" spans="1:8" ht="140.1" customHeight="1">
      <c r="A97" s="38" t="s">
        <v>1242</v>
      </c>
      <c r="B97" s="38" t="s">
        <v>12098</v>
      </c>
      <c r="C97" s="38" t="s">
        <v>12272</v>
      </c>
      <c r="D97" s="38">
        <v>173</v>
      </c>
      <c r="E97" s="38">
        <v>205</v>
      </c>
      <c r="F97" s="38" t="s">
        <v>12103</v>
      </c>
      <c r="G97" s="38" t="s">
        <v>12101</v>
      </c>
      <c r="H97" s="38" t="s">
        <v>12005</v>
      </c>
    </row>
    <row r="98" spans="1:8" ht="140.1" customHeight="1">
      <c r="A98" s="38" t="s">
        <v>1242</v>
      </c>
      <c r="B98" s="38" t="s">
        <v>12069</v>
      </c>
      <c r="C98" s="38" t="s">
        <v>12273</v>
      </c>
      <c r="D98" s="38">
        <v>61</v>
      </c>
      <c r="E98" s="38">
        <v>85</v>
      </c>
      <c r="F98" s="38" t="s">
        <v>12223</v>
      </c>
      <c r="G98" s="38" t="s">
        <v>12072</v>
      </c>
      <c r="H98" s="38" t="s">
        <v>12005</v>
      </c>
    </row>
    <row r="99" spans="1:8" ht="140.1" customHeight="1">
      <c r="A99" s="38" t="s">
        <v>1289</v>
      </c>
      <c r="B99" s="38" t="s">
        <v>12274</v>
      </c>
      <c r="C99" s="38" t="s">
        <v>12275</v>
      </c>
      <c r="D99" s="38">
        <v>20</v>
      </c>
      <c r="E99" s="38">
        <v>36</v>
      </c>
      <c r="F99" s="38" t="s">
        <v>12276</v>
      </c>
      <c r="G99" s="38" t="s">
        <v>12277</v>
      </c>
      <c r="H99" s="38" t="s">
        <v>12005</v>
      </c>
    </row>
    <row r="100" spans="1:8" ht="140.1" customHeight="1">
      <c r="A100" s="38" t="s">
        <v>1289</v>
      </c>
      <c r="B100" s="38" t="s">
        <v>12278</v>
      </c>
      <c r="C100" s="38" t="s">
        <v>12279</v>
      </c>
      <c r="D100" s="38">
        <v>32</v>
      </c>
      <c r="E100" s="38">
        <v>75</v>
      </c>
      <c r="F100" s="38" t="s">
        <v>12280</v>
      </c>
      <c r="G100" s="38" t="s">
        <v>12281</v>
      </c>
      <c r="H100" s="38" t="s">
        <v>12005</v>
      </c>
    </row>
    <row r="101" spans="1:8" ht="140.1" customHeight="1">
      <c r="A101" s="38" t="s">
        <v>1296</v>
      </c>
      <c r="B101" s="38" t="s">
        <v>12278</v>
      </c>
      <c r="C101" s="38" t="s">
        <v>12282</v>
      </c>
      <c r="D101" s="38">
        <v>43</v>
      </c>
      <c r="E101" s="38">
        <v>81</v>
      </c>
      <c r="F101" s="38" t="s">
        <v>12283</v>
      </c>
      <c r="G101" s="38" t="s">
        <v>12281</v>
      </c>
      <c r="H101" s="38" t="s">
        <v>12005</v>
      </c>
    </row>
    <row r="102" spans="1:8" ht="140.1" customHeight="1">
      <c r="A102" s="38" t="s">
        <v>1296</v>
      </c>
      <c r="B102" s="38" t="s">
        <v>12274</v>
      </c>
      <c r="C102" s="38" t="s">
        <v>12284</v>
      </c>
      <c r="D102" s="38">
        <v>65</v>
      </c>
      <c r="E102" s="38">
        <v>90</v>
      </c>
      <c r="F102" s="38" t="s">
        <v>12285</v>
      </c>
      <c r="G102" s="38" t="s">
        <v>12277</v>
      </c>
      <c r="H102" s="38" t="s">
        <v>12005</v>
      </c>
    </row>
    <row r="103" spans="1:8" ht="140.1" customHeight="1">
      <c r="A103" s="38" t="s">
        <v>1310</v>
      </c>
      <c r="B103" s="38" t="s">
        <v>12286</v>
      </c>
      <c r="C103" s="38" t="s">
        <v>12287</v>
      </c>
      <c r="D103" s="38">
        <v>16</v>
      </c>
      <c r="E103" s="38">
        <v>66</v>
      </c>
      <c r="F103" s="38" t="s">
        <v>12288</v>
      </c>
      <c r="G103" s="38" t="s">
        <v>12289</v>
      </c>
      <c r="H103" s="38" t="s">
        <v>12005</v>
      </c>
    </row>
    <row r="104" spans="1:8" ht="140.1" customHeight="1">
      <c r="A104" s="38" t="s">
        <v>1310</v>
      </c>
      <c r="B104" s="38" t="s">
        <v>12286</v>
      </c>
      <c r="C104" s="38" t="s">
        <v>12290</v>
      </c>
      <c r="D104" s="38">
        <v>69</v>
      </c>
      <c r="E104" s="38">
        <v>90</v>
      </c>
      <c r="F104" s="38" t="s">
        <v>12291</v>
      </c>
      <c r="G104" s="38" t="s">
        <v>12289</v>
      </c>
      <c r="H104" s="38" t="s">
        <v>12005</v>
      </c>
    </row>
    <row r="105" spans="1:8" ht="140.1" customHeight="1">
      <c r="A105" s="38" t="s">
        <v>812</v>
      </c>
      <c r="B105" s="38" t="s">
        <v>12292</v>
      </c>
      <c r="C105" s="38" t="s">
        <v>12293</v>
      </c>
      <c r="D105" s="38">
        <v>1</v>
      </c>
      <c r="E105" s="38">
        <v>55</v>
      </c>
      <c r="F105" s="38" t="s">
        <v>12294</v>
      </c>
      <c r="G105" s="38" t="s">
        <v>12295</v>
      </c>
      <c r="H105" s="38" t="s">
        <v>12005</v>
      </c>
    </row>
    <row r="106" spans="1:8" ht="140.1" customHeight="1">
      <c r="A106" s="38" t="s">
        <v>812</v>
      </c>
      <c r="B106" s="38" t="s">
        <v>12232</v>
      </c>
      <c r="C106" s="38" t="s">
        <v>12296</v>
      </c>
      <c r="D106" s="38">
        <v>333</v>
      </c>
      <c r="E106" s="38">
        <v>403</v>
      </c>
      <c r="F106" s="38" t="s">
        <v>12297</v>
      </c>
      <c r="G106" s="38" t="s">
        <v>12235</v>
      </c>
      <c r="H106" s="38" t="s">
        <v>12005</v>
      </c>
    </row>
    <row r="107" spans="1:8" ht="140.1" customHeight="1">
      <c r="A107" s="38" t="s">
        <v>1455</v>
      </c>
      <c r="B107" s="38" t="s">
        <v>12298</v>
      </c>
      <c r="C107" s="38" t="s">
        <v>12299</v>
      </c>
      <c r="D107" s="38">
        <v>10</v>
      </c>
      <c r="E107" s="38">
        <v>33</v>
      </c>
      <c r="F107" s="38" t="s">
        <v>12300</v>
      </c>
      <c r="G107" s="38" t="s">
        <v>12301</v>
      </c>
      <c r="H107" s="38" t="s">
        <v>12005</v>
      </c>
    </row>
    <row r="108" spans="1:8" ht="140.1" customHeight="1">
      <c r="A108" s="38" t="s">
        <v>1455</v>
      </c>
      <c r="B108" s="38" t="s">
        <v>12298</v>
      </c>
      <c r="C108" s="38" t="s">
        <v>12302</v>
      </c>
      <c r="D108" s="38">
        <v>57</v>
      </c>
      <c r="E108" s="38">
        <v>85</v>
      </c>
      <c r="F108" s="38" t="s">
        <v>12303</v>
      </c>
      <c r="G108" s="38" t="s">
        <v>12301</v>
      </c>
      <c r="H108" s="38" t="s">
        <v>12005</v>
      </c>
    </row>
    <row r="109" spans="1:8" ht="140.1" customHeight="1">
      <c r="A109" s="38" t="s">
        <v>1586</v>
      </c>
      <c r="B109" s="38" t="s">
        <v>12304</v>
      </c>
      <c r="C109" s="38" t="s">
        <v>12305</v>
      </c>
      <c r="D109" s="38">
        <v>12</v>
      </c>
      <c r="E109" s="38">
        <v>38</v>
      </c>
      <c r="F109" s="38" t="s">
        <v>12306</v>
      </c>
      <c r="G109" s="38" t="s">
        <v>12307</v>
      </c>
      <c r="H109" s="38" t="s">
        <v>12005</v>
      </c>
    </row>
    <row r="110" spans="1:8" ht="140.1" customHeight="1">
      <c r="A110" s="38" t="s">
        <v>1586</v>
      </c>
      <c r="B110" s="38" t="s">
        <v>12304</v>
      </c>
      <c r="C110" s="38" t="s">
        <v>12308</v>
      </c>
      <c r="D110" s="38">
        <v>66</v>
      </c>
      <c r="E110" s="38">
        <v>90</v>
      </c>
      <c r="F110" s="38" t="s">
        <v>12309</v>
      </c>
      <c r="G110" s="38" t="s">
        <v>12307</v>
      </c>
      <c r="H110" s="38" t="s">
        <v>12005</v>
      </c>
    </row>
    <row r="111" spans="1:8" ht="140.1" customHeight="1">
      <c r="A111" s="38" t="s">
        <v>1586</v>
      </c>
      <c r="B111" s="38" t="s">
        <v>12310</v>
      </c>
      <c r="C111" s="38" t="s">
        <v>12311</v>
      </c>
      <c r="D111" s="38">
        <v>16</v>
      </c>
      <c r="E111" s="38">
        <v>48</v>
      </c>
      <c r="F111" s="38" t="s">
        <v>12312</v>
      </c>
      <c r="G111" s="38" t="s">
        <v>12313</v>
      </c>
      <c r="H111" s="38" t="s">
        <v>12005</v>
      </c>
    </row>
    <row r="112" spans="1:8" ht="140.1" customHeight="1">
      <c r="A112" s="38" t="s">
        <v>1593</v>
      </c>
      <c r="B112" s="38" t="s">
        <v>12314</v>
      </c>
      <c r="C112" s="38" t="s">
        <v>12315</v>
      </c>
      <c r="D112" s="38">
        <v>49</v>
      </c>
      <c r="E112" s="38">
        <v>62</v>
      </c>
      <c r="F112" s="38" t="s">
        <v>12316</v>
      </c>
      <c r="G112" s="38" t="s">
        <v>12317</v>
      </c>
      <c r="H112" s="38" t="s">
        <v>12005</v>
      </c>
    </row>
    <row r="113" spans="1:8" ht="140.1" customHeight="1">
      <c r="A113" s="38" t="s">
        <v>1593</v>
      </c>
      <c r="B113" s="38" t="s">
        <v>12314</v>
      </c>
      <c r="C113" s="38" t="s">
        <v>12318</v>
      </c>
      <c r="D113" s="38">
        <v>91</v>
      </c>
      <c r="E113" s="38">
        <v>115</v>
      </c>
      <c r="F113" s="38" t="s">
        <v>12319</v>
      </c>
      <c r="G113" s="38" t="s">
        <v>12317</v>
      </c>
      <c r="H113" s="38" t="s">
        <v>12005</v>
      </c>
    </row>
    <row r="114" spans="1:8" ht="140.1" customHeight="1">
      <c r="A114" s="38" t="s">
        <v>1593</v>
      </c>
      <c r="B114" s="38" t="s">
        <v>12320</v>
      </c>
      <c r="C114" s="38" t="s">
        <v>12321</v>
      </c>
      <c r="D114" s="38">
        <v>117</v>
      </c>
      <c r="E114" s="38">
        <v>137</v>
      </c>
      <c r="F114" s="38" t="s">
        <v>12322</v>
      </c>
      <c r="G114" s="38" t="s">
        <v>12323</v>
      </c>
      <c r="H114" s="38" t="s">
        <v>12005</v>
      </c>
    </row>
    <row r="115" spans="1:8" ht="140.1" customHeight="1">
      <c r="A115" s="38" t="s">
        <v>1593</v>
      </c>
      <c r="B115" s="38" t="s">
        <v>12324</v>
      </c>
      <c r="C115" s="38" t="s">
        <v>12325</v>
      </c>
      <c r="D115" s="38">
        <v>27</v>
      </c>
      <c r="E115" s="38">
        <v>57</v>
      </c>
      <c r="F115" s="38" t="s">
        <v>12326</v>
      </c>
      <c r="G115" s="38" t="s">
        <v>12327</v>
      </c>
      <c r="H115" s="38" t="s">
        <v>12005</v>
      </c>
    </row>
    <row r="116" spans="1:8" ht="140.1" customHeight="1">
      <c r="A116" s="38" t="s">
        <v>1625</v>
      </c>
      <c r="B116" s="38" t="s">
        <v>12328</v>
      </c>
      <c r="C116" s="38" t="s">
        <v>12329</v>
      </c>
      <c r="D116" s="38">
        <v>1</v>
      </c>
      <c r="E116" s="38">
        <v>49</v>
      </c>
      <c r="F116" s="38" t="s">
        <v>12330</v>
      </c>
      <c r="G116" s="38" t="s">
        <v>12331</v>
      </c>
      <c r="H116" s="38" t="s">
        <v>12005</v>
      </c>
    </row>
    <row r="117" spans="1:8" ht="140.1" customHeight="1">
      <c r="A117" s="38" t="s">
        <v>1625</v>
      </c>
      <c r="B117" s="38" t="s">
        <v>12278</v>
      </c>
      <c r="C117" s="38" t="s">
        <v>12332</v>
      </c>
      <c r="D117" s="38">
        <v>17</v>
      </c>
      <c r="E117" s="38">
        <v>26</v>
      </c>
      <c r="F117" s="38" t="s">
        <v>12333</v>
      </c>
      <c r="G117" s="38" t="s">
        <v>12281</v>
      </c>
      <c r="H117" s="38" t="s">
        <v>12005</v>
      </c>
    </row>
    <row r="118" spans="1:8" ht="140.1" customHeight="1">
      <c r="A118" s="38" t="s">
        <v>1655</v>
      </c>
      <c r="B118" s="38" t="s">
        <v>12334</v>
      </c>
      <c r="C118" s="38" t="s">
        <v>12335</v>
      </c>
      <c r="D118" s="38">
        <v>8</v>
      </c>
      <c r="E118" s="38">
        <v>19</v>
      </c>
      <c r="F118" s="38" t="s">
        <v>12336</v>
      </c>
      <c r="G118" s="38" t="s">
        <v>12337</v>
      </c>
      <c r="H118" s="38" t="s">
        <v>12005</v>
      </c>
    </row>
    <row r="119" spans="1:8" ht="140.1" customHeight="1">
      <c r="A119" s="38" t="s">
        <v>1655</v>
      </c>
      <c r="B119" s="38" t="s">
        <v>12334</v>
      </c>
      <c r="C119" s="38" t="s">
        <v>12338</v>
      </c>
      <c r="D119" s="38">
        <v>36</v>
      </c>
      <c r="E119" s="38">
        <v>64</v>
      </c>
      <c r="F119" s="38" t="s">
        <v>12339</v>
      </c>
      <c r="G119" s="38" t="s">
        <v>12337</v>
      </c>
      <c r="H119" s="38" t="s">
        <v>12005</v>
      </c>
    </row>
    <row r="120" spans="1:8" ht="140.1" customHeight="1">
      <c r="A120" s="38" t="s">
        <v>1655</v>
      </c>
      <c r="B120" s="38" t="s">
        <v>12334</v>
      </c>
      <c r="C120" s="38" t="s">
        <v>12340</v>
      </c>
      <c r="D120" s="38">
        <v>69</v>
      </c>
      <c r="E120" s="38">
        <v>96</v>
      </c>
      <c r="F120" s="38" t="s">
        <v>12341</v>
      </c>
      <c r="G120" s="38" t="s">
        <v>12337</v>
      </c>
      <c r="H120" s="38" t="s">
        <v>12005</v>
      </c>
    </row>
    <row r="121" spans="1:8" ht="140.1" customHeight="1">
      <c r="A121" s="38" t="s">
        <v>1685</v>
      </c>
      <c r="B121" s="38" t="s">
        <v>12310</v>
      </c>
      <c r="C121" s="38" t="s">
        <v>12342</v>
      </c>
      <c r="D121" s="38">
        <v>16</v>
      </c>
      <c r="E121" s="38">
        <v>43</v>
      </c>
      <c r="F121" s="38" t="s">
        <v>12343</v>
      </c>
      <c r="G121" s="38" t="s">
        <v>12313</v>
      </c>
      <c r="H121" s="38" t="s">
        <v>12005</v>
      </c>
    </row>
    <row r="122" spans="1:8" ht="140.1" customHeight="1">
      <c r="A122" s="38" t="s">
        <v>1685</v>
      </c>
      <c r="B122" s="38" t="s">
        <v>12304</v>
      </c>
      <c r="C122" s="38" t="s">
        <v>12344</v>
      </c>
      <c r="D122" s="38">
        <v>12</v>
      </c>
      <c r="E122" s="38">
        <v>38</v>
      </c>
      <c r="F122" s="38" t="s">
        <v>12306</v>
      </c>
      <c r="G122" s="38" t="s">
        <v>12307</v>
      </c>
      <c r="H122" s="38" t="s">
        <v>12005</v>
      </c>
    </row>
    <row r="123" spans="1:8" ht="140.1" customHeight="1">
      <c r="A123" s="38" t="s">
        <v>1766</v>
      </c>
      <c r="B123" s="38" t="s">
        <v>12345</v>
      </c>
      <c r="C123" s="38" t="s">
        <v>12346</v>
      </c>
      <c r="D123" s="38">
        <v>17</v>
      </c>
      <c r="E123" s="38">
        <v>35</v>
      </c>
      <c r="F123" s="38" t="s">
        <v>12347</v>
      </c>
      <c r="G123" s="38" t="s">
        <v>12348</v>
      </c>
      <c r="H123" s="38" t="s">
        <v>12005</v>
      </c>
    </row>
    <row r="124" spans="1:8" ht="140.1" customHeight="1">
      <c r="A124" s="38" t="s">
        <v>1766</v>
      </c>
      <c r="B124" s="38" t="s">
        <v>12345</v>
      </c>
      <c r="C124" s="38" t="s">
        <v>12349</v>
      </c>
      <c r="D124" s="38">
        <v>50</v>
      </c>
      <c r="E124" s="38">
        <v>85</v>
      </c>
      <c r="F124" s="38" t="s">
        <v>12350</v>
      </c>
      <c r="G124" s="38" t="s">
        <v>12348</v>
      </c>
      <c r="H124" s="38" t="s">
        <v>12005</v>
      </c>
    </row>
    <row r="125" spans="1:8" ht="140.1" customHeight="1">
      <c r="A125" s="38" t="s">
        <v>1791</v>
      </c>
      <c r="B125" s="38" t="s">
        <v>12292</v>
      </c>
      <c r="C125" s="38" t="s">
        <v>12351</v>
      </c>
      <c r="D125" s="38">
        <v>8</v>
      </c>
      <c r="E125" s="38">
        <v>36</v>
      </c>
      <c r="F125" s="38" t="s">
        <v>12352</v>
      </c>
      <c r="G125" s="38" t="s">
        <v>12295</v>
      </c>
      <c r="H125" s="38" t="s">
        <v>12005</v>
      </c>
    </row>
    <row r="126" spans="1:8" ht="140.1" customHeight="1">
      <c r="A126" s="38" t="s">
        <v>1791</v>
      </c>
      <c r="B126" s="38" t="s">
        <v>12232</v>
      </c>
      <c r="C126" s="38" t="s">
        <v>12353</v>
      </c>
      <c r="D126" s="38">
        <v>333</v>
      </c>
      <c r="E126" s="38">
        <v>403</v>
      </c>
      <c r="F126" s="38" t="s">
        <v>12297</v>
      </c>
      <c r="G126" s="38" t="s">
        <v>12235</v>
      </c>
      <c r="H126" s="38" t="s">
        <v>12005</v>
      </c>
    </row>
    <row r="127" spans="1:8" ht="140.1" customHeight="1">
      <c r="A127" s="38" t="s">
        <v>1817</v>
      </c>
      <c r="B127" s="38" t="s">
        <v>12130</v>
      </c>
      <c r="C127" s="38" t="s">
        <v>12354</v>
      </c>
      <c r="D127" s="38">
        <v>61</v>
      </c>
      <c r="E127" s="38">
        <v>108</v>
      </c>
      <c r="F127" s="38" t="s">
        <v>12132</v>
      </c>
      <c r="G127" s="38" t="s">
        <v>12133</v>
      </c>
      <c r="H127" s="38" t="s">
        <v>12005</v>
      </c>
    </row>
    <row r="128" spans="1:8" ht="140.1" customHeight="1">
      <c r="A128" s="38" t="s">
        <v>1817</v>
      </c>
      <c r="B128" s="38" t="s">
        <v>12145</v>
      </c>
      <c r="C128" s="38" t="s">
        <v>12355</v>
      </c>
      <c r="D128" s="38">
        <v>24</v>
      </c>
      <c r="E128" s="38">
        <v>72</v>
      </c>
      <c r="F128" s="38" t="s">
        <v>12147</v>
      </c>
      <c r="G128" s="38" t="s">
        <v>12148</v>
      </c>
      <c r="H128" s="38" t="s">
        <v>12005</v>
      </c>
    </row>
    <row r="129" spans="1:8" ht="140.1" customHeight="1">
      <c r="A129" s="38" t="s">
        <v>1821</v>
      </c>
      <c r="B129" s="38" t="s">
        <v>12292</v>
      </c>
      <c r="C129" s="38" t="s">
        <v>12356</v>
      </c>
      <c r="D129" s="38">
        <v>8</v>
      </c>
      <c r="E129" s="38">
        <v>36</v>
      </c>
      <c r="F129" s="38" t="s">
        <v>12352</v>
      </c>
      <c r="G129" s="38" t="s">
        <v>12295</v>
      </c>
      <c r="H129" s="38" t="s">
        <v>12005</v>
      </c>
    </row>
    <row r="130" spans="1:8" ht="140.1" customHeight="1">
      <c r="A130" s="38" t="s">
        <v>1821</v>
      </c>
      <c r="B130" s="38" t="s">
        <v>12298</v>
      </c>
      <c r="C130" s="38" t="s">
        <v>12357</v>
      </c>
      <c r="D130" s="38">
        <v>10</v>
      </c>
      <c r="E130" s="38">
        <v>33</v>
      </c>
      <c r="F130" s="38" t="s">
        <v>12300</v>
      </c>
      <c r="G130" s="38" t="s">
        <v>12301</v>
      </c>
      <c r="H130" s="38" t="s">
        <v>12005</v>
      </c>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81"/>
  <sheetViews>
    <sheetView workbookViewId="0"/>
  </sheetViews>
  <sheetFormatPr defaultRowHeight="14.25"/>
  <cols>
    <col min="1" max="1" width="28" customWidth="1"/>
    <col min="2" max="2" width="17" customWidth="1"/>
    <col min="3" max="3" width="20" customWidth="1"/>
    <col min="4" max="4" width="23" customWidth="1"/>
    <col min="5" max="5" width="32" customWidth="1"/>
    <col min="6" max="8" width="24" customWidth="1"/>
  </cols>
  <sheetData>
    <row r="1" spans="1:8" ht="30" customHeight="1">
      <c r="A1" s="143" t="s">
        <v>12358</v>
      </c>
      <c r="B1" s="143"/>
      <c r="C1" s="143"/>
      <c r="D1" s="143"/>
      <c r="E1" s="143"/>
      <c r="F1" s="143"/>
      <c r="G1" s="143"/>
      <c r="H1" s="143"/>
    </row>
    <row r="2" spans="1:8" ht="30" customHeight="1">
      <c r="A2" s="114" t="s">
        <v>11815</v>
      </c>
      <c r="B2" s="114"/>
      <c r="C2" s="114"/>
      <c r="D2" s="114"/>
      <c r="E2" s="114"/>
      <c r="F2" s="114"/>
      <c r="G2" s="114"/>
      <c r="H2" s="114"/>
    </row>
    <row r="3" spans="1:8" ht="30" customHeight="1">
      <c r="A3" s="114" t="s">
        <v>11818</v>
      </c>
      <c r="B3" s="114"/>
      <c r="C3" s="114"/>
      <c r="D3" s="114"/>
      <c r="E3" s="114"/>
      <c r="F3" s="114"/>
      <c r="G3" s="114"/>
      <c r="H3" s="114"/>
    </row>
    <row r="4" spans="1:8">
      <c r="A4" s="24"/>
      <c r="B4" s="24"/>
      <c r="C4" s="24"/>
      <c r="D4" s="24"/>
      <c r="E4" s="24"/>
      <c r="F4" s="24"/>
      <c r="G4" s="24"/>
      <c r="H4" s="24"/>
    </row>
    <row r="5" spans="1:8" ht="30" customHeight="1">
      <c r="A5" s="87" t="s">
        <v>2808</v>
      </c>
      <c r="B5" s="87" t="s">
        <v>12359</v>
      </c>
      <c r="C5" s="87" t="s">
        <v>108</v>
      </c>
      <c r="D5" s="87" t="s">
        <v>433</v>
      </c>
      <c r="E5" s="87" t="s">
        <v>2812</v>
      </c>
      <c r="F5" s="87"/>
      <c r="G5" s="87"/>
      <c r="H5" s="87"/>
    </row>
    <row r="6" spans="1:8" ht="32.1" customHeight="1">
      <c r="A6" s="24" t="s">
        <v>1836</v>
      </c>
      <c r="B6" s="24">
        <f>COUNTA(Backlog!$A$2:$A$188)</f>
        <v>187</v>
      </c>
      <c r="C6" s="24">
        <f>COUNTIF(Backlog!$B$2:$B$188,"M2")</f>
        <v>115</v>
      </c>
      <c r="D6" s="24">
        <f>COUNTIFS(Backlog!$B$2:$B$188,"M2",Backlog!$C$2:$C$188,"P2")</f>
        <v>42</v>
      </c>
      <c r="E6" s="24" t="s">
        <v>11821</v>
      </c>
      <c r="F6" s="24"/>
      <c r="G6" s="24"/>
      <c r="H6" s="24"/>
    </row>
    <row r="7" spans="1:8" ht="32.1" customHeight="1">
      <c r="A7" s="24" t="s">
        <v>12360</v>
      </c>
      <c r="B7" s="24">
        <f>COUNTIF(Backlog!$AU$2:$AU$188,"&lt;&gt;NOT SOURCE-REVIEWED IN THIS PASS")</f>
        <v>59</v>
      </c>
      <c r="C7" s="24">
        <f>COUNTIFS(Backlog!$B$2:$B$188,"M2",Backlog!$AU$2:$AU$188,"&lt;&gt;NOT SOURCE-REVIEWED IN THIS PASS")</f>
        <v>46</v>
      </c>
      <c r="D7" s="24">
        <f>COUNTIFS(Backlog!$B$2:$B$188,"M2",Backlog!$C$2:$C$188,"P2",Backlog!$AU$2:$AU$188,"&lt;&gt;NOT SOURCE-REVIEWED IN THIS PASS")</f>
        <v>42</v>
      </c>
      <c r="E7" s="24" t="s">
        <v>12361</v>
      </c>
      <c r="F7" s="24"/>
      <c r="G7" s="24"/>
      <c r="H7" s="24"/>
    </row>
    <row r="8" spans="1:8" ht="32.1" customHeight="1">
      <c r="A8" s="24" t="s">
        <v>12362</v>
      </c>
      <c r="B8" s="24">
        <f>B6-B7</f>
        <v>128</v>
      </c>
      <c r="C8" s="24">
        <f>C6-C7</f>
        <v>69</v>
      </c>
      <c r="D8" s="24">
        <f>D6-D7</f>
        <v>0</v>
      </c>
      <c r="E8" s="24" t="s">
        <v>12363</v>
      </c>
      <c r="F8" s="24"/>
      <c r="G8" s="24"/>
      <c r="H8" s="24"/>
    </row>
    <row r="9" spans="1:8" ht="32.1" customHeight="1">
      <c r="A9" s="24" t="s">
        <v>100</v>
      </c>
      <c r="B9" s="91">
        <f>SUM(Backlog!$AV$2:$AV$188)</f>
        <v>374</v>
      </c>
      <c r="C9" s="91">
        <f>SUMIFS(Backlog!$AV$2:$AV$188,Backlog!$B$2:$B$188,"M2")</f>
        <v>214</v>
      </c>
      <c r="D9" s="91">
        <f>SUMIFS(Backlog!$AV$2:$AV$188,Backlog!$B$2:$B$188,"M2",Backlog!$C$2:$C$188,"P2")</f>
        <v>152</v>
      </c>
      <c r="E9" s="24" t="s">
        <v>11823</v>
      </c>
      <c r="F9" s="24"/>
      <c r="G9" s="24"/>
      <c r="H9" s="24"/>
    </row>
    <row r="10" spans="1:8" ht="32.1" customHeight="1">
      <c r="A10" s="24" t="s">
        <v>101</v>
      </c>
      <c r="B10" s="91">
        <f>SUM(Backlog!$AW$2:$AW$188)</f>
        <v>626</v>
      </c>
      <c r="C10" s="91">
        <f>SUMIFS(Backlog!$AW$2:$AW$188,Backlog!$B$2:$B$188,"M2")</f>
        <v>350</v>
      </c>
      <c r="D10" s="91">
        <f>SUMIFS(Backlog!$AW$2:$AW$188,Backlog!$B$2:$B$188,"M2",Backlog!$C$2:$C$188,"P2")</f>
        <v>248</v>
      </c>
      <c r="E10" s="24" t="s">
        <v>11825</v>
      </c>
      <c r="F10" s="24"/>
      <c r="G10" s="24"/>
      <c r="H10" s="24"/>
    </row>
    <row r="11" spans="1:8" ht="32.1" customHeight="1">
      <c r="A11" s="24" t="s">
        <v>102</v>
      </c>
      <c r="B11" s="91">
        <f>SUM(Backlog!$AX$2:$AX$188)</f>
        <v>1021</v>
      </c>
      <c r="C11" s="91">
        <f>SUMIFS(Backlog!$AX$2:$AX$188,Backlog!$B$2:$B$188,"M2")</f>
        <v>565</v>
      </c>
      <c r="D11" s="91">
        <f>SUMIFS(Backlog!$AX$2:$AX$188,Backlog!$B$2:$B$188,"M2",Backlog!$C$2:$C$188,"P2")</f>
        <v>399</v>
      </c>
      <c r="E11" s="24" t="s">
        <v>11827</v>
      </c>
      <c r="F11" s="24"/>
      <c r="G11" s="24"/>
      <c r="H11" s="24"/>
    </row>
    <row r="12" spans="1:8" ht="32.1" customHeight="1">
      <c r="A12" s="24" t="s">
        <v>11829</v>
      </c>
      <c r="B12" s="24">
        <f>COUNTIFS(Backlog!$AM$2:$AM$188,0,Backlog!$AU$2:$AU$188,"&lt;&gt;NOT SOURCE-REVIEWED IN THIS PASS")</f>
        <v>39</v>
      </c>
      <c r="C12" s="24">
        <f>COUNTIFS(Backlog!$AM$2:$AM$188,0,Backlog!$B$2:$B$188,"M2",Backlog!$AU$2:$AU$188,"&lt;&gt;NOT SOURCE-REVIEWED IN THIS PASS")</f>
        <v>26</v>
      </c>
      <c r="D12" s="24">
        <f>COUNTIFS(Backlog!$AM$2:$AM$188,0,Backlog!$B$2:$B$188,"M2",Backlog!$C$2:$C$188,"P2",Backlog!$AU$2:$AU$188,"&lt;&gt;NOT SOURCE-REVIEWED IN THIS PASS")</f>
        <v>22</v>
      </c>
      <c r="E12" s="24" t="s">
        <v>12364</v>
      </c>
      <c r="F12" s="24"/>
      <c r="G12" s="24"/>
      <c r="H12" s="24"/>
    </row>
    <row r="13" spans="1:8">
      <c r="A13" s="24"/>
      <c r="B13" s="24"/>
      <c r="C13" s="24"/>
      <c r="D13" s="24"/>
      <c r="E13" s="24"/>
      <c r="F13" s="24"/>
      <c r="G13" s="24"/>
      <c r="H13" s="24"/>
    </row>
    <row r="14" spans="1:8" ht="30" customHeight="1">
      <c r="A14" s="144" t="s">
        <v>12365</v>
      </c>
      <c r="B14" s="144"/>
      <c r="C14" s="144"/>
      <c r="D14" s="144"/>
      <c r="E14" s="144"/>
      <c r="F14" s="144"/>
      <c r="G14" s="144"/>
      <c r="H14" s="144"/>
    </row>
    <row r="15" spans="1:8" ht="27.95" customHeight="1">
      <c r="A15" s="114" t="s">
        <v>11831</v>
      </c>
      <c r="B15" s="114"/>
      <c r="C15" s="114"/>
      <c r="D15" s="114"/>
      <c r="E15" s="114"/>
      <c r="F15" s="114"/>
      <c r="G15" s="114"/>
      <c r="H15" s="114"/>
    </row>
    <row r="16" spans="1:8" ht="27.95" customHeight="1">
      <c r="A16" s="114" t="s">
        <v>12366</v>
      </c>
      <c r="B16" s="114"/>
      <c r="C16" s="114"/>
      <c r="D16" s="114"/>
      <c r="E16" s="114"/>
      <c r="F16" s="114"/>
      <c r="G16" s="114"/>
      <c r="H16" s="114"/>
    </row>
    <row r="17" spans="1:8" ht="27.95" customHeight="1">
      <c r="A17" s="114" t="s">
        <v>12367</v>
      </c>
      <c r="B17" s="114"/>
      <c r="C17" s="114"/>
      <c r="D17" s="114"/>
      <c r="E17" s="114"/>
      <c r="F17" s="114"/>
      <c r="G17" s="114"/>
      <c r="H17" s="114"/>
    </row>
    <row r="18" spans="1:8" ht="27.95" customHeight="1">
      <c r="A18" s="114" t="s">
        <v>12368</v>
      </c>
      <c r="B18" s="114"/>
      <c r="C18" s="114"/>
      <c r="D18" s="114"/>
      <c r="E18" s="114"/>
      <c r="F18" s="114"/>
      <c r="G18" s="114"/>
      <c r="H18" s="114"/>
    </row>
    <row r="19" spans="1:8" ht="27.95" customHeight="1">
      <c r="A19" s="114" t="s">
        <v>11833</v>
      </c>
      <c r="B19" s="114"/>
      <c r="C19" s="114"/>
      <c r="D19" s="114"/>
      <c r="E19" s="114"/>
      <c r="F19" s="114"/>
      <c r="G19" s="114"/>
      <c r="H19" s="114"/>
    </row>
    <row r="20" spans="1:8" ht="27.95" customHeight="1">
      <c r="A20" s="114" t="s">
        <v>12369</v>
      </c>
      <c r="B20" s="114"/>
      <c r="C20" s="114"/>
      <c r="D20" s="114"/>
      <c r="E20" s="114"/>
      <c r="F20" s="114"/>
      <c r="G20" s="114"/>
      <c r="H20" s="114"/>
    </row>
    <row r="21" spans="1:8" ht="27.95" customHeight="1">
      <c r="A21" s="114" t="s">
        <v>12370</v>
      </c>
      <c r="B21" s="114"/>
      <c r="C21" s="114"/>
      <c r="D21" s="114"/>
      <c r="E21" s="114"/>
      <c r="F21" s="114"/>
      <c r="G21" s="114"/>
      <c r="H21" s="114"/>
    </row>
    <row r="22" spans="1:8" ht="27.95" customHeight="1">
      <c r="A22" s="114" t="s">
        <v>12371</v>
      </c>
      <c r="B22" s="114"/>
      <c r="C22" s="114"/>
      <c r="D22" s="114"/>
      <c r="E22" s="114"/>
      <c r="F22" s="114"/>
      <c r="G22" s="114"/>
      <c r="H22" s="114"/>
    </row>
    <row r="23" spans="1:8" ht="27.95" customHeight="1">
      <c r="A23" s="114" t="s">
        <v>12372</v>
      </c>
      <c r="B23" s="114"/>
      <c r="C23" s="114"/>
      <c r="D23" s="114"/>
      <c r="E23" s="114"/>
      <c r="F23" s="114"/>
      <c r="G23" s="114"/>
      <c r="H23" s="114"/>
    </row>
    <row r="24" spans="1:8">
      <c r="A24" s="24"/>
      <c r="B24" s="24"/>
      <c r="C24" s="24"/>
      <c r="D24" s="24"/>
      <c r="E24" s="24"/>
      <c r="F24" s="24"/>
      <c r="G24" s="24"/>
      <c r="H24" s="24"/>
    </row>
    <row r="25" spans="1:8" ht="30" customHeight="1">
      <c r="A25" s="87" t="s">
        <v>12373</v>
      </c>
      <c r="B25" s="87" t="s">
        <v>2568</v>
      </c>
      <c r="C25" s="87" t="s">
        <v>12374</v>
      </c>
      <c r="D25" s="87" t="s">
        <v>12375</v>
      </c>
      <c r="E25" s="87" t="s">
        <v>12376</v>
      </c>
      <c r="F25" s="87" t="s">
        <v>12377</v>
      </c>
      <c r="G25" s="87" t="s">
        <v>2567</v>
      </c>
      <c r="H25" s="87" t="s">
        <v>12378</v>
      </c>
    </row>
    <row r="26" spans="1:8" ht="78" customHeight="1">
      <c r="A26" s="24" t="s">
        <v>12379</v>
      </c>
      <c r="B26" s="24" t="s">
        <v>508</v>
      </c>
      <c r="C26" s="24" t="s">
        <v>12380</v>
      </c>
      <c r="D26" s="24" t="s">
        <v>12381</v>
      </c>
      <c r="E26" s="24" t="s">
        <v>12382</v>
      </c>
      <c r="F26" s="24" t="s">
        <v>12383</v>
      </c>
      <c r="G26" s="24" t="s">
        <v>12384</v>
      </c>
      <c r="H26" s="24" t="s">
        <v>12385</v>
      </c>
    </row>
    <row r="27" spans="1:8" ht="78" customHeight="1">
      <c r="A27" s="24" t="s">
        <v>12386</v>
      </c>
      <c r="B27" s="24" t="s">
        <v>548</v>
      </c>
      <c r="C27" s="24" t="s">
        <v>12387</v>
      </c>
      <c r="D27" s="24" t="s">
        <v>12388</v>
      </c>
      <c r="E27" s="24" t="s">
        <v>12389</v>
      </c>
      <c r="F27" s="24" t="s">
        <v>12390</v>
      </c>
      <c r="G27" s="24" t="s">
        <v>12391</v>
      </c>
      <c r="H27" s="24" t="s">
        <v>12392</v>
      </c>
    </row>
    <row r="28" spans="1:8" ht="78" customHeight="1">
      <c r="A28" s="24" t="s">
        <v>12393</v>
      </c>
      <c r="B28" s="24" t="s">
        <v>498</v>
      </c>
      <c r="C28" s="24" t="s">
        <v>12394</v>
      </c>
      <c r="D28" s="24" t="s">
        <v>12395</v>
      </c>
      <c r="E28" s="24" t="s">
        <v>12396</v>
      </c>
      <c r="F28" s="24" t="s">
        <v>12397</v>
      </c>
      <c r="G28" s="24" t="s">
        <v>12398</v>
      </c>
      <c r="H28" s="24" t="s">
        <v>12399</v>
      </c>
    </row>
    <row r="29" spans="1:8" ht="78" customHeight="1">
      <c r="A29" s="24" t="s">
        <v>12400</v>
      </c>
      <c r="B29" s="24" t="s">
        <v>1593</v>
      </c>
      <c r="C29" s="24" t="s">
        <v>12401</v>
      </c>
      <c r="D29" s="24" t="s">
        <v>12402</v>
      </c>
      <c r="E29" s="24" t="s">
        <v>12403</v>
      </c>
      <c r="F29" s="24" t="s">
        <v>12404</v>
      </c>
      <c r="G29" s="24" t="s">
        <v>12405</v>
      </c>
      <c r="H29" s="24" t="s">
        <v>12406</v>
      </c>
    </row>
    <row r="30" spans="1:8" ht="78" customHeight="1">
      <c r="A30" s="24" t="s">
        <v>12407</v>
      </c>
      <c r="B30" s="24" t="s">
        <v>787</v>
      </c>
      <c r="C30" s="24" t="s">
        <v>12408</v>
      </c>
      <c r="D30" s="24" t="s">
        <v>12409</v>
      </c>
      <c r="E30" s="24" t="s">
        <v>12410</v>
      </c>
      <c r="F30" s="24" t="s">
        <v>12411</v>
      </c>
      <c r="G30" s="24" t="s">
        <v>12412</v>
      </c>
      <c r="H30" s="24" t="s">
        <v>12413</v>
      </c>
    </row>
    <row r="31" spans="1:8">
      <c r="A31" s="24"/>
      <c r="B31" s="24"/>
      <c r="C31" s="24"/>
      <c r="D31" s="24"/>
      <c r="E31" s="24"/>
      <c r="F31" s="24"/>
      <c r="G31" s="24"/>
      <c r="H31" s="24"/>
    </row>
    <row r="32" spans="1:8">
      <c r="A32" s="114" t="s">
        <v>12414</v>
      </c>
      <c r="B32" s="114"/>
      <c r="C32" s="114"/>
      <c r="D32" s="114"/>
      <c r="E32" s="114"/>
      <c r="F32" s="114"/>
      <c r="G32" s="114"/>
      <c r="H32" s="114"/>
    </row>
    <row r="33" spans="1:8">
      <c r="A33" s="24"/>
      <c r="B33" s="24"/>
      <c r="C33" s="24"/>
      <c r="D33" s="24"/>
      <c r="E33" s="24"/>
      <c r="F33" s="24"/>
      <c r="G33" s="24"/>
      <c r="H33" s="24"/>
    </row>
    <row r="34" spans="1:8" ht="32.1" customHeight="1">
      <c r="A34" s="145" t="s">
        <v>11836</v>
      </c>
      <c r="B34" s="145"/>
      <c r="C34" s="145"/>
      <c r="D34" s="145"/>
      <c r="E34" s="145"/>
      <c r="F34" s="145"/>
      <c r="G34" s="145"/>
      <c r="H34" s="145"/>
    </row>
    <row r="36" spans="1:8" ht="30" customHeight="1">
      <c r="A36" s="85" t="s">
        <v>6028</v>
      </c>
      <c r="B36" s="85" t="s">
        <v>5472</v>
      </c>
      <c r="C36" s="85" t="s">
        <v>12378</v>
      </c>
      <c r="D36" s="85" t="s">
        <v>2399</v>
      </c>
      <c r="E36" s="85"/>
      <c r="F36" s="85"/>
      <c r="G36" s="85"/>
      <c r="H36" s="85"/>
    </row>
    <row r="37" spans="1:8" ht="42" customHeight="1">
      <c r="A37" s="24" t="s">
        <v>12415</v>
      </c>
      <c r="B37" s="24" t="s">
        <v>5476</v>
      </c>
      <c r="C37" s="24" t="s">
        <v>12416</v>
      </c>
      <c r="D37" s="24"/>
    </row>
    <row r="38" spans="1:8" ht="42" customHeight="1">
      <c r="A38" s="24" t="s">
        <v>12417</v>
      </c>
      <c r="B38" s="24" t="s">
        <v>5476</v>
      </c>
      <c r="C38" s="24" t="s">
        <v>12416</v>
      </c>
      <c r="D38" s="24" t="s">
        <v>12418</v>
      </c>
    </row>
    <row r="39" spans="1:8" ht="42" customHeight="1">
      <c r="A39" s="24" t="s">
        <v>12419</v>
      </c>
      <c r="B39" s="24" t="s">
        <v>5476</v>
      </c>
      <c r="C39" s="24" t="s">
        <v>12416</v>
      </c>
      <c r="D39" s="24" t="s">
        <v>12420</v>
      </c>
    </row>
    <row r="40" spans="1:8" ht="42" customHeight="1">
      <c r="A40" s="24" t="s">
        <v>12421</v>
      </c>
      <c r="B40" s="24" t="s">
        <v>5476</v>
      </c>
      <c r="C40" s="24" t="s">
        <v>12416</v>
      </c>
      <c r="D40" s="24" t="s">
        <v>12418</v>
      </c>
    </row>
    <row r="41" spans="1:8" ht="42" customHeight="1">
      <c r="A41" s="24" t="s">
        <v>12422</v>
      </c>
      <c r="B41" s="24" t="s">
        <v>5476</v>
      </c>
      <c r="C41" s="24" t="s">
        <v>12416</v>
      </c>
      <c r="D41" s="24" t="s">
        <v>12423</v>
      </c>
    </row>
    <row r="42" spans="1:8" ht="42" customHeight="1">
      <c r="A42" s="24" t="s">
        <v>12424</v>
      </c>
      <c r="B42" s="24" t="s">
        <v>5476</v>
      </c>
      <c r="C42" s="24" t="s">
        <v>12416</v>
      </c>
      <c r="D42" s="24" t="s">
        <v>12418</v>
      </c>
    </row>
    <row r="43" spans="1:8" ht="42" customHeight="1">
      <c r="A43" s="24" t="s">
        <v>12425</v>
      </c>
      <c r="B43" s="24" t="s">
        <v>5476</v>
      </c>
      <c r="C43" s="24" t="s">
        <v>12416</v>
      </c>
      <c r="D43" s="24" t="s">
        <v>12418</v>
      </c>
    </row>
    <row r="44" spans="1:8" ht="42" customHeight="1">
      <c r="A44" s="24" t="s">
        <v>12426</v>
      </c>
      <c r="B44" s="24" t="s">
        <v>5476</v>
      </c>
      <c r="C44" s="24" t="s">
        <v>12416</v>
      </c>
      <c r="D44" s="24"/>
    </row>
    <row r="45" spans="1:8" ht="42" customHeight="1">
      <c r="A45" s="24" t="s">
        <v>12427</v>
      </c>
      <c r="B45" s="24" t="s">
        <v>5476</v>
      </c>
      <c r="C45" s="24" t="s">
        <v>12416</v>
      </c>
      <c r="D45" s="24" t="s">
        <v>12418</v>
      </c>
    </row>
    <row r="46" spans="1:8" ht="42" customHeight="1">
      <c r="A46" s="24" t="s">
        <v>12428</v>
      </c>
      <c r="B46" s="24" t="s">
        <v>5476</v>
      </c>
      <c r="C46" s="24" t="s">
        <v>12416</v>
      </c>
      <c r="D46" s="24" t="s">
        <v>12418</v>
      </c>
    </row>
    <row r="47" spans="1:8" ht="42" customHeight="1">
      <c r="A47" s="24" t="s">
        <v>12429</v>
      </c>
      <c r="B47" s="24" t="s">
        <v>5476</v>
      </c>
      <c r="C47" s="24" t="s">
        <v>12416</v>
      </c>
      <c r="D47" s="24"/>
    </row>
    <row r="48" spans="1:8" ht="42" customHeight="1">
      <c r="A48" s="24" t="s">
        <v>12430</v>
      </c>
      <c r="B48" s="24" t="s">
        <v>5476</v>
      </c>
      <c r="C48" s="24" t="s">
        <v>12416</v>
      </c>
      <c r="D48" s="24"/>
    </row>
    <row r="49" spans="1:4" ht="42" customHeight="1">
      <c r="A49" s="24" t="s">
        <v>12431</v>
      </c>
      <c r="B49" s="24" t="s">
        <v>5476</v>
      </c>
      <c r="C49" s="24" t="s">
        <v>12416</v>
      </c>
      <c r="D49" s="24"/>
    </row>
    <row r="50" spans="1:4" ht="42" customHeight="1">
      <c r="A50" s="24" t="s">
        <v>12432</v>
      </c>
      <c r="B50" s="24" t="s">
        <v>5476</v>
      </c>
      <c r="C50" s="24" t="s">
        <v>12416</v>
      </c>
      <c r="D50" s="24" t="s">
        <v>12418</v>
      </c>
    </row>
    <row r="51" spans="1:4" ht="42" customHeight="1">
      <c r="A51" s="24" t="s">
        <v>12433</v>
      </c>
      <c r="B51" s="24" t="s">
        <v>5476</v>
      </c>
      <c r="C51" s="24" t="s">
        <v>12416</v>
      </c>
      <c r="D51" s="24"/>
    </row>
    <row r="52" spans="1:4" ht="42" customHeight="1">
      <c r="A52" s="24" t="s">
        <v>12434</v>
      </c>
      <c r="B52" s="24" t="s">
        <v>5476</v>
      </c>
      <c r="C52" s="24" t="s">
        <v>12416</v>
      </c>
      <c r="D52" s="24"/>
    </row>
    <row r="53" spans="1:4" ht="42" customHeight="1">
      <c r="A53" s="24" t="s">
        <v>11838</v>
      </c>
      <c r="B53" s="24" t="s">
        <v>5476</v>
      </c>
      <c r="C53" s="24" t="s">
        <v>11840</v>
      </c>
      <c r="D53" s="24"/>
    </row>
    <row r="54" spans="1:4" ht="42" customHeight="1">
      <c r="A54" s="24" t="s">
        <v>11842</v>
      </c>
      <c r="B54" s="24" t="s">
        <v>5476</v>
      </c>
      <c r="C54" s="24" t="s">
        <v>11840</v>
      </c>
      <c r="D54" s="24"/>
    </row>
    <row r="55" spans="1:4" ht="42" customHeight="1">
      <c r="A55" s="24" t="s">
        <v>11844</v>
      </c>
      <c r="B55" s="24" t="s">
        <v>5476</v>
      </c>
      <c r="C55" s="24" t="s">
        <v>11845</v>
      </c>
      <c r="D55" s="24" t="s">
        <v>12435</v>
      </c>
    </row>
    <row r="56" spans="1:4" ht="42" customHeight="1">
      <c r="A56" s="24" t="s">
        <v>12436</v>
      </c>
      <c r="B56" s="24" t="s">
        <v>5476</v>
      </c>
      <c r="C56" s="24" t="s">
        <v>12416</v>
      </c>
      <c r="D56" s="24"/>
    </row>
    <row r="57" spans="1:4" ht="42" customHeight="1">
      <c r="A57" s="24" t="s">
        <v>12437</v>
      </c>
      <c r="B57" s="24" t="s">
        <v>5476</v>
      </c>
      <c r="C57" s="24" t="s">
        <v>12416</v>
      </c>
      <c r="D57" s="24" t="s">
        <v>12418</v>
      </c>
    </row>
    <row r="58" spans="1:4" ht="42" customHeight="1">
      <c r="A58" s="24" t="s">
        <v>12438</v>
      </c>
      <c r="B58" s="24" t="s">
        <v>5476</v>
      </c>
      <c r="C58" s="24" t="s">
        <v>12416</v>
      </c>
      <c r="D58" s="24"/>
    </row>
    <row r="59" spans="1:4" ht="42" customHeight="1">
      <c r="A59" s="24" t="s">
        <v>12439</v>
      </c>
      <c r="B59" s="24" t="s">
        <v>5476</v>
      </c>
      <c r="C59" s="24" t="s">
        <v>12416</v>
      </c>
      <c r="D59" s="24"/>
    </row>
    <row r="60" spans="1:4" ht="42" customHeight="1">
      <c r="A60" s="24" t="s">
        <v>12440</v>
      </c>
      <c r="B60" s="24" t="s">
        <v>5476</v>
      </c>
      <c r="C60" s="24" t="s">
        <v>12441</v>
      </c>
      <c r="D60" s="24" t="s">
        <v>12442</v>
      </c>
    </row>
    <row r="61" spans="1:4" ht="42" customHeight="1">
      <c r="A61" s="24" t="s">
        <v>12443</v>
      </c>
      <c r="B61" s="24" t="s">
        <v>5476</v>
      </c>
      <c r="C61" s="24" t="s">
        <v>12441</v>
      </c>
      <c r="D61" s="24" t="s">
        <v>12442</v>
      </c>
    </row>
    <row r="62" spans="1:4" ht="42" customHeight="1">
      <c r="A62" s="24" t="s">
        <v>12444</v>
      </c>
      <c r="B62" s="24" t="s">
        <v>5476</v>
      </c>
      <c r="C62" s="24" t="s">
        <v>12441</v>
      </c>
      <c r="D62" s="24" t="s">
        <v>12442</v>
      </c>
    </row>
    <row r="63" spans="1:4" ht="42" customHeight="1">
      <c r="A63" s="24" t="s">
        <v>12445</v>
      </c>
      <c r="B63" s="24" t="s">
        <v>6074</v>
      </c>
      <c r="C63" s="24" t="s">
        <v>12446</v>
      </c>
      <c r="D63" s="24" t="s">
        <v>12447</v>
      </c>
    </row>
    <row r="64" spans="1:4" ht="42" customHeight="1">
      <c r="A64" s="24" t="s">
        <v>12448</v>
      </c>
      <c r="B64" s="24" t="s">
        <v>6074</v>
      </c>
      <c r="C64" s="24" t="s">
        <v>12449</v>
      </c>
      <c r="D64" s="24" t="s">
        <v>12450</v>
      </c>
    </row>
    <row r="65" spans="1:4" ht="42" customHeight="1">
      <c r="A65" s="24" t="s">
        <v>12451</v>
      </c>
      <c r="B65" s="24" t="s">
        <v>6074</v>
      </c>
      <c r="C65" s="24" t="s">
        <v>12452</v>
      </c>
      <c r="D65" s="24" t="s">
        <v>12453</v>
      </c>
    </row>
    <row r="66" spans="1:4" ht="42" customHeight="1">
      <c r="A66" s="24" t="s">
        <v>12454</v>
      </c>
      <c r="B66" s="24" t="s">
        <v>6074</v>
      </c>
      <c r="C66" s="24" t="s">
        <v>12455</v>
      </c>
      <c r="D66" s="24" t="s">
        <v>11847</v>
      </c>
    </row>
    <row r="70" spans="1:4" ht="39.950000000000003" customHeight="1">
      <c r="A70" s="2" t="s">
        <v>11848</v>
      </c>
      <c r="B70" s="2" t="s">
        <v>5472</v>
      </c>
      <c r="C70" s="2" t="s">
        <v>11849</v>
      </c>
      <c r="D70" s="2" t="s">
        <v>11850</v>
      </c>
    </row>
    <row r="71" spans="1:4" ht="39.950000000000003" customHeight="1">
      <c r="A71" s="2" t="s">
        <v>11851</v>
      </c>
      <c r="B71" s="2" t="s">
        <v>12456</v>
      </c>
      <c r="C71" s="2" t="s">
        <v>11853</v>
      </c>
      <c r="D71" s="2" t="s">
        <v>11854</v>
      </c>
    </row>
    <row r="72" spans="1:4" ht="39.950000000000003" customHeight="1">
      <c r="A72" s="2" t="s">
        <v>11855</v>
      </c>
      <c r="B72" s="2" t="s">
        <v>12456</v>
      </c>
      <c r="C72" s="2" t="s">
        <v>11856</v>
      </c>
      <c r="D72" s="2" t="s">
        <v>11857</v>
      </c>
    </row>
    <row r="73" spans="1:4" ht="39.950000000000003" customHeight="1">
      <c r="A73" s="2" t="s">
        <v>11858</v>
      </c>
      <c r="B73" s="2" t="s">
        <v>12456</v>
      </c>
      <c r="C73" s="2" t="s">
        <v>11859</v>
      </c>
      <c r="D73" s="2" t="s">
        <v>11860</v>
      </c>
    </row>
    <row r="74" spans="1:4" ht="39.950000000000003" customHeight="1">
      <c r="A74" s="2" t="s">
        <v>11861</v>
      </c>
      <c r="B74" s="2" t="s">
        <v>12456</v>
      </c>
      <c r="C74" s="2" t="s">
        <v>11862</v>
      </c>
      <c r="D74" s="2" t="s">
        <v>11863</v>
      </c>
    </row>
    <row r="75" spans="1:4" ht="39.950000000000003" customHeight="1">
      <c r="A75" s="2" t="s">
        <v>11864</v>
      </c>
      <c r="B75" s="2" t="s">
        <v>12456</v>
      </c>
      <c r="C75" s="2" t="s">
        <v>11865</v>
      </c>
      <c r="D75" s="2" t="s">
        <v>11866</v>
      </c>
    </row>
    <row r="76" spans="1:4" ht="39.950000000000003" customHeight="1">
      <c r="A76" s="2" t="s">
        <v>11867</v>
      </c>
      <c r="B76" s="2" t="s">
        <v>12456</v>
      </c>
      <c r="C76" s="2" t="s">
        <v>11868</v>
      </c>
      <c r="D76" s="2" t="s">
        <v>11869</v>
      </c>
    </row>
    <row r="77" spans="1:4" ht="39.950000000000003" customHeight="1">
      <c r="A77" s="2" t="s">
        <v>11870</v>
      </c>
      <c r="B77" s="2" t="s">
        <v>12456</v>
      </c>
      <c r="C77" s="2" t="s">
        <v>11871</v>
      </c>
      <c r="D77" s="2" t="s">
        <v>11872</v>
      </c>
    </row>
    <row r="78" spans="1:4" ht="39.950000000000003" customHeight="1">
      <c r="A78" s="2" t="s">
        <v>11874</v>
      </c>
      <c r="B78" s="2" t="s">
        <v>12456</v>
      </c>
      <c r="C78" s="2" t="s">
        <v>11875</v>
      </c>
      <c r="D78" s="2" t="s">
        <v>11876</v>
      </c>
    </row>
    <row r="79" spans="1:4" ht="39.950000000000003" customHeight="1">
      <c r="A79" s="2" t="s">
        <v>11878</v>
      </c>
      <c r="B79" s="2" t="s">
        <v>12456</v>
      </c>
      <c r="C79" s="2" t="s">
        <v>11875</v>
      </c>
      <c r="D79" s="2" t="s">
        <v>11879</v>
      </c>
    </row>
    <row r="80" spans="1:4" ht="39.950000000000003" customHeight="1">
      <c r="A80" s="2" t="s">
        <v>11881</v>
      </c>
      <c r="B80" s="2" t="s">
        <v>12456</v>
      </c>
      <c r="C80" s="2" t="s">
        <v>11882</v>
      </c>
      <c r="D80" s="2" t="s">
        <v>11883</v>
      </c>
    </row>
    <row r="81" spans="1:4" ht="39.950000000000003" customHeight="1">
      <c r="A81" s="2" t="s">
        <v>11885</v>
      </c>
      <c r="B81" s="2" t="s">
        <v>11886</v>
      </c>
      <c r="C81" s="2" t="s">
        <v>11887</v>
      </c>
      <c r="D81" s="2" t="s">
        <v>11888</v>
      </c>
    </row>
  </sheetData>
  <mergeCells count="15">
    <mergeCell ref="A21:H21"/>
    <mergeCell ref="A22:H22"/>
    <mergeCell ref="A23:H23"/>
    <mergeCell ref="A32:H32"/>
    <mergeCell ref="A34:H34"/>
    <mergeCell ref="A16:H16"/>
    <mergeCell ref="A17:H17"/>
    <mergeCell ref="A18:H18"/>
    <mergeCell ref="A19:H19"/>
    <mergeCell ref="A20:H20"/>
    <mergeCell ref="A1:H1"/>
    <mergeCell ref="A2:H2"/>
    <mergeCell ref="A3:H3"/>
    <mergeCell ref="A14:H14"/>
    <mergeCell ref="A15:H15"/>
  </mergeCells>
  <conditionalFormatting sqref="B37:B66">
    <cfRule type="expression" dxfId="1" priority="1">
      <formula>B37="PASS"</formula>
    </cfRule>
    <cfRule type="expression" dxfId="0" priority="2">
      <formula>B37="OPEN"</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Current Authority</vt:lpstr>
      <vt:lpstr>Backlog</vt:lpstr>
      <vt:lpstr>Release Plan</vt:lpstr>
      <vt:lpstr>Worker Tracks</vt:lpstr>
      <vt:lpstr>Requirement Traceability</vt:lpstr>
      <vt:lpstr>Dependency Graph</vt:lpstr>
      <vt:lpstr>Prior Baseline Archive</vt:lpstr>
      <vt:lpstr>Governance</vt:lpstr>
      <vt:lpstr>Method &amp; Notes</vt:lpstr>
      <vt:lpstr>Commit Ledger</vt:lpstr>
      <vt:lpstr>Backlog Change Log</vt:lpstr>
      <vt:lpstr>Verified Task Ledger</vt:lpstr>
      <vt:lpstr>Phase Worker v220</vt:lpstr>
      <vt:lpstr>Dashboard v220</vt:lpstr>
      <vt:lpstr>Capability Map v1.1</vt:lpstr>
      <vt:lpstr>Retired Tasks v222</vt:lpstr>
      <vt:lpstr>Revision Changes v222</vt:lpstr>
      <vt:lpstr>Phase Worker v222</vt:lpstr>
      <vt:lpstr>Prior Notes v222</vt:lpstr>
      <vt:lpstr>Dashboard v222</vt:lpstr>
      <vt:lpstr>Contract Handoffs</vt:lpstr>
      <vt:lpstr>Estimate Review</vt:lpstr>
      <vt:lpstr>Repair Changes v2221</vt:lpstr>
      <vt:lpstr>External Prerequisites</vt:lpstr>
      <vt:lpstr>Secondary Capability Links</vt:lpstr>
      <vt:lpstr>UI Coverage v223</vt:lpstr>
      <vt:lpstr>UI Controls v223</vt:lpstr>
      <vt:lpstr>Changes v223</vt:lpstr>
      <vt:lpstr>UI Delivery v223</vt:lpstr>
      <vt:lpstr>Book Register</vt:lpstr>
      <vt:lpstr>Book Validation</vt:lpstr>
      <vt:lpstr>Task Evidence 15Sep</vt:lpstr>
      <vt:lpstr>M2-P2 Review</vt:lpstr>
      <vt:lpstr>Review 15Sep</vt:lpstr>
      <vt:lpstr>Cell Changes 15Sep</vt:lpstr>
      <vt:lpstr>Source Review</vt:lpstr>
      <vt:lpstr>Source Evidence</vt:lpstr>
      <vt:lpstr>Source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Elsayed, Karim (SMS group GmbH)</dc:creator>
  <cp:lastModifiedBy>Elsayed, Karim (SMS group GmbH)</cp:lastModifiedBy>
  <dcterms:created xsi:type="dcterms:W3CDTF">2026-09-16T11:44:54Z</dcterms:created>
  <dcterms:modified xsi:type="dcterms:W3CDTF">2026-09-16T11:44:54Z</dcterms:modified>
</cp:coreProperties>
</file>